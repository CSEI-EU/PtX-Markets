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R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5" i="1"/>
  <c r="B24" i="1"/>
  <c r="B26" i="1"/>
  <c r="C242" i="3" l="1"/>
  <c r="S242" i="3"/>
  <c r="C18" i="20"/>
  <c r="E3" i="20"/>
  <c r="E22" i="20" s="1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3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P14" i="18"/>
  <c r="J14" i="20"/>
  <c r="O3" i="20"/>
  <c r="O23" i="20" s="1"/>
  <c r="O3" i="18"/>
  <c r="O18" i="18" s="1"/>
  <c r="N3" i="20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G25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S22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R3" i="20"/>
  <c r="T23" i="18" l="1"/>
  <c r="O21" i="19"/>
  <c r="I21" i="18"/>
  <c r="W23" i="20"/>
  <c r="Q24" i="19"/>
  <c r="L21" i="20"/>
  <c r="T24" i="19"/>
  <c r="T20" i="19"/>
  <c r="G24" i="19"/>
  <c r="T22" i="18"/>
  <c r="E23" i="18"/>
  <c r="G23" i="20"/>
  <c r="M23" i="20"/>
  <c r="F18" i="18"/>
  <c r="Q11" i="20"/>
  <c r="E21" i="20"/>
  <c r="R25" i="19"/>
  <c r="Q21" i="19"/>
  <c r="E13" i="18"/>
  <c r="Q10" i="20"/>
  <c r="F89" i="3"/>
  <c r="F181" i="3" s="1"/>
  <c r="J11" i="20"/>
  <c r="S23" i="18"/>
  <c r="H20" i="19"/>
  <c r="I22" i="18"/>
  <c r="R21" i="18"/>
  <c r="P10" i="20"/>
  <c r="E17" i="18"/>
  <c r="U24" i="19"/>
  <c r="P24" i="19"/>
  <c r="U18" i="18"/>
  <c r="M24" i="19"/>
  <c r="U19" i="18"/>
  <c r="H3" i="19"/>
  <c r="H19" i="19" s="1"/>
  <c r="Q25" i="19"/>
  <c r="N29" i="3"/>
  <c r="N123" i="3" s="1"/>
  <c r="I213" i="3"/>
  <c r="W17" i="20"/>
  <c r="M22" i="20"/>
  <c r="H25" i="19"/>
  <c r="R212" i="3"/>
  <c r="E19" i="18"/>
  <c r="O11" i="20"/>
  <c r="F24" i="19"/>
  <c r="E18" i="18"/>
  <c r="E17" i="20"/>
  <c r="E23" i="20"/>
  <c r="F22" i="20"/>
  <c r="D21" i="20"/>
  <c r="E13" i="20"/>
  <c r="D23" i="20"/>
  <c r="W24" i="19"/>
  <c r="W3" i="19"/>
  <c r="W28" i="19" s="1"/>
  <c r="N24" i="19"/>
  <c r="R21" i="19"/>
  <c r="J21" i="19"/>
  <c r="F20" i="19"/>
  <c r="N10" i="20"/>
  <c r="K20" i="19"/>
  <c r="N20" i="19"/>
  <c r="L10" i="20"/>
  <c r="W10" i="20"/>
  <c r="S10" i="20"/>
  <c r="L20" i="19"/>
  <c r="L23" i="18"/>
  <c r="R22" i="18"/>
  <c r="E22" i="18"/>
  <c r="M23" i="18"/>
  <c r="F19" i="18"/>
  <c r="K23" i="18"/>
  <c r="N13" i="20"/>
  <c r="R29" i="3"/>
  <c r="R123" i="3" s="1"/>
  <c r="N22" i="18"/>
  <c r="M22" i="18"/>
  <c r="U29" i="3"/>
  <c r="U123" i="3" s="1"/>
  <c r="N241" i="3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3" i="3" s="1"/>
  <c r="M3" i="19"/>
  <c r="M29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J17" i="18"/>
  <c r="J13" i="18"/>
  <c r="C25" i="19"/>
  <c r="C21" i="19"/>
  <c r="C3" i="19"/>
  <c r="C9" i="20" s="1"/>
  <c r="J19" i="18"/>
  <c r="T11" i="20"/>
  <c r="H23" i="19"/>
  <c r="W22" i="18"/>
  <c r="L3" i="19"/>
  <c r="L29" i="19" s="1"/>
  <c r="W19" i="19"/>
  <c r="F21" i="19"/>
  <c r="F11" i="20"/>
  <c r="F25" i="19"/>
  <c r="W23" i="18"/>
  <c r="K21" i="20"/>
  <c r="K17" i="20"/>
  <c r="K13" i="20"/>
  <c r="T25" i="19"/>
  <c r="T21" i="19"/>
  <c r="W29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M9" i="20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M19" i="19" l="1"/>
  <c r="H29" i="19"/>
  <c r="H9" i="20"/>
  <c r="M23" i="19"/>
  <c r="W27" i="19"/>
  <c r="N121" i="3"/>
  <c r="N122" i="3"/>
  <c r="U122" i="3"/>
  <c r="K183" i="3"/>
  <c r="D123" i="3"/>
  <c r="P9" i="20"/>
  <c r="N19" i="19"/>
  <c r="F151" i="3"/>
  <c r="U121" i="3"/>
  <c r="Q9" i="20"/>
  <c r="H27" i="19"/>
  <c r="N9" i="20"/>
  <c r="R121" i="3"/>
  <c r="R241" i="3"/>
  <c r="P122" i="3"/>
  <c r="Q122" i="3"/>
  <c r="N29" i="19"/>
  <c r="Q23" i="19"/>
  <c r="H28" i="19"/>
  <c r="E28" i="19"/>
  <c r="R122" i="3"/>
  <c r="U182" i="3"/>
  <c r="M28" i="19"/>
  <c r="F152" i="3"/>
  <c r="P27" i="19"/>
  <c r="M27" i="19"/>
  <c r="G27" i="19"/>
  <c r="W23" i="19"/>
  <c r="N27" i="19"/>
  <c r="T123" i="3"/>
  <c r="Q123" i="3"/>
  <c r="L121" i="3"/>
  <c r="P121" i="3"/>
  <c r="Q241" i="3"/>
  <c r="E23" i="19"/>
  <c r="F241" i="3"/>
  <c r="E27" i="19"/>
  <c r="T241" i="3"/>
  <c r="M182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S10" i="5"/>
  <c r="Q10" i="5"/>
  <c r="P10" i="5"/>
  <c r="N10" i="5"/>
  <c r="M10" i="5"/>
  <c r="K10" i="5"/>
  <c r="I10" i="5"/>
  <c r="H10" i="5"/>
  <c r="F10" i="5"/>
  <c r="E10" i="5"/>
  <c r="C10" i="5"/>
  <c r="B10" i="5" l="1"/>
  <c r="J10" i="5"/>
  <c r="R10" i="5"/>
  <c r="T10" i="5"/>
  <c r="L10" i="5"/>
  <c r="G10" i="5"/>
  <c r="O10" i="5"/>
  <c r="W10" i="5"/>
  <c r="D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N84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R60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F84" i="4" l="1"/>
  <c r="W57" i="9"/>
  <c r="Q75" i="7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R59" i="7"/>
  <c r="V60" i="7"/>
  <c r="W23" i="9"/>
  <c r="W26" i="10"/>
  <c r="W232" i="3"/>
  <c r="R100" i="4"/>
  <c r="R84" i="4" s="1"/>
  <c r="R31" i="4"/>
  <c r="T4" i="6"/>
  <c r="J100" i="4"/>
  <c r="J84" i="4" s="1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68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6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7" i="7" s="1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3" i="6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64" i="6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99" i="6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O125" i="6" s="1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205" i="4" s="1"/>
  <c r="D15" i="4"/>
  <c r="D93" i="6" s="1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S125" i="7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93" i="6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98" i="5" s="1"/>
  <c r="J178" i="4"/>
  <c r="J65" i="6"/>
  <c r="J207" i="7" s="1"/>
  <c r="R9" i="4"/>
  <c r="M14" i="4"/>
  <c r="M98" i="5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92" i="5" s="1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202" i="4" s="1"/>
  <c r="S175" i="4"/>
  <c r="S62" i="6"/>
  <c r="S204" i="7" s="1"/>
  <c r="G176" i="4"/>
  <c r="G63" i="6"/>
  <c r="O12" i="4"/>
  <c r="O203" i="4" s="1"/>
  <c r="O176" i="4"/>
  <c r="O63" i="6"/>
  <c r="C40" i="4"/>
  <c r="C64" i="6" s="1"/>
  <c r="C206" i="7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P184" i="4" s="1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U88" i="6" s="1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Q208" i="4" s="1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219" i="4" s="1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U202" i="4" s="1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0" i="7" s="1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I214" i="4" s="1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6" i="4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D212" i="4" s="1"/>
  <c r="M21" i="4"/>
  <c r="Q22" i="4"/>
  <c r="Q106" i="5" s="1"/>
  <c r="D23" i="4"/>
  <c r="D214" i="4" s="1"/>
  <c r="M23" i="4"/>
  <c r="M214" i="4" s="1"/>
  <c r="Q24" i="4"/>
  <c r="Q215" i="4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M71" i="6" s="1"/>
  <c r="M213" i="7" s="1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42" i="5" s="1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132" i="6"/>
  <c r="J40" i="6"/>
  <c r="J77" i="6" s="1"/>
  <c r="J219" i="7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I270" i="4"/>
  <c r="V26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99" i="5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105" i="6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71" i="6"/>
  <c r="P190" i="4"/>
  <c r="P83" i="5"/>
  <c r="P138" i="7" s="1"/>
  <c r="N47" i="7"/>
  <c r="P106" i="5"/>
  <c r="G216" i="4"/>
  <c r="G103" i="6"/>
  <c r="G109" i="5"/>
  <c r="Q170" i="4"/>
  <c r="Q63" i="5"/>
  <c r="Q118" i="7" s="1"/>
  <c r="Q92" i="6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64" i="6"/>
  <c r="P31" i="4"/>
  <c r="Q184" i="4"/>
  <c r="R190" i="4"/>
  <c r="R77" i="6"/>
  <c r="R219" i="7" s="1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83" i="5"/>
  <c r="B138" i="7" s="1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N112" i="4"/>
  <c r="N31" i="7" s="1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251" i="4"/>
  <c r="V57" i="6"/>
  <c r="V63" i="5"/>
  <c r="N273" i="4"/>
  <c r="N269" i="4"/>
  <c r="N267" i="4"/>
  <c r="N272" i="4"/>
  <c r="N270" i="4"/>
  <c r="N268" i="4"/>
  <c r="N266" i="4"/>
  <c r="N264" i="4"/>
  <c r="I184" i="4"/>
  <c r="I77" i="6"/>
  <c r="I83" i="5"/>
  <c r="F58" i="4"/>
  <c r="F13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V202" i="4"/>
  <c r="V89" i="6"/>
  <c r="V95" i="5"/>
  <c r="M92" i="6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E196" i="4"/>
  <c r="E83" i="6"/>
  <c r="E89" i="5"/>
  <c r="C213" i="4"/>
  <c r="C100" i="6"/>
  <c r="C106" i="5"/>
  <c r="E215" i="4"/>
  <c r="E102" i="6"/>
  <c r="E108" i="5"/>
  <c r="H218" i="4"/>
  <c r="H105" i="6"/>
  <c r="H111" i="5"/>
  <c r="S91" i="5"/>
  <c r="C177" i="4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Q219" i="4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92" i="6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94" i="5"/>
  <c r="M203" i="4"/>
  <c r="O206" i="4"/>
  <c r="O93" i="6"/>
  <c r="O99" i="5"/>
  <c r="Q95" i="6"/>
  <c r="T209" i="4"/>
  <c r="T96" i="6"/>
  <c r="T102" i="5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95" i="5"/>
  <c r="E205" i="4"/>
  <c r="E92" i="6"/>
  <c r="E98" i="5"/>
  <c r="E213" i="4"/>
  <c r="E100" i="6"/>
  <c r="E106" i="5"/>
  <c r="K215" i="4"/>
  <c r="K102" i="6"/>
  <c r="K108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0" i="4"/>
  <c r="M184" i="4"/>
  <c r="M77" i="5"/>
  <c r="M132" i="7" s="1"/>
  <c r="S105" i="5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M26" i="7"/>
  <c r="J127" i="4"/>
  <c r="J46" i="7" s="1"/>
  <c r="I199" i="4"/>
  <c r="I88" i="6"/>
  <c r="I101" i="6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70" i="5"/>
  <c r="E125" i="7" s="1"/>
  <c r="E258" i="4"/>
  <c r="Q64" i="6"/>
  <c r="V46" i="4"/>
  <c r="N71" i="6"/>
  <c r="N265" i="4"/>
  <c r="N77" i="5"/>
  <c r="T184" i="4"/>
  <c r="O77" i="6"/>
  <c r="O83" i="5"/>
  <c r="I58" i="4"/>
  <c r="I4" i="7" s="1"/>
  <c r="I13" i="7"/>
  <c r="R58" i="4"/>
  <c r="R73" i="4"/>
  <c r="R19" i="7" s="1"/>
  <c r="R20" i="7"/>
  <c r="M47" i="7"/>
  <c r="E252" i="4"/>
  <c r="R253" i="4"/>
  <c r="O109" i="5"/>
  <c r="V83" i="6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P70" i="5" l="1"/>
  <c r="Q18" i="5"/>
  <c r="I59" i="7"/>
  <c r="V88" i="6"/>
  <c r="S85" i="6"/>
  <c r="M205" i="4"/>
  <c r="V73" i="4"/>
  <c r="V19" i="7" s="1"/>
  <c r="I99" i="5"/>
  <c r="D99" i="6"/>
  <c r="H109" i="5"/>
  <c r="I266" i="4"/>
  <c r="F229" i="4"/>
  <c r="B98" i="5"/>
  <c r="Q106" i="6"/>
  <c r="F218" i="4"/>
  <c r="Q98" i="5"/>
  <c r="Q209" i="4"/>
  <c r="I268" i="4"/>
  <c r="B63" i="5"/>
  <c r="Q26" i="4"/>
  <c r="F89" i="6"/>
  <c r="Q90" i="6"/>
  <c r="S95" i="5"/>
  <c r="V219" i="7"/>
  <c r="K112" i="4"/>
  <c r="I272" i="4"/>
  <c r="C58" i="4"/>
  <c r="C4" i="7" s="1"/>
  <c r="O112" i="5"/>
  <c r="E58" i="4"/>
  <c r="E168" i="4" s="1"/>
  <c r="Q203" i="4"/>
  <c r="S89" i="6"/>
  <c r="I89" i="6"/>
  <c r="O106" i="6"/>
  <c r="G46" i="4"/>
  <c r="G271" i="4" s="1"/>
  <c r="D71" i="6"/>
  <c r="D213" i="7" s="1"/>
  <c r="I95" i="5"/>
  <c r="G184" i="4"/>
  <c r="C118" i="6"/>
  <c r="O271" i="4"/>
  <c r="U99" i="6"/>
  <c r="U89" i="6"/>
  <c r="I202" i="4"/>
  <c r="N206" i="4"/>
  <c r="G77" i="5"/>
  <c r="G132" i="7" s="1"/>
  <c r="Q117" i="5"/>
  <c r="U212" i="4"/>
  <c r="H86" i="6"/>
  <c r="T112" i="4"/>
  <c r="T31" i="7" s="1"/>
  <c r="M58" i="4"/>
  <c r="M4" i="7" s="1"/>
  <c r="V257" i="4"/>
  <c r="E47" i="6"/>
  <c r="E96" i="6"/>
  <c r="S101" i="5"/>
  <c r="U170" i="4"/>
  <c r="H58" i="4"/>
  <c r="E209" i="4"/>
  <c r="S95" i="6"/>
  <c r="S111" i="5"/>
  <c r="V251" i="4"/>
  <c r="R272" i="4"/>
  <c r="N250" i="4"/>
  <c r="S105" i="6"/>
  <c r="O213" i="7"/>
  <c r="U63" i="5"/>
  <c r="U118" i="7" s="1"/>
  <c r="Q108" i="5"/>
  <c r="U256" i="4"/>
  <c r="O20" i="7"/>
  <c r="S218" i="4"/>
  <c r="O184" i="4"/>
  <c r="H199" i="7"/>
  <c r="H118" i="7"/>
  <c r="Q102" i="6"/>
  <c r="R266" i="4"/>
  <c r="U250" i="4"/>
  <c r="V252" i="4"/>
  <c r="U263" i="4"/>
  <c r="I138" i="7"/>
  <c r="V250" i="4"/>
  <c r="M199" i="7"/>
  <c r="O132" i="7"/>
  <c r="N18" i="5"/>
  <c r="E190" i="4"/>
  <c r="U201" i="4"/>
  <c r="J112" i="4"/>
  <c r="J111" i="4" s="1"/>
  <c r="J30" i="7" s="1"/>
  <c r="M216" i="4"/>
  <c r="S212" i="4"/>
  <c r="Q101" i="5"/>
  <c r="U95" i="5"/>
  <c r="N127" i="4"/>
  <c r="N46" i="7" s="1"/>
  <c r="R111" i="5"/>
  <c r="D206" i="4"/>
  <c r="J18" i="6"/>
  <c r="J55" i="6" s="1"/>
  <c r="Q125" i="7"/>
  <c r="B112" i="5"/>
  <c r="C111" i="5"/>
  <c r="B219" i="7"/>
  <c r="R218" i="4"/>
  <c r="U213" i="7"/>
  <c r="G112" i="4"/>
  <c r="Q206" i="7"/>
  <c r="B106" i="6"/>
  <c r="B207" i="4"/>
  <c r="M200" i="4"/>
  <c r="B190" i="4"/>
  <c r="T206" i="7"/>
  <c r="R177" i="4"/>
  <c r="M64" i="6"/>
  <c r="M206" i="7" s="1"/>
  <c r="T118" i="6"/>
  <c r="B73" i="4"/>
  <c r="B19" i="7" s="1"/>
  <c r="U94" i="5"/>
  <c r="T177" i="4"/>
  <c r="B77" i="5"/>
  <c r="B132" i="7" s="1"/>
  <c r="R13" i="7"/>
  <c r="I107" i="5"/>
  <c r="U73" i="4"/>
  <c r="U184" i="4"/>
  <c r="B59" i="7"/>
  <c r="B71" i="6"/>
  <c r="B213" i="7" s="1"/>
  <c r="O206" i="7"/>
  <c r="O125" i="7"/>
  <c r="U125" i="7"/>
  <c r="S112" i="4"/>
  <c r="S31" i="7" s="1"/>
  <c r="U132" i="7"/>
  <c r="U59" i="7"/>
  <c r="D47" i="6"/>
  <c r="T213" i="7"/>
  <c r="M13" i="4"/>
  <c r="M97" i="5" s="1"/>
  <c r="K184" i="4"/>
  <c r="B57" i="6"/>
  <c r="B199" i="7" s="1"/>
  <c r="P71" i="6"/>
  <c r="P213" i="7" s="1"/>
  <c r="O6" i="4"/>
  <c r="S42" i="5"/>
  <c r="W231" i="4"/>
  <c r="Q91" i="5"/>
  <c r="M196" i="4"/>
  <c r="U20" i="4"/>
  <c r="U211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110" i="5" s="1"/>
  <c r="O20" i="4"/>
  <c r="O98" i="6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69" i="4" s="1"/>
  <c r="S216" i="4"/>
  <c r="G190" i="4"/>
  <c r="Q57" i="6"/>
  <c r="Q199" i="7" s="1"/>
  <c r="N200" i="4"/>
  <c r="V206" i="7"/>
  <c r="G137" i="5"/>
  <c r="V6" i="4"/>
  <c r="V4" i="4" s="1"/>
  <c r="V231" i="4" s="1"/>
  <c r="U6" i="4"/>
  <c r="U84" i="6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43" i="4" s="1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168" i="4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90" i="5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90" i="5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B197" i="4"/>
  <c r="B84" i="6"/>
  <c r="B90" i="5"/>
  <c r="M91" i="6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70" i="6"/>
  <c r="E273" i="4"/>
  <c r="E269" i="4"/>
  <c r="E267" i="4"/>
  <c r="E272" i="4"/>
  <c r="E268" i="4"/>
  <c r="E264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O163" i="4"/>
  <c r="O217" i="4"/>
  <c r="O104" i="6"/>
  <c r="O110" i="5"/>
  <c r="U197" i="4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272" i="4"/>
  <c r="B270" i="4"/>
  <c r="B268" i="4"/>
  <c r="B266" i="4"/>
  <c r="B264" i="4"/>
  <c r="B273" i="4"/>
  <c r="B269" i="4"/>
  <c r="B267" i="4"/>
  <c r="K46" i="4"/>
  <c r="K271" i="4" s="1"/>
  <c r="T19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S231" i="4"/>
  <c r="G199" i="4"/>
  <c r="G86" i="6"/>
  <c r="G92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04" i="6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76" i="5"/>
  <c r="T272" i="4"/>
  <c r="H201" i="4"/>
  <c r="H88" i="6"/>
  <c r="H94" i="5"/>
  <c r="T265" i="4"/>
  <c r="E84" i="6"/>
  <c r="F6" i="4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4" i="4"/>
  <c r="B231" i="4" s="1"/>
  <c r="B143" i="4"/>
  <c r="P13" i="4"/>
  <c r="V19" i="4"/>
  <c r="V157" i="4"/>
  <c r="H13" i="4"/>
  <c r="N19" i="4"/>
  <c r="N244" i="4" s="1"/>
  <c r="N157" i="4"/>
  <c r="T6" i="4"/>
  <c r="C46" i="4"/>
  <c r="C271" i="4" s="1"/>
  <c r="R19" i="4"/>
  <c r="R244" i="4" s="1"/>
  <c r="I19" i="4"/>
  <c r="I244" i="4" s="1"/>
  <c r="E19" i="4"/>
  <c r="E238" i="4" s="1"/>
  <c r="O211" i="4" l="1"/>
  <c r="U143" i="4"/>
  <c r="B17" i="5"/>
  <c r="B144" i="5" s="1"/>
  <c r="E197" i="4"/>
  <c r="T267" i="4"/>
  <c r="U104" i="5"/>
  <c r="E143" i="4"/>
  <c r="T273" i="4"/>
  <c r="B183" i="4"/>
  <c r="U98" i="6"/>
  <c r="N183" i="4"/>
  <c r="T271" i="4"/>
  <c r="J31" i="7"/>
  <c r="K143" i="4"/>
  <c r="K110" i="5"/>
  <c r="U157" i="4"/>
  <c r="T264" i="4"/>
  <c r="U90" i="5"/>
  <c r="J4" i="7"/>
  <c r="M204" i="4"/>
  <c r="M163" i="4"/>
  <c r="V90" i="5"/>
  <c r="J57" i="4"/>
  <c r="J3" i="7" s="1"/>
  <c r="M217" i="4"/>
  <c r="V84" i="6"/>
  <c r="F204" i="4"/>
  <c r="V197" i="4"/>
  <c r="V143" i="4"/>
  <c r="M150" i="4"/>
  <c r="F4" i="4"/>
  <c r="F231" i="4" s="1"/>
  <c r="M4" i="4"/>
  <c r="M231" i="4" s="1"/>
  <c r="K84" i="6"/>
  <c r="K4" i="4"/>
  <c r="K223" i="4" s="1"/>
  <c r="K197" i="4"/>
  <c r="H157" i="4"/>
  <c r="Q211" i="4"/>
  <c r="K104" i="6"/>
  <c r="N91" i="6"/>
  <c r="S242" i="4"/>
  <c r="K217" i="4"/>
  <c r="S156" i="4"/>
  <c r="N204" i="4"/>
  <c r="D4" i="4"/>
  <c r="D225" i="4" s="1"/>
  <c r="S244" i="4"/>
  <c r="J183" i="4"/>
  <c r="U19" i="4"/>
  <c r="U244" i="4" s="1"/>
  <c r="T266" i="4"/>
  <c r="T183" i="4"/>
  <c r="E266" i="4"/>
  <c r="E30" i="4"/>
  <c r="D91" i="6"/>
  <c r="D97" i="5"/>
  <c r="O157" i="4"/>
  <c r="T268" i="4"/>
  <c r="G183" i="4"/>
  <c r="Q90" i="5"/>
  <c r="O104" i="5"/>
  <c r="I90" i="5"/>
  <c r="D204" i="4"/>
  <c r="R17" i="6"/>
  <c r="R136" i="6" s="1"/>
  <c r="O19" i="4"/>
  <c r="O237" i="4" s="1"/>
  <c r="U4" i="4"/>
  <c r="T270" i="4"/>
  <c r="C61" i="5"/>
  <c r="Q84" i="6"/>
  <c r="E270" i="4"/>
  <c r="D150" i="4"/>
  <c r="H251" i="4"/>
  <c r="Q197" i="4"/>
  <c r="N57" i="4"/>
  <c r="Q4" i="4"/>
  <c r="Q88" i="5" s="1"/>
  <c r="F31" i="7"/>
  <c r="B57" i="4"/>
  <c r="B3" i="7" s="1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0" i="5"/>
  <c r="S141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53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224" i="4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9" i="6"/>
  <c r="H148" i="6"/>
  <c r="H156" i="6"/>
  <c r="H142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J155" i="5"/>
  <c r="K17" i="6"/>
  <c r="K151" i="6" s="1"/>
  <c r="H136" i="6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103" i="5"/>
  <c r="O246" i="4"/>
  <c r="O242" i="4"/>
  <c r="G237" i="4"/>
  <c r="G241" i="4"/>
  <c r="G239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82" i="6"/>
  <c r="Q230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229" i="4"/>
  <c r="J228" i="4"/>
  <c r="J233" i="4"/>
  <c r="J235" i="4"/>
  <c r="J236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235" i="4"/>
  <c r="I236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K235" i="4"/>
  <c r="O167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G243" i="4" l="1"/>
  <c r="O240" i="4"/>
  <c r="O97" i="6"/>
  <c r="J146" i="5"/>
  <c r="G238" i="4"/>
  <c r="O243" i="4"/>
  <c r="O210" i="4"/>
  <c r="G103" i="5"/>
  <c r="O241" i="4"/>
  <c r="O244" i="4"/>
  <c r="G245" i="4"/>
  <c r="G210" i="4"/>
  <c r="O245" i="4"/>
  <c r="J142" i="5"/>
  <c r="H154" i="6"/>
  <c r="E54" i="6"/>
  <c r="G97" i="6"/>
  <c r="O239" i="4"/>
  <c r="G246" i="4"/>
  <c r="G156" i="4"/>
  <c r="J159" i="5"/>
  <c r="J167" i="4"/>
  <c r="U60" i="5"/>
  <c r="H151" i="6"/>
  <c r="H145" i="6"/>
  <c r="S151" i="5"/>
  <c r="S156" i="5"/>
  <c r="J227" i="4"/>
  <c r="H147" i="6"/>
  <c r="H146" i="6"/>
  <c r="S158" i="5"/>
  <c r="J234" i="4"/>
  <c r="J222" i="4"/>
  <c r="S142" i="5"/>
  <c r="J223" i="4"/>
  <c r="J88" i="5"/>
  <c r="H158" i="6"/>
  <c r="H159" i="6"/>
  <c r="H141" i="6"/>
  <c r="S145" i="5"/>
  <c r="S155" i="5"/>
  <c r="S166" i="5"/>
  <c r="J82" i="6"/>
  <c r="H139" i="6"/>
  <c r="J195" i="4"/>
  <c r="H140" i="6"/>
  <c r="H137" i="6"/>
  <c r="S159" i="5"/>
  <c r="S162" i="5"/>
  <c r="J232" i="4"/>
  <c r="H135" i="6"/>
  <c r="J226" i="4"/>
  <c r="J225" i="4"/>
  <c r="J141" i="4"/>
  <c r="H152" i="6"/>
  <c r="H160" i="6"/>
  <c r="S143" i="5"/>
  <c r="S154" i="5"/>
  <c r="Q228" i="4"/>
  <c r="Q195" i="4"/>
  <c r="Q223" i="4"/>
  <c r="Q236" i="4"/>
  <c r="Q141" i="4"/>
  <c r="Q224" i="4"/>
  <c r="P103" i="5"/>
  <c r="Q225" i="4"/>
  <c r="Q235" i="4"/>
  <c r="P246" i="4"/>
  <c r="Q232" i="4"/>
  <c r="Q233" i="4"/>
  <c r="U54" i="6"/>
  <c r="M242" i="4"/>
  <c r="Q234" i="4"/>
  <c r="Q226" i="4"/>
  <c r="Q167" i="4"/>
  <c r="M239" i="4"/>
  <c r="Q231" i="4"/>
  <c r="Q229" i="4"/>
  <c r="Q222" i="4"/>
  <c r="M156" i="4"/>
  <c r="Q227" i="4"/>
  <c r="S153" i="5"/>
  <c r="I224" i="4"/>
  <c r="I226" i="4"/>
  <c r="S149" i="5"/>
  <c r="S163" i="5"/>
  <c r="S147" i="5"/>
  <c r="I223" i="4"/>
  <c r="K240" i="4"/>
  <c r="K245" i="4"/>
  <c r="I195" i="4"/>
  <c r="S150" i="5"/>
  <c r="S164" i="5"/>
  <c r="S152" i="5"/>
  <c r="E167" i="4"/>
  <c r="I141" i="4"/>
  <c r="R145" i="6"/>
  <c r="S144" i="5"/>
  <c r="S161" i="5"/>
  <c r="S148" i="5"/>
  <c r="I88" i="5"/>
  <c r="I233" i="4"/>
  <c r="V147" i="5"/>
  <c r="R158" i="6"/>
  <c r="S157" i="5"/>
  <c r="S165" i="5"/>
  <c r="J141" i="5"/>
  <c r="J153" i="5"/>
  <c r="J152" i="5"/>
  <c r="J161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42" i="5" l="1"/>
  <c r="L33" i="6"/>
  <c r="L124" i="5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S25" i="8" l="1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P10" i="16"/>
  <c r="P4" i="16"/>
  <c r="S4" i="16"/>
  <c r="S3" i="16" s="1"/>
  <c r="K10" i="16"/>
  <c r="K3" i="16" s="1"/>
  <c r="G4" i="16"/>
  <c r="Q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N80" i="8"/>
  <c r="K79" i="8"/>
  <c r="V77" i="8"/>
  <c r="S77" i="8"/>
  <c r="O77" i="8"/>
  <c r="N77" i="8"/>
  <c r="S76" i="8"/>
  <c r="R76" i="8"/>
  <c r="V75" i="8"/>
  <c r="N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M6" i="3"/>
  <c r="L6" i="3"/>
  <c r="K6" i="3"/>
  <c r="J6" i="3"/>
  <c r="I6" i="3"/>
  <c r="H6" i="3"/>
  <c r="G6" i="3"/>
  <c r="G218" i="3" s="1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5" i="1"/>
  <c r="B13" i="1"/>
  <c r="B17" i="1"/>
  <c r="B4" i="1"/>
  <c r="B12" i="1"/>
  <c r="B16" i="1"/>
  <c r="B6" i="1"/>
  <c r="B18" i="1"/>
  <c r="B21" i="1"/>
  <c r="B9" i="1"/>
  <c r="B11" i="1"/>
  <c r="B7" i="1"/>
  <c r="B22" i="1"/>
  <c r="B20" i="1"/>
  <c r="B8" i="1"/>
  <c r="F218" i="3" l="1"/>
  <c r="N218" i="3"/>
  <c r="G222" i="3"/>
  <c r="O222" i="3"/>
  <c r="T22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I220" i="3" s="1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C190" i="3" s="1"/>
  <c r="K38" i="3"/>
  <c r="C49" i="3"/>
  <c r="K49" i="3"/>
  <c r="C50" i="3"/>
  <c r="K50" i="3"/>
  <c r="K202" i="3" s="1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C230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H221" i="3" l="1"/>
  <c r="M221" i="3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 s="1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N225" i="3" s="1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5" i="3"/>
  <c r="I144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8" i="3" l="1"/>
  <c r="I150" i="3"/>
  <c r="C234" i="3"/>
  <c r="I149" i="3"/>
  <c r="I140" i="3"/>
  <c r="I143" i="3"/>
  <c r="I142" i="3"/>
  <c r="I146" i="3"/>
  <c r="I141" i="3"/>
  <c r="I13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53" i="12" l="1"/>
  <c r="S47" i="3"/>
  <c r="S147" i="3" s="1"/>
  <c r="R144" i="3"/>
  <c r="B17" i="12"/>
  <c r="B67" i="12" s="1"/>
  <c r="R139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<sst xmlns="http://schemas.openxmlformats.org/spreadsheetml/2006/main" count="2655" uniqueCount="1167">
  <si>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</si>
  <si>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</si>
  <si>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</si>
  <si>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</si>
  <si>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</si>
  <si>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</si>
  <si>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</si>
  <si>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</si>
  <si>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</si>
  <si>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</si>
  <si>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</si>
  <si>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</si>
  <si>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</si>
  <si>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</si>
  <si>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</si>
  <si>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</si>
  <si>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</si>
  <si>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</si>
  <si>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</si>
  <si>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</si>
  <si>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</si>
  <si>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</si>
  <si>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</si>
  <si>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</si>
  <si>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</si>
  <si>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</si>
  <si>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</si>
  <si>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</si>
  <si>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</si>
  <si>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</si>
  <si>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</si>
  <si>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</si>
  <si>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</si>
  <si>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</si>
  <si>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</si>
  <si>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</si>
  <si>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</si>
  <si>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</si>
  <si>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</si>
  <si>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</si>
  <si>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</si>
  <si>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</si>
  <si>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</si>
  <si>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</si>
  <si>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</si>
  <si>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</si>
  <si>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</si>
  <si>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</si>
  <si>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</si>
  <si>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</si>
  <si>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</si>
  <si>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</si>
  <si>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</si>
  <si>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</si>
  <si>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</si>
  <si>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</si>
  <si>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</si>
  <si>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</si>
  <si>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</si>
  <si>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</si>
  <si>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</si>
  <si>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</si>
  <si>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</si>
  <si>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</si>
  <si>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</si>
  <si>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</si>
  <si>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</si>
  <si>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</si>
  <si>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</si>
  <si>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</si>
  <si>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</si>
  <si>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</si>
  <si>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</si>
  <si>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</si>
  <si>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</si>
  <si>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</si>
  <si>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</si>
  <si>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</si>
  <si>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</si>
  <si>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</si>
  <si>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</si>
  <si>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</si>
  <si>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</si>
  <si>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</si>
  <si>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</si>
  <si>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</si>
  <si>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</si>
  <si>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</si>
  <si>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</si>
  <si>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</si>
  <si>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</si>
  <si>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</si>
  <si>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</si>
  <si>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</si>
  <si>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</si>
  <si>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</si>
  <si>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</si>
  <si>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</si>
  <si>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</si>
  <si>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</si>
  <si>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</si>
  <si>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</si>
  <si>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</si>
  <si>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</si>
  <si>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</si>
  <si>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</si>
  <si>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</si>
  <si>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</si>
  <si>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</si>
  <si>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</si>
  <si>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</si>
  <si>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</si>
  <si>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</si>
  <si>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</si>
  <si>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</si>
  <si>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</si>
  <si>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</si>
  <si>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</si>
  <si>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</si>
  <si>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</si>
  <si>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</si>
  <si>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</si>
  <si>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</si>
  <si>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</si>
  <si>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</si>
  <si>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</si>
  <si>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</si>
  <si>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</si>
  <si>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</si>
  <si>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</si>
  <si>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</si>
  <si>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</si>
  <si>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</si>
  <si>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</si>
  <si>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</si>
  <si>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</si>
  <si>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</si>
  <si>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</si>
  <si>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</si>
  <si>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</si>
  <si>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</si>
  <si>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</si>
  <si>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</si>
  <si>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</si>
  <si>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</si>
  <si>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</si>
  <si>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</si>
  <si>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</si>
  <si>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</si>
  <si>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</si>
  <si>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</si>
  <si>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</si>
  <si>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</si>
  <si>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</si>
  <si>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</si>
  <si>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</si>
  <si>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</si>
  <si>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</si>
  <si>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</si>
  <si>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</si>
  <si>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</si>
  <si>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</si>
  <si>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</si>
  <si>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</si>
  <si>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</si>
  <si>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</si>
  <si>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</si>
  <si>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</si>
  <si>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</si>
  <si>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</si>
  <si>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</si>
  <si>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</si>
  <si>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</si>
  <si>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</si>
  <si>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</si>
  <si>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</si>
  <si>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</si>
  <si>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</si>
  <si>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</si>
  <si>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</si>
  <si>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</si>
  <si>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</si>
  <si>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</si>
  <si>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</si>
  <si>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</si>
  <si>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</si>
  <si>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HR</t>
  </si>
  <si>
    <t>Croatia</t>
  </si>
  <si>
    <t>Aviation - HR - Croatia</t>
  </si>
  <si>
    <t>Activity.Mpkm.HR.Tr.Avia.Passenger</t>
  </si>
  <si>
    <t>Activity.Mpkm.HR.Tr.Avia.Passenger.Domestic</t>
  </si>
  <si>
    <t>Activity.Mpkm.HR.Tr.Avia.Passenger.IntraEEAwUK</t>
  </si>
  <si>
    <t>Activity.Mpkm.HR.Tr.Avia.Passenger.ExtraEEAwUK</t>
  </si>
  <si>
    <t>Activity.Mtkm.HR.Tr.Avia.Freight</t>
  </si>
  <si>
    <t>Activity.Mtkm.HR.Tr.Avia.Freight.Domestic</t>
  </si>
  <si>
    <t>Activity.Mtkm.HR.Tr.Avia.Freight.IntraEEAwUK</t>
  </si>
  <si>
    <t>Activity.Mtkm.HR.Tr.Avia.Freight.ExtraEEAwUK</t>
  </si>
  <si>
    <t>VehicleKm.Mkm.HR.Tr.Avia</t>
  </si>
  <si>
    <t>VehicleKm.Mkm.HR.Tr.Avia.Passenger</t>
  </si>
  <si>
    <t>VehicleKm.Mkm.HR.Tr.Avia.Passenger.Domestic</t>
  </si>
  <si>
    <t>VehicleKm.Mkm.HR.Tr.Avia.Passenger.IntraEEAwUK</t>
  </si>
  <si>
    <t>VehicleKm.Mkm.HR.Tr.Avia.Passenger.ExtraEEAwUK</t>
  </si>
  <si>
    <t>VehicleKm.Mkm.HR.Tr.Avia.Freight</t>
  </si>
  <si>
    <t>VehicleKm.Mkm.HR.Tr.Avia.Freight.Domestic</t>
  </si>
  <si>
    <t>VehicleKm.Mkm.HR.Tr.Avia.Freight.IntraEEAwUK</t>
  </si>
  <si>
    <t>VehicleKm.Mkm.HR.Tr.Avia.Freight.ExtraEEAwUK</t>
  </si>
  <si>
    <t>Flights.number.HR.Tr.Avia</t>
  </si>
  <si>
    <t>Flights.number.HR.Tr.Avia.Passenger</t>
  </si>
  <si>
    <t>Flights.number.HR.Tr.Avia.Passenger.Domestic</t>
  </si>
  <si>
    <t>Flights.number.HR.Tr.Avia.Passenger.IntraEEAwUK</t>
  </si>
  <si>
    <t>Flights.number.HR.Tr.Avia.Passenger.ExtraEEAwUK</t>
  </si>
  <si>
    <t>Flights.number.HR.Tr.Avia.Freight</t>
  </si>
  <si>
    <t>Flights.number.HR.Tr.Avia.Freight.Domestic</t>
  </si>
  <si>
    <t>Flights.number.HR.Tr.Avia.Freight.IntraEEAwUK</t>
  </si>
  <si>
    <t>Flights.number.HR.Tr.Avia.Freight.ExtraEEAwUK</t>
  </si>
  <si>
    <t>VolCarried.passenger.HR.Tr.Avia.Passenger</t>
  </si>
  <si>
    <t>VolCarried.passenger.HR.Tr.Avia.Passenger.Domestic</t>
  </si>
  <si>
    <t>VolCarried.passenger.HR.Tr.Avia.Passenger.IntraEEAwUK</t>
  </si>
  <si>
    <t>VolCarried.passenger.HR.Tr.Avia.Passenger.ExtraEEAwUK</t>
  </si>
  <si>
    <t>VolCarried.t.HR.Tr.Avia.Freight</t>
  </si>
  <si>
    <t>VolCarried.t.HR.Tr.Avia.Freight.Domestic</t>
  </si>
  <si>
    <t>VolCarried.t.HR.Tr.Avia.Freight.IntraEEAwUK</t>
  </si>
  <si>
    <t>VolCarried.t.HR.Tr.Avia.Freight.ExtraEEAwUK</t>
  </si>
  <si>
    <t>Stock.number.HR.Tr.Avia</t>
  </si>
  <si>
    <t>Stock.number.HR.Tr.Avia.Passenger</t>
  </si>
  <si>
    <t>Stock.number.HR.Tr.Avia.Passenger.Domestic</t>
  </si>
  <si>
    <t>Stock.number.HR.Tr.Avia.Passenger.IntraEEAwUK</t>
  </si>
  <si>
    <t>Stock.number.HR.Tr.Avia.Passenger.ExtraEEAwUK</t>
  </si>
  <si>
    <t>Stock.number.HR.Tr.Avia.Freight</t>
  </si>
  <si>
    <t>Stock.number.HR.Tr.Avia.Freight.Domestic</t>
  </si>
  <si>
    <t>Stock.number.HR.Tr.Avia.Freight.IntraEEAwUK</t>
  </si>
  <si>
    <t>Stock.number.HR.Tr.Avia.Freight.ExtraEEAwUK</t>
  </si>
  <si>
    <t>StockNew.number.HR.Tr.Avia</t>
  </si>
  <si>
    <t>StockNew.number.HR.Tr.Avia.Passenger</t>
  </si>
  <si>
    <t>StockNew.number.HR.Tr.Avia.Passenger.Domestic</t>
  </si>
  <si>
    <t>StockNew.number.HR.Tr.Avia.Passenger.IntraEEAwUK</t>
  </si>
  <si>
    <t>StockNew.number.HR.Tr.Avia.Passenger.ExtraEEAwUK</t>
  </si>
  <si>
    <t>StockNew.number.HR.Tr.Avia.Freight</t>
  </si>
  <si>
    <t>StockNew.number.HR.Tr.Avia.Freight.Domestic</t>
  </si>
  <si>
    <t>StockNew.number.HR.Tr.Avia.Freight.IntraEEAwUK</t>
  </si>
  <si>
    <t>StockNew.number.HR.Tr.Avia.Freight.ExtraEEAwUK</t>
  </si>
  <si>
    <t>Load.passenger_per_movement.HR.Tr.Avia.Passenger</t>
  </si>
  <si>
    <t>Load.passenger_per_movement.HR.Tr.Avia.Passenger.Domestic</t>
  </si>
  <si>
    <t>Load.passenger_per_movement.HR.Tr.Avia.Passenger.IntraEEAwUK</t>
  </si>
  <si>
    <t>Load.passenger_per_movement.HR.Tr.Avia.Passenger.ExtraEEAwUK</t>
  </si>
  <si>
    <t>Load.t_per_movement.HR.Tr.Avia.Freight</t>
  </si>
  <si>
    <t>Load.t_per_movement.HR.Tr.Avia.Freight.Domestic</t>
  </si>
  <si>
    <t>Load.t_per_movement.HR.Tr.Avia.Freight.IntraEEAwUK</t>
  </si>
  <si>
    <t>Load.t_per_movement.HR.Tr.Avia.Freight.ExtraEEAwUK</t>
  </si>
  <si>
    <t>VehicleKm_per_flight.km.HR.Tr.Avia</t>
  </si>
  <si>
    <t>VehicleKm_per_flight.km.HR.Tr.Avia.Passenger</t>
  </si>
  <si>
    <t>VehicleKm_per_flight.km.HR.Tr.Avia.Passenger.Domestic</t>
  </si>
  <si>
    <t>VehicleKm_per_flight.km.HR.Tr.Avia.Passenger.IntraEEAwUK</t>
  </si>
  <si>
    <t>VehicleKm_per_flight.km.HR.Tr.Avia.Passenger.ExtraEEAwUK</t>
  </si>
  <si>
    <t>VehicleKm_per_flight.km.HR.Tr.Avia.Freight</t>
  </si>
  <si>
    <t>VehicleKm_per_flight.km.HR.Tr.Avia.Freight.Domestic</t>
  </si>
  <si>
    <t>VehicleKm_per_flight.km.HR.Tr.Avia.Freight.IntraEEAwUK</t>
  </si>
  <si>
    <t>VehicleKm_per_flight.km.HR.Tr.Avia.Freight.ExtraEEAwUK</t>
  </si>
  <si>
    <t>Activity_per_flight.pkm.HR.Tr.Avia.Passenger</t>
  </si>
  <si>
    <t>Activity_per_flight.pkm.HR.Tr.Avia.Passenger.Domestic</t>
  </si>
  <si>
    <t>Activity_per_flight.pkm.HR.Tr.Avia.Passenger.IntraEEAwUK</t>
  </si>
  <si>
    <t>Activity_per_flight.pkm.HR.Tr.Avia.Passenger.ExtraEEAwUK</t>
  </si>
  <si>
    <t>Activity_per_flight.tkm.HR.Tr.Avia.Freight</t>
  </si>
  <si>
    <t>Activity_per_flight.tkm.HR.Tr.Avia.Freight.Domestic</t>
  </si>
  <si>
    <t>Activity_per_flight.tkm.HR.Tr.Avia.Freight.IntraEEAwUK</t>
  </si>
  <si>
    <t>Activity_per_flight.tkm.HR.Tr.Avia.Freight.ExtraEEAwUK</t>
  </si>
  <si>
    <t>Flights_per_vehicle.number.HR.Tr.Avia</t>
  </si>
  <si>
    <t>Flights_per_vehicle.number.HR.Tr.Avia.Passenger</t>
  </si>
  <si>
    <t>Flights_per_vehicle.number.HR.Tr.Avia.Passenger.Domestic</t>
  </si>
  <si>
    <t>Flights_per_vehicle.number.HR.Tr.Avia.Passenger.IntraEEAwUK</t>
  </si>
  <si>
    <t>Flights_per_vehicle.number.HR.Tr.Avia.Passenger.ExtraEEAwUK</t>
  </si>
  <si>
    <t>Flights_per_vehicle.number.HR.Tr.Avia.Freight</t>
  </si>
  <si>
    <t>Flights_per_vehicle.number.HR.Tr.Avia.Freight.Domestic</t>
  </si>
  <si>
    <t>Flights_per_vehicle.number.HR.Tr.Avia.Freight.IntraEEAwUK</t>
  </si>
  <si>
    <t>Flights_per_vehicle.number.HR.Tr.Avia.Freight.ExtraEEAwUK</t>
  </si>
  <si>
    <t>Aviation / energy consumption - HR - Croatia</t>
  </si>
  <si>
    <t>FEC.ktoe.HR.Tr.Avia</t>
  </si>
  <si>
    <t>FEC.ktoe.HR.Tr.Avia.Domestic</t>
  </si>
  <si>
    <t>FEC.ktoe.HR.Tr.Avia.International</t>
  </si>
  <si>
    <t>FEC.ktoe.HR.Tr.Avia.Passenger</t>
  </si>
  <si>
    <t>FEC.ktoe.HR.Tr.Avia.Passenger.Domestic</t>
  </si>
  <si>
    <t>FEC.ktoe.HR.Tr.Avia.Passenger.IntraEEAwUK</t>
  </si>
  <si>
    <t>FEC.ktoe.HR.Tr.Avia.Passenger.ExtraEEAwUK</t>
  </si>
  <si>
    <t>FEC.ktoe.HR.Tr.Avia.Freight</t>
  </si>
  <si>
    <t>FEC.ktoe.HR.Tr.Avia.Freight.Domestic</t>
  </si>
  <si>
    <t>FEC.ktoe.HR.Tr.Avia.Freight.IntraEEAwUK</t>
  </si>
  <si>
    <t>FEC.ktoe.HR.Tr.Avia.Freight.ExtraEEAwUK</t>
  </si>
  <si>
    <t>Eff.kgoe_per_100km.HR.Tr.Avia</t>
  </si>
  <si>
    <t>Eff.kgoe_per_100km.HR.Tr.Avia.Passenger</t>
  </si>
  <si>
    <t>Eff.kgoe_per_100km.HR.Tr.Avia.Passenger.Domestic</t>
  </si>
  <si>
    <t>Eff.kgoe_per_100km.HR.Tr.Avia.Passenger.IntraEEAwUK</t>
  </si>
  <si>
    <t>Eff.kgoe_per_100km.HR.Tr.Avia.Passenger.ExtraEEAwUK</t>
  </si>
  <si>
    <t>Eff.kgoe_per_100km.HR.Tr.Avia.Freight</t>
  </si>
  <si>
    <t>Eff.kgoe_per_100km.HR.Tr.Avia.Freight.Domestic</t>
  </si>
  <si>
    <t>Eff.kgoe_per_100km.HR.Tr.Avia.Freight.IntraEEAwUK</t>
  </si>
  <si>
    <t>Eff.kgoe_per_100km.HR.Tr.Avia.Freight.ExtraEEAwUK</t>
  </si>
  <si>
    <t>Eff.kgoe_per_kpkm.HR.Tr.Avia.Passenger</t>
  </si>
  <si>
    <t>Eff.kgoe_per_kpkm.HR.Tr.Avia.Passenger.Domestic</t>
  </si>
  <si>
    <t>Eff.kgoe_per_kpkm.HR.Tr.Avia.Passenger.IntraEEAwUK</t>
  </si>
  <si>
    <t>Eff.kgoe_per_kpkm.HR.Tr.Avia.Passenger.ExtraEEAwUK</t>
  </si>
  <si>
    <t>Eff.kgoe_per_ktkm.HR.Tr.Avia.Freight</t>
  </si>
  <si>
    <t>Eff.kgoe_per_ktkm.HR.Tr.Avia.Freight.Domestic</t>
  </si>
  <si>
    <t>Eff.kgoe_per_ktkm.HR.Tr.Avia.Freight.IntraEEAwUK</t>
  </si>
  <si>
    <t>Eff.kgoe_per_ktkm.HR.Tr.Avia.Freight.ExtraEEAwUK</t>
  </si>
  <si>
    <t>FEC_per_flight.kgoe.HR.Tr.Avia</t>
  </si>
  <si>
    <t>FEC_per_flight.kgoe.HR.Tr.Avia.Passenger</t>
  </si>
  <si>
    <t>FEC_per_flight.kgoe.HR.Tr.Avia.Passenger.Domestic</t>
  </si>
  <si>
    <t>FEC_per_flight.kgoe.HR.Tr.Avia.Passenger.IntraEEAwUK</t>
  </si>
  <si>
    <t>FEC_per_flight.kgoe.HR.Tr.Avia.Passenger.ExtraEEAwUK</t>
  </si>
  <si>
    <t>FEC_per_flight.kgoe.HR.Tr.Avia.Freight</t>
  </si>
  <si>
    <t>FEC_per_flight.kgoe.HR.Tr.Avia.Freight.Domestic</t>
  </si>
  <si>
    <t>FEC_per_flight.kgoe.HR.Tr.Avia.Freight.IntraEEAwUK</t>
  </si>
  <si>
    <t>FEC_per_flight.kgoe.HR.Tr.Avia.Freight.ExtraEEAwUK</t>
  </si>
  <si>
    <t>Eff_theor.kgoe_per_100km.HR.Tr.Avia</t>
  </si>
  <si>
    <t>Eff_theor.kgoe_per_100km.HR.Tr.Avia.Passenger</t>
  </si>
  <si>
    <t>Eff_theor.kgoe_per_100km.HR.Tr.Avia.Passenger.Domestic</t>
  </si>
  <si>
    <t>Eff_theor.kgoe_per_100km.HR.Tr.Avia.Passenger.IntraEEAwUK</t>
  </si>
  <si>
    <t>Eff_theor.kgoe_per_100km.HR.Tr.Avia.Passenger.ExtraEEAwUK</t>
  </si>
  <si>
    <t>Eff_theor.kgoe_per_100km.HR.Tr.Avia.Freight</t>
  </si>
  <si>
    <t>Eff_theor.kgoe_per_100km.HR.Tr.Avia.Freight.Domestic</t>
  </si>
  <si>
    <t>Eff_theor.kgoe_per_100km.HR.Tr.Avia.Freight.IntraEEAwUK</t>
  </si>
  <si>
    <t>Eff_theor.kgoe_per_100km.HR.Tr.Avia.Freight.ExtraEEAwUK</t>
  </si>
  <si>
    <t>Aviation / CO2 emissions - HR - Croatia</t>
  </si>
  <si>
    <t>EMI.ktCO2.HR.Tr.Avia</t>
  </si>
  <si>
    <t>EMI.ktCO2.HR.Tr.Avia.Domestic</t>
  </si>
  <si>
    <t>EMI.ktCO2.HR.Tr.Avia.International</t>
  </si>
  <si>
    <t>EMI.ktCO2.HR.Tr.Avia.Passenger</t>
  </si>
  <si>
    <t>EMI.ktCO2.HR.Tr.Avia.Passenger.Domestic</t>
  </si>
  <si>
    <t>EMI.ktCO2.HR.Tr.Avia.Passenger.IntraEEAwUK</t>
  </si>
  <si>
    <t>EMI.ktCO2.HR.Tr.Avia.Passenger.ExtraEEAwUK</t>
  </si>
  <si>
    <t>EMI.ktCO2.HR.Tr.Avia.Freight</t>
  </si>
  <si>
    <t>EMI.ktCO2.HR.Tr.Avia.Freight.Domestic</t>
  </si>
  <si>
    <t>EMI.ktCO2.HR.Tr.Avia.Freight.IntraEEAwUK</t>
  </si>
  <si>
    <t>EMI.ktCO2.HR.Tr.Avia.Freight.ExtraEEAwUK</t>
  </si>
  <si>
    <t>EMIint.gCO2_per_km.HR.Tr.Avia</t>
  </si>
  <si>
    <t>EMIint.gCO2_per_km.HR.Tr.Avia.Passenger</t>
  </si>
  <si>
    <t>EMIint.gCO2_per_km.HR.Tr.Avia.Passenger.Domestic</t>
  </si>
  <si>
    <t>EMIint.gCO2_per_km.HR.Tr.Avia.Passenger.IntraEEAwUK</t>
  </si>
  <si>
    <t>EMIint.gCO2_per_km.HR.Tr.Avia.Passenger.ExtraEEAwUK</t>
  </si>
  <si>
    <t>EMIint.gCO2_per_km.HR.Tr.Avia.Freight</t>
  </si>
  <si>
    <t>EMIint.gCO2_per_km.HR.Tr.Avia.Freight.Domestic</t>
  </si>
  <si>
    <t>EMIint.gCO2_per_km.HR.Tr.Avia.Freight.IntraEEAwUK</t>
  </si>
  <si>
    <t>EMIint.gCO2_per_km.HR.Tr.Avia.Freight.ExtraEEAwUK</t>
  </si>
  <si>
    <t>EMIint.gCO2_per_pkm.HR.Tr.Avia.Passenger</t>
  </si>
  <si>
    <t>EMIint.gCO2_per_pkm.HR.Tr.Avia.Passenger.Domestic</t>
  </si>
  <si>
    <t>EMIint.gCO2_per_pkm.HR.Tr.Avia.Passenger.IntraEEAwUK</t>
  </si>
  <si>
    <t>EMIint.gCO2_per_pkm.HR.Tr.Avia.Passenger.ExtraEEAwUK</t>
  </si>
  <si>
    <t>EMIint.gCO2_per_tkm.HR.Tr.Avia.Freight</t>
  </si>
  <si>
    <t>EMIint.gCO2_per_tkm.HR.Tr.Avia.Freight.Domestic</t>
  </si>
  <si>
    <t>EMIint.gCO2_per_tkm.HR.Tr.Avia.Freight.IntraEEAwUK</t>
  </si>
  <si>
    <t>EMIint.gCO2_per_tkm.HR.Tr.Avia.Freight.ExtraEEAwUK</t>
  </si>
  <si>
    <t>EMI_per_flight.kgCO2.HR.Tr.Avia</t>
  </si>
  <si>
    <t>EMI_per_flight.kgCO2.HR.Tr.Avia.Passenger</t>
  </si>
  <si>
    <t>EMI_per_flight.kgCO2.HR.Tr.Avia.Passenger.Domestic</t>
  </si>
  <si>
    <t>EMI_per_flight.kgCO2.HR.Tr.Avia.Passenger.IntraEEAwUK</t>
  </si>
  <si>
    <t>EMI_per_flight.kgCO2.HR.Tr.Avia.Passenger.ExtraEEAwUK</t>
  </si>
  <si>
    <t>EMI_per_flight.kgCO2.HR.Tr.Avia.Freight</t>
  </si>
  <si>
    <t>EMI_per_flight.kgCO2.HR.Tr.Avia.Freight.Domestic</t>
  </si>
  <si>
    <t>EMI_per_flight.kgCO2.HR.Tr.Avia.Freight.IntraEEAwUK</t>
  </si>
  <si>
    <t>EMI_per_flight.kgCO2.HR.Tr.Avia.Freight.ExtraEEAwUK</t>
  </si>
  <si>
    <t>Aviation / passenger transport specific data - HR - Croatia</t>
  </si>
  <si>
    <t>TrCap.seats.HR.Tr.Avia.Passenger</t>
  </si>
  <si>
    <t>TrCap.seats.HR.Tr.Avia.Passenger.Domestic</t>
  </si>
  <si>
    <t>TrCap.seats.HR.Tr.Avia.Passenger.IntraEEAwUK</t>
  </si>
  <si>
    <t>TrCap.seats.HR.Tr.Avia.Passenger.ExtraEEAwUK</t>
  </si>
  <si>
    <t>TrCap_per_flight.seats.HR.Tr.Avia.Passenger</t>
  </si>
  <si>
    <t>TrCap_per_flight.seats.HR.Tr.Avia.Passenger.Domestic</t>
  </si>
  <si>
    <t>TrCap_per_flight.seats.HR.Tr.Avia.Passenger.IntraEEAwUK</t>
  </si>
  <si>
    <t>TrCap_per_flight.seats.HR.Tr.Avia.Passenger.ExtraEEAwUK</t>
  </si>
  <si>
    <t>Transport overview - HR - Croatia</t>
  </si>
  <si>
    <t>Activity.Mpkm.HR.Tr</t>
  </si>
  <si>
    <t>Activity.Mpkm.HR.Tr.Road.Passenger</t>
  </si>
  <si>
    <t>Activity.Mpkm.HR.Tr.Road.Passenger.P2W</t>
  </si>
  <si>
    <t>Activity.Mpkm.HR.Tr.Road.Passenger.Car</t>
  </si>
  <si>
    <t>Activity.Mpkm.HR.Tr.Road.Passenger.Bus</t>
  </si>
  <si>
    <t>Activity.Mpkm.HR.Tr.Rail.Passenger</t>
  </si>
  <si>
    <t>Activity.Mpkm.HR.Tr.Rail.Passenger.MTU</t>
  </si>
  <si>
    <t>Activity.Mpkm.HR.Tr.Rail.Passenger.CPT</t>
  </si>
  <si>
    <t>Activity.Mpkm.HR.Tr.Rail.Passenger.HST</t>
  </si>
  <si>
    <t>Activity.Mtkm.HR.Tr</t>
  </si>
  <si>
    <t>Activity.Mtkm.HR.Tr.Road.Freight</t>
  </si>
  <si>
    <t>Activity.Mtkm.HR.Tr.Road.Freight.LCV</t>
  </si>
  <si>
    <t>Activity.Mtkm.HR.Tr.Road.Freight.HGV</t>
  </si>
  <si>
    <t>Activity.Mtkm.HR.Tr.Rail.Freight</t>
  </si>
  <si>
    <t>Activity.Mtkm.HR.Tr.DNavi.Freight</t>
  </si>
  <si>
    <t>Activity.Mtkm.HR.Tr.DNavi.Freight.DCS</t>
  </si>
  <si>
    <t>Activity.Mtkm.HR.Tr.DNavi.Freight.IWW</t>
  </si>
  <si>
    <t>Activity.Mtkm.HR.MBunk.Freight</t>
  </si>
  <si>
    <t>Activity.Mtkm.HR.MBunk.Freight.IntraEEA</t>
  </si>
  <si>
    <t>Activity.Mtkm.HR.MBunk.Freight.ExtraEEA</t>
  </si>
  <si>
    <t>FEC.ktoe.HR.Tr.Road.Passenger</t>
  </si>
  <si>
    <t>FEC.ktoe.HR.Tr.Road.Passenger.P2W</t>
  </si>
  <si>
    <t>FEC.ktoe.HR.Tr.Road.Passenger.Car</t>
  </si>
  <si>
    <t>FEC.ktoe.HR.Tr.Road.Passenger.Bus</t>
  </si>
  <si>
    <t>FEC.ktoe.HR.Tr.Rail.Passenger</t>
  </si>
  <si>
    <t>FEC.ktoe.HR.Tr.Rail.Passenger.MTU</t>
  </si>
  <si>
    <t>FEC.ktoe.HR.Tr.Rail.Passenger.CPT</t>
  </si>
  <si>
    <t>FEC.ktoe.HR.Tr.Rail.Passenger.HST</t>
  </si>
  <si>
    <t>FEC.ktoe.HR.Tr.Road.Freight</t>
  </si>
  <si>
    <t>FEC.ktoe.HR.Tr.Road.Freight.LCV</t>
  </si>
  <si>
    <t>FEC.ktoe.HR.Tr.Road.Freight.HGV</t>
  </si>
  <si>
    <t>FEC.ktoe.HR.Tr.Rail.Freight</t>
  </si>
  <si>
    <t>EMI.ktCO2.HR.Tr.Road.Passenger</t>
  </si>
  <si>
    <t>EMI.ktCO2.HR.Tr.Road.Passenger.P2W</t>
  </si>
  <si>
    <t>EMI.ktCO2.HR.Tr.Road.Passenger.Car</t>
  </si>
  <si>
    <t>EMI.ktCO2.HR.Tr.Road.Passenger.Bus</t>
  </si>
  <si>
    <t>EMI.ktCO2.HR.Tr.Rail.Passenger</t>
  </si>
  <si>
    <t>EMI.ktCO2.HR.Tr.Rail.Passenger.MTU</t>
  </si>
  <si>
    <t>EMI.ktCO2.HR.Tr.Rail.Passenger.CPT</t>
  </si>
  <si>
    <t>EMI.ktCO2.HR.Tr.Rail.Passenger.HST</t>
  </si>
  <si>
    <t>EMI.ktCO2.HR.Tr.Road.Freight</t>
  </si>
  <si>
    <t>EMI.ktCO2.HR.Tr.Road.Freight.LCV</t>
  </si>
  <si>
    <t>EMI.ktCO2.HR.Tr.Road.Freight.HGV</t>
  </si>
  <si>
    <t>EMI.ktCO2.HR.Tr.Rail.Freight</t>
  </si>
  <si>
    <t>Eff.kgoe_per_kpkm.HR.Tr</t>
  </si>
  <si>
    <t>Eff.kgoe_per_kpkm.HR.Tr.Road.Passenger</t>
  </si>
  <si>
    <t>Eff.kgoe_per_kpkm.HR.Tr.Road.Passenger.P2W</t>
  </si>
  <si>
    <t>Eff.kgoe_per_kpkm.HR.Tr.Road.Passenger.Car</t>
  </si>
  <si>
    <t>Eff.kgoe_per_kpkm.HR.Tr.Road.Passenger.Bus</t>
  </si>
  <si>
    <t>Eff.kgoe_per_kpkm.HR.Tr.Rail.Passenger</t>
  </si>
  <si>
    <t>Eff.kgoe_per_kpkm.HR.Tr.Rail.Passenger.MTU</t>
  </si>
  <si>
    <t>Eff.kgoe_per_kpkm.HR.Tr.Rail.Passenger.CPT</t>
  </si>
  <si>
    <t>Eff.kgoe_per_kpkm.HR.Tr.Rail.Passenger.HST</t>
  </si>
  <si>
    <t>Eff.kgoe_per_ktkm.HR.Tr</t>
  </si>
  <si>
    <t>Eff.kgoe_per_ktkm.HR.Tr.Road.Freight</t>
  </si>
  <si>
    <t>Eff.kgoe_per_ktkm.HR.Tr.Road.Freight.LCV</t>
  </si>
  <si>
    <t>Eff.kgoe_per_ktkm.HR.Tr.Road.Freight.HGV</t>
  </si>
  <si>
    <t>Eff.kgoe_per_ktkm.HR.Tr.Rail.Freight</t>
  </si>
  <si>
    <t>Eff.kgoe_per_ktkm.HR.Tr.DNavi.Freight</t>
  </si>
  <si>
    <t>Eff.kgoe_per_ktkm.HR.Tr.DNavi.Freight.DCS</t>
  </si>
  <si>
    <t>Eff.kgoe_per_ktkm.HR.Tr.DNavi.Freight.IWW</t>
  </si>
  <si>
    <t>Eff.kgoe_per_ktkm.HR.MBunk.Freight</t>
  </si>
  <si>
    <t>Eff.kgoe_per_ktkm.HR.MBunk.Freight.IntraEEA</t>
  </si>
  <si>
    <t>Eff.kgoe_per_ktkm.HR.MBunk.Freight.ExtraEEA</t>
  </si>
  <si>
    <t>EMIint.gCO2_per_pkm.HR.Tr</t>
  </si>
  <si>
    <t>EMIint.gCO2_per_pkm.HR.Tr.Road.Passenger</t>
  </si>
  <si>
    <t>EMIint.gCO2_per_pkm.HR.Tr.Road.Passenger.P2W</t>
  </si>
  <si>
    <t>EMIint.gCO2_per_pkm.HR.Tr.Road.Passenger.Car</t>
  </si>
  <si>
    <t>EMIint.gCO2_per_pkm.HR.Tr.Road.Passenger.Bus</t>
  </si>
  <si>
    <t>EMIint.gCO2_per_pkm.HR.Tr.Rail.Passenger</t>
  </si>
  <si>
    <t>EMIint.gCO2_per_pkm.HR.Tr.Rail.Passenger.MTU</t>
  </si>
  <si>
    <t>EMIint.gCO2_per_pkm.HR.Tr.Rail.Passenger.CPT</t>
  </si>
  <si>
    <t>EMIint.gCO2_per_pkm.HR.Tr.Rail.Passenger.HST</t>
  </si>
  <si>
    <t>EMIint.gCO2_per_tkm.HR.Tr</t>
  </si>
  <si>
    <t>EMIint.gCO2_per_tkm.HR.Tr.Road.Freight</t>
  </si>
  <si>
    <t>EMIint.gCO2_per_tkm.HR.Tr.Road.Freight.LCV</t>
  </si>
  <si>
    <t>EMIint.gCO2_per_tkm.HR.Tr.Road.Freight.HGV</t>
  </si>
  <si>
    <t>EMIint.gCO2_per_tkm.HR.Tr.Rail.Freight</t>
  </si>
  <si>
    <t>EMIint.gCO2_per_tkm.HR.Tr.DNavi.Freight</t>
  </si>
  <si>
    <t>EMIint.gCO2_per_tkm.HR.Tr.DNavi.Freight.DCS</t>
  </si>
  <si>
    <t>EMIint.gCO2_per_tkm.HR.Tr.DNavi.Freight.IWW</t>
  </si>
  <si>
    <t>EMIint.gCO2_per_tkm.HR.MBunk.Freight</t>
  </si>
  <si>
    <t>EMIint.gCO2_per_tkm.HR.MBunk.Freight.IntraEEA</t>
  </si>
  <si>
    <t>EMIint.gCO2_per_tkm.HR.MBunk.Freight.ExtraEEA</t>
  </si>
  <si>
    <t>Road transport - HR - Croatia</t>
  </si>
  <si>
    <t>Activity.Mpkm.HR.Tr.Road.Passenger.Car.ICE.Gasoline</t>
  </si>
  <si>
    <t>Activity.Mpkm.HR.Tr.Road.Passenger.Car.ICE.Diesel</t>
  </si>
  <si>
    <t>Activity.Mpkm.HR.Tr.Road.Passenger.Car.ICE.LPG</t>
  </si>
  <si>
    <t>Activity.Mpkm.HR.Tr.Road.Passenger.Car.ICE.NGas</t>
  </si>
  <si>
    <t>Activity.Mpkm.HR.Tr.Road.Passenger.Car.PHEV</t>
  </si>
  <si>
    <t>Activity.Mpkm.HR.Tr.Road.Passenger.Car.BEV</t>
  </si>
  <si>
    <t>Activity.Mpkm.HR.Tr.Road.Passenger.Bus.ICE.Gasoline</t>
  </si>
  <si>
    <t>Activity.Mpkm.HR.Tr.Road.Passenger.Bus.ICE.Diesel</t>
  </si>
  <si>
    <t>Activity.Mpkm.HR.Tr.Road.Passenger.Bus.ICE.LPG</t>
  </si>
  <si>
    <t>Activity.Mpkm.HR.Tr.Road.Passenger.Bus.ICE.NGas</t>
  </si>
  <si>
    <t>Activity.Mpkm.HR.Tr.Road.Passenger.Bus.ICE.BEV</t>
  </si>
  <si>
    <t>Activity.Mtkm.HR.Tr.Road.Freight.LCV.ICE.Gasoline</t>
  </si>
  <si>
    <t>Activity.Mtkm.HR.Tr.Road.Freight.LCV.ICE.Diesel</t>
  </si>
  <si>
    <t>Activity.Mtkm.HR.Tr.Road.Freight.LCV.ICE.LPG</t>
  </si>
  <si>
    <t>Activity.Mtkm.HR.Tr.Road.Freight.LCV.ICE.NGas</t>
  </si>
  <si>
    <t>Activity.Mtkm.HR.Tr.Road.Freight.LCV.ICE.BEV</t>
  </si>
  <si>
    <t>Activity.Mtkm.HR.Tr.Road.Freight.HGV.Domestic</t>
  </si>
  <si>
    <t>Activity.Mtkm.HR.Tr.Road.Freight.HGV.International</t>
  </si>
  <si>
    <t>VehicleKm.Mkm.HR.Tr.Road</t>
  </si>
  <si>
    <t>VehicleKm.Mkm.HR.Tr.Road.Passenger</t>
  </si>
  <si>
    <t>VehicleKm.Mkm.HR.Tr.Road.Passenger.P2W</t>
  </si>
  <si>
    <t>VehicleKm.Mkm.HR.Tr.Road.Passenger.Car</t>
  </si>
  <si>
    <t>VehicleKm.Mkm.HR.Tr.Road.Passenger.Car.ICE.Gasoline</t>
  </si>
  <si>
    <t>VehicleKm.Mkm.HR.Tr.Road.Passenger.Car.ICE.Diesel</t>
  </si>
  <si>
    <t>VehicleKm.Mkm.HR.Tr.Road.Passenger.Car.ICE.LPG</t>
  </si>
  <si>
    <t>VehicleKm.Mkm.HR.Tr.Road.Passenger.Car.ICE.NGas</t>
  </si>
  <si>
    <t>VehicleKm.Mkm.HR.Tr.Road.Passenger.Car.PHEV</t>
  </si>
  <si>
    <t>VehicleKm.Mkm.HR.Tr.Road.Passenger.Car.BEV</t>
  </si>
  <si>
    <t>VehicleKm.Mkm.HR.Tr.Road.Passenger.Bus</t>
  </si>
  <si>
    <t>VehicleKm.Mkm.HR.Tr.Road.Passenger.Bus.ICE.Gasoline</t>
  </si>
  <si>
    <t>VehicleKm.Mkm.HR.Tr.Road.Passenger.Bus.ICE.Diesel</t>
  </si>
  <si>
    <t>VehicleKm.Mkm.HR.Tr.Road.Passenger.Bus.ICE.LPG</t>
  </si>
  <si>
    <t>VehicleKm.Mkm.HR.Tr.Road.Passenger.Bus.ICE.NGas</t>
  </si>
  <si>
    <t>VehicleKm.Mkm.HR.Tr.Road.Passenger.Bus.ICE.BEV</t>
  </si>
  <si>
    <t>VehicleKm.Mkm.HR.Tr.Road.Freight</t>
  </si>
  <si>
    <t>VehicleKm.Mkm.HR.Tr.Road.Freight.LCV</t>
  </si>
  <si>
    <t>VehicleKm.Mkm.HR.Tr.Road.Freight.LCV.ICE.Gasoline</t>
  </si>
  <si>
    <t>VehicleKm.Mkm.HR.Tr.Road.Freight.LCV.ICE.Diesel</t>
  </si>
  <si>
    <t>VehicleKm.Mkm.HR.Tr.Road.Freight.LCV.ICE.LPG</t>
  </si>
  <si>
    <t>VehicleKm.Mkm.HR.Tr.Road.Freight.LCV.ICE.NGas</t>
  </si>
  <si>
    <t>VehicleKm.Mkm.HR.Tr.Road.Freight.LCV.ICE.BEV</t>
  </si>
  <si>
    <t>VehicleKm.Mkm.HR.Tr.Road.Freight.HGV</t>
  </si>
  <si>
    <t>VehicleKm.Mkm.HR.Tr.Road.Freight.HGV.Domestic</t>
  </si>
  <si>
    <t>VehicleKm.Mkm.HR.Tr.Road.Freight.HGV.International</t>
  </si>
  <si>
    <t>Stock.number.HR.Tr.Road</t>
  </si>
  <si>
    <t>Stock.number.HR.Tr.Road.Passenger</t>
  </si>
  <si>
    <t>Stock.number.HR.Tr.Road.Passenger.P2W</t>
  </si>
  <si>
    <t>Stock.number.HR.Tr.Road.Passenger.Car</t>
  </si>
  <si>
    <t>Stock.number.HR.Tr.Road.Passenger.Car.ICE.Gasoline</t>
  </si>
  <si>
    <t>Stock.number.HR.Tr.Road.Passenger.Car.ICE.Diesel</t>
  </si>
  <si>
    <t>Stock.number.HR.Tr.Road.Passenger.Car.ICE.LPG</t>
  </si>
  <si>
    <t>Stock.number.HR.Tr.Road.Passenger.Car.ICE.NGas</t>
  </si>
  <si>
    <t>Stock.number.HR.Tr.Road.Passenger.Car.PHEV</t>
  </si>
  <si>
    <t>Stock.number.HR.Tr.Road.Passenger.Car.BEV</t>
  </si>
  <si>
    <t>Stock.number.HR.Tr.Road.Passenger.Bus</t>
  </si>
  <si>
    <t>Stock.number.HR.Tr.Road.Passenger.Bus.ICE.Gasoline</t>
  </si>
  <si>
    <t>Stock.number.HR.Tr.Road.Passenger.Bus.ICE.Diesel</t>
  </si>
  <si>
    <t>Stock.number.HR.Tr.Road.Passenger.Bus.ICE.LPG</t>
  </si>
  <si>
    <t>Stock.number.HR.Tr.Road.Passenger.Bus.ICE.NGas</t>
  </si>
  <si>
    <t>Stock.number.HR.Tr.Road.Passenger.Bus.ICE.BEV</t>
  </si>
  <si>
    <t>Stock.number.HR.Tr.Road.Freight</t>
  </si>
  <si>
    <t>Stock.number.HR.Tr.Road.Freight.LCV</t>
  </si>
  <si>
    <t>Stock.number.HR.Tr.Road.Freight.LCV.ICE.Gasoline</t>
  </si>
  <si>
    <t>Stock.number.HR.Tr.Road.Freight.LCV.ICE.Diesel</t>
  </si>
  <si>
    <t>Stock.number.HR.Tr.Road.Freight.LCV.ICE.LPG</t>
  </si>
  <si>
    <t>Stock.number.HR.Tr.Road.Freight.LCV.ICE.NGas</t>
  </si>
  <si>
    <t>Stock.number.HR.Tr.Road.Freight.LCV.ICE.BEV</t>
  </si>
  <si>
    <t>Stock.number.HR.Tr.Road.Freight.HGV</t>
  </si>
  <si>
    <t>Stock.number.HR.Tr.Road.Freight.HGV.Domestic</t>
  </si>
  <si>
    <t>Stock.number.HR.Tr.Road.Freight.HGV.International</t>
  </si>
  <si>
    <t>StockNew.number.HR.Tr.Road</t>
  </si>
  <si>
    <t>StockNew.number.HR.Tr.Road.Passenger</t>
  </si>
  <si>
    <t>StockNew.number.HR.Tr.Road.Passenger.P2W</t>
  </si>
  <si>
    <t>StockNew.number.HR.Tr.Road.Passenger.Car</t>
  </si>
  <si>
    <t>StockNew.number.HR.Tr.Road.Passenger.Car.ICE.Gasoline</t>
  </si>
  <si>
    <t>StockNew.number.HR.Tr.Road.Passenger.Car.ICE.Diesel</t>
  </si>
  <si>
    <t>StockNew.number.HR.Tr.Road.Passenger.Car.ICE.LPG</t>
  </si>
  <si>
    <t>StockNew.number.HR.Tr.Road.Passenger.Car.ICE.NGas</t>
  </si>
  <si>
    <t>StockNew.number.HR.Tr.Road.Passenger.Car.PHEV</t>
  </si>
  <si>
    <t>StockNew.number.HR.Tr.Road.Passenger.Car.BEV</t>
  </si>
  <si>
    <t>StockNew.number.HR.Tr.Road.Passenger.Bus</t>
  </si>
  <si>
    <t>StockNew.number.HR.Tr.Road.Passenger.Bus.ICE.Gasoline</t>
  </si>
  <si>
    <t>StockNew.number.HR.Tr.Road.Passenger.Bus.ICE.Diesel</t>
  </si>
  <si>
    <t>StockNew.number.HR.Tr.Road.Passenger.Bus.ICE.LPG</t>
  </si>
  <si>
    <t>StockNew.number.HR.Tr.Road.Passenger.Bus.ICE.NGas</t>
  </si>
  <si>
    <t>StockNew.number.HR.Tr.Road.Passenger.Bus.ICE.BEV</t>
  </si>
  <si>
    <t>StockNew.number.HR.Tr.Road.Freight</t>
  </si>
  <si>
    <t>StockNew.number.HR.Tr.Road.Freight.LCV</t>
  </si>
  <si>
    <t>StockNew.number.HR.Tr.Road.Freight.LCV.ICE.Gasoline</t>
  </si>
  <si>
    <t>StockNew.number.HR.Tr.Road.Freight.LCV.ICE.Diesel</t>
  </si>
  <si>
    <t>StockNew.number.HR.Tr.Road.Freight.LCV.ICE.LPG</t>
  </si>
  <si>
    <t>StockNew.number.HR.Tr.Road.Freight.LCV.ICE.NGas</t>
  </si>
  <si>
    <t>StockNew.number.HR.Tr.Road.Freight.LCV.ICE.BEV</t>
  </si>
  <si>
    <t>StockNew.number.HR.Tr.Road.Freight.HGV</t>
  </si>
  <si>
    <t>StockNew.number.HR.Tr.Road.Freight.HGV.Domestic</t>
  </si>
  <si>
    <t>StockNew.number.HR.Tr.Road.Freight.HGV.International</t>
  </si>
  <si>
    <t>Load.passenger_per_movement.HR.Tr.Road.Passenger</t>
  </si>
  <si>
    <t>Load.passenger_per_movement.HR.Tr.Road.Passenger.P2W</t>
  </si>
  <si>
    <t>Load.passenger_per_movement.HR.Tr.Road.Passenger.Car</t>
  </si>
  <si>
    <t>Load.passenger_per_movement.HR.Tr.Road.Passenger.Car.ICE.Gasoline</t>
  </si>
  <si>
    <t>Load.passenger_per_movement.HR.Tr.Road.Passenger.Car.ICE.Diesel</t>
  </si>
  <si>
    <t>Load.passenger_per_movement.HR.Tr.Road.Passenger.Car.ICE.LPG</t>
  </si>
  <si>
    <t>Load.passenger_per_movement.HR.Tr.Road.Passenger.Car.ICE.NGas</t>
  </si>
  <si>
    <t>Load.passenger_per_movement.HR.Tr.Road.Passenger.Car.PHEV</t>
  </si>
  <si>
    <t>Load.passenger_per_movement.HR.Tr.Road.Passenger.Car.BEV</t>
  </si>
  <si>
    <t>Load.passenger_per_movement.HR.Tr.Road.Passenger.Bus</t>
  </si>
  <si>
    <t>Load.passenger_per_movement.HR.Tr.Road.Passenger.Bus.ICE.Gasoline</t>
  </si>
  <si>
    <t>Load.passenger_per_movement.HR.Tr.Road.Passenger.Bus.ICE.Diesel</t>
  </si>
  <si>
    <t>Load.passenger_per_movement.HR.Tr.Road.Passenger.Bus.ICE.LPG</t>
  </si>
  <si>
    <t>Load.passenger_per_movement.HR.Tr.Road.Passenger.Bus.ICE.NGas</t>
  </si>
  <si>
    <t>Load.passenger_per_movement.HR.Tr.Road.Passenger.Bus.ICE.BEV</t>
  </si>
  <si>
    <t>Load.t_per_movement.HR.Tr.Road.Freight</t>
  </si>
  <si>
    <t>Load.t_per_movement.HR.Tr.Road.Freight.LCV</t>
  </si>
  <si>
    <t>Load.t_per_movement.HR.Tr.Road.Freight.LCV.ICE.Gasoline</t>
  </si>
  <si>
    <t>Load.t_per_movement.HR.Tr.Road.Freight.LCV.ICE.Diesel</t>
  </si>
  <si>
    <t>Load.t_per_movement.HR.Tr.Road.Freight.LCV.ICE.LPG</t>
  </si>
  <si>
    <t>Load.t_per_movement.HR.Tr.Road.Freight.LCV.ICE.NGas</t>
  </si>
  <si>
    <t>Load.t_per_movement.HR.Tr.Road.Freight.LCV.ICE.BEV</t>
  </si>
  <si>
    <t>Load.t_per_movement.HR.Tr.Road.Freight.HGV</t>
  </si>
  <si>
    <t>Load.t_per_movement.HR.Tr.Road.Freight.HGV.Domestic</t>
  </si>
  <si>
    <t>Load.t_per_movement.HR.Tr.Road.Freight.HGV.International</t>
  </si>
  <si>
    <t>VehicleKm_per_vehicle.km.HR.Tr.Road</t>
  </si>
  <si>
    <t>VehicleKm_per_vehicle.km.HR.Tr.Road.Passenger</t>
  </si>
  <si>
    <t>VehicleKm_per_vehicle.km.HR.Tr.Road.Passenger.P2W</t>
  </si>
  <si>
    <t>VehicleKm_per_vehicle.km.HR.Tr.Road.Passenger.Car</t>
  </si>
  <si>
    <t>VehicleKm_per_vehicle.km.HR.Tr.Road.Passenger.Car.ICE.Gasoline</t>
  </si>
  <si>
    <t>VehicleKm_per_vehicle.km.HR.Tr.Road.Passenger.Car.ICE.Diesel</t>
  </si>
  <si>
    <t>VehicleKm_per_vehicle.km.HR.Tr.Road.Passenger.Car.ICE.LPG</t>
  </si>
  <si>
    <t>VehicleKm_per_vehicle.km.HR.Tr.Road.Passenger.Car.ICE.NGas</t>
  </si>
  <si>
    <t>VehicleKm_per_vehicle.km.HR.Tr.Road.Passenger.Car.PHEV</t>
  </si>
  <si>
    <t>VehicleKm_per_vehicle.km.HR.Tr.Road.Passenger.Car.BEV</t>
  </si>
  <si>
    <t>VehicleKm_per_vehicle.km.HR.Tr.Road.Passenger.Bus</t>
  </si>
  <si>
    <t>VehicleKm_per_vehicle.km.HR.Tr.Road.Passenger.Bus.ICE.Gasoline</t>
  </si>
  <si>
    <t>VehicleKm_per_vehicle.km.HR.Tr.Road.Passenger.Bus.ICE.Diesel</t>
  </si>
  <si>
    <t>VehicleKm_per_vehicle.km.HR.Tr.Road.Passenger.Bus.ICE.LPG</t>
  </si>
  <si>
    <t>VehicleKm_per_vehicle.km.HR.Tr.Road.Passenger.Bus.ICE.NGas</t>
  </si>
  <si>
    <t>VehicleKm_per_vehicle.km.HR.Tr.Road.Passenger.Bus.ICE.BEV</t>
  </si>
  <si>
    <t>VehicleKm_per_vehicle.km.HR.Tr.Road.Freight</t>
  </si>
  <si>
    <t>VehicleKm_per_vehicle.km.HR.Tr.Road.Freight.LCV</t>
  </si>
  <si>
    <t>VehicleKm_per_vehicle.km.HR.Tr.Road.Freight.LCV.ICE.Gasoline</t>
  </si>
  <si>
    <t>VehicleKm_per_vehicle.km.HR.Tr.Road.Freight.LCV.ICE.Diesel</t>
  </si>
  <si>
    <t>VehicleKm_per_vehicle.km.HR.Tr.Road.Freight.LCV.ICE.LPG</t>
  </si>
  <si>
    <t>VehicleKm_per_vehicle.km.HR.Tr.Road.Freight.LCV.ICE.NGas</t>
  </si>
  <si>
    <t>VehicleKm_per_vehicle.km.HR.Tr.Road.Freight.LCV.ICE.BEV</t>
  </si>
  <si>
    <t>VehicleKm_per_vehicle.km.HR.Tr.Road.Freight.HGV</t>
  </si>
  <si>
    <t>VehicleKm_per_vehicle.km.HR.Tr.Road.Freight.HGV.Domestic</t>
  </si>
  <si>
    <t>VehicleKm_per_vehicle.km.HR.Tr.Road.Freight.HGV.International</t>
  </si>
  <si>
    <t>Activity_per_vehicle.pkm.HR.Tr.Road.Passenger</t>
  </si>
  <si>
    <t>Activity_per_vehicle.pkm.HR.Tr.Road.Passenger.P2W</t>
  </si>
  <si>
    <t>Activity_per_vehicle.pkm.HR.Tr.Road.Passenger.Car</t>
  </si>
  <si>
    <t>Activity_per_vehicle.pkm.HR.Tr.Road.Passenger.Car.ICE.Gasoline</t>
  </si>
  <si>
    <t>Activity_per_vehicle.pkm.HR.Tr.Road.Passenger.Car.ICE.Diesel</t>
  </si>
  <si>
    <t>Activity_per_vehicle.pkm.HR.Tr.Road.Passenger.Car.ICE.LPG</t>
  </si>
  <si>
    <t>Activity_per_vehicle.pkm.HR.Tr.Road.Passenger.Car.ICE.NGas</t>
  </si>
  <si>
    <t>Activity_per_vehicle.pkm.HR.Tr.Road.Passenger.Car.PHEV</t>
  </si>
  <si>
    <t>Activity_per_vehicle.pkm.HR.Tr.Road.Passenger.Car.BEV</t>
  </si>
  <si>
    <t>Activity_per_vehicle.pkm.HR.Tr.Road.Passenger.Bus</t>
  </si>
  <si>
    <t>Activity_per_vehicle.pkm.HR.Tr.Road.Passenger.Bus.ICE.Gasoline</t>
  </si>
  <si>
    <t>Activity_per_vehicle.pkm.HR.Tr.Road.Passenger.Bus.ICE.Diesel</t>
  </si>
  <si>
    <t>Activity_per_vehicle.pkm.HR.Tr.Road.Passenger.Bus.ICE.LPG</t>
  </si>
  <si>
    <t>Activity_per_vehicle.pkm.HR.Tr.Road.Passenger.Bus.ICE.NGas</t>
  </si>
  <si>
    <t>Activity_per_vehicle.pkm.HR.Tr.Road.Passenger.Bus.ICE.BEV</t>
  </si>
  <si>
    <t>Activity_per_vehicle.tkm.HR.Tr.Road.Freight</t>
  </si>
  <si>
    <t>Activity_per_vehicle.tkm.HR.Tr.Road.Freight.LCV</t>
  </si>
  <si>
    <t>Activity_per_vehicle.tkm.HR.Tr.Road.Freight.LCV.ICE.Gasoline</t>
  </si>
  <si>
    <t>Activity_per_vehicle.tkm.HR.Tr.Road.Freight.LCV.ICE.Diesel</t>
  </si>
  <si>
    <t>Activity_per_vehicle.tkm.HR.Tr.Road.Freight.LCV.ICE.LPG</t>
  </si>
  <si>
    <t>Activity_per_vehicle.tkm.HR.Tr.Road.Freight.LCV.ICE.NGas</t>
  </si>
  <si>
    <t>Activity_per_vehicle.tkm.HR.Tr.Road.Freight.LCV.ICE.BEV</t>
  </si>
  <si>
    <t>Activity_per_vehicle.tkm.HR.Tr.Road.Freight.HGV</t>
  </si>
  <si>
    <t>Activity_per_vehicle.tkm.HR.Tr.Road.Freight.HGV.Domestic</t>
  </si>
  <si>
    <t>Activity_per_vehicle.tkm.HR.Tr.Road.Freight.HGV.International</t>
  </si>
  <si>
    <t>Road transport / energy consumption - HR - Croatia</t>
  </si>
  <si>
    <t>FEC.ktoe.HR.ES.Tr.Road</t>
  </si>
  <si>
    <t>FEC.ktoe.HR.ES.Tr.Road.LPG</t>
  </si>
  <si>
    <t>FEC.ktoe.HR.ES.Tr.Road.Gasoline</t>
  </si>
  <si>
    <t>FEC.ktoe.HR.ES.Tr.Road.Diesel</t>
  </si>
  <si>
    <t>FEC.ktoe.HR.ES.Tr.Road.NG</t>
  </si>
  <si>
    <t>FEC.ktoe.HR.ES.Tr.Road.Biogas</t>
  </si>
  <si>
    <t>FEC.ktoe.HR.ES.Tr.Road.Biogasoline</t>
  </si>
  <si>
    <t>FEC.ktoe.HR.ES.Tr.Road.Biodiesel</t>
  </si>
  <si>
    <t>FEC.ktoe.HR.ES.Tr.Road.OthLiqBio</t>
  </si>
  <si>
    <t>FEC.ktoe.HR.ES.Tr.Road.Elec</t>
  </si>
  <si>
    <t>FEC.ktoe.HR.Tr.Road</t>
  </si>
  <si>
    <t>FEC.ktoe.HR.Tr.Road.Passenger.P2W.Biogasoline</t>
  </si>
  <si>
    <t>FEC.ktoe.HR.Tr.Road.Passenger.Car.ICE.Gasoline</t>
  </si>
  <si>
    <t>FEC.ktoe.HR.Tr.Road.Passenger.Car.ICE.Gasoline.Biogasoline</t>
  </si>
  <si>
    <t>FEC.ktoe.HR.Tr.Road.Passenger.Car.ICE.Diesel</t>
  </si>
  <si>
    <t>FEC.ktoe.HR.Tr.Road.Passenger.Car.ICE.Diesel.BioDiesel_OthLiqBio</t>
  </si>
  <si>
    <t>FEC.ktoe.HR.Tr.Road.Passenger.Car.ICE.LPG</t>
  </si>
  <si>
    <t>FEC.ktoe.HR.Tr.Road.Passenger.Car.ICE.NGas</t>
  </si>
  <si>
    <t>FEC.ktoe.HR.Tr.Road.Passenger.Car.ICE.NGas.Biogas</t>
  </si>
  <si>
    <t>FEC.ktoe.HR.Tr.Road.Passenger.Car.PHEV</t>
  </si>
  <si>
    <t>FEC.ktoe.HR.Tr.Road.Passenger.Car.PHEV.Biogasoline</t>
  </si>
  <si>
    <t>FEC.ktoe.HR.Tr.Road.Passenger.Car.PHEV.Elec</t>
  </si>
  <si>
    <t>FEC.ktoe.HR.Tr.Road.Passenger.Car.BEV</t>
  </si>
  <si>
    <t>FEC.ktoe.HR.Tr.Road.Passenger.Bus.ICE.Gasoline</t>
  </si>
  <si>
    <t>FEC.ktoe.HR.Tr.Road.Passenger.Bus.ICE.Gasoline.Biogasoline</t>
  </si>
  <si>
    <t>FEC.ktoe.HR.Tr.Road.Passenger.Bus.ICE.Diesel</t>
  </si>
  <si>
    <t>FEC.ktoe.HR.Tr.Road.Passenger.Bus.ICE.Diesel.BioDiesel_OthLiqBio</t>
  </si>
  <si>
    <t>FEC.ktoe.HR.Tr.Road.Passenger.Bus.ICE.LPG</t>
  </si>
  <si>
    <t>FEC.ktoe.HR.Tr.Road.Passenger.Bus.ICE.NGas</t>
  </si>
  <si>
    <t>FEC.ktoe.HR.Tr.Road.Passenger.Bus.ICE.NGas.Biogas</t>
  </si>
  <si>
    <t>FEC.ktoe.HR.Tr.Road.Passenger.Bus.ICE.BEV</t>
  </si>
  <si>
    <t>FEC.ktoe.HR.Tr.Road.Freight.LCV.ICE.Gasoline</t>
  </si>
  <si>
    <t>FEC.ktoe.HR.Tr.Road.Freight.LCV.ICE.Gasoline.Biogasoline</t>
  </si>
  <si>
    <t>FEC.ktoe.HR.Tr.Road.Freight.LCV.ICE.Diesel</t>
  </si>
  <si>
    <t>FEC.ktoe.HR.Tr.Road.Freight.LCV.ICE.Diesel.BioDiesel_OthLiqBio</t>
  </si>
  <si>
    <t>FEC.ktoe.HR.Tr.Road.Freight.LCV.ICE.LPG</t>
  </si>
  <si>
    <t>FEC.ktoe.HR.Tr.Road.Freight.LCV.ICE.NGas</t>
  </si>
  <si>
    <t>FEC.ktoe.HR.Tr.Road.Freight.LCV.ICE.NGas.Biogas</t>
  </si>
  <si>
    <t>FEC.ktoe.HR.Tr.Road.Freight.LCV.ICE.BEV</t>
  </si>
  <si>
    <t>FEC.ktoe.HR.Tr.Road.Freight.HGV.Domestic</t>
  </si>
  <si>
    <t>FEC.ktoe.HR.Tr.Road.Freight.HGV.Domestic.BioDiesel_OthLiqBio</t>
  </si>
  <si>
    <t>FEC.ktoe.HR.Tr.Road.Freight.HGV.International</t>
  </si>
  <si>
    <t>FEC.ktoe.HR.Tr.Road.Freight.HGV.International.BioDiesel_OthLiqBio</t>
  </si>
  <si>
    <t>Eff.kgoe_per_100km.HR.Tr.Road</t>
  </si>
  <si>
    <t>Eff.kgoe_per_100km.HR.Tr.Road.Passenger</t>
  </si>
  <si>
    <t>Eff.kgoe_per_100km.HR.Tr.Road.Passenger.P2W</t>
  </si>
  <si>
    <t>Eff.kgoe_per_100km.HR.Tr.Road.Passenger.Car</t>
  </si>
  <si>
    <t>Eff.kgoe_per_100km.HR.Tr.Road.Passenger.Car.ICE.Gasoline</t>
  </si>
  <si>
    <t>Eff.kgoe_per_100km.HR.Tr.Road.Passenger.Car.ICE.Diesel</t>
  </si>
  <si>
    <t>Eff.kgoe_per_100km.HR.Tr.Road.Passenger.Car.ICE.LPG</t>
  </si>
  <si>
    <t>Eff.kgoe_per_100km.HR.Tr.Road.Passenger.Car.ICE.NGas</t>
  </si>
  <si>
    <t>Eff.kgoe_per_100km.HR.Tr.Road.Passenger.Car.PHEV</t>
  </si>
  <si>
    <t>Eff.kgoe_per_100km.HR.Tr.Road.Passenger.Car.BEV</t>
  </si>
  <si>
    <t>Eff.kgoe_per_100km.HR.Tr.Road.Passenger.Bus</t>
  </si>
  <si>
    <t>Eff.kgoe_per_100km.HR.Tr.Road.Passenger.Bus.ICE.Gasoline</t>
  </si>
  <si>
    <t>Eff.kgoe_per_100km.HR.Tr.Road.Passenger.Bus.ICE.Diesel</t>
  </si>
  <si>
    <t>Eff.kgoe_per_100km.HR.Tr.Road.Passenger.Bus.ICE.LPG</t>
  </si>
  <si>
    <t>Eff.kgoe_per_100km.HR.Tr.Road.Passenger.Bus.ICE.NGas</t>
  </si>
  <si>
    <t>Eff.kgoe_per_100km.HR.Tr.Road.Passenger.Bus.ICE.BEV</t>
  </si>
  <si>
    <t>Eff.kgoe_per_100km.HR.Tr.Road.Freight</t>
  </si>
  <si>
    <t>Eff.kgoe_per_100km.HR.Tr.Road.Freight.LCV</t>
  </si>
  <si>
    <t>Eff.kgoe_per_100km.HR.Tr.Road.Freight.LCV.ICE.Gasoline</t>
  </si>
  <si>
    <t>Eff.kgoe_per_100km.HR.Tr.Road.Freight.LCV.ICE.Diesel</t>
  </si>
  <si>
    <t>Eff.kgoe_per_100km.HR.Tr.Road.Freight.LCV.ICE.LPG</t>
  </si>
  <si>
    <t>Eff.kgoe_per_100km.HR.Tr.Road.Freight.LCV.ICE.NGas</t>
  </si>
  <si>
    <t>Eff.kgoe_per_100km.HR.Tr.Road.Freight.LCV.ICE.BEV</t>
  </si>
  <si>
    <t>Eff.kgoe_per_100km.HR.Tr.Road.Freight.HGV</t>
  </si>
  <si>
    <t>Eff.kgoe_per_100km.HR.Tr.Road.Freight.HGV.Domestic</t>
  </si>
  <si>
    <t>Eff.kgoe_per_100km.HR.Tr.Road.Freight.HGV.International</t>
  </si>
  <si>
    <t>Eff.kgoe_per_kpkm.HR.Tr.Road.Passenger.Car.ICE.Gasoline</t>
  </si>
  <si>
    <t>Eff.kgoe_per_kpkm.HR.Tr.Road.Passenger.Car.ICE.Diesel</t>
  </si>
  <si>
    <t>Eff.kgoe_per_kpkm.HR.Tr.Road.Passenger.Car.ICE.LPG</t>
  </si>
  <si>
    <t>Eff.kgoe_per_kpkm.HR.Tr.Road.Passenger.Car.ICE.NGas</t>
  </si>
  <si>
    <t>Eff.kgoe_per_kpkm.HR.Tr.Road.Passenger.Car.PHEV</t>
  </si>
  <si>
    <t>Eff.kgoe_per_kpkm.HR.Tr.Road.Passenger.Car.BEV</t>
  </si>
  <si>
    <t>Eff.kgoe_per_kpkm.HR.Tr.Road.Passenger.Bus.ICE.Gasoline</t>
  </si>
  <si>
    <t>Eff.kgoe_per_kpkm.HR.Tr.Road.Passenger.Bus.ICE.Diesel</t>
  </si>
  <si>
    <t>Eff.kgoe_per_kpkm.HR.Tr.Road.Passenger.Bus.ICE.LPG</t>
  </si>
  <si>
    <t>Eff.kgoe_per_kpkm.HR.Tr.Road.Passenger.Bus.ICE.NGas</t>
  </si>
  <si>
    <t>Eff.kgoe_per_kpkm.HR.Tr.Road.Passenger.Bus.ICE.BEV</t>
  </si>
  <si>
    <t>Eff.kgoe_per_ktkm.HR.Tr.Road.Freight.LCV.ICE.Gasoline</t>
  </si>
  <si>
    <t>Eff.kgoe_per_ktkm.HR.Tr.Road.Freight.LCV.ICE.Diesel</t>
  </si>
  <si>
    <t>Eff.kgoe_per_ktkm.HR.Tr.Road.Freight.LCV.ICE.LPG</t>
  </si>
  <si>
    <t>Eff.kgoe_per_ktkm.HR.Tr.Road.Freight.LCV.ICE.NGas</t>
  </si>
  <si>
    <t>Eff.kgoe_per_ktkm.HR.Tr.Road.Freight.LCV.ICE.BEV</t>
  </si>
  <si>
    <t>Eff.kgoe_per_ktkm.HR.Tr.Road.Freight.HGV.Domestic</t>
  </si>
  <si>
    <t>Eff.kgoe_per_ktkm.HR.Tr.Road.Freight.HGV.International</t>
  </si>
  <si>
    <t>FEC_per_vehicle.kgoe.HR.Tr.Road.Passenger.P2W</t>
  </si>
  <si>
    <t>FEC_per_vehicle.kgoe.HR.Tr.Road.Passenger.Car</t>
  </si>
  <si>
    <t>FEC_per_vehicle.kgoe.HR.Tr.Road.Passenger.Car.ICE.Gasoline</t>
  </si>
  <si>
    <t>FEC_per_vehicle.kgoe.HR.Tr.Road.Passenger.Car.ICE.Diesel</t>
  </si>
  <si>
    <t>FEC_per_vehicle.kgoe.HR.Tr.Road.Passenger.Car.ICE.LPG</t>
  </si>
  <si>
    <t>FEC_per_vehicle.kgoe.HR.Tr.Road.Passenger.Car.ICE.NGas</t>
  </si>
  <si>
    <t>FEC_per_vehicle.kgoe.HR.Tr.Road.Passenger.Car.PHEV</t>
  </si>
  <si>
    <t>FEC_per_vehicle.kgoe.HR.Tr.Road.Passenger.Car.BEV</t>
  </si>
  <si>
    <t>FEC_per_vehicle.kgoe.HR.Tr.Road.Passenger.Bus</t>
  </si>
  <si>
    <t>FEC_per_vehicle.kgoe.HR.Tr.Road.Passenger.Bus.ICE.Gasoline</t>
  </si>
  <si>
    <t>FEC_per_vehicle.kgoe.HR.Tr.Road.Passenger.Bus.ICE.Diesel</t>
  </si>
  <si>
    <t>FEC_per_vehicle.kgoe.HR.Tr.Road.Passenger.Bus.ICE.LPG</t>
  </si>
  <si>
    <t>FEC_per_vehicle.kgoe.HR.Tr.Road.Passenger.Bus.ICE.NGas</t>
  </si>
  <si>
    <t>FEC_per_vehicle.kgoe.HR.Tr.Road.Passenger.Bus.ICE.BEV</t>
  </si>
  <si>
    <t>FEC_per_vehicle.kgoe.HR.Tr.Road.Freight.LCV</t>
  </si>
  <si>
    <t>FEC_per_vehicle.kgoe.HR.Tr.Road.Freight.LCV.ICE.Gasoline</t>
  </si>
  <si>
    <t>FEC_per_vehicle.kgoe.HR.Tr.Road.Freight.LCV.ICE.Diesel</t>
  </si>
  <si>
    <t>FEC_per_vehicle.kgoe.HR.Tr.Road.Freight.LCV.ICE.LPG</t>
  </si>
  <si>
    <t>FEC_per_vehicle.kgoe.HR.Tr.Road.Freight.LCV.ICE.NGas</t>
  </si>
  <si>
    <t>FEC_per_vehicle.kgoe.HR.Tr.Road.Freight.LCV.ICE.BEV</t>
  </si>
  <si>
    <t>FEC_per_vehicle.kgoe.HR.Tr.Road.Freight.HGV</t>
  </si>
  <si>
    <t>FEC_per_vehicle.kgoe.HR.Tr.Road.Freight.HGV.Domestic</t>
  </si>
  <si>
    <t>FEC_per_vehicle.kgoe.HR.Tr.Road.Freight.HGV.International</t>
  </si>
  <si>
    <t>Road transport / CO2 emissions - HR - Croatia</t>
  </si>
  <si>
    <t>EMI.ktCO2.HR.ES.Tr.Road</t>
  </si>
  <si>
    <t>EMI.ktCO2.HR.ES.Tr.Road.LPG</t>
  </si>
  <si>
    <t>EMI.ktCO2.HR.ES.Tr.Road.Gasoline</t>
  </si>
  <si>
    <t>EMI.ktCO2.HR.ES.Tr.Road.Diesel</t>
  </si>
  <si>
    <t>EMI.ktCO2.HR.ES.Tr.Road.NG</t>
  </si>
  <si>
    <t>EMI.ktCO2.HR.ES.Tr.Road.Biogas</t>
  </si>
  <si>
    <t>EMI.ktCO2.HR.ES.Tr.Road.Biogasoline</t>
  </si>
  <si>
    <t>EMI.ktCO2.HR.ES.Tr.Road.Biodiesel</t>
  </si>
  <si>
    <t>EMI.ktCO2.HR.ES.Tr.Road.OthLiqBio</t>
  </si>
  <si>
    <t>EMI.ktCO2.HR.ES.Tr.Road.Elec</t>
  </si>
  <si>
    <t>EMI.ktCO2.HR.Tr.Road</t>
  </si>
  <si>
    <t>EMI.ktCO2.HR.Tr.Road.Passenger.Car.ICE.Gasoline</t>
  </si>
  <si>
    <t>EMI.ktCO2.HR.Tr.Road.Passenger.Car.ICE.Diesel</t>
  </si>
  <si>
    <t>EMI.ktCO2.HR.Tr.Road.Passenger.Car.ICE.LPG</t>
  </si>
  <si>
    <t>EMI.ktCO2.HR.Tr.Road.Passenger.Car.ICE.NGas</t>
  </si>
  <si>
    <t>EMI.ktCO2.HR.Tr.Road.Passenger.Car.PHEV</t>
  </si>
  <si>
    <t>EMI.ktCO2.HR.Tr.Road.Passenger.Car.BEV</t>
  </si>
  <si>
    <t>EMI.ktCO2.HR.Tr.Road.Passenger.Bus.ICE.Gasoline</t>
  </si>
  <si>
    <t>EMI.ktCO2.HR.Tr.Road.Passenger.Bus.ICE.Diesel</t>
  </si>
  <si>
    <t>EMI.ktCO2.HR.Tr.Road.Passenger.Bus.ICE.LPG</t>
  </si>
  <si>
    <t>EMI.ktCO2.HR.Tr.Road.Passenger.Bus.ICE.NGas</t>
  </si>
  <si>
    <t>EMI.ktCO2.HR.Tr.Road.Passenger.Bus.ICE.BEV</t>
  </si>
  <si>
    <t>EMI.ktCO2.HR.Tr.Road.Freight.LCV.ICE.Gasoline</t>
  </si>
  <si>
    <t>EMI.ktCO2.HR.Tr.Road.Freight.LCV.ICE.Diesel</t>
  </si>
  <si>
    <t>EMI.ktCO2.HR.Tr.Road.Freight.LCV.ICE.LPG</t>
  </si>
  <si>
    <t>EMI.ktCO2.HR.Tr.Road.Freight.LCV.ICE.NGas</t>
  </si>
  <si>
    <t>EMI.ktCO2.HR.Tr.Road.Freight.LCV.ICE.BEV</t>
  </si>
  <si>
    <t>EMI.ktCO2.HR.Tr.Road.Freight.HGV.Domestic</t>
  </si>
  <si>
    <t>EMI.ktCO2.HR.Tr.Road.Freight.HGV.International</t>
  </si>
  <si>
    <t>EMIint.gCO2_per_km.HR.Tr.Road</t>
  </si>
  <si>
    <t>EMIint.gCO2_per_km.HR.Tr.Road.Passenger</t>
  </si>
  <si>
    <t>EMIint.gCO2_per_km.HR.Tr.Road.Passenger.P2W</t>
  </si>
  <si>
    <t>EMIint.gCO2_per_km.HR.Tr.Road.Passenger.Car</t>
  </si>
  <si>
    <t>EMIint.gCO2_per_km.HR.Tr.Road.Passenger.Car.ICE.Gasoline</t>
  </si>
  <si>
    <t>EMIint.gCO2_per_km.HR.Tr.Road.Passenger.Car.ICE.Diesel</t>
  </si>
  <si>
    <t>EMIint.gCO2_per_km.HR.Tr.Road.Passenger.Car.ICE.LPG</t>
  </si>
  <si>
    <t>EMIint.gCO2_per_km.HR.Tr.Road.Passenger.Car.ICE.NGas</t>
  </si>
  <si>
    <t>EMIint.gCO2_per_km.HR.Tr.Road.Passenger.Car.PHEV</t>
  </si>
  <si>
    <t>EMIint.gCO2_per_km.HR.Tr.Road.Passenger.Car.BEV</t>
  </si>
  <si>
    <t>EMIint.gCO2_per_km.HR.Tr.Road.Passenger.Bus</t>
  </si>
  <si>
    <t>EMIint.gCO2_per_km.HR.Tr.Road.Passenger.Bus.ICE.Gasoline</t>
  </si>
  <si>
    <t>EMIint.gCO2_per_km.HR.Tr.Road.Passenger.Bus.ICE.Diesel</t>
  </si>
  <si>
    <t>EMIint.gCO2_per_km.HR.Tr.Road.Passenger.Bus.ICE.LPG</t>
  </si>
  <si>
    <t>EMIint.gCO2_per_km.HR.Tr.Road.Passenger.Bus.ICE.NGas</t>
  </si>
  <si>
    <t>EMIint.gCO2_per_km.HR.Tr.Road.Passenger.Bus.ICE.BEV</t>
  </si>
  <si>
    <t>EMIint.gCO2_per_km.HR.Tr.Road.Freight</t>
  </si>
  <si>
    <t>EMIint.gCO2_per_km.HR.Tr.Road.Freight.LCV</t>
  </si>
  <si>
    <t>EMIint.gCO2_per_km.HR.Tr.Road.Freight.LCV.ICE.Gasoline</t>
  </si>
  <si>
    <t>EMIint.gCO2_per_km.HR.Tr.Road.Freight.LCV.ICE.Diesel</t>
  </si>
  <si>
    <t>EMIint.gCO2_per_km.HR.Tr.Road.Freight.LCV.ICE.LPG</t>
  </si>
  <si>
    <t>EMIint.gCO2_per_km.HR.Tr.Road.Freight.LCV.ICE.NGas</t>
  </si>
  <si>
    <t>EMIint.gCO2_per_km.HR.Tr.Road.Freight.LCV.ICE.BEV</t>
  </si>
  <si>
    <t>EMIint.gCO2_per_km.HR.Tr.Road.Freight.HGV</t>
  </si>
  <si>
    <t>EMIint.gCO2_per_km.HR.Tr.Road.Freight.HGV.Domestic</t>
  </si>
  <si>
    <t>EMIint.gCO2_per_km.HR.Tr.Road.Freight.HGV.International</t>
  </si>
  <si>
    <t>EMIint.gCO2_per_pkm.HR.Tr.Road.Passenger.Car.ICE.Gasoline</t>
  </si>
  <si>
    <t>EMIint.gCO2_per_pkm.HR.Tr.Road.Passenger.Car.ICE.Diesel</t>
  </si>
  <si>
    <t>EMIint.gCO2_per_pkm.HR.Tr.Road.Passenger.Car.ICE.LPG</t>
  </si>
  <si>
    <t>EMIint.gCO2_per_pkm.HR.Tr.Road.Passenger.Car.ICE.NGas</t>
  </si>
  <si>
    <t>EMIint.gCO2_per_pkm.HR.Tr.Road.Passenger.Car.PHEV</t>
  </si>
  <si>
    <t>EMIint.gCO2_per_pkm.HR.Tr.Road.Passenger.Car.BEV</t>
  </si>
  <si>
    <t>EMIint.gCO2_per_pkm.HR.Tr.Road.Passenger.Bus.ICE.Gasoline</t>
  </si>
  <si>
    <t>EMIint.gCO2_per_pkm.HR.Tr.Road.Passenger.Bus.ICE.Diesel</t>
  </si>
  <si>
    <t>EMIint.gCO2_per_pkm.HR.Tr.Road.Passenger.Bus.ICE.LPG</t>
  </si>
  <si>
    <t>EMIint.gCO2_per_pkm.HR.Tr.Road.Passenger.Bus.ICE.NGas</t>
  </si>
  <si>
    <t>EMIint.gCO2_per_pkm.HR.Tr.Road.Passenger.Bus.ICE.BEV</t>
  </si>
  <si>
    <t>EMIint.gCO2_per_tkm.HR.Tr.Road.Freight.LCV.ICE.Gasoline</t>
  </si>
  <si>
    <t>EMIint.gCO2_per_tkm.HR.Tr.Road.Freight.LCV.ICE.Diesel</t>
  </si>
  <si>
    <t>EMIint.gCO2_per_tkm.HR.Tr.Road.Freight.LCV.ICE.LPG</t>
  </si>
  <si>
    <t>EMIint.gCO2_per_tkm.HR.Tr.Road.Freight.LCV.ICE.NGas</t>
  </si>
  <si>
    <t>EMIint.gCO2_per_tkm.HR.Tr.Road.Freight.LCV.ICE.BEV</t>
  </si>
  <si>
    <t>EMIint.gCO2_per_tkm.HR.Tr.Road.Freight.HGV.Domestic</t>
  </si>
  <si>
    <t>EMIint.gCO2_per_tkm.HR.Tr.Road.Freight.HGV.International</t>
  </si>
  <si>
    <t>EMI_per_vehicle.kgCO2.HR.Tr.Road.Passenger.P2W</t>
  </si>
  <si>
    <t>EMI_per_vehicle.kgCO2.HR.Tr.Road.Passenger.Car</t>
  </si>
  <si>
    <t>EMI_per_vehicle.kgCO2.HR.Tr.Road.Passenger.Car.ICE.Gasoline</t>
  </si>
  <si>
    <t>EMI_per_vehicle.kgCO2.HR.Tr.Road.Passenger.Car.ICE.Diesel</t>
  </si>
  <si>
    <t>EMI_per_vehicle.kgCO2.HR.Tr.Road.Passenger.Car.ICE.LPG</t>
  </si>
  <si>
    <t>EMI_per_vehicle.kgCO2.HR.Tr.Road.Passenger.Car.ICE.NGas</t>
  </si>
  <si>
    <t>EMI_per_vehicle.kgCO2.HR.Tr.Road.Passenger.Car.PHEV</t>
  </si>
  <si>
    <t>EMI_per_vehicle.kgCO2.HR.Tr.Road.Passenger.Car.BEV</t>
  </si>
  <si>
    <t>EMI_per_vehicle.kgCO2.HR.Tr.Road.Passenger.Bus</t>
  </si>
  <si>
    <t>EMI_per_vehicle.kgCO2.HR.Tr.Road.Passenger.Bus.ICE.Gasoline</t>
  </si>
  <si>
    <t>EMI_per_vehicle.kgCO2.HR.Tr.Road.Passenger.Bus.ICE.Diesel</t>
  </si>
  <si>
    <t>EMI_per_vehicle.kgCO2.HR.Tr.Road.Passenger.Bus.ICE.LPG</t>
  </si>
  <si>
    <t>EMI_per_vehicle.kgCO2.HR.Tr.Road.Passenger.Bus.ICE.NGas</t>
  </si>
  <si>
    <t>EMI_per_vehicle.kgCO2.HR.Tr.Road.Passenger.Bus.ICE.BEV</t>
  </si>
  <si>
    <t>EMI_per_vehicle.kgCO2.HR.Tr.Road.Freight.LCV</t>
  </si>
  <si>
    <t>EMI_per_vehicle.kgCO2.HR.Tr.Road.Freight.LCV.ICE.Gasoline</t>
  </si>
  <si>
    <t>EMI_per_vehicle.kgCO2.HR.Tr.Road.Freight.LCV.ICE.Diesel</t>
  </si>
  <si>
    <t>EMI_per_vehicle.kgCO2.HR.Tr.Road.Freight.LCV.ICE.LPG</t>
  </si>
  <si>
    <t>EMI_per_vehicle.kgCO2.HR.Tr.Road.Freight.LCV.ICE.NGas</t>
  </si>
  <si>
    <t>EMI_per_vehicle.kgCO2.HR.Tr.Road.Freight.LCV.ICE.BEV</t>
  </si>
  <si>
    <t>EMI_per_vehicle.kgCO2.HR.Tr.Road.Freight.HGV</t>
  </si>
  <si>
    <t>EMI_per_vehicle.kgCO2.HR.Tr.Road.Freight.HGV.Domestic</t>
  </si>
  <si>
    <t>EMI_per_vehicle.kgCO2.HR.Tr.Road.Freight.HGV.International</t>
  </si>
  <si>
    <t>Road transport / technologies - HR - Croatia</t>
  </si>
  <si>
    <t>StockVin.number.HR.Tr.Road</t>
  </si>
  <si>
    <t>StockVin.number.HR.Tr.Road.Passenger</t>
  </si>
  <si>
    <t>StockVin.number.HR.Tr.Road.Passenger.P2W</t>
  </si>
  <si>
    <t>StockVin.number.HR.Tr.Road.Passenger.Car</t>
  </si>
  <si>
    <t>StockVin.number.HR.Tr.Road.Passenger.Car.ICE.Gasoline</t>
  </si>
  <si>
    <t>StockVin.number.HR.Tr.Road.Passenger.Car.ICE.Diesel</t>
  </si>
  <si>
    <t>StockVin.number.HR.Tr.Road.Passenger.Car.ICE.LPG</t>
  </si>
  <si>
    <t>StockVin.number.HR.Tr.Road.Passenger.Car.ICE.NGas</t>
  </si>
  <si>
    <t>StockVin.number.HR.Tr.Road.Passenger.Car.PHEV</t>
  </si>
  <si>
    <t>StockVin.number.HR.Tr.Road.Passenger.Car.BEV</t>
  </si>
  <si>
    <t>StockVin.number.HR.Tr.Road.Passenger.Bus</t>
  </si>
  <si>
    <t>StockVin.number.HR.Tr.Road.Passenger.Bus.ICE.Gasoline</t>
  </si>
  <si>
    <t>StockVin.number.HR.Tr.Road.Passenger.Bus.ICE.Diesel</t>
  </si>
  <si>
    <t>StockVin.number.HR.Tr.Road.Passenger.Bus.ICE.LPG</t>
  </si>
  <si>
    <t>StockVin.number.HR.Tr.Road.Passenger.Bus.ICE.NGas</t>
  </si>
  <si>
    <t>StockVin.number.HR.Tr.Road.Passenger.Bus.ICE.BEV</t>
  </si>
  <si>
    <t>StockVin.number.HR.Tr.Road.Freight</t>
  </si>
  <si>
    <t>StockVin.number.HR.Tr.Road.Freight.LCV</t>
  </si>
  <si>
    <t>StockVin.number.HR.Tr.Road.Freight.LCV.ICE.Gasoline</t>
  </si>
  <si>
    <t>StockVin.number.HR.Tr.Road.Freight.LCV.ICE.Diesel</t>
  </si>
  <si>
    <t>StockVin.number.HR.Tr.Road.Freight.LCV.ICE.LPG</t>
  </si>
  <si>
    <t>StockVin.number.HR.Tr.Road.Freight.LCV.ICE.NGas</t>
  </si>
  <si>
    <t>StockVin.number.HR.Tr.Road.Freight.LCV.ICE.BEV</t>
  </si>
  <si>
    <t>StockVin.number.HR.Tr.Road.Freight.HGV</t>
  </si>
  <si>
    <t>StockVin.number.HR.Tr.Road.Freight.HGV.Domestic</t>
  </si>
  <si>
    <t>StockVin.number.HR.Tr.Road.Freight.HGV.International</t>
  </si>
  <si>
    <t>Eff_test_stock.kgoe_per_100km.HR.Tr.Road.Passenger.P2W</t>
  </si>
  <si>
    <t>Eff_test_stock.kgoe_per_100km.HR.Tr.Road.Passenger.Car</t>
  </si>
  <si>
    <t>Eff_test_stock.kgoe_per_100km.HR.Tr.Road.Passenger.Car.ICE.Gasoline</t>
  </si>
  <si>
    <t>Eff_test_stock.kgoe_per_100km.HR.Tr.Road.Passenger.Car.ICE.Diesel</t>
  </si>
  <si>
    <t>Eff_test_stock.kgoe_per_100km.HR.Tr.Road.Passenger.Car.ICE.LPG</t>
  </si>
  <si>
    <t>Eff_test_stock.kgoe_per_100km.HR.Tr.Road.Passenger.Car.ICE.NGas</t>
  </si>
  <si>
    <t>Eff_test_stock.kgoe_per_100km.HR.Tr.Road.Passenger.Car.PHEV</t>
  </si>
  <si>
    <t>Eff_test_stock.kgoe_per_100km.HR.Tr.Road.Passenger.Car.BEV</t>
  </si>
  <si>
    <t>Eff_test_stock.kgoe_per_100km.HR.Tr.Road.Passenger.Bus</t>
  </si>
  <si>
    <t>Eff_test_stock.kgoe_per_100km.HR.Tr.Road.Passenger.Bus.ICE.Gasoline</t>
  </si>
  <si>
    <t>Eff_test_stock.kgoe_per_100km.HR.Tr.Road.Passenger.Bus.ICE.Diesel</t>
  </si>
  <si>
    <t>Eff_test_stock.kgoe_per_100km.HR.Tr.Road.Passenger.Bus.ICE.LPG</t>
  </si>
  <si>
    <t>Eff_test_stock.kgoe_per_100km.HR.Tr.Road.Passenger.Bus.ICE.NGas</t>
  </si>
  <si>
    <t>Eff_test_stock.kgoe_per_100km.HR.Tr.Road.Passenger.Bus.ICE.BEV</t>
  </si>
  <si>
    <t>Eff_test_stock.kgoe_per_100km.HR.Tr.Road.Freight.LCV</t>
  </si>
  <si>
    <t>Eff_test_stock.kgoe_per_100km.HR.Tr.Road.Freight.LCV.ICE.Gasoline</t>
  </si>
  <si>
    <t>Eff_test_stock.kgoe_per_100km.HR.Tr.Road.Freight.LCV.ICE.Diesel</t>
  </si>
  <si>
    <t>Eff_test_stock.kgoe_per_100km.HR.Tr.Road.Freight.LCV.ICE.LPG</t>
  </si>
  <si>
    <t>Eff_test_stock.kgoe_per_100km.HR.Tr.Road.Freight.LCV.ICE.NGas</t>
  </si>
  <si>
    <t>Eff_test_stock.kgoe_per_100km.HR.Tr.Road.Freight.LCV.ICE.BEV</t>
  </si>
  <si>
    <t>Eff_test_stock.kgoe_per_100km.HR.Tr.Road.Freight.HGV</t>
  </si>
  <si>
    <t>Eff_test_stock.kgoe_per_100km.HR.Tr.Road.Freight.HGV.Domestic</t>
  </si>
  <si>
    <t>Eff_test_stock.kgoe_per_100km.HR.Tr.Road.Freight.HGV.International</t>
  </si>
  <si>
    <t>Eff_test_new.kgoe_per_100km.HR.Tr.Road.Passenger.P2W</t>
  </si>
  <si>
    <t>Eff_test_new.kgoe_per_100km.HR.Tr.Road.Passenger.Car</t>
  </si>
  <si>
    <t>Eff_test_new.kgoe_per_100km.HR.Tr.Road.Passenger.Car.ICE.Gasoline</t>
  </si>
  <si>
    <t>Eff_test_new.kgoe_per_100km.HR.Tr.Road.Passenger.Car.ICE.Diesel</t>
  </si>
  <si>
    <t>Eff_test_new.kgoe_per_100km.HR.Tr.Road.Passenger.Car.ICE.LPG</t>
  </si>
  <si>
    <t>Eff_test_new.kgoe_per_100km.HR.Tr.Road.Passenger.Car.ICE.NGas</t>
  </si>
  <si>
    <t>Eff_test_new.kgoe_per_100km.HR.Tr.Road.Passenger.Car.PHEV</t>
  </si>
  <si>
    <t>Eff_test_new.kgoe_per_100km.HR.Tr.Road.Passenger.Car.BEV</t>
  </si>
  <si>
    <t>Eff_test_new.kgoe_per_100km.HR.Tr.Road.Passenger.Bus</t>
  </si>
  <si>
    <t>Eff_test_new.kgoe_per_100km.HR.Tr.Road.Passenger.Bus.ICE.Gasoline</t>
  </si>
  <si>
    <t>Eff_test_new.kgoe_per_100km.HR.Tr.Road.Passenger.Bus.ICE.Diesel</t>
  </si>
  <si>
    <t>Eff_test_new.kgoe_per_100km.HR.Tr.Road.Passenger.Bus.ICE.LPG</t>
  </si>
  <si>
    <t>Eff_test_new.kgoe_per_100km.HR.Tr.Road.Passenger.Bus.ICE.NGas</t>
  </si>
  <si>
    <t>Eff_test_new.kgoe_per_100km.HR.Tr.Road.Passenger.Bus.ICE.BEV</t>
  </si>
  <si>
    <t>Eff_test_new.kgoe_per_100km.HR.Tr.Road.Freight.LCV</t>
  </si>
  <si>
    <t>Eff_test_new.kgoe_per_100km.HR.Tr.Road.Freight.LCV.ICE.Gasoline</t>
  </si>
  <si>
    <t>Eff_test_new.kgoe_per_100km.HR.Tr.Road.Freight.LCV.ICE.Diesel</t>
  </si>
  <si>
    <t>Eff_test_new.kgoe_per_100km.HR.Tr.Road.Freight.LCV.ICE.LPG</t>
  </si>
  <si>
    <t>Eff_test_new.kgoe_per_100km.HR.Tr.Road.Freight.LCV.ICE.NGas</t>
  </si>
  <si>
    <t>Eff_test_new.kgoe_per_100km.HR.Tr.Road.Freight.LCV.ICE.BEV</t>
  </si>
  <si>
    <t>Eff_test_new.kgoe_per_100km.HR.Tr.Road.Freight.HGV</t>
  </si>
  <si>
    <t>Eff_test_new.kgoe_per_100km.HR.Tr.Road.Freight.HGV.Domestic</t>
  </si>
  <si>
    <t>Eff_test_new.kgoe_per_100km.HR.Tr.Road.Freight.HGV.International</t>
  </si>
  <si>
    <t>EMIint_test_stock.gCO2_per_km.HR.Tr.Road.Passenger.P2W</t>
  </si>
  <si>
    <t>EMIint_test_stock.gCO2_per_km.HR.Tr.Road.Passenger.Car</t>
  </si>
  <si>
    <t>EMIint_test_stock.gCO2_per_km.HR.Tr.Road.Passenger.Car.ICE.Gasoline</t>
  </si>
  <si>
    <t>EMIint_test_stock.gCO2_per_km.HR.Tr.Road.Passenger.Car.ICE.Diesel</t>
  </si>
  <si>
    <t>EMIint_test_stock.gCO2_per_km.HR.Tr.Road.Passenger.Car.ICE.LPG</t>
  </si>
  <si>
    <t>EMIint_test_stock.gCO2_per_km.HR.Tr.Road.Passenger.Car.ICE.NGas</t>
  </si>
  <si>
    <t>EMIint_test_stock.gCO2_per_km.HR.Tr.Road.Passenger.Car.PHEV</t>
  </si>
  <si>
    <t>EMIint_test_stock.gCO2_per_km.HR.Tr.Road.Passenger.Car.BEV</t>
  </si>
  <si>
    <t>EMIint_test_stock.gCO2_per_km.HR.Tr.Road.Passenger.Bus</t>
  </si>
  <si>
    <t>EMIint_test_stock.gCO2_per_km.HR.Tr.Road.Passenger.Bus.ICE.Gasoline</t>
  </si>
  <si>
    <t>EMIint_test_stock.gCO2_per_km.HR.Tr.Road.Passenger.Bus.ICE.Diesel</t>
  </si>
  <si>
    <t>EMIint_test_stock.gCO2_per_km.HR.Tr.Road.Passenger.Bus.ICE.LPG</t>
  </si>
  <si>
    <t>EMIint_test_stock.gCO2_per_km.HR.Tr.Road.Passenger.Bus.ICE.NGas</t>
  </si>
  <si>
    <t>EMIint_test_stock.gCO2_per_km.HR.Tr.Road.Passenger.Bus.ICE.BEV</t>
  </si>
  <si>
    <t>EMIint_test_stock.gCO2_per_km.HR.Tr.Road.Freight.LCV</t>
  </si>
  <si>
    <t>EMIint_test_stock.gCO2_per_km.HR.Tr.Road.Freight.LCV.ICE.Gasoline</t>
  </si>
  <si>
    <t>EMIint_test_stock.gCO2_per_km.HR.Tr.Road.Freight.LCV.ICE.Diesel</t>
  </si>
  <si>
    <t>EMIint_test_stock.gCO2_per_km.HR.Tr.Road.Freight.LCV.ICE.LPG</t>
  </si>
  <si>
    <t>EMIint_test_stock.gCO2_per_km.HR.Tr.Road.Freight.LCV.ICE.NGas</t>
  </si>
  <si>
    <t>EMIint_test_stock.gCO2_per_km.HR.Tr.Road.Freight.LCV.ICE.BEV</t>
  </si>
  <si>
    <t>EMIint_test_stock.gCO2_per_km.HR.Tr.Road.Freight.HGV</t>
  </si>
  <si>
    <t>EMIint_test_stock.gCO2_per_km.HR.Tr.Road.Freight.HGV.Domestic</t>
  </si>
  <si>
    <t>EMIint_test_stock.gCO2_per_km.HR.Tr.Road.Freight.HGV.International</t>
  </si>
  <si>
    <t>EMIint_test_new.gCO2_per_km.HR.Tr.Road.Passenger.P2W</t>
  </si>
  <si>
    <t>EMIint_test_new.gCO2_per_km.HR.Tr.Road.Passenger.Car</t>
  </si>
  <si>
    <t>EMIint_test_new.gCO2_per_km.HR.Tr.Road.Passenger.Car.ICE.Gasoline</t>
  </si>
  <si>
    <t>EMIint_test_new.gCO2_per_km.HR.Tr.Road.Passenger.Car.ICE.Diesel</t>
  </si>
  <si>
    <t>EMIint_test_new.gCO2_per_km.HR.Tr.Road.Passenger.Car.ICE.LPG</t>
  </si>
  <si>
    <t>EMIint_test_new.gCO2_per_km.HR.Tr.Road.Passenger.Car.ICE.NGas</t>
  </si>
  <si>
    <t>EMIint_test_new.gCO2_per_km.HR.Tr.Road.Passenger.Car.PHEV</t>
  </si>
  <si>
    <t>EMIint_test_new.gCO2_per_km.HR.Tr.Road.Passenger.Car.BEV</t>
  </si>
  <si>
    <t>EMIint_test_new.gCO2_per_km.HR.Tr.Road.Passenger.Bus</t>
  </si>
  <si>
    <t>EMIint_test_new.gCO2_per_km.HR.Tr.Road.Passenger.Bus.ICE.Gasoline</t>
  </si>
  <si>
    <t>EMIint_test_new.gCO2_per_km.HR.Tr.Road.Passenger.Bus.ICE.Diesel</t>
  </si>
  <si>
    <t>EMIint_test_new.gCO2_per_km.HR.Tr.Road.Passenger.Bus.ICE.LPG</t>
  </si>
  <si>
    <t>EMIint_test_new.gCO2_per_km.HR.Tr.Road.Passenger.Bus.ICE.NGas</t>
  </si>
  <si>
    <t>EMIint_test_new.gCO2_per_km.HR.Tr.Road.Passenger.Bus.ICE.BEV</t>
  </si>
  <si>
    <t>EMIint_test_new.gCO2_per_km.HR.Tr.Road.Freight.LCV</t>
  </si>
  <si>
    <t>EMIint_test_new.gCO2_per_km.HR.Tr.Road.Freight.LCV.ICE.Gasoline</t>
  </si>
  <si>
    <t>EMIint_test_new.gCO2_per_km.HR.Tr.Road.Freight.LCV.ICE.Diesel</t>
  </si>
  <si>
    <t>EMIint_test_new.gCO2_per_km.HR.Tr.Road.Freight.LCV.ICE.LPG</t>
  </si>
  <si>
    <t>EMIint_test_new.gCO2_per_km.HR.Tr.Road.Freight.LCV.ICE.NGas</t>
  </si>
  <si>
    <t>EMIint_test_new.gCO2_per_km.HR.Tr.Road.Freight.LCV.ICE.BEV</t>
  </si>
  <si>
    <t>EMIint_test_new.gCO2_per_km.HR.Tr.Road.Freight.HGV</t>
  </si>
  <si>
    <t>EMIint_test_new.gCO2_per_km.HR.Tr.Road.Freight.HGV.Domestic</t>
  </si>
  <si>
    <t>EMIint_test_new.gCO2_per_km.HR.Tr.Road.Freight.HGV.International</t>
  </si>
  <si>
    <t>FEC.ktoe.HR.MBunk</t>
  </si>
  <si>
    <t>FEC.ktoe.HR.MBunk.IntraEEA</t>
  </si>
  <si>
    <t>FEC.ktoe.HR.MBunk.ExtraEEA</t>
  </si>
  <si>
    <t>EMI.ktCO2.HR.MBunk</t>
  </si>
  <si>
    <t>EMI.ktCO2.HR.MBunk.IntraEEA</t>
  </si>
  <si>
    <t>EMI.ktCO2.HR.MBunk.ExtraEEA</t>
  </si>
  <si>
    <t>International maritime bunkers - HR - Croatia</t>
  </si>
  <si>
    <t>VehicleKm.Mkm.HR.MBunk.Freight</t>
  </si>
  <si>
    <t>VehicleKm.Mkm.HR.MBunk.Freight.IntraEEA</t>
  </si>
  <si>
    <t>VehicleKm.Mkm.HR.MBunk.Freight.ExtraEEA</t>
  </si>
  <si>
    <t>Load.t_per_movement.HR.MBunk.Freight</t>
  </si>
  <si>
    <t>Load.t_per_movement.HR.MBunk.Freight.IntraEEA</t>
  </si>
  <si>
    <t>Load.t_per_movement.HR.MBunk.Freight.ExtraEEA</t>
  </si>
  <si>
    <t>International maritime bunkers / energy consumption - HR - Croatia</t>
  </si>
  <si>
    <t>FEC.ktoe.HR.ES.MBunk</t>
  </si>
  <si>
    <t>FEC.ktoe.HR.ES.MBunk.IntraEEA</t>
  </si>
  <si>
    <t>FEC.ktoe.HR.ES.MBunk.IntraEEA.Diesel</t>
  </si>
  <si>
    <t>FEC.ktoe.HR.ES.MBunk.IntraEEA.RFO_Other</t>
  </si>
  <si>
    <t>FEC.ktoe.HR.ES.MBunk.IntraEEA.LiqBio</t>
  </si>
  <si>
    <t>FEC.ktoe.HR.ES.MBunk.IntraEEA.NG</t>
  </si>
  <si>
    <t>FEC.ktoe.HR.ES.MBunk.IntraEEA.Biogas</t>
  </si>
  <si>
    <t>FEC.ktoe.HR.ES.MBunk.ExtraEEA</t>
  </si>
  <si>
    <t>FEC.ktoe.HR.ES.MBunk.ExtraEEA.Diesel</t>
  </si>
  <si>
    <t>FEC.ktoe.HR.ES.MBunk.ExtraEEA.RFO_Other</t>
  </si>
  <si>
    <t>FEC.ktoe.HR.ES.MBunk.ExtraEEA.LiqBio</t>
  </si>
  <si>
    <t>FEC.ktoe.HR.ES.MBunk.ExtraEEA.NG</t>
  </si>
  <si>
    <t>FEC.ktoe.HR.ES.MBunk.ExtraEEA.Biogas</t>
  </si>
  <si>
    <t>Eff.kgoe_per_100km.HR.MBunk.Freight</t>
  </si>
  <si>
    <t>Eff.kgoe_per_100km.HR.MBunk.Freight.IntraEEA</t>
  </si>
  <si>
    <t>Eff.kgoe_per_100km.HR.MBunk.Freight.ExtraEEA</t>
  </si>
  <si>
    <t>International maritime bunkers / CO2 emissions - HR - Croatia</t>
  </si>
  <si>
    <t>EMI.ktCO2.HR.ES.MBunk</t>
  </si>
  <si>
    <t>EMI.ktCO2.HR.ES.MBunk.IntraEEA</t>
  </si>
  <si>
    <t>EMI.ktCO2.HR.ES.MBunk.ExtraEEA</t>
  </si>
  <si>
    <t>EMIint.gCO2_per_km.HR.MBunk.Freight</t>
  </si>
  <si>
    <t>EMIint.gCO2_per_km.HR.MBunk.Freight.IntraEEA</t>
  </si>
  <si>
    <t>EMIint.gCO2_per_km.HR.MBunk.Freight.ExtraEEA</t>
  </si>
  <si>
    <t>FEC.ktoe.HR.Tr.DNavi</t>
  </si>
  <si>
    <t>FEC.ktoe.HR.Tr.Dnavi.DCS</t>
  </si>
  <si>
    <t>FEC.ktoe.HR.Tr.Dnavi.IWW</t>
  </si>
  <si>
    <t>EMI.ktCO2.HR.Tr.DNavi</t>
  </si>
  <si>
    <t>EMI.ktCO2.HR.Tr.Dnavi.DCS</t>
  </si>
  <si>
    <t>EMI.ktCO2.HR.Tr.Dnavi.IWW</t>
  </si>
  <si>
    <t>Domestic navigation - HR - Croatia</t>
  </si>
  <si>
    <t>VehicleKm.Mkm.HR.Tr.DNavi.Freight</t>
  </si>
  <si>
    <t>VehicleKm.Mkm.HR.Tr.DNavi.Freight.DCS</t>
  </si>
  <si>
    <t>VehicleKm.Mkm.HR.Tr.DNavi.Freight.IWW</t>
  </si>
  <si>
    <t>Load.t_per_movement.HR.Tr.DNavi.Freight</t>
  </si>
  <si>
    <t>Load.t_per_movement.HR.Tr.DNavi.Freight.DCS</t>
  </si>
  <si>
    <t>Load.t_per_movement.HR.Tr.DNavi.Freight.IWW</t>
  </si>
  <si>
    <t>Domestic navigation / energy consumption - HR - Croatia</t>
  </si>
  <si>
    <t>FEC.ktoe.HR.ES.Tr.DNavi</t>
  </si>
  <si>
    <t>FEC.ktoe.HR.ES.Tr.DNavi.DCS</t>
  </si>
  <si>
    <t>FEC.ktoe.HR.ES.Tr.DNavi.DCS.Diesel</t>
  </si>
  <si>
    <t>FEC.ktoe.HR.ES.Tr.DNavi.DCS.RFO_Other</t>
  </si>
  <si>
    <t>FEC.ktoe.HR.ES.Tr.DNavi.DCS.LiqBio</t>
  </si>
  <si>
    <t>FEC.ktoe.HR.ES.Tr.DNavi.DCS.NG</t>
  </si>
  <si>
    <t>FEC.ktoe.HR.ES.Tr.DNavi.DCS.Biogas</t>
  </si>
  <si>
    <t>FEC.ktoe.HR.ES.Tr.DNavi.IWW</t>
  </si>
  <si>
    <t>FEC.ktoe.HR.ES.Tr.DNavi.IWW.Diesel</t>
  </si>
  <si>
    <t>FEC.ktoe.HR.ES.Tr.DNavi.IWW.RFO_Other</t>
  </si>
  <si>
    <t>FEC.ktoe.HR.ES.Tr.DNavi.IWW.LiqBio</t>
  </si>
  <si>
    <t>FEC.ktoe.HR.ES.Tr.DNavi.IWW.NG</t>
  </si>
  <si>
    <t>FEC.ktoe.HR.ES.Tr.DNavi.IWW.Biogas</t>
  </si>
  <si>
    <t>Eff.kgoe_per_100km.HR.Tr.DNavi.Freight</t>
  </si>
  <si>
    <t>Eff.kgoe_per_100km.HR.Tr.DNavi.Freight.DCS</t>
  </si>
  <si>
    <t>Eff.kgoe_per_100km.HR.Tr.DNavi.Freight.IWW</t>
  </si>
  <si>
    <t>Domestic navigation / CO2 emissions - HR - Croatia</t>
  </si>
  <si>
    <t>EMI.ktCO2.HR.ES.Tr.DNavi</t>
  </si>
  <si>
    <t>EMI.ktCO2.HR.ES.Tr.DNavi.DCS</t>
  </si>
  <si>
    <t>EMI.ktCO2.HR.ES.Tr.DNavi.IWW</t>
  </si>
  <si>
    <t>EMIint.gCO2_per_km.HR.Tr.DNavi.Freight</t>
  </si>
  <si>
    <t>EMIint.gCO2_per_km.HR.Tr.DNavi.Freight.DCS</t>
  </si>
  <si>
    <t>EMIint.gCO2_per_km.HR.Tr.DNavi.Freight.IWW</t>
  </si>
  <si>
    <t>Rail, metro and tram - HR - Croatia</t>
  </si>
  <si>
    <t>Activity.Mpkm.HR.Tr.Rail.Passenger.CPT.Diesel</t>
  </si>
  <si>
    <t>Activity.Mpkm.HR.Tr.Rail.Passenger.CPT.Elc</t>
  </si>
  <si>
    <t>Activity.Mtkm.HR.Tr.Rail.Freight.Diesel</t>
  </si>
  <si>
    <t>Activity.Mtkm.HR.Tr.Rail.Freight.Elc</t>
  </si>
  <si>
    <t>VehicleKm.Mkm.HR.Tr.Rail</t>
  </si>
  <si>
    <t>VehicleKm.Mkm.HR.Tr.Rail.Passenger</t>
  </si>
  <si>
    <t>VehicleKm.Mkm.HR.Tr.Rail.Passenger.MTU</t>
  </si>
  <si>
    <t>VehicleKm.Mkm.HR.Tr.Rail.Passenger.CPT</t>
  </si>
  <si>
    <t>VehicleKm.Mkm.HR.Tr.Rail.Passenger.CPT.Diesel</t>
  </si>
  <si>
    <t>VehicleKm.Mkm.HR.Tr.Rail.Passenger.CPT.Elc</t>
  </si>
  <si>
    <t>VehicleKm.Mkm.HR.Tr.Rail.Passenger.HST</t>
  </si>
  <si>
    <t>VehicleKm.Mkm.HR.Tr.Rail.Freight</t>
  </si>
  <si>
    <t>VehicleKm.Mkm.HR.Tr.Rail.Freight.Diesel</t>
  </si>
  <si>
    <t>VehicleKm.Mkm.HR.Tr.Rail.Freight.Elc</t>
  </si>
  <si>
    <t>Stock.number.HR.Tr.Rail</t>
  </si>
  <si>
    <t>Stock.number.HR.Tr.Rail.Passenger</t>
  </si>
  <si>
    <t>Stock.number.HR.Tr.Rail.Passenger.MTU</t>
  </si>
  <si>
    <t>Stock.number.HR.Tr.Rail.Passenger.CPT</t>
  </si>
  <si>
    <t>Stock.number.HR.Tr.Rail.Passenger.CPT.Diesel</t>
  </si>
  <si>
    <t>Stock.number.HR.Tr.Rail.Passenger.CPT.Elc</t>
  </si>
  <si>
    <t>Stock.number.HR.Tr.Rail.Passenger.HST</t>
  </si>
  <si>
    <t>Stock.number.HR.Tr.Rail.Freight</t>
  </si>
  <si>
    <t>Stock.number.HR.Tr.Rail.Freight.Diesel</t>
  </si>
  <si>
    <t>Stock.number.HR.Tr.Rail.Freight.Elc</t>
  </si>
  <si>
    <t>StockNew.number.HR.Tr.Rail</t>
  </si>
  <si>
    <t>StockNew.number.HR.Tr.Rail.Passenger</t>
  </si>
  <si>
    <t>StockNew.number.HR.Tr.Rail.Passenger.MTU</t>
  </si>
  <si>
    <t>StockNew.number.HR.Tr.Rail.Passenger.CPT</t>
  </si>
  <si>
    <t>StockNew.number.HR.Tr.Rail.Passenger.CPT.Diesel</t>
  </si>
  <si>
    <t>StockNew.number.HR.Tr.Rail.Passenger.CPT.Elc</t>
  </si>
  <si>
    <t>StockNew.number.HR.Tr.Rail.Passenger.HST</t>
  </si>
  <si>
    <t>StockNew.number.HR.Tr.Rail.Freight</t>
  </si>
  <si>
    <t>StockNew.number.HR.Tr.Rail.Freight.Diesel</t>
  </si>
  <si>
    <t>StockNew.number.HR.Tr.Rail.Freight.Elc</t>
  </si>
  <si>
    <t>Load.passenger_per_movement.HR.Tr.Rail.Passenger</t>
  </si>
  <si>
    <t>Load.passenger_per_movement.HR.Tr.Rail.Passenger.MTU</t>
  </si>
  <si>
    <t>Load.passenger_per_movement.HR.Tr.Rail.Passenger.CPT</t>
  </si>
  <si>
    <t>Load.passenger_per_movement.HR.Tr.Rail.Passenger.CPT.Diesel</t>
  </si>
  <si>
    <t>Load.passenger_per_movement.HR.Tr.Rail.Passenger.CPT.Elc</t>
  </si>
  <si>
    <t>Load.passenger_per_movement.HR.Tr.Rail.Passenger.HST</t>
  </si>
  <si>
    <t>Load.t_per_movement.HR.Tr.Rail.Freight</t>
  </si>
  <si>
    <t>Load.t_per_movement.HR.Tr.Rail.Freight.Diesel</t>
  </si>
  <si>
    <t>Load.t_per_movement.HR.Tr.Rail.Freight.Elc</t>
  </si>
  <si>
    <t>TrCap.seats.HR.Tr.Rail.Passenger</t>
  </si>
  <si>
    <t>TrCap.seats.HR.Tr.Rail.Passenger.MTU</t>
  </si>
  <si>
    <t>TrCap.seats.HR.Tr.Rail.Passenger.CPT</t>
  </si>
  <si>
    <t>TrCap.seats.HR.Tr.Rail.Passenger.CPT.Diesel</t>
  </si>
  <si>
    <t>TrCap.seats.HR.Tr.Rail.Passenger.CPT.Elc</t>
  </si>
  <si>
    <t>TrCap.seats.HR.Tr.Rail.Passenger.HST</t>
  </si>
  <si>
    <t>TrCap.t.HR.Tr.Rail.Freight</t>
  </si>
  <si>
    <t>TrCap.t.HR.Tr.Rail.Freight.Diesel</t>
  </si>
  <si>
    <t>TrCap.t.HR.Tr.Rail.Freight.Elc</t>
  </si>
  <si>
    <t>VehicleKm_per_vehicle.km.HR.Tr.Rail</t>
  </si>
  <si>
    <t>VehicleKm_per_vehicle.km.HR.Tr.Rail.Passenger</t>
  </si>
  <si>
    <t>VehicleKm_per_vehicle.km.HR.Tr.Rail.Passenger.MTU</t>
  </si>
  <si>
    <t>VehicleKm_per_vehicle.km.HR.Tr.Rail.Passenger.CPT</t>
  </si>
  <si>
    <t>VehicleKm_per_vehicle.km.HR.Tr.Rail.Passenger.CPT.Diesel</t>
  </si>
  <si>
    <t>VehicleKm_per_vehicle.km.HR.Tr.Rail.Passenger.CPT.Elc</t>
  </si>
  <si>
    <t>VehicleKm_per_vehicle.km.HR.Tr.Rail.Passenger.HST</t>
  </si>
  <si>
    <t>VehicleKm_per_vehicle.km.HR.Tr.Rail.Freight</t>
  </si>
  <si>
    <t>VehicleKm_per_vehicle.km.HR.Tr.Rail.Freight.Diesel</t>
  </si>
  <si>
    <t>VehicleKm_per_vehicle.km.HR.Tr.Rail.Freight.Elc</t>
  </si>
  <si>
    <t>Activity_per_vehicle.pkm.HR.Tr.Rail.Passenger</t>
  </si>
  <si>
    <t>Activity_per_vehicle.pkm.HR.Tr.Rail.Passenger.MTU</t>
  </si>
  <si>
    <t>Activity_per_vehicle.pkm.HR.Tr.Rail.Passenger.CPT</t>
  </si>
  <si>
    <t>Activity_per_vehicle.pkm.HR.Tr.Rail.Passenger.CPT.Diesel</t>
  </si>
  <si>
    <t>Activity_per_vehicle.pkm.HR.Tr.Rail.Passenger.CPT.Elc</t>
  </si>
  <si>
    <t>Activity_per_vehicle.pkm.HR.Tr.Rail.Passenger.HST</t>
  </si>
  <si>
    <t>Activity_per_vehicle.tkm.HR.Tr.Rail.Freight</t>
  </si>
  <si>
    <t>Activity_per_vehicle.tkm.HR.Tr.Rail.Freight.Diesel</t>
  </si>
  <si>
    <t>Activity_per_vehicle.tkm.HR.Tr.Rail.Freight.Elc</t>
  </si>
  <si>
    <t>Rail, metro and tram / energy consumption - HR - Croatia</t>
  </si>
  <si>
    <t>FEC.ktoe.HR.ES.Tr.Rail</t>
  </si>
  <si>
    <t>FEC.ktoe.HR.ES.Tr.Rail.Diesel</t>
  </si>
  <si>
    <t>FEC.ktoe.HR.ES.Tr.Rail.LiqBio</t>
  </si>
  <si>
    <t>FEC.ktoe.HR.ES.Tr.Rail.Elec</t>
  </si>
  <si>
    <t>FEC.ktoe.HR.Tr.Rail</t>
  </si>
  <si>
    <t>FEC.ktoe.HR.Tr.Rail.Passenger.CPT.Diesel</t>
  </si>
  <si>
    <t>FEC.ktoe.HR.Tr.Rail.Passenger.CPT.Elc</t>
  </si>
  <si>
    <t>FEC.ktoe.HR.Tr.Rail.Freight.Diesel</t>
  </si>
  <si>
    <t>FEC.ktoe.HR.Tr.Rail.Freight.Elc</t>
  </si>
  <si>
    <t>Eff.kgoe_per_100km.HR.Tr.Rail</t>
  </si>
  <si>
    <t>Eff.kgoe_per_100km.HR.Tr.Rail.Passenger</t>
  </si>
  <si>
    <t>Eff.kgoe_per_100km.HR.Tr.Rail.Passenger.MTU</t>
  </si>
  <si>
    <t>Eff.kgoe_per_100km.HR.Tr.Rail.Passenger.CPT</t>
  </si>
  <si>
    <t>Eff.kgoe_per_100km.HR.Tr.Rail.Passenger.CPT.Diesel</t>
  </si>
  <si>
    <t>Eff.kgoe_per_100km.HR.Tr.Rail.Passenger.CPT.Elc</t>
  </si>
  <si>
    <t>Eff.kgoe_per_100km.HR.Tr.Rail.Passenger.HST</t>
  </si>
  <si>
    <t>Eff.kgoe_per_100km.HR.Tr.Rail.Freight</t>
  </si>
  <si>
    <t>Eff.kgoe_per_100km.HR.Tr.Rail.Freight.Diesel</t>
  </si>
  <si>
    <t>Eff.kgoe_per_100km.HR.Tr.Rail.Freight.Elc</t>
  </si>
  <si>
    <t>Eff.kgoe_per_kpkm.HR.Tr.Rail.Passenger.CPT.Diesel</t>
  </si>
  <si>
    <t>Eff.kgoe_per_kpkm.HR.Tr.Rail.Passenger.CPT.Elc</t>
  </si>
  <si>
    <t>Eff.kgoe_per_ktkm.HR.Tr.Rail.Freight.Diesel</t>
  </si>
  <si>
    <t>Eff.kgoe_per_ktkm.HR.Tr.Rail.Freight.Elc</t>
  </si>
  <si>
    <t>FEC_per_vehicle.kgoe.HR.Tr.Rail</t>
  </si>
  <si>
    <t>FEC_per_vehicle.kgoe.HR.Tr.Rail.Passenger</t>
  </si>
  <si>
    <t>FEC_per_vehicle.kgoe.HR.Tr.Rail.Passenger.MTU</t>
  </si>
  <si>
    <t>FEC_per_vehicle.kgoe.HR.Tr.Rail.Passenger.CPT</t>
  </si>
  <si>
    <t>FEC_per_vehicle.kgoe.HR.Tr.Rail.Passenger.CPT.Diesel</t>
  </si>
  <si>
    <t>FEC_per_vehicle.kgoe.HR.Tr.Rail.Passenger.CPT.Elc</t>
  </si>
  <si>
    <t>FEC_per_vehicle.kgoe.HR.Tr.Rail.Passenger.HST</t>
  </si>
  <si>
    <t>FEC_per_vehicle.kgoe.HR.Tr.Rail.Freight</t>
  </si>
  <si>
    <t>FEC_per_vehicle.kgoe.HR.Tr.Rail.Freight.Diesel</t>
  </si>
  <si>
    <t>FEC_per_vehicle.kgoe.HR.Tr.Rail.Freight.Elc</t>
  </si>
  <si>
    <t>Rail, metro and tram / CO2 emissions - HR - Croatia</t>
  </si>
  <si>
    <t>EMI.ktCO2.HR.ES.Tr.Rail</t>
  </si>
  <si>
    <t>EMI.ktCO2.HR.ES.Tr.Rail.Diesel</t>
  </si>
  <si>
    <t>EMI.ktCO2.HR.ES.Tr.Rail.Elec</t>
  </si>
  <si>
    <t>EMI.ktCO2.HR.Tr.Rail</t>
  </si>
  <si>
    <t>EMI.ktCO2.HR.Tr.Rail.Passenger.CPT.Diesel</t>
  </si>
  <si>
    <t>EMI.ktCO2.HR.Tr.Rail.Passenger.CPT.Elc</t>
  </si>
  <si>
    <t>EMI.ktCO2.HR.Tr.Rail.Freight.Diesel</t>
  </si>
  <si>
    <t>EMI.ktCO2.HR.Tr.Rail.Freight.Elc</t>
  </si>
  <si>
    <t>EMIint.gCO2_per_km.HR.Tr.Rail</t>
  </si>
  <si>
    <t>EMIint.gCO2_per_km.HR.Tr.Rail.Passenger</t>
  </si>
  <si>
    <t>EMIint.gCO2_per_km.HR.Tr.Rail.Passenger.MTU</t>
  </si>
  <si>
    <t>EMIint.gCO2_per_km.HR.Tr.Rail.Passenger.CPT</t>
  </si>
  <si>
    <t>EMIint.gCO2_per_km.HR.Tr.Rail.Passenger.CPT.Diesel</t>
  </si>
  <si>
    <t>EMIint.gCO2_per_km.HR.Tr.Rail.Passenger.CPT.Elc</t>
  </si>
  <si>
    <t>EMIint.gCO2_per_km.HR.Tr.Rail.Passenger.HST</t>
  </si>
  <si>
    <t>EMIint.gCO2_per_km.HR.Tr.Rail.Freight</t>
  </si>
  <si>
    <t>EMIint.gCO2_per_km.HR.Tr.Rail.Freight.Diesel</t>
  </si>
  <si>
    <t>EMIint.gCO2_per_km.HR.Tr.Rail.Freight.Elc</t>
  </si>
  <si>
    <t>EMIint.gCO2_per_pkm.HR.Tr.Rail.Passenger.CPT.Diesel</t>
  </si>
  <si>
    <t>EMIint.gCO2_per_pkm.HR.Tr.Rail.Passenger.CPT.Elc</t>
  </si>
  <si>
    <t>EMIint.gCO2_per_tkm.HR.Tr.Rail.Freight.Diesel</t>
  </si>
  <si>
    <t>EMIint.gCO2_per_tkm.HR.Tr.Rail.Freight.Elc</t>
  </si>
  <si>
    <t>EMI_per_vehicle.tCO2.HR.Tr.Rail</t>
  </si>
  <si>
    <t>EMI_per_vehicle.tCO2.HR.Tr.Rail.Passenger</t>
  </si>
  <si>
    <t>EMI_per_vehicle.tCO2.HR.Tr.Rail.Passenger.MTU</t>
  </si>
  <si>
    <t>EMI_per_vehicle.tCO2.HR.Tr.Rail.Passenger.CPT</t>
  </si>
  <si>
    <t>EMI_per_vehicle.tCO2.HR.Tr.Rail.Passenger.CPT.Diesel</t>
  </si>
  <si>
    <t>EMI_per_vehicle.tCO2.HR.Tr.Rail.Passenger.CPT.Elc</t>
  </si>
  <si>
    <t>EMI_per_vehicle.tCO2.HR.Tr.Rail.Passenger.HST</t>
  </si>
  <si>
    <t>EMI_per_vehicle.tCO2.HR.Tr.Rail.Freight</t>
  </si>
  <si>
    <t>EMI_per_vehicle.tCO2.HR.Tr.Rail.Freight.Diesel</t>
  </si>
  <si>
    <t>EMI_per_vehicle.tCO2.HR.Tr.Rail.Freight.Elc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</si>
</sst>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45432.785451388889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26963.830162422211</v>
      </c>
      <c r="C4" s="28">
        <f t="shared" si="0"/>
        <v>28139.500258269039</v>
      </c>
      <c r="D4" s="28">
        <f t="shared" si="0"/>
        <v>29111.637847995979</v>
      </c>
      <c r="E4" s="28">
        <f t="shared" si="0"/>
        <v>29737.397669693917</v>
      </c>
      <c r="F4" s="28">
        <f t="shared" si="0"/>
        <v>30647.219435095809</v>
      </c>
      <c r="G4" s="28">
        <f t="shared" si="0"/>
        <v>31696.714970770987</v>
      </c>
      <c r="H4" s="28">
        <f t="shared" si="0"/>
        <v>33219.480320065712</v>
      </c>
      <c r="I4" s="28">
        <f t="shared" si="0"/>
        <v>34914.326366632718</v>
      </c>
      <c r="J4" s="28">
        <f t="shared" si="0"/>
        <v>36375.259740139481</v>
      </c>
      <c r="K4" s="28">
        <f t="shared" si="0"/>
        <v>35437.740814426681</v>
      </c>
      <c r="L4" s="28">
        <f t="shared" si="0"/>
        <v>34334.279333714359</v>
      </c>
      <c r="M4" s="28">
        <f t="shared" si="0"/>
        <v>33657.617824508605</v>
      </c>
      <c r="N4" s="28">
        <f t="shared" si="0"/>
        <v>34600.221398544614</v>
      </c>
      <c r="O4" s="28">
        <f t="shared" si="0"/>
        <v>34914.673676470004</v>
      </c>
      <c r="P4" s="28">
        <f t="shared" si="0"/>
        <v>35228.750605553818</v>
      </c>
      <c r="Q4" s="28">
        <f t="shared" si="0"/>
        <v>35644.096564339867</v>
      </c>
      <c r="R4" s="28">
        <f t="shared" ref="R4:V4" si="1">R5+R9+R13</f>
        <v>36454.27795393495</v>
      </c>
      <c r="S4" s="28">
        <f t="shared" si="1"/>
        <v>37839.703532493171</v>
      </c>
      <c r="T4" s="28">
        <f t="shared" si="1"/>
        <v>37774.812740847126</v>
      </c>
      <c r="U4" s="28">
        <f t="shared" si="1"/>
        <v>38065.450403782008</v>
      </c>
      <c r="V4" s="28">
        <f t="shared" si="1"/>
        <v>24548.179974744635</v>
      </c>
      <c r="W4" s="28">
        <f t="shared" ref="W4" si="2">W5+W9+W13</f>
        <v>29500.625855300896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23501.081609917575</v>
      </c>
      <c r="C5" s="137">
        <f t="shared" si="3"/>
        <v>24647.012815445891</v>
      </c>
      <c r="D5" s="137">
        <f t="shared" si="3"/>
        <v>25733.691790285473</v>
      </c>
      <c r="E5" s="137">
        <f t="shared" si="3"/>
        <v>26415.578273724561</v>
      </c>
      <c r="F5" s="137">
        <f t="shared" si="3"/>
        <v>27110.802406046045</v>
      </c>
      <c r="G5" s="137">
        <f t="shared" si="3"/>
        <v>27647.665291553261</v>
      </c>
      <c r="H5" s="137">
        <f t="shared" si="3"/>
        <v>28804.051846309867</v>
      </c>
      <c r="I5" s="137">
        <f t="shared" si="3"/>
        <v>30077.641921675873</v>
      </c>
      <c r="J5" s="137">
        <f t="shared" si="3"/>
        <v>31365.359974832121</v>
      </c>
      <c r="K5" s="137">
        <f t="shared" si="3"/>
        <v>30510.55834900212</v>
      </c>
      <c r="L5" s="137">
        <f t="shared" si="3"/>
        <v>29220.411854659902</v>
      </c>
      <c r="M5" s="137">
        <f t="shared" si="3"/>
        <v>28658.634604481904</v>
      </c>
      <c r="N5" s="137">
        <f t="shared" si="3"/>
        <v>29666.243161415408</v>
      </c>
      <c r="O5" s="137">
        <f t="shared" si="3"/>
        <v>29921.265394539434</v>
      </c>
      <c r="P5" s="137">
        <f t="shared" si="3"/>
        <v>29974.244457828558</v>
      </c>
      <c r="Q5" s="137">
        <f t="shared" si="3"/>
        <v>30039.08094106528</v>
      </c>
      <c r="R5" s="137">
        <f t="shared" ref="R5:V5" si="4">R6+R7+R8</f>
        <v>30264.791718271365</v>
      </c>
      <c r="S5" s="137">
        <f t="shared" si="4"/>
        <v>30631.963934555803</v>
      </c>
      <c r="T5" s="137">
        <f t="shared" si="4"/>
        <v>29735.398704841897</v>
      </c>
      <c r="U5" s="137">
        <f t="shared" si="4"/>
        <v>29704.529112347598</v>
      </c>
      <c r="V5" s="137">
        <f t="shared" si="4"/>
        <v>22563.459383934463</v>
      </c>
      <c r="W5" s="137">
        <f t="shared" ref="W5" si="5">W6+W7+W8</f>
        <v>25858.581513043606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169.93460991757573</v>
      </c>
      <c r="C6" s="102">
        <f>TrRoad_act!C$5</f>
        <v>169.25581544588621</v>
      </c>
      <c r="D6" s="102">
        <f>TrRoad_act!D$5</f>
        <v>175.99879028546823</v>
      </c>
      <c r="E6" s="102">
        <f>TrRoad_act!E$5</f>
        <v>198.72827372456152</v>
      </c>
      <c r="F6" s="102">
        <f>TrRoad_act!F$5</f>
        <v>220.54940604604275</v>
      </c>
      <c r="G6" s="102">
        <f>TrRoad_act!G$5</f>
        <v>244.19629155326044</v>
      </c>
      <c r="H6" s="102">
        <f>TrRoad_act!H$5</f>
        <v>266.995846309863</v>
      </c>
      <c r="I6" s="102">
        <f>TrRoad_act!I$5</f>
        <v>269.66192167587201</v>
      </c>
      <c r="J6" s="102">
        <f>TrRoad_act!J$5</f>
        <v>271.87097483212125</v>
      </c>
      <c r="K6" s="102">
        <f>TrRoad_act!K$5</f>
        <v>272.56234900211803</v>
      </c>
      <c r="L6" s="102">
        <f>TrRoad_act!L$5</f>
        <v>271.99385465990503</v>
      </c>
      <c r="M6" s="102">
        <f>TrRoad_act!M$5</f>
        <v>271.61360448190248</v>
      </c>
      <c r="N6" s="102">
        <f>TrRoad_act!N$5</f>
        <v>270.16516141540421</v>
      </c>
      <c r="O6" s="102">
        <f>TrRoad_act!O$5</f>
        <v>269.26539453942951</v>
      </c>
      <c r="P6" s="102">
        <f>TrRoad_act!P$5</f>
        <v>269.24445782855344</v>
      </c>
      <c r="Q6" s="102">
        <f>TrRoad_act!Q$5</f>
        <v>269.08094106528034</v>
      </c>
      <c r="R6" s="102">
        <f>TrRoad_act!R$5</f>
        <v>281.79171827136008</v>
      </c>
      <c r="S6" s="102">
        <f>TrRoad_act!S$5</f>
        <v>292.9639345557984</v>
      </c>
      <c r="T6" s="102">
        <f>TrRoad_act!T$5</f>
        <v>298.39870484189225</v>
      </c>
      <c r="U6" s="102">
        <f>TrRoad_act!U$5</f>
        <v>310.52911234759557</v>
      </c>
      <c r="V6" s="102">
        <f>TrRoad_act!V$5</f>
        <v>272.4593839344617</v>
      </c>
      <c r="W6" s="102">
        <f>TrRoad_act!W$5</f>
        <v>333.58151304360916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20000</v>
      </c>
      <c r="C7" s="102">
        <f>TrRoad_act!C$6</f>
        <v>21000.000000000004</v>
      </c>
      <c r="D7" s="102">
        <f>TrRoad_act!D$6</f>
        <v>22000.000000000004</v>
      </c>
      <c r="E7" s="102">
        <f>TrRoad_act!E$6</f>
        <v>22500</v>
      </c>
      <c r="F7" s="102">
        <f>TrRoad_act!F$6</f>
        <v>23500</v>
      </c>
      <c r="G7" s="102">
        <f>TrRoad_act!G$6</f>
        <v>24000</v>
      </c>
      <c r="H7" s="102">
        <f>TrRoad_act!H$6</f>
        <v>25000.000000000004</v>
      </c>
      <c r="I7" s="102">
        <f>TrRoad_act!I$6</f>
        <v>26000</v>
      </c>
      <c r="J7" s="102">
        <f>TrRoad_act!J$6</f>
        <v>27000</v>
      </c>
      <c r="K7" s="102">
        <f>TrRoad_act!K$6</f>
        <v>26800.000000000004</v>
      </c>
      <c r="L7" s="102">
        <f>TrRoad_act!L$6</f>
        <v>25699.999999999996</v>
      </c>
      <c r="M7" s="102">
        <f>TrRoad_act!M$6</f>
        <v>25242</v>
      </c>
      <c r="N7" s="102">
        <f>TrRoad_act!N$6</f>
        <v>26147.000000000004</v>
      </c>
      <c r="O7" s="102">
        <f>TrRoad_act!O$6</f>
        <v>26145.000000000004</v>
      </c>
      <c r="P7" s="102">
        <f>TrRoad_act!P$6</f>
        <v>26057.000000000004</v>
      </c>
      <c r="Q7" s="102">
        <f>TrRoad_act!Q$6</f>
        <v>26393</v>
      </c>
      <c r="R7" s="102">
        <f>TrRoad_act!R$6</f>
        <v>26181.000000000004</v>
      </c>
      <c r="S7" s="102">
        <f>TrRoad_act!S$6</f>
        <v>26189.000000000004</v>
      </c>
      <c r="T7" s="102">
        <f>TrRoad_act!T$6</f>
        <v>25594.000000000004</v>
      </c>
      <c r="U7" s="102">
        <f>TrRoad_act!U$6</f>
        <v>25372.000000000004</v>
      </c>
      <c r="V7" s="102">
        <f>TrRoad_act!V$6</f>
        <v>20215</v>
      </c>
      <c r="W7" s="102">
        <f>TrRoad_act!W$6</f>
        <v>23134.999999999996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3331.1469999999999</v>
      </c>
      <c r="C8" s="102">
        <f>TrRoad_act!C$13</f>
        <v>3477.7570000000005</v>
      </c>
      <c r="D8" s="102">
        <f>TrRoad_act!D$13</f>
        <v>3557.6930000000002</v>
      </c>
      <c r="E8" s="102">
        <f>TrRoad_act!E$13</f>
        <v>3716.8500000000004</v>
      </c>
      <c r="F8" s="102">
        <f>TrRoad_act!F$13</f>
        <v>3390.2530000000002</v>
      </c>
      <c r="G8" s="102">
        <f>TrRoad_act!G$13</f>
        <v>3403.4690000000001</v>
      </c>
      <c r="H8" s="102">
        <f>TrRoad_act!H$13</f>
        <v>3537.056</v>
      </c>
      <c r="I8" s="102">
        <f>TrRoad_act!I$13</f>
        <v>3807.98</v>
      </c>
      <c r="J8" s="102">
        <f>TrRoad_act!J$13</f>
        <v>4093.4889999999996</v>
      </c>
      <c r="K8" s="102">
        <f>TrRoad_act!K$13</f>
        <v>3437.9960000000005</v>
      </c>
      <c r="L8" s="102">
        <f>TrRoad_act!L$13</f>
        <v>3248.4180000000006</v>
      </c>
      <c r="M8" s="102">
        <f>TrRoad_act!M$13</f>
        <v>3145.0209999999997</v>
      </c>
      <c r="N8" s="102">
        <f>TrRoad_act!N$13</f>
        <v>3249.078</v>
      </c>
      <c r="O8" s="102">
        <f>TrRoad_act!O$13</f>
        <v>3506.9999999999995</v>
      </c>
      <c r="P8" s="102">
        <f>TrRoad_act!P$13</f>
        <v>3648</v>
      </c>
      <c r="Q8" s="102">
        <f>TrRoad_act!Q$13</f>
        <v>3377</v>
      </c>
      <c r="R8" s="102">
        <f>TrRoad_act!R$13</f>
        <v>3802</v>
      </c>
      <c r="S8" s="102">
        <f>TrRoad_act!S$13</f>
        <v>4150</v>
      </c>
      <c r="T8" s="102">
        <f>TrRoad_act!T$13</f>
        <v>3843</v>
      </c>
      <c r="U8" s="102">
        <f>TrRoad_act!U$13</f>
        <v>4022</v>
      </c>
      <c r="V8" s="102">
        <f>TrRoad_act!V$13</f>
        <v>2076</v>
      </c>
      <c r="W8" s="102">
        <f>TrRoad_act!W$13</f>
        <v>2390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1756.171</v>
      </c>
      <c r="C9" s="110">
        <f t="shared" si="6"/>
        <v>1772.7440000000001</v>
      </c>
      <c r="D9" s="110">
        <f t="shared" si="6"/>
        <v>1729.7379999999998</v>
      </c>
      <c r="E9" s="110">
        <f t="shared" si="6"/>
        <v>1713.308</v>
      </c>
      <c r="F9" s="110">
        <f t="shared" si="6"/>
        <v>1698.0830000000001</v>
      </c>
      <c r="G9" s="110">
        <f t="shared" si="6"/>
        <v>1760.1660000000002</v>
      </c>
      <c r="H9" s="110">
        <f t="shared" si="6"/>
        <v>1881.7730000000001</v>
      </c>
      <c r="I9" s="110">
        <f t="shared" si="6"/>
        <v>2233.96</v>
      </c>
      <c r="J9" s="110">
        <f t="shared" si="6"/>
        <v>2392.6040000000003</v>
      </c>
      <c r="K9" s="110">
        <f t="shared" si="6"/>
        <v>2380.8200000000002</v>
      </c>
      <c r="L9" s="110">
        <f t="shared" si="6"/>
        <v>2260.357</v>
      </c>
      <c r="M9" s="110">
        <f t="shared" si="6"/>
        <v>1976.5309999999999</v>
      </c>
      <c r="N9" s="110">
        <f t="shared" si="6"/>
        <v>1602.4169999999999</v>
      </c>
      <c r="O9" s="110">
        <f t="shared" si="6"/>
        <v>1467.788</v>
      </c>
      <c r="P9" s="110">
        <f t="shared" si="6"/>
        <v>1492.6969999999999</v>
      </c>
      <c r="Q9" s="110">
        <f t="shared" si="6"/>
        <v>1538.9659999999999</v>
      </c>
      <c r="R9" s="110">
        <f t="shared" ref="R9:V9" si="7">R10+R11+R12</f>
        <v>1435.9850000000001</v>
      </c>
      <c r="S9" s="110">
        <f t="shared" si="7"/>
        <v>1343.9830000000002</v>
      </c>
      <c r="T9" s="110">
        <f t="shared" si="7"/>
        <v>1323.165</v>
      </c>
      <c r="U9" s="110">
        <f t="shared" si="7"/>
        <v>1101.1599999999999</v>
      </c>
      <c r="V9" s="110">
        <f t="shared" si="7"/>
        <v>842.28400000000011</v>
      </c>
      <c r="W9" s="110">
        <f t="shared" ref="W9" si="8">W10+W11+W12</f>
        <v>907.21900000000005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504.17100000000005</v>
      </c>
      <c r="C10" s="102">
        <f>TrRail_act!C$5</f>
        <v>531.74400000000003</v>
      </c>
      <c r="D10" s="102">
        <f>TrRail_act!D$5</f>
        <v>534.73799999999994</v>
      </c>
      <c r="E10" s="102">
        <f>TrRail_act!E$5</f>
        <v>550.30799999999999</v>
      </c>
      <c r="F10" s="102">
        <f>TrRail_act!F$5</f>
        <v>529.08299999999997</v>
      </c>
      <c r="G10" s="102">
        <f>TrRail_act!G$5</f>
        <v>533.16600000000005</v>
      </c>
      <c r="H10" s="102">
        <f>TrRail_act!H$5</f>
        <v>559.77300000000002</v>
      </c>
      <c r="I10" s="102">
        <f>TrRail_act!I$5</f>
        <v>660.96</v>
      </c>
      <c r="J10" s="102">
        <f>TrRail_act!J$5</f>
        <v>623.60400000000004</v>
      </c>
      <c r="K10" s="102">
        <f>TrRail_act!K$5</f>
        <v>578.82000000000005</v>
      </c>
      <c r="L10" s="102">
        <f>TrRail_act!L$5</f>
        <v>549.35699999999997</v>
      </c>
      <c r="M10" s="102">
        <f>TrRail_act!M$5</f>
        <v>519.53099999999995</v>
      </c>
      <c r="N10" s="102">
        <f>TrRail_act!N$5</f>
        <v>522.41699999999992</v>
      </c>
      <c r="O10" s="102">
        <f>TrRail_act!O$5</f>
        <v>532.78800000000001</v>
      </c>
      <c r="P10" s="102">
        <f>TrRail_act!P$5</f>
        <v>575.69699999999989</v>
      </c>
      <c r="Q10" s="102">
        <f>TrRail_act!Q$5</f>
        <v>597.96600000000001</v>
      </c>
      <c r="R10" s="102">
        <f>TrRail_act!R$5</f>
        <v>608.98500000000001</v>
      </c>
      <c r="S10" s="102">
        <f>TrRail_act!S$5</f>
        <v>607.98300000000006</v>
      </c>
      <c r="T10" s="102">
        <f>TrRail_act!T$5</f>
        <v>576.16500000000008</v>
      </c>
      <c r="U10" s="102">
        <f>TrRail_act!U$5</f>
        <v>377.15999999999997</v>
      </c>
      <c r="V10" s="102">
        <f>TrRail_act!V$5</f>
        <v>394.28400000000005</v>
      </c>
      <c r="W10" s="102">
        <f>TrRail_act!W$5</f>
        <v>369.21899999999999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1252</v>
      </c>
      <c r="C11" s="102">
        <f>TrRail_act!C$6</f>
        <v>1241</v>
      </c>
      <c r="D11" s="102">
        <f>TrRail_act!D$6</f>
        <v>1195</v>
      </c>
      <c r="E11" s="102">
        <f>TrRail_act!E$6</f>
        <v>1163</v>
      </c>
      <c r="F11" s="102">
        <f>TrRail_act!F$6</f>
        <v>1169</v>
      </c>
      <c r="G11" s="102">
        <f>TrRail_act!G$6</f>
        <v>1227</v>
      </c>
      <c r="H11" s="102">
        <f>TrRail_act!H$6</f>
        <v>1322</v>
      </c>
      <c r="I11" s="102">
        <f>TrRail_act!I$6</f>
        <v>1573</v>
      </c>
      <c r="J11" s="102">
        <f>TrRail_act!J$6</f>
        <v>1769</v>
      </c>
      <c r="K11" s="102">
        <f>TrRail_act!K$6</f>
        <v>1802</v>
      </c>
      <c r="L11" s="102">
        <f>TrRail_act!L$6</f>
        <v>1711</v>
      </c>
      <c r="M11" s="102">
        <f>TrRail_act!M$6</f>
        <v>1457</v>
      </c>
      <c r="N11" s="102">
        <f>TrRail_act!N$6</f>
        <v>1080</v>
      </c>
      <c r="O11" s="102">
        <f>TrRail_act!O$6</f>
        <v>935</v>
      </c>
      <c r="P11" s="102">
        <f>TrRail_act!P$6</f>
        <v>917</v>
      </c>
      <c r="Q11" s="102">
        <f>TrRail_act!Q$6</f>
        <v>941</v>
      </c>
      <c r="R11" s="102">
        <f>TrRail_act!R$6</f>
        <v>827</v>
      </c>
      <c r="S11" s="102">
        <f>TrRail_act!S$6</f>
        <v>736</v>
      </c>
      <c r="T11" s="102">
        <f>TrRail_act!T$6</f>
        <v>747</v>
      </c>
      <c r="U11" s="102">
        <f>TrRail_act!U$6</f>
        <v>724</v>
      </c>
      <c r="V11" s="102">
        <f>TrRail_act!V$6</f>
        <v>448</v>
      </c>
      <c r="W11" s="102">
        <f>TrRail_act!W$6</f>
        <v>538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1706.5775525046372</v>
      </c>
      <c r="C13" s="110">
        <f t="shared" ref="C13:V13" si="10">C14+C15+C16</f>
        <v>1719.7434428231509</v>
      </c>
      <c r="D13" s="110">
        <f t="shared" si="10"/>
        <v>1648.2080577105053</v>
      </c>
      <c r="E13" s="110">
        <f t="shared" si="10"/>
        <v>1608.5113959693563</v>
      </c>
      <c r="F13" s="110">
        <f t="shared" si="10"/>
        <v>1838.3340290497672</v>
      </c>
      <c r="G13" s="110">
        <f t="shared" si="10"/>
        <v>2288.8836792177244</v>
      </c>
      <c r="H13" s="110">
        <f t="shared" si="10"/>
        <v>2533.6554737558417</v>
      </c>
      <c r="I13" s="110">
        <f t="shared" si="10"/>
        <v>2602.7244449568429</v>
      </c>
      <c r="J13" s="110">
        <f t="shared" si="10"/>
        <v>2617.2957653073622</v>
      </c>
      <c r="K13" s="110">
        <f t="shared" si="10"/>
        <v>2546.3624654245614</v>
      </c>
      <c r="L13" s="110">
        <f t="shared" si="10"/>
        <v>2853.5104790544601</v>
      </c>
      <c r="M13" s="110">
        <f t="shared" si="10"/>
        <v>3022.452220026702</v>
      </c>
      <c r="N13" s="110">
        <f t="shared" si="10"/>
        <v>3331.5612371292068</v>
      </c>
      <c r="O13" s="110">
        <f t="shared" si="10"/>
        <v>3525.6202819305668</v>
      </c>
      <c r="P13" s="110">
        <f t="shared" si="10"/>
        <v>3761.8091477252574</v>
      </c>
      <c r="Q13" s="110">
        <f t="shared" si="10"/>
        <v>4066.049623274585</v>
      </c>
      <c r="R13" s="110">
        <f t="shared" si="10"/>
        <v>4753.5012356635852</v>
      </c>
      <c r="S13" s="110">
        <f t="shared" si="10"/>
        <v>5863.7565979373703</v>
      </c>
      <c r="T13" s="110">
        <f t="shared" si="10"/>
        <v>6716.2490360052261</v>
      </c>
      <c r="U13" s="110">
        <f t="shared" si="10"/>
        <v>7259.7612914344081</v>
      </c>
      <c r="V13" s="110">
        <f t="shared" si="10"/>
        <v>1142.4365908101734</v>
      </c>
      <c r="W13" s="110">
        <f t="shared" ref="W13" si="11">W14+W15+W16</f>
        <v>2734.8253422572898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133.08350078286017</v>
      </c>
      <c r="C14" s="102">
        <f>TrAvia_act!C$5</f>
        <v>132.38897354473087</v>
      </c>
      <c r="D14" s="102">
        <f>TrAvia_act!D$5</f>
        <v>156.9809452021845</v>
      </c>
      <c r="E14" s="102">
        <f>TrAvia_act!E$5</f>
        <v>173.73224543495141</v>
      </c>
      <c r="F14" s="102">
        <f>TrAvia_act!F$5</f>
        <v>190.45982648776086</v>
      </c>
      <c r="G14" s="102">
        <f>TrAvia_act!G$5</f>
        <v>193.89219005565792</v>
      </c>
      <c r="H14" s="102">
        <f>TrAvia_act!H$5</f>
        <v>180.95634442824689</v>
      </c>
      <c r="I14" s="102">
        <f>TrAvia_act!I$5</f>
        <v>188.54976275813479</v>
      </c>
      <c r="J14" s="102">
        <f>TrAvia_act!J$5</f>
        <v>205.43643377730746</v>
      </c>
      <c r="K14" s="102">
        <f>TrAvia_act!K$5</f>
        <v>187.62374158483615</v>
      </c>
      <c r="L14" s="102">
        <f>TrAvia_act!L$5</f>
        <v>172.65617975120358</v>
      </c>
      <c r="M14" s="102">
        <f>TrAvia_act!M$5</f>
        <v>188.48798858763763</v>
      </c>
      <c r="N14" s="102">
        <f>TrAvia_act!N$5</f>
        <v>181.21329219382298</v>
      </c>
      <c r="O14" s="102">
        <f>TrAvia_act!O$5</f>
        <v>175.64250284280794</v>
      </c>
      <c r="P14" s="102">
        <f>TrAvia_act!P$5</f>
        <v>174.97774556159493</v>
      </c>
      <c r="Q14" s="102">
        <f>TrAvia_act!Q$5</f>
        <v>174.68251251389609</v>
      </c>
      <c r="R14" s="102">
        <f>TrAvia_act!R$5</f>
        <v>187.6341140464057</v>
      </c>
      <c r="S14" s="102">
        <f>TrAvia_act!S$5</f>
        <v>199.98861485836318</v>
      </c>
      <c r="T14" s="102">
        <f>TrAvia_act!T$5</f>
        <v>199.1459370143655</v>
      </c>
      <c r="U14" s="102">
        <f>TrAvia_act!U$5</f>
        <v>193.6886910399777</v>
      </c>
      <c r="V14" s="102">
        <f>TrAvia_act!V$5</f>
        <v>64.050387182783567</v>
      </c>
      <c r="W14" s="102">
        <f>TrAvia_act!W$5</f>
        <v>86.87245077219751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1283.7231534894611</v>
      </c>
      <c r="C15" s="102">
        <f>TrAvia_act!C$6</f>
        <v>1296.2509392623072</v>
      </c>
      <c r="D15" s="102">
        <f>TrAvia_act!D$6</f>
        <v>1216.2936982994306</v>
      </c>
      <c r="E15" s="102">
        <f>TrAvia_act!E$6</f>
        <v>1166.7559741039368</v>
      </c>
      <c r="F15" s="102">
        <f>TrAvia_act!F$6</f>
        <v>1337.2179674501324</v>
      </c>
      <c r="G15" s="102">
        <f>TrAvia_act!G$6</f>
        <v>1784.1606465253105</v>
      </c>
      <c r="H15" s="102">
        <f>TrAvia_act!H$6</f>
        <v>2034.3713347927564</v>
      </c>
      <c r="I15" s="102">
        <f>TrAvia_act!I$6</f>
        <v>2048.1971957279707</v>
      </c>
      <c r="J15" s="102">
        <f>TrAvia_act!J$6</f>
        <v>1959.650245300609</v>
      </c>
      <c r="K15" s="102">
        <f>TrAvia_act!K$6</f>
        <v>1956.372721593463</v>
      </c>
      <c r="L15" s="102">
        <f>TrAvia_act!L$6</f>
        <v>2140.7643303996747</v>
      </c>
      <c r="M15" s="102">
        <f>TrAvia_act!M$6</f>
        <v>2207.8909070701911</v>
      </c>
      <c r="N15" s="102">
        <f>TrAvia_act!N$6</f>
        <v>2467.907850312049</v>
      </c>
      <c r="O15" s="102">
        <f>TrAvia_act!O$6</f>
        <v>2825.6776520308713</v>
      </c>
      <c r="P15" s="102">
        <f>TrAvia_act!P$6</f>
        <v>3061.4082970235249</v>
      </c>
      <c r="Q15" s="102">
        <f>TrAvia_act!Q$6</f>
        <v>3227.228479463713</v>
      </c>
      <c r="R15" s="102">
        <f>TrAvia_act!R$6</f>
        <v>3784.3331644704381</v>
      </c>
      <c r="S15" s="102">
        <f>TrAvia_act!S$6</f>
        <v>4597.3980885710971</v>
      </c>
      <c r="T15" s="102">
        <f>TrAvia_act!T$6</f>
        <v>5037.778354572697</v>
      </c>
      <c r="U15" s="102">
        <f>TrAvia_act!U$6</f>
        <v>5499.1637419364779</v>
      </c>
      <c r="V15" s="102">
        <f>TrAvia_act!V$6</f>
        <v>877.24430276233397</v>
      </c>
      <c r="W15" s="102">
        <f>TrAvia_act!W$6</f>
        <v>2138.3647689454583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289.77089823231591</v>
      </c>
      <c r="C16" s="102">
        <f>TrAvia_act!C$7</f>
        <v>291.10353001611304</v>
      </c>
      <c r="D16" s="102">
        <f>TrAvia_act!D$7</f>
        <v>274.93341420889004</v>
      </c>
      <c r="E16" s="102">
        <f>TrAvia_act!E$7</f>
        <v>268.02317643046814</v>
      </c>
      <c r="F16" s="102">
        <f>TrAvia_act!F$7</f>
        <v>310.65623511187385</v>
      </c>
      <c r="G16" s="102">
        <f>TrAvia_act!G$7</f>
        <v>310.83084263675613</v>
      </c>
      <c r="H16" s="102">
        <f>TrAvia_act!H$7</f>
        <v>318.3277945348384</v>
      </c>
      <c r="I16" s="102">
        <f>TrAvia_act!I$7</f>
        <v>365.97748647073752</v>
      </c>
      <c r="J16" s="102">
        <f>TrAvia_act!J$7</f>
        <v>452.20908622944592</v>
      </c>
      <c r="K16" s="102">
        <f>TrAvia_act!K$7</f>
        <v>402.36600224626244</v>
      </c>
      <c r="L16" s="102">
        <f>TrAvia_act!L$7</f>
        <v>540.08996890358196</v>
      </c>
      <c r="M16" s="102">
        <f>TrAvia_act!M$7</f>
        <v>626.07332436887339</v>
      </c>
      <c r="N16" s="102">
        <f>TrAvia_act!N$7</f>
        <v>682.44009462333509</v>
      </c>
      <c r="O16" s="102">
        <f>TrAvia_act!O$7</f>
        <v>524.30012705688739</v>
      </c>
      <c r="P16" s="102">
        <f>TrAvia_act!P$7</f>
        <v>525.42310514013741</v>
      </c>
      <c r="Q16" s="102">
        <f>TrAvia_act!Q$7</f>
        <v>664.13863129697563</v>
      </c>
      <c r="R16" s="102">
        <f>TrAvia_act!R$7</f>
        <v>781.5339571467415</v>
      </c>
      <c r="S16" s="102">
        <f>TrAvia_act!S$7</f>
        <v>1066.3698945079109</v>
      </c>
      <c r="T16" s="102">
        <f>TrAvia_act!T$7</f>
        <v>1479.3247444181634</v>
      </c>
      <c r="U16" s="102">
        <f>TrAvia_act!U$7</f>
        <v>1566.908858457952</v>
      </c>
      <c r="V16" s="102">
        <f>TrAvia_act!V$7</f>
        <v>201.14190086505582</v>
      </c>
      <c r="W16" s="102">
        <f>TrAvia_act!W$7</f>
        <v>509.5881225396339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8399.3699238774407</v>
      </c>
      <c r="C17" s="28">
        <f t="shared" si="12"/>
        <v>10359.136009048545</v>
      </c>
      <c r="D17" s="28">
        <f t="shared" si="12"/>
        <v>11265.087380629466</v>
      </c>
      <c r="E17" s="28">
        <f t="shared" si="12"/>
        <v>12122.561732612638</v>
      </c>
      <c r="F17" s="28">
        <f t="shared" si="12"/>
        <v>13274.824263157869</v>
      </c>
      <c r="G17" s="28">
        <f t="shared" si="12"/>
        <v>13809.143030093348</v>
      </c>
      <c r="H17" s="28">
        <f t="shared" si="12"/>
        <v>14734.249567749193</v>
      </c>
      <c r="I17" s="28">
        <f t="shared" si="12"/>
        <v>15117.980756503659</v>
      </c>
      <c r="J17" s="28">
        <f t="shared" si="12"/>
        <v>14929.293478662725</v>
      </c>
      <c r="K17" s="28">
        <f t="shared" si="12"/>
        <v>12231.393007578585</v>
      </c>
      <c r="L17" s="28">
        <f t="shared" si="12"/>
        <v>11829.007354722859</v>
      </c>
      <c r="M17" s="28">
        <f t="shared" si="12"/>
        <v>11205.509565660324</v>
      </c>
      <c r="N17" s="28">
        <f t="shared" si="12"/>
        <v>10841.395509536917</v>
      </c>
      <c r="O17" s="28">
        <f t="shared" si="12"/>
        <v>10879.009152241564</v>
      </c>
      <c r="P17" s="28">
        <f t="shared" si="12"/>
        <v>10725.262427953059</v>
      </c>
      <c r="Q17" s="28">
        <f t="shared" si="12"/>
        <v>11665.402135248658</v>
      </c>
      <c r="R17" s="28">
        <f t="shared" ref="R17:V17" si="13">R18+R21+R22+R26</f>
        <v>11609.088872746153</v>
      </c>
      <c r="S17" s="28">
        <f t="shared" si="13"/>
        <v>13276.188858663445</v>
      </c>
      <c r="T17" s="28">
        <f t="shared" si="13"/>
        <v>13398.718737583376</v>
      </c>
      <c r="U17" s="28">
        <f t="shared" si="13"/>
        <v>13254.343654060433</v>
      </c>
      <c r="V17" s="28">
        <f t="shared" si="13"/>
        <v>13940.762153888307</v>
      </c>
      <c r="W17" s="28">
        <f t="shared" ref="W17" si="14">W18+W21+W22+W26</f>
        <v>13835.508259891225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6455.6512775334922</v>
      </c>
      <c r="C18" s="137">
        <f t="shared" si="15"/>
        <v>8113.5857477005338</v>
      </c>
      <c r="D18" s="137">
        <f t="shared" si="15"/>
        <v>8861.2433097903377</v>
      </c>
      <c r="E18" s="137">
        <f t="shared" si="15"/>
        <v>9425.0722239900078</v>
      </c>
      <c r="F18" s="137">
        <f t="shared" si="15"/>
        <v>10509.129870837956</v>
      </c>
      <c r="G18" s="137">
        <f t="shared" si="15"/>
        <v>10753.526726430129</v>
      </c>
      <c r="H18" s="137">
        <f t="shared" si="15"/>
        <v>11202.568821687733</v>
      </c>
      <c r="I18" s="137">
        <f t="shared" si="15"/>
        <v>11320.939526729808</v>
      </c>
      <c r="J18" s="137">
        <f t="shared" si="15"/>
        <v>10675.092144609343</v>
      </c>
      <c r="K18" s="137">
        <f t="shared" si="15"/>
        <v>8788.1904267495665</v>
      </c>
      <c r="L18" s="137">
        <f t="shared" si="15"/>
        <v>8199.3415456840776</v>
      </c>
      <c r="M18" s="137">
        <f t="shared" si="15"/>
        <v>8005.4443635870948</v>
      </c>
      <c r="N18" s="137">
        <f t="shared" si="15"/>
        <v>7671.0234497110005</v>
      </c>
      <c r="O18" s="137">
        <f t="shared" si="15"/>
        <v>7954.3882670911307</v>
      </c>
      <c r="P18" s="137">
        <f t="shared" si="15"/>
        <v>7823.9289409292032</v>
      </c>
      <c r="Q18" s="137">
        <f t="shared" si="15"/>
        <v>8519.5868602154587</v>
      </c>
      <c r="R18" s="137">
        <f t="shared" ref="R18:V18" si="16">R19+R20</f>
        <v>8570.6309148425244</v>
      </c>
      <c r="S18" s="137">
        <f t="shared" si="16"/>
        <v>9823.9601779653676</v>
      </c>
      <c r="T18" s="137">
        <f t="shared" si="16"/>
        <v>9914.7997875998153</v>
      </c>
      <c r="U18" s="137">
        <f t="shared" si="16"/>
        <v>9456.0569854492023</v>
      </c>
      <c r="V18" s="137">
        <f t="shared" si="16"/>
        <v>9718.2722200547487</v>
      </c>
      <c r="W18" s="137">
        <f t="shared" ref="W18" si="17">W19+W20</f>
        <v>9774.8334835039095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150.70745667761406</v>
      </c>
      <c r="C19" s="102">
        <f>TrRoad_act!C$20</f>
        <v>188.20678183075682</v>
      </c>
      <c r="D19" s="102">
        <f>TrRoad_act!D$20</f>
        <v>207.95864753211225</v>
      </c>
      <c r="E19" s="102">
        <f>TrRoad_act!E$20</f>
        <v>230.39262613118865</v>
      </c>
      <c r="F19" s="102">
        <f>TrRoad_act!F$20</f>
        <v>250.47544675178938</v>
      </c>
      <c r="G19" s="102">
        <f>TrRoad_act!G$20</f>
        <v>270.47065580250143</v>
      </c>
      <c r="H19" s="102">
        <f>TrRoad_act!H$20</f>
        <v>292.62805070639178</v>
      </c>
      <c r="I19" s="102">
        <f>TrRoad_act!I$20</f>
        <v>287.95974698971827</v>
      </c>
      <c r="J19" s="102">
        <f>TrRoad_act!J$20</f>
        <v>300.04608604208823</v>
      </c>
      <c r="K19" s="102">
        <f>TrRoad_act!K$20</f>
        <v>291.6546954530358</v>
      </c>
      <c r="L19" s="102">
        <f>TrRoad_act!L$20</f>
        <v>273.21744777479074</v>
      </c>
      <c r="M19" s="102">
        <f>TrRoad_act!M$20</f>
        <v>272.6790271931863</v>
      </c>
      <c r="N19" s="102">
        <f>TrRoad_act!N$20</f>
        <v>257.65894637943097</v>
      </c>
      <c r="O19" s="102">
        <f>TrRoad_act!O$20</f>
        <v>257.83230600328289</v>
      </c>
      <c r="P19" s="102">
        <f>TrRoad_act!P$20</f>
        <v>257.7333248740818</v>
      </c>
      <c r="Q19" s="102">
        <f>TrRoad_act!Q$20</f>
        <v>300.14466824404417</v>
      </c>
      <c r="R19" s="102">
        <f>TrRoad_act!R$20</f>
        <v>320.42370603793375</v>
      </c>
      <c r="S19" s="102">
        <f>TrRoad_act!S$20</f>
        <v>354.1166049241412</v>
      </c>
      <c r="T19" s="102">
        <f>TrRoad_act!T$20</f>
        <v>393.7997875998152</v>
      </c>
      <c r="U19" s="102">
        <f>TrRoad_act!U$20</f>
        <v>422.05698544920216</v>
      </c>
      <c r="V19" s="102">
        <f>TrRoad_act!V$20</f>
        <v>437.27222005474863</v>
      </c>
      <c r="W19" s="102">
        <f>TrRoad_act!W$20</f>
        <v>472.83348350390912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6304.9438208558786</v>
      </c>
      <c r="C20" s="102">
        <f>TrRoad_act!C$26</f>
        <v>7925.3789658697769</v>
      </c>
      <c r="D20" s="102">
        <f>TrRoad_act!D$26</f>
        <v>8653.2846622582256</v>
      </c>
      <c r="E20" s="102">
        <f>TrRoad_act!E$26</f>
        <v>9194.6795978588198</v>
      </c>
      <c r="F20" s="102">
        <f>TrRoad_act!F$26</f>
        <v>10258.654424086168</v>
      </c>
      <c r="G20" s="102">
        <f>TrRoad_act!G$26</f>
        <v>10483.056070627628</v>
      </c>
      <c r="H20" s="102">
        <f>TrRoad_act!H$26</f>
        <v>10909.940770981342</v>
      </c>
      <c r="I20" s="102">
        <f>TrRoad_act!I$26</f>
        <v>11032.97977974009</v>
      </c>
      <c r="J20" s="102">
        <f>TrRoad_act!J$26</f>
        <v>10375.046058567255</v>
      </c>
      <c r="K20" s="102">
        <f>TrRoad_act!K$26</f>
        <v>8496.5357312965316</v>
      </c>
      <c r="L20" s="102">
        <f>TrRoad_act!L$26</f>
        <v>7926.1240979092863</v>
      </c>
      <c r="M20" s="102">
        <f>TrRoad_act!M$26</f>
        <v>7732.7653363939089</v>
      </c>
      <c r="N20" s="102">
        <f>TrRoad_act!N$26</f>
        <v>7413.3645033315697</v>
      </c>
      <c r="O20" s="102">
        <f>TrRoad_act!O$26</f>
        <v>7696.5559610878481</v>
      </c>
      <c r="P20" s="102">
        <f>TrRoad_act!P$26</f>
        <v>7566.1956160551217</v>
      </c>
      <c r="Q20" s="102">
        <f>TrRoad_act!Q$26</f>
        <v>8219.442191971415</v>
      </c>
      <c r="R20" s="102">
        <f>TrRoad_act!R$26</f>
        <v>8250.2072088045898</v>
      </c>
      <c r="S20" s="102">
        <f>TrRoad_act!S$26</f>
        <v>9469.8435730412257</v>
      </c>
      <c r="T20" s="102">
        <f>TrRoad_act!T$26</f>
        <v>9521</v>
      </c>
      <c r="U20" s="102">
        <f>TrRoad_act!U$26</f>
        <v>9034</v>
      </c>
      <c r="V20" s="102">
        <f>TrRoad_act!V$26</f>
        <v>9281</v>
      </c>
      <c r="W20" s="102">
        <f>TrRoad_act!W$26</f>
        <v>9302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1788</v>
      </c>
      <c r="C21" s="110">
        <f>TrRail_act!C$10</f>
        <v>2074</v>
      </c>
      <c r="D21" s="110">
        <f>TrRail_act!D$10</f>
        <v>2206</v>
      </c>
      <c r="E21" s="110">
        <f>TrRail_act!E$10</f>
        <v>2487</v>
      </c>
      <c r="F21" s="110">
        <f>TrRail_act!F$10</f>
        <v>2493</v>
      </c>
      <c r="G21" s="110">
        <f>TrRail_act!G$10</f>
        <v>2835</v>
      </c>
      <c r="H21" s="110">
        <f>TrRail_act!H$10</f>
        <v>3305</v>
      </c>
      <c r="I21" s="110">
        <f>TrRail_act!I$10</f>
        <v>3574</v>
      </c>
      <c r="J21" s="110">
        <f>TrRail_act!J$10</f>
        <v>3312</v>
      </c>
      <c r="K21" s="110">
        <f>TrRail_act!K$10</f>
        <v>2641</v>
      </c>
      <c r="L21" s="110">
        <f>TrRail_act!L$10</f>
        <v>2618</v>
      </c>
      <c r="M21" s="110">
        <f>TrRail_act!M$10</f>
        <v>2438</v>
      </c>
      <c r="N21" s="110">
        <f>TrRail_act!N$10</f>
        <v>2332</v>
      </c>
      <c r="O21" s="110">
        <f>TrRail_act!O$10</f>
        <v>2086</v>
      </c>
      <c r="P21" s="110">
        <f>TrRail_act!P$10</f>
        <v>2119</v>
      </c>
      <c r="Q21" s="110">
        <f>TrRail_act!Q$10</f>
        <v>2184</v>
      </c>
      <c r="R21" s="110">
        <f>TrRail_act!R$10</f>
        <v>2160</v>
      </c>
      <c r="S21" s="110">
        <f>TrRail_act!S$10</f>
        <v>2592</v>
      </c>
      <c r="T21" s="110">
        <f>TrRail_act!T$10</f>
        <v>2743</v>
      </c>
      <c r="U21" s="110">
        <f>TrRail_act!U$10</f>
        <v>2911</v>
      </c>
      <c r="V21" s="110">
        <f>TrRail_act!V$10</f>
        <v>3279</v>
      </c>
      <c r="W21" s="110">
        <f>TrRail_act!W$10</f>
        <v>3172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3.1286463439488807</v>
      </c>
      <c r="C22" s="110">
        <f t="shared" ref="C22:V22" si="19">C23+C24+C25</f>
        <v>3.8352613480115396</v>
      </c>
      <c r="D22" s="110">
        <f t="shared" si="19"/>
        <v>3.6600708391287609</v>
      </c>
      <c r="E22" s="110">
        <f t="shared" si="19"/>
        <v>3.54350862263043</v>
      </c>
      <c r="F22" s="110">
        <f t="shared" si="19"/>
        <v>3.3573923199127478</v>
      </c>
      <c r="G22" s="110">
        <f t="shared" si="19"/>
        <v>3.9533036632174174</v>
      </c>
      <c r="H22" s="110">
        <f t="shared" si="19"/>
        <v>3.6607460614594114</v>
      </c>
      <c r="I22" s="110">
        <f t="shared" si="19"/>
        <v>4.1432297738520196</v>
      </c>
      <c r="J22" s="110">
        <f t="shared" si="19"/>
        <v>3.9163340533819833</v>
      </c>
      <c r="K22" s="110">
        <f t="shared" si="19"/>
        <v>4.4745808290186542</v>
      </c>
      <c r="L22" s="110">
        <f t="shared" si="19"/>
        <v>3.5488090387804809</v>
      </c>
      <c r="M22" s="110">
        <f t="shared" si="19"/>
        <v>4.8382020732272402</v>
      </c>
      <c r="N22" s="110">
        <f t="shared" si="19"/>
        <v>4.0340598259167582</v>
      </c>
      <c r="O22" s="110">
        <f t="shared" si="19"/>
        <v>5.0048851504351912</v>
      </c>
      <c r="P22" s="110">
        <f t="shared" si="19"/>
        <v>5.1614870238555675</v>
      </c>
      <c r="Q22" s="110">
        <f t="shared" si="19"/>
        <v>5.5312750332002381</v>
      </c>
      <c r="R22" s="110">
        <f t="shared" si="19"/>
        <v>6.399957903628211</v>
      </c>
      <c r="S22" s="110">
        <f t="shared" si="19"/>
        <v>6.9476806980781127</v>
      </c>
      <c r="T22" s="110">
        <f t="shared" si="19"/>
        <v>24.193949983560007</v>
      </c>
      <c r="U22" s="110">
        <f t="shared" si="19"/>
        <v>18.339668611230788</v>
      </c>
      <c r="V22" s="110">
        <f t="shared" si="19"/>
        <v>7.2649338335582661</v>
      </c>
      <c r="W22" s="110">
        <f t="shared" ref="W22" si="20">W23+W24+W25</f>
        <v>11.449776387314985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0.18552397295616405</v>
      </c>
      <c r="C23" s="102">
        <f>TrAvia_act!C$9</f>
        <v>0.22297696108602091</v>
      </c>
      <c r="D23" s="102">
        <f>TrAvia_act!D$9</f>
        <v>0.22929368576354137</v>
      </c>
      <c r="E23" s="102">
        <f>TrAvia_act!E$9</f>
        <v>0.22152095859505008</v>
      </c>
      <c r="F23" s="102">
        <f>TrAvia_act!F$9</f>
        <v>0.2128110957566266</v>
      </c>
      <c r="G23" s="102">
        <f>TrAvia_act!G$9</f>
        <v>0.2639046593638642</v>
      </c>
      <c r="H23" s="102">
        <f>TrAvia_act!H$9</f>
        <v>0.31700715665897833</v>
      </c>
      <c r="I23" s="102">
        <f>TrAvia_act!I$9</f>
        <v>0.44369146613252114</v>
      </c>
      <c r="J23" s="102">
        <f>TrAvia_act!J$9</f>
        <v>0.47784190667305093</v>
      </c>
      <c r="K23" s="102">
        <f>TrAvia_act!K$9</f>
        <v>0.38260022017459039</v>
      </c>
      <c r="L23" s="102">
        <f>TrAvia_act!L$9</f>
        <v>0.36830037969476143</v>
      </c>
      <c r="M23" s="102">
        <f>TrAvia_act!M$9</f>
        <v>0.26686938990440878</v>
      </c>
      <c r="N23" s="102">
        <f>TrAvia_act!N$9</f>
        <v>0.13613706735946529</v>
      </c>
      <c r="O23" s="102">
        <f>TrAvia_act!O$9</f>
        <v>0.12322788395836987</v>
      </c>
      <c r="P23" s="102">
        <f>TrAvia_act!P$9</f>
        <v>0.12553386906944625</v>
      </c>
      <c r="Q23" s="102">
        <f>TrAvia_act!Q$9</f>
        <v>0.12136961451043668</v>
      </c>
      <c r="R23" s="102">
        <f>TrAvia_act!R$9</f>
        <v>0.1159284331815268</v>
      </c>
      <c r="S23" s="102">
        <f>TrAvia_act!S$9</f>
        <v>0.11113561159602828</v>
      </c>
      <c r="T23" s="102">
        <f>TrAvia_act!T$9</f>
        <v>9.7613541951314456E-2</v>
      </c>
      <c r="U23" s="102">
        <f>TrAvia_act!U$9</f>
        <v>8.5230271075923333E-2</v>
      </c>
      <c r="V23" s="102">
        <f>TrAvia_act!V$9</f>
        <v>1.6632834634264126E-2</v>
      </c>
      <c r="W23" s="102">
        <f>TrAvia_act!W$9</f>
        <v>1.3556006380441681E-2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1.9744521119332452</v>
      </c>
      <c r="C24" s="102">
        <f>TrAvia_act!C$10</f>
        <v>2.4525715135539947</v>
      </c>
      <c r="D24" s="102">
        <f>TrAvia_act!D$10</f>
        <v>2.3355189427821021</v>
      </c>
      <c r="E24" s="102">
        <f>TrAvia_act!E$10</f>
        <v>2.2022280890595272</v>
      </c>
      <c r="F24" s="102">
        <f>TrAvia_act!F$10</f>
        <v>2.0576517196338067</v>
      </c>
      <c r="G24" s="102">
        <f>TrAvia_act!G$10</f>
        <v>2.6204672532248798</v>
      </c>
      <c r="H24" s="102">
        <f>TrAvia_act!H$10</f>
        <v>2.3362114652224735</v>
      </c>
      <c r="I24" s="102">
        <f>TrAvia_act!I$10</f>
        <v>2.5941290457811537</v>
      </c>
      <c r="J24" s="102">
        <f>TrAvia_act!J$10</f>
        <v>2.3176778831683933</v>
      </c>
      <c r="K24" s="102">
        <f>TrAvia_act!K$10</f>
        <v>3.1755954533800557</v>
      </c>
      <c r="L24" s="102">
        <f>TrAvia_act!L$10</f>
        <v>2.0806227845470651</v>
      </c>
      <c r="M24" s="102">
        <f>TrAvia_act!M$10</f>
        <v>1.3478727503212529</v>
      </c>
      <c r="N24" s="102">
        <f>TrAvia_act!N$10</f>
        <v>1.5522705808730537</v>
      </c>
      <c r="O24" s="102">
        <f>TrAvia_act!O$10</f>
        <v>1.7128196791564039</v>
      </c>
      <c r="P24" s="102">
        <f>TrAvia_act!P$10</f>
        <v>1.8533509055450457</v>
      </c>
      <c r="Q24" s="102">
        <f>TrAvia_act!Q$10</f>
        <v>1.9003859206112381</v>
      </c>
      <c r="R24" s="102">
        <f>TrAvia_act!R$10</f>
        <v>2.1735195729991066</v>
      </c>
      <c r="S24" s="102">
        <f>TrAvia_act!S$10</f>
        <v>1.9009286144827442</v>
      </c>
      <c r="T24" s="102">
        <f>TrAvia_act!T$10</f>
        <v>2.2218541002585575</v>
      </c>
      <c r="U24" s="102">
        <f>TrAvia_act!U$10</f>
        <v>2.7131078288725625</v>
      </c>
      <c r="V24" s="102">
        <f>TrAvia_act!V$10</f>
        <v>2.2528645924692539</v>
      </c>
      <c r="W24" s="102">
        <f>TrAvia_act!W$10</f>
        <v>2.9342473239012401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0.96867025905947179</v>
      </c>
      <c r="C25" s="102">
        <f>TrAvia_act!C$11</f>
        <v>1.1597128733715236</v>
      </c>
      <c r="D25" s="102">
        <f>TrAvia_act!D$11</f>
        <v>1.0952582105831175</v>
      </c>
      <c r="E25" s="102">
        <f>TrAvia_act!E$11</f>
        <v>1.1197595749758531</v>
      </c>
      <c r="F25" s="102">
        <f>TrAvia_act!F$11</f>
        <v>1.0869295045223146</v>
      </c>
      <c r="G25" s="102">
        <f>TrAvia_act!G$11</f>
        <v>1.0689317506286735</v>
      </c>
      <c r="H25" s="102">
        <f>TrAvia_act!H$11</f>
        <v>1.0075274395779592</v>
      </c>
      <c r="I25" s="102">
        <f>TrAvia_act!I$11</f>
        <v>1.1054092619383447</v>
      </c>
      <c r="J25" s="102">
        <f>TrAvia_act!J$11</f>
        <v>1.1208142635405387</v>
      </c>
      <c r="K25" s="102">
        <f>TrAvia_act!K$11</f>
        <v>0.91638515546400767</v>
      </c>
      <c r="L25" s="102">
        <f>TrAvia_act!L$11</f>
        <v>1.0998858745386544</v>
      </c>
      <c r="M25" s="102">
        <f>TrAvia_act!M$11</f>
        <v>3.2234599330015783</v>
      </c>
      <c r="N25" s="102">
        <f>TrAvia_act!N$11</f>
        <v>2.3456521776842396</v>
      </c>
      <c r="O25" s="102">
        <f>TrAvia_act!O$11</f>
        <v>3.168837587320418</v>
      </c>
      <c r="P25" s="102">
        <f>TrAvia_act!P$11</f>
        <v>3.1826022492410755</v>
      </c>
      <c r="Q25" s="102">
        <f>TrAvia_act!Q$11</f>
        <v>3.5095194980785633</v>
      </c>
      <c r="R25" s="102">
        <f>TrAvia_act!R$11</f>
        <v>4.1105098974475771</v>
      </c>
      <c r="S25" s="102">
        <f>TrAvia_act!S$11</f>
        <v>4.9356164719993405</v>
      </c>
      <c r="T25" s="102">
        <f>TrAvia_act!T$11</f>
        <v>21.874482341350134</v>
      </c>
      <c r="U25" s="102">
        <f>TrAvia_act!U$11</f>
        <v>15.541330511282302</v>
      </c>
      <c r="V25" s="102">
        <f>TrAvia_act!V$11</f>
        <v>4.9954364064547478</v>
      </c>
      <c r="W25" s="102">
        <f>TrAvia_act!W$11</f>
        <v>8.5019730570333039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152.59</v>
      </c>
      <c r="C26" s="110">
        <f t="shared" si="21"/>
        <v>167.71499999999997</v>
      </c>
      <c r="D26" s="110">
        <f t="shared" si="21"/>
        <v>194.184</v>
      </c>
      <c r="E26" s="110">
        <f t="shared" si="21"/>
        <v>206.946</v>
      </c>
      <c r="F26" s="110">
        <f t="shared" si="21"/>
        <v>269.33699999999999</v>
      </c>
      <c r="G26" s="110">
        <f t="shared" si="21"/>
        <v>216.66300000000001</v>
      </c>
      <c r="H26" s="110">
        <f t="shared" si="21"/>
        <v>223.02</v>
      </c>
      <c r="I26" s="110">
        <f t="shared" si="21"/>
        <v>218.898</v>
      </c>
      <c r="J26" s="110">
        <f t="shared" si="21"/>
        <v>938.28499999999997</v>
      </c>
      <c r="K26" s="110">
        <f t="shared" si="21"/>
        <v>797.72799999999995</v>
      </c>
      <c r="L26" s="110">
        <f t="shared" si="21"/>
        <v>1008.117</v>
      </c>
      <c r="M26" s="110">
        <f t="shared" si="21"/>
        <v>757.22699999999998</v>
      </c>
      <c r="N26" s="110">
        <f t="shared" si="21"/>
        <v>834.33799999999997</v>
      </c>
      <c r="O26" s="110">
        <f t="shared" si="21"/>
        <v>833.61599999999999</v>
      </c>
      <c r="P26" s="110">
        <f t="shared" si="21"/>
        <v>777.17200000000003</v>
      </c>
      <c r="Q26" s="110">
        <f t="shared" si="21"/>
        <v>956.28399999999999</v>
      </c>
      <c r="R26" s="110">
        <f t="shared" ref="R26:V26" si="22">R27+R28</f>
        <v>872.05799999999999</v>
      </c>
      <c r="S26" s="110">
        <f t="shared" si="22"/>
        <v>853.28099999999995</v>
      </c>
      <c r="T26" s="110">
        <f t="shared" si="22"/>
        <v>716.72500000000002</v>
      </c>
      <c r="U26" s="110">
        <f t="shared" si="22"/>
        <v>868.947</v>
      </c>
      <c r="V26" s="110">
        <f t="shared" si="22"/>
        <v>936.22500000000002</v>
      </c>
      <c r="W26" s="110">
        <f t="shared" ref="W26" si="23">W27+W28</f>
        <v>877.22500000000002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89.054000000000002</v>
      </c>
      <c r="C27" s="102">
        <f>TrNavi_act!C4</f>
        <v>90.230999999999995</v>
      </c>
      <c r="D27" s="102">
        <f>TrNavi_act!D4</f>
        <v>104.43899999999999</v>
      </c>
      <c r="E27" s="102">
        <f>TrNavi_act!E4</f>
        <v>106.846</v>
      </c>
      <c r="F27" s="102">
        <f>TrNavi_act!F4</f>
        <v>90.637</v>
      </c>
      <c r="G27" s="102">
        <f>TrNavi_act!G4</f>
        <v>98.063000000000002</v>
      </c>
      <c r="H27" s="102">
        <f>TrNavi_act!H4</f>
        <v>106.62</v>
      </c>
      <c r="I27" s="102">
        <f>TrNavi_act!I4</f>
        <v>109.898</v>
      </c>
      <c r="J27" s="102">
        <f>TrNavi_act!J4</f>
        <v>96.284999999999997</v>
      </c>
      <c r="K27" s="102">
        <f>TrNavi_act!K4</f>
        <v>70.727999999999994</v>
      </c>
      <c r="L27" s="102">
        <f>TrNavi_act!L4</f>
        <v>68.117000000000004</v>
      </c>
      <c r="M27" s="102">
        <f>TrNavi_act!M4</f>
        <v>65.227000000000004</v>
      </c>
      <c r="N27" s="102">
        <f>TrNavi_act!N4</f>
        <v>62.338000000000001</v>
      </c>
      <c r="O27" s="102">
        <f>TrNavi_act!O4</f>
        <v>62.616</v>
      </c>
      <c r="P27" s="102">
        <f>TrNavi_act!P4</f>
        <v>61.171999999999997</v>
      </c>
      <c r="Q27" s="102">
        <f>TrNavi_act!Q4</f>
        <v>77.284000000000006</v>
      </c>
      <c r="R27" s="102">
        <f>TrNavi_act!R4</f>
        <v>36.058</v>
      </c>
      <c r="S27" s="102">
        <f>TrNavi_act!S4</f>
        <v>40.280999999999999</v>
      </c>
      <c r="T27" s="102">
        <f>TrNavi_act!T4</f>
        <v>38.725000000000001</v>
      </c>
      <c r="U27" s="102">
        <f>TrNavi_act!U4</f>
        <v>33.947000000000003</v>
      </c>
      <c r="V27" s="102">
        <f>TrNavi_act!V4</f>
        <v>33.225000000000001</v>
      </c>
      <c r="W27" s="102">
        <f>TrNavi_act!W4</f>
        <v>36.225000000000001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63.535999999999994</v>
      </c>
      <c r="C28" s="169">
        <f>TrNavi_act!C5</f>
        <v>77.483999999999995</v>
      </c>
      <c r="D28" s="169">
        <f>TrNavi_act!D5</f>
        <v>89.745000000000005</v>
      </c>
      <c r="E28" s="169">
        <f>TrNavi_act!E5</f>
        <v>100.1</v>
      </c>
      <c r="F28" s="169">
        <f>TrNavi_act!F5</f>
        <v>178.7</v>
      </c>
      <c r="G28" s="169">
        <f>TrNavi_act!G5</f>
        <v>118.6</v>
      </c>
      <c r="H28" s="169">
        <f>TrNavi_act!H5</f>
        <v>116.4</v>
      </c>
      <c r="I28" s="169">
        <f>TrNavi_act!I5</f>
        <v>109</v>
      </c>
      <c r="J28" s="169">
        <f>TrNavi_act!J5</f>
        <v>842</v>
      </c>
      <c r="K28" s="169">
        <f>TrNavi_act!K5</f>
        <v>727</v>
      </c>
      <c r="L28" s="169">
        <f>TrNavi_act!L5</f>
        <v>940</v>
      </c>
      <c r="M28" s="169">
        <f>TrNavi_act!M5</f>
        <v>692</v>
      </c>
      <c r="N28" s="169">
        <f>TrNavi_act!N5</f>
        <v>772</v>
      </c>
      <c r="O28" s="169">
        <f>TrNavi_act!O5</f>
        <v>771</v>
      </c>
      <c r="P28" s="169">
        <f>TrNavi_act!P5</f>
        <v>716</v>
      </c>
      <c r="Q28" s="169">
        <f>TrNavi_act!Q5</f>
        <v>879</v>
      </c>
      <c r="R28" s="169">
        <f>TrNavi_act!R5</f>
        <v>836</v>
      </c>
      <c r="S28" s="169">
        <f>TrNavi_act!S5</f>
        <v>813</v>
      </c>
      <c r="T28" s="169">
        <f>TrNavi_act!T5</f>
        <v>678</v>
      </c>
      <c r="U28" s="169">
        <f>TrNavi_act!U5</f>
        <v>835</v>
      </c>
      <c r="V28" s="169">
        <f>TrNavi_act!V5</f>
        <v>903</v>
      </c>
      <c r="W28" s="169">
        <f>TrNavi_act!W5</f>
        <v>841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30443.353301999996</v>
      </c>
      <c r="C29" s="28">
        <f t="shared" si="24"/>
        <v>48086.130715999992</v>
      </c>
      <c r="D29" s="28">
        <f t="shared" si="24"/>
        <v>39555.051325</v>
      </c>
      <c r="E29" s="28">
        <f t="shared" si="24"/>
        <v>36201.768375</v>
      </c>
      <c r="F29" s="28">
        <f t="shared" si="24"/>
        <v>39289.136744000003</v>
      </c>
      <c r="G29" s="28">
        <f t="shared" si="24"/>
        <v>41672.733864000002</v>
      </c>
      <c r="H29" s="28">
        <f t="shared" si="24"/>
        <v>35869.758231</v>
      </c>
      <c r="I29" s="28">
        <f t="shared" si="24"/>
        <v>49002.275716000004</v>
      </c>
      <c r="J29" s="28">
        <f t="shared" si="24"/>
        <v>55084.013793999999</v>
      </c>
      <c r="K29" s="28">
        <f t="shared" si="24"/>
        <v>33653.408637</v>
      </c>
      <c r="L29" s="28">
        <f t="shared" si="24"/>
        <v>38171.780230999997</v>
      </c>
      <c r="M29" s="28">
        <f t="shared" si="24"/>
        <v>34307.733602</v>
      </c>
      <c r="N29" s="28">
        <f t="shared" si="24"/>
        <v>28886.016502999999</v>
      </c>
      <c r="O29" s="28">
        <f t="shared" si="24"/>
        <v>27776.679847000003</v>
      </c>
      <c r="P29" s="28">
        <f t="shared" si="24"/>
        <v>31194.009788000003</v>
      </c>
      <c r="Q29" s="28">
        <f t="shared" si="24"/>
        <v>32071.297875000004</v>
      </c>
      <c r="R29" s="28">
        <f t="shared" si="24"/>
        <v>32524.971901999997</v>
      </c>
      <c r="S29" s="28">
        <f t="shared" si="24"/>
        <v>37456.388447000005</v>
      </c>
      <c r="T29" s="28">
        <f t="shared" si="24"/>
        <v>46467.790875000006</v>
      </c>
      <c r="U29" s="28">
        <f t="shared" si="24"/>
        <v>44257.676842000001</v>
      </c>
      <c r="V29" s="28">
        <f t="shared" si="24"/>
        <v>40096.701716999996</v>
      </c>
      <c r="W29" s="28">
        <f t="shared" si="24"/>
        <v>43154.787986000003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6519.8503760000003</v>
      </c>
      <c r="C30" s="102">
        <f>MBunk_act!C$4</f>
        <v>10118.975708</v>
      </c>
      <c r="D30" s="102">
        <f>MBunk_act!D$4</f>
        <v>8334.367142000001</v>
      </c>
      <c r="E30" s="102">
        <f>MBunk_act!E$4</f>
        <v>7645.5680300000004</v>
      </c>
      <c r="F30" s="102">
        <f>MBunk_act!F$4</f>
        <v>8293.1759840000013</v>
      </c>
      <c r="G30" s="102">
        <f>MBunk_act!G$4</f>
        <v>8615.3819249999997</v>
      </c>
      <c r="H30" s="102">
        <f>MBunk_act!H$4</f>
        <v>7979.4047680000003</v>
      </c>
      <c r="I30" s="102">
        <f>MBunk_act!I$4</f>
        <v>9125.6897050000007</v>
      </c>
      <c r="J30" s="102">
        <f>MBunk_act!J$4</f>
        <v>8488.7227490000005</v>
      </c>
      <c r="K30" s="102">
        <f>MBunk_act!K$4</f>
        <v>7841.2533410000005</v>
      </c>
      <c r="L30" s="102">
        <f>MBunk_act!L$4</f>
        <v>7307.4301970000006</v>
      </c>
      <c r="M30" s="102">
        <f>MBunk_act!M$4</f>
        <v>7065.6916160000001</v>
      </c>
      <c r="N30" s="102">
        <f>MBunk_act!N$4</f>
        <v>5468.9826190000003</v>
      </c>
      <c r="O30" s="102">
        <f>MBunk_act!O$4</f>
        <v>4021.4422070000001</v>
      </c>
      <c r="P30" s="102">
        <f>MBunk_act!P$4</f>
        <v>4067.1539540000003</v>
      </c>
      <c r="Q30" s="102">
        <f>MBunk_act!Q$4</f>
        <v>3520.8588520000003</v>
      </c>
      <c r="R30" s="102">
        <f>MBunk_act!R$4</f>
        <v>3420.75072</v>
      </c>
      <c r="S30" s="102">
        <f>MBunk_act!S$4</f>
        <v>4162.7709670000004</v>
      </c>
      <c r="T30" s="102">
        <f>MBunk_act!T$4</f>
        <v>4540.8656170000004</v>
      </c>
      <c r="U30" s="102">
        <f>MBunk_act!U$4</f>
        <v>4630.2222979999997</v>
      </c>
      <c r="V30" s="102">
        <f>MBunk_act!V$4</f>
        <v>5946.9522479999996</v>
      </c>
      <c r="W30" s="102">
        <f>MBunk_act!W$4</f>
        <v>6918.9769839999999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23923.502925999997</v>
      </c>
      <c r="C31" s="86">
        <f>MBunk_act!C$5</f>
        <v>37967.155007999994</v>
      </c>
      <c r="D31" s="86">
        <f>MBunk_act!D$5</f>
        <v>31220.684182999998</v>
      </c>
      <c r="E31" s="86">
        <f>MBunk_act!E$5</f>
        <v>28556.200345000001</v>
      </c>
      <c r="F31" s="86">
        <f>MBunk_act!F$5</f>
        <v>30995.960759999998</v>
      </c>
      <c r="G31" s="86">
        <f>MBunk_act!G$5</f>
        <v>33057.351939</v>
      </c>
      <c r="H31" s="86">
        <f>MBunk_act!H$5</f>
        <v>27890.353462999999</v>
      </c>
      <c r="I31" s="86">
        <f>MBunk_act!I$5</f>
        <v>39876.586010999999</v>
      </c>
      <c r="J31" s="86">
        <f>MBunk_act!J$5</f>
        <v>46595.291044999998</v>
      </c>
      <c r="K31" s="86">
        <f>MBunk_act!K$5</f>
        <v>25812.155295999997</v>
      </c>
      <c r="L31" s="86">
        <f>MBunk_act!L$5</f>
        <v>30864.350033999999</v>
      </c>
      <c r="M31" s="86">
        <f>MBunk_act!M$5</f>
        <v>27242.041986</v>
      </c>
      <c r="N31" s="86">
        <f>MBunk_act!N$5</f>
        <v>23417.033884</v>
      </c>
      <c r="O31" s="86">
        <f>MBunk_act!O$5</f>
        <v>23755.237640000003</v>
      </c>
      <c r="P31" s="86">
        <f>MBunk_act!P$5</f>
        <v>27126.855834000002</v>
      </c>
      <c r="Q31" s="86">
        <f>MBunk_act!Q$5</f>
        <v>28550.439023000003</v>
      </c>
      <c r="R31" s="86">
        <f>MBunk_act!R$5</f>
        <v>29104.221181999997</v>
      </c>
      <c r="S31" s="86">
        <f>MBunk_act!S$5</f>
        <v>33293.617480000001</v>
      </c>
      <c r="T31" s="86">
        <f>MBunk_act!T$5</f>
        <v>41926.925258000003</v>
      </c>
      <c r="U31" s="86">
        <f>MBunk_act!U$5</f>
        <v>39627.454544</v>
      </c>
      <c r="V31" s="86">
        <f>MBunk_act!V$5</f>
        <v>34149.749468999995</v>
      </c>
      <c r="W31" s="86">
        <f>MBunk_act!W$5</f>
        <v>36235.811002000002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1276.6942010603732</v>
      </c>
      <c r="C34" s="28">
        <f t="shared" si="25"/>
        <v>1272.0440713877479</v>
      </c>
      <c r="D34" s="28">
        <f t="shared" si="25"/>
        <v>1286.3066312551534</v>
      </c>
      <c r="E34" s="28">
        <f t="shared" si="25"/>
        <v>1368.8142308716915</v>
      </c>
      <c r="F34" s="28">
        <f t="shared" si="25"/>
        <v>1390.5090663909264</v>
      </c>
      <c r="G34" s="28">
        <f t="shared" si="25"/>
        <v>1454.6595729391638</v>
      </c>
      <c r="H34" s="28">
        <f t="shared" si="25"/>
        <v>1543.484949928511</v>
      </c>
      <c r="I34" s="28">
        <f t="shared" si="25"/>
        <v>1680.2253097813498</v>
      </c>
      <c r="J34" s="28">
        <f t="shared" si="25"/>
        <v>1669.4751627045516</v>
      </c>
      <c r="K34" s="28">
        <f t="shared" si="25"/>
        <v>1677.9780920439812</v>
      </c>
      <c r="L34" s="28">
        <f t="shared" si="25"/>
        <v>1616.2829738492389</v>
      </c>
      <c r="M34" s="28">
        <f t="shared" si="25"/>
        <v>1599.4765412893823</v>
      </c>
      <c r="N34" s="28">
        <f t="shared" si="25"/>
        <v>1599.6962470683895</v>
      </c>
      <c r="O34" s="28">
        <f t="shared" si="25"/>
        <v>1581.6307271914909</v>
      </c>
      <c r="P34" s="28">
        <f t="shared" si="25"/>
        <v>1594.248013963585</v>
      </c>
      <c r="Q34" s="28">
        <f t="shared" si="25"/>
        <v>1667.2105717544316</v>
      </c>
      <c r="R34" s="28">
        <f t="shared" ref="R34:V34" si="26">R35+R39+R43</f>
        <v>1735.7145736081015</v>
      </c>
      <c r="S34" s="28">
        <f t="shared" si="26"/>
        <v>1810.1575287250962</v>
      </c>
      <c r="T34" s="28">
        <f t="shared" si="26"/>
        <v>1815.0377219797358</v>
      </c>
      <c r="U34" s="28">
        <f t="shared" si="26"/>
        <v>1851.5861011828647</v>
      </c>
      <c r="V34" s="28">
        <f t="shared" si="26"/>
        <v>1453.0552450304201</v>
      </c>
      <c r="W34" s="28">
        <f t="shared" ref="W34" si="27">W35+W39+W43</f>
        <v>1658.5125066398648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1168.7882759450777</v>
      </c>
      <c r="C35" s="137">
        <f t="shared" si="28"/>
        <v>1165.1171414244802</v>
      </c>
      <c r="D35" s="137">
        <f t="shared" si="28"/>
        <v>1182.0370702417251</v>
      </c>
      <c r="E35" s="137">
        <f t="shared" si="28"/>
        <v>1267.2263173020265</v>
      </c>
      <c r="F35" s="137">
        <f t="shared" si="28"/>
        <v>1277.5389157883997</v>
      </c>
      <c r="G35" s="137">
        <f t="shared" si="28"/>
        <v>1325.9814796803207</v>
      </c>
      <c r="H35" s="137">
        <f t="shared" si="28"/>
        <v>1410.8334561672336</v>
      </c>
      <c r="I35" s="137">
        <f t="shared" si="28"/>
        <v>1543.0266311363534</v>
      </c>
      <c r="J35" s="137">
        <f t="shared" si="28"/>
        <v>1517.1695527511781</v>
      </c>
      <c r="K35" s="137">
        <f t="shared" si="28"/>
        <v>1544.0692120490496</v>
      </c>
      <c r="L35" s="137">
        <f t="shared" si="28"/>
        <v>1476.8516877365144</v>
      </c>
      <c r="M35" s="137">
        <f t="shared" si="28"/>
        <v>1454.190755702399</v>
      </c>
      <c r="N35" s="137">
        <f t="shared" si="28"/>
        <v>1450.2683259720311</v>
      </c>
      <c r="O35" s="137">
        <f t="shared" si="28"/>
        <v>1424.330894641851</v>
      </c>
      <c r="P35" s="137">
        <f t="shared" si="28"/>
        <v>1439.7653114043239</v>
      </c>
      <c r="Q35" s="137">
        <f t="shared" si="28"/>
        <v>1516.927949962889</v>
      </c>
      <c r="R35" s="137">
        <f t="shared" ref="R35:V35" si="29">R36+R37+R38</f>
        <v>1578.5139851214788</v>
      </c>
      <c r="S35" s="137">
        <f t="shared" si="29"/>
        <v>1629.6875109620025</v>
      </c>
      <c r="T35" s="137">
        <f t="shared" si="29"/>
        <v>1599.2958420358596</v>
      </c>
      <c r="U35" s="137">
        <f t="shared" si="29"/>
        <v>1621.3970546828805</v>
      </c>
      <c r="V35" s="137">
        <f t="shared" si="29"/>
        <v>1376.6850698340261</v>
      </c>
      <c r="W35" s="137">
        <f t="shared" ref="W35" si="30">W36+W37+W38</f>
        <v>1532.8257078799679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5.8762532934582836</v>
      </c>
      <c r="C36" s="102">
        <f>TrRoad_ene!C$19</f>
        <v>5.8408710443356711</v>
      </c>
      <c r="D36" s="102">
        <f>TrRoad_ene!D$19</f>
        <v>5.9915453205647689</v>
      </c>
      <c r="E36" s="102">
        <f>TrRoad_ene!E$19</f>
        <v>6.5480576527631555</v>
      </c>
      <c r="F36" s="102">
        <f>TrRoad_ene!F$19</f>
        <v>7.087225749586425</v>
      </c>
      <c r="G36" s="102">
        <f>TrRoad_ene!G$19</f>
        <v>7.6664490871348017</v>
      </c>
      <c r="H36" s="102">
        <f>TrRoad_ene!H$19</f>
        <v>8.2246820462994386</v>
      </c>
      <c r="I36" s="102">
        <f>TrRoad_ene!I$19</f>
        <v>8.2082485675614372</v>
      </c>
      <c r="J36" s="102">
        <f>TrRoad_ene!J$19</f>
        <v>8.1937927006154876</v>
      </c>
      <c r="K36" s="102">
        <f>TrRoad_ene!K$19</f>
        <v>8.1581659926933501</v>
      </c>
      <c r="L36" s="102">
        <f>TrRoad_ene!L$19</f>
        <v>8.1098782360893811</v>
      </c>
      <c r="M36" s="102">
        <f>TrRoad_ene!M$19</f>
        <v>8.0573880604114567</v>
      </c>
      <c r="N36" s="102">
        <f>TrRoad_ene!N$19</f>
        <v>8.046307484994168</v>
      </c>
      <c r="O36" s="102">
        <f>TrRoad_ene!O$19</f>
        <v>7.9656168916289944</v>
      </c>
      <c r="P36" s="102">
        <f>TrRoad_ene!P$19</f>
        <v>7.8844169631074248</v>
      </c>
      <c r="Q36" s="102">
        <f>TrRoad_ene!Q$19</f>
        <v>7.8591179614801634</v>
      </c>
      <c r="R36" s="102">
        <f>TrRoad_ene!R$19</f>
        <v>8.1945337643391909</v>
      </c>
      <c r="S36" s="102">
        <f>TrRoad_ene!S$19</f>
        <v>8.5291324816517644</v>
      </c>
      <c r="T36" s="102">
        <f>TrRoad_ene!T$19</f>
        <v>8.6306680290774711</v>
      </c>
      <c r="U36" s="102">
        <f>TrRoad_ene!U$19</f>
        <v>8.9600842816383235</v>
      </c>
      <c r="V36" s="102">
        <f>TrRoad_ene!V$19</f>
        <v>7.8698187517337264</v>
      </c>
      <c r="W36" s="102">
        <f>TrRoad_ene!W$19</f>
        <v>9.2396820960127712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985.92020200899947</v>
      </c>
      <c r="C37" s="102">
        <f>TrRoad_ene!C$21</f>
        <v>988.28233189078071</v>
      </c>
      <c r="D37" s="102">
        <f>TrRoad_ene!D$21</f>
        <v>1006.909426781776</v>
      </c>
      <c r="E37" s="102">
        <f>TrRoad_ene!E$21</f>
        <v>1090.7563373773189</v>
      </c>
      <c r="F37" s="102">
        <f>TrRoad_ene!F$21</f>
        <v>1104.8389002321453</v>
      </c>
      <c r="G37" s="102">
        <f>TrRoad_ene!G$21</f>
        <v>1154.784627648593</v>
      </c>
      <c r="H37" s="102">
        <f>TrRoad_ene!H$21</f>
        <v>1240.0350297339128</v>
      </c>
      <c r="I37" s="102">
        <f>TrRoad_ene!I$21</f>
        <v>1366.8882133206382</v>
      </c>
      <c r="J37" s="102">
        <f>TrRoad_ene!J$21</f>
        <v>1341.893492499064</v>
      </c>
      <c r="K37" s="102">
        <f>TrRoad_ene!K$21</f>
        <v>1364.9468594372554</v>
      </c>
      <c r="L37" s="102">
        <f>TrRoad_ene!L$21</f>
        <v>1297.7595034019369</v>
      </c>
      <c r="M37" s="102">
        <f>TrRoad_ene!M$21</f>
        <v>1282.5328249230868</v>
      </c>
      <c r="N37" s="102">
        <f>TrRoad_ene!N$21</f>
        <v>1281.8580979219462</v>
      </c>
      <c r="O37" s="102">
        <f>TrRoad_ene!O$21</f>
        <v>1254.7332328474208</v>
      </c>
      <c r="P37" s="102">
        <f>TrRoad_ene!P$21</f>
        <v>1268.0178323592077</v>
      </c>
      <c r="Q37" s="102">
        <f>TrRoad_ene!Q$21</f>
        <v>1334.873592865451</v>
      </c>
      <c r="R37" s="102">
        <f>TrRoad_ene!R$21</f>
        <v>1388.1096162714882</v>
      </c>
      <c r="S37" s="102">
        <f>TrRoad_ene!S$21</f>
        <v>1428.4347186231562</v>
      </c>
      <c r="T37" s="102">
        <f>TrRoad_ene!T$21</f>
        <v>1394.4909677048147</v>
      </c>
      <c r="U37" s="102">
        <f>TrRoad_ene!U$21</f>
        <v>1446.2927432715428</v>
      </c>
      <c r="V37" s="102">
        <f>TrRoad_ene!V$21</f>
        <v>1248.2813493079839</v>
      </c>
      <c r="W37" s="102">
        <f>TrRoad_ene!W$21</f>
        <v>1387.4940659230135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176.99182064261993</v>
      </c>
      <c r="C38" s="102">
        <f>TrRoad_ene!C$33</f>
        <v>170.99393848936379</v>
      </c>
      <c r="D38" s="102">
        <f>TrRoad_ene!D$33</f>
        <v>169.13609813938442</v>
      </c>
      <c r="E38" s="102">
        <f>TrRoad_ene!E$33</f>
        <v>169.92192227194428</v>
      </c>
      <c r="F38" s="102">
        <f>TrRoad_ene!F$33</f>
        <v>165.61278980666799</v>
      </c>
      <c r="G38" s="102">
        <f>TrRoad_ene!G$33</f>
        <v>163.53040294459299</v>
      </c>
      <c r="H38" s="102">
        <f>TrRoad_ene!H$33</f>
        <v>162.57374438702149</v>
      </c>
      <c r="I38" s="102">
        <f>TrRoad_ene!I$33</f>
        <v>167.93016924815385</v>
      </c>
      <c r="J38" s="102">
        <f>TrRoad_ene!J$33</f>
        <v>167.08226755149863</v>
      </c>
      <c r="K38" s="102">
        <f>TrRoad_ene!K$33</f>
        <v>170.96418661910093</v>
      </c>
      <c r="L38" s="102">
        <f>TrRoad_ene!L$33</f>
        <v>170.98230609848821</v>
      </c>
      <c r="M38" s="102">
        <f>TrRoad_ene!M$33</f>
        <v>163.60054271890061</v>
      </c>
      <c r="N38" s="102">
        <f>TrRoad_ene!N$33</f>
        <v>160.36392056509067</v>
      </c>
      <c r="O38" s="102">
        <f>TrRoad_ene!O$33</f>
        <v>161.63204490280114</v>
      </c>
      <c r="P38" s="102">
        <f>TrRoad_ene!P$33</f>
        <v>163.86306208200881</v>
      </c>
      <c r="Q38" s="102">
        <f>TrRoad_ene!Q$33</f>
        <v>174.19523913595771</v>
      </c>
      <c r="R38" s="102">
        <f>TrRoad_ene!R$33</f>
        <v>182.20983508565129</v>
      </c>
      <c r="S38" s="102">
        <f>TrRoad_ene!S$33</f>
        <v>192.72365985719466</v>
      </c>
      <c r="T38" s="102">
        <f>TrRoad_ene!T$33</f>
        <v>196.17420630196742</v>
      </c>
      <c r="U38" s="102">
        <f>TrRoad_ene!U$33</f>
        <v>166.14422712969949</v>
      </c>
      <c r="V38" s="102">
        <f>TrRoad_ene!V$33</f>
        <v>120.53390177430849</v>
      </c>
      <c r="W38" s="102">
        <f>TrRoad_ene!W$33</f>
        <v>136.09195986094176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32.772978526326135</v>
      </c>
      <c r="C39" s="110">
        <f t="shared" si="31"/>
        <v>31.884599809497391</v>
      </c>
      <c r="D39" s="110">
        <f t="shared" si="31"/>
        <v>31.852380392865527</v>
      </c>
      <c r="E39" s="110">
        <f t="shared" si="31"/>
        <v>30.180809349597521</v>
      </c>
      <c r="F39" s="110">
        <f t="shared" si="31"/>
        <v>31.07539953498345</v>
      </c>
      <c r="G39" s="110">
        <f t="shared" si="31"/>
        <v>31.130636572224525</v>
      </c>
      <c r="H39" s="110">
        <f t="shared" si="31"/>
        <v>31.973069822241676</v>
      </c>
      <c r="I39" s="110">
        <f t="shared" si="31"/>
        <v>32.443592922852758</v>
      </c>
      <c r="J39" s="110">
        <f t="shared" si="31"/>
        <v>33.939096873333057</v>
      </c>
      <c r="K39" s="110">
        <f t="shared" si="31"/>
        <v>32.312929699077948</v>
      </c>
      <c r="L39" s="110">
        <f t="shared" si="31"/>
        <v>31.330714874506711</v>
      </c>
      <c r="M39" s="110">
        <f t="shared" si="31"/>
        <v>30.850311970352966</v>
      </c>
      <c r="N39" s="110">
        <f t="shared" si="31"/>
        <v>29.72585854454211</v>
      </c>
      <c r="O39" s="110">
        <f t="shared" si="31"/>
        <v>27.147132114729438</v>
      </c>
      <c r="P39" s="110">
        <f t="shared" si="31"/>
        <v>24.234925527389102</v>
      </c>
      <c r="Q39" s="110">
        <f t="shared" si="31"/>
        <v>23.259520047918439</v>
      </c>
      <c r="R39" s="110">
        <f t="shared" ref="R39:V39" si="32">R40+R41+R42</f>
        <v>22.686361293903641</v>
      </c>
      <c r="S39" s="110">
        <f t="shared" si="32"/>
        <v>22.42928642597591</v>
      </c>
      <c r="T39" s="110">
        <f t="shared" si="32"/>
        <v>21.632593412225255</v>
      </c>
      <c r="U39" s="110">
        <f t="shared" si="32"/>
        <v>20.611122744379138</v>
      </c>
      <c r="V39" s="110">
        <f t="shared" si="32"/>
        <v>17.727759957037296</v>
      </c>
      <c r="W39" s="110">
        <f t="shared" ref="W39" si="33">W40+W41+W42</f>
        <v>21.153081390801052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2.7914066565586153</v>
      </c>
      <c r="C40" s="102">
        <f>TrRail_ene!C$12</f>
        <v>2.9368329839214646</v>
      </c>
      <c r="D40" s="102">
        <f>TrRail_ene!D$12</f>
        <v>2.9555114304388828</v>
      </c>
      <c r="E40" s="102">
        <f>TrRail_ene!E$12</f>
        <v>3.0558049791952073</v>
      </c>
      <c r="F40" s="102">
        <f>TrRail_ene!F$12</f>
        <v>2.8945157134549904</v>
      </c>
      <c r="G40" s="102">
        <f>TrRail_ene!G$12</f>
        <v>2.9028691126714548</v>
      </c>
      <c r="H40" s="102">
        <f>TrRail_ene!H$12</f>
        <v>3.010167967893949</v>
      </c>
      <c r="I40" s="102">
        <f>TrRail_ene!I$12</f>
        <v>3.5433069317341994</v>
      </c>
      <c r="J40" s="102">
        <f>TrRail_ene!J$12</f>
        <v>3.2972779100965384</v>
      </c>
      <c r="K40" s="102">
        <f>TrRail_ene!K$12</f>
        <v>3.0455013929549137</v>
      </c>
      <c r="L40" s="102">
        <f>TrRail_ene!L$12</f>
        <v>2.870317389634943</v>
      </c>
      <c r="M40" s="102">
        <f>TrRail_ene!M$12</f>
        <v>2.6817070672703678</v>
      </c>
      <c r="N40" s="102">
        <f>TrRail_ene!N$12</f>
        <v>2.6768586582438325</v>
      </c>
      <c r="O40" s="102">
        <f>TrRail_ene!O$12</f>
        <v>2.6985223442692359</v>
      </c>
      <c r="P40" s="102">
        <f>TrRail_ene!P$12</f>
        <v>2.8800625372190138</v>
      </c>
      <c r="Q40" s="102">
        <f>TrRail_ene!Q$12</f>
        <v>2.9425351240888951</v>
      </c>
      <c r="R40" s="102">
        <f>TrRail_ene!R$12</f>
        <v>3.0034129450640301</v>
      </c>
      <c r="S40" s="102">
        <f>TrRail_ene!S$12</f>
        <v>2.953423937192289</v>
      </c>
      <c r="T40" s="102">
        <f>TrRail_ene!T$12</f>
        <v>2.7563784155412123</v>
      </c>
      <c r="U40" s="102">
        <f>TrRail_ene!U$12</f>
        <v>2.0574537843909169</v>
      </c>
      <c r="V40" s="102">
        <f>TrRail_ene!V$12</f>
        <v>2.2894682825731665</v>
      </c>
      <c r="W40" s="102">
        <f>TrRail_ene!W$12</f>
        <v>2.3108856295945266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29.981571869767517</v>
      </c>
      <c r="C41" s="102">
        <f>TrRail_ene!C$13</f>
        <v>28.947766825575926</v>
      </c>
      <c r="D41" s="102">
        <f>TrRail_ene!D$13</f>
        <v>28.896868962426645</v>
      </c>
      <c r="E41" s="102">
        <f>TrRail_ene!E$13</f>
        <v>27.125004370402312</v>
      </c>
      <c r="F41" s="102">
        <f>TrRail_ene!F$13</f>
        <v>28.180883821528461</v>
      </c>
      <c r="G41" s="102">
        <f>TrRail_ene!G$13</f>
        <v>28.227767459553071</v>
      </c>
      <c r="H41" s="102">
        <f>TrRail_ene!H$13</f>
        <v>28.962901854347727</v>
      </c>
      <c r="I41" s="102">
        <f>TrRail_ene!I$13</f>
        <v>28.900285991118558</v>
      </c>
      <c r="J41" s="102">
        <f>TrRail_ene!J$13</f>
        <v>30.641818963236517</v>
      </c>
      <c r="K41" s="102">
        <f>TrRail_ene!K$13</f>
        <v>29.267428306123037</v>
      </c>
      <c r="L41" s="102">
        <f>TrRail_ene!L$13</f>
        <v>28.46039748487177</v>
      </c>
      <c r="M41" s="102">
        <f>TrRail_ene!M$13</f>
        <v>28.168604903082599</v>
      </c>
      <c r="N41" s="102">
        <f>TrRail_ene!N$13</f>
        <v>27.048999886298276</v>
      </c>
      <c r="O41" s="102">
        <f>TrRail_ene!O$13</f>
        <v>24.448609770460202</v>
      </c>
      <c r="P41" s="102">
        <f>TrRail_ene!P$13</f>
        <v>21.354862990170087</v>
      </c>
      <c r="Q41" s="102">
        <f>TrRail_ene!Q$13</f>
        <v>20.316984923829544</v>
      </c>
      <c r="R41" s="102">
        <f>TrRail_ene!R$13</f>
        <v>19.682948348839609</v>
      </c>
      <c r="S41" s="102">
        <f>TrRail_ene!S$13</f>
        <v>19.475862488783619</v>
      </c>
      <c r="T41" s="102">
        <f>TrRail_ene!T$13</f>
        <v>18.876214996684041</v>
      </c>
      <c r="U41" s="102">
        <f>TrRail_ene!U$13</f>
        <v>18.553668959988222</v>
      </c>
      <c r="V41" s="102">
        <f>TrRail_ene!V$13</f>
        <v>15.438291674464129</v>
      </c>
      <c r="W41" s="102">
        <f>TrRail_ene!W$13</f>
        <v>18.842195761206526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75.132946588969403</v>
      </c>
      <c r="C43" s="110">
        <f t="shared" si="34"/>
        <v>75.042330153770308</v>
      </c>
      <c r="D43" s="110">
        <f t="shared" si="34"/>
        <v>72.417180620562746</v>
      </c>
      <c r="E43" s="110">
        <f t="shared" si="34"/>
        <v>71.40710422006768</v>
      </c>
      <c r="F43" s="110">
        <f t="shared" si="34"/>
        <v>81.894751067543154</v>
      </c>
      <c r="G43" s="110">
        <f t="shared" si="34"/>
        <v>97.547456686618403</v>
      </c>
      <c r="H43" s="110">
        <f t="shared" si="34"/>
        <v>100.67842393903553</v>
      </c>
      <c r="I43" s="110">
        <f t="shared" si="34"/>
        <v>104.75508572214365</v>
      </c>
      <c r="J43" s="110">
        <f t="shared" si="34"/>
        <v>118.36651308004038</v>
      </c>
      <c r="K43" s="110">
        <f t="shared" si="34"/>
        <v>101.59595029585351</v>
      </c>
      <c r="L43" s="110">
        <f t="shared" si="34"/>
        <v>108.10057123821797</v>
      </c>
      <c r="M43" s="110">
        <f t="shared" si="34"/>
        <v>114.43547361663033</v>
      </c>
      <c r="N43" s="110">
        <f t="shared" si="34"/>
        <v>119.70206255181652</v>
      </c>
      <c r="O43" s="110">
        <f t="shared" si="34"/>
        <v>130.15270043491054</v>
      </c>
      <c r="P43" s="110">
        <f t="shared" si="34"/>
        <v>130.24777703187203</v>
      </c>
      <c r="Q43" s="110">
        <f t="shared" si="34"/>
        <v>127.02310174362424</v>
      </c>
      <c r="R43" s="110">
        <f t="shared" ref="R43:V43" si="35">R44+R45+R46</f>
        <v>134.51422719271918</v>
      </c>
      <c r="S43" s="110">
        <f t="shared" si="35"/>
        <v>158.04073133711759</v>
      </c>
      <c r="T43" s="110">
        <f t="shared" si="35"/>
        <v>194.10928653165089</v>
      </c>
      <c r="U43" s="110">
        <f t="shared" si="35"/>
        <v>209.57792375560518</v>
      </c>
      <c r="V43" s="110">
        <f t="shared" si="35"/>
        <v>58.642415239356843</v>
      </c>
      <c r="W43" s="110">
        <f t="shared" ref="W43" si="36">W44+W45+W46</f>
        <v>104.53371736909575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8.2610578795827241</v>
      </c>
      <c r="C44" s="102">
        <f>TrAvia_ene!C$7</f>
        <v>8.2325323251633211</v>
      </c>
      <c r="D44" s="102">
        <f>TrAvia_ene!D$7</f>
        <v>9.8111831211412728</v>
      </c>
      <c r="E44" s="102">
        <f>TrAvia_ene!E$7</f>
        <v>10.879638662050702</v>
      </c>
      <c r="F44" s="102">
        <f>TrAvia_ene!F$7</f>
        <v>11.926508935424586</v>
      </c>
      <c r="G44" s="102">
        <f>TrAvia_ene!G$7</f>
        <v>11.891910063786895</v>
      </c>
      <c r="H44" s="102">
        <f>TrAvia_ene!H$7</f>
        <v>12.887376468588378</v>
      </c>
      <c r="I44" s="102">
        <f>TrAvia_ene!I$7</f>
        <v>12.839706381915153</v>
      </c>
      <c r="J44" s="102">
        <f>TrAvia_ene!J$7</f>
        <v>12.859016610247798</v>
      </c>
      <c r="K44" s="102">
        <f>TrAvia_ene!K$7</f>
        <v>11.902268851632298</v>
      </c>
      <c r="L44" s="102">
        <f>TrAvia_ene!L$7</f>
        <v>9.8457335591586173</v>
      </c>
      <c r="M44" s="102">
        <f>TrAvia_ene!M$7</f>
        <v>10.905852629383931</v>
      </c>
      <c r="N44" s="102">
        <f>TrAvia_ene!N$7</f>
        <v>9.8839944665024895</v>
      </c>
      <c r="O44" s="102">
        <f>TrAvia_ene!O$7</f>
        <v>9.8997973556021091</v>
      </c>
      <c r="P44" s="102">
        <f>TrAvia_ene!P$7</f>
        <v>9.9181486662485963</v>
      </c>
      <c r="Q44" s="102">
        <f>TrAvia_ene!Q$7</f>
        <v>10.863005869286694</v>
      </c>
      <c r="R44" s="102">
        <f>TrAvia_ene!R$7</f>
        <v>10.987847855023773</v>
      </c>
      <c r="S44" s="102">
        <f>TrAvia_ene!S$7</f>
        <v>10.570398056594213</v>
      </c>
      <c r="T44" s="102">
        <f>TrAvia_ene!T$7</f>
        <v>10.682490789695636</v>
      </c>
      <c r="U44" s="102">
        <f>TrAvia_ene!U$7</f>
        <v>10.688414279099131</v>
      </c>
      <c r="V44" s="102">
        <f>TrAvia_ene!V$7</f>
        <v>5.5656803518820341</v>
      </c>
      <c r="W44" s="102">
        <f>TrAvia_ene!W$7</f>
        <v>7.4580969753521389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54.607713362179368</v>
      </c>
      <c r="C45" s="102">
        <f>TrAvia_ene!C$8</f>
        <v>54.55493002821072</v>
      </c>
      <c r="D45" s="102">
        <f>TrAvia_ene!D$8</f>
        <v>51.121411011921623</v>
      </c>
      <c r="E45" s="102">
        <f>TrAvia_ene!E$8</f>
        <v>49.425588031916618</v>
      </c>
      <c r="F45" s="102">
        <f>TrAvia_ene!F$8</f>
        <v>57.135865439472752</v>
      </c>
      <c r="G45" s="102">
        <f>TrAvia_ene!G$8</f>
        <v>71.263383764033421</v>
      </c>
      <c r="H45" s="102">
        <f>TrAvia_ene!H$8</f>
        <v>74.382366869342746</v>
      </c>
      <c r="I45" s="102">
        <f>TrAvia_ene!I$8</f>
        <v>78.475957115957101</v>
      </c>
      <c r="J45" s="102">
        <f>TrAvia_ene!J$8</f>
        <v>89.127686219616876</v>
      </c>
      <c r="K45" s="102">
        <f>TrAvia_ene!K$8</f>
        <v>75.585445727263306</v>
      </c>
      <c r="L45" s="102">
        <f>TrAvia_ene!L$8</f>
        <v>83.004098024469911</v>
      </c>
      <c r="M45" s="102">
        <f>TrAvia_ene!M$8</f>
        <v>87.141858553450106</v>
      </c>
      <c r="N45" s="102">
        <f>TrAvia_ene!N$8</f>
        <v>92.90933526803515</v>
      </c>
      <c r="O45" s="102">
        <f>TrAvia_ene!O$8</f>
        <v>102.99947087625397</v>
      </c>
      <c r="P45" s="102">
        <f>TrAvia_ene!P$8</f>
        <v>103.53889857975751</v>
      </c>
      <c r="Q45" s="102">
        <f>TrAvia_ene!Q$8</f>
        <v>99.801967013022647</v>
      </c>
      <c r="R45" s="102">
        <f>TrAvia_ene!R$8</f>
        <v>107.44072049786853</v>
      </c>
      <c r="S45" s="102">
        <f>TrAvia_ene!S$8</f>
        <v>130.56326482550878</v>
      </c>
      <c r="T45" s="102">
        <f>TrAvia_ene!T$8</f>
        <v>162.44035975241084</v>
      </c>
      <c r="U45" s="102">
        <f>TrAvia_ene!U$8</f>
        <v>176.27353656881726</v>
      </c>
      <c r="V45" s="102">
        <f>TrAvia_ene!V$8</f>
        <v>42.068462102999653</v>
      </c>
      <c r="W45" s="102">
        <f>TrAvia_ene!W$8</f>
        <v>80.491620042536113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12.264175347207319</v>
      </c>
      <c r="C46" s="102">
        <f>TrAvia_ene!C$9</f>
        <v>12.254867800396271</v>
      </c>
      <c r="D46" s="102">
        <f>TrAvia_ene!D$9</f>
        <v>11.484586487499856</v>
      </c>
      <c r="E46" s="102">
        <f>TrAvia_ene!E$9</f>
        <v>11.101877526100353</v>
      </c>
      <c r="F46" s="102">
        <f>TrAvia_ene!F$9</f>
        <v>12.832376692645829</v>
      </c>
      <c r="G46" s="102">
        <f>TrAvia_ene!G$9</f>
        <v>14.392162858798091</v>
      </c>
      <c r="H46" s="102">
        <f>TrAvia_ene!H$9</f>
        <v>13.408680601104411</v>
      </c>
      <c r="I46" s="102">
        <f>TrAvia_ene!I$9</f>
        <v>13.439422224271393</v>
      </c>
      <c r="J46" s="102">
        <f>TrAvia_ene!J$9</f>
        <v>16.379810250175712</v>
      </c>
      <c r="K46" s="102">
        <f>TrAvia_ene!K$9</f>
        <v>14.108235716957909</v>
      </c>
      <c r="L46" s="102">
        <f>TrAvia_ene!L$9</f>
        <v>15.250739654589438</v>
      </c>
      <c r="M46" s="102">
        <f>TrAvia_ene!M$9</f>
        <v>16.387762433796304</v>
      </c>
      <c r="N46" s="102">
        <f>TrAvia_ene!N$9</f>
        <v>16.908732817278892</v>
      </c>
      <c r="O46" s="102">
        <f>TrAvia_ene!O$9</f>
        <v>17.253432203054469</v>
      </c>
      <c r="P46" s="102">
        <f>TrAvia_ene!P$9</f>
        <v>16.790729785865924</v>
      </c>
      <c r="Q46" s="102">
        <f>TrAvia_ene!Q$9</f>
        <v>16.358128861314903</v>
      </c>
      <c r="R46" s="102">
        <f>TrAvia_ene!R$9</f>
        <v>16.085658839826873</v>
      </c>
      <c r="S46" s="102">
        <f>TrAvia_ene!S$9</f>
        <v>16.907068455014613</v>
      </c>
      <c r="T46" s="102">
        <f>TrAvia_ene!T$9</f>
        <v>20.986435989544407</v>
      </c>
      <c r="U46" s="102">
        <f>TrAvia_ene!U$9</f>
        <v>22.615972907688796</v>
      </c>
      <c r="V46" s="102">
        <f>TrAvia_ene!V$9</f>
        <v>11.008272784475153</v>
      </c>
      <c r="W46" s="102">
        <f>TrAvia_ene!W$9</f>
        <v>16.584000351207504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265.40442318726207</v>
      </c>
      <c r="C47" s="28">
        <f t="shared" si="37"/>
        <v>286.73830178508098</v>
      </c>
      <c r="D47" s="28">
        <f t="shared" si="37"/>
        <v>368.81383306126963</v>
      </c>
      <c r="E47" s="28">
        <f t="shared" si="37"/>
        <v>413.16765966487429</v>
      </c>
      <c r="F47" s="28">
        <f t="shared" si="37"/>
        <v>443.99904986408194</v>
      </c>
      <c r="G47" s="28">
        <f t="shared" si="37"/>
        <v>462.08036293009457</v>
      </c>
      <c r="H47" s="28">
        <f t="shared" si="37"/>
        <v>492.84870971289007</v>
      </c>
      <c r="I47" s="28">
        <f t="shared" si="37"/>
        <v>505.95452385824149</v>
      </c>
      <c r="J47" s="28">
        <f t="shared" si="37"/>
        <v>511.64036401458662</v>
      </c>
      <c r="K47" s="28">
        <f t="shared" si="37"/>
        <v>478.90399328231911</v>
      </c>
      <c r="L47" s="28">
        <f t="shared" si="37"/>
        <v>461.04502842064898</v>
      </c>
      <c r="M47" s="28">
        <f t="shared" si="37"/>
        <v>444.99056804495746</v>
      </c>
      <c r="N47" s="28">
        <f t="shared" si="37"/>
        <v>411.81383516693978</v>
      </c>
      <c r="O47" s="28">
        <f t="shared" si="37"/>
        <v>461.60881888509289</v>
      </c>
      <c r="P47" s="28">
        <f t="shared" si="37"/>
        <v>425.28819232034061</v>
      </c>
      <c r="Q47" s="28">
        <f t="shared" si="37"/>
        <v>444.54307504174949</v>
      </c>
      <c r="R47" s="28">
        <f t="shared" ref="R47:V47" si="38">R48+R51+R52+R56</f>
        <v>430.46202159799674</v>
      </c>
      <c r="S47" s="28">
        <f t="shared" si="38"/>
        <v>531.13446052399047</v>
      </c>
      <c r="T47" s="28">
        <f t="shared" si="38"/>
        <v>512.44249496365114</v>
      </c>
      <c r="U47" s="28">
        <f t="shared" si="38"/>
        <v>580.55176727856247</v>
      </c>
      <c r="V47" s="28">
        <f t="shared" si="38"/>
        <v>566.60848809730317</v>
      </c>
      <c r="W47" s="28">
        <f t="shared" ref="W47" si="39">W48+W51+W52+W56</f>
        <v>584.68105489265338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222.91628123462982</v>
      </c>
      <c r="C48" s="137">
        <f t="shared" si="40"/>
        <v>241.68612598738571</v>
      </c>
      <c r="D48" s="137">
        <f t="shared" si="40"/>
        <v>316.96525134039007</v>
      </c>
      <c r="E48" s="137">
        <f t="shared" si="40"/>
        <v>358.49194468767791</v>
      </c>
      <c r="F48" s="137">
        <f t="shared" si="40"/>
        <v>395.52216693264467</v>
      </c>
      <c r="G48" s="137">
        <f t="shared" si="40"/>
        <v>408.36370124482744</v>
      </c>
      <c r="H48" s="137">
        <f t="shared" si="40"/>
        <v>436.96959298405557</v>
      </c>
      <c r="I48" s="137">
        <f t="shared" si="40"/>
        <v>447.78054558148381</v>
      </c>
      <c r="J48" s="137">
        <f t="shared" si="40"/>
        <v>447.10925857673055</v>
      </c>
      <c r="K48" s="137">
        <f t="shared" si="40"/>
        <v>413.8371209126762</v>
      </c>
      <c r="L48" s="137">
        <f t="shared" si="40"/>
        <v>404.62025262451726</v>
      </c>
      <c r="M48" s="137">
        <f t="shared" si="40"/>
        <v>389.68847744965365</v>
      </c>
      <c r="N48" s="137">
        <f t="shared" si="40"/>
        <v>359.83436159433882</v>
      </c>
      <c r="O48" s="137">
        <f t="shared" si="40"/>
        <v>405.59859124556692</v>
      </c>
      <c r="P48" s="137">
        <f t="shared" si="40"/>
        <v>366.04260597160516</v>
      </c>
      <c r="Q48" s="137">
        <f t="shared" si="40"/>
        <v>388.76662546613824</v>
      </c>
      <c r="R48" s="137">
        <f t="shared" ref="R48:V48" si="41">R49+R50</f>
        <v>372.8691449083513</v>
      </c>
      <c r="S48" s="137">
        <f t="shared" si="41"/>
        <v>470.35615498527824</v>
      </c>
      <c r="T48" s="137">
        <f t="shared" si="41"/>
        <v>449.6146414595479</v>
      </c>
      <c r="U48" s="137">
        <f t="shared" si="41"/>
        <v>515.1308395739037</v>
      </c>
      <c r="V48" s="137">
        <f t="shared" si="41"/>
        <v>509.62896423952702</v>
      </c>
      <c r="W48" s="137">
        <f t="shared" ref="W48" si="42">W49+W50</f>
        <v>521.63904883741691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79.509587751664682</v>
      </c>
      <c r="C49" s="102">
        <f>TrRoad_ene!C$43</f>
        <v>89.734974251459519</v>
      </c>
      <c r="D49" s="102">
        <f>TrRoad_ene!D$43</f>
        <v>101.04243639534158</v>
      </c>
      <c r="E49" s="102">
        <f>TrRoad_ene!E$43</f>
        <v>110.83867164629258</v>
      </c>
      <c r="F49" s="102">
        <f>TrRoad_ene!F$43</f>
        <v>119.0616448772716</v>
      </c>
      <c r="G49" s="102">
        <f>TrRoad_ene!G$43</f>
        <v>129.98542311083111</v>
      </c>
      <c r="H49" s="102">
        <f>TrRoad_ene!H$43</f>
        <v>135.80215302562354</v>
      </c>
      <c r="I49" s="102">
        <f>TrRoad_ene!I$43</f>
        <v>133.05480087277888</v>
      </c>
      <c r="J49" s="102">
        <f>TrRoad_ene!J$43</f>
        <v>138.01557383203863</v>
      </c>
      <c r="K49" s="102">
        <f>TrRoad_ene!K$43</f>
        <v>133.33264282021656</v>
      </c>
      <c r="L49" s="102">
        <f>TrRoad_ene!L$43</f>
        <v>123.99012297257404</v>
      </c>
      <c r="M49" s="102">
        <f>TrRoad_ene!M$43</f>
        <v>122.48634274042672</v>
      </c>
      <c r="N49" s="102">
        <f>TrRoad_ene!N$43</f>
        <v>115.64076196813171</v>
      </c>
      <c r="O49" s="102">
        <f>TrRoad_ene!O$43</f>
        <v>113.68036274805571</v>
      </c>
      <c r="P49" s="102">
        <f>TrRoad_ene!P$43</f>
        <v>109.15776506260023</v>
      </c>
      <c r="Q49" s="102">
        <f>TrRoad_ene!Q$43</f>
        <v>122.89690623075977</v>
      </c>
      <c r="R49" s="102">
        <f>TrRoad_ene!R$43</f>
        <v>127.060721573132</v>
      </c>
      <c r="S49" s="102">
        <f>TrRoad_ene!S$43</f>
        <v>145.84574927734496</v>
      </c>
      <c r="T49" s="102">
        <f>TrRoad_ene!T$43</f>
        <v>158.51316227620535</v>
      </c>
      <c r="U49" s="102">
        <f>TrRoad_ene!U$43</f>
        <v>171.76496000395386</v>
      </c>
      <c r="V49" s="102">
        <f>TrRoad_ene!V$43</f>
        <v>176.30314190006092</v>
      </c>
      <c r="W49" s="102">
        <f>TrRoad_ene!W$43</f>
        <v>193.63713177387805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143.40669348296515</v>
      </c>
      <c r="C50" s="102">
        <f>TrRoad_ene!C$52</f>
        <v>151.9511517359262</v>
      </c>
      <c r="D50" s="102">
        <f>TrRoad_ene!D$52</f>
        <v>215.92281494504846</v>
      </c>
      <c r="E50" s="102">
        <f>TrRoad_ene!E$52</f>
        <v>247.65327304138532</v>
      </c>
      <c r="F50" s="102">
        <f>TrRoad_ene!F$52</f>
        <v>276.46052205537308</v>
      </c>
      <c r="G50" s="102">
        <f>TrRoad_ene!G$52</f>
        <v>278.37827813399633</v>
      </c>
      <c r="H50" s="102">
        <f>TrRoad_ene!H$52</f>
        <v>301.16743995843206</v>
      </c>
      <c r="I50" s="102">
        <f>TrRoad_ene!I$52</f>
        <v>314.72574470870495</v>
      </c>
      <c r="J50" s="102">
        <f>TrRoad_ene!J$52</f>
        <v>309.09368474469193</v>
      </c>
      <c r="K50" s="102">
        <f>TrRoad_ene!K$52</f>
        <v>280.50447809245964</v>
      </c>
      <c r="L50" s="102">
        <f>TrRoad_ene!L$52</f>
        <v>280.63012965194321</v>
      </c>
      <c r="M50" s="102">
        <f>TrRoad_ene!M$52</f>
        <v>267.20213470922693</v>
      </c>
      <c r="N50" s="102">
        <f>TrRoad_ene!N$52</f>
        <v>244.19359962620712</v>
      </c>
      <c r="O50" s="102">
        <f>TrRoad_ene!O$52</f>
        <v>291.91822849751122</v>
      </c>
      <c r="P50" s="102">
        <f>TrRoad_ene!P$52</f>
        <v>256.88484090900494</v>
      </c>
      <c r="Q50" s="102">
        <f>TrRoad_ene!Q$52</f>
        <v>265.86971923537845</v>
      </c>
      <c r="R50" s="102">
        <f>TrRoad_ene!R$52</f>
        <v>245.80842333521929</v>
      </c>
      <c r="S50" s="102">
        <f>TrRoad_ene!S$52</f>
        <v>324.51040570793327</v>
      </c>
      <c r="T50" s="102">
        <f>TrRoad_ene!T$52</f>
        <v>291.10147918334258</v>
      </c>
      <c r="U50" s="102">
        <f>TrRoad_ene!U$52</f>
        <v>343.36587956994981</v>
      </c>
      <c r="V50" s="102">
        <f>TrRoad_ene!V$52</f>
        <v>333.32582233946607</v>
      </c>
      <c r="W50" s="102">
        <f>TrRoad_ene!W$52</f>
        <v>328.00191706353883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13.084717088463202</v>
      </c>
      <c r="C51" s="110">
        <f>TrRail_ene!C$17</f>
        <v>15.079200706409747</v>
      </c>
      <c r="D51" s="110">
        <f>TrRail_ene!D$17</f>
        <v>15.971265350900591</v>
      </c>
      <c r="E51" s="110">
        <f>TrRail_ene!E$17</f>
        <v>17.814805439740397</v>
      </c>
      <c r="F51" s="110">
        <f>TrRail_ene!F$17</f>
        <v>18.358564351516971</v>
      </c>
      <c r="G51" s="110">
        <f>TrRail_ene!G$17</f>
        <v>20.441246488824483</v>
      </c>
      <c r="H51" s="110">
        <f>TrRail_ene!H$17</f>
        <v>21.564677383261326</v>
      </c>
      <c r="I51" s="110">
        <f>TrRail_ene!I$17</f>
        <v>22.716166320483438</v>
      </c>
      <c r="J51" s="110">
        <f>TrRail_ene!J$17</f>
        <v>20.678615938360839</v>
      </c>
      <c r="K51" s="110">
        <f>TrRail_ene!K$17</f>
        <v>16.972452932048451</v>
      </c>
      <c r="L51" s="110">
        <f>TrRail_ene!L$17</f>
        <v>18.212621324977377</v>
      </c>
      <c r="M51" s="110">
        <f>TrRail_ene!M$17</f>
        <v>16.716927926465605</v>
      </c>
      <c r="N51" s="110">
        <f>TrRail_ene!N$17</f>
        <v>15.349291928372757</v>
      </c>
      <c r="O51" s="110">
        <f>TrRail_ene!O$17</f>
        <v>15.650202365064207</v>
      </c>
      <c r="P51" s="110">
        <f>TrRail_ene!P$17</f>
        <v>14.900242142430331</v>
      </c>
      <c r="Q51" s="110">
        <f>TrRail_ene!Q$17</f>
        <v>13.503162669192481</v>
      </c>
      <c r="R51" s="110">
        <f>TrRail_ene!R$17</f>
        <v>14.334274991564969</v>
      </c>
      <c r="S51" s="110">
        <f>TrRail_ene!S$17</f>
        <v>15.180687778667252</v>
      </c>
      <c r="T51" s="110">
        <f>TrRail_ene!T$17</f>
        <v>13.80154244332074</v>
      </c>
      <c r="U51" s="110">
        <f>TrRail_ene!U$17</f>
        <v>14.595584048398157</v>
      </c>
      <c r="V51" s="110">
        <f>TrRail_ene!V$17</f>
        <v>15.074475640555137</v>
      </c>
      <c r="W51" s="110">
        <f>TrRail_ene!W$17</f>
        <v>13.993436236026117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0.46464584439257228</v>
      </c>
      <c r="C52" s="110">
        <f t="shared" si="43"/>
        <v>0.55526227959167562</v>
      </c>
      <c r="D52" s="110">
        <f t="shared" si="43"/>
        <v>0.55960355828504349</v>
      </c>
      <c r="E52" s="110">
        <f t="shared" si="43"/>
        <v>0.5230763474301976</v>
      </c>
      <c r="F52" s="110">
        <f t="shared" si="43"/>
        <v>0.53508556186351597</v>
      </c>
      <c r="G52" s="110">
        <f t="shared" si="43"/>
        <v>0.63190702791297715</v>
      </c>
      <c r="H52" s="110">
        <f t="shared" si="43"/>
        <v>0.65081079871164704</v>
      </c>
      <c r="I52" s="110">
        <f t="shared" si="43"/>
        <v>0.77406303108075292</v>
      </c>
      <c r="J52" s="110">
        <f t="shared" si="43"/>
        <v>0.81216275830865059</v>
      </c>
      <c r="K52" s="110">
        <f t="shared" si="43"/>
        <v>0.78332743415509198</v>
      </c>
      <c r="L52" s="110">
        <f t="shared" si="43"/>
        <v>0.5784485382222706</v>
      </c>
      <c r="M52" s="110">
        <f t="shared" si="43"/>
        <v>0.54337419076429438</v>
      </c>
      <c r="N52" s="110">
        <f t="shared" si="43"/>
        <v>0.52665627879400512</v>
      </c>
      <c r="O52" s="110">
        <f t="shared" si="43"/>
        <v>0.57567445760875779</v>
      </c>
      <c r="P52" s="110">
        <f t="shared" si="43"/>
        <v>0.48059786064729937</v>
      </c>
      <c r="Q52" s="110">
        <f t="shared" si="43"/>
        <v>0.4487813174247694</v>
      </c>
      <c r="R52" s="110">
        <f t="shared" si="43"/>
        <v>0.41397573075456107</v>
      </c>
      <c r="S52" s="110">
        <f t="shared" si="43"/>
        <v>0.40673211946024301</v>
      </c>
      <c r="T52" s="110">
        <f t="shared" si="43"/>
        <v>0.87704192922620949</v>
      </c>
      <c r="U52" s="110">
        <f t="shared" si="43"/>
        <v>0.73789739658736919</v>
      </c>
      <c r="V52" s="110">
        <f t="shared" si="43"/>
        <v>0.8966217339879301</v>
      </c>
      <c r="W52" s="110">
        <f t="shared" ref="W52" si="44">W53+W54+W55</f>
        <v>1.2054055887718254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0.13868416684891563</v>
      </c>
      <c r="C53" s="102">
        <f>TrAvia_ene!C$11</f>
        <v>0.16720972126831948</v>
      </c>
      <c r="D53" s="102">
        <f>TrAvia_ene!D$11</f>
        <v>0.16757870173061104</v>
      </c>
      <c r="E53" s="102">
        <f>TrAvia_ene!E$11</f>
        <v>0.15251954947122817</v>
      </c>
      <c r="F53" s="102">
        <f>TrAvia_ene!F$11</f>
        <v>0.15560628383594385</v>
      </c>
      <c r="G53" s="102">
        <f>TrAvia_ene!G$11</f>
        <v>0.19020515547363534</v>
      </c>
      <c r="H53" s="102">
        <f>TrAvia_ene!H$11</f>
        <v>0.24469575841076183</v>
      </c>
      <c r="I53" s="102">
        <f>TrAvia_ene!I$11</f>
        <v>0.29236584508398739</v>
      </c>
      <c r="J53" s="102">
        <f>TrAvia_ene!J$11</f>
        <v>0.27305561675134254</v>
      </c>
      <c r="K53" s="102">
        <f>TrAvia_ene!K$11</f>
        <v>0.17984636762823097</v>
      </c>
      <c r="L53" s="102">
        <f>TrAvia_ene!L$11</f>
        <v>0.13646764462470243</v>
      </c>
      <c r="M53" s="102">
        <f>TrAvia_ene!M$11</f>
        <v>0.1263055821379982</v>
      </c>
      <c r="N53" s="102">
        <f>TrAvia_ene!N$11</f>
        <v>9.8206737280830181E-2</v>
      </c>
      <c r="O53" s="102">
        <f>TrAvia_ene!O$11</f>
        <v>8.2403848181210645E-2</v>
      </c>
      <c r="P53" s="102">
        <f>TrAvia_ene!P$11</f>
        <v>6.4052537534722606E-2</v>
      </c>
      <c r="Q53" s="102">
        <f>TrAvia_ene!Q$11</f>
        <v>6.2617518503508371E-2</v>
      </c>
      <c r="R53" s="102">
        <f>TrAvia_ene!R$11</f>
        <v>4.431035649815742E-2</v>
      </c>
      <c r="S53" s="102">
        <f>TrAvia_ene!S$11</f>
        <v>4.1811745641386878E-2</v>
      </c>
      <c r="T53" s="102">
        <f>TrAvia_ene!T$11</f>
        <v>3.4706114861541619E-2</v>
      </c>
      <c r="U53" s="102">
        <f>TrAvia_ene!U$11</f>
        <v>2.7234904047899921E-2</v>
      </c>
      <c r="V53" s="102">
        <f>TrAvia_ene!V$11</f>
        <v>5.08491037075988E-3</v>
      </c>
      <c r="W53" s="102">
        <f>TrAvia_ene!W$11</f>
        <v>4.1558191448510633E-3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0.28405269005945311</v>
      </c>
      <c r="C54" s="102">
        <f>TrAvia_ene!C$12</f>
        <v>0.34024918325028736</v>
      </c>
      <c r="D54" s="102">
        <f>TrAvia_ene!D$12</f>
        <v>0.34428946990897119</v>
      </c>
      <c r="E54" s="102">
        <f>TrAvia_ene!E$12</f>
        <v>0.31689644557748581</v>
      </c>
      <c r="F54" s="102">
        <f>TrAvia_ene!F$12</f>
        <v>0.32583572832135038</v>
      </c>
      <c r="G54" s="102">
        <f>TrAvia_ene!G$12</f>
        <v>0.37988341238587442</v>
      </c>
      <c r="H54" s="102">
        <f>TrAvia_ene!H$12</f>
        <v>0.35499663476081245</v>
      </c>
      <c r="I54" s="102">
        <f>TrAvia_ene!I$12</f>
        <v>0.43257419075316078</v>
      </c>
      <c r="J54" s="102">
        <f>TrAvia_ene!J$12</f>
        <v>0.48914540317734856</v>
      </c>
      <c r="K54" s="102">
        <f>TrAvia_ene!K$12</f>
        <v>0.57220902568293897</v>
      </c>
      <c r="L54" s="102">
        <f>TrAvia_ene!L$12</f>
        <v>0.40933874607725662</v>
      </c>
      <c r="M54" s="102">
        <f>TrAvia_ene!M$12</f>
        <v>0.30052970890535785</v>
      </c>
      <c r="N54" s="102">
        <f>TrAvia_ene!N$12</f>
        <v>0.33320788913659127</v>
      </c>
      <c r="O54" s="102">
        <f>TrAvia_ene!O$12</f>
        <v>0.34802592465946525</v>
      </c>
      <c r="P54" s="102">
        <f>TrAvia_ene!P$12</f>
        <v>0.29390524645652399</v>
      </c>
      <c r="Q54" s="102">
        <f>TrAvia_ene!Q$12</f>
        <v>0.28416614197481183</v>
      </c>
      <c r="R54" s="102">
        <f>TrAvia_ene!R$12</f>
        <v>0.26798923943671282</v>
      </c>
      <c r="S54" s="102">
        <f>TrAvia_ene!S$12</f>
        <v>0.24728308145530395</v>
      </c>
      <c r="T54" s="102">
        <f>TrAvia_ene!T$12</f>
        <v>0.30952927753484599</v>
      </c>
      <c r="U54" s="102">
        <f>TrAvia_ene!U$12</f>
        <v>0.33000281172454904</v>
      </c>
      <c r="V54" s="102">
        <f>TrAvia_ene!V$12</f>
        <v>0.4571666408607899</v>
      </c>
      <c r="W54" s="102">
        <f>TrAvia_ene!W$12</f>
        <v>0.5889465383619239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4.1908987484203575E-2</v>
      </c>
      <c r="C55" s="102">
        <f>TrAvia_ene!C$13</f>
        <v>4.7803375073068768E-2</v>
      </c>
      <c r="D55" s="102">
        <f>TrAvia_ene!D$13</f>
        <v>4.7735386645461307E-2</v>
      </c>
      <c r="E55" s="102">
        <f>TrAvia_ene!E$13</f>
        <v>5.3660352381483589E-2</v>
      </c>
      <c r="F55" s="102">
        <f>TrAvia_ene!F$13</f>
        <v>5.3643549706221712E-2</v>
      </c>
      <c r="G55" s="102">
        <f>TrAvia_ene!G$13</f>
        <v>6.181846005346734E-2</v>
      </c>
      <c r="H55" s="102">
        <f>TrAvia_ene!H$13</f>
        <v>5.1118405540072742E-2</v>
      </c>
      <c r="I55" s="102">
        <f>TrAvia_ene!I$13</f>
        <v>4.9122995243604729E-2</v>
      </c>
      <c r="J55" s="102">
        <f>TrAvia_ene!J$13</f>
        <v>4.9961738379959549E-2</v>
      </c>
      <c r="K55" s="102">
        <f>TrAvia_ene!K$13</f>
        <v>3.1272040843921961E-2</v>
      </c>
      <c r="L55" s="102">
        <f>TrAvia_ene!L$13</f>
        <v>3.2642147520311533E-2</v>
      </c>
      <c r="M55" s="102">
        <f>TrAvia_ene!M$13</f>
        <v>0.1165388997209383</v>
      </c>
      <c r="N55" s="102">
        <f>TrAvia_ene!N$13</f>
        <v>9.5241652376583649E-2</v>
      </c>
      <c r="O55" s="102">
        <f>TrAvia_ene!O$13</f>
        <v>0.14524468476808183</v>
      </c>
      <c r="P55" s="102">
        <f>TrAvia_ene!P$13</f>
        <v>0.12264007665605274</v>
      </c>
      <c r="Q55" s="102">
        <f>TrAvia_ene!Q$13</f>
        <v>0.1019976569464492</v>
      </c>
      <c r="R55" s="102">
        <f>TrAvia_ene!R$13</f>
        <v>0.10167613481969087</v>
      </c>
      <c r="S55" s="102">
        <f>TrAvia_ene!S$13</f>
        <v>0.11763729236355221</v>
      </c>
      <c r="T55" s="102">
        <f>TrAvia_ene!T$13</f>
        <v>0.53280653682982193</v>
      </c>
      <c r="U55" s="102">
        <f>TrAvia_ene!U$13</f>
        <v>0.38065968081492024</v>
      </c>
      <c r="V55" s="102">
        <f>TrAvia_ene!V$13</f>
        <v>0.43437018275638034</v>
      </c>
      <c r="W55" s="102">
        <f>TrAvia_ene!W$13</f>
        <v>0.61230323126505037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28.938779019776437</v>
      </c>
      <c r="C56" s="110">
        <f t="shared" si="45"/>
        <v>29.417712811693896</v>
      </c>
      <c r="D56" s="110">
        <f t="shared" si="45"/>
        <v>35.317712811693895</v>
      </c>
      <c r="E56" s="110">
        <f t="shared" si="45"/>
        <v>36.33783319002579</v>
      </c>
      <c r="F56" s="110">
        <f t="shared" si="45"/>
        <v>29.583233018056752</v>
      </c>
      <c r="G56" s="110">
        <f t="shared" si="45"/>
        <v>32.643508168529657</v>
      </c>
      <c r="H56" s="110">
        <f t="shared" si="45"/>
        <v>33.66362854686156</v>
      </c>
      <c r="I56" s="110">
        <f t="shared" si="45"/>
        <v>34.683748925193463</v>
      </c>
      <c r="J56" s="110">
        <f t="shared" si="45"/>
        <v>43.040326741186583</v>
      </c>
      <c r="K56" s="110">
        <f t="shared" si="45"/>
        <v>47.311092003439377</v>
      </c>
      <c r="L56" s="110">
        <f t="shared" si="45"/>
        <v>37.633705932932067</v>
      </c>
      <c r="M56" s="110">
        <f t="shared" si="45"/>
        <v>38.041788478073947</v>
      </c>
      <c r="N56" s="110">
        <f t="shared" si="45"/>
        <v>36.103525365434216</v>
      </c>
      <c r="O56" s="110">
        <f t="shared" si="45"/>
        <v>39.784350816852957</v>
      </c>
      <c r="P56" s="110">
        <f t="shared" si="45"/>
        <v>43.864746345657778</v>
      </c>
      <c r="Q56" s="110">
        <f t="shared" si="45"/>
        <v>41.824505588993979</v>
      </c>
      <c r="R56" s="110">
        <f t="shared" ref="R56:V56" si="46">R57+R58</f>
        <v>42.844625967325875</v>
      </c>
      <c r="S56" s="110">
        <f t="shared" si="46"/>
        <v>45.190885640584703</v>
      </c>
      <c r="T56" s="110">
        <f t="shared" si="46"/>
        <v>48.149269131556323</v>
      </c>
      <c r="U56" s="110">
        <f t="shared" si="46"/>
        <v>50.087446259673257</v>
      </c>
      <c r="V56" s="110">
        <f t="shared" si="46"/>
        <v>41.008426483233031</v>
      </c>
      <c r="W56" s="110">
        <f t="shared" ref="W56" si="47">W57+W58</f>
        <v>47.843164230438518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19.706326028888345</v>
      </c>
      <c r="C57" s="102">
        <f>TrNavi_ene!C4</f>
        <v>19.145881692120216</v>
      </c>
      <c r="D57" s="102">
        <f>TrNavi_ene!D4</f>
        <v>23.09616445596464</v>
      </c>
      <c r="E57" s="102">
        <f>TrNavi_ene!E4</f>
        <v>23.349304090937956</v>
      </c>
      <c r="F57" s="102">
        <f>TrNavi_ene!F4</f>
        <v>13.694407776064782</v>
      </c>
      <c r="G57" s="102">
        <f>TrNavi_ene!G4</f>
        <v>20.823532147050848</v>
      </c>
      <c r="H57" s="102">
        <f>TrNavi_ene!H4</f>
        <v>18.434306638514091</v>
      </c>
      <c r="I57" s="102">
        <f>TrNavi_ene!I4</f>
        <v>19.568071534589439</v>
      </c>
      <c r="J57" s="102">
        <f>TrNavi_ene!J4</f>
        <v>6.2612042224204147</v>
      </c>
      <c r="K57" s="102">
        <f>TrNavi_ene!K4</f>
        <v>6.1167358723141394</v>
      </c>
      <c r="L57" s="102">
        <f>TrNavi_ene!L4</f>
        <v>4.6688800467114602</v>
      </c>
      <c r="M57" s="102">
        <f>TrNavi_ene!M4</f>
        <v>5.0404927312381345</v>
      </c>
      <c r="N57" s="102">
        <f>TrNavi_ene!N4</f>
        <v>3.7607951104907635</v>
      </c>
      <c r="O57" s="102">
        <f>TrNavi_ene!O4</f>
        <v>3.8764137176746964</v>
      </c>
      <c r="P57" s="102">
        <f>TrNavi_ene!P4</f>
        <v>4.2602962704247913</v>
      </c>
      <c r="Q57" s="102">
        <f>TrNavi_ene!Q4</f>
        <v>4.740169634423407</v>
      </c>
      <c r="R57" s="102">
        <f>TrNavi_ene!R4</f>
        <v>2.4576936572777184</v>
      </c>
      <c r="S57" s="102">
        <f>TrNavi_ene!S4</f>
        <v>3.0771246146743052</v>
      </c>
      <c r="T57" s="102">
        <f>TrNavi_ene!T4</f>
        <v>3.2377108057725543</v>
      </c>
      <c r="U57" s="102">
        <f>TrNavi_ene!U4</f>
        <v>2.6645547426699818</v>
      </c>
      <c r="V57" s="102">
        <f>TrNavi_ene!V4</f>
        <v>1.8911655499489841</v>
      </c>
      <c r="W57" s="102">
        <f>TrNavi_ene!W4</f>
        <v>2.3963109965805058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9.2324529908880919</v>
      </c>
      <c r="C58" s="169">
        <f>TrNavi_ene!C10</f>
        <v>10.271831119573678</v>
      </c>
      <c r="D58" s="169">
        <f>TrNavi_ene!D10</f>
        <v>12.221548355729258</v>
      </c>
      <c r="E58" s="169">
        <f>TrNavi_ene!E10</f>
        <v>12.988529099087833</v>
      </c>
      <c r="F58" s="169">
        <f>TrNavi_ene!F10</f>
        <v>15.88882524199197</v>
      </c>
      <c r="G58" s="169">
        <f>TrNavi_ene!G10</f>
        <v>11.819976021478807</v>
      </c>
      <c r="H58" s="169">
        <f>TrNavi_ene!H10</f>
        <v>15.229321908347471</v>
      </c>
      <c r="I58" s="169">
        <f>TrNavi_ene!I10</f>
        <v>15.115677390604025</v>
      </c>
      <c r="J58" s="169">
        <f>TrNavi_ene!J10</f>
        <v>36.779122518766165</v>
      </c>
      <c r="K58" s="169">
        <f>TrNavi_ene!K10</f>
        <v>41.19435613112524</v>
      </c>
      <c r="L58" s="169">
        <f>TrNavi_ene!L10</f>
        <v>32.964825886220609</v>
      </c>
      <c r="M58" s="169">
        <f>TrNavi_ene!M10</f>
        <v>33.001295746835815</v>
      </c>
      <c r="N58" s="169">
        <f>TrNavi_ene!N10</f>
        <v>32.342730254943454</v>
      </c>
      <c r="O58" s="169">
        <f>TrNavi_ene!O10</f>
        <v>35.907937099178262</v>
      </c>
      <c r="P58" s="169">
        <f>TrNavi_ene!P10</f>
        <v>39.60445007523299</v>
      </c>
      <c r="Q58" s="169">
        <f>TrNavi_ene!Q10</f>
        <v>37.08433595457057</v>
      </c>
      <c r="R58" s="169">
        <f>TrNavi_ene!R10</f>
        <v>40.386932310048159</v>
      </c>
      <c r="S58" s="169">
        <f>TrNavi_ene!S10</f>
        <v>42.113761025910399</v>
      </c>
      <c r="T58" s="169">
        <f>TrNavi_ene!T10</f>
        <v>44.911558325783766</v>
      </c>
      <c r="U58" s="169">
        <f>TrNavi_ene!U10</f>
        <v>47.422891517003272</v>
      </c>
      <c r="V58" s="169">
        <f>TrNavi_ene!V10</f>
        <v>39.117260933284044</v>
      </c>
      <c r="W58" s="169">
        <f>TrNavi_ene!W10</f>
        <v>45.446853233858015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18.044539982803094</v>
      </c>
      <c r="C59" s="28">
        <f t="shared" ref="C59:W59" si="48">C60+C61</f>
        <v>28.700515907136719</v>
      </c>
      <c r="D59" s="28">
        <f t="shared" si="48"/>
        <v>23.57239896818572</v>
      </c>
      <c r="E59" s="28">
        <f t="shared" si="48"/>
        <v>21.559673258813415</v>
      </c>
      <c r="F59" s="28">
        <f t="shared" si="48"/>
        <v>23.406878761822867</v>
      </c>
      <c r="G59" s="28">
        <f t="shared" si="48"/>
        <v>25.005932932072227</v>
      </c>
      <c r="H59" s="28">
        <f t="shared" si="48"/>
        <v>19.974462596732586</v>
      </c>
      <c r="I59" s="28">
        <f t="shared" si="48"/>
        <v>23.379191745485812</v>
      </c>
      <c r="J59" s="28">
        <f t="shared" si="48"/>
        <v>21.228632846087699</v>
      </c>
      <c r="K59" s="28">
        <f t="shared" si="48"/>
        <v>6.4237317282889066</v>
      </c>
      <c r="L59" s="28">
        <f t="shared" si="48"/>
        <v>6.8097162510748062</v>
      </c>
      <c r="M59" s="28">
        <f t="shared" si="48"/>
        <v>23.519690455717971</v>
      </c>
      <c r="N59" s="28">
        <f t="shared" si="48"/>
        <v>3.914961306964746</v>
      </c>
      <c r="O59" s="28">
        <f t="shared" si="48"/>
        <v>3.914961306964746</v>
      </c>
      <c r="P59" s="28">
        <f t="shared" si="48"/>
        <v>4.9350816852966464</v>
      </c>
      <c r="Q59" s="28">
        <f t="shared" si="48"/>
        <v>3.970077386070507</v>
      </c>
      <c r="R59" s="28">
        <f t="shared" si="48"/>
        <v>4.5077386070507295</v>
      </c>
      <c r="S59" s="28">
        <f t="shared" si="48"/>
        <v>6.385296646603611</v>
      </c>
      <c r="T59" s="28">
        <f t="shared" si="48"/>
        <v>20.868013757523645</v>
      </c>
      <c r="U59" s="28">
        <f t="shared" si="48"/>
        <v>24.931900257953568</v>
      </c>
      <c r="V59" s="28">
        <f t="shared" si="48"/>
        <v>20.385554600171968</v>
      </c>
      <c r="W59" s="28">
        <f t="shared" si="48"/>
        <v>23.809802235597594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7.3495397058261283</v>
      </c>
      <c r="C60" s="102">
        <f>MBunk_ene!C$4</f>
        <v>11.63027603875949</v>
      </c>
      <c r="D60" s="102">
        <f>MBunk_ene!D$4</f>
        <v>9.5373535205556585</v>
      </c>
      <c r="E60" s="102">
        <f>MBunk_ene!E$4</f>
        <v>8.7244517879244334</v>
      </c>
      <c r="F60" s="102">
        <f>MBunk_ene!F$4</f>
        <v>9.4772801456188525</v>
      </c>
      <c r="G60" s="102">
        <f>MBunk_ene!G$4</f>
        <v>10.042596996983207</v>
      </c>
      <c r="H60" s="102">
        <f>MBunk_ene!H$4</f>
        <v>8.2683019667941124</v>
      </c>
      <c r="I60" s="102">
        <f>MBunk_ene!I$4</f>
        <v>8.9738617591110028</v>
      </c>
      <c r="J60" s="102">
        <f>MBunk_ene!J$4</f>
        <v>7.4539722337179342</v>
      </c>
      <c r="K60" s="102">
        <f>MBunk_ene!K$4</f>
        <v>2.7972019267147861</v>
      </c>
      <c r="L60" s="102">
        <f>MBunk_ene!L$4</f>
        <v>2.7452352318131217</v>
      </c>
      <c r="M60" s="102">
        <f>MBunk_ene!M$4</f>
        <v>9.8227067640772052</v>
      </c>
      <c r="N60" s="102">
        <f>MBunk_ene!N$4</f>
        <v>1.5874510073260872</v>
      </c>
      <c r="O60" s="102">
        <f>MBunk_ene!O$4</f>
        <v>1.3687489486959055</v>
      </c>
      <c r="P60" s="102">
        <f>MBunk_ene!P$4</f>
        <v>1.6430251733981476</v>
      </c>
      <c r="Q60" s="102">
        <f>MBunk_ene!Q$4</f>
        <v>1.1968479424165943</v>
      </c>
      <c r="R60" s="102">
        <f>MBunk_ene!R$4</f>
        <v>1.2890989284975749</v>
      </c>
      <c r="S60" s="102">
        <f>MBunk_ene!S$4</f>
        <v>1.8693229154820636</v>
      </c>
      <c r="T60" s="102">
        <f>MBunk_ene!T$4</f>
        <v>5.7129313689345622</v>
      </c>
      <c r="U60" s="102">
        <f>MBunk_ene!U$4</f>
        <v>7.3208342326994575</v>
      </c>
      <c r="V60" s="102">
        <f>MBunk_ene!V$4</f>
        <v>6.4763168477704118</v>
      </c>
      <c r="W60" s="102">
        <f>MBunk_ene!W$4</f>
        <v>8.0260096708720923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10.695000276976966</v>
      </c>
      <c r="C61" s="86">
        <f>MBunk_ene!C$10</f>
        <v>17.070239868377229</v>
      </c>
      <c r="D61" s="86">
        <f>MBunk_ene!D$10</f>
        <v>14.035045447630061</v>
      </c>
      <c r="E61" s="86">
        <f>MBunk_ene!E$10</f>
        <v>12.835221470888982</v>
      </c>
      <c r="F61" s="86">
        <f>MBunk_ene!F$10</f>
        <v>13.929598616204013</v>
      </c>
      <c r="G61" s="86">
        <f>MBunk_ene!G$10</f>
        <v>14.96333593508902</v>
      </c>
      <c r="H61" s="86">
        <f>MBunk_ene!H$10</f>
        <v>11.706160629938474</v>
      </c>
      <c r="I61" s="86">
        <f>MBunk_ene!I$10</f>
        <v>14.405329986374809</v>
      </c>
      <c r="J61" s="86">
        <f>MBunk_ene!J$10</f>
        <v>13.774660612369765</v>
      </c>
      <c r="K61" s="86">
        <f>MBunk_ene!K$10</f>
        <v>3.626529801574121</v>
      </c>
      <c r="L61" s="86">
        <f>MBunk_ene!L$10</f>
        <v>4.0644810192616845</v>
      </c>
      <c r="M61" s="86">
        <f>MBunk_ene!M$10</f>
        <v>13.696983691640767</v>
      </c>
      <c r="N61" s="86">
        <f>MBunk_ene!N$10</f>
        <v>2.327510299638659</v>
      </c>
      <c r="O61" s="86">
        <f>MBunk_ene!O$10</f>
        <v>2.5462123582688405</v>
      </c>
      <c r="P61" s="86">
        <f>MBunk_ene!P$10</f>
        <v>3.2920565118984988</v>
      </c>
      <c r="Q61" s="86">
        <f>MBunk_ene!Q$10</f>
        <v>2.7732294436539124</v>
      </c>
      <c r="R61" s="86">
        <f>MBunk_ene!R$10</f>
        <v>3.2186396785531546</v>
      </c>
      <c r="S61" s="86">
        <f>MBunk_ene!S$10</f>
        <v>4.5159737311215471</v>
      </c>
      <c r="T61" s="86">
        <f>MBunk_ene!T$10</f>
        <v>15.155082388589083</v>
      </c>
      <c r="U61" s="86">
        <f>MBunk_ene!U$10</f>
        <v>17.611066025254111</v>
      </c>
      <c r="V61" s="86">
        <f>MBunk_ene!V$10</f>
        <v>13.909237752401555</v>
      </c>
      <c r="W61" s="86">
        <f>MBunk_ene!W$10</f>
        <v>15.783792564725502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3747.1009775055704</v>
      </c>
      <c r="C64" s="28">
        <f t="shared" si="49"/>
        <v>3738.2585035343982</v>
      </c>
      <c r="D64" s="28">
        <f t="shared" si="49"/>
        <v>3779.9694631649991</v>
      </c>
      <c r="E64" s="28">
        <f t="shared" si="49"/>
        <v>4037.7690845723209</v>
      </c>
      <c r="F64" s="28">
        <f t="shared" si="49"/>
        <v>4110.7705198218264</v>
      </c>
      <c r="G64" s="28">
        <f t="shared" si="49"/>
        <v>4306.6496843805344</v>
      </c>
      <c r="H64" s="28">
        <f t="shared" si="49"/>
        <v>4572.6294329536004</v>
      </c>
      <c r="I64" s="28">
        <f t="shared" si="49"/>
        <v>4978.4145707190737</v>
      </c>
      <c r="J64" s="28">
        <f t="shared" si="49"/>
        <v>4937.5536971710608</v>
      </c>
      <c r="K64" s="28">
        <f t="shared" si="49"/>
        <v>4951.7251100672138</v>
      </c>
      <c r="L64" s="28">
        <f t="shared" si="49"/>
        <v>4787.1484395039515</v>
      </c>
      <c r="M64" s="28">
        <f t="shared" si="49"/>
        <v>4736.3364699434769</v>
      </c>
      <c r="N64" s="28">
        <f t="shared" si="49"/>
        <v>4676.4159714681309</v>
      </c>
      <c r="O64" s="28">
        <f t="shared" si="49"/>
        <v>4638.7589150845379</v>
      </c>
      <c r="P64" s="28">
        <f t="shared" si="49"/>
        <v>4688.6490196933019</v>
      </c>
      <c r="Q64" s="28">
        <f t="shared" si="49"/>
        <v>4922.3730797824674</v>
      </c>
      <c r="R64" s="28">
        <f t="shared" ref="R64:V64" si="50">R65+R69+R73</f>
        <v>5182.8270433489224</v>
      </c>
      <c r="S64" s="28">
        <f t="shared" si="50"/>
        <v>5416.4451030108439</v>
      </c>
      <c r="T64" s="28">
        <f t="shared" si="50"/>
        <v>5372.1912607767499</v>
      </c>
      <c r="U64" s="28">
        <f t="shared" si="50"/>
        <v>5418.4461326085948</v>
      </c>
      <c r="V64" s="28">
        <f t="shared" si="50"/>
        <v>4225.5828860485935</v>
      </c>
      <c r="W64" s="28">
        <f t="shared" ref="W64" si="51">W65+W69+W73</f>
        <v>4780.0774503310113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3460.0666857165647</v>
      </c>
      <c r="C65" s="137">
        <f t="shared" si="52"/>
        <v>3454.343540888779</v>
      </c>
      <c r="D65" s="137">
        <f t="shared" si="52"/>
        <v>3504.6516361483864</v>
      </c>
      <c r="E65" s="137">
        <f t="shared" si="52"/>
        <v>3769.5598111339591</v>
      </c>
      <c r="F65" s="137">
        <f t="shared" si="52"/>
        <v>3806.5184538128265</v>
      </c>
      <c r="G65" s="137">
        <f t="shared" si="52"/>
        <v>3956.4845504658301</v>
      </c>
      <c r="H65" s="137">
        <f t="shared" si="52"/>
        <v>4211.7306227217068</v>
      </c>
      <c r="I65" s="137">
        <f t="shared" si="52"/>
        <v>4606.1730000390999</v>
      </c>
      <c r="J65" s="137">
        <f t="shared" si="52"/>
        <v>4521.4247382093345</v>
      </c>
      <c r="K65" s="137">
        <f t="shared" si="52"/>
        <v>4592.1097287564698</v>
      </c>
      <c r="L65" s="137">
        <f t="shared" si="52"/>
        <v>4409.7797434964396</v>
      </c>
      <c r="M65" s="137">
        <f t="shared" si="52"/>
        <v>4341.2291414237307</v>
      </c>
      <c r="N65" s="137">
        <f t="shared" si="52"/>
        <v>4267.9697421654091</v>
      </c>
      <c r="O65" s="137">
        <f t="shared" si="52"/>
        <v>4201.1592310495262</v>
      </c>
      <c r="P65" s="137">
        <f t="shared" si="52"/>
        <v>4258.2740938770585</v>
      </c>
      <c r="Q65" s="137">
        <f t="shared" si="52"/>
        <v>4506.1164289054796</v>
      </c>
      <c r="R65" s="137">
        <f t="shared" ref="R65:V65" si="53">R66+R67+R68</f>
        <v>4744.8421414522936</v>
      </c>
      <c r="S65" s="137">
        <f t="shared" si="53"/>
        <v>4908.3016092240669</v>
      </c>
      <c r="T65" s="137">
        <f t="shared" si="53"/>
        <v>4760.2982469035132</v>
      </c>
      <c r="U65" s="137">
        <f t="shared" si="53"/>
        <v>4762.5901066937759</v>
      </c>
      <c r="V65" s="137">
        <f t="shared" si="53"/>
        <v>4027.5102231773694</v>
      </c>
      <c r="W65" s="137">
        <f t="shared" ref="W65" si="54">W66+W67+W68</f>
        <v>4441.8612200455163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17.049669221312438</v>
      </c>
      <c r="C66" s="102">
        <f>TrRoad_emi!C$19</f>
        <v>16.94700930967824</v>
      </c>
      <c r="D66" s="102">
        <f>TrRoad_emi!D$19</f>
        <v>17.384183550061419</v>
      </c>
      <c r="E66" s="102">
        <f>TrRoad_emi!E$19</f>
        <v>18.998877591948027</v>
      </c>
      <c r="F66" s="102">
        <f>TrRoad_emi!F$19</f>
        <v>20.563248160479329</v>
      </c>
      <c r="G66" s="102">
        <f>TrRoad_emi!G$19</f>
        <v>22.243837103345076</v>
      </c>
      <c r="H66" s="102">
        <f>TrRoad_emi!H$19</f>
        <v>23.863523462472418</v>
      </c>
      <c r="I66" s="102">
        <f>TrRoad_emi!I$19</f>
        <v>23.8158425061477</v>
      </c>
      <c r="J66" s="102">
        <f>TrRoad_emi!J$19</f>
        <v>23.77389949630329</v>
      </c>
      <c r="K66" s="102">
        <f>TrRoad_emi!K$19</f>
        <v>23.587000565705882</v>
      </c>
      <c r="L66" s="102">
        <f>TrRoad_emi!L$19</f>
        <v>23.530425671809304</v>
      </c>
      <c r="M66" s="102">
        <f>TrRoad_emi!M$19</f>
        <v>23.333223943127916</v>
      </c>
      <c r="N66" s="102">
        <f>TrRoad_emi!N$19</f>
        <v>23.297729403952207</v>
      </c>
      <c r="O66" s="102">
        <f>TrRoad_emi!O$19</f>
        <v>23.062996714087941</v>
      </c>
      <c r="P66" s="102">
        <f>TrRoad_emi!P$19</f>
        <v>22.876260520208749</v>
      </c>
      <c r="Q66" s="102">
        <f>TrRoad_emi!Q$19</f>
        <v>22.802856671219729</v>
      </c>
      <c r="R66" s="102">
        <f>TrRoad_emi!R$19</f>
        <v>23.77604965742298</v>
      </c>
      <c r="S66" s="102">
        <f>TrRoad_emi!S$19</f>
        <v>24.734693418248717</v>
      </c>
      <c r="T66" s="102">
        <f>TrRoad_emi!T$19</f>
        <v>25.022041943930052</v>
      </c>
      <c r="U66" s="102">
        <f>TrRoad_emi!U$19</f>
        <v>25.947091482124929</v>
      </c>
      <c r="V66" s="102">
        <f>TrRoad_emi!V$19</f>
        <v>22.791888275897698</v>
      </c>
      <c r="W66" s="102">
        <f>TrRoad_emi!W$19</f>
        <v>26.761824044295601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2893.9508723024528</v>
      </c>
      <c r="C67" s="102">
        <f>TrRoad_emi!C$20</f>
        <v>2906.9394387762732</v>
      </c>
      <c r="D67" s="102">
        <f>TrRoad_emi!D$20</f>
        <v>2962.5737833329363</v>
      </c>
      <c r="E67" s="102">
        <f>TrRoad_emi!E$20</f>
        <v>3223.4275711437667</v>
      </c>
      <c r="F67" s="102">
        <f>TrRoad_emi!F$20</f>
        <v>3272.1880466745438</v>
      </c>
      <c r="G67" s="102">
        <f>TrRoad_emi!G$20</f>
        <v>3426.9338501911775</v>
      </c>
      <c r="H67" s="102">
        <f>TrRoad_emi!H$20</f>
        <v>3683.5280080972852</v>
      </c>
      <c r="I67" s="102">
        <f>TrRoad_emi!I$20</f>
        <v>4062.5709793854789</v>
      </c>
      <c r="J67" s="102">
        <f>TrRoad_emi!J$20</f>
        <v>3980.8994713919105</v>
      </c>
      <c r="K67" s="102">
        <f>TrRoad_emi!K$20</f>
        <v>4041.347029867155</v>
      </c>
      <c r="L67" s="102">
        <f>TrRoad_emi!L$20</f>
        <v>3858.5431217139535</v>
      </c>
      <c r="M67" s="102">
        <f>TrRoad_emi!M$20</f>
        <v>3811.9785403634169</v>
      </c>
      <c r="N67" s="102">
        <f>TrRoad_emi!N$20</f>
        <v>3763.3010502435491</v>
      </c>
      <c r="O67" s="102">
        <f>TrRoad_emi!O$20</f>
        <v>3691.2134374994389</v>
      </c>
      <c r="P67" s="102">
        <f>TrRoad_emi!P$20</f>
        <v>3742.0218979223769</v>
      </c>
      <c r="Q67" s="102">
        <f>TrRoad_emi!Q$20</f>
        <v>3955.5514565966023</v>
      </c>
      <c r="R67" s="102">
        <f>TrRoad_emi!R$20</f>
        <v>4159.0067064138948</v>
      </c>
      <c r="S67" s="102">
        <f>TrRoad_emi!S$20</f>
        <v>4289.0456156449009</v>
      </c>
      <c r="T67" s="102">
        <f>TrRoad_emi!T$20</f>
        <v>4140.8546854356237</v>
      </c>
      <c r="U67" s="102">
        <f>TrRoad_emi!U$20</f>
        <v>4244.0778321855196</v>
      </c>
      <c r="V67" s="102">
        <f>TrRoad_emi!V$20</f>
        <v>3649.8396168296222</v>
      </c>
      <c r="W67" s="102">
        <f>TrRoad_emi!W$20</f>
        <v>4020.361738630429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549.0661441927997</v>
      </c>
      <c r="C68" s="102">
        <f>TrRoad_emi!C$27</f>
        <v>530.45709280282745</v>
      </c>
      <c r="D68" s="102">
        <f>TrRoad_emi!D$27</f>
        <v>524.69366926538851</v>
      </c>
      <c r="E68" s="102">
        <f>TrRoad_emi!E$27</f>
        <v>527.13336239824469</v>
      </c>
      <c r="F68" s="102">
        <f>TrRoad_emi!F$27</f>
        <v>513.76715897780321</v>
      </c>
      <c r="G68" s="102">
        <f>TrRoad_emi!G$27</f>
        <v>507.30686317130767</v>
      </c>
      <c r="H68" s="102">
        <f>TrRoad_emi!H$27</f>
        <v>504.339091161949</v>
      </c>
      <c r="I68" s="102">
        <f>TrRoad_emi!I$27</f>
        <v>519.78617814747327</v>
      </c>
      <c r="J68" s="102">
        <f>TrRoad_emi!J$27</f>
        <v>516.75136732112014</v>
      </c>
      <c r="K68" s="102">
        <f>TrRoad_emi!K$27</f>
        <v>527.17569832360948</v>
      </c>
      <c r="L68" s="102">
        <f>TrRoad_emi!L$27</f>
        <v>527.70619611067707</v>
      </c>
      <c r="M68" s="102">
        <f>TrRoad_emi!M$27</f>
        <v>505.91737711718599</v>
      </c>
      <c r="N68" s="102">
        <f>TrRoad_emi!N$27</f>
        <v>481.37096251790717</v>
      </c>
      <c r="O68" s="102">
        <f>TrRoad_emi!O$27</f>
        <v>486.8827968359995</v>
      </c>
      <c r="P68" s="102">
        <f>TrRoad_emi!P$27</f>
        <v>493.37593543447275</v>
      </c>
      <c r="Q68" s="102">
        <f>TrRoad_emi!Q$27</f>
        <v>527.76211563765742</v>
      </c>
      <c r="R68" s="102">
        <f>TrRoad_emi!R$27</f>
        <v>562.05938538097621</v>
      </c>
      <c r="S68" s="102">
        <f>TrRoad_emi!S$27</f>
        <v>594.52130016091758</v>
      </c>
      <c r="T68" s="102">
        <f>TrRoad_emi!T$27</f>
        <v>594.42151952395955</v>
      </c>
      <c r="U68" s="102">
        <f>TrRoad_emi!U$27</f>
        <v>492.56518302613102</v>
      </c>
      <c r="V68" s="102">
        <f>TrRoad_emi!V$27</f>
        <v>354.87871807184951</v>
      </c>
      <c r="W68" s="102">
        <f>TrRoad_emi!W$27</f>
        <v>394.73765737079179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60.860891449122498</v>
      </c>
      <c r="C69" s="110">
        <f t="shared" si="55"/>
        <v>58.014345794287294</v>
      </c>
      <c r="D69" s="110">
        <f t="shared" si="55"/>
        <v>57.361101694957796</v>
      </c>
      <c r="E69" s="110">
        <f t="shared" si="55"/>
        <v>53.293585150819553</v>
      </c>
      <c r="F69" s="110">
        <f t="shared" si="55"/>
        <v>57.765358000148254</v>
      </c>
      <c r="G69" s="110">
        <f t="shared" si="55"/>
        <v>56.558820871573595</v>
      </c>
      <c r="H69" s="110">
        <f t="shared" si="55"/>
        <v>57.867195211706871</v>
      </c>
      <c r="I69" s="110">
        <f t="shared" si="55"/>
        <v>56.937789419429279</v>
      </c>
      <c r="J69" s="110">
        <f t="shared" si="55"/>
        <v>59.850634989569699</v>
      </c>
      <c r="K69" s="110">
        <f t="shared" si="55"/>
        <v>53.821887027693229</v>
      </c>
      <c r="L69" s="110">
        <f t="shared" si="55"/>
        <v>51.994332894523765</v>
      </c>
      <c r="M69" s="110">
        <f t="shared" si="55"/>
        <v>50.663044630365128</v>
      </c>
      <c r="N69" s="110">
        <f t="shared" si="55"/>
        <v>48.14795251733598</v>
      </c>
      <c r="O69" s="110">
        <f t="shared" si="55"/>
        <v>45.841822944867339</v>
      </c>
      <c r="P69" s="110">
        <f t="shared" si="55"/>
        <v>38.330932646541527</v>
      </c>
      <c r="Q69" s="110">
        <f t="shared" si="55"/>
        <v>33.911530240027396</v>
      </c>
      <c r="R69" s="110">
        <f t="shared" ref="R69:V69" si="56">R70+R71+R72</f>
        <v>33.097676229252862</v>
      </c>
      <c r="S69" s="110">
        <f t="shared" si="56"/>
        <v>32.434219490491849</v>
      </c>
      <c r="T69" s="110">
        <f t="shared" si="56"/>
        <v>27.606265764360185</v>
      </c>
      <c r="U69" s="110">
        <f t="shared" si="56"/>
        <v>25.003917739567868</v>
      </c>
      <c r="V69" s="110">
        <f t="shared" si="56"/>
        <v>21.574715195923329</v>
      </c>
      <c r="W69" s="110">
        <f t="shared" ref="W69" si="57">W70+W71+W72</f>
        <v>23.579755708241667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60.860891449122498</v>
      </c>
      <c r="C71" s="102">
        <f>TrRail_emi!C$11</f>
        <v>58.014345794287294</v>
      </c>
      <c r="D71" s="102">
        <f>TrRail_emi!D$11</f>
        <v>57.361101694957796</v>
      </c>
      <c r="E71" s="102">
        <f>TrRail_emi!E$11</f>
        <v>53.293585150819553</v>
      </c>
      <c r="F71" s="102">
        <f>TrRail_emi!F$11</f>
        <v>57.765358000148254</v>
      </c>
      <c r="G71" s="102">
        <f>TrRail_emi!G$11</f>
        <v>56.558820871573595</v>
      </c>
      <c r="H71" s="102">
        <f>TrRail_emi!H$11</f>
        <v>57.867195211706871</v>
      </c>
      <c r="I71" s="102">
        <f>TrRail_emi!I$11</f>
        <v>56.937789419429279</v>
      </c>
      <c r="J71" s="102">
        <f>TrRail_emi!J$11</f>
        <v>59.850634989569699</v>
      </c>
      <c r="K71" s="102">
        <f>TrRail_emi!K$11</f>
        <v>53.821887027693229</v>
      </c>
      <c r="L71" s="102">
        <f>TrRail_emi!L$11</f>
        <v>51.994332894523765</v>
      </c>
      <c r="M71" s="102">
        <f>TrRail_emi!M$11</f>
        <v>50.663044630365128</v>
      </c>
      <c r="N71" s="102">
        <f>TrRail_emi!N$11</f>
        <v>48.14795251733598</v>
      </c>
      <c r="O71" s="102">
        <f>TrRail_emi!O$11</f>
        <v>45.841822944867339</v>
      </c>
      <c r="P71" s="102">
        <f>TrRail_emi!P$11</f>
        <v>38.330932646541527</v>
      </c>
      <c r="Q71" s="102">
        <f>TrRail_emi!Q$11</f>
        <v>33.911530240027396</v>
      </c>
      <c r="R71" s="102">
        <f>TrRail_emi!R$11</f>
        <v>33.097676229252862</v>
      </c>
      <c r="S71" s="102">
        <f>TrRail_emi!S$11</f>
        <v>32.434219490491849</v>
      </c>
      <c r="T71" s="102">
        <f>TrRail_emi!T$11</f>
        <v>27.606265764360185</v>
      </c>
      <c r="U71" s="102">
        <f>TrRail_emi!U$11</f>
        <v>25.003917739567868</v>
      </c>
      <c r="V71" s="102">
        <f>TrRail_emi!V$11</f>
        <v>21.574715195923329</v>
      </c>
      <c r="W71" s="102">
        <f>TrRail_emi!W$11</f>
        <v>23.579755708241667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226.17340033988327</v>
      </c>
      <c r="C73" s="110">
        <f t="shared" si="58"/>
        <v>225.90061685133216</v>
      </c>
      <c r="D73" s="110">
        <f t="shared" si="58"/>
        <v>217.95672532165511</v>
      </c>
      <c r="E73" s="110">
        <f t="shared" si="58"/>
        <v>214.91568828754239</v>
      </c>
      <c r="F73" s="110">
        <f t="shared" si="58"/>
        <v>246.48670800885168</v>
      </c>
      <c r="G73" s="110">
        <f t="shared" si="58"/>
        <v>293.60631304313102</v>
      </c>
      <c r="H73" s="110">
        <f t="shared" si="58"/>
        <v>303.03161502018673</v>
      </c>
      <c r="I73" s="110">
        <f t="shared" si="58"/>
        <v>315.30378126054444</v>
      </c>
      <c r="J73" s="110">
        <f t="shared" si="58"/>
        <v>356.27832397215701</v>
      </c>
      <c r="K73" s="110">
        <f t="shared" si="58"/>
        <v>305.79349428305039</v>
      </c>
      <c r="L73" s="110">
        <f t="shared" si="58"/>
        <v>325.37436311298814</v>
      </c>
      <c r="M73" s="110">
        <f t="shared" si="58"/>
        <v>344.44428388938059</v>
      </c>
      <c r="N73" s="110">
        <f t="shared" si="58"/>
        <v>360.29827678538533</v>
      </c>
      <c r="O73" s="110">
        <f t="shared" si="58"/>
        <v>391.75786109014416</v>
      </c>
      <c r="P73" s="110">
        <f t="shared" si="58"/>
        <v>392.04399316970176</v>
      </c>
      <c r="Q73" s="110">
        <f t="shared" si="58"/>
        <v>382.34512063696002</v>
      </c>
      <c r="R73" s="110">
        <f t="shared" ref="R73:V73" si="59">R74+R75+R76</f>
        <v>404.88722566737613</v>
      </c>
      <c r="S73" s="110">
        <f t="shared" si="59"/>
        <v>475.70927429628529</v>
      </c>
      <c r="T73" s="110">
        <f t="shared" si="59"/>
        <v>584.28674810887651</v>
      </c>
      <c r="U73" s="110">
        <f t="shared" si="59"/>
        <v>630.85210817525183</v>
      </c>
      <c r="V73" s="110">
        <f t="shared" si="59"/>
        <v>176.49794767530082</v>
      </c>
      <c r="W73" s="110">
        <f t="shared" ref="W73" si="60">W74+W75+W76</f>
        <v>314.63647457725375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24.868338536640373</v>
      </c>
      <c r="C74" s="102">
        <f>TrAvia_emi!C$7</f>
        <v>24.782467797736544</v>
      </c>
      <c r="D74" s="102">
        <f>TrAvia_emi!D$7</f>
        <v>29.493315073969587</v>
      </c>
      <c r="E74" s="102">
        <f>TrAvia_emi!E$7</f>
        <v>32.709301865560775</v>
      </c>
      <c r="F74" s="102">
        <f>TrAvia_emi!F$7</f>
        <v>35.860665010707415</v>
      </c>
      <c r="G74" s="102">
        <f>TrAvia_emi!G$7</f>
        <v>35.756633013392388</v>
      </c>
      <c r="H74" s="102">
        <f>TrAvia_emi!H$7</f>
        <v>38.753417142262727</v>
      </c>
      <c r="I74" s="102">
        <f>TrAvia_emi!I$7</f>
        <v>38.610069211164564</v>
      </c>
      <c r="J74" s="102">
        <f>TrAvia_emi!J$7</f>
        <v>38.668136680172807</v>
      </c>
      <c r="K74" s="102">
        <f>TrAvia_emi!K$7</f>
        <v>35.787779849641986</v>
      </c>
      <c r="L74" s="102">
        <f>TrAvia_emi!L$7</f>
        <v>29.596921303209065</v>
      </c>
      <c r="M74" s="102">
        <f>TrAvia_emi!M$7</f>
        <v>32.788113358959663</v>
      </c>
      <c r="N74" s="102">
        <f>TrAvia_emi!N$7</f>
        <v>29.711936101938061</v>
      </c>
      <c r="O74" s="102">
        <f>TrAvia_emi!O$7</f>
        <v>29.759440623793594</v>
      </c>
      <c r="P74" s="102">
        <f>TrAvia_emi!P$7</f>
        <v>29.814605868084563</v>
      </c>
      <c r="Q74" s="102">
        <f>TrAvia_emi!Q$7</f>
        <v>32.66731535355963</v>
      </c>
      <c r="R74" s="102">
        <f>TrAvia_emi!R$7</f>
        <v>33.034629504421687</v>
      </c>
      <c r="S74" s="102">
        <f>TrAvia_emi!S$7</f>
        <v>31.777973294859585</v>
      </c>
      <c r="T74" s="102">
        <f>TrAvia_emi!T$7</f>
        <v>32.1153773603479</v>
      </c>
      <c r="U74" s="102">
        <f>TrAvia_emi!U$7</f>
        <v>32.14163260084635</v>
      </c>
      <c r="V74" s="102">
        <f>TrAvia_emi!V$7</f>
        <v>16.720564337574412</v>
      </c>
      <c r="W74" s="102">
        <f>TrAvia_emi!W$7</f>
        <v>22.40884141025964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164.3861019251315</v>
      </c>
      <c r="C75" s="102">
        <f>TrAvia_emi!C$8</f>
        <v>164.22720776927898</v>
      </c>
      <c r="D75" s="102">
        <f>TrAvia_emi!D$8</f>
        <v>153.89125388616901</v>
      </c>
      <c r="E75" s="102">
        <f>TrAvia_emi!E$8</f>
        <v>148.78630236788848</v>
      </c>
      <c r="F75" s="102">
        <f>TrAvia_emi!F$8</f>
        <v>171.99662138240694</v>
      </c>
      <c r="G75" s="102">
        <f>TrAvia_emi!G$8</f>
        <v>214.52481976800044</v>
      </c>
      <c r="H75" s="102">
        <f>TrAvia_emi!H$8</f>
        <v>223.91392330455781</v>
      </c>
      <c r="I75" s="102">
        <f>TrAvia_emi!I$8</f>
        <v>236.23689568497122</v>
      </c>
      <c r="J75" s="102">
        <f>TrAvia_emi!J$8</f>
        <v>268.30189380162597</v>
      </c>
      <c r="K75" s="102">
        <f>TrAvia_emi!K$8</f>
        <v>227.53556265888142</v>
      </c>
      <c r="L75" s="102">
        <f>TrAvia_emi!L$8</f>
        <v>249.86799992076368</v>
      </c>
      <c r="M75" s="102">
        <f>TrAvia_emi!M$8</f>
        <v>262.32393850854953</v>
      </c>
      <c r="N75" s="102">
        <f>TrAvia_emi!N$8</f>
        <v>279.68582672325067</v>
      </c>
      <c r="O75" s="102">
        <f>TrAvia_emi!O$8</f>
        <v>310.06025477391944</v>
      </c>
      <c r="P75" s="102">
        <f>TrAvia_emi!P$8</f>
        <v>311.68409895251096</v>
      </c>
      <c r="Q75" s="102">
        <f>TrAvia_emi!Q$8</f>
        <v>300.43477947739865</v>
      </c>
      <c r="R75" s="102">
        <f>TrAvia_emi!R$8</f>
        <v>323.42978936936225</v>
      </c>
      <c r="S75" s="102">
        <f>TrAvia_emi!S$8</f>
        <v>393.03579728626545</v>
      </c>
      <c r="T75" s="102">
        <f>TrAvia_emi!T$8</f>
        <v>488.99570941399207</v>
      </c>
      <c r="U75" s="102">
        <f>TrAvia_emi!U$8</f>
        <v>530.63036450781499</v>
      </c>
      <c r="V75" s="102">
        <f>TrAvia_emi!V$8</f>
        <v>126.63907849851122</v>
      </c>
      <c r="W75" s="102">
        <f>TrAvia_emi!W$8</f>
        <v>242.30466433695091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36.918959878111387</v>
      </c>
      <c r="C76" s="102">
        <f>TrAvia_emi!C$9</f>
        <v>36.890941284316654</v>
      </c>
      <c r="D76" s="102">
        <f>TrAvia_emi!D$9</f>
        <v>34.572156361516512</v>
      </c>
      <c r="E76" s="102">
        <f>TrAvia_emi!E$9</f>
        <v>33.420084054093131</v>
      </c>
      <c r="F76" s="102">
        <f>TrAvia_emi!F$9</f>
        <v>38.629421615737321</v>
      </c>
      <c r="G76" s="102">
        <f>TrAvia_emi!G$9</f>
        <v>43.324860261738202</v>
      </c>
      <c r="H76" s="102">
        <f>TrAvia_emi!H$9</f>
        <v>40.36427457336616</v>
      </c>
      <c r="I76" s="102">
        <f>TrAvia_emi!I$9</f>
        <v>40.456816364408652</v>
      </c>
      <c r="J76" s="102">
        <f>TrAvia_emi!J$9</f>
        <v>49.308293490358253</v>
      </c>
      <c r="K76" s="102">
        <f>TrAvia_emi!K$9</f>
        <v>42.470151774526983</v>
      </c>
      <c r="L76" s="102">
        <f>TrAvia_emi!L$9</f>
        <v>45.909441889015419</v>
      </c>
      <c r="M76" s="102">
        <f>TrAvia_emi!M$9</f>
        <v>49.332232021871413</v>
      </c>
      <c r="N76" s="102">
        <f>TrAvia_emi!N$9</f>
        <v>50.900513960196577</v>
      </c>
      <c r="O76" s="102">
        <f>TrAvia_emi!O$9</f>
        <v>51.938165692431149</v>
      </c>
      <c r="P76" s="102">
        <f>TrAvia_emi!P$9</f>
        <v>50.545288349106215</v>
      </c>
      <c r="Q76" s="102">
        <f>TrAvia_emi!Q$9</f>
        <v>49.243025806001782</v>
      </c>
      <c r="R76" s="102">
        <f>TrAvia_emi!R$9</f>
        <v>48.422806793592173</v>
      </c>
      <c r="S76" s="102">
        <f>TrAvia_emi!S$9</f>
        <v>50.895503715160274</v>
      </c>
      <c r="T76" s="102">
        <f>TrAvia_emi!T$9</f>
        <v>63.175661334536635</v>
      </c>
      <c r="U76" s="102">
        <f>TrAvia_emi!U$9</f>
        <v>68.080111066590462</v>
      </c>
      <c r="V76" s="102">
        <f>TrAvia_emi!V$9</f>
        <v>33.138304839215181</v>
      </c>
      <c r="W76" s="102">
        <f>TrAvia_emi!W$9</f>
        <v>49.922968830043189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804.74950209442886</v>
      </c>
      <c r="C77" s="28">
        <f t="shared" si="61"/>
        <v>870.68382310560185</v>
      </c>
      <c r="D77" s="28">
        <f t="shared" si="61"/>
        <v>1123.8024285150009</v>
      </c>
      <c r="E77" s="28">
        <f t="shared" si="61"/>
        <v>1259.8865600676788</v>
      </c>
      <c r="F77" s="28">
        <f t="shared" si="61"/>
        <v>1354.9605553781735</v>
      </c>
      <c r="G77" s="28">
        <f t="shared" si="61"/>
        <v>1409.1130288994632</v>
      </c>
      <c r="H77" s="28">
        <f t="shared" si="61"/>
        <v>1502.987721886399</v>
      </c>
      <c r="I77" s="28">
        <f t="shared" si="61"/>
        <v>1541.6070220409254</v>
      </c>
      <c r="J77" s="28">
        <f t="shared" si="61"/>
        <v>1559.6223891889381</v>
      </c>
      <c r="K77" s="28">
        <f t="shared" si="61"/>
        <v>1460.2459653327862</v>
      </c>
      <c r="L77" s="28">
        <f t="shared" si="61"/>
        <v>1406.2398770960488</v>
      </c>
      <c r="M77" s="28">
        <f t="shared" si="61"/>
        <v>1357.4291902965228</v>
      </c>
      <c r="N77" s="28">
        <f t="shared" si="61"/>
        <v>1224.6869285318694</v>
      </c>
      <c r="O77" s="28">
        <f t="shared" si="61"/>
        <v>1378.8409896754611</v>
      </c>
      <c r="P77" s="28">
        <f t="shared" si="61"/>
        <v>1271.8484882266973</v>
      </c>
      <c r="Q77" s="28">
        <f t="shared" si="61"/>
        <v>1336.4646523375341</v>
      </c>
      <c r="R77" s="28">
        <f t="shared" ref="R77:V77" si="62">R78+R81+R82+R86+R92</f>
        <v>1312.9845987310766</v>
      </c>
      <c r="S77" s="28">
        <f t="shared" si="62"/>
        <v>1622.3529878291583</v>
      </c>
      <c r="T77" s="28">
        <f t="shared" si="62"/>
        <v>1539.1149807032502</v>
      </c>
      <c r="U77" s="28">
        <f t="shared" si="62"/>
        <v>1712.2433193914044</v>
      </c>
      <c r="V77" s="28">
        <f t="shared" si="62"/>
        <v>1658.2704202714085</v>
      </c>
      <c r="W77" s="28">
        <f t="shared" ref="W77" si="63">W78+W81+W82+W86+W92</f>
        <v>1695.7351257889882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689.00894020343469</v>
      </c>
      <c r="C78" s="137">
        <f t="shared" si="64"/>
        <v>746.74589087122126</v>
      </c>
      <c r="D78" s="137">
        <f t="shared" si="64"/>
        <v>980.36133813161382</v>
      </c>
      <c r="E78" s="137">
        <f t="shared" si="64"/>
        <v>1109.3229495460407</v>
      </c>
      <c r="F78" s="137">
        <f t="shared" si="64"/>
        <v>1224.3916887471732</v>
      </c>
      <c r="G78" s="137">
        <f t="shared" si="64"/>
        <v>1264.3871880941679</v>
      </c>
      <c r="H78" s="137">
        <f t="shared" si="64"/>
        <v>1353.1840571582925</v>
      </c>
      <c r="I78" s="137">
        <f t="shared" si="64"/>
        <v>1384.1733966808988</v>
      </c>
      <c r="J78" s="137">
        <f t="shared" si="64"/>
        <v>1381.0097913506647</v>
      </c>
      <c r="K78" s="137">
        <f t="shared" si="64"/>
        <v>1276.2635368835299</v>
      </c>
      <c r="L78" s="137">
        <f t="shared" si="64"/>
        <v>1250.8565909835606</v>
      </c>
      <c r="M78" s="137">
        <f t="shared" si="64"/>
        <v>1204.6177017762686</v>
      </c>
      <c r="N78" s="137">
        <f t="shared" si="64"/>
        <v>1080.4878147545908</v>
      </c>
      <c r="O78" s="137">
        <f t="shared" si="64"/>
        <v>1223.5671111904724</v>
      </c>
      <c r="P78" s="137">
        <f t="shared" si="64"/>
        <v>1106.1850108829408</v>
      </c>
      <c r="Q78" s="137">
        <f t="shared" si="64"/>
        <v>1182.3016758145213</v>
      </c>
      <c r="R78" s="137">
        <f t="shared" ref="R78:V78" si="65">R79+R80</f>
        <v>1154.9476790677056</v>
      </c>
      <c r="S78" s="137">
        <f t="shared" si="65"/>
        <v>1457.6613765359352</v>
      </c>
      <c r="T78" s="137">
        <f t="shared" si="65"/>
        <v>1368.1793412564869</v>
      </c>
      <c r="U78" s="137">
        <f t="shared" si="65"/>
        <v>1534.3769181462242</v>
      </c>
      <c r="V78" s="137">
        <f t="shared" si="65"/>
        <v>1507.8286840626324</v>
      </c>
      <c r="W78" s="137">
        <f t="shared" ref="W78" si="66">W79+W80</f>
        <v>1521.9998283544835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244.10131829604609</v>
      </c>
      <c r="C79" s="102">
        <f>TrRoad_emi!C$34</f>
        <v>275.32978104403117</v>
      </c>
      <c r="D79" s="102">
        <f>TrRoad_emi!D$34</f>
        <v>310.47833769717442</v>
      </c>
      <c r="E79" s="102">
        <f>TrRoad_emi!E$34</f>
        <v>340.99877938091362</v>
      </c>
      <c r="F79" s="102">
        <f>TrRoad_emi!F$34</f>
        <v>366.69536766476915</v>
      </c>
      <c r="G79" s="102">
        <f>TrRoad_emi!G$34</f>
        <v>400.74118449962896</v>
      </c>
      <c r="H79" s="102">
        <f>TrRoad_emi!H$34</f>
        <v>418.8365294833817</v>
      </c>
      <c r="I79" s="102">
        <f>TrRoad_emi!I$34</f>
        <v>409.9558275511024</v>
      </c>
      <c r="J79" s="102">
        <f>TrRoad_emi!J$34</f>
        <v>424.98045150572273</v>
      </c>
      <c r="K79" s="102">
        <f>TrRoad_emi!K$34</f>
        <v>410.00091292177609</v>
      </c>
      <c r="L79" s="102">
        <f>TrRoad_emi!L$34</f>
        <v>382.25202978446629</v>
      </c>
      <c r="M79" s="102">
        <f>TrRoad_emi!M$34</f>
        <v>377.62257550993945</v>
      </c>
      <c r="N79" s="102">
        <f>TrRoad_emi!N$34</f>
        <v>346.78277610316394</v>
      </c>
      <c r="O79" s="102">
        <f>TrRoad_emi!O$34</f>
        <v>342.4128443091704</v>
      </c>
      <c r="P79" s="102">
        <f>TrRoad_emi!P$34</f>
        <v>329.36896757987358</v>
      </c>
      <c r="Q79" s="102">
        <f>TrRoad_emi!Q$34</f>
        <v>373.18841545639424</v>
      </c>
      <c r="R79" s="102">
        <f>TrRoad_emi!R$34</f>
        <v>392.84319856276102</v>
      </c>
      <c r="S79" s="102">
        <f>TrRoad_emi!S$34</f>
        <v>451.1180471499444</v>
      </c>
      <c r="T79" s="102">
        <f>TrRoad_emi!T$34</f>
        <v>481.67358017834619</v>
      </c>
      <c r="U79" s="102">
        <f>TrRoad_emi!U$34</f>
        <v>511.13259901755765</v>
      </c>
      <c r="V79" s="102">
        <f>TrRoad_emi!V$34</f>
        <v>521.17608881652154</v>
      </c>
      <c r="W79" s="102">
        <f>TrRoad_emi!W$34</f>
        <v>564.66827423816767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444.9076219073886</v>
      </c>
      <c r="C80" s="102">
        <f>TrRoad_emi!C$40</f>
        <v>471.4161098271901</v>
      </c>
      <c r="D80" s="102">
        <f>TrRoad_emi!D$40</f>
        <v>669.8830004344394</v>
      </c>
      <c r="E80" s="102">
        <f>TrRoad_emi!E$40</f>
        <v>768.32417016512704</v>
      </c>
      <c r="F80" s="102">
        <f>TrRoad_emi!F$40</f>
        <v>857.69632108240398</v>
      </c>
      <c r="G80" s="102">
        <f>TrRoad_emi!G$40</f>
        <v>863.64600359453902</v>
      </c>
      <c r="H80" s="102">
        <f>TrRoad_emi!H$40</f>
        <v>934.34752767491091</v>
      </c>
      <c r="I80" s="102">
        <f>TrRoad_emi!I$40</f>
        <v>974.21756912979629</v>
      </c>
      <c r="J80" s="102">
        <f>TrRoad_emi!J$40</f>
        <v>956.02933984494211</v>
      </c>
      <c r="K80" s="102">
        <f>TrRoad_emi!K$40</f>
        <v>866.26262396175389</v>
      </c>
      <c r="L80" s="102">
        <f>TrRoad_emi!L$40</f>
        <v>868.60456119909441</v>
      </c>
      <c r="M80" s="102">
        <f>TrRoad_emi!M$40</f>
        <v>826.99512626632918</v>
      </c>
      <c r="N80" s="102">
        <f>TrRoad_emi!N$40</f>
        <v>733.70503865142689</v>
      </c>
      <c r="O80" s="102">
        <f>TrRoad_emi!O$40</f>
        <v>881.15426688130196</v>
      </c>
      <c r="P80" s="102">
        <f>TrRoad_emi!P$40</f>
        <v>776.8160433030672</v>
      </c>
      <c r="Q80" s="102">
        <f>TrRoad_emi!Q$40</f>
        <v>809.11326035812704</v>
      </c>
      <c r="R80" s="102">
        <f>TrRoad_emi!R$40</f>
        <v>762.1044805049446</v>
      </c>
      <c r="S80" s="102">
        <f>TrRoad_emi!S$40</f>
        <v>1006.5433293859908</v>
      </c>
      <c r="T80" s="102">
        <f>TrRoad_emi!T$40</f>
        <v>886.50576107814072</v>
      </c>
      <c r="U80" s="102">
        <f>TrRoad_emi!U$40</f>
        <v>1023.2443191286666</v>
      </c>
      <c r="V80" s="102">
        <f>TrRoad_emi!V$40</f>
        <v>986.65259524611088</v>
      </c>
      <c r="W80" s="102">
        <f>TrRoad_emi!W$40</f>
        <v>957.33155411631583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24.589005550877491</v>
      </c>
      <c r="C81" s="110">
        <f>TrRail_emi!C$15</f>
        <v>30.600391845712704</v>
      </c>
      <c r="D81" s="110">
        <f>TrRail_emi!D$15</f>
        <v>31.253635945042202</v>
      </c>
      <c r="E81" s="110">
        <f>TrRail_emi!E$15</f>
        <v>35.321152489180442</v>
      </c>
      <c r="F81" s="110">
        <f>TrRail_emi!F$15</f>
        <v>37.179060919851715</v>
      </c>
      <c r="G81" s="110">
        <f>TrRail_emi!G$15</f>
        <v>41.550438688426418</v>
      </c>
      <c r="H81" s="110">
        <f>TrRail_emi!H$15</f>
        <v>43.406638228293119</v>
      </c>
      <c r="I81" s="110">
        <f>TrRail_emi!I$15</f>
        <v>47.500884660570726</v>
      </c>
      <c r="J81" s="110">
        <f>TrRail_emi!J$15</f>
        <v>42.372864050430302</v>
      </c>
      <c r="K81" s="110">
        <f>TrRail_emi!K$15</f>
        <v>34.792850612306779</v>
      </c>
      <c r="L81" s="110">
        <f>TrRail_emi!L$15</f>
        <v>36.620404745476243</v>
      </c>
      <c r="M81" s="110">
        <f>TrRail_emi!M$15</f>
        <v>32.88805468963487</v>
      </c>
      <c r="N81" s="110">
        <f>TrRail_emi!N$15</f>
        <v>30.339241722664021</v>
      </c>
      <c r="O81" s="110">
        <f>TrRail_emi!O$15</f>
        <v>30.113552135132682</v>
      </c>
      <c r="P81" s="110">
        <f>TrRail_emi!P$15</f>
        <v>28.130187273458464</v>
      </c>
      <c r="Q81" s="110">
        <f>TrRail_emi!Q$15</f>
        <v>23.055067759972601</v>
      </c>
      <c r="R81" s="110">
        <f>TrRail_emi!R$15</f>
        <v>23.868921770747129</v>
      </c>
      <c r="S81" s="110">
        <f>TrRail_emi!S$15</f>
        <v>23.266335549508163</v>
      </c>
      <c r="T81" s="110">
        <f>TrRail_emi!T$15</f>
        <v>18.916411475639812</v>
      </c>
      <c r="U81" s="110">
        <f>TrRail_emi!U$15</f>
        <v>20.252983300432138</v>
      </c>
      <c r="V81" s="110">
        <f>TrRail_emi!V$15</f>
        <v>20.51734520407668</v>
      </c>
      <c r="W81" s="110">
        <f>TrRail_emi!W$15</f>
        <v>21.677145331758339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1.3987276601167289</v>
      </c>
      <c r="C82" s="110">
        <f t="shared" si="67"/>
        <v>1.6715111486677936</v>
      </c>
      <c r="D82" s="110">
        <f t="shared" si="67"/>
        <v>1.6838729583449101</v>
      </c>
      <c r="E82" s="110">
        <f t="shared" si="67"/>
        <v>1.5740359124576724</v>
      </c>
      <c r="F82" s="110">
        <f t="shared" si="67"/>
        <v>1.6102274311483422</v>
      </c>
      <c r="G82" s="110">
        <f t="shared" si="67"/>
        <v>1.9015686768689866</v>
      </c>
      <c r="H82" s="110">
        <f t="shared" si="67"/>
        <v>1.9583524198134115</v>
      </c>
      <c r="I82" s="110">
        <f t="shared" si="67"/>
        <v>2.3292259794556256</v>
      </c>
      <c r="J82" s="110">
        <f t="shared" si="67"/>
        <v>2.4439802278428746</v>
      </c>
      <c r="K82" s="110">
        <f t="shared" si="67"/>
        <v>2.3574272369496327</v>
      </c>
      <c r="L82" s="110">
        <f t="shared" si="67"/>
        <v>1.7407298470119246</v>
      </c>
      <c r="M82" s="110">
        <f t="shared" si="67"/>
        <v>1.6352393506192895</v>
      </c>
      <c r="N82" s="110">
        <f t="shared" si="67"/>
        <v>1.5849814946148393</v>
      </c>
      <c r="O82" s="110">
        <f t="shared" si="67"/>
        <v>1.7326084298557687</v>
      </c>
      <c r="P82" s="110">
        <f t="shared" si="67"/>
        <v>1.4464763502982021</v>
      </c>
      <c r="Q82" s="110">
        <f t="shared" si="67"/>
        <v>1.3507763230400132</v>
      </c>
      <c r="R82" s="110">
        <f t="shared" si="67"/>
        <v>1.2460248126238249</v>
      </c>
      <c r="S82" s="110">
        <f t="shared" si="67"/>
        <v>1.2242225437147685</v>
      </c>
      <c r="T82" s="110">
        <f t="shared" si="67"/>
        <v>2.6400302111235527</v>
      </c>
      <c r="U82" s="110">
        <f t="shared" si="67"/>
        <v>2.2211830247481772</v>
      </c>
      <c r="V82" s="110">
        <f t="shared" si="67"/>
        <v>2.6990777246991362</v>
      </c>
      <c r="W82" s="110">
        <f t="shared" ref="W82" si="68">W83+W84+W85</f>
        <v>3.6286199427463233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0.41748222335962581</v>
      </c>
      <c r="C83" s="102">
        <f>TrAvia_emi!C$11</f>
        <v>0.50335296226345794</v>
      </c>
      <c r="D83" s="102">
        <f>TrAvia_emi!D$11</f>
        <v>0.50375692603042155</v>
      </c>
      <c r="E83" s="102">
        <f>TrAvia_emi!E$11</f>
        <v>0.45854537443924559</v>
      </c>
      <c r="F83" s="102">
        <f>TrAvia_emi!F$11</f>
        <v>0.46787746929258345</v>
      </c>
      <c r="G83" s="102">
        <f>TrAvia_emi!G$11</f>
        <v>0.57190946660760911</v>
      </c>
      <c r="H83" s="102">
        <f>TrAvia_emi!H$11</f>
        <v>0.73582057773728526</v>
      </c>
      <c r="I83" s="102">
        <f>TrAvia_emi!I$11</f>
        <v>0.87916850883545106</v>
      </c>
      <c r="J83" s="102">
        <f>TrAvia_emi!J$11</f>
        <v>0.82110103982720728</v>
      </c>
      <c r="K83" s="102">
        <f>TrAvia_emi!K$11</f>
        <v>0.54076263035801131</v>
      </c>
      <c r="L83" s="102">
        <f>TrAvia_emi!L$11</f>
        <v>0.41023069679094382</v>
      </c>
      <c r="M83" s="102">
        <f>TrAvia_emi!M$11</f>
        <v>0.37973388104035088</v>
      </c>
      <c r="N83" s="102">
        <f>TrAvia_emi!N$11</f>
        <v>0.29521589806194676</v>
      </c>
      <c r="O83" s="102">
        <f>TrAvia_emi!O$11</f>
        <v>0.24771137620641637</v>
      </c>
      <c r="P83" s="102">
        <f>TrAvia_emi!P$11</f>
        <v>0.19254613191544001</v>
      </c>
      <c r="Q83" s="102">
        <f>TrAvia_emi!Q$11</f>
        <v>0.18830388644039106</v>
      </c>
      <c r="R83" s="102">
        <f>TrAvia_emi!R$11</f>
        <v>0.13321773557832972</v>
      </c>
      <c r="S83" s="102">
        <f>TrAvia_emi!S$11</f>
        <v>0.12569938514042669</v>
      </c>
      <c r="T83" s="102">
        <f>TrAvia_emi!T$11</f>
        <v>0.10433895965210044</v>
      </c>
      <c r="U83" s="102">
        <f>TrAvia_emi!U$11</f>
        <v>8.1899359153646406E-2</v>
      </c>
      <c r="V83" s="102">
        <f>TrAvia_emi!V$11</f>
        <v>1.5276222425590711E-2</v>
      </c>
      <c r="W83" s="102">
        <f>TrAvia_emi!W$11</f>
        <v>1.2486709740361247E-2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0.85508642617072028</v>
      </c>
      <c r="C84" s="102">
        <f>TrAvia_emi!C$12</f>
        <v>1.0242552466308259</v>
      </c>
      <c r="D84" s="102">
        <f>TrAvia_emi!D$12</f>
        <v>1.0364177587300993</v>
      </c>
      <c r="E84" s="102">
        <f>TrAvia_emi!E$12</f>
        <v>0.95395628556920475</v>
      </c>
      <c r="F84" s="102">
        <f>TrAvia_emi!F$12</f>
        <v>0.98086629065446207</v>
      </c>
      <c r="G84" s="102">
        <f>TrAvia_emi!G$12</f>
        <v>1.143566531232592</v>
      </c>
      <c r="H84" s="102">
        <f>TrAvia_emi!H$12</f>
        <v>1.0686496355895141</v>
      </c>
      <c r="I84" s="102">
        <f>TrAvia_emi!I$12</f>
        <v>1.3021820661067951</v>
      </c>
      <c r="J84" s="102">
        <f>TrAvia_emi!J$12</f>
        <v>1.472478907322482</v>
      </c>
      <c r="K84" s="102">
        <f>TrAvia_emi!K$12</f>
        <v>1.7225260943363874</v>
      </c>
      <c r="L84" s="102">
        <f>TrAvia_emi!L$12</f>
        <v>1.2322361932328298</v>
      </c>
      <c r="M84" s="102">
        <f>TrAvia_emi!M$12</f>
        <v>0.90468734759112079</v>
      </c>
      <c r="N84" s="102">
        <f>TrAvia_emi!N$12</f>
        <v>1.0030587741804609</v>
      </c>
      <c r="O84" s="102">
        <f>TrAvia_emi!O$12</f>
        <v>1.0476656428408955</v>
      </c>
      <c r="P84" s="102">
        <f>TrAvia_emi!P$12</f>
        <v>0.88474566733634152</v>
      </c>
      <c r="Q84" s="102">
        <f>TrAvia_emi!Q$12</f>
        <v>0.85542795151528228</v>
      </c>
      <c r="R84" s="102">
        <f>TrAvia_emi!R$12</f>
        <v>0.80673047297733946</v>
      </c>
      <c r="S84" s="102">
        <f>TrAvia_emi!S$12</f>
        <v>0.7443985351092508</v>
      </c>
      <c r="T84" s="102">
        <f>TrAvia_emi!T$12</f>
        <v>0.93177883183250021</v>
      </c>
      <c r="U84" s="102">
        <f>TrAvia_emi!U$12</f>
        <v>0.99339648867621422</v>
      </c>
      <c r="V84" s="102">
        <f>TrAvia_emi!V$12</f>
        <v>1.3762129449163321</v>
      </c>
      <c r="W84" s="102">
        <f>TrAvia_emi!W$12</f>
        <v>1.7729111827390527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0.12615901058638287</v>
      </c>
      <c r="C85" s="102">
        <f>TrAvia_emi!C$13</f>
        <v>0.14390293977350957</v>
      </c>
      <c r="D85" s="102">
        <f>TrAvia_emi!D$13</f>
        <v>0.14369827358438933</v>
      </c>
      <c r="E85" s="102">
        <f>TrAvia_emi!E$13</f>
        <v>0.16153425244922195</v>
      </c>
      <c r="F85" s="102">
        <f>TrAvia_emi!F$13</f>
        <v>0.16148367120129659</v>
      </c>
      <c r="G85" s="102">
        <f>TrAvia_emi!G$13</f>
        <v>0.18609267902878526</v>
      </c>
      <c r="H85" s="102">
        <f>TrAvia_emi!H$13</f>
        <v>0.15388220648661202</v>
      </c>
      <c r="I85" s="102">
        <f>TrAvia_emi!I$13</f>
        <v>0.1478754045133796</v>
      </c>
      <c r="J85" s="102">
        <f>TrAvia_emi!J$13</f>
        <v>0.15040028069318537</v>
      </c>
      <c r="K85" s="102">
        <f>TrAvia_emi!K$13</f>
        <v>9.4138512255234036E-2</v>
      </c>
      <c r="L85" s="102">
        <f>TrAvia_emi!L$13</f>
        <v>9.8262956988151018E-2</v>
      </c>
      <c r="M85" s="102">
        <f>TrAvia_emi!M$13</f>
        <v>0.35081812198781803</v>
      </c>
      <c r="N85" s="102">
        <f>TrAvia_emi!N$13</f>
        <v>0.28670682237243167</v>
      </c>
      <c r="O85" s="102">
        <f>TrAvia_emi!O$13</f>
        <v>0.43723141080845668</v>
      </c>
      <c r="P85" s="102">
        <f>TrAvia_emi!P$13</f>
        <v>0.36918455104642078</v>
      </c>
      <c r="Q85" s="102">
        <f>TrAvia_emi!Q$13</f>
        <v>0.30704448508434001</v>
      </c>
      <c r="R85" s="102">
        <f>TrAvia_emi!R$13</f>
        <v>0.30607660406815584</v>
      </c>
      <c r="S85" s="102">
        <f>TrAvia_emi!S$13</f>
        <v>0.35412462346509094</v>
      </c>
      <c r="T85" s="102">
        <f>TrAvia_emi!T$13</f>
        <v>1.6039124196389518</v>
      </c>
      <c r="U85" s="102">
        <f>TrAvia_emi!U$13</f>
        <v>1.1458871769183165</v>
      </c>
      <c r="V85" s="102">
        <f>TrAvia_emi!V$13</f>
        <v>1.3075885573572135</v>
      </c>
      <c r="W85" s="102">
        <f>TrAvia_emi!W$13</f>
        <v>1.8432220502669092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89.752828680000007</v>
      </c>
      <c r="C86" s="110">
        <f t="shared" si="69"/>
        <v>91.666029240000029</v>
      </c>
      <c r="D86" s="110">
        <f t="shared" si="69"/>
        <v>110.50358148000001</v>
      </c>
      <c r="E86" s="110">
        <f t="shared" si="69"/>
        <v>113.66842212</v>
      </c>
      <c r="F86" s="110">
        <f t="shared" si="69"/>
        <v>91.77957828000001</v>
      </c>
      <c r="G86" s="110">
        <f t="shared" si="69"/>
        <v>101.27383343999998</v>
      </c>
      <c r="H86" s="110">
        <f t="shared" si="69"/>
        <v>104.43867408</v>
      </c>
      <c r="I86" s="110">
        <f t="shared" si="69"/>
        <v>107.60351472000001</v>
      </c>
      <c r="J86" s="110">
        <f t="shared" si="69"/>
        <v>133.79575355999998</v>
      </c>
      <c r="K86" s="110">
        <f t="shared" si="69"/>
        <v>146.83215060000003</v>
      </c>
      <c r="L86" s="110">
        <f t="shared" si="69"/>
        <v>117.02215152000001</v>
      </c>
      <c r="M86" s="110">
        <f t="shared" si="69"/>
        <v>118.28819448000002</v>
      </c>
      <c r="N86" s="110">
        <f t="shared" si="69"/>
        <v>112.27489055999999</v>
      </c>
      <c r="O86" s="110">
        <f t="shared" si="69"/>
        <v>123.42771791999999</v>
      </c>
      <c r="P86" s="110">
        <f t="shared" si="69"/>
        <v>136.08681372000001</v>
      </c>
      <c r="Q86" s="110">
        <f t="shared" si="69"/>
        <v>129.75713243999999</v>
      </c>
      <c r="R86" s="110">
        <f t="shared" ref="R86:V86" si="70">R87+R88</f>
        <v>132.92197307999999</v>
      </c>
      <c r="S86" s="110">
        <f t="shared" si="70"/>
        <v>140.20105320000008</v>
      </c>
      <c r="T86" s="110">
        <f t="shared" si="70"/>
        <v>149.37919776000001</v>
      </c>
      <c r="U86" s="110">
        <f t="shared" si="70"/>
        <v>155.39223491999999</v>
      </c>
      <c r="V86" s="110">
        <f t="shared" si="70"/>
        <v>127.22531328000004</v>
      </c>
      <c r="W86" s="110">
        <f t="shared" ref="W86" si="71">W87+W88</f>
        <v>148.42953216000004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61.118629185230375</v>
      </c>
      <c r="C87" s="102">
        <f>TrNavi_emi!C$4</f>
        <v>59.658851191103771</v>
      </c>
      <c r="D87" s="102">
        <f>TrNavi_emi!D$4</f>
        <v>72.264274429178712</v>
      </c>
      <c r="E87" s="102">
        <f>TrNavi_emi!E$4</f>
        <v>73.038987760708991</v>
      </c>
      <c r="F87" s="102">
        <f>TrNavi_emi!F$4</f>
        <v>42.485788139329571</v>
      </c>
      <c r="G87" s="102">
        <f>TrNavi_emi!G$4</f>
        <v>64.603317615414923</v>
      </c>
      <c r="H87" s="102">
        <f>TrNavi_emi!H$4</f>
        <v>57.190939480290922</v>
      </c>
      <c r="I87" s="102">
        <f>TrNavi_emi!I$4</f>
        <v>60.708353008655131</v>
      </c>
      <c r="J87" s="102">
        <f>TrNavi_emi!J$4</f>
        <v>19.46366583528167</v>
      </c>
      <c r="K87" s="102">
        <f>TrNavi_emi!K$4</f>
        <v>18.983571182816082</v>
      </c>
      <c r="L87" s="102">
        <f>TrNavi_emi!L$4</f>
        <v>14.517900236257857</v>
      </c>
      <c r="M87" s="102">
        <f>TrNavi_emi!M$4</f>
        <v>15.673048200963816</v>
      </c>
      <c r="N87" s="102">
        <f>TrNavi_emi!N$4</f>
        <v>11.695335986584622</v>
      </c>
      <c r="O87" s="102">
        <f>TrNavi_emi!O$4</f>
        <v>12.026258794291872</v>
      </c>
      <c r="P87" s="102">
        <f>TrNavi_emi!P$4</f>
        <v>13.217223242935759</v>
      </c>
      <c r="Q87" s="102">
        <f>TrNavi_emi!Q$4</f>
        <v>14.705991389024305</v>
      </c>
      <c r="R87" s="102">
        <f>TrNavi_emi!R$4</f>
        <v>7.6247950069791504</v>
      </c>
      <c r="S87" s="102">
        <f>TrNavi_emi!S$4</f>
        <v>9.5465292545083216</v>
      </c>
      <c r="T87" s="102">
        <f>TrNavi_emi!T$4</f>
        <v>10.044734872791922</v>
      </c>
      <c r="U87" s="102">
        <f>TrNavi_emi!U$4</f>
        <v>8.2665647272885145</v>
      </c>
      <c r="V87" s="102">
        <f>TrNavi_emi!V$4</f>
        <v>5.8671875560740681</v>
      </c>
      <c r="W87" s="102">
        <f>TrNavi_emi!W$4</f>
        <v>7.434360286438098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28.634199494769636</v>
      </c>
      <c r="C88" s="169">
        <f>TrNavi_emi!C$5</f>
        <v>32.00717804889625</v>
      </c>
      <c r="D88" s="169">
        <f>TrNavi_emi!D$5</f>
        <v>38.239307050821303</v>
      </c>
      <c r="E88" s="169">
        <f>TrNavi_emi!E$5</f>
        <v>40.629434359291018</v>
      </c>
      <c r="F88" s="169">
        <f>TrNavi_emi!F$5</f>
        <v>49.293790140670438</v>
      </c>
      <c r="G88" s="169">
        <f>TrNavi_emi!G$5</f>
        <v>36.670515824585053</v>
      </c>
      <c r="H88" s="169">
        <f>TrNavi_emi!H$5</f>
        <v>47.247734599709069</v>
      </c>
      <c r="I88" s="169">
        <f>TrNavi_emi!I$5</f>
        <v>46.895161711344876</v>
      </c>
      <c r="J88" s="169">
        <f>TrNavi_emi!J$5</f>
        <v>114.33208772471831</v>
      </c>
      <c r="K88" s="169">
        <f>TrNavi_emi!K$5</f>
        <v>127.84857941718394</v>
      </c>
      <c r="L88" s="169">
        <f>TrNavi_emi!L$5</f>
        <v>102.50425128374215</v>
      </c>
      <c r="M88" s="169">
        <f>TrNavi_emi!M$5</f>
        <v>102.6151462790362</v>
      </c>
      <c r="N88" s="169">
        <f>TrNavi_emi!N$5</f>
        <v>100.57955457341536</v>
      </c>
      <c r="O88" s="169">
        <f>TrNavi_emi!O$5</f>
        <v>111.40145912570812</v>
      </c>
      <c r="P88" s="169">
        <f>TrNavi_emi!P$5</f>
        <v>122.86959047706426</v>
      </c>
      <c r="Q88" s="169">
        <f>TrNavi_emi!Q$5</f>
        <v>115.05114105097569</v>
      </c>
      <c r="R88" s="169">
        <f>TrNavi_emi!R$5</f>
        <v>125.29717807302085</v>
      </c>
      <c r="S88" s="169">
        <f>TrNavi_emi!S$5</f>
        <v>130.65452394549175</v>
      </c>
      <c r="T88" s="169">
        <f>TrNavi_emi!T$5</f>
        <v>139.33446288720808</v>
      </c>
      <c r="U88" s="169">
        <f>TrNavi_emi!U$5</f>
        <v>147.12567019271148</v>
      </c>
      <c r="V88" s="169">
        <f>TrNavi_emi!V$5</f>
        <v>121.35812572392597</v>
      </c>
      <c r="W88" s="169">
        <f>TrNavi_emi!W$5</f>
        <v>140.99517187356193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57.488234760000012</v>
      </c>
      <c r="C89" s="28">
        <f t="shared" si="72"/>
        <v>91.174145400000043</v>
      </c>
      <c r="D89" s="28">
        <f t="shared" si="72"/>
        <v>74.837944439999987</v>
      </c>
      <c r="E89" s="28">
        <f t="shared" si="72"/>
        <v>69.020260920000013</v>
      </c>
      <c r="F89" s="28">
        <f t="shared" si="72"/>
        <v>74.724395399999992</v>
      </c>
      <c r="G89" s="28">
        <f t="shared" si="72"/>
        <v>79.765319160000004</v>
      </c>
      <c r="H89" s="28">
        <f t="shared" si="72"/>
        <v>63.74230956000001</v>
      </c>
      <c r="I89" s="28">
        <f t="shared" si="72"/>
        <v>75.198438720000027</v>
      </c>
      <c r="J89" s="28">
        <f t="shared" si="72"/>
        <v>68.793150959999991</v>
      </c>
      <c r="K89" s="28">
        <f t="shared" si="72"/>
        <v>20.6756928</v>
      </c>
      <c r="L89" s="28">
        <f t="shared" si="72"/>
        <v>21.926507760000003</v>
      </c>
      <c r="M89" s="28">
        <f t="shared" si="72"/>
        <v>76.034288520000018</v>
      </c>
      <c r="N89" s="28">
        <f t="shared" si="72"/>
        <v>12.545813519999999</v>
      </c>
      <c r="O89" s="28">
        <f t="shared" si="72"/>
        <v>12.545813519999999</v>
      </c>
      <c r="P89" s="28">
        <f t="shared" si="72"/>
        <v>15.710654160000001</v>
      </c>
      <c r="Q89" s="28">
        <f t="shared" si="72"/>
        <v>12.583477440000001</v>
      </c>
      <c r="R89" s="28">
        <f t="shared" si="72"/>
        <v>14.184869039999999</v>
      </c>
      <c r="S89" s="28">
        <f t="shared" si="72"/>
        <v>20.156499</v>
      </c>
      <c r="T89" s="28">
        <f t="shared" si="72"/>
        <v>65.341258199999999</v>
      </c>
      <c r="U89" s="28">
        <f t="shared" si="72"/>
        <v>77.989136040000005</v>
      </c>
      <c r="V89" s="28">
        <f t="shared" si="72"/>
        <v>63.777809160000004</v>
      </c>
      <c r="W89" s="28">
        <f t="shared" si="72"/>
        <v>74.451535559999996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23.02349140862637</v>
      </c>
      <c r="C90" s="102">
        <f>MBunk_emi!C$4</f>
        <v>36.216268346250551</v>
      </c>
      <c r="D90" s="102">
        <f>MBunk_emi!D$4</f>
        <v>29.666648497797663</v>
      </c>
      <c r="E90" s="102">
        <f>MBunk_emi!E$4</f>
        <v>27.593497563278358</v>
      </c>
      <c r="F90" s="102">
        <f>MBunk_emi!F$4</f>
        <v>29.806523131466115</v>
      </c>
      <c r="G90" s="102">
        <f>MBunk_emi!G$4</f>
        <v>31.527141993609053</v>
      </c>
      <c r="H90" s="102">
        <f>MBunk_emi!H$4</f>
        <v>25.993629745157193</v>
      </c>
      <c r="I90" s="102">
        <f>MBunk_emi!I$4</f>
        <v>28.637114378724203</v>
      </c>
      <c r="J90" s="102">
        <f>MBunk_emi!J$4</f>
        <v>24.155217193852813</v>
      </c>
      <c r="K90" s="102">
        <f>MBunk_emi!K$4</f>
        <v>8.947761702922028</v>
      </c>
      <c r="L90" s="102">
        <f>MBunk_emi!L$4</f>
        <v>8.7831832253332056</v>
      </c>
      <c r="M90" s="102">
        <f>MBunk_emi!M$4</f>
        <v>31.682435648142039</v>
      </c>
      <c r="N90" s="102">
        <f>MBunk_emi!N$4</f>
        <v>5.0317438152876104</v>
      </c>
      <c r="O90" s="102">
        <f>MBunk_emi!O$4</f>
        <v>4.330605117514744</v>
      </c>
      <c r="P90" s="102">
        <f>MBunk_emi!P$4</f>
        <v>5.1230504825065077</v>
      </c>
      <c r="Q90" s="102">
        <f>MBunk_emi!Q$4</f>
        <v>3.7131235572945598</v>
      </c>
      <c r="R90" s="102">
        <f>MBunk_emi!R$4</f>
        <v>3.9993247508307315</v>
      </c>
      <c r="S90" s="102">
        <f>MBunk_emi!S$4</f>
        <v>5.7994225562623658</v>
      </c>
      <c r="T90" s="102">
        <f>MBunk_emi!T$4</f>
        <v>17.723905682092326</v>
      </c>
      <c r="U90" s="102">
        <f>MBunk_emi!U$4</f>
        <v>22.712293755210375</v>
      </c>
      <c r="V90" s="102">
        <f>MBunk_emi!V$4</f>
        <v>20.092247143279664</v>
      </c>
      <c r="W90" s="102">
        <f>MBunk_emi!W$4</f>
        <v>24.900043291895393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34.464743351373642</v>
      </c>
      <c r="C91" s="86">
        <f>MBunk_emi!C$5</f>
        <v>54.957877053749492</v>
      </c>
      <c r="D91" s="86">
        <f>MBunk_emi!D$5</f>
        <v>45.171295942202327</v>
      </c>
      <c r="E91" s="86">
        <f>MBunk_emi!E$5</f>
        <v>41.426763356721658</v>
      </c>
      <c r="F91" s="86">
        <f>MBunk_emi!F$5</f>
        <v>44.917872268533884</v>
      </c>
      <c r="G91" s="86">
        <f>MBunk_emi!G$5</f>
        <v>48.238177166390948</v>
      </c>
      <c r="H91" s="86">
        <f>MBunk_emi!H$5</f>
        <v>37.748679814842816</v>
      </c>
      <c r="I91" s="86">
        <f>MBunk_emi!I$5</f>
        <v>46.561324341275821</v>
      </c>
      <c r="J91" s="86">
        <f>MBunk_emi!J$5</f>
        <v>44.637933766147178</v>
      </c>
      <c r="K91" s="86">
        <f>MBunk_emi!K$5</f>
        <v>11.727931097077974</v>
      </c>
      <c r="L91" s="86">
        <f>MBunk_emi!L$5</f>
        <v>13.143324534666798</v>
      </c>
      <c r="M91" s="86">
        <f>MBunk_emi!M$5</f>
        <v>44.351852871857972</v>
      </c>
      <c r="N91" s="86">
        <f>MBunk_emi!N$5</f>
        <v>7.5140697047123899</v>
      </c>
      <c r="O91" s="86">
        <f>MBunk_emi!O$5</f>
        <v>8.2152084024852545</v>
      </c>
      <c r="P91" s="86">
        <f>MBunk_emi!P$5</f>
        <v>10.587603677493492</v>
      </c>
      <c r="Q91" s="86">
        <f>MBunk_emi!Q$5</f>
        <v>8.8703538827054409</v>
      </c>
      <c r="R91" s="86">
        <f>MBunk_emi!R$5</f>
        <v>10.185544289169268</v>
      </c>
      <c r="S91" s="86">
        <f>MBunk_emi!S$5</f>
        <v>14.357076443737634</v>
      </c>
      <c r="T91" s="86">
        <f>MBunk_emi!T$5</f>
        <v>47.617352517907676</v>
      </c>
      <c r="U91" s="86">
        <f>MBunk_emi!U$5</f>
        <v>55.27684228478963</v>
      </c>
      <c r="V91" s="86">
        <f>MBunk_emi!V$5</f>
        <v>43.68556201672034</v>
      </c>
      <c r="W91" s="86">
        <f>MBunk_emi!W$5</f>
        <v>49.551492268104603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0.87157801648927269</v>
      </c>
      <c r="C97" s="139">
        <f t="shared" si="76"/>
        <v>0.87588665716276004</v>
      </c>
      <c r="D97" s="139">
        <f t="shared" si="76"/>
        <v>0.88396578456532837</v>
      </c>
      <c r="E97" s="139">
        <f t="shared" si="76"/>
        <v>0.88829488602646955</v>
      </c>
      <c r="F97" s="139">
        <f t="shared" si="76"/>
        <v>0.88460887825275203</v>
      </c>
      <c r="G97" s="139">
        <f t="shared" si="76"/>
        <v>0.87225648831585412</v>
      </c>
      <c r="H97" s="139">
        <f t="shared" si="76"/>
        <v>0.8670831562922201</v>
      </c>
      <c r="I97" s="139">
        <f t="shared" si="76"/>
        <v>0.86146991942026363</v>
      </c>
      <c r="J97" s="139">
        <f t="shared" si="76"/>
        <v>0.86227178029524776</v>
      </c>
      <c r="K97" s="139">
        <f t="shared" si="76"/>
        <v>0.86096228619013127</v>
      </c>
      <c r="L97" s="139">
        <f t="shared" si="76"/>
        <v>0.85105650742367778</v>
      </c>
      <c r="M97" s="139">
        <f t="shared" si="76"/>
        <v>0.85147542983904911</v>
      </c>
      <c r="N97" s="139">
        <f t="shared" si="76"/>
        <v>0.85740038538202124</v>
      </c>
      <c r="O97" s="139">
        <f t="shared" si="76"/>
        <v>0.85698253037674044</v>
      </c>
      <c r="P97" s="139">
        <f t="shared" si="76"/>
        <v>0.85084608288955654</v>
      </c>
      <c r="Q97" s="139">
        <f t="shared" si="76"/>
        <v>0.84275052074451717</v>
      </c>
      <c r="R97" s="139">
        <f t="shared" ref="R97:V97" si="77">IF(R5=0,0,R5/R$4)</f>
        <v>0.83021234864437965</v>
      </c>
      <c r="S97" s="139">
        <f t="shared" si="77"/>
        <v>0.80951913136031728</v>
      </c>
      <c r="T97" s="139">
        <f t="shared" si="77"/>
        <v>0.78717527758087469</v>
      </c>
      <c r="U97" s="139">
        <f t="shared" si="77"/>
        <v>0.78035406903779325</v>
      </c>
      <c r="V97" s="139">
        <f t="shared" si="77"/>
        <v>0.91914999022933397</v>
      </c>
      <c r="W97" s="139">
        <f t="shared" ref="W97" si="78">IF(W5=0,0,W5/W$4)</f>
        <v>0.87654348893744372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6.3023171743012557E-3</v>
      </c>
      <c r="C98" s="140">
        <f t="shared" si="79"/>
        <v>6.0148834873550716E-3</v>
      </c>
      <c r="D98" s="140">
        <f t="shared" si="79"/>
        <v>6.0456505815451346E-3</v>
      </c>
      <c r="E98" s="140">
        <f t="shared" si="79"/>
        <v>6.6827728482472485E-3</v>
      </c>
      <c r="F98" s="140">
        <f t="shared" si="79"/>
        <v>7.1963920418006847E-3</v>
      </c>
      <c r="G98" s="140">
        <f t="shared" si="79"/>
        <v>7.7041514169037765E-3</v>
      </c>
      <c r="H98" s="140">
        <f t="shared" si="79"/>
        <v>8.0373276083006116E-3</v>
      </c>
      <c r="I98" s="140">
        <f t="shared" si="79"/>
        <v>7.7235321353238328E-3</v>
      </c>
      <c r="J98" s="140">
        <f t="shared" si="79"/>
        <v>7.4740627771275056E-3</v>
      </c>
      <c r="K98" s="140">
        <f t="shared" si="79"/>
        <v>7.6913014977286042E-3</v>
      </c>
      <c r="L98" s="140">
        <f t="shared" si="79"/>
        <v>7.9219328303425946E-3</v>
      </c>
      <c r="M98" s="140">
        <f t="shared" si="79"/>
        <v>8.0698998336156905E-3</v>
      </c>
      <c r="N98" s="140">
        <f t="shared" si="79"/>
        <v>7.8081916963331378E-3</v>
      </c>
      <c r="O98" s="140">
        <f t="shared" si="79"/>
        <v>7.7120982723345669E-3</v>
      </c>
      <c r="P98" s="140">
        <f t="shared" si="79"/>
        <v>7.642747846587185E-3</v>
      </c>
      <c r="Q98" s="140">
        <f t="shared" si="79"/>
        <v>7.549102572415381E-3</v>
      </c>
      <c r="R98" s="140">
        <f t="shared" ref="R98:V98" si="80">IF(R6=0,0,R6/R$4)</f>
        <v>7.7300041061694625E-3</v>
      </c>
      <c r="S98" s="140">
        <f t="shared" si="80"/>
        <v>7.742236518957623E-3</v>
      </c>
      <c r="T98" s="140">
        <f t="shared" si="80"/>
        <v>7.899409240994703E-3</v>
      </c>
      <c r="U98" s="140">
        <f t="shared" si="80"/>
        <v>8.1577679773557291E-3</v>
      </c>
      <c r="V98" s="140">
        <f t="shared" si="80"/>
        <v>1.1098964738517075E-2</v>
      </c>
      <c r="W98" s="140">
        <f t="shared" ref="W98" si="81">IF(W6=0,0,W6/W$4)</f>
        <v>1.1307608003972862E-2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0.74173438563905281</v>
      </c>
      <c r="C99" s="140">
        <f t="shared" si="82"/>
        <v>0.7462819100289092</v>
      </c>
      <c r="D99" s="140">
        <f t="shared" si="82"/>
        <v>0.75571151698407324</v>
      </c>
      <c r="E99" s="140">
        <f t="shared" si="82"/>
        <v>0.75662303238222761</v>
      </c>
      <c r="F99" s="140">
        <f t="shared" si="82"/>
        <v>0.76679060721211345</v>
      </c>
      <c r="G99" s="140">
        <f t="shared" si="82"/>
        <v>0.75717625697588897</v>
      </c>
      <c r="H99" s="140">
        <f t="shared" si="82"/>
        <v>0.75257047247964148</v>
      </c>
      <c r="I99" s="140">
        <f t="shared" si="82"/>
        <v>0.74467998399785673</v>
      </c>
      <c r="J99" s="140">
        <f t="shared" si="82"/>
        <v>0.74226274101916467</v>
      </c>
      <c r="K99" s="140">
        <f t="shared" si="82"/>
        <v>0.75625588381440334</v>
      </c>
      <c r="L99" s="140">
        <f t="shared" si="82"/>
        <v>0.74852306495811671</v>
      </c>
      <c r="M99" s="140">
        <f t="shared" si="82"/>
        <v>0.74996394966548796</v>
      </c>
      <c r="N99" s="140">
        <f t="shared" si="82"/>
        <v>0.75568880611555345</v>
      </c>
      <c r="O99" s="140">
        <f t="shared" si="82"/>
        <v>0.74882555805239748</v>
      </c>
      <c r="P99" s="140">
        <f t="shared" si="82"/>
        <v>0.7396515502849571</v>
      </c>
      <c r="Q99" s="140">
        <f t="shared" si="82"/>
        <v>0.74045922169352651</v>
      </c>
      <c r="R99" s="140">
        <f t="shared" ref="R99:V99" si="83">IF(R7=0,0,R7/R$4)</f>
        <v>0.7181873148902671</v>
      </c>
      <c r="S99" s="140">
        <f t="shared" si="83"/>
        <v>0.69210373113815116</v>
      </c>
      <c r="T99" s="140">
        <f t="shared" si="83"/>
        <v>0.67754141299354165</v>
      </c>
      <c r="U99" s="140">
        <f t="shared" si="83"/>
        <v>0.66653618257145741</v>
      </c>
      <c r="V99" s="140">
        <f t="shared" si="83"/>
        <v>0.82348263784921549</v>
      </c>
      <c r="W99" s="140">
        <f t="shared" ref="W99" si="84">IF(W7=0,0,W7/W$4)</f>
        <v>0.78422065055419576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0.12354131367591868</v>
      </c>
      <c r="C100" s="140">
        <f t="shared" si="85"/>
        <v>0.12358986364649568</v>
      </c>
      <c r="D100" s="140">
        <f t="shared" si="85"/>
        <v>0.12220861699970993</v>
      </c>
      <c r="E100" s="140">
        <f t="shared" si="85"/>
        <v>0.1249890807959948</v>
      </c>
      <c r="F100" s="140">
        <f t="shared" si="85"/>
        <v>0.11062187899883785</v>
      </c>
      <c r="G100" s="140">
        <f t="shared" si="85"/>
        <v>0.10737607992306133</v>
      </c>
      <c r="H100" s="140">
        <f t="shared" si="85"/>
        <v>0.10647535620427802</v>
      </c>
      <c r="I100" s="140">
        <f t="shared" si="85"/>
        <v>0.10906640328708302</v>
      </c>
      <c r="J100" s="140">
        <f t="shared" si="85"/>
        <v>0.11253497649895552</v>
      </c>
      <c r="K100" s="140">
        <f t="shared" si="85"/>
        <v>9.7015100877999388E-2</v>
      </c>
      <c r="L100" s="140">
        <f t="shared" si="85"/>
        <v>9.4611509635218527E-2</v>
      </c>
      <c r="M100" s="140">
        <f t="shared" si="85"/>
        <v>9.3441580339945415E-2</v>
      </c>
      <c r="N100" s="140">
        <f t="shared" si="85"/>
        <v>9.3903387570134611E-2</v>
      </c>
      <c r="O100" s="140">
        <f t="shared" si="85"/>
        <v>0.10044487405200832</v>
      </c>
      <c r="P100" s="140">
        <f t="shared" si="85"/>
        <v>0.10355178475801217</v>
      </c>
      <c r="Q100" s="140">
        <f t="shared" si="85"/>
        <v>9.4742196478575347E-2</v>
      </c>
      <c r="R100" s="140">
        <f t="shared" ref="R100:V100" si="86">IF(R8=0,0,R8/R$4)</f>
        <v>0.10429502964794299</v>
      </c>
      <c r="S100" s="140">
        <f t="shared" si="86"/>
        <v>0.10967316370320848</v>
      </c>
      <c r="T100" s="140">
        <f t="shared" si="86"/>
        <v>0.10173445534633822</v>
      </c>
      <c r="U100" s="140">
        <f t="shared" si="86"/>
        <v>0.10566011848898003</v>
      </c>
      <c r="V100" s="140">
        <f t="shared" si="86"/>
        <v>8.456838764160135E-2</v>
      </c>
      <c r="W100" s="140">
        <f t="shared" ref="W100" si="87">IF(W8=0,0,W8/W$4)</f>
        <v>8.1015230379275049E-2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6.5130620888106047E-2</v>
      </c>
      <c r="C101" s="124">
        <f t="shared" si="88"/>
        <v>6.2998418014870883E-2</v>
      </c>
      <c r="D101" s="124">
        <f t="shared" si="88"/>
        <v>5.9417405816590753E-2</v>
      </c>
      <c r="E101" s="124">
        <f t="shared" si="88"/>
        <v>5.7614590860654645E-2</v>
      </c>
      <c r="F101" s="124">
        <f t="shared" si="88"/>
        <v>5.5407408283683714E-2</v>
      </c>
      <c r="G101" s="124">
        <f t="shared" si="88"/>
        <v>5.5531495980675943E-2</v>
      </c>
      <c r="H101" s="124">
        <f t="shared" si="88"/>
        <v>5.6646671828377293E-2</v>
      </c>
      <c r="I101" s="124">
        <f t="shared" si="88"/>
        <v>6.398404988660969E-2</v>
      </c>
      <c r="J101" s="124">
        <f t="shared" si="88"/>
        <v>6.5775585304200662E-2</v>
      </c>
      <c r="K101" s="124">
        <f t="shared" si="88"/>
        <v>6.7183176615783866E-2</v>
      </c>
      <c r="L101" s="124">
        <f t="shared" si="88"/>
        <v>6.5833826830332065E-2</v>
      </c>
      <c r="M101" s="124">
        <f t="shared" si="88"/>
        <v>5.8724625441576597E-2</v>
      </c>
      <c r="N101" s="124">
        <f t="shared" si="88"/>
        <v>4.6312333714356009E-2</v>
      </c>
      <c r="O101" s="124">
        <f t="shared" si="88"/>
        <v>4.2039287366709206E-2</v>
      </c>
      <c r="P101" s="124">
        <f t="shared" si="88"/>
        <v>4.2371556593456823E-2</v>
      </c>
      <c r="Q101" s="124">
        <f t="shared" si="88"/>
        <v>4.3175901434956226E-2</v>
      </c>
      <c r="R101" s="124">
        <f t="shared" ref="R101:V101" si="89">IF(R9=0,0,R9/R$4)</f>
        <v>3.9391398776696847E-2</v>
      </c>
      <c r="S101" s="124">
        <f t="shared" si="89"/>
        <v>3.5517799415260065E-2</v>
      </c>
      <c r="T101" s="124">
        <f t="shared" si="89"/>
        <v>3.5027705076330365E-2</v>
      </c>
      <c r="U101" s="124">
        <f t="shared" si="89"/>
        <v>2.8928069635834223E-2</v>
      </c>
      <c r="V101" s="124">
        <f t="shared" si="89"/>
        <v>3.4311464266049405E-2</v>
      </c>
      <c r="W101" s="124">
        <f t="shared" ref="W101" si="90">IF(W9=0,0,W9/W$4)</f>
        <v>3.075253401232449E-2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1.8698048347101346E-2</v>
      </c>
      <c r="C102" s="140">
        <f t="shared" si="91"/>
        <v>1.8896710855543442E-2</v>
      </c>
      <c r="D102" s="140">
        <f t="shared" si="91"/>
        <v>1.8368530234955875E-2</v>
      </c>
      <c r="E102" s="140">
        <f t="shared" si="91"/>
        <v>1.8505587009075508E-2</v>
      </c>
      <c r="F102" s="140">
        <f t="shared" si="91"/>
        <v>1.7263654248323684E-2</v>
      </c>
      <c r="G102" s="140">
        <f t="shared" si="91"/>
        <v>1.6820859842783618E-2</v>
      </c>
      <c r="H102" s="140">
        <f t="shared" si="91"/>
        <v>1.6850745243653851E-2</v>
      </c>
      <c r="I102" s="140">
        <f t="shared" si="91"/>
        <v>1.8930910854739361E-2</v>
      </c>
      <c r="J102" s="140">
        <f t="shared" si="91"/>
        <v>1.7143630161130193E-2</v>
      </c>
      <c r="K102" s="140">
        <f t="shared" si="91"/>
        <v>1.6333433980203468E-2</v>
      </c>
      <c r="L102" s="140">
        <f t="shared" si="91"/>
        <v>1.6000248458995957E-2</v>
      </c>
      <c r="M102" s="140">
        <f t="shared" si="91"/>
        <v>1.5435762646924197E-2</v>
      </c>
      <c r="N102" s="140">
        <f t="shared" si="91"/>
        <v>1.5098660612095803E-2</v>
      </c>
      <c r="O102" s="140">
        <f t="shared" si="91"/>
        <v>1.52597158700945E-2</v>
      </c>
      <c r="P102" s="140">
        <f t="shared" si="91"/>
        <v>1.6341680874406066E-2</v>
      </c>
      <c r="Q102" s="140">
        <f t="shared" si="91"/>
        <v>1.6776017844094694E-2</v>
      </c>
      <c r="R102" s="140">
        <f t="shared" ref="R102:V102" si="92">IF(R10=0,0,R10/R$4)</f>
        <v>1.6705446772791309E-2</v>
      </c>
      <c r="S102" s="140">
        <f t="shared" si="92"/>
        <v>1.6067329900666942E-2</v>
      </c>
      <c r="T102" s="140">
        <f t="shared" si="92"/>
        <v>1.5252623592147532E-2</v>
      </c>
      <c r="U102" s="140">
        <f t="shared" si="92"/>
        <v>9.9081974861520913E-3</v>
      </c>
      <c r="V102" s="140">
        <f t="shared" si="92"/>
        <v>1.6061638801965872E-2</v>
      </c>
      <c r="W102" s="140">
        <f t="shared" ref="W102" si="93">IF(W10=0,0,W10/W$4)</f>
        <v>1.2515632780504415E-2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4.6432572541004705E-2</v>
      </c>
      <c r="C103" s="140">
        <f t="shared" si="94"/>
        <v>4.4101707159327437E-2</v>
      </c>
      <c r="D103" s="140">
        <f t="shared" si="94"/>
        <v>4.1048875581634885E-2</v>
      </c>
      <c r="E103" s="140">
        <f t="shared" si="94"/>
        <v>3.9109003851579144E-2</v>
      </c>
      <c r="F103" s="140">
        <f t="shared" si="94"/>
        <v>3.8143754035360029E-2</v>
      </c>
      <c r="G103" s="140">
        <f t="shared" si="94"/>
        <v>3.8710636137892322E-2</v>
      </c>
      <c r="H103" s="140">
        <f t="shared" si="94"/>
        <v>3.9795926584723432E-2</v>
      </c>
      <c r="I103" s="140">
        <f t="shared" si="94"/>
        <v>4.5053139031870332E-2</v>
      </c>
      <c r="J103" s="140">
        <f t="shared" si="94"/>
        <v>4.8631955143070456E-2</v>
      </c>
      <c r="K103" s="140">
        <f t="shared" si="94"/>
        <v>5.0849742635580397E-2</v>
      </c>
      <c r="L103" s="140">
        <f t="shared" si="94"/>
        <v>4.9833578371336104E-2</v>
      </c>
      <c r="M103" s="140">
        <f t="shared" si="94"/>
        <v>4.3288862794652397E-2</v>
      </c>
      <c r="N103" s="140">
        <f t="shared" si="94"/>
        <v>3.1213673102260205E-2</v>
      </c>
      <c r="O103" s="140">
        <f t="shared" si="94"/>
        <v>2.677957149661471E-2</v>
      </c>
      <c r="P103" s="140">
        <f t="shared" si="94"/>
        <v>2.6029875719050757E-2</v>
      </c>
      <c r="Q103" s="140">
        <f t="shared" si="94"/>
        <v>2.6399883590861532E-2</v>
      </c>
      <c r="R103" s="140">
        <f t="shared" ref="R103:V103" si="95">IF(R11=0,0,R11/R$4)</f>
        <v>2.2685952003905538E-2</v>
      </c>
      <c r="S103" s="140">
        <f t="shared" si="95"/>
        <v>1.945046951459312E-2</v>
      </c>
      <c r="T103" s="140">
        <f t="shared" si="95"/>
        <v>1.977508148418284E-2</v>
      </c>
      <c r="U103" s="140">
        <f t="shared" si="95"/>
        <v>1.9019872149682135E-2</v>
      </c>
      <c r="V103" s="140">
        <f t="shared" si="95"/>
        <v>1.8249825464083529E-2</v>
      </c>
      <c r="W103" s="140">
        <f t="shared" ref="W103" si="96">IF(W11=0,0,W11/W$4)</f>
        <v>1.8236901231820073E-2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6.3291362622621278E-2</v>
      </c>
      <c r="C105" s="124">
        <f t="shared" si="100"/>
        <v>6.1114924822369195E-2</v>
      </c>
      <c r="D105" s="124">
        <f t="shared" si="100"/>
        <v>5.6616809618080854E-2</v>
      </c>
      <c r="E105" s="124">
        <f t="shared" si="100"/>
        <v>5.4090523112875752E-2</v>
      </c>
      <c r="F105" s="124">
        <f t="shared" si="100"/>
        <v>5.9983713463564341E-2</v>
      </c>
      <c r="G105" s="124">
        <f t="shared" si="100"/>
        <v>7.2212015703469912E-2</v>
      </c>
      <c r="H105" s="124">
        <f t="shared" si="100"/>
        <v>7.6270171879402535E-2</v>
      </c>
      <c r="I105" s="124">
        <f t="shared" si="100"/>
        <v>7.4546030693126625E-2</v>
      </c>
      <c r="J105" s="124">
        <f t="shared" si="100"/>
        <v>7.1952634400551663E-2</v>
      </c>
      <c r="K105" s="124">
        <f t="shared" si="100"/>
        <v>7.1854537194084869E-2</v>
      </c>
      <c r="L105" s="124">
        <f t="shared" si="100"/>
        <v>8.3109665745990213E-2</v>
      </c>
      <c r="M105" s="124">
        <f t="shared" si="100"/>
        <v>8.9799944719374358E-2</v>
      </c>
      <c r="N105" s="124">
        <f t="shared" si="100"/>
        <v>9.6287280903622832E-2</v>
      </c>
      <c r="O105" s="124">
        <f t="shared" si="100"/>
        <v>0.10097818225655029</v>
      </c>
      <c r="P105" s="124">
        <f t="shared" si="100"/>
        <v>0.10678236051698659</v>
      </c>
      <c r="Q105" s="124">
        <f t="shared" si="100"/>
        <v>0.1140735778205265</v>
      </c>
      <c r="R105" s="124">
        <f t="shared" ref="R105:V105" si="101">IF(R13=0,0,R13/R$4)</f>
        <v>0.13039625257892351</v>
      </c>
      <c r="S105" s="124">
        <f t="shared" si="101"/>
        <v>0.15496306922442266</v>
      </c>
      <c r="T105" s="124">
        <f t="shared" si="101"/>
        <v>0.17779701734279491</v>
      </c>
      <c r="U105" s="124">
        <f t="shared" si="101"/>
        <v>0.19071786132637253</v>
      </c>
      <c r="V105" s="124">
        <f t="shared" si="101"/>
        <v>4.6538545504616689E-2</v>
      </c>
      <c r="W105" s="124">
        <f t="shared" ref="W105" si="102">IF(W13=0,0,W13/W$4)</f>
        <v>9.2703977050231826E-2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4.9356304345934592E-3</v>
      </c>
      <c r="C106" s="140">
        <f t="shared" si="103"/>
        <v>4.7047379068442131E-3</v>
      </c>
      <c r="D106" s="140">
        <f t="shared" si="103"/>
        <v>5.3923776471062048E-3</v>
      </c>
      <c r="E106" s="140">
        <f t="shared" si="103"/>
        <v>5.8422141494918383E-3</v>
      </c>
      <c r="F106" s="140">
        <f t="shared" si="103"/>
        <v>6.2145874894495284E-3</v>
      </c>
      <c r="G106" s="140">
        <f t="shared" si="103"/>
        <v>6.1171067801333648E-3</v>
      </c>
      <c r="H106" s="140">
        <f t="shared" si="103"/>
        <v>5.4472960649821793E-3</v>
      </c>
      <c r="I106" s="140">
        <f t="shared" si="103"/>
        <v>5.4003551659049034E-3</v>
      </c>
      <c r="J106" s="140">
        <f t="shared" si="103"/>
        <v>5.6476966829906057E-3</v>
      </c>
      <c r="K106" s="140">
        <f t="shared" si="103"/>
        <v>5.2944611386867716E-3</v>
      </c>
      <c r="L106" s="140">
        <f t="shared" si="103"/>
        <v>5.0286822121140247E-3</v>
      </c>
      <c r="M106" s="140">
        <f t="shared" si="103"/>
        <v>5.6001583228622188E-3</v>
      </c>
      <c r="N106" s="140">
        <f t="shared" si="103"/>
        <v>5.237344874372548E-3</v>
      </c>
      <c r="O106" s="140">
        <f t="shared" si="103"/>
        <v>5.0306213505062324E-3</v>
      </c>
      <c r="P106" s="140">
        <f t="shared" si="103"/>
        <v>4.9669018217753562E-3</v>
      </c>
      <c r="Q106" s="140">
        <f t="shared" si="103"/>
        <v>4.9007417595388625E-3</v>
      </c>
      <c r="R106" s="140">
        <f t="shared" ref="R106:V106" si="104">IF(R14=0,0,R14/R$4)</f>
        <v>5.1471082292044706E-3</v>
      </c>
      <c r="S106" s="140">
        <f t="shared" si="104"/>
        <v>5.2851527942504046E-3</v>
      </c>
      <c r="T106" s="140">
        <f t="shared" si="104"/>
        <v>5.2719238710883815E-3</v>
      </c>
      <c r="U106" s="140">
        <f t="shared" si="104"/>
        <v>5.08830682378406E-3</v>
      </c>
      <c r="V106" s="140">
        <f t="shared" si="104"/>
        <v>2.6091705066802963E-3</v>
      </c>
      <c r="W106" s="140">
        <f t="shared" ref="W106" si="105">IF(W14=0,0,W14/W$4)</f>
        <v>2.9447663652392517E-3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4.7609080229206645E-2</v>
      </c>
      <c r="C107" s="140">
        <f t="shared" si="106"/>
        <v>4.6065172706163907E-2</v>
      </c>
      <c r="D107" s="140">
        <f t="shared" si="106"/>
        <v>4.178032526545597E-2</v>
      </c>
      <c r="E107" s="140">
        <f t="shared" si="106"/>
        <v>3.9235308585626683E-2</v>
      </c>
      <c r="F107" s="140">
        <f t="shared" si="106"/>
        <v>4.3632603286639794E-2</v>
      </c>
      <c r="G107" s="140">
        <f t="shared" si="106"/>
        <v>5.6288503340821534E-2</v>
      </c>
      <c r="H107" s="140">
        <f t="shared" si="106"/>
        <v>6.1240311864960935E-2</v>
      </c>
      <c r="I107" s="140">
        <f t="shared" si="106"/>
        <v>5.8663517497660009E-2</v>
      </c>
      <c r="J107" s="140">
        <f t="shared" si="106"/>
        <v>5.3873161574655867E-2</v>
      </c>
      <c r="K107" s="140">
        <f t="shared" si="106"/>
        <v>5.5205909762651259E-2</v>
      </c>
      <c r="L107" s="140">
        <f t="shared" si="106"/>
        <v>6.2350641165127438E-2</v>
      </c>
      <c r="M107" s="140">
        <f t="shared" si="106"/>
        <v>6.5598549445245125E-2</v>
      </c>
      <c r="N107" s="140">
        <f t="shared" si="106"/>
        <v>7.132636007976112E-2</v>
      </c>
      <c r="O107" s="140">
        <f t="shared" si="106"/>
        <v>8.093094835181508E-2</v>
      </c>
      <c r="P107" s="140">
        <f t="shared" si="106"/>
        <v>8.6900847870003475E-2</v>
      </c>
      <c r="Q107" s="140">
        <f t="shared" si="106"/>
        <v>9.0540336003140376E-2</v>
      </c>
      <c r="R107" s="140">
        <f t="shared" ref="R107:V107" si="107">IF(R15=0,0,R15/R$4)</f>
        <v>0.10381039968073073</v>
      </c>
      <c r="S107" s="140">
        <f t="shared" si="107"/>
        <v>0.12149667305462065</v>
      </c>
      <c r="T107" s="140">
        <f t="shared" si="107"/>
        <v>0.13336342364247339</v>
      </c>
      <c r="U107" s="140">
        <f t="shared" si="107"/>
        <v>0.14446601008535831</v>
      </c>
      <c r="V107" s="140">
        <f t="shared" si="107"/>
        <v>3.5735614765121076E-2</v>
      </c>
      <c r="W107" s="140">
        <f t="shared" ref="W107" si="108">IF(W15=0,0,W15/W$4)</f>
        <v>7.2485403510896051E-2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1.0746651958821166E-2</v>
      </c>
      <c r="C108" s="140">
        <f t="shared" si="109"/>
        <v>1.0345014209361082E-2</v>
      </c>
      <c r="D108" s="140">
        <f t="shared" si="109"/>
        <v>9.4441067055186737E-3</v>
      </c>
      <c r="E108" s="140">
        <f t="shared" si="109"/>
        <v>9.0130003777572267E-3</v>
      </c>
      <c r="F108" s="140">
        <f t="shared" si="109"/>
        <v>1.0136522687475015E-2</v>
      </c>
      <c r="G108" s="140">
        <f t="shared" si="109"/>
        <v>9.806405582515023E-3</v>
      </c>
      <c r="H108" s="140">
        <f t="shared" si="109"/>
        <v>9.5825639494594213E-3</v>
      </c>
      <c r="I108" s="140">
        <f t="shared" si="109"/>
        <v>1.0482158029561718E-2</v>
      </c>
      <c r="J108" s="140">
        <f t="shared" si="109"/>
        <v>1.2431776142905197E-2</v>
      </c>
      <c r="K108" s="140">
        <f t="shared" si="109"/>
        <v>1.1354166292746841E-2</v>
      </c>
      <c r="L108" s="140">
        <f t="shared" si="109"/>
        <v>1.5730342368748762E-2</v>
      </c>
      <c r="M108" s="140">
        <f t="shared" si="109"/>
        <v>1.8601236951267034E-2</v>
      </c>
      <c r="N108" s="140">
        <f t="shared" si="109"/>
        <v>1.9723575949489171E-2</v>
      </c>
      <c r="O108" s="140">
        <f t="shared" si="109"/>
        <v>1.5016612554228976E-2</v>
      </c>
      <c r="P108" s="140">
        <f t="shared" si="109"/>
        <v>1.491461082520776E-2</v>
      </c>
      <c r="Q108" s="140">
        <f t="shared" si="109"/>
        <v>1.8632500057847255E-2</v>
      </c>
      <c r="R108" s="140">
        <f t="shared" ref="R108:V108" si="110">IF(R16=0,0,R16/R$4)</f>
        <v>2.1438744668988322E-2</v>
      </c>
      <c r="S108" s="140">
        <f t="shared" si="110"/>
        <v>2.8181243375551633E-2</v>
      </c>
      <c r="T108" s="140">
        <f t="shared" si="110"/>
        <v>3.9161669829233109E-2</v>
      </c>
      <c r="U108" s="140">
        <f t="shared" si="110"/>
        <v>4.116354441723015E-2</v>
      </c>
      <c r="V108" s="140">
        <f t="shared" si="110"/>
        <v>8.1937602328153135E-3</v>
      </c>
      <c r="W108" s="140">
        <f t="shared" ref="W108" si="111">IF(W16=0,0,W16/W$4)</f>
        <v>1.7273807174096521E-2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0.76858756502456071</v>
      </c>
      <c r="C110" s="139">
        <f t="shared" si="115"/>
        <v>0.78322996634211983</v>
      </c>
      <c r="D110" s="139">
        <f t="shared" si="115"/>
        <v>0.78661114737799687</v>
      </c>
      <c r="E110" s="139">
        <f t="shared" si="115"/>
        <v>0.77748189135917312</v>
      </c>
      <c r="F110" s="139">
        <f t="shared" si="115"/>
        <v>0.79165868131334505</v>
      </c>
      <c r="G110" s="139">
        <f t="shared" si="115"/>
        <v>0.77872513181996039</v>
      </c>
      <c r="H110" s="139">
        <f t="shared" si="115"/>
        <v>0.76030806795944883</v>
      </c>
      <c r="I110" s="139">
        <f t="shared" si="115"/>
        <v>0.74883939257956866</v>
      </c>
      <c r="J110" s="139">
        <f t="shared" si="115"/>
        <v>0.71504335820488896</v>
      </c>
      <c r="K110" s="139">
        <f t="shared" si="115"/>
        <v>0.71849464908080329</v>
      </c>
      <c r="L110" s="139">
        <f t="shared" si="115"/>
        <v>0.69315550323082709</v>
      </c>
      <c r="M110" s="139">
        <f t="shared" si="115"/>
        <v>0.71442037657261559</v>
      </c>
      <c r="N110" s="139">
        <f t="shared" si="115"/>
        <v>0.70756789962721911</v>
      </c>
      <c r="O110" s="139">
        <f t="shared" si="115"/>
        <v>0.73116845070878256</v>
      </c>
      <c r="P110" s="139">
        <f t="shared" si="115"/>
        <v>0.72948601430374682</v>
      </c>
      <c r="Q110" s="139">
        <f t="shared" si="115"/>
        <v>0.73032946155129319</v>
      </c>
      <c r="R110" s="139">
        <f t="shared" ref="R110:V110" si="116">IF(R18=0,0,R18/R$17)</f>
        <v>0.73826904150619399</v>
      </c>
      <c r="S110" s="139">
        <f t="shared" si="116"/>
        <v>0.73996839624307487</v>
      </c>
      <c r="T110" s="139">
        <f t="shared" si="116"/>
        <v>0.73998118639425003</v>
      </c>
      <c r="U110" s="139">
        <f t="shared" si="116"/>
        <v>0.71343079915936569</v>
      </c>
      <c r="V110" s="139">
        <f t="shared" si="116"/>
        <v>0.69711197370540923</v>
      </c>
      <c r="W110" s="139">
        <f t="shared" ref="W110" si="117">IF(W18=0,0,W18/W$17)</f>
        <v>0.70650338967603343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1.7942709756024446E-2</v>
      </c>
      <c r="C111" s="140">
        <f t="shared" si="118"/>
        <v>1.8168192952227012E-2</v>
      </c>
      <c r="D111" s="140">
        <f t="shared" si="118"/>
        <v>1.8460455787471401E-2</v>
      </c>
      <c r="E111" s="140">
        <f t="shared" si="118"/>
        <v>1.9005275552557221E-2</v>
      </c>
      <c r="F111" s="140">
        <f t="shared" si="118"/>
        <v>1.886845669565235E-2</v>
      </c>
      <c r="G111" s="140">
        <f t="shared" si="118"/>
        <v>1.9586346177534891E-2</v>
      </c>
      <c r="H111" s="140">
        <f t="shared" si="118"/>
        <v>1.9860397325351786E-2</v>
      </c>
      <c r="I111" s="140">
        <f t="shared" si="118"/>
        <v>1.9047500564243001E-2</v>
      </c>
      <c r="J111" s="140">
        <f t="shared" si="118"/>
        <v>2.0097808812648818E-2</v>
      </c>
      <c r="K111" s="140">
        <f t="shared" si="118"/>
        <v>2.3844765291437062E-2</v>
      </c>
      <c r="L111" s="140">
        <f t="shared" si="118"/>
        <v>2.3097242192998191E-2</v>
      </c>
      <c r="M111" s="140">
        <f t="shared" si="118"/>
        <v>2.4334371015917091E-2</v>
      </c>
      <c r="N111" s="140">
        <f t="shared" si="118"/>
        <v>2.3766215903918878E-2</v>
      </c>
      <c r="O111" s="140">
        <f t="shared" si="118"/>
        <v>2.3699980613598241E-2</v>
      </c>
      <c r="P111" s="140">
        <f t="shared" si="118"/>
        <v>2.4030491244890761E-2</v>
      </c>
      <c r="Q111" s="140">
        <f t="shared" si="118"/>
        <v>2.5729474626263824E-2</v>
      </c>
      <c r="R111" s="140">
        <f t="shared" ref="R111:V111" si="119">IF(R19=0,0,R19/R$17)</f>
        <v>2.7601107162696471E-2</v>
      </c>
      <c r="S111" s="140">
        <f t="shared" si="119"/>
        <v>2.6673061726826867E-2</v>
      </c>
      <c r="T111" s="140">
        <f t="shared" si="119"/>
        <v>2.9390854104221747E-2</v>
      </c>
      <c r="U111" s="140">
        <f t="shared" si="119"/>
        <v>3.1842918552961022E-2</v>
      </c>
      <c r="V111" s="140">
        <f t="shared" si="119"/>
        <v>3.1366450071224135E-2</v>
      </c>
      <c r="W111" s="140">
        <f t="shared" ref="W111" si="120">IF(W19=0,0,W19/W$17)</f>
        <v>3.4175360573824455E-2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0.7506448552685363</v>
      </c>
      <c r="C112" s="140">
        <f t="shared" si="121"/>
        <v>0.7650617733898929</v>
      </c>
      <c r="D112" s="140">
        <f t="shared" si="121"/>
        <v>0.76815069159052551</v>
      </c>
      <c r="E112" s="140">
        <f t="shared" si="121"/>
        <v>0.75847661580661596</v>
      </c>
      <c r="F112" s="140">
        <f t="shared" si="121"/>
        <v>0.77279022461769276</v>
      </c>
      <c r="G112" s="140">
        <f t="shared" si="121"/>
        <v>0.75913878564242554</v>
      </c>
      <c r="H112" s="140">
        <f t="shared" si="121"/>
        <v>0.74044767063409711</v>
      </c>
      <c r="I112" s="140">
        <f t="shared" si="121"/>
        <v>0.72979189201532568</v>
      </c>
      <c r="J112" s="140">
        <f t="shared" si="121"/>
        <v>0.69494554939224018</v>
      </c>
      <c r="K112" s="140">
        <f t="shared" si="121"/>
        <v>0.69464988378936632</v>
      </c>
      <c r="L112" s="140">
        <f t="shared" si="121"/>
        <v>0.67005826103782884</v>
      </c>
      <c r="M112" s="140">
        <f t="shared" si="121"/>
        <v>0.69008600555669852</v>
      </c>
      <c r="N112" s="140">
        <f t="shared" si="121"/>
        <v>0.68380168372330019</v>
      </c>
      <c r="O112" s="140">
        <f t="shared" si="121"/>
        <v>0.70746847009518432</v>
      </c>
      <c r="P112" s="140">
        <f t="shared" si="121"/>
        <v>0.70545552305885606</v>
      </c>
      <c r="Q112" s="140">
        <f t="shared" si="121"/>
        <v>0.70459998692502945</v>
      </c>
      <c r="R112" s="140">
        <f t="shared" ref="R112:V112" si="122">IF(R20=0,0,R20/R$17)</f>
        <v>0.7106679343434974</v>
      </c>
      <c r="S112" s="140">
        <f t="shared" si="122"/>
        <v>0.71329533451624794</v>
      </c>
      <c r="T112" s="140">
        <f t="shared" si="122"/>
        <v>0.71059033229002833</v>
      </c>
      <c r="U112" s="140">
        <f t="shared" si="122"/>
        <v>0.68158788060640474</v>
      </c>
      <c r="V112" s="140">
        <f t="shared" si="122"/>
        <v>0.66574552363418504</v>
      </c>
      <c r="W112" s="140">
        <f t="shared" ref="W112" si="123">IF(W20=0,0,W20/W$17)</f>
        <v>0.67232802910220901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0.21287311026951378</v>
      </c>
      <c r="C113" s="124">
        <f t="shared" si="124"/>
        <v>0.20020974704728203</v>
      </c>
      <c r="D113" s="124">
        <f t="shared" si="124"/>
        <v>0.1958262661853169</v>
      </c>
      <c r="E113" s="124">
        <f t="shared" si="124"/>
        <v>0.20515465747717049</v>
      </c>
      <c r="F113" s="124">
        <f t="shared" si="124"/>
        <v>0.18779909628776925</v>
      </c>
      <c r="G113" s="124">
        <f t="shared" si="124"/>
        <v>0.20529876429130126</v>
      </c>
      <c r="H113" s="124">
        <f t="shared" si="124"/>
        <v>0.22430731777708529</v>
      </c>
      <c r="I113" s="124">
        <f t="shared" si="124"/>
        <v>0.23640723305342798</v>
      </c>
      <c r="J113" s="124">
        <f t="shared" si="124"/>
        <v>0.22184572931958121</v>
      </c>
      <c r="K113" s="124">
        <f t="shared" si="124"/>
        <v>0.21591980556618803</v>
      </c>
      <c r="L113" s="124">
        <f t="shared" si="124"/>
        <v>0.22132034595064609</v>
      </c>
      <c r="M113" s="124">
        <f t="shared" si="124"/>
        <v>0.21757154243760018</v>
      </c>
      <c r="N113" s="124">
        <f t="shared" si="124"/>
        <v>0.21510145976582032</v>
      </c>
      <c r="O113" s="124">
        <f t="shared" si="124"/>
        <v>0.19174540353890504</v>
      </c>
      <c r="P113" s="124">
        <f t="shared" si="124"/>
        <v>0.19757092325100487</v>
      </c>
      <c r="Q113" s="124">
        <f t="shared" si="124"/>
        <v>0.18722029250931144</v>
      </c>
      <c r="R113" s="124">
        <f t="shared" ref="R113:V113" si="125">IF(R21=0,0,R21/R$17)</f>
        <v>0.18606111329467734</v>
      </c>
      <c r="S113" s="124">
        <f t="shared" si="125"/>
        <v>0.19523675262487525</v>
      </c>
      <c r="T113" s="124">
        <f t="shared" si="125"/>
        <v>0.20472106726935696</v>
      </c>
      <c r="U113" s="124">
        <f t="shared" si="125"/>
        <v>0.21962611472716892</v>
      </c>
      <c r="V113" s="124">
        <f t="shared" si="125"/>
        <v>0.23520952181839164</v>
      </c>
      <c r="W113" s="124">
        <f t="shared" ref="W113" si="126">IF(W21=0,0,W21/W$17)</f>
        <v>0.22926515892412458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3.7248583790253981E-4</v>
      </c>
      <c r="C114" s="124">
        <f t="shared" si="127"/>
        <v>3.7022984780405414E-4</v>
      </c>
      <c r="D114" s="124">
        <f t="shared" si="127"/>
        <v>3.2490390136008382E-4</v>
      </c>
      <c r="E114" s="124">
        <f t="shared" si="127"/>
        <v>2.9230691505554727E-4</v>
      </c>
      <c r="F114" s="124">
        <f t="shared" si="127"/>
        <v>2.5291425734581271E-4</v>
      </c>
      <c r="G114" s="124">
        <f t="shared" si="127"/>
        <v>2.8628160738159098E-4</v>
      </c>
      <c r="H114" s="124">
        <f t="shared" si="127"/>
        <v>2.4845147658365796E-4</v>
      </c>
      <c r="I114" s="124">
        <f t="shared" si="127"/>
        <v>2.7405973327950087E-4</v>
      </c>
      <c r="J114" s="124">
        <f t="shared" si="127"/>
        <v>2.6232547836100174E-4</v>
      </c>
      <c r="K114" s="124">
        <f t="shared" si="127"/>
        <v>3.6582757387046584E-4</v>
      </c>
      <c r="L114" s="124">
        <f t="shared" si="127"/>
        <v>3.0000903138872263E-4</v>
      </c>
      <c r="M114" s="124">
        <f t="shared" si="127"/>
        <v>4.3176992932602367E-4</v>
      </c>
      <c r="N114" s="124">
        <f t="shared" si="127"/>
        <v>3.7209783762321856E-4</v>
      </c>
      <c r="O114" s="124">
        <f t="shared" si="127"/>
        <v>4.6004972331546945E-4</v>
      </c>
      <c r="P114" s="124">
        <f t="shared" si="127"/>
        <v>4.8124575585239542E-4</v>
      </c>
      <c r="Q114" s="124">
        <f t="shared" si="127"/>
        <v>4.741606820811355E-4</v>
      </c>
      <c r="R114" s="124">
        <f t="shared" ref="R114:V114" si="128">IF(R22=0,0,R22/R$17)</f>
        <v>5.5128856138339543E-4</v>
      </c>
      <c r="S114" s="124">
        <f t="shared" si="128"/>
        <v>5.2331891117565472E-4</v>
      </c>
      <c r="T114" s="124">
        <f t="shared" si="128"/>
        <v>1.8056913095500714E-3</v>
      </c>
      <c r="U114" s="124">
        <f t="shared" si="128"/>
        <v>1.3836723333797429E-3</v>
      </c>
      <c r="V114" s="124">
        <f t="shared" si="128"/>
        <v>5.2112888473116641E-4</v>
      </c>
      <c r="W114" s="124">
        <f t="shared" ref="W114" si="129">IF(W22=0,0,W22/W$17)</f>
        <v>8.2756456591534023E-4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2.2087844045154252E-5</v>
      </c>
      <c r="C115" s="140">
        <f t="shared" si="130"/>
        <v>2.1524667780329747E-5</v>
      </c>
      <c r="D115" s="140">
        <f t="shared" si="130"/>
        <v>2.0354363709403292E-5</v>
      </c>
      <c r="E115" s="140">
        <f t="shared" si="130"/>
        <v>1.827344446505105E-5</v>
      </c>
      <c r="F115" s="140">
        <f t="shared" si="130"/>
        <v>1.6031179888930767E-5</v>
      </c>
      <c r="G115" s="140">
        <f t="shared" si="130"/>
        <v>1.9110864359124553E-5</v>
      </c>
      <c r="H115" s="140">
        <f t="shared" si="130"/>
        <v>2.1514984879369354E-5</v>
      </c>
      <c r="I115" s="140">
        <f t="shared" si="130"/>
        <v>2.9348593127534437E-5</v>
      </c>
      <c r="J115" s="140">
        <f t="shared" si="130"/>
        <v>3.2007000690018796E-5</v>
      </c>
      <c r="K115" s="140">
        <f t="shared" si="130"/>
        <v>3.1280183699234493E-5</v>
      </c>
      <c r="L115" s="140">
        <f t="shared" si="130"/>
        <v>3.1135358077845267E-5</v>
      </c>
      <c r="M115" s="140">
        <f t="shared" si="130"/>
        <v>2.3815908445809492E-5</v>
      </c>
      <c r="N115" s="140">
        <f t="shared" si="130"/>
        <v>1.2557153480814233E-5</v>
      </c>
      <c r="O115" s="140">
        <f t="shared" si="130"/>
        <v>1.1327123843165385E-5</v>
      </c>
      <c r="P115" s="140">
        <f t="shared" si="130"/>
        <v>1.1704503261595686E-5</v>
      </c>
      <c r="Q115" s="140">
        <f t="shared" si="130"/>
        <v>1.0404237513913153E-5</v>
      </c>
      <c r="R115" s="140">
        <f t="shared" ref="R115:V116" si="131">IF(R23=0,0,R23/R$17)</f>
        <v>9.9860061760474484E-6</v>
      </c>
      <c r="S115" s="140">
        <f t="shared" si="131"/>
        <v>8.3710478043935156E-6</v>
      </c>
      <c r="T115" s="140">
        <f t="shared" si="131"/>
        <v>7.2852892775119377E-6</v>
      </c>
      <c r="U115" s="140">
        <f t="shared" si="131"/>
        <v>6.4303652674505137E-6</v>
      </c>
      <c r="V115" s="140">
        <f t="shared" si="131"/>
        <v>1.1931079843884258E-6</v>
      </c>
      <c r="W115" s="140">
        <f t="shared" ref="W115" si="132">IF(W23=0,0,W23/W$17)</f>
        <v>9.7979822105561441E-7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2.3507145533861301E-4</v>
      </c>
      <c r="C116" s="140">
        <f t="shared" si="133"/>
        <v>2.3675444664610171E-4</v>
      </c>
      <c r="D116" s="140">
        <f t="shared" si="133"/>
        <v>2.07323641962873E-4</v>
      </c>
      <c r="E116" s="140">
        <f t="shared" si="133"/>
        <v>1.8166359038906753E-4</v>
      </c>
      <c r="F116" s="140">
        <f t="shared" si="133"/>
        <v>1.5500406475018179E-4</v>
      </c>
      <c r="G116" s="140">
        <f t="shared" si="133"/>
        <v>1.8976320597985477E-4</v>
      </c>
      <c r="H116" s="140">
        <f t="shared" si="133"/>
        <v>1.5855652875162705E-4</v>
      </c>
      <c r="I116" s="140">
        <f t="shared" si="133"/>
        <v>1.7159229711713822E-4</v>
      </c>
      <c r="J116" s="140">
        <f t="shared" si="133"/>
        <v>1.5524364140077156E-4</v>
      </c>
      <c r="K116" s="140">
        <f t="shared" si="133"/>
        <v>2.5962663871665747E-4</v>
      </c>
      <c r="L116" s="140">
        <f t="shared" si="133"/>
        <v>1.7589157924704089E-4</v>
      </c>
      <c r="M116" s="140">
        <f t="shared" si="133"/>
        <v>1.202866092276478E-4</v>
      </c>
      <c r="N116" s="140">
        <f t="shared" si="133"/>
        <v>1.4317996050485922E-4</v>
      </c>
      <c r="O116" s="140">
        <f t="shared" si="133"/>
        <v>1.5744261772254197E-4</v>
      </c>
      <c r="P116" s="140">
        <f t="shared" si="133"/>
        <v>1.7280238297150569E-4</v>
      </c>
      <c r="Q116" s="140">
        <f t="shared" si="133"/>
        <v>1.6290787909222212E-4</v>
      </c>
      <c r="R116" s="140">
        <f t="shared" si="131"/>
        <v>1.8722568125925253E-4</v>
      </c>
      <c r="S116" s="140">
        <f t="shared" si="131"/>
        <v>1.4318330619726637E-4</v>
      </c>
      <c r="T116" s="140">
        <f t="shared" si="131"/>
        <v>1.6582586318692261E-4</v>
      </c>
      <c r="U116" s="140">
        <f t="shared" si="131"/>
        <v>2.0469575104470821E-4</v>
      </c>
      <c r="V116" s="140">
        <f t="shared" si="131"/>
        <v>1.6160268481740743E-4</v>
      </c>
      <c r="W116" s="140">
        <f t="shared" ref="W116" si="134">IF(W24=0,0,W24/W$17)</f>
        <v>2.1208092025123111E-4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1.1532653851877261E-4</v>
      </c>
      <c r="C117" s="140">
        <f t="shared" si="135"/>
        <v>1.1195073337762265E-4</v>
      </c>
      <c r="D117" s="140">
        <f t="shared" si="135"/>
        <v>9.7225895687807538E-5</v>
      </c>
      <c r="E117" s="140">
        <f t="shared" si="135"/>
        <v>9.236988020142868E-5</v>
      </c>
      <c r="F117" s="140">
        <f t="shared" si="135"/>
        <v>8.1879012706700146E-5</v>
      </c>
      <c r="G117" s="140">
        <f t="shared" si="135"/>
        <v>7.7407537042611661E-5</v>
      </c>
      <c r="H117" s="140">
        <f t="shared" si="135"/>
        <v>6.8379962952661542E-5</v>
      </c>
      <c r="I117" s="140">
        <f t="shared" si="135"/>
        <v>7.3118843034828226E-5</v>
      </c>
      <c r="J117" s="140">
        <f t="shared" si="135"/>
        <v>7.5074836270211384E-5</v>
      </c>
      <c r="K117" s="140">
        <f t="shared" si="135"/>
        <v>7.4920751454573853E-5</v>
      </c>
      <c r="L117" s="140">
        <f t="shared" si="135"/>
        <v>9.2982094063836485E-5</v>
      </c>
      <c r="M117" s="140">
        <f t="shared" si="135"/>
        <v>2.8766741165256633E-4</v>
      </c>
      <c r="N117" s="140">
        <f t="shared" si="135"/>
        <v>2.1636072363754514E-4</v>
      </c>
      <c r="O117" s="140">
        <f t="shared" si="135"/>
        <v>2.9127998174976213E-4</v>
      </c>
      <c r="P117" s="140">
        <f t="shared" si="135"/>
        <v>2.9673886961929401E-4</v>
      </c>
      <c r="Q117" s="140">
        <f t="shared" si="135"/>
        <v>3.008485654750002E-4</v>
      </c>
      <c r="R117" s="140">
        <f t="shared" ref="R117:V117" si="136">IF(R25=0,0,R25/R$17)</f>
        <v>3.5407687394809541E-4</v>
      </c>
      <c r="S117" s="140">
        <f t="shared" si="136"/>
        <v>3.7176455717399489E-4</v>
      </c>
      <c r="T117" s="140">
        <f t="shared" si="136"/>
        <v>1.6325801570856368E-3</v>
      </c>
      <c r="U117" s="140">
        <f t="shared" si="136"/>
        <v>1.1725462170675842E-3</v>
      </c>
      <c r="V117" s="140">
        <f t="shared" si="136"/>
        <v>3.5833309192937049E-4</v>
      </c>
      <c r="W117" s="140">
        <f t="shared" ref="W117" si="137">IF(W25=0,0,W25/W$17)</f>
        <v>6.1450384744305352E-4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1.8166838868022991E-2</v>
      </c>
      <c r="C118" s="124">
        <f t="shared" si="138"/>
        <v>1.6190056762794072E-2</v>
      </c>
      <c r="D118" s="124">
        <f t="shared" si="138"/>
        <v>1.723768253532619E-2</v>
      </c>
      <c r="E118" s="124">
        <f t="shared" si="138"/>
        <v>1.7071144248600935E-2</v>
      </c>
      <c r="F118" s="124">
        <f t="shared" si="138"/>
        <v>2.0289308141539873E-2</v>
      </c>
      <c r="G118" s="124">
        <f t="shared" si="138"/>
        <v>1.5689822281356687E-2</v>
      </c>
      <c r="H118" s="124">
        <f t="shared" si="138"/>
        <v>1.5136162786882169E-2</v>
      </c>
      <c r="I118" s="124">
        <f t="shared" si="138"/>
        <v>1.4479314633723917E-2</v>
      </c>
      <c r="J118" s="124">
        <f t="shared" si="138"/>
        <v>6.2848586997168859E-2</v>
      </c>
      <c r="K118" s="124">
        <f t="shared" si="138"/>
        <v>6.5219717779138223E-2</v>
      </c>
      <c r="L118" s="124">
        <f t="shared" si="138"/>
        <v>8.5224141787138066E-2</v>
      </c>
      <c r="M118" s="124">
        <f t="shared" si="138"/>
        <v>6.7576311060458027E-2</v>
      </c>
      <c r="N118" s="124">
        <f t="shared" si="138"/>
        <v>7.6958542769337474E-2</v>
      </c>
      <c r="O118" s="124">
        <f t="shared" si="138"/>
        <v>7.6626096028997059E-2</v>
      </c>
      <c r="P118" s="124">
        <f t="shared" si="138"/>
        <v>7.2461816689395928E-2</v>
      </c>
      <c r="Q118" s="124">
        <f t="shared" si="138"/>
        <v>8.1976085257314271E-2</v>
      </c>
      <c r="R118" s="124">
        <f t="shared" ref="R118:V118" si="139">IF(R26=0,0,R26/R$17)</f>
        <v>7.5118556637745248E-2</v>
      </c>
      <c r="S118" s="124">
        <f t="shared" si="139"/>
        <v>6.4271532220874297E-2</v>
      </c>
      <c r="T118" s="124">
        <f t="shared" si="139"/>
        <v>5.3492055026842823E-2</v>
      </c>
      <c r="U118" s="124">
        <f t="shared" si="139"/>
        <v>6.5559413780085632E-2</v>
      </c>
      <c r="V118" s="124">
        <f t="shared" si="139"/>
        <v>6.7157375591468046E-2</v>
      </c>
      <c r="W118" s="124">
        <f t="shared" ref="W118" si="140">IF(W26=0,0,W26/W$17)</f>
        <v>6.3403886833926601E-2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1.0602461947394452E-2</v>
      </c>
      <c r="C119" s="140">
        <f t="shared" si="141"/>
        <v>8.7102823943217469E-3</v>
      </c>
      <c r="D119" s="140">
        <f t="shared" si="141"/>
        <v>9.2710332792966046E-3</v>
      </c>
      <c r="E119" s="140">
        <f t="shared" si="141"/>
        <v>8.8138136440714752E-3</v>
      </c>
      <c r="F119" s="140">
        <f t="shared" si="141"/>
        <v>6.8277363378397675E-3</v>
      </c>
      <c r="G119" s="140">
        <f t="shared" si="141"/>
        <v>7.101309602362567E-3</v>
      </c>
      <c r="H119" s="140">
        <f t="shared" si="141"/>
        <v>7.236201579846546E-3</v>
      </c>
      <c r="I119" s="140">
        <f t="shared" si="141"/>
        <v>7.2693570503932926E-3</v>
      </c>
      <c r="J119" s="140">
        <f t="shared" si="141"/>
        <v>6.4494009805361949E-3</v>
      </c>
      <c r="K119" s="140">
        <f t="shared" si="141"/>
        <v>5.7824975418725279E-3</v>
      </c>
      <c r="L119" s="140">
        <f t="shared" si="141"/>
        <v>5.7584713541329871E-3</v>
      </c>
      <c r="M119" s="140">
        <f t="shared" si="141"/>
        <v>5.8209757992523986E-3</v>
      </c>
      <c r="N119" s="140">
        <f t="shared" si="141"/>
        <v>5.7499977696748314E-3</v>
      </c>
      <c r="O119" s="140">
        <f t="shared" si="141"/>
        <v>5.7556712310604403E-3</v>
      </c>
      <c r="P119" s="140">
        <f t="shared" si="141"/>
        <v>5.7035434247807784E-3</v>
      </c>
      <c r="Q119" s="140">
        <f t="shared" si="141"/>
        <v>6.6250609369457999E-3</v>
      </c>
      <c r="R119" s="140">
        <f t="shared" ref="R119:V119" si="142">IF(R27=0,0,R27/R$17)</f>
        <v>3.1060146403608683E-3</v>
      </c>
      <c r="S119" s="140">
        <f t="shared" si="142"/>
        <v>3.0340785619145834E-3</v>
      </c>
      <c r="T119" s="140">
        <f t="shared" si="142"/>
        <v>2.8902017243914871E-3</v>
      </c>
      <c r="U119" s="140">
        <f t="shared" si="142"/>
        <v>2.5611981163322583E-3</v>
      </c>
      <c r="V119" s="140">
        <f t="shared" si="142"/>
        <v>2.3832986771625685E-3</v>
      </c>
      <c r="W119" s="140">
        <f t="shared" ref="W119" si="143">IF(W27=0,0,W27/W$17)</f>
        <v>2.6182630460360699E-3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7.5643769206285381E-3</v>
      </c>
      <c r="C120" s="127">
        <f t="shared" si="144"/>
        <v>7.4797743684723245E-3</v>
      </c>
      <c r="D120" s="127">
        <f t="shared" si="144"/>
        <v>7.9666492560295857E-3</v>
      </c>
      <c r="E120" s="127">
        <f t="shared" si="144"/>
        <v>8.257330604529458E-3</v>
      </c>
      <c r="F120" s="127">
        <f t="shared" si="144"/>
        <v>1.3461571803700105E-2</v>
      </c>
      <c r="G120" s="127">
        <f t="shared" si="144"/>
        <v>8.5885126789941191E-3</v>
      </c>
      <c r="H120" s="127">
        <f t="shared" si="144"/>
        <v>7.8999612070356218E-3</v>
      </c>
      <c r="I120" s="127">
        <f t="shared" si="144"/>
        <v>7.2099575833306237E-3</v>
      </c>
      <c r="J120" s="127">
        <f t="shared" si="144"/>
        <v>5.6399186016632664E-2</v>
      </c>
      <c r="K120" s="127">
        <f t="shared" si="144"/>
        <v>5.9437220237265699E-2</v>
      </c>
      <c r="L120" s="127">
        <f t="shared" si="144"/>
        <v>7.9465670433005092E-2</v>
      </c>
      <c r="M120" s="127">
        <f t="shared" si="144"/>
        <v>6.1755335261205628E-2</v>
      </c>
      <c r="N120" s="127">
        <f t="shared" si="144"/>
        <v>7.1208544999662643E-2</v>
      </c>
      <c r="O120" s="127">
        <f t="shared" si="144"/>
        <v>7.0870424797936621E-2</v>
      </c>
      <c r="P120" s="127">
        <f t="shared" si="144"/>
        <v>6.6758273264615142E-2</v>
      </c>
      <c r="Q120" s="127">
        <f t="shared" si="144"/>
        <v>7.5351024320368484E-2</v>
      </c>
      <c r="R120" s="127">
        <f t="shared" ref="R120:V120" si="145">IF(R28=0,0,R28/R$17)</f>
        <v>7.2012541997384369E-2</v>
      </c>
      <c r="S120" s="127">
        <f t="shared" si="145"/>
        <v>6.1237453658959717E-2</v>
      </c>
      <c r="T120" s="127">
        <f t="shared" si="145"/>
        <v>5.0601853302451337E-2</v>
      </c>
      <c r="U120" s="127">
        <f t="shared" si="145"/>
        <v>6.2998215663753368E-2</v>
      </c>
      <c r="V120" s="127">
        <f t="shared" si="145"/>
        <v>6.4774076914305478E-2</v>
      </c>
      <c r="W120" s="127">
        <f t="shared" ref="W120" si="146">IF(W28=0,0,W28/W$17)</f>
        <v>6.0785623787890534E-2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0.21416334499431358</v>
      </c>
      <c r="C122" s="140">
        <f>IF(C30=0,0,C30/C$29)</f>
        <v>0.21043439256452903</v>
      </c>
      <c r="D122" s="140">
        <f t="shared" ref="D122:W122" si="150">IF(D30=0,0,D30/D$29)</f>
        <v>0.21070297883123784</v>
      </c>
      <c r="E122" s="140">
        <f t="shared" si="150"/>
        <v>0.21119321992236798</v>
      </c>
      <c r="F122" s="140">
        <f t="shared" si="150"/>
        <v>0.21108063631014964</v>
      </c>
      <c r="G122" s="140">
        <f t="shared" si="150"/>
        <v>0.20673906235949174</v>
      </c>
      <c r="H122" s="140">
        <f t="shared" si="150"/>
        <v>0.22245493589928625</v>
      </c>
      <c r="I122" s="140">
        <f t="shared" si="150"/>
        <v>0.18622991629795516</v>
      </c>
      <c r="J122" s="140">
        <f t="shared" si="150"/>
        <v>0.15410501458273598</v>
      </c>
      <c r="K122" s="140">
        <f t="shared" si="150"/>
        <v>0.23300027125273101</v>
      </c>
      <c r="L122" s="140">
        <f t="shared" si="150"/>
        <v>0.19143540470940634</v>
      </c>
      <c r="M122" s="140">
        <f t="shared" si="150"/>
        <v>0.20595040459297781</v>
      </c>
      <c r="N122" s="140">
        <f t="shared" si="150"/>
        <v>0.18932976163161894</v>
      </c>
      <c r="O122" s="140">
        <f t="shared" si="150"/>
        <v>0.14477764186184161</v>
      </c>
      <c r="P122" s="140">
        <f t="shared" si="150"/>
        <v>0.13038253118599041</v>
      </c>
      <c r="Q122" s="140">
        <f t="shared" si="150"/>
        <v>0.10978223786648048</v>
      </c>
      <c r="R122" s="140">
        <f t="shared" si="150"/>
        <v>0.10517305688401392</v>
      </c>
      <c r="S122" s="140">
        <f t="shared" si="150"/>
        <v>0.11113647470017653</v>
      </c>
      <c r="T122" s="140">
        <f t="shared" si="150"/>
        <v>9.7720712164154497E-2</v>
      </c>
      <c r="U122" s="140">
        <f t="shared" si="150"/>
        <v>0.10461964179751014</v>
      </c>
      <c r="V122" s="140">
        <f t="shared" si="150"/>
        <v>0.14831524772219959</v>
      </c>
      <c r="W122" s="140">
        <f t="shared" si="150"/>
        <v>0.16032930080075031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0.78583665500568645</v>
      </c>
      <c r="C123" s="127">
        <f>IF(C31=0,0,C31/C$29)</f>
        <v>0.789565607435471</v>
      </c>
      <c r="D123" s="127">
        <f t="shared" ref="D123:W123" si="152">IF(D31=0,0,D31/D$29)</f>
        <v>0.7892970211687621</v>
      </c>
      <c r="E123" s="127">
        <f t="shared" si="152"/>
        <v>0.78880678007763205</v>
      </c>
      <c r="F123" s="127">
        <f t="shared" si="152"/>
        <v>0.78891936368985027</v>
      </c>
      <c r="G123" s="127">
        <f t="shared" si="152"/>
        <v>0.7932609376405082</v>
      </c>
      <c r="H123" s="127">
        <f t="shared" si="152"/>
        <v>0.77754506410071378</v>
      </c>
      <c r="I123" s="127">
        <f t="shared" si="152"/>
        <v>0.81377008370204473</v>
      </c>
      <c r="J123" s="127">
        <f t="shared" si="152"/>
        <v>0.84589498541726404</v>
      </c>
      <c r="K123" s="127">
        <f t="shared" si="152"/>
        <v>0.76699972874726896</v>
      </c>
      <c r="L123" s="127">
        <f t="shared" si="152"/>
        <v>0.80856459529059377</v>
      </c>
      <c r="M123" s="127">
        <f t="shared" si="152"/>
        <v>0.79404959540702214</v>
      </c>
      <c r="N123" s="127">
        <f t="shared" si="152"/>
        <v>0.81067023836838115</v>
      </c>
      <c r="O123" s="127">
        <f t="shared" si="152"/>
        <v>0.85522235813815839</v>
      </c>
      <c r="P123" s="127">
        <f t="shared" si="152"/>
        <v>0.86961746881400959</v>
      </c>
      <c r="Q123" s="127">
        <f t="shared" si="152"/>
        <v>0.89021776213351944</v>
      </c>
      <c r="R123" s="127">
        <f t="shared" si="152"/>
        <v>0.8948269431159861</v>
      </c>
      <c r="S123" s="127">
        <f t="shared" si="152"/>
        <v>0.88886352529982338</v>
      </c>
      <c r="T123" s="127">
        <f t="shared" si="152"/>
        <v>0.90227928783584543</v>
      </c>
      <c r="U123" s="127">
        <f t="shared" si="152"/>
        <v>0.89538035820248985</v>
      </c>
      <c r="V123" s="127">
        <f t="shared" si="152"/>
        <v>0.85168475227780038</v>
      </c>
      <c r="W123" s="127">
        <f t="shared" si="152"/>
        <v>0.83967069919924964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0.91548021051112083</v>
      </c>
      <c r="C127" s="139">
        <f t="shared" ref="C127:W127" si="155">IF(C35=0,0,C35/C$34)</f>
        <v>0.91594086056577051</v>
      </c>
      <c r="D127" s="139">
        <f t="shared" si="155"/>
        <v>0.91893879851051996</v>
      </c>
      <c r="E127" s="139">
        <f t="shared" si="155"/>
        <v>0.92578400247565251</v>
      </c>
      <c r="F127" s="139">
        <f t="shared" si="155"/>
        <v>0.91875626464217075</v>
      </c>
      <c r="G127" s="139">
        <f t="shared" si="155"/>
        <v>0.91154075107837984</v>
      </c>
      <c r="H127" s="139">
        <f t="shared" si="155"/>
        <v>0.91405715114525654</v>
      </c>
      <c r="I127" s="139">
        <f t="shared" si="155"/>
        <v>0.91834507083883277</v>
      </c>
      <c r="J127" s="139">
        <f t="shared" si="155"/>
        <v>0.90877036486925733</v>
      </c>
      <c r="K127" s="139">
        <f t="shared" si="155"/>
        <v>0.92019628824127597</v>
      </c>
      <c r="L127" s="139">
        <f t="shared" si="155"/>
        <v>0.91373336948500816</v>
      </c>
      <c r="M127" s="139">
        <f t="shared" si="155"/>
        <v>0.90916666682096847</v>
      </c>
      <c r="N127" s="139">
        <f t="shared" si="155"/>
        <v>0.90658981580396858</v>
      </c>
      <c r="O127" s="139">
        <f t="shared" si="155"/>
        <v>0.90054579122336731</v>
      </c>
      <c r="P127" s="139">
        <f t="shared" si="155"/>
        <v>0.90309995608826921</v>
      </c>
      <c r="Q127" s="139">
        <f t="shared" si="155"/>
        <v>0.90985984353890115</v>
      </c>
      <c r="R127" s="139">
        <f t="shared" si="155"/>
        <v>0.90943177474171721</v>
      </c>
      <c r="S127" s="139">
        <f t="shared" si="155"/>
        <v>0.9003014848712092</v>
      </c>
      <c r="T127" s="139">
        <f t="shared" si="155"/>
        <v>0.88113642084057753</v>
      </c>
      <c r="U127" s="139">
        <f t="shared" si="155"/>
        <v>0.87568007431416206</v>
      </c>
      <c r="V127" s="139">
        <f t="shared" si="155"/>
        <v>0.94744165752982423</v>
      </c>
      <c r="W127" s="139">
        <f t="shared" si="155"/>
        <v>0.9242171534693232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4.6027100997072697E-3</v>
      </c>
      <c r="C128" s="140">
        <f t="shared" ref="C128:W128" si="156">IF(C36=0,0,C36/C$34)</f>
        <v>4.5917206610330101E-3</v>
      </c>
      <c r="D128" s="140">
        <f t="shared" si="156"/>
        <v>4.6579448282236821E-3</v>
      </c>
      <c r="E128" s="140">
        <f t="shared" si="156"/>
        <v>4.7837445762038914E-3</v>
      </c>
      <c r="F128" s="140">
        <f t="shared" si="156"/>
        <v>5.0968569144114661E-3</v>
      </c>
      <c r="G128" s="140">
        <f t="shared" si="156"/>
        <v>5.270270260996265E-3</v>
      </c>
      <c r="H128" s="140">
        <f t="shared" si="156"/>
        <v>5.3286441482182107E-3</v>
      </c>
      <c r="I128" s="140">
        <f t="shared" si="156"/>
        <v>4.8852070729904599E-3</v>
      </c>
      <c r="J128" s="140">
        <f t="shared" si="156"/>
        <v>4.9080051525543719E-3</v>
      </c>
      <c r="K128" s="140">
        <f t="shared" si="156"/>
        <v>4.8619025667705311E-3</v>
      </c>
      <c r="L128" s="140">
        <f t="shared" si="156"/>
        <v>5.0176103858691279E-3</v>
      </c>
      <c r="M128" s="140">
        <f t="shared" si="156"/>
        <v>5.0375156199016042E-3</v>
      </c>
      <c r="N128" s="140">
        <f t="shared" si="156"/>
        <v>5.0298970818615516E-3</v>
      </c>
      <c r="O128" s="140">
        <f t="shared" si="156"/>
        <v>5.0363316510507973E-3</v>
      </c>
      <c r="P128" s="140">
        <f t="shared" si="156"/>
        <v>4.9455397742697244E-3</v>
      </c>
      <c r="Q128" s="140">
        <f t="shared" si="156"/>
        <v>4.7139324177928477E-3</v>
      </c>
      <c r="R128" s="140">
        <f t="shared" si="156"/>
        <v>4.7211297807478077E-3</v>
      </c>
      <c r="S128" s="140">
        <f t="shared" si="156"/>
        <v>4.7118178093919147E-3</v>
      </c>
      <c r="T128" s="140">
        <f t="shared" si="156"/>
        <v>4.7550901695109947E-3</v>
      </c>
      <c r="U128" s="140">
        <f t="shared" si="156"/>
        <v>4.8391399546120354E-3</v>
      </c>
      <c r="V128" s="140">
        <f t="shared" si="156"/>
        <v>5.4160492373908119E-3</v>
      </c>
      <c r="W128" s="140">
        <f t="shared" si="156"/>
        <v>5.5710656742241306E-3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0.772244599521273</v>
      </c>
      <c r="C129" s="140">
        <f t="shared" ref="C129:W129" si="157">IF(C37=0,0,C37/C$34)</f>
        <v>0.77692460042882416</v>
      </c>
      <c r="D129" s="140">
        <f t="shared" si="157"/>
        <v>0.78279113417867796</v>
      </c>
      <c r="E129" s="140">
        <f t="shared" si="157"/>
        <v>0.79686221313077732</v>
      </c>
      <c r="F129" s="140">
        <f t="shared" si="157"/>
        <v>0.7945571351791042</v>
      </c>
      <c r="G129" s="140">
        <f t="shared" si="157"/>
        <v>0.79385214873011933</v>
      </c>
      <c r="H129" s="140">
        <f t="shared" si="157"/>
        <v>0.80339949527291921</v>
      </c>
      <c r="I129" s="140">
        <f t="shared" si="157"/>
        <v>0.81351483361389987</v>
      </c>
      <c r="J129" s="140">
        <f t="shared" si="157"/>
        <v>0.80378164496032101</v>
      </c>
      <c r="K129" s="140">
        <f t="shared" si="157"/>
        <v>0.81344736615397895</v>
      </c>
      <c r="L129" s="140">
        <f t="shared" si="157"/>
        <v>0.80292840078075778</v>
      </c>
      <c r="M129" s="140">
        <f t="shared" si="157"/>
        <v>0.80184534865963186</v>
      </c>
      <c r="N129" s="140">
        <f t="shared" si="157"/>
        <v>0.8013134370172369</v>
      </c>
      <c r="O129" s="140">
        <f t="shared" si="157"/>
        <v>0.79331617126297016</v>
      </c>
      <c r="P129" s="140">
        <f t="shared" si="157"/>
        <v>0.7953704952134073</v>
      </c>
      <c r="Q129" s="140">
        <f t="shared" si="157"/>
        <v>0.80066286495577021</v>
      </c>
      <c r="R129" s="140">
        <f t="shared" si="157"/>
        <v>0.79973380265279881</v>
      </c>
      <c r="S129" s="140">
        <f t="shared" si="157"/>
        <v>0.78912177308082709</v>
      </c>
      <c r="T129" s="140">
        <f t="shared" si="157"/>
        <v>0.7682986148540133</v>
      </c>
      <c r="U129" s="140">
        <f t="shared" si="157"/>
        <v>0.78111017486445544</v>
      </c>
      <c r="V129" s="140">
        <f t="shared" si="157"/>
        <v>0.8590735648745762</v>
      </c>
      <c r="W129" s="140">
        <f t="shared" si="157"/>
        <v>0.83658945010554497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0.13863290089014058</v>
      </c>
      <c r="C130" s="140">
        <f t="shared" ref="C130:W130" si="158">IF(C38=0,0,C38/C$34)</f>
        <v>0.13442453947591329</v>
      </c>
      <c r="D130" s="140">
        <f t="shared" si="158"/>
        <v>0.1314897195036184</v>
      </c>
      <c r="E130" s="140">
        <f t="shared" si="158"/>
        <v>0.1241380447686712</v>
      </c>
      <c r="F130" s="140">
        <f t="shared" si="158"/>
        <v>0.11910227254865505</v>
      </c>
      <c r="G130" s="140">
        <f t="shared" si="158"/>
        <v>0.1124183320872643</v>
      </c>
      <c r="H130" s="140">
        <f t="shared" si="158"/>
        <v>0.10532901172411908</v>
      </c>
      <c r="I130" s="140">
        <f t="shared" si="158"/>
        <v>9.9945030151942449E-2</v>
      </c>
      <c r="J130" s="140">
        <f t="shared" si="158"/>
        <v>0.10008071475638199</v>
      </c>
      <c r="K130" s="140">
        <f t="shared" si="158"/>
        <v>0.10188701952052651</v>
      </c>
      <c r="L130" s="140">
        <f t="shared" si="158"/>
        <v>0.10578735831838121</v>
      </c>
      <c r="M130" s="140">
        <f t="shared" si="158"/>
        <v>0.10228380254143501</v>
      </c>
      <c r="N130" s="140">
        <f t="shared" si="158"/>
        <v>0.10024648170487009</v>
      </c>
      <c r="O130" s="140">
        <f t="shared" si="158"/>
        <v>0.10219328830934635</v>
      </c>
      <c r="P130" s="140">
        <f t="shared" si="158"/>
        <v>0.10278392110059212</v>
      </c>
      <c r="Q130" s="140">
        <f t="shared" si="158"/>
        <v>0.10448304616533792</v>
      </c>
      <c r="R130" s="140">
        <f t="shared" si="158"/>
        <v>0.10497684230817063</v>
      </c>
      <c r="S130" s="140">
        <f t="shared" si="158"/>
        <v>0.10646789398099014</v>
      </c>
      <c r="T130" s="140">
        <f t="shared" si="158"/>
        <v>0.10808271581705321</v>
      </c>
      <c r="U130" s="140">
        <f t="shared" si="158"/>
        <v>8.9730759495094584E-2</v>
      </c>
      <c r="V130" s="140">
        <f t="shared" si="158"/>
        <v>8.2952043417857169E-2</v>
      </c>
      <c r="W130" s="140">
        <f t="shared" si="158"/>
        <v>8.2056637689554207E-2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2.5670186720599307E-2</v>
      </c>
      <c r="C131" s="124">
        <f t="shared" ref="C131:W131" si="159">IF(C39=0,0,C39/C$34)</f>
        <v>2.5065640826982198E-2</v>
      </c>
      <c r="D131" s="124">
        <f t="shared" si="159"/>
        <v>2.4762665152230912E-2</v>
      </c>
      <c r="E131" s="124">
        <f t="shared" si="159"/>
        <v>2.2048871694136104E-2</v>
      </c>
      <c r="F131" s="124">
        <f t="shared" si="159"/>
        <v>2.2348217847755435E-2</v>
      </c>
      <c r="G131" s="124">
        <f t="shared" si="159"/>
        <v>2.1400633626824837E-2</v>
      </c>
      <c r="H131" s="124">
        <f t="shared" si="159"/>
        <v>2.0714856872250397E-2</v>
      </c>
      <c r="I131" s="124">
        <f t="shared" si="159"/>
        <v>1.9309072857065041E-2</v>
      </c>
      <c r="J131" s="124">
        <f t="shared" si="159"/>
        <v>2.0329201434989713E-2</v>
      </c>
      <c r="K131" s="124">
        <f t="shared" si="159"/>
        <v>1.925706292131435E-2</v>
      </c>
      <c r="L131" s="124">
        <f t="shared" si="159"/>
        <v>1.938442425084231E-2</v>
      </c>
      <c r="M131" s="124">
        <f t="shared" si="159"/>
        <v>1.9287755196136652E-2</v>
      </c>
      <c r="N131" s="124">
        <f t="shared" si="159"/>
        <v>1.8582189336893082E-2</v>
      </c>
      <c r="O131" s="124">
        <f t="shared" si="159"/>
        <v>1.716401410772711E-2</v>
      </c>
      <c r="P131" s="124">
        <f t="shared" si="159"/>
        <v>1.520147763404563E-2</v>
      </c>
      <c r="Q131" s="124">
        <f t="shared" si="159"/>
        <v>1.3951159164881065E-2</v>
      </c>
      <c r="R131" s="124">
        <f t="shared" si="159"/>
        <v>1.3070329441749495E-2</v>
      </c>
      <c r="S131" s="124">
        <f t="shared" si="159"/>
        <v>1.2390792552608932E-2</v>
      </c>
      <c r="T131" s="124">
        <f t="shared" si="159"/>
        <v>1.1918536540733545E-2</v>
      </c>
      <c r="U131" s="124">
        <f t="shared" si="159"/>
        <v>1.1131603726778872E-2</v>
      </c>
      <c r="V131" s="124">
        <f t="shared" si="159"/>
        <v>1.220033444541619E-2</v>
      </c>
      <c r="W131" s="124">
        <f t="shared" si="159"/>
        <v>1.2754248946640175E-2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2.186433254134138E-3</v>
      </c>
      <c r="C132" s="140">
        <f t="shared" ref="C132:W132" si="160">IF(C40=0,0,C40/C$34)</f>
        <v>2.3087509701747205E-3</v>
      </c>
      <c r="D132" s="140">
        <f t="shared" si="160"/>
        <v>2.2976725444966034E-3</v>
      </c>
      <c r="E132" s="140">
        <f t="shared" si="160"/>
        <v>2.2324468216912111E-3</v>
      </c>
      <c r="F132" s="140">
        <f t="shared" si="160"/>
        <v>2.0816230425363003E-3</v>
      </c>
      <c r="G132" s="140">
        <f t="shared" si="160"/>
        <v>1.9955659500498521E-3</v>
      </c>
      <c r="H132" s="140">
        <f t="shared" si="160"/>
        <v>1.9502412174691886E-3</v>
      </c>
      <c r="I132" s="140">
        <f t="shared" si="160"/>
        <v>2.1088284476534253E-3</v>
      </c>
      <c r="J132" s="140">
        <f t="shared" si="160"/>
        <v>1.9750386131860411E-3</v>
      </c>
      <c r="K132" s="140">
        <f t="shared" si="160"/>
        <v>1.8149828102017251E-3</v>
      </c>
      <c r="L132" s="140">
        <f t="shared" si="160"/>
        <v>1.7758755342198364E-3</v>
      </c>
      <c r="M132" s="140">
        <f t="shared" si="160"/>
        <v>1.6766154413922004E-3</v>
      </c>
      <c r="N132" s="140">
        <f t="shared" si="160"/>
        <v>1.673354340331457E-3</v>
      </c>
      <c r="O132" s="140">
        <f t="shared" si="160"/>
        <v>1.7061645919468286E-3</v>
      </c>
      <c r="P132" s="140">
        <f t="shared" si="160"/>
        <v>1.8065335581373342E-3</v>
      </c>
      <c r="Q132" s="140">
        <f t="shared" si="160"/>
        <v>1.7649450968826449E-3</v>
      </c>
      <c r="R132" s="140">
        <f t="shared" si="160"/>
        <v>1.730361080520694E-3</v>
      </c>
      <c r="S132" s="140">
        <f t="shared" si="160"/>
        <v>1.6315839314119814E-3</v>
      </c>
      <c r="T132" s="140">
        <f t="shared" si="160"/>
        <v>1.5186342312129566E-3</v>
      </c>
      <c r="U132" s="140">
        <f t="shared" si="160"/>
        <v>1.111184504504833E-3</v>
      </c>
      <c r="V132" s="140">
        <f t="shared" si="160"/>
        <v>1.5756237007528476E-3</v>
      </c>
      <c r="W132" s="140">
        <f t="shared" si="160"/>
        <v>1.3933483289048964E-3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2.3483753466465168E-2</v>
      </c>
      <c r="C133" s="140">
        <f t="shared" ref="C133:W133" si="161">IF(C41=0,0,C41/C$34)</f>
        <v>2.2756889856807478E-2</v>
      </c>
      <c r="D133" s="140">
        <f t="shared" si="161"/>
        <v>2.246499260773431E-2</v>
      </c>
      <c r="E133" s="140">
        <f t="shared" si="161"/>
        <v>1.9816424872444893E-2</v>
      </c>
      <c r="F133" s="140">
        <f t="shared" si="161"/>
        <v>2.0266594805219137E-2</v>
      </c>
      <c r="G133" s="140">
        <f t="shared" si="161"/>
        <v>1.9405067676774985E-2</v>
      </c>
      <c r="H133" s="140">
        <f t="shared" si="161"/>
        <v>1.8764615654781207E-2</v>
      </c>
      <c r="I133" s="140">
        <f t="shared" si="161"/>
        <v>1.7200244409411612E-2</v>
      </c>
      <c r="J133" s="140">
        <f t="shared" si="161"/>
        <v>1.8354162821803671E-2</v>
      </c>
      <c r="K133" s="140">
        <f t="shared" si="161"/>
        <v>1.7442080111112628E-2</v>
      </c>
      <c r="L133" s="140">
        <f t="shared" si="161"/>
        <v>1.7608548716622471E-2</v>
      </c>
      <c r="M133" s="140">
        <f t="shared" si="161"/>
        <v>1.7611139754744452E-2</v>
      </c>
      <c r="N133" s="140">
        <f t="shared" si="161"/>
        <v>1.6908834996561626E-2</v>
      </c>
      <c r="O133" s="140">
        <f t="shared" si="161"/>
        <v>1.5457849515780281E-2</v>
      </c>
      <c r="P133" s="140">
        <f t="shared" si="161"/>
        <v>1.3394944075908294E-2</v>
      </c>
      <c r="Q133" s="140">
        <f t="shared" si="161"/>
        <v>1.218621406799842E-2</v>
      </c>
      <c r="R133" s="140">
        <f t="shared" si="161"/>
        <v>1.1339968361228801E-2</v>
      </c>
      <c r="S133" s="140">
        <f t="shared" si="161"/>
        <v>1.0759208621196949E-2</v>
      </c>
      <c r="T133" s="140">
        <f t="shared" si="161"/>
        <v>1.0399902309520587E-2</v>
      </c>
      <c r="U133" s="140">
        <f t="shared" si="161"/>
        <v>1.002041922227404E-2</v>
      </c>
      <c r="V133" s="140">
        <f t="shared" si="161"/>
        <v>1.062471074466334E-2</v>
      </c>
      <c r="W133" s="140">
        <f t="shared" si="161"/>
        <v>1.1360900617735278E-2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5.8849602768279878E-2</v>
      </c>
      <c r="C135" s="124">
        <f t="shared" ref="C135:W135" si="163">IF(C43=0,0,C43/C$34)</f>
        <v>5.8993498607247313E-2</v>
      </c>
      <c r="D135" s="124">
        <f t="shared" si="163"/>
        <v>5.6298536337249107E-2</v>
      </c>
      <c r="E135" s="124">
        <f t="shared" si="163"/>
        <v>5.2167125830211485E-2</v>
      </c>
      <c r="F135" s="124">
        <f t="shared" si="163"/>
        <v>5.8895517510073783E-2</v>
      </c>
      <c r="G135" s="124">
        <f t="shared" si="163"/>
        <v>6.7058615294795162E-2</v>
      </c>
      <c r="H135" s="124">
        <f t="shared" si="163"/>
        <v>6.5227991982493003E-2</v>
      </c>
      <c r="I135" s="124">
        <f t="shared" si="163"/>
        <v>6.2345856304102207E-2</v>
      </c>
      <c r="J135" s="124">
        <f t="shared" si="163"/>
        <v>7.0900433695752912E-2</v>
      </c>
      <c r="K135" s="124">
        <f t="shared" si="163"/>
        <v>6.0546648837409615E-2</v>
      </c>
      <c r="L135" s="124">
        <f t="shared" si="163"/>
        <v>6.6882206264149632E-2</v>
      </c>
      <c r="M135" s="124">
        <f t="shared" si="163"/>
        <v>7.1545577982894779E-2</v>
      </c>
      <c r="N135" s="124">
        <f t="shared" si="163"/>
        <v>7.482799485913845E-2</v>
      </c>
      <c r="O135" s="124">
        <f t="shared" si="163"/>
        <v>8.2290194668905622E-2</v>
      </c>
      <c r="P135" s="124">
        <f t="shared" si="163"/>
        <v>8.169856627768525E-2</v>
      </c>
      <c r="Q135" s="124">
        <f t="shared" si="163"/>
        <v>7.6188997296217864E-2</v>
      </c>
      <c r="R135" s="124">
        <f t="shared" si="163"/>
        <v>7.7497895816533297E-2</v>
      </c>
      <c r="S135" s="124">
        <f t="shared" si="163"/>
        <v>8.7307722576181829E-2</v>
      </c>
      <c r="T135" s="124">
        <f t="shared" si="163"/>
        <v>0.10694504261868892</v>
      </c>
      <c r="U135" s="124">
        <f t="shared" si="163"/>
        <v>0.11318832195905916</v>
      </c>
      <c r="V135" s="124">
        <f t="shared" si="163"/>
        <v>4.0358008024759681E-2</v>
      </c>
      <c r="W135" s="124">
        <f t="shared" si="163"/>
        <v>6.3028597584036533E-2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6.4706629612019907E-3</v>
      </c>
      <c r="C136" s="140">
        <f t="shared" ref="C136:W136" si="164">IF(C44=0,0,C44/C$34)</f>
        <v>6.4718923741234578E-3</v>
      </c>
      <c r="D136" s="140">
        <f t="shared" si="164"/>
        <v>7.627406158644854E-3</v>
      </c>
      <c r="E136" s="140">
        <f t="shared" si="164"/>
        <v>7.9482214727723162E-3</v>
      </c>
      <c r="F136" s="140">
        <f t="shared" si="164"/>
        <v>8.5770810300287385E-3</v>
      </c>
      <c r="G136" s="140">
        <f t="shared" si="164"/>
        <v>8.1750467841483314E-3</v>
      </c>
      <c r="H136" s="140">
        <f t="shared" si="164"/>
        <v>8.3495316680511061E-3</v>
      </c>
      <c r="I136" s="140">
        <f t="shared" si="164"/>
        <v>7.6416575248387389E-3</v>
      </c>
      <c r="J136" s="140">
        <f t="shared" si="164"/>
        <v>7.7024306186239851E-3</v>
      </c>
      <c r="K136" s="140">
        <f t="shared" si="164"/>
        <v>7.0932206493434539E-3</v>
      </c>
      <c r="L136" s="140">
        <f t="shared" si="164"/>
        <v>6.0915902217980001E-3</v>
      </c>
      <c r="M136" s="140">
        <f t="shared" si="164"/>
        <v>6.8183886089335337E-3</v>
      </c>
      <c r="N136" s="140">
        <f t="shared" si="164"/>
        <v>6.1786695346794382E-3</v>
      </c>
      <c r="O136" s="140">
        <f t="shared" si="164"/>
        <v>6.2592343366907307E-3</v>
      </c>
      <c r="P136" s="140">
        <f t="shared" si="164"/>
        <v>6.2212081052497653E-3</v>
      </c>
      <c r="Q136" s="140">
        <f t="shared" si="164"/>
        <v>6.5156771755923932E-3</v>
      </c>
      <c r="R136" s="140">
        <f t="shared" si="164"/>
        <v>6.3304462738841211E-3</v>
      </c>
      <c r="S136" s="140">
        <f t="shared" si="164"/>
        <v>5.8394907011430118E-3</v>
      </c>
      <c r="T136" s="140">
        <f t="shared" si="164"/>
        <v>5.8855475345403882E-3</v>
      </c>
      <c r="U136" s="140">
        <f t="shared" si="164"/>
        <v>5.7725721057589269E-3</v>
      </c>
      <c r="V136" s="140">
        <f t="shared" si="164"/>
        <v>3.8303294874143033E-3</v>
      </c>
      <c r="W136" s="140">
        <f t="shared" si="164"/>
        <v>4.4968590501992612E-3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4.277274332163826E-2</v>
      </c>
      <c r="C137" s="140">
        <f t="shared" ref="C137:W137" si="165">IF(C45=0,0,C45/C$34)</f>
        <v>4.2887609993491442E-2</v>
      </c>
      <c r="D137" s="140">
        <f t="shared" si="165"/>
        <v>3.9742787427005898E-2</v>
      </c>
      <c r="E137" s="140">
        <f t="shared" si="165"/>
        <v>3.610832421024824E-2</v>
      </c>
      <c r="F137" s="140">
        <f t="shared" si="165"/>
        <v>4.1089890616656813E-2</v>
      </c>
      <c r="G137" s="140">
        <f t="shared" si="165"/>
        <v>4.8989732779913975E-2</v>
      </c>
      <c r="H137" s="140">
        <f t="shared" si="165"/>
        <v>4.8191183770718259E-2</v>
      </c>
      <c r="I137" s="140">
        <f t="shared" si="165"/>
        <v>4.6705615407120191E-2</v>
      </c>
      <c r="J137" s="140">
        <f t="shared" si="165"/>
        <v>5.3386650014744706E-2</v>
      </c>
      <c r="K137" s="140">
        <f t="shared" si="165"/>
        <v>4.5045549811196316E-2</v>
      </c>
      <c r="L137" s="140">
        <f t="shared" si="165"/>
        <v>5.1354929407436939E-2</v>
      </c>
      <c r="M137" s="140">
        <f t="shared" si="165"/>
        <v>5.4481485851116417E-2</v>
      </c>
      <c r="N137" s="140">
        <f t="shared" si="165"/>
        <v>5.807936065256214E-2</v>
      </c>
      <c r="O137" s="140">
        <f t="shared" si="165"/>
        <v>6.5122325398388414E-2</v>
      </c>
      <c r="P137" s="140">
        <f t="shared" si="165"/>
        <v>6.4945289360807387E-2</v>
      </c>
      <c r="Q137" s="140">
        <f t="shared" si="165"/>
        <v>5.9861644775920229E-2</v>
      </c>
      <c r="R137" s="140">
        <f t="shared" si="165"/>
        <v>6.1899993311991995E-2</v>
      </c>
      <c r="S137" s="140">
        <f t="shared" si="165"/>
        <v>7.2128122969201028E-2</v>
      </c>
      <c r="T137" s="140">
        <f t="shared" si="165"/>
        <v>8.9496960743730716E-2</v>
      </c>
      <c r="U137" s="140">
        <f t="shared" si="165"/>
        <v>9.5201371654392367E-2</v>
      </c>
      <c r="V137" s="140">
        <f t="shared" si="165"/>
        <v>2.8951729293760567E-2</v>
      </c>
      <c r="W137" s="140">
        <f t="shared" si="165"/>
        <v>4.8532416680783189E-2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9.6061964854396338E-3</v>
      </c>
      <c r="C138" s="140">
        <f t="shared" ref="C138:W138" si="166">IF(C46=0,0,C46/C$34)</f>
        <v>9.6339962396324152E-3</v>
      </c>
      <c r="D138" s="140">
        <f t="shared" si="166"/>
        <v>8.9283427515983622E-3</v>
      </c>
      <c r="E138" s="140">
        <f t="shared" si="166"/>
        <v>8.1105801471909218E-3</v>
      </c>
      <c r="F138" s="140">
        <f t="shared" si="166"/>
        <v>9.2285458633882406E-3</v>
      </c>
      <c r="G138" s="140">
        <f t="shared" si="166"/>
        <v>9.8938357307328528E-3</v>
      </c>
      <c r="H138" s="140">
        <f t="shared" si="166"/>
        <v>8.6872765437236397E-3</v>
      </c>
      <c r="I138" s="140">
        <f t="shared" si="166"/>
        <v>7.9985833721432781E-3</v>
      </c>
      <c r="J138" s="140">
        <f t="shared" si="166"/>
        <v>9.8113530623842298E-3</v>
      </c>
      <c r="K138" s="140">
        <f t="shared" si="166"/>
        <v>8.4078783768698449E-3</v>
      </c>
      <c r="L138" s="140">
        <f t="shared" si="166"/>
        <v>9.4356866349146924E-3</v>
      </c>
      <c r="M138" s="140">
        <f t="shared" si="166"/>
        <v>1.024570352284484E-2</v>
      </c>
      <c r="N138" s="140">
        <f t="shared" si="166"/>
        <v>1.0569964671896874E-2</v>
      </c>
      <c r="O138" s="140">
        <f t="shared" si="166"/>
        <v>1.0908634933826475E-2</v>
      </c>
      <c r="P138" s="140">
        <f t="shared" si="166"/>
        <v>1.0532068811628107E-2</v>
      </c>
      <c r="Q138" s="140">
        <f t="shared" si="166"/>
        <v>9.8116753447052511E-3</v>
      </c>
      <c r="R138" s="140">
        <f t="shared" si="166"/>
        <v>9.2674562306571812E-3</v>
      </c>
      <c r="S138" s="140">
        <f t="shared" si="166"/>
        <v>9.3401089058377986E-3</v>
      </c>
      <c r="T138" s="140">
        <f t="shared" si="166"/>
        <v>1.156253434041781E-2</v>
      </c>
      <c r="U138" s="140">
        <f t="shared" si="166"/>
        <v>1.2214378198907866E-2</v>
      </c>
      <c r="V138" s="140">
        <f t="shared" si="166"/>
        <v>7.5759492435848105E-3</v>
      </c>
      <c r="W138" s="140">
        <f t="shared" si="166"/>
        <v>9.9993218530540825E-3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0.8399117036468764</v>
      </c>
      <c r="C140" s="139">
        <f t="shared" ref="C140:W140" si="169">IF(C48=0,0,C48/C$47)</f>
        <v>0.84288050979857154</v>
      </c>
      <c r="D140" s="139">
        <f t="shared" si="169"/>
        <v>0.85941801236000237</v>
      </c>
      <c r="E140" s="139">
        <f t="shared" si="169"/>
        <v>0.86766700224905169</v>
      </c>
      <c r="F140" s="139">
        <f t="shared" si="169"/>
        <v>0.89081759759108237</v>
      </c>
      <c r="G140" s="139">
        <f t="shared" si="169"/>
        <v>0.88375039063628502</v>
      </c>
      <c r="H140" s="139">
        <f t="shared" si="169"/>
        <v>0.8866201419876153</v>
      </c>
      <c r="I140" s="139">
        <f t="shared" si="169"/>
        <v>0.88502132991490579</v>
      </c>
      <c r="J140" s="139">
        <f t="shared" si="169"/>
        <v>0.87387409208391476</v>
      </c>
      <c r="K140" s="139">
        <f t="shared" si="169"/>
        <v>0.8641337861401267</v>
      </c>
      <c r="L140" s="139">
        <f t="shared" si="169"/>
        <v>0.87761547719228239</v>
      </c>
      <c r="M140" s="139">
        <f t="shared" si="169"/>
        <v>0.87572300501048683</v>
      </c>
      <c r="N140" s="139">
        <f t="shared" si="169"/>
        <v>0.8737791955155424</v>
      </c>
      <c r="O140" s="139">
        <f t="shared" si="169"/>
        <v>0.87866300350412407</v>
      </c>
      <c r="P140" s="139">
        <f t="shared" si="169"/>
        <v>0.86069308431655256</v>
      </c>
      <c r="Q140" s="139">
        <f t="shared" si="169"/>
        <v>0.87453083242749208</v>
      </c>
      <c r="R140" s="139">
        <f t="shared" si="169"/>
        <v>0.86620683405275944</v>
      </c>
      <c r="S140" s="139">
        <f t="shared" si="169"/>
        <v>0.885568890636937</v>
      </c>
      <c r="T140" s="139">
        <f t="shared" si="169"/>
        <v>0.87739530948041344</v>
      </c>
      <c r="U140" s="139">
        <f t="shared" si="169"/>
        <v>0.88731249926026279</v>
      </c>
      <c r="V140" s="139">
        <f t="shared" si="169"/>
        <v>0.89943757452502004</v>
      </c>
      <c r="W140" s="139">
        <f t="shared" si="169"/>
        <v>0.89217710146806295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0.29957898514586889</v>
      </c>
      <c r="C141" s="140">
        <f t="shared" ref="C141:W141" si="170">IF(C49=0,0,C49/C$47)</f>
        <v>0.31295077669365079</v>
      </c>
      <c r="D141" s="140">
        <f t="shared" si="170"/>
        <v>0.27396596151683872</v>
      </c>
      <c r="E141" s="140">
        <f t="shared" si="170"/>
        <v>0.26826560369268804</v>
      </c>
      <c r="F141" s="140">
        <f t="shared" si="170"/>
        <v>0.26815743167405209</v>
      </c>
      <c r="G141" s="140">
        <f t="shared" si="170"/>
        <v>0.28130479790697327</v>
      </c>
      <c r="H141" s="140">
        <f t="shared" si="170"/>
        <v>0.27554531512263741</v>
      </c>
      <c r="I141" s="140">
        <f t="shared" si="170"/>
        <v>0.26297778673495609</v>
      </c>
      <c r="J141" s="140">
        <f t="shared" si="170"/>
        <v>0.26975114463037919</v>
      </c>
      <c r="K141" s="140">
        <f t="shared" si="170"/>
        <v>0.27841205062079222</v>
      </c>
      <c r="L141" s="140">
        <f t="shared" si="170"/>
        <v>0.26893278384827901</v>
      </c>
      <c r="M141" s="140">
        <f t="shared" si="170"/>
        <v>0.27525604256864139</v>
      </c>
      <c r="N141" s="140">
        <f t="shared" si="170"/>
        <v>0.28080834613352323</v>
      </c>
      <c r="O141" s="140">
        <f t="shared" si="170"/>
        <v>0.24626991100955087</v>
      </c>
      <c r="P141" s="140">
        <f t="shared" si="170"/>
        <v>0.25666775385190832</v>
      </c>
      <c r="Q141" s="140">
        <f t="shared" si="170"/>
        <v>0.27645668807059437</v>
      </c>
      <c r="R141" s="140">
        <f t="shared" si="170"/>
        <v>0.29517289609300879</v>
      </c>
      <c r="S141" s="140">
        <f t="shared" si="170"/>
        <v>0.27459289524061553</v>
      </c>
      <c r="T141" s="140">
        <f t="shared" si="170"/>
        <v>0.30932868338221853</v>
      </c>
      <c r="U141" s="140">
        <f t="shared" si="170"/>
        <v>0.29586501959873801</v>
      </c>
      <c r="V141" s="140">
        <f t="shared" si="170"/>
        <v>0.31115513728376154</v>
      </c>
      <c r="W141" s="140">
        <f t="shared" si="170"/>
        <v>0.33118420744696364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0.5403327185010075</v>
      </c>
      <c r="C142" s="140">
        <f t="shared" ref="C142:W142" si="171">IF(C50=0,0,C50/C$47)</f>
        <v>0.52992973310492086</v>
      </c>
      <c r="D142" s="140">
        <f t="shared" si="171"/>
        <v>0.58545205084316354</v>
      </c>
      <c r="E142" s="140">
        <f t="shared" si="171"/>
        <v>0.59940139855636365</v>
      </c>
      <c r="F142" s="140">
        <f t="shared" si="171"/>
        <v>0.62266016591703033</v>
      </c>
      <c r="G142" s="140">
        <f t="shared" si="171"/>
        <v>0.60244559272931175</v>
      </c>
      <c r="H142" s="140">
        <f t="shared" si="171"/>
        <v>0.61107482686497794</v>
      </c>
      <c r="I142" s="140">
        <f t="shared" si="171"/>
        <v>0.6220435431799497</v>
      </c>
      <c r="J142" s="140">
        <f t="shared" si="171"/>
        <v>0.60412294745353556</v>
      </c>
      <c r="K142" s="140">
        <f t="shared" si="171"/>
        <v>0.58572173551933449</v>
      </c>
      <c r="L142" s="140">
        <f t="shared" si="171"/>
        <v>0.60868269334400338</v>
      </c>
      <c r="M142" s="140">
        <f t="shared" si="171"/>
        <v>0.60046696244184539</v>
      </c>
      <c r="N142" s="140">
        <f t="shared" si="171"/>
        <v>0.59297084938201916</v>
      </c>
      <c r="O142" s="140">
        <f t="shared" si="171"/>
        <v>0.63239309249457321</v>
      </c>
      <c r="P142" s="140">
        <f t="shared" si="171"/>
        <v>0.60402533046464424</v>
      </c>
      <c r="Q142" s="140">
        <f t="shared" si="171"/>
        <v>0.59807414435689765</v>
      </c>
      <c r="R142" s="140">
        <f t="shared" si="171"/>
        <v>0.57103393795975055</v>
      </c>
      <c r="S142" s="140">
        <f t="shared" si="171"/>
        <v>0.61097599539632141</v>
      </c>
      <c r="T142" s="140">
        <f t="shared" si="171"/>
        <v>0.56806662609819503</v>
      </c>
      <c r="U142" s="140">
        <f t="shared" si="171"/>
        <v>0.59144747966152478</v>
      </c>
      <c r="V142" s="140">
        <f t="shared" si="171"/>
        <v>0.58828243724125839</v>
      </c>
      <c r="W142" s="140">
        <f t="shared" si="171"/>
        <v>0.56099289402109931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4.9301051321330037E-2</v>
      </c>
      <c r="C143" s="124">
        <f t="shared" ref="C143:W143" si="172">IF(C51=0,0,C51/C$47)</f>
        <v>5.258872153644846E-2</v>
      </c>
      <c r="D143" s="124">
        <f t="shared" si="172"/>
        <v>4.3304409756906664E-2</v>
      </c>
      <c r="E143" s="124">
        <f t="shared" si="172"/>
        <v>4.3117618291301452E-2</v>
      </c>
      <c r="F143" s="124">
        <f t="shared" si="172"/>
        <v>4.134820639174102E-2</v>
      </c>
      <c r="G143" s="124">
        <f t="shared" si="172"/>
        <v>4.4237427358316282E-2</v>
      </c>
      <c r="H143" s="124">
        <f t="shared" si="172"/>
        <v>4.3755166561811373E-2</v>
      </c>
      <c r="I143" s="124">
        <f t="shared" si="172"/>
        <v>4.4897644450844085E-2</v>
      </c>
      <c r="J143" s="124">
        <f t="shared" si="172"/>
        <v>4.0416310738476645E-2</v>
      </c>
      <c r="K143" s="124">
        <f t="shared" si="172"/>
        <v>3.5440199225991849E-2</v>
      </c>
      <c r="L143" s="124">
        <f t="shared" si="172"/>
        <v>3.9502912302007337E-2</v>
      </c>
      <c r="M143" s="124">
        <f t="shared" si="172"/>
        <v>3.7566926418037452E-2</v>
      </c>
      <c r="N143" s="124">
        <f t="shared" si="172"/>
        <v>3.7272404707215608E-2</v>
      </c>
      <c r="O143" s="124">
        <f t="shared" si="172"/>
        <v>3.3903603494542363E-2</v>
      </c>
      <c r="P143" s="124">
        <f t="shared" si="172"/>
        <v>3.503563562659881E-2</v>
      </c>
      <c r="Q143" s="124">
        <f t="shared" si="172"/>
        <v>3.0375375137548424E-2</v>
      </c>
      <c r="R143" s="124">
        <f t="shared" si="172"/>
        <v>3.3299743699460614E-2</v>
      </c>
      <c r="S143" s="124">
        <f t="shared" si="172"/>
        <v>2.8581628395361037E-2</v>
      </c>
      <c r="T143" s="124">
        <f t="shared" si="172"/>
        <v>2.6932860914081137E-2</v>
      </c>
      <c r="U143" s="124">
        <f t="shared" si="172"/>
        <v>2.5140882985883413E-2</v>
      </c>
      <c r="V143" s="124">
        <f t="shared" si="172"/>
        <v>2.6604747294160569E-2</v>
      </c>
      <c r="W143" s="124">
        <f t="shared" si="172"/>
        <v>2.3933452467679653E-2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1.7507087440842347E-3</v>
      </c>
      <c r="C144" s="124">
        <f t="shared" ref="C144:W144" si="173">IF(C52=0,0,C52/C$47)</f>
        <v>1.9364775341658453E-3</v>
      </c>
      <c r="D144" s="124">
        <f t="shared" si="173"/>
        <v>1.5173063158725902E-3</v>
      </c>
      <c r="E144" s="124">
        <f t="shared" si="173"/>
        <v>1.2660147404917211E-3</v>
      </c>
      <c r="F144" s="124">
        <f t="shared" si="173"/>
        <v>1.2051502408109154E-3</v>
      </c>
      <c r="G144" s="124">
        <f t="shared" si="173"/>
        <v>1.3675262543207764E-3</v>
      </c>
      <c r="H144" s="124">
        <f t="shared" si="173"/>
        <v>1.3205082734025582E-3</v>
      </c>
      <c r="I144" s="124">
        <f t="shared" si="173"/>
        <v>1.5299063346207577E-3</v>
      </c>
      <c r="J144" s="124">
        <f t="shared" si="173"/>
        <v>1.5873703785526511E-3</v>
      </c>
      <c r="K144" s="124">
        <f t="shared" si="173"/>
        <v>1.6356669502509494E-3</v>
      </c>
      <c r="L144" s="124">
        <f t="shared" si="173"/>
        <v>1.2546465151219565E-3</v>
      </c>
      <c r="M144" s="124">
        <f t="shared" si="173"/>
        <v>1.2210914787510669E-3</v>
      </c>
      <c r="N144" s="124">
        <f t="shared" si="173"/>
        <v>1.2788698043146385E-3</v>
      </c>
      <c r="O144" s="124">
        <f t="shared" si="173"/>
        <v>1.2471045483904825E-3</v>
      </c>
      <c r="P144" s="124">
        <f t="shared" si="173"/>
        <v>1.1300522077163566E-3</v>
      </c>
      <c r="Q144" s="124">
        <f t="shared" si="173"/>
        <v>1.0095339296031592E-3</v>
      </c>
      <c r="R144" s="124">
        <f t="shared" si="173"/>
        <v>9.6170093988260828E-4</v>
      </c>
      <c r="S144" s="124">
        <f t="shared" si="173"/>
        <v>7.6577994781016777E-4</v>
      </c>
      <c r="T144" s="124">
        <f t="shared" si="173"/>
        <v>1.7114933633449356E-3</v>
      </c>
      <c r="U144" s="124">
        <f t="shared" si="173"/>
        <v>1.2710277328865809E-3</v>
      </c>
      <c r="V144" s="124">
        <f t="shared" si="173"/>
        <v>1.5824361138655481E-3</v>
      </c>
      <c r="W144" s="124">
        <f t="shared" si="173"/>
        <v>2.0616463945340867E-3</v>
      </c>
      <c r="DA144" s="176"/>
    </row>
    <row r="145" spans="1:105" ht="11.45" customHeight="1" x14ac:dyDescent="0.25">
      <c r="A145" s="128" t="s">
        <v>27</v>
      </c>
      <c r="B145" s="140">
        <f t="shared" si="167"/>
        <v>5.2253901869248011E-4</v>
      </c>
      <c r="C145" s="140">
        <f t="shared" ref="C145:W145" si="174">IF(C53=0,0,C53/C$47)</f>
        <v>5.831440035299094E-4</v>
      </c>
      <c r="D145" s="140">
        <f t="shared" si="174"/>
        <v>4.5437206175173977E-4</v>
      </c>
      <c r="E145" s="140">
        <f t="shared" si="174"/>
        <v>3.6914687271249346E-4</v>
      </c>
      <c r="F145" s="140">
        <f t="shared" si="174"/>
        <v>3.504653532109549E-4</v>
      </c>
      <c r="G145" s="140">
        <f t="shared" si="174"/>
        <v>4.1162786980932658E-4</v>
      </c>
      <c r="H145" s="140">
        <f t="shared" si="174"/>
        <v>4.9649264285039885E-4</v>
      </c>
      <c r="I145" s="140">
        <f t="shared" si="174"/>
        <v>5.7785004639251437E-4</v>
      </c>
      <c r="J145" s="140">
        <f t="shared" si="174"/>
        <v>5.3368662043942619E-4</v>
      </c>
      <c r="K145" s="140">
        <f t="shared" si="174"/>
        <v>3.7553741491190611E-4</v>
      </c>
      <c r="L145" s="140">
        <f t="shared" si="174"/>
        <v>2.9599634788858814E-4</v>
      </c>
      <c r="M145" s="140">
        <f t="shared" si="174"/>
        <v>2.8383878492731901E-4</v>
      </c>
      <c r="N145" s="140">
        <f t="shared" si="174"/>
        <v>2.3847362301710783E-4</v>
      </c>
      <c r="O145" s="140">
        <f t="shared" si="174"/>
        <v>1.7851445815146618E-4</v>
      </c>
      <c r="P145" s="140">
        <f t="shared" si="174"/>
        <v>1.5060972463227051E-4</v>
      </c>
      <c r="Q145" s="140">
        <f t="shared" si="174"/>
        <v>1.4085815755341058E-4</v>
      </c>
      <c r="R145" s="140">
        <f t="shared" si="174"/>
        <v>1.0293673837627963E-4</v>
      </c>
      <c r="S145" s="140">
        <f t="shared" si="174"/>
        <v>7.8721583231744212E-5</v>
      </c>
      <c r="T145" s="140">
        <f t="shared" si="174"/>
        <v>6.772684779782639E-5</v>
      </c>
      <c r="U145" s="140">
        <f t="shared" si="174"/>
        <v>4.691210255989449E-5</v>
      </c>
      <c r="V145" s="140">
        <f t="shared" si="174"/>
        <v>8.9742926157623201E-6</v>
      </c>
      <c r="W145" s="140">
        <f t="shared" si="174"/>
        <v>7.1078395820676379E-6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1.0702635873518706E-3</v>
      </c>
      <c r="C146" s="140">
        <f t="shared" ref="C146:W146" si="175">IF(C54=0,0,C54/C$47)</f>
        <v>1.1866192313063025E-3</v>
      </c>
      <c r="D146" s="140">
        <f t="shared" si="175"/>
        <v>9.3350476323315044E-4</v>
      </c>
      <c r="E146" s="140">
        <f t="shared" si="175"/>
        <v>7.6699237746372659E-4</v>
      </c>
      <c r="F146" s="140">
        <f t="shared" si="175"/>
        <v>7.3386582340907258E-4</v>
      </c>
      <c r="G146" s="140">
        <f t="shared" si="175"/>
        <v>8.2211546488796525E-4</v>
      </c>
      <c r="H146" s="140">
        <f t="shared" si="175"/>
        <v>7.2029535182838644E-4</v>
      </c>
      <c r="I146" s="140">
        <f t="shared" si="175"/>
        <v>8.5496654413620688E-4</v>
      </c>
      <c r="J146" s="140">
        <f t="shared" si="175"/>
        <v>9.5603364703141999E-4</v>
      </c>
      <c r="K146" s="140">
        <f t="shared" si="175"/>
        <v>1.1948303495260594E-3</v>
      </c>
      <c r="L146" s="140">
        <f t="shared" si="175"/>
        <v>8.878498212625416E-4</v>
      </c>
      <c r="M146" s="140">
        <f t="shared" si="175"/>
        <v>6.753619750317838E-4</v>
      </c>
      <c r="N146" s="140">
        <f t="shared" si="175"/>
        <v>8.0912261969420362E-4</v>
      </c>
      <c r="O146" s="140">
        <f t="shared" si="175"/>
        <v>7.5394123860120287E-4</v>
      </c>
      <c r="P146" s="140">
        <f t="shared" si="175"/>
        <v>6.9107313996421801E-4</v>
      </c>
      <c r="Q146" s="140">
        <f t="shared" si="175"/>
        <v>6.3923196182535111E-4</v>
      </c>
      <c r="R146" s="140">
        <f t="shared" si="175"/>
        <v>6.2256186606628151E-4</v>
      </c>
      <c r="S146" s="140">
        <f t="shared" si="175"/>
        <v>4.6557529182223828E-4</v>
      </c>
      <c r="T146" s="140">
        <f t="shared" si="175"/>
        <v>6.0402734077860134E-4</v>
      </c>
      <c r="U146" s="140">
        <f t="shared" si="175"/>
        <v>5.6842960494547226E-4</v>
      </c>
      <c r="V146" s="140">
        <f t="shared" si="175"/>
        <v>8.068474978127773E-4</v>
      </c>
      <c r="W146" s="140">
        <f t="shared" si="175"/>
        <v>1.0072954022258404E-3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1.5790613803988391E-4</v>
      </c>
      <c r="C147" s="140">
        <f t="shared" ref="C147:W147" si="176">IF(C55=0,0,C55/C$47)</f>
        <v>1.6671429932963347E-4</v>
      </c>
      <c r="D147" s="140">
        <f t="shared" si="176"/>
        <v>1.2942949088770001E-4</v>
      </c>
      <c r="E147" s="140">
        <f t="shared" si="176"/>
        <v>1.2987549031550098E-4</v>
      </c>
      <c r="F147" s="140">
        <f t="shared" si="176"/>
        <v>1.208190641908878E-4</v>
      </c>
      <c r="G147" s="140">
        <f t="shared" si="176"/>
        <v>1.3378291962348439E-4</v>
      </c>
      <c r="H147" s="140">
        <f t="shared" si="176"/>
        <v>1.0372027872377278E-4</v>
      </c>
      <c r="I147" s="140">
        <f t="shared" si="176"/>
        <v>9.7089744092036283E-5</v>
      </c>
      <c r="J147" s="140">
        <f t="shared" si="176"/>
        <v>9.7650111081805038E-5</v>
      </c>
      <c r="K147" s="140">
        <f t="shared" si="176"/>
        <v>6.5299185812983502E-5</v>
      </c>
      <c r="L147" s="140">
        <f t="shared" si="176"/>
        <v>7.0800345970826613E-5</v>
      </c>
      <c r="M147" s="140">
        <f t="shared" si="176"/>
        <v>2.6189071879196407E-4</v>
      </c>
      <c r="N147" s="140">
        <f t="shared" si="176"/>
        <v>2.3127356160332712E-4</v>
      </c>
      <c r="O147" s="140">
        <f t="shared" si="176"/>
        <v>3.1464885163781333E-4</v>
      </c>
      <c r="P147" s="140">
        <f t="shared" si="176"/>
        <v>2.8836934311986804E-4</v>
      </c>
      <c r="Q147" s="140">
        <f t="shared" si="176"/>
        <v>2.2944381022439736E-4</v>
      </c>
      <c r="R147" s="140">
        <f t="shared" si="176"/>
        <v>2.3620233544004721E-4</v>
      </c>
      <c r="S147" s="140">
        <f t="shared" si="176"/>
        <v>2.2148307275618529E-4</v>
      </c>
      <c r="T147" s="140">
        <f t="shared" si="176"/>
        <v>1.0397391747685079E-3</v>
      </c>
      <c r="U147" s="140">
        <f t="shared" si="176"/>
        <v>6.5568602538121411E-4</v>
      </c>
      <c r="V147" s="140">
        <f t="shared" si="176"/>
        <v>7.666143234370085E-4</v>
      </c>
      <c r="W147" s="140">
        <f t="shared" si="176"/>
        <v>1.0472431527261789E-3</v>
      </c>
      <c r="DA147" s="175"/>
    </row>
    <row r="148" spans="1:105" ht="11.45" customHeight="1" x14ac:dyDescent="0.25">
      <c r="A148" s="109" t="s">
        <v>142</v>
      </c>
      <c r="B148" s="124">
        <f t="shared" si="167"/>
        <v>0.10903653628770922</v>
      </c>
      <c r="C148" s="124">
        <f t="shared" ref="C148:W148" si="177">IF(C56=0,0,C56/C$47)</f>
        <v>0.10259429113081434</v>
      </c>
      <c r="D148" s="124">
        <f t="shared" si="177"/>
        <v>9.5760271567218294E-2</v>
      </c>
      <c r="E148" s="124">
        <f t="shared" si="177"/>
        <v>8.7949364719155126E-2</v>
      </c>
      <c r="F148" s="124">
        <f t="shared" si="177"/>
        <v>6.6629045776365609E-2</v>
      </c>
      <c r="G148" s="124">
        <f t="shared" si="177"/>
        <v>7.0644655751077881E-2</v>
      </c>
      <c r="H148" s="124">
        <f t="shared" si="177"/>
        <v>6.830418317717088E-2</v>
      </c>
      <c r="I148" s="124">
        <f t="shared" si="177"/>
        <v>6.8551119299629329E-2</v>
      </c>
      <c r="J148" s="124">
        <f t="shared" si="177"/>
        <v>8.4122226799055913E-2</v>
      </c>
      <c r="K148" s="124">
        <f t="shared" si="177"/>
        <v>9.8790347683630556E-2</v>
      </c>
      <c r="L148" s="124">
        <f t="shared" si="177"/>
        <v>8.1626963990588289E-2</v>
      </c>
      <c r="M148" s="124">
        <f t="shared" si="177"/>
        <v>8.5488977092724766E-2</v>
      </c>
      <c r="N148" s="124">
        <f t="shared" si="177"/>
        <v>8.7669529972927415E-2</v>
      </c>
      <c r="O148" s="124">
        <f t="shared" si="177"/>
        <v>8.6186288452943044E-2</v>
      </c>
      <c r="P148" s="124">
        <f t="shared" si="177"/>
        <v>0.10314122784913213</v>
      </c>
      <c r="Q148" s="124">
        <f t="shared" si="177"/>
        <v>9.408425850535633E-2</v>
      </c>
      <c r="R148" s="124">
        <f t="shared" si="177"/>
        <v>9.9531721307897295E-2</v>
      </c>
      <c r="S148" s="124">
        <f t="shared" si="177"/>
        <v>8.5083701019891753E-2</v>
      </c>
      <c r="T148" s="124">
        <f t="shared" si="177"/>
        <v>9.3960336242160547E-2</v>
      </c>
      <c r="U148" s="124">
        <f t="shared" si="177"/>
        <v>8.6275590020967269E-2</v>
      </c>
      <c r="V148" s="124">
        <f t="shared" si="177"/>
        <v>7.237524206695381E-2</v>
      </c>
      <c r="W148" s="124">
        <f t="shared" si="177"/>
        <v>8.182779966972327E-2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7.4250179376189607E-2</v>
      </c>
      <c r="C149" s="140">
        <f t="shared" ref="C149:W149" si="178">IF(C57=0,0,C57/C$47)</f>
        <v>6.6771273920951918E-2</v>
      </c>
      <c r="D149" s="140">
        <f t="shared" si="178"/>
        <v>6.2622825896358841E-2</v>
      </c>
      <c r="E149" s="140">
        <f t="shared" si="178"/>
        <v>5.6512903526565662E-2</v>
      </c>
      <c r="F149" s="140">
        <f t="shared" si="178"/>
        <v>3.0843326759949032E-2</v>
      </c>
      <c r="G149" s="140">
        <f t="shared" si="178"/>
        <v>4.5064741585223174E-2</v>
      </c>
      <c r="H149" s="140">
        <f t="shared" si="178"/>
        <v>3.7403581008161775E-2</v>
      </c>
      <c r="I149" s="140">
        <f t="shared" si="178"/>
        <v>3.8675554050529706E-2</v>
      </c>
      <c r="J149" s="140">
        <f t="shared" si="178"/>
        <v>1.2237510295888052E-2</v>
      </c>
      <c r="K149" s="140">
        <f t="shared" si="178"/>
        <v>1.2772363476009392E-2</v>
      </c>
      <c r="L149" s="140">
        <f t="shared" si="178"/>
        <v>1.0126733309987371E-2</v>
      </c>
      <c r="M149" s="140">
        <f t="shared" si="178"/>
        <v>1.1327190042214316E-2</v>
      </c>
      <c r="N149" s="140">
        <f t="shared" si="178"/>
        <v>9.1322699466039655E-3</v>
      </c>
      <c r="O149" s="140">
        <f t="shared" si="178"/>
        <v>8.3976162479678321E-3</v>
      </c>
      <c r="P149" s="140">
        <f t="shared" si="178"/>
        <v>1.0017433701088509E-2</v>
      </c>
      <c r="Q149" s="140">
        <f t="shared" si="178"/>
        <v>1.0663015353412561E-2</v>
      </c>
      <c r="R149" s="140">
        <f t="shared" si="178"/>
        <v>5.7094320380554472E-3</v>
      </c>
      <c r="S149" s="140">
        <f t="shared" si="178"/>
        <v>5.7934945731793969E-3</v>
      </c>
      <c r="T149" s="140">
        <f t="shared" si="178"/>
        <v>6.3181934316399995E-3</v>
      </c>
      <c r="U149" s="140">
        <f t="shared" si="178"/>
        <v>4.5896936205371422E-3</v>
      </c>
      <c r="V149" s="140">
        <f t="shared" si="178"/>
        <v>3.3376936450415758E-3</v>
      </c>
      <c r="W149" s="140">
        <f t="shared" si="178"/>
        <v>4.0984926337667383E-3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3.4786356911519621E-2</v>
      </c>
      <c r="C150" s="127">
        <f t="shared" ref="C150:W150" si="179">IF(C58=0,0,C58/C$47)</f>
        <v>3.5823017209862411E-2</v>
      </c>
      <c r="D150" s="127">
        <f t="shared" si="179"/>
        <v>3.3137445670859474E-2</v>
      </c>
      <c r="E150" s="127">
        <f t="shared" si="179"/>
        <v>3.1436461192589464E-2</v>
      </c>
      <c r="F150" s="127">
        <f t="shared" si="179"/>
        <v>3.5785719016416577E-2</v>
      </c>
      <c r="G150" s="127">
        <f t="shared" si="179"/>
        <v>2.55799141658547E-2</v>
      </c>
      <c r="H150" s="127">
        <f t="shared" si="179"/>
        <v>3.0900602169009108E-2</v>
      </c>
      <c r="I150" s="127">
        <f t="shared" si="179"/>
        <v>2.9875565249099623E-2</v>
      </c>
      <c r="J150" s="127">
        <f t="shared" si="179"/>
        <v>7.1884716503167856E-2</v>
      </c>
      <c r="K150" s="127">
        <f t="shared" si="179"/>
        <v>8.6017984207621176E-2</v>
      </c>
      <c r="L150" s="127">
        <f t="shared" si="179"/>
        <v>7.1500230680600921E-2</v>
      </c>
      <c r="M150" s="127">
        <f t="shared" si="179"/>
        <v>7.416178705051045E-2</v>
      </c>
      <c r="N150" s="127">
        <f t="shared" si="179"/>
        <v>7.8537260026323455E-2</v>
      </c>
      <c r="O150" s="127">
        <f t="shared" si="179"/>
        <v>7.7788672204975207E-2</v>
      </c>
      <c r="P150" s="127">
        <f t="shared" si="179"/>
        <v>9.3123794148043629E-2</v>
      </c>
      <c r="Q150" s="127">
        <f t="shared" si="179"/>
        <v>8.3421243151943769E-2</v>
      </c>
      <c r="R150" s="127">
        <f t="shared" si="179"/>
        <v>9.3822289269841846E-2</v>
      </c>
      <c r="S150" s="127">
        <f t="shared" si="179"/>
        <v>7.9290206446712364E-2</v>
      </c>
      <c r="T150" s="127">
        <f t="shared" si="179"/>
        <v>8.7642142810520546E-2</v>
      </c>
      <c r="U150" s="127">
        <f t="shared" si="179"/>
        <v>8.1685896400430127E-2</v>
      </c>
      <c r="V150" s="127">
        <f t="shared" si="179"/>
        <v>6.9037548421912232E-2</v>
      </c>
      <c r="W150" s="127">
        <f t="shared" si="179"/>
        <v>7.7729307035956541E-2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0.40729992079767213</v>
      </c>
      <c r="C152" s="140">
        <f t="shared" ref="C152:W152" si="181">IF(C60=0,0,C60/C$59)</f>
        <v>0.40522881457568105</v>
      </c>
      <c r="D152" s="140">
        <f t="shared" si="181"/>
        <v>0.40459834119673876</v>
      </c>
      <c r="E152" s="140">
        <f t="shared" si="181"/>
        <v>0.40466530652814742</v>
      </c>
      <c r="F152" s="140">
        <f t="shared" si="181"/>
        <v>0.40489294801135572</v>
      </c>
      <c r="G152" s="140">
        <f t="shared" si="181"/>
        <v>0.40160857122442034</v>
      </c>
      <c r="H152" s="140">
        <f t="shared" si="181"/>
        <v>0.41394365063652017</v>
      </c>
      <c r="I152" s="140">
        <f t="shared" si="181"/>
        <v>0.38383969201346435</v>
      </c>
      <c r="J152" s="140">
        <f t="shared" si="181"/>
        <v>0.3511282279815609</v>
      </c>
      <c r="K152" s="140">
        <f t="shared" si="181"/>
        <v>0.43544812346325651</v>
      </c>
      <c r="L152" s="140">
        <f t="shared" si="181"/>
        <v>0.40313503978669152</v>
      </c>
      <c r="M152" s="140">
        <f t="shared" si="181"/>
        <v>0.41763758679439444</v>
      </c>
      <c r="N152" s="140">
        <f t="shared" si="181"/>
        <v>0.40548319200549948</v>
      </c>
      <c r="O152" s="140">
        <f t="shared" si="181"/>
        <v>0.34962004509748046</v>
      </c>
      <c r="P152" s="140">
        <f t="shared" si="181"/>
        <v>0.33292765513756351</v>
      </c>
      <c r="Q152" s="140">
        <f t="shared" si="181"/>
        <v>0.30146715694154452</v>
      </c>
      <c r="R152" s="140">
        <f t="shared" si="181"/>
        <v>0.28597464069483647</v>
      </c>
      <c r="S152" s="140">
        <f t="shared" si="181"/>
        <v>0.29275427892240075</v>
      </c>
      <c r="T152" s="140">
        <f t="shared" si="181"/>
        <v>0.27376497999838878</v>
      </c>
      <c r="U152" s="140">
        <f t="shared" si="181"/>
        <v>0.29363322317816609</v>
      </c>
      <c r="V152" s="140">
        <f t="shared" si="181"/>
        <v>0.31769147196592723</v>
      </c>
      <c r="W152" s="140">
        <f t="shared" si="181"/>
        <v>0.3370884642994873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0.59270007920232792</v>
      </c>
      <c r="C153" s="127">
        <f t="shared" ref="C153:W153" si="182">IF(C61=0,0,C61/C$59)</f>
        <v>0.59477118542431895</v>
      </c>
      <c r="D153" s="127">
        <f t="shared" si="182"/>
        <v>0.59540165880326124</v>
      </c>
      <c r="E153" s="127">
        <f t="shared" si="182"/>
        <v>0.59533469347185264</v>
      </c>
      <c r="F153" s="127">
        <f t="shared" si="182"/>
        <v>0.59510705198864422</v>
      </c>
      <c r="G153" s="127">
        <f t="shared" si="182"/>
        <v>0.59839142877557971</v>
      </c>
      <c r="H153" s="127">
        <f t="shared" si="182"/>
        <v>0.58605634936347983</v>
      </c>
      <c r="I153" s="127">
        <f t="shared" si="182"/>
        <v>0.61616030798653565</v>
      </c>
      <c r="J153" s="127">
        <f t="shared" si="182"/>
        <v>0.64887177201843904</v>
      </c>
      <c r="K153" s="127">
        <f t="shared" si="182"/>
        <v>0.56455187653674355</v>
      </c>
      <c r="L153" s="127">
        <f t="shared" si="182"/>
        <v>0.59686496021330848</v>
      </c>
      <c r="M153" s="127">
        <f t="shared" si="182"/>
        <v>0.58236241320560556</v>
      </c>
      <c r="N153" s="127">
        <f t="shared" si="182"/>
        <v>0.59451680799450057</v>
      </c>
      <c r="O153" s="127">
        <f t="shared" si="182"/>
        <v>0.65037995490251954</v>
      </c>
      <c r="P153" s="127">
        <f t="shared" si="182"/>
        <v>0.66707234486243649</v>
      </c>
      <c r="Q153" s="127">
        <f t="shared" si="182"/>
        <v>0.69853284305845542</v>
      </c>
      <c r="R153" s="127">
        <f t="shared" si="182"/>
        <v>0.71402535930516353</v>
      </c>
      <c r="S153" s="127">
        <f t="shared" si="182"/>
        <v>0.7072457210775992</v>
      </c>
      <c r="T153" s="127">
        <f t="shared" si="182"/>
        <v>0.72623502000161122</v>
      </c>
      <c r="U153" s="127">
        <f t="shared" si="182"/>
        <v>0.70636677682183391</v>
      </c>
      <c r="V153" s="127">
        <f t="shared" si="182"/>
        <v>0.68230852803407271</v>
      </c>
      <c r="W153" s="127">
        <f t="shared" si="182"/>
        <v>0.66291153570051276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0.92339830351193708</v>
      </c>
      <c r="C157" s="139">
        <f t="shared" ref="C157:W157" si="185">IF(C65=0,0,C65/C$64)</f>
        <v>0.92405154368613429</v>
      </c>
      <c r="D157" s="139">
        <f t="shared" si="185"/>
        <v>0.92716400761976347</v>
      </c>
      <c r="E157" s="139">
        <f t="shared" si="185"/>
        <v>0.93357488558145951</v>
      </c>
      <c r="F157" s="139">
        <f t="shared" si="185"/>
        <v>0.92598660894790419</v>
      </c>
      <c r="G157" s="139">
        <f t="shared" si="185"/>
        <v>0.91869198574829714</v>
      </c>
      <c r="H157" s="139">
        <f t="shared" si="185"/>
        <v>0.92107411818001228</v>
      </c>
      <c r="I157" s="139">
        <f t="shared" si="185"/>
        <v>0.92522889257368379</v>
      </c>
      <c r="J157" s="139">
        <f t="shared" si="185"/>
        <v>0.91572163373126558</v>
      </c>
      <c r="K157" s="139">
        <f t="shared" si="185"/>
        <v>0.92737573808779894</v>
      </c>
      <c r="L157" s="139">
        <f t="shared" si="185"/>
        <v>0.92117046279713544</v>
      </c>
      <c r="M157" s="139">
        <f t="shared" si="185"/>
        <v>0.91657954813238562</v>
      </c>
      <c r="N157" s="139">
        <f t="shared" si="185"/>
        <v>0.91265827680968836</v>
      </c>
      <c r="O157" s="139">
        <f t="shared" si="185"/>
        <v>0.90566449085939682</v>
      </c>
      <c r="P157" s="139">
        <f t="shared" si="185"/>
        <v>0.90820918264332029</v>
      </c>
      <c r="Q157" s="139">
        <f t="shared" si="185"/>
        <v>0.91543577779858509</v>
      </c>
      <c r="R157" s="139">
        <f t="shared" si="185"/>
        <v>0.91549305075524545</v>
      </c>
      <c r="S157" s="139">
        <f t="shared" si="185"/>
        <v>0.90618505604269584</v>
      </c>
      <c r="T157" s="139">
        <f t="shared" si="185"/>
        <v>0.88609992009391625</v>
      </c>
      <c r="U157" s="139">
        <f t="shared" si="185"/>
        <v>0.8789586516385518</v>
      </c>
      <c r="V157" s="139">
        <f t="shared" si="185"/>
        <v>0.95312536324273955</v>
      </c>
      <c r="W157" s="139">
        <f t="shared" si="185"/>
        <v>0.92924461291687355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4.5500960138689225E-3</v>
      </c>
      <c r="C158" s="140">
        <f t="shared" ref="C158:W158" si="186">IF(C66=0,0,C66/C$64)</f>
        <v>4.5333968460595786E-3</v>
      </c>
      <c r="D158" s="140">
        <f t="shared" si="186"/>
        <v>4.5990275105306016E-3</v>
      </c>
      <c r="E158" s="140">
        <f t="shared" si="186"/>
        <v>4.7052907667602248E-3</v>
      </c>
      <c r="F158" s="140">
        <f t="shared" si="186"/>
        <v>5.0022855961734895E-3</v>
      </c>
      <c r="G158" s="140">
        <f t="shared" si="186"/>
        <v>5.1649980224812769E-3</v>
      </c>
      <c r="H158" s="140">
        <f t="shared" si="186"/>
        <v>5.2187748454958971E-3</v>
      </c>
      <c r="I158" s="140">
        <f t="shared" si="186"/>
        <v>4.7838206657642374E-3</v>
      </c>
      <c r="J158" s="140">
        <f t="shared" si="186"/>
        <v>4.8149146225841336E-3</v>
      </c>
      <c r="K158" s="140">
        <f t="shared" si="186"/>
        <v>4.7633905439847237E-3</v>
      </c>
      <c r="L158" s="140">
        <f t="shared" si="186"/>
        <v>4.9153323673095765E-3</v>
      </c>
      <c r="M158" s="140">
        <f t="shared" si="186"/>
        <v>4.9264287052238022E-3</v>
      </c>
      <c r="N158" s="140">
        <f t="shared" si="186"/>
        <v>4.9819625854707773E-3</v>
      </c>
      <c r="O158" s="140">
        <f t="shared" si="186"/>
        <v>4.971803263819248E-3</v>
      </c>
      <c r="P158" s="140">
        <f t="shared" si="186"/>
        <v>4.8790729321225995E-3</v>
      </c>
      <c r="Q158" s="140">
        <f t="shared" si="186"/>
        <v>4.6324925603216261E-3</v>
      </c>
      <c r="R158" s="140">
        <f t="shared" si="186"/>
        <v>4.5874673143751887E-3</v>
      </c>
      <c r="S158" s="140">
        <f t="shared" si="186"/>
        <v>4.5665917308936486E-3</v>
      </c>
      <c r="T158" s="140">
        <f t="shared" si="186"/>
        <v>4.657697525890429E-3</v>
      </c>
      <c r="U158" s="140">
        <f t="shared" si="186"/>
        <v>4.788659118704435E-3</v>
      </c>
      <c r="V158" s="140">
        <f t="shared" si="186"/>
        <v>5.3937856363316392E-3</v>
      </c>
      <c r="W158" s="140">
        <f t="shared" si="186"/>
        <v>5.5986172446729696E-3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0.77231728999973304</v>
      </c>
      <c r="C159" s="140">
        <f t="shared" ref="C159:W159" si="187">IF(C67=0,0,C67/C$64)</f>
        <v>0.77761862536468762</v>
      </c>
      <c r="D159" s="140">
        <f t="shared" si="187"/>
        <v>0.78375600972510218</v>
      </c>
      <c r="E159" s="140">
        <f t="shared" si="187"/>
        <v>0.79831894881259435</v>
      </c>
      <c r="F159" s="140">
        <f t="shared" si="187"/>
        <v>0.79600357910914732</v>
      </c>
      <c r="G159" s="140">
        <f t="shared" si="187"/>
        <v>0.79573081196273465</v>
      </c>
      <c r="H159" s="140">
        <f t="shared" si="187"/>
        <v>0.8055601404196846</v>
      </c>
      <c r="I159" s="140">
        <f t="shared" si="187"/>
        <v>0.81603709809138858</v>
      </c>
      <c r="J159" s="140">
        <f t="shared" si="187"/>
        <v>0.80624935252304009</v>
      </c>
      <c r="K159" s="140">
        <f t="shared" si="187"/>
        <v>0.81614930959127874</v>
      </c>
      <c r="L159" s="140">
        <f t="shared" si="187"/>
        <v>0.80602119831357877</v>
      </c>
      <c r="M159" s="140">
        <f t="shared" si="187"/>
        <v>0.80483693769520326</v>
      </c>
      <c r="N159" s="140">
        <f t="shared" si="187"/>
        <v>0.80474044080002671</v>
      </c>
      <c r="O159" s="140">
        <f t="shared" si="187"/>
        <v>0.79573297622693318</v>
      </c>
      <c r="P159" s="140">
        <f t="shared" si="187"/>
        <v>0.79810237068398726</v>
      </c>
      <c r="Q159" s="140">
        <f t="shared" si="187"/>
        <v>0.80358627687997364</v>
      </c>
      <c r="R159" s="140">
        <f t="shared" si="187"/>
        <v>0.80245909647922986</v>
      </c>
      <c r="S159" s="140">
        <f t="shared" si="187"/>
        <v>0.79185619609820201</v>
      </c>
      <c r="T159" s="140">
        <f t="shared" si="187"/>
        <v>0.7707943527008585</v>
      </c>
      <c r="U159" s="140">
        <f t="shared" si="187"/>
        <v>0.78326474570714233</v>
      </c>
      <c r="V159" s="140">
        <f t="shared" si="187"/>
        <v>0.86374820119612949</v>
      </c>
      <c r="W159" s="140">
        <f t="shared" si="187"/>
        <v>0.84106623384355972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0.14653091749833513</v>
      </c>
      <c r="C160" s="140">
        <f t="shared" ref="C160:W160" si="188">IF(C68=0,0,C68/C$64)</f>
        <v>0.14189952147538701</v>
      </c>
      <c r="D160" s="140">
        <f t="shared" si="188"/>
        <v>0.13880897038413062</v>
      </c>
      <c r="E160" s="140">
        <f t="shared" si="188"/>
        <v>0.130550646002105</v>
      </c>
      <c r="F160" s="140">
        <f t="shared" si="188"/>
        <v>0.12498074424258337</v>
      </c>
      <c r="G160" s="140">
        <f t="shared" si="188"/>
        <v>0.11779617576308121</v>
      </c>
      <c r="H160" s="140">
        <f t="shared" si="188"/>
        <v>0.11029520291483166</v>
      </c>
      <c r="I160" s="140">
        <f t="shared" si="188"/>
        <v>0.10440797381653096</v>
      </c>
      <c r="J160" s="140">
        <f t="shared" si="188"/>
        <v>0.10465736658564129</v>
      </c>
      <c r="K160" s="140">
        <f t="shared" si="188"/>
        <v>0.10646303795253563</v>
      </c>
      <c r="L160" s="140">
        <f t="shared" si="188"/>
        <v>0.11023393211624714</v>
      </c>
      <c r="M160" s="140">
        <f t="shared" si="188"/>
        <v>0.10681618173195866</v>
      </c>
      <c r="N160" s="140">
        <f t="shared" si="188"/>
        <v>0.10293587342419067</v>
      </c>
      <c r="O160" s="140">
        <f t="shared" si="188"/>
        <v>0.10495971136864447</v>
      </c>
      <c r="P160" s="140">
        <f t="shared" si="188"/>
        <v>0.10522773902721043</v>
      </c>
      <c r="Q160" s="140">
        <f t="shared" si="188"/>
        <v>0.10721700835828978</v>
      </c>
      <c r="R160" s="140">
        <f t="shared" si="188"/>
        <v>0.1084464869616404</v>
      </c>
      <c r="S160" s="140">
        <f t="shared" si="188"/>
        <v>0.10976226821360019</v>
      </c>
      <c r="T160" s="140">
        <f t="shared" si="188"/>
        <v>0.11064786986716735</v>
      </c>
      <c r="U160" s="140">
        <f t="shared" si="188"/>
        <v>9.0905246812704968E-2</v>
      </c>
      <c r="V160" s="140">
        <f t="shared" si="188"/>
        <v>8.3983376410278379E-2</v>
      </c>
      <c r="W160" s="140">
        <f t="shared" si="188"/>
        <v>8.2579761828640866E-2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1.6242127397814974E-2</v>
      </c>
      <c r="C161" s="124">
        <f t="shared" ref="C161:W161" si="189">IF(C69=0,0,C69/C$64)</f>
        <v>1.5519083482171356E-2</v>
      </c>
      <c r="D161" s="124">
        <f t="shared" si="189"/>
        <v>1.5175017220093857E-2</v>
      </c>
      <c r="E161" s="124">
        <f t="shared" si="189"/>
        <v>1.319876992333364E-2</v>
      </c>
      <c r="F161" s="124">
        <f t="shared" si="189"/>
        <v>1.4052197202837775E-2</v>
      </c>
      <c r="G161" s="124">
        <f t="shared" si="189"/>
        <v>1.3132904929951129E-2</v>
      </c>
      <c r="H161" s="124">
        <f t="shared" si="189"/>
        <v>1.2655124597386998E-2</v>
      </c>
      <c r="I161" s="124">
        <f t="shared" si="189"/>
        <v>1.1436932101700258E-2</v>
      </c>
      <c r="J161" s="124">
        <f t="shared" si="189"/>
        <v>1.212151576677753E-2</v>
      </c>
      <c r="K161" s="124">
        <f t="shared" si="189"/>
        <v>1.0869320455263048E-2</v>
      </c>
      <c r="L161" s="124">
        <f t="shared" si="189"/>
        <v>1.0861232642268235E-2</v>
      </c>
      <c r="M161" s="124">
        <f t="shared" si="189"/>
        <v>1.0696673463101691E-2</v>
      </c>
      <c r="N161" s="124">
        <f t="shared" si="189"/>
        <v>1.0295908835120209E-2</v>
      </c>
      <c r="O161" s="124">
        <f t="shared" si="189"/>
        <v>9.8823465034573593E-3</v>
      </c>
      <c r="P161" s="124">
        <f t="shared" si="189"/>
        <v>8.1752616767737634E-3</v>
      </c>
      <c r="Q161" s="124">
        <f t="shared" si="189"/>
        <v>6.8892645255418218E-3</v>
      </c>
      <c r="R161" s="124">
        <f t="shared" si="189"/>
        <v>6.3860275391066403E-3</v>
      </c>
      <c r="S161" s="124">
        <f t="shared" si="189"/>
        <v>5.9881008435703729E-3</v>
      </c>
      <c r="T161" s="124">
        <f t="shared" si="189"/>
        <v>5.1387347218849154E-3</v>
      </c>
      <c r="U161" s="124">
        <f t="shared" si="189"/>
        <v>4.6145919194605462E-3</v>
      </c>
      <c r="V161" s="124">
        <f t="shared" si="189"/>
        <v>5.1057370729031349E-3</v>
      </c>
      <c r="W161" s="124">
        <f t="shared" si="189"/>
        <v>4.9329233580951313E-3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1.6242127397814974E-2</v>
      </c>
      <c r="C163" s="140">
        <f t="shared" ref="C163:W163" si="191">IF(C71=0,0,C71/C$64)</f>
        <v>1.5519083482171356E-2</v>
      </c>
      <c r="D163" s="140">
        <f t="shared" si="191"/>
        <v>1.5175017220093857E-2</v>
      </c>
      <c r="E163" s="140">
        <f t="shared" si="191"/>
        <v>1.319876992333364E-2</v>
      </c>
      <c r="F163" s="140">
        <f t="shared" si="191"/>
        <v>1.4052197202837775E-2</v>
      </c>
      <c r="G163" s="140">
        <f t="shared" si="191"/>
        <v>1.3132904929951129E-2</v>
      </c>
      <c r="H163" s="140">
        <f t="shared" si="191"/>
        <v>1.2655124597386998E-2</v>
      </c>
      <c r="I163" s="140">
        <f t="shared" si="191"/>
        <v>1.1436932101700258E-2</v>
      </c>
      <c r="J163" s="140">
        <f t="shared" si="191"/>
        <v>1.212151576677753E-2</v>
      </c>
      <c r="K163" s="140">
        <f t="shared" si="191"/>
        <v>1.0869320455263048E-2</v>
      </c>
      <c r="L163" s="140">
        <f t="shared" si="191"/>
        <v>1.0861232642268235E-2</v>
      </c>
      <c r="M163" s="140">
        <f t="shared" si="191"/>
        <v>1.0696673463101691E-2</v>
      </c>
      <c r="N163" s="140">
        <f t="shared" si="191"/>
        <v>1.0295908835120209E-2</v>
      </c>
      <c r="O163" s="140">
        <f t="shared" si="191"/>
        <v>9.8823465034573593E-3</v>
      </c>
      <c r="P163" s="140">
        <f t="shared" si="191"/>
        <v>8.1752616767737634E-3</v>
      </c>
      <c r="Q163" s="140">
        <f t="shared" si="191"/>
        <v>6.8892645255418218E-3</v>
      </c>
      <c r="R163" s="140">
        <f t="shared" si="191"/>
        <v>6.3860275391066403E-3</v>
      </c>
      <c r="S163" s="140">
        <f t="shared" si="191"/>
        <v>5.9881008435703729E-3</v>
      </c>
      <c r="T163" s="140">
        <f t="shared" si="191"/>
        <v>5.1387347218849154E-3</v>
      </c>
      <c r="U163" s="140">
        <f t="shared" si="191"/>
        <v>4.6145919194605462E-3</v>
      </c>
      <c r="V163" s="140">
        <f t="shared" si="191"/>
        <v>5.1057370729031349E-3</v>
      </c>
      <c r="W163" s="140">
        <f t="shared" si="191"/>
        <v>4.9329233580951313E-3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6.0359569090247991E-2</v>
      </c>
      <c r="C165" s="124">
        <f t="shared" ref="C165:W165" si="193">IF(C73=0,0,C73/C$64)</f>
        <v>6.042937283169441E-2</v>
      </c>
      <c r="D165" s="124">
        <f t="shared" si="193"/>
        <v>5.7660975160142743E-2</v>
      </c>
      <c r="E165" s="124">
        <f t="shared" si="193"/>
        <v>5.3226344495206857E-2</v>
      </c>
      <c r="F165" s="124">
        <f t="shared" si="193"/>
        <v>5.9961193849258014E-2</v>
      </c>
      <c r="G165" s="124">
        <f t="shared" si="193"/>
        <v>6.8175109321751845E-2</v>
      </c>
      <c r="H165" s="124">
        <f t="shared" si="193"/>
        <v>6.6270757222600785E-2</v>
      </c>
      <c r="I165" s="124">
        <f t="shared" si="193"/>
        <v>6.3334175324615952E-2</v>
      </c>
      <c r="J165" s="124">
        <f t="shared" si="193"/>
        <v>7.2156850501956943E-2</v>
      </c>
      <c r="K165" s="124">
        <f t="shared" si="193"/>
        <v>6.1754941456937947E-2</v>
      </c>
      <c r="L165" s="124">
        <f t="shared" si="193"/>
        <v>6.7968304560596354E-2</v>
      </c>
      <c r="M165" s="124">
        <f t="shared" si="193"/>
        <v>7.2723778404512537E-2</v>
      </c>
      <c r="N165" s="124">
        <f t="shared" si="193"/>
        <v>7.7045814355191325E-2</v>
      </c>
      <c r="O165" s="124">
        <f t="shared" si="193"/>
        <v>8.4453162637145737E-2</v>
      </c>
      <c r="P165" s="124">
        <f t="shared" si="193"/>
        <v>8.3615555679905959E-2</v>
      </c>
      <c r="Q165" s="124">
        <f t="shared" si="193"/>
        <v>7.7674957675873055E-2</v>
      </c>
      <c r="R165" s="124">
        <f t="shared" si="193"/>
        <v>7.8120921705647967E-2</v>
      </c>
      <c r="S165" s="124">
        <f t="shared" si="193"/>
        <v>8.782684311373383E-2</v>
      </c>
      <c r="T165" s="124">
        <f t="shared" si="193"/>
        <v>0.10876134518419885</v>
      </c>
      <c r="U165" s="124">
        <f t="shared" si="193"/>
        <v>0.11642675644198784</v>
      </c>
      <c r="V165" s="124">
        <f t="shared" si="193"/>
        <v>4.1768899684357326E-2</v>
      </c>
      <c r="W165" s="124">
        <f t="shared" si="193"/>
        <v>6.5822463725031435E-2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6.636687584863305E-3</v>
      </c>
      <c r="C166" s="140">
        <f t="shared" ref="C166:W166" si="194">IF(C74=0,0,C74/C$64)</f>
        <v>6.6294152141446478E-3</v>
      </c>
      <c r="D166" s="140">
        <f t="shared" si="194"/>
        <v>7.8025273382168001E-3</v>
      </c>
      <c r="E166" s="140">
        <f t="shared" si="194"/>
        <v>8.1008351840965494E-3</v>
      </c>
      <c r="F166" s="140">
        <f t="shared" si="194"/>
        <v>8.7235871809895459E-3</v>
      </c>
      <c r="G166" s="140">
        <f t="shared" si="194"/>
        <v>8.3026565042138081E-3</v>
      </c>
      <c r="H166" s="140">
        <f t="shared" si="194"/>
        <v>8.4750836931980992E-3</v>
      </c>
      <c r="I166" s="140">
        <f t="shared" si="194"/>
        <v>7.7554949799184345E-3</v>
      </c>
      <c r="J166" s="140">
        <f t="shared" si="194"/>
        <v>7.8314361831300118E-3</v>
      </c>
      <c r="K166" s="140">
        <f t="shared" si="194"/>
        <v>7.2273357373742039E-3</v>
      </c>
      <c r="L166" s="140">
        <f t="shared" si="194"/>
        <v>6.1825785594975041E-3</v>
      </c>
      <c r="M166" s="140">
        <f t="shared" si="194"/>
        <v>6.9226740049046715E-3</v>
      </c>
      <c r="N166" s="140">
        <f t="shared" si="194"/>
        <v>6.3535699739324493E-3</v>
      </c>
      <c r="O166" s="140">
        <f t="shared" si="194"/>
        <v>6.4153885055376388E-3</v>
      </c>
      <c r="P166" s="140">
        <f t="shared" si="194"/>
        <v>6.3588905338951606E-3</v>
      </c>
      <c r="Q166" s="140">
        <f t="shared" si="194"/>
        <v>6.6364972390518771E-3</v>
      </c>
      <c r="R166" s="140">
        <f t="shared" si="194"/>
        <v>6.3738629956434194E-3</v>
      </c>
      <c r="S166" s="140">
        <f t="shared" si="194"/>
        <v>5.8669427439032177E-3</v>
      </c>
      <c r="T166" s="140">
        <f t="shared" si="194"/>
        <v>5.9780778087384079E-3</v>
      </c>
      <c r="U166" s="140">
        <f t="shared" si="194"/>
        <v>5.9318911389403166E-3</v>
      </c>
      <c r="V166" s="140">
        <f t="shared" si="194"/>
        <v>3.9569841104714586E-3</v>
      </c>
      <c r="W166" s="140">
        <f t="shared" si="194"/>
        <v>4.6879661769304321E-3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4.3870208705868032E-2</v>
      </c>
      <c r="C167" s="140">
        <f t="shared" ref="C167:W167" si="195">IF(C75=0,0,C75/C$64)</f>
        <v>4.3931474405530718E-2</v>
      </c>
      <c r="D167" s="140">
        <f t="shared" si="195"/>
        <v>4.0712300823011048E-2</v>
      </c>
      <c r="E167" s="140">
        <f t="shared" si="195"/>
        <v>3.6848640734899248E-2</v>
      </c>
      <c r="F167" s="140">
        <f t="shared" si="195"/>
        <v>4.1840482350705824E-2</v>
      </c>
      <c r="G167" s="140">
        <f t="shared" si="195"/>
        <v>4.9812461075263326E-2</v>
      </c>
      <c r="H167" s="140">
        <f t="shared" si="195"/>
        <v>4.8968307313703531E-2</v>
      </c>
      <c r="I167" s="140">
        <f t="shared" si="195"/>
        <v>4.7452234507430656E-2</v>
      </c>
      <c r="J167" s="140">
        <f t="shared" si="195"/>
        <v>5.4339033103649646E-2</v>
      </c>
      <c r="K167" s="140">
        <f t="shared" si="195"/>
        <v>4.59507661675898E-2</v>
      </c>
      <c r="L167" s="140">
        <f t="shared" si="195"/>
        <v>5.2195582208989372E-2</v>
      </c>
      <c r="M167" s="140">
        <f t="shared" si="195"/>
        <v>5.5385410258169454E-2</v>
      </c>
      <c r="N167" s="140">
        <f t="shared" si="195"/>
        <v>5.9807730627402911E-2</v>
      </c>
      <c r="O167" s="140">
        <f t="shared" si="195"/>
        <v>6.6841209135842503E-2</v>
      </c>
      <c r="P167" s="140">
        <f t="shared" si="195"/>
        <v>6.6476312823453593E-2</v>
      </c>
      <c r="Q167" s="140">
        <f t="shared" si="195"/>
        <v>6.1034540577870146E-2</v>
      </c>
      <c r="R167" s="140">
        <f t="shared" si="195"/>
        <v>6.2404125521498335E-2</v>
      </c>
      <c r="S167" s="140">
        <f t="shared" si="195"/>
        <v>7.2563423022193707E-2</v>
      </c>
      <c r="T167" s="140">
        <f t="shared" si="195"/>
        <v>9.1023510831460902E-2</v>
      </c>
      <c r="U167" s="140">
        <f t="shared" si="195"/>
        <v>9.7930357065735815E-2</v>
      </c>
      <c r="V167" s="140">
        <f t="shared" si="195"/>
        <v>2.9969611746731902E-2</v>
      </c>
      <c r="W167" s="140">
        <f t="shared" si="195"/>
        <v>5.0690531033168042E-2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9.8526727995166506E-3</v>
      </c>
      <c r="C168" s="140">
        <f t="shared" ref="C168:W168" si="196">IF(C76=0,0,C76/C$64)</f>
        <v>9.8684832120190472E-3</v>
      </c>
      <c r="D168" s="140">
        <f t="shared" si="196"/>
        <v>9.1461469989148978E-3</v>
      </c>
      <c r="E168" s="140">
        <f t="shared" si="196"/>
        <v>8.2768685762110578E-3</v>
      </c>
      <c r="F168" s="140">
        <f t="shared" si="196"/>
        <v>9.3971243175626461E-3</v>
      </c>
      <c r="G168" s="140">
        <f t="shared" si="196"/>
        <v>1.005999174227472E-2</v>
      </c>
      <c r="H168" s="140">
        <f t="shared" si="196"/>
        <v>8.8273662156991475E-3</v>
      </c>
      <c r="I168" s="140">
        <f t="shared" si="196"/>
        <v>8.1264458372668508E-3</v>
      </c>
      <c r="J168" s="140">
        <f t="shared" si="196"/>
        <v>9.9863812151772882E-3</v>
      </c>
      <c r="K168" s="140">
        <f t="shared" si="196"/>
        <v>8.5768395519739381E-3</v>
      </c>
      <c r="L168" s="140">
        <f t="shared" si="196"/>
        <v>9.5901437921094828E-3</v>
      </c>
      <c r="M168" s="140">
        <f t="shared" si="196"/>
        <v>1.0415694141438423E-2</v>
      </c>
      <c r="N168" s="140">
        <f t="shared" si="196"/>
        <v>1.0884513753855966E-2</v>
      </c>
      <c r="O168" s="140">
        <f t="shared" si="196"/>
        <v>1.1196564995765599E-2</v>
      </c>
      <c r="P168" s="140">
        <f t="shared" si="196"/>
        <v>1.0780352322557198E-2</v>
      </c>
      <c r="Q168" s="140">
        <f t="shared" si="196"/>
        <v>1.0003919858951034E-2</v>
      </c>
      <c r="R168" s="140">
        <f t="shared" si="196"/>
        <v>9.3429331885062118E-3</v>
      </c>
      <c r="S168" s="140">
        <f t="shared" si="196"/>
        <v>9.3964773476369109E-3</v>
      </c>
      <c r="T168" s="140">
        <f t="shared" si="196"/>
        <v>1.175975654399956E-2</v>
      </c>
      <c r="U168" s="140">
        <f t="shared" si="196"/>
        <v>1.2564508237311709E-2</v>
      </c>
      <c r="V168" s="140">
        <f t="shared" si="196"/>
        <v>7.8423038271539652E-3</v>
      </c>
      <c r="W168" s="140">
        <f t="shared" si="196"/>
        <v>1.0443966514932958E-2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0.856178150356391</v>
      </c>
      <c r="C170" s="139">
        <f t="shared" ref="C170:W170" si="199">IF(C78=0,0,C78/C$77)</f>
        <v>0.85765449070557886</v>
      </c>
      <c r="D170" s="139">
        <f t="shared" si="199"/>
        <v>0.87236093574479012</v>
      </c>
      <c r="E170" s="139">
        <f t="shared" si="199"/>
        <v>0.88049431171521497</v>
      </c>
      <c r="F170" s="139">
        <f t="shared" si="199"/>
        <v>0.90363640763360964</v>
      </c>
      <c r="G170" s="139">
        <f t="shared" si="199"/>
        <v>0.89729295107126483</v>
      </c>
      <c r="H170" s="139">
        <f t="shared" si="199"/>
        <v>0.90032941550574475</v>
      </c>
      <c r="I170" s="139">
        <f t="shared" si="199"/>
        <v>0.8978769406799918</v>
      </c>
      <c r="J170" s="139">
        <f t="shared" si="199"/>
        <v>0.8854770237485764</v>
      </c>
      <c r="K170" s="139">
        <f t="shared" si="199"/>
        <v>0.87400586420567361</v>
      </c>
      <c r="L170" s="139">
        <f t="shared" si="199"/>
        <v>0.88950442336099733</v>
      </c>
      <c r="M170" s="139">
        <f t="shared" si="199"/>
        <v>0.88742581225406436</v>
      </c>
      <c r="N170" s="139">
        <f t="shared" si="199"/>
        <v>0.88225634615848991</v>
      </c>
      <c r="O170" s="139">
        <f t="shared" si="199"/>
        <v>0.88738811824738717</v>
      </c>
      <c r="P170" s="139">
        <f t="shared" si="199"/>
        <v>0.86974590222241288</v>
      </c>
      <c r="Q170" s="139">
        <f t="shared" si="199"/>
        <v>0.8846486689690034</v>
      </c>
      <c r="R170" s="139">
        <f t="shared" si="199"/>
        <v>0.87963535915340929</v>
      </c>
      <c r="S170" s="139">
        <f t="shared" si="199"/>
        <v>0.8984859567993313</v>
      </c>
      <c r="T170" s="139">
        <f t="shared" si="199"/>
        <v>0.88893900612372723</v>
      </c>
      <c r="U170" s="139">
        <f t="shared" si="199"/>
        <v>0.89612083794936304</v>
      </c>
      <c r="V170" s="139">
        <f t="shared" si="199"/>
        <v>0.90927792332920387</v>
      </c>
      <c r="W170" s="139">
        <f t="shared" si="199"/>
        <v>0.89754573412302852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0.30332583948266101</v>
      </c>
      <c r="C171" s="140">
        <f t="shared" ref="C171:W171" si="200">IF(C79=0,0,C79/C$77)</f>
        <v>0.31622246071136373</v>
      </c>
      <c r="D171" s="140">
        <f t="shared" si="200"/>
        <v>0.27627484139489034</v>
      </c>
      <c r="E171" s="140">
        <f t="shared" si="200"/>
        <v>0.2706583197161781</v>
      </c>
      <c r="F171" s="140">
        <f t="shared" si="200"/>
        <v>0.27063176578038717</v>
      </c>
      <c r="G171" s="140">
        <f t="shared" si="200"/>
        <v>0.28439250527164123</v>
      </c>
      <c r="H171" s="140">
        <f t="shared" si="200"/>
        <v>0.27866929542025815</v>
      </c>
      <c r="I171" s="140">
        <f t="shared" si="200"/>
        <v>0.26592758186088439</v>
      </c>
      <c r="J171" s="140">
        <f t="shared" si="200"/>
        <v>0.27248932462859066</v>
      </c>
      <c r="K171" s="140">
        <f t="shared" si="200"/>
        <v>0.28077524105902113</v>
      </c>
      <c r="L171" s="140">
        <f t="shared" si="200"/>
        <v>0.2718256223638279</v>
      </c>
      <c r="M171" s="140">
        <f t="shared" si="200"/>
        <v>0.27818952046216855</v>
      </c>
      <c r="N171" s="140">
        <f t="shared" si="200"/>
        <v>0.28316034737047474</v>
      </c>
      <c r="O171" s="140">
        <f t="shared" si="200"/>
        <v>0.24833381577216121</v>
      </c>
      <c r="P171" s="140">
        <f t="shared" si="200"/>
        <v>0.2589687141422824</v>
      </c>
      <c r="Q171" s="140">
        <f t="shared" si="200"/>
        <v>0.27923552995110773</v>
      </c>
      <c r="R171" s="140">
        <f t="shared" si="200"/>
        <v>0.29919863412139119</v>
      </c>
      <c r="S171" s="140">
        <f t="shared" si="200"/>
        <v>0.27806405297380898</v>
      </c>
      <c r="T171" s="140">
        <f t="shared" si="200"/>
        <v>0.31295490344604443</v>
      </c>
      <c r="U171" s="140">
        <f t="shared" si="200"/>
        <v>0.29851633423176877</v>
      </c>
      <c r="V171" s="140">
        <f t="shared" si="200"/>
        <v>0.31428896182760158</v>
      </c>
      <c r="W171" s="140">
        <f t="shared" si="200"/>
        <v>0.33299320492369938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0.55285231087372999</v>
      </c>
      <c r="C172" s="140">
        <f t="shared" ref="C172:W172" si="201">IF(C80=0,0,C80/C$77)</f>
        <v>0.54143202999421514</v>
      </c>
      <c r="D172" s="140">
        <f t="shared" si="201"/>
        <v>0.5960860943498999</v>
      </c>
      <c r="E172" s="140">
        <f t="shared" si="201"/>
        <v>0.60983599199903682</v>
      </c>
      <c r="F172" s="140">
        <f t="shared" si="201"/>
        <v>0.63300464185322236</v>
      </c>
      <c r="G172" s="140">
        <f t="shared" si="201"/>
        <v>0.61290044579962366</v>
      </c>
      <c r="H172" s="140">
        <f t="shared" si="201"/>
        <v>0.62166012008548677</v>
      </c>
      <c r="I172" s="140">
        <f t="shared" si="201"/>
        <v>0.63194935881910741</v>
      </c>
      <c r="J172" s="140">
        <f t="shared" si="201"/>
        <v>0.61298769911998574</v>
      </c>
      <c r="K172" s="140">
        <f t="shared" si="201"/>
        <v>0.59323062314665254</v>
      </c>
      <c r="L172" s="140">
        <f t="shared" si="201"/>
        <v>0.61767880099716954</v>
      </c>
      <c r="M172" s="140">
        <f t="shared" si="201"/>
        <v>0.60923629179189576</v>
      </c>
      <c r="N172" s="140">
        <f t="shared" si="201"/>
        <v>0.59909599878801523</v>
      </c>
      <c r="O172" s="140">
        <f t="shared" si="201"/>
        <v>0.63905430247522588</v>
      </c>
      <c r="P172" s="140">
        <f t="shared" si="201"/>
        <v>0.61077718808013048</v>
      </c>
      <c r="Q172" s="140">
        <f t="shared" si="201"/>
        <v>0.60541313901789562</v>
      </c>
      <c r="R172" s="140">
        <f t="shared" si="201"/>
        <v>0.58043672503201815</v>
      </c>
      <c r="S172" s="140">
        <f t="shared" si="201"/>
        <v>0.62042190382552231</v>
      </c>
      <c r="T172" s="140">
        <f t="shared" si="201"/>
        <v>0.57598410267768285</v>
      </c>
      <c r="U172" s="140">
        <f t="shared" si="201"/>
        <v>0.59760450371759433</v>
      </c>
      <c r="V172" s="140">
        <f t="shared" si="201"/>
        <v>0.5949889615016023</v>
      </c>
      <c r="W172" s="140">
        <f t="shared" si="201"/>
        <v>0.56455252919932919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3.0554856494949694E-2</v>
      </c>
      <c r="C173" s="124">
        <f t="shared" ref="C173:W173" si="202">IF(C81=0,0,C81/C$77)</f>
        <v>3.5145239906451436E-2</v>
      </c>
      <c r="D173" s="124">
        <f t="shared" si="202"/>
        <v>2.7810614350016079E-2</v>
      </c>
      <c r="E173" s="124">
        <f t="shared" si="202"/>
        <v>2.8035184760827239E-2</v>
      </c>
      <c r="F173" s="124">
        <f t="shared" si="202"/>
        <v>2.7439220110341094E-2</v>
      </c>
      <c r="G173" s="124">
        <f t="shared" si="202"/>
        <v>2.9486945217501739E-2</v>
      </c>
      <c r="H173" s="124">
        <f t="shared" si="202"/>
        <v>2.8880234745905623E-2</v>
      </c>
      <c r="I173" s="124">
        <f t="shared" si="202"/>
        <v>3.0812576734169619E-2</v>
      </c>
      <c r="J173" s="124">
        <f t="shared" si="202"/>
        <v>2.7168668739402858E-2</v>
      </c>
      <c r="K173" s="124">
        <f t="shared" si="202"/>
        <v>2.3826705526542976E-2</v>
      </c>
      <c r="L173" s="124">
        <f t="shared" si="202"/>
        <v>2.6041364166900952E-2</v>
      </c>
      <c r="M173" s="124">
        <f t="shared" si="202"/>
        <v>2.422819173532776E-2</v>
      </c>
      <c r="N173" s="124">
        <f t="shared" si="202"/>
        <v>2.4773059151561378E-2</v>
      </c>
      <c r="O173" s="124">
        <f t="shared" si="202"/>
        <v>2.1839756984756112E-2</v>
      </c>
      <c r="P173" s="124">
        <f t="shared" si="202"/>
        <v>2.2117561591537993E-2</v>
      </c>
      <c r="Q173" s="124">
        <f t="shared" si="202"/>
        <v>1.7250787530854857E-2</v>
      </c>
      <c r="R173" s="124">
        <f t="shared" si="202"/>
        <v>1.8179133094032525E-2</v>
      </c>
      <c r="S173" s="124">
        <f t="shared" si="202"/>
        <v>1.4341105618845891E-2</v>
      </c>
      <c r="T173" s="124">
        <f t="shared" si="202"/>
        <v>1.2290447245855896E-2</v>
      </c>
      <c r="U173" s="124">
        <f t="shared" si="202"/>
        <v>1.1828332498695811E-2</v>
      </c>
      <c r="V173" s="124">
        <f t="shared" si="202"/>
        <v>1.2372737855818843E-2</v>
      </c>
      <c r="W173" s="124">
        <f t="shared" si="202"/>
        <v>1.2783332138427245E-2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1.738090743114996E-3</v>
      </c>
      <c r="C174" s="124">
        <f t="shared" ref="C174:W174" si="203">IF(C82=0,0,C82/C$77)</f>
        <v>1.9197682376890361E-3</v>
      </c>
      <c r="D174" s="124">
        <f t="shared" si="203"/>
        <v>1.4983709908600125E-3</v>
      </c>
      <c r="E174" s="124">
        <f t="shared" si="203"/>
        <v>1.2493473320114774E-3</v>
      </c>
      <c r="F174" s="124">
        <f t="shared" si="203"/>
        <v>1.1883943224449977E-3</v>
      </c>
      <c r="G174" s="124">
        <f t="shared" si="203"/>
        <v>1.3494791672986929E-3</v>
      </c>
      <c r="H174" s="124">
        <f t="shared" si="203"/>
        <v>1.302972999244122E-3</v>
      </c>
      <c r="I174" s="124">
        <f t="shared" si="203"/>
        <v>1.5109077385830636E-3</v>
      </c>
      <c r="J174" s="124">
        <f t="shared" si="203"/>
        <v>1.5670333054873852E-3</v>
      </c>
      <c r="K174" s="124">
        <f t="shared" si="203"/>
        <v>1.6144042119728653E-3</v>
      </c>
      <c r="L174" s="124">
        <f t="shared" si="203"/>
        <v>1.237861246408837E-3</v>
      </c>
      <c r="M174" s="124">
        <f t="shared" si="203"/>
        <v>1.2046590439550519E-3</v>
      </c>
      <c r="N174" s="124">
        <f t="shared" si="203"/>
        <v>1.2941931996570616E-3</v>
      </c>
      <c r="O174" s="124">
        <f t="shared" si="203"/>
        <v>1.256568699965595E-3</v>
      </c>
      <c r="P174" s="124">
        <f t="shared" si="203"/>
        <v>1.1373024095936014E-3</v>
      </c>
      <c r="Q174" s="124">
        <f t="shared" si="203"/>
        <v>1.0107086039854831E-3</v>
      </c>
      <c r="R174" s="124">
        <f t="shared" si="203"/>
        <v>9.4900184954799585E-4</v>
      </c>
      <c r="S174" s="124">
        <f t="shared" si="203"/>
        <v>7.5459690517344126E-4</v>
      </c>
      <c r="T174" s="124">
        <f t="shared" si="203"/>
        <v>1.7152910888550211E-3</v>
      </c>
      <c r="U174" s="124">
        <f t="shared" si="203"/>
        <v>1.2972356204243617E-3</v>
      </c>
      <c r="V174" s="124">
        <f t="shared" si="203"/>
        <v>1.6276463064796025E-3</v>
      </c>
      <c r="W174" s="124">
        <f t="shared" si="203"/>
        <v>2.1398506686343519E-3</v>
      </c>
      <c r="DA174" s="176"/>
    </row>
    <row r="175" spans="1:105" ht="11.45" customHeight="1" x14ac:dyDescent="0.25">
      <c r="A175" s="128" t="s">
        <v>27</v>
      </c>
      <c r="B175" s="140">
        <f t="shared" si="197"/>
        <v>5.1877288805161469E-4</v>
      </c>
      <c r="C175" s="140">
        <f t="shared" ref="C175:W175" si="204">IF(C83=0,0,C83/C$77)</f>
        <v>5.781122250188037E-4</v>
      </c>
      <c r="D175" s="140">
        <f t="shared" si="204"/>
        <v>4.4826111178286821E-4</v>
      </c>
      <c r="E175" s="140">
        <f t="shared" si="204"/>
        <v>3.639576680733965E-4</v>
      </c>
      <c r="F175" s="140">
        <f t="shared" si="204"/>
        <v>3.4530707734292492E-4</v>
      </c>
      <c r="G175" s="140">
        <f t="shared" si="204"/>
        <v>4.0586486312902689E-4</v>
      </c>
      <c r="H175" s="140">
        <f t="shared" si="204"/>
        <v>4.8957191534057065E-4</v>
      </c>
      <c r="I175" s="140">
        <f t="shared" si="204"/>
        <v>5.7029352893808467E-4</v>
      </c>
      <c r="J175" s="140">
        <f t="shared" si="204"/>
        <v>5.2647425781968322E-4</v>
      </c>
      <c r="K175" s="140">
        <f t="shared" si="204"/>
        <v>3.7032297516725063E-4</v>
      </c>
      <c r="L175" s="140">
        <f t="shared" si="204"/>
        <v>2.9172170656836257E-4</v>
      </c>
      <c r="M175" s="140">
        <f t="shared" si="204"/>
        <v>2.7974489111833533E-4</v>
      </c>
      <c r="N175" s="140">
        <f t="shared" si="204"/>
        <v>2.4105417571153941E-4</v>
      </c>
      <c r="O175" s="140">
        <f t="shared" si="204"/>
        <v>1.7965188013791236E-4</v>
      </c>
      <c r="P175" s="140">
        <f t="shared" si="204"/>
        <v>1.5139077783070032E-4</v>
      </c>
      <c r="Q175" s="140">
        <f t="shared" si="204"/>
        <v>1.4089701969374161E-4</v>
      </c>
      <c r="R175" s="140">
        <f t="shared" si="204"/>
        <v>1.0146176558893145E-4</v>
      </c>
      <c r="S175" s="140">
        <f t="shared" si="204"/>
        <v>7.7479676792547347E-5</v>
      </c>
      <c r="T175" s="140">
        <f t="shared" si="204"/>
        <v>6.7791530171726374E-5</v>
      </c>
      <c r="U175" s="140">
        <f t="shared" si="204"/>
        <v>4.7831612613770635E-5</v>
      </c>
      <c r="V175" s="140">
        <f t="shared" si="204"/>
        <v>9.2121419033033567E-6</v>
      </c>
      <c r="W175" s="140">
        <f t="shared" si="204"/>
        <v>7.3635967967293571E-6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1.0625498045606556E-3</v>
      </c>
      <c r="C176" s="140">
        <f t="shared" ref="C176:W176" si="205">IF(C84=0,0,C84/C$77)</f>
        <v>1.1763802421152804E-3</v>
      </c>
      <c r="D176" s="140">
        <f t="shared" si="205"/>
        <v>9.2224196391854022E-4</v>
      </c>
      <c r="E176" s="140">
        <f t="shared" si="205"/>
        <v>7.5717633301680741E-4</v>
      </c>
      <c r="F176" s="140">
        <f t="shared" si="205"/>
        <v>7.2390763462534845E-4</v>
      </c>
      <c r="G176" s="140">
        <f t="shared" si="205"/>
        <v>8.1155060508221499E-4</v>
      </c>
      <c r="H176" s="140">
        <f t="shared" si="205"/>
        <v>7.1101687660379061E-4</v>
      </c>
      <c r="I176" s="140">
        <f t="shared" si="205"/>
        <v>8.4469131723520767E-4</v>
      </c>
      <c r="J176" s="140">
        <f t="shared" si="205"/>
        <v>9.4412526873779111E-4</v>
      </c>
      <c r="K176" s="140">
        <f t="shared" si="205"/>
        <v>1.1796136645676868E-3</v>
      </c>
      <c r="L176" s="140">
        <f t="shared" si="205"/>
        <v>8.7626315630975795E-4</v>
      </c>
      <c r="M176" s="140">
        <f t="shared" si="205"/>
        <v>6.6647111617917758E-4</v>
      </c>
      <c r="N176" s="140">
        <f t="shared" si="205"/>
        <v>8.1903280815033108E-4</v>
      </c>
      <c r="O176" s="140">
        <f t="shared" si="205"/>
        <v>7.5981614318521625E-4</v>
      </c>
      <c r="P176" s="140">
        <f t="shared" si="205"/>
        <v>6.9563762942386137E-4</v>
      </c>
      <c r="Q176" s="140">
        <f t="shared" si="205"/>
        <v>6.4006777135414844E-4</v>
      </c>
      <c r="R176" s="140">
        <f t="shared" si="205"/>
        <v>6.1442493214086257E-4</v>
      </c>
      <c r="S176" s="140">
        <f t="shared" si="205"/>
        <v>4.5883882280471974E-4</v>
      </c>
      <c r="T176" s="140">
        <f t="shared" si="205"/>
        <v>6.0539910501472289E-4</v>
      </c>
      <c r="U176" s="140">
        <f t="shared" si="205"/>
        <v>5.8017250085069957E-4</v>
      </c>
      <c r="V176" s="140">
        <f t="shared" si="205"/>
        <v>8.2990863739286133E-4</v>
      </c>
      <c r="W176" s="140">
        <f t="shared" si="205"/>
        <v>1.0455118584125314E-3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1.5676805050272581E-4</v>
      </c>
      <c r="C177" s="140">
        <f t="shared" ref="C177:W177" si="206">IF(C85=0,0,C85/C$77)</f>
        <v>1.6527577055495165E-4</v>
      </c>
      <c r="D177" s="140">
        <f t="shared" si="206"/>
        <v>1.2786791515860405E-4</v>
      </c>
      <c r="E177" s="140">
        <f t="shared" si="206"/>
        <v>1.2821333092127328E-4</v>
      </c>
      <c r="F177" s="140">
        <f t="shared" si="206"/>
        <v>1.1917961047672419E-4</v>
      </c>
      <c r="G177" s="140">
        <f t="shared" si="206"/>
        <v>1.3206369908745093E-4</v>
      </c>
      <c r="H177" s="140">
        <f t="shared" si="206"/>
        <v>1.0238420729976061E-4</v>
      </c>
      <c r="I177" s="140">
        <f t="shared" si="206"/>
        <v>9.5922892409771291E-5</v>
      </c>
      <c r="J177" s="140">
        <f t="shared" si="206"/>
        <v>9.6433778929910809E-5</v>
      </c>
      <c r="K177" s="140">
        <f t="shared" si="206"/>
        <v>6.4467572237927824E-5</v>
      </c>
      <c r="L177" s="140">
        <f t="shared" si="206"/>
        <v>6.9876383530716415E-5</v>
      </c>
      <c r="M177" s="140">
        <f t="shared" si="206"/>
        <v>2.5844303665753922E-4</v>
      </c>
      <c r="N177" s="140">
        <f t="shared" si="206"/>
        <v>2.3410621579519116E-4</v>
      </c>
      <c r="O177" s="140">
        <f t="shared" si="206"/>
        <v>3.1710067664246635E-4</v>
      </c>
      <c r="P177" s="140">
        <f t="shared" si="206"/>
        <v>2.9027400233903997E-4</v>
      </c>
      <c r="Q177" s="140">
        <f t="shared" si="206"/>
        <v>2.2974381293759324E-4</v>
      </c>
      <c r="R177" s="140">
        <f t="shared" si="206"/>
        <v>2.3311515181820191E-4</v>
      </c>
      <c r="S177" s="140">
        <f t="shared" si="206"/>
        <v>2.1827840557617415E-4</v>
      </c>
      <c r="T177" s="140">
        <f t="shared" si="206"/>
        <v>1.0421004536685715E-3</v>
      </c>
      <c r="U177" s="140">
        <f t="shared" si="206"/>
        <v>6.6923150695989155E-4</v>
      </c>
      <c r="V177" s="140">
        <f t="shared" si="206"/>
        <v>7.8852552718343784E-4</v>
      </c>
      <c r="W177" s="140">
        <f t="shared" si="206"/>
        <v>1.0869752134250912E-3</v>
      </c>
      <c r="DA177" s="175"/>
    </row>
    <row r="178" spans="1:105" ht="11.45" customHeight="1" x14ac:dyDescent="0.25">
      <c r="A178" s="109" t="s">
        <v>142</v>
      </c>
      <c r="B178" s="124">
        <f t="shared" si="197"/>
        <v>0.1115289024055444</v>
      </c>
      <c r="C178" s="124">
        <f t="shared" ref="C178:W178" si="207">IF(C86=0,0,C86/C$77)</f>
        <v>0.10528050115028061</v>
      </c>
      <c r="D178" s="124">
        <f t="shared" si="207"/>
        <v>9.8330078914333804E-2</v>
      </c>
      <c r="E178" s="124">
        <f t="shared" si="207"/>
        <v>9.0221156191946317E-2</v>
      </c>
      <c r="F178" s="124">
        <f t="shared" si="207"/>
        <v>6.7735977933604169E-2</v>
      </c>
      <c r="G178" s="124">
        <f t="shared" si="207"/>
        <v>7.1870624543934739E-2</v>
      </c>
      <c r="H178" s="124">
        <f t="shared" si="207"/>
        <v>6.9487376749105503E-2</v>
      </c>
      <c r="I178" s="124">
        <f t="shared" si="207"/>
        <v>6.9799574847255352E-2</v>
      </c>
      <c r="J178" s="124">
        <f t="shared" si="207"/>
        <v>8.5787274206533273E-2</v>
      </c>
      <c r="K178" s="124">
        <f t="shared" si="207"/>
        <v>0.10055302605581065</v>
      </c>
      <c r="L178" s="124">
        <f t="shared" si="207"/>
        <v>8.3216351225692903E-2</v>
      </c>
      <c r="M178" s="124">
        <f t="shared" si="207"/>
        <v>8.7141336966652841E-2</v>
      </c>
      <c r="N178" s="124">
        <f t="shared" si="207"/>
        <v>9.1676401490291826E-2</v>
      </c>
      <c r="O178" s="124">
        <f t="shared" si="207"/>
        <v>8.9515556067890953E-2</v>
      </c>
      <c r="P178" s="124">
        <f t="shared" si="207"/>
        <v>0.10699923377645559</v>
      </c>
      <c r="Q178" s="124">
        <f t="shared" si="207"/>
        <v>9.7089834896156205E-2</v>
      </c>
      <c r="R178" s="124">
        <f t="shared" si="207"/>
        <v>0.1012365059030101</v>
      </c>
      <c r="S178" s="124">
        <f t="shared" si="207"/>
        <v>8.6418340676649302E-2</v>
      </c>
      <c r="T178" s="124">
        <f t="shared" si="207"/>
        <v>9.7055255541561872E-2</v>
      </c>
      <c r="U178" s="124">
        <f t="shared" si="207"/>
        <v>9.0753593931516829E-2</v>
      </c>
      <c r="V178" s="124">
        <f t="shared" si="207"/>
        <v>7.6721692508497571E-2</v>
      </c>
      <c r="W178" s="124">
        <f t="shared" si="207"/>
        <v>8.7531083069909893E-2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7.5947396085569427E-2</v>
      </c>
      <c r="C179" s="140">
        <f t="shared" ref="C179:W179" si="208">IF(C87=0,0,C87/C$77)</f>
        <v>6.8519535574129972E-2</v>
      </c>
      <c r="D179" s="140">
        <f t="shared" si="208"/>
        <v>6.4303362046182033E-2</v>
      </c>
      <c r="E179" s="140">
        <f t="shared" si="208"/>
        <v>5.7972669981323929E-2</v>
      </c>
      <c r="F179" s="140">
        <f t="shared" si="208"/>
        <v>3.1355737973842099E-2</v>
      </c>
      <c r="G179" s="140">
        <f t="shared" si="208"/>
        <v>4.5846796027335726E-2</v>
      </c>
      <c r="H179" s="140">
        <f t="shared" si="208"/>
        <v>3.8051501451063494E-2</v>
      </c>
      <c r="I179" s="140">
        <f t="shared" si="208"/>
        <v>3.9379914686872443E-2</v>
      </c>
      <c r="J179" s="140">
        <f t="shared" si="208"/>
        <v>1.2479729689828E-2</v>
      </c>
      <c r="K179" s="140">
        <f t="shared" si="208"/>
        <v>1.3000255870242911E-2</v>
      </c>
      <c r="L179" s="140">
        <f t="shared" si="208"/>
        <v>1.0323914484801839E-2</v>
      </c>
      <c r="M179" s="140">
        <f t="shared" si="208"/>
        <v>1.1546125803836682E-2</v>
      </c>
      <c r="N179" s="140">
        <f t="shared" si="208"/>
        <v>9.5496536413634796E-3</v>
      </c>
      <c r="O179" s="140">
        <f t="shared" si="208"/>
        <v>8.7220055715942282E-3</v>
      </c>
      <c r="P179" s="140">
        <f t="shared" si="208"/>
        <v>1.0392136614766246E-2</v>
      </c>
      <c r="Q179" s="140">
        <f t="shared" si="208"/>
        <v>1.100365158427714E-2</v>
      </c>
      <c r="R179" s="140">
        <f t="shared" si="208"/>
        <v>5.8072234924522893E-3</v>
      </c>
      <c r="S179" s="140">
        <f t="shared" si="208"/>
        <v>5.8843724677219364E-3</v>
      </c>
      <c r="T179" s="140">
        <f t="shared" si="208"/>
        <v>6.5263057008270401E-3</v>
      </c>
      <c r="U179" s="140">
        <f t="shared" si="208"/>
        <v>4.8279147208042618E-3</v>
      </c>
      <c r="V179" s="140">
        <f t="shared" si="208"/>
        <v>3.538136774527877E-3</v>
      </c>
      <c r="W179" s="140">
        <f t="shared" si="208"/>
        <v>4.3841518485848753E-3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3.5581506319974976E-2</v>
      </c>
      <c r="C180" s="127">
        <f t="shared" ref="C180:W180" si="209">IF(C88=0,0,C88/C$77)</f>
        <v>3.6760965576150627E-2</v>
      </c>
      <c r="D180" s="127">
        <f t="shared" si="209"/>
        <v>3.4026716868151771E-2</v>
      </c>
      <c r="E180" s="127">
        <f t="shared" si="209"/>
        <v>3.2248486210622387E-2</v>
      </c>
      <c r="F180" s="127">
        <f t="shared" si="209"/>
        <v>3.638023995976207E-2</v>
      </c>
      <c r="G180" s="127">
        <f t="shared" si="209"/>
        <v>2.6023828516599009E-2</v>
      </c>
      <c r="H180" s="127">
        <f t="shared" si="209"/>
        <v>3.1435875298042003E-2</v>
      </c>
      <c r="I180" s="127">
        <f t="shared" si="209"/>
        <v>3.0419660160382909E-2</v>
      </c>
      <c r="J180" s="127">
        <f t="shared" si="209"/>
        <v>7.3307544516705264E-2</v>
      </c>
      <c r="K180" s="127">
        <f t="shared" si="209"/>
        <v>8.755277018556773E-2</v>
      </c>
      <c r="L180" s="127">
        <f t="shared" si="209"/>
        <v>7.2892436740891062E-2</v>
      </c>
      <c r="M180" s="127">
        <f t="shared" si="209"/>
        <v>7.5595211162816159E-2</v>
      </c>
      <c r="N180" s="127">
        <f t="shared" si="209"/>
        <v>8.2126747848928344E-2</v>
      </c>
      <c r="O180" s="127">
        <f t="shared" si="209"/>
        <v>8.0793550496296732E-2</v>
      </c>
      <c r="P180" s="127">
        <f t="shared" si="209"/>
        <v>9.6607097161689345E-2</v>
      </c>
      <c r="Q180" s="127">
        <f t="shared" si="209"/>
        <v>8.6086183311879075E-2</v>
      </c>
      <c r="R180" s="127">
        <f t="shared" si="209"/>
        <v>9.5429282410557814E-2</v>
      </c>
      <c r="S180" s="127">
        <f t="shared" si="209"/>
        <v>8.0533968208927359E-2</v>
      </c>
      <c r="T180" s="127">
        <f t="shared" si="209"/>
        <v>9.0528949840734813E-2</v>
      </c>
      <c r="U180" s="127">
        <f t="shared" si="209"/>
        <v>8.5925679210712577E-2</v>
      </c>
      <c r="V180" s="127">
        <f t="shared" si="209"/>
        <v>7.3183555733969688E-2</v>
      </c>
      <c r="W180" s="127">
        <f t="shared" si="209"/>
        <v>8.3146931221325021E-2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0.40049049174572993</v>
      </c>
      <c r="C182" s="140">
        <f t="shared" ref="C182:W182" si="211">IF(C90=0,0,C90/C$89)</f>
        <v>0.39722081503876133</v>
      </c>
      <c r="D182" s="140">
        <f t="shared" si="211"/>
        <v>0.39641185657607658</v>
      </c>
      <c r="E182" s="140">
        <f t="shared" si="211"/>
        <v>0.39978836932044381</v>
      </c>
      <c r="F182" s="140">
        <f t="shared" si="211"/>
        <v>0.39888610636341287</v>
      </c>
      <c r="G182" s="140">
        <f t="shared" si="211"/>
        <v>0.39524874125268972</v>
      </c>
      <c r="H182" s="140">
        <f t="shared" si="211"/>
        <v>0.40779240546170742</v>
      </c>
      <c r="I182" s="140">
        <f t="shared" si="211"/>
        <v>0.38082059769025206</v>
      </c>
      <c r="J182" s="140">
        <f t="shared" si="211"/>
        <v>0.3511282279815609</v>
      </c>
      <c r="K182" s="140">
        <f t="shared" si="211"/>
        <v>0.43276720105466204</v>
      </c>
      <c r="L182" s="140">
        <f t="shared" si="211"/>
        <v>0.40057374030880349</v>
      </c>
      <c r="M182" s="140">
        <f t="shared" si="211"/>
        <v>0.4166861591636819</v>
      </c>
      <c r="N182" s="140">
        <f t="shared" si="211"/>
        <v>0.40106955258550747</v>
      </c>
      <c r="O182" s="140">
        <f t="shared" si="211"/>
        <v>0.34518328449654367</v>
      </c>
      <c r="P182" s="140">
        <f t="shared" si="211"/>
        <v>0.32608766193517352</v>
      </c>
      <c r="Q182" s="140">
        <f t="shared" si="211"/>
        <v>0.29507928750214851</v>
      </c>
      <c r="R182" s="140">
        <f t="shared" si="211"/>
        <v>0.28194301544505002</v>
      </c>
      <c r="S182" s="140">
        <f t="shared" si="211"/>
        <v>0.28771973527061251</v>
      </c>
      <c r="T182" s="140">
        <f t="shared" si="211"/>
        <v>0.27125136813010325</v>
      </c>
      <c r="U182" s="140">
        <f t="shared" si="211"/>
        <v>0.29122381537296965</v>
      </c>
      <c r="V182" s="140">
        <f t="shared" si="211"/>
        <v>0.31503507893904054</v>
      </c>
      <c r="W182" s="140">
        <f t="shared" si="211"/>
        <v>0.33444633619179842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0.59950950825427007</v>
      </c>
      <c r="C183" s="127">
        <f t="shared" ref="C183:W183" si="212">IF(C91=0,0,C91/C$89)</f>
        <v>0.60277918496123861</v>
      </c>
      <c r="D183" s="127">
        <f t="shared" si="212"/>
        <v>0.60358814342392342</v>
      </c>
      <c r="E183" s="127">
        <f t="shared" si="212"/>
        <v>0.6002116306795563</v>
      </c>
      <c r="F183" s="127">
        <f t="shared" si="212"/>
        <v>0.60111389363658729</v>
      </c>
      <c r="G183" s="127">
        <f t="shared" si="212"/>
        <v>0.60475125874731028</v>
      </c>
      <c r="H183" s="127">
        <f t="shared" si="212"/>
        <v>0.59220759453829253</v>
      </c>
      <c r="I183" s="127">
        <f t="shared" si="212"/>
        <v>0.61917940230974788</v>
      </c>
      <c r="J183" s="127">
        <f t="shared" si="212"/>
        <v>0.64887177201843904</v>
      </c>
      <c r="K183" s="127">
        <f t="shared" si="212"/>
        <v>0.56723279894533807</v>
      </c>
      <c r="L183" s="127">
        <f t="shared" si="212"/>
        <v>0.59942625969119656</v>
      </c>
      <c r="M183" s="127">
        <f t="shared" si="212"/>
        <v>0.58331384083631799</v>
      </c>
      <c r="N183" s="127">
        <f t="shared" si="212"/>
        <v>0.59893044741449264</v>
      </c>
      <c r="O183" s="127">
        <f t="shared" si="212"/>
        <v>0.65481671550345621</v>
      </c>
      <c r="P183" s="127">
        <f t="shared" si="212"/>
        <v>0.67391233806482642</v>
      </c>
      <c r="Q183" s="127">
        <f t="shared" si="212"/>
        <v>0.70492071249785149</v>
      </c>
      <c r="R183" s="127">
        <f t="shared" si="212"/>
        <v>0.71805698455495004</v>
      </c>
      <c r="S183" s="127">
        <f t="shared" si="212"/>
        <v>0.71228026472938755</v>
      </c>
      <c r="T183" s="127">
        <f t="shared" si="212"/>
        <v>0.7287486318698968</v>
      </c>
      <c r="U183" s="127">
        <f t="shared" si="212"/>
        <v>0.7087761846270304</v>
      </c>
      <c r="V183" s="127">
        <f t="shared" si="212"/>
        <v>0.68496492106095941</v>
      </c>
      <c r="W183" s="127">
        <f t="shared" si="212"/>
        <v>0.66555366380820158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47.34839944362286</v>
      </c>
      <c r="C186" s="32">
        <f t="shared" si="213"/>
        <v>45.20492758267612</v>
      </c>
      <c r="D186" s="32">
        <f t="shared" si="213"/>
        <v>44.185306164204761</v>
      </c>
      <c r="E186" s="32">
        <f t="shared" si="213"/>
        <v>46.030061072448262</v>
      </c>
      <c r="F186" s="32">
        <f t="shared" si="213"/>
        <v>45.371459206461594</v>
      </c>
      <c r="G186" s="32">
        <f t="shared" si="213"/>
        <v>45.89307044217589</v>
      </c>
      <c r="H186" s="32">
        <f t="shared" si="213"/>
        <v>46.463247921316608</v>
      </c>
      <c r="I186" s="32">
        <f t="shared" si="213"/>
        <v>48.124236800029593</v>
      </c>
      <c r="J186" s="32">
        <f t="shared" si="213"/>
        <v>45.895896678981352</v>
      </c>
      <c r="K186" s="32">
        <f t="shared" si="213"/>
        <v>47.350030038056985</v>
      </c>
      <c r="L186" s="32">
        <f t="shared" si="213"/>
        <v>47.074906047675178</v>
      </c>
      <c r="M186" s="32">
        <f t="shared" si="213"/>
        <v>47.521977034414036</v>
      </c>
      <c r="N186" s="32">
        <f t="shared" si="213"/>
        <v>46.233699739727022</v>
      </c>
      <c r="O186" s="32">
        <f t="shared" si="213"/>
        <v>45.299885711301862</v>
      </c>
      <c r="P186" s="32">
        <f t="shared" si="213"/>
        <v>45.254174120845811</v>
      </c>
      <c r="Q186" s="32">
        <f t="shared" si="213"/>
        <v>46.773820420585217</v>
      </c>
      <c r="R186" s="32">
        <f t="shared" si="213"/>
        <v>47.613467363183503</v>
      </c>
      <c r="S186" s="32">
        <f t="shared" si="213"/>
        <v>47.837518789509105</v>
      </c>
      <c r="T186" s="32">
        <f t="shared" si="213"/>
        <v>48.048887348078814</v>
      </c>
      <c r="U186" s="32">
        <f t="shared" si="213"/>
        <v>48.642169777108421</v>
      </c>
      <c r="V186" s="32">
        <f t="shared" si="213"/>
        <v>59.191974579188148</v>
      </c>
      <c r="W186" s="32">
        <f t="shared" ref="W186" si="214">IF(W34=0,0,W34/W4*1000)</f>
        <v>56.219570214367188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49.733382290449271</v>
      </c>
      <c r="C187" s="141">
        <f t="shared" si="215"/>
        <v>47.272144099114513</v>
      </c>
      <c r="D187" s="141">
        <f t="shared" si="215"/>
        <v>45.933443202577983</v>
      </c>
      <c r="E187" s="141">
        <f t="shared" si="215"/>
        <v>47.97268884938741</v>
      </c>
      <c r="F187" s="141">
        <f t="shared" si="215"/>
        <v>47.12287363001446</v>
      </c>
      <c r="G187" s="141">
        <f t="shared" si="215"/>
        <v>47.959980189915932</v>
      </c>
      <c r="H187" s="141">
        <f t="shared" si="215"/>
        <v>48.980381777363647</v>
      </c>
      <c r="I187" s="141">
        <f t="shared" si="215"/>
        <v>51.301449600154648</v>
      </c>
      <c r="J187" s="141">
        <f t="shared" si="215"/>
        <v>48.370863716168735</v>
      </c>
      <c r="K187" s="141">
        <f t="shared" si="215"/>
        <v>50.607700927228365</v>
      </c>
      <c r="L187" s="141">
        <f t="shared" si="215"/>
        <v>50.541782062561673</v>
      </c>
      <c r="M187" s="141">
        <f t="shared" si="215"/>
        <v>50.741801756144348</v>
      </c>
      <c r="N187" s="141">
        <f t="shared" si="215"/>
        <v>48.886147062203115</v>
      </c>
      <c r="O187" s="141">
        <f t="shared" si="215"/>
        <v>47.602628961734631</v>
      </c>
      <c r="P187" s="141">
        <f t="shared" si="215"/>
        <v>48.033414601324225</v>
      </c>
      <c r="Q187" s="141">
        <f t="shared" si="215"/>
        <v>50.498480727123535</v>
      </c>
      <c r="R187" s="141">
        <f t="shared" si="215"/>
        <v>52.156776752853155</v>
      </c>
      <c r="S187" s="141">
        <f t="shared" si="215"/>
        <v>53.202188225468568</v>
      </c>
      <c r="T187" s="141">
        <f t="shared" si="215"/>
        <v>53.784240726371756</v>
      </c>
      <c r="U187" s="141">
        <f t="shared" si="215"/>
        <v>54.584169590787994</v>
      </c>
      <c r="V187" s="141">
        <f t="shared" si="215"/>
        <v>61.013918407132529</v>
      </c>
      <c r="W187" s="141">
        <f t="shared" ref="W187" si="216">IF(W35=0,0,W35/W5*1000)</f>
        <v>59.277254133479005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34.57949676236332</v>
      </c>
      <c r="C188" s="97">
        <f t="shared" si="217"/>
        <v>34.509130625429478</v>
      </c>
      <c r="D188" s="97">
        <f t="shared" si="217"/>
        <v>34.043105130703132</v>
      </c>
      <c r="E188" s="97">
        <f t="shared" si="217"/>
        <v>32.949803920899541</v>
      </c>
      <c r="F188" s="97">
        <f t="shared" si="217"/>
        <v>32.134413221257411</v>
      </c>
      <c r="G188" s="97">
        <f t="shared" si="217"/>
        <v>31.394617167897128</v>
      </c>
      <c r="H188" s="97">
        <f t="shared" si="217"/>
        <v>30.804531830634751</v>
      </c>
      <c r="I188" s="97">
        <f t="shared" si="217"/>
        <v>30.439034612486299</v>
      </c>
      <c r="J188" s="97">
        <f t="shared" si="217"/>
        <v>30.138534301703618</v>
      </c>
      <c r="K188" s="97">
        <f t="shared" si="217"/>
        <v>29.931375417629507</v>
      </c>
      <c r="L188" s="97">
        <f t="shared" si="217"/>
        <v>29.816402455966475</v>
      </c>
      <c r="M188" s="97">
        <f t="shared" si="217"/>
        <v>29.664891328918383</v>
      </c>
      <c r="N188" s="97">
        <f t="shared" si="217"/>
        <v>29.782920354494625</v>
      </c>
      <c r="O188" s="97">
        <f t="shared" si="217"/>
        <v>29.582772436294483</v>
      </c>
      <c r="P188" s="97">
        <f t="shared" si="217"/>
        <v>29.28348842050438</v>
      </c>
      <c r="Q188" s="97">
        <f t="shared" si="217"/>
        <v>29.207263548158558</v>
      </c>
      <c r="R188" s="97">
        <f t="shared" si="217"/>
        <v>29.080108580224529</v>
      </c>
      <c r="S188" s="97">
        <f t="shared" si="217"/>
        <v>29.113250730278171</v>
      </c>
      <c r="T188" s="97">
        <f t="shared" si="217"/>
        <v>28.923275768406789</v>
      </c>
      <c r="U188" s="97">
        <f t="shared" si="217"/>
        <v>28.854248846107268</v>
      </c>
      <c r="V188" s="97">
        <f t="shared" si="217"/>
        <v>28.884374023347124</v>
      </c>
      <c r="W188" s="97">
        <f t="shared" ref="W188" si="218">IF(W36=0,0,W36/W6*1000)</f>
        <v>27.698423727710789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49.296010100449976</v>
      </c>
      <c r="C189" s="97">
        <f t="shared" si="219"/>
        <v>47.061063423370499</v>
      </c>
      <c r="D189" s="97">
        <f t="shared" si="219"/>
        <v>45.768610308262538</v>
      </c>
      <c r="E189" s="97">
        <f t="shared" si="219"/>
        <v>48.478059438991949</v>
      </c>
      <c r="F189" s="97">
        <f t="shared" si="219"/>
        <v>47.014421286474267</v>
      </c>
      <c r="G189" s="97">
        <f t="shared" si="219"/>
        <v>48.116026152024702</v>
      </c>
      <c r="H189" s="97">
        <f t="shared" si="219"/>
        <v>49.601401189356508</v>
      </c>
      <c r="I189" s="97">
        <f t="shared" si="219"/>
        <v>52.572623589255315</v>
      </c>
      <c r="J189" s="97">
        <f t="shared" si="219"/>
        <v>49.699758981446813</v>
      </c>
      <c r="K189" s="97">
        <f t="shared" si="219"/>
        <v>50.930852964076685</v>
      </c>
      <c r="L189" s="97">
        <f t="shared" si="219"/>
        <v>50.49647873159288</v>
      </c>
      <c r="M189" s="97">
        <f t="shared" si="219"/>
        <v>50.809477257074988</v>
      </c>
      <c r="N189" s="97">
        <f t="shared" si="219"/>
        <v>49.025054420084366</v>
      </c>
      <c r="O189" s="97">
        <f t="shared" si="219"/>
        <v>47.991326557560555</v>
      </c>
      <c r="P189" s="97">
        <f t="shared" si="219"/>
        <v>48.663231851679299</v>
      </c>
      <c r="Q189" s="97">
        <f t="shared" si="219"/>
        <v>50.576804185407148</v>
      </c>
      <c r="R189" s="97">
        <f t="shared" si="219"/>
        <v>53.019732488120695</v>
      </c>
      <c r="S189" s="97">
        <f t="shared" si="219"/>
        <v>54.543308970298824</v>
      </c>
      <c r="T189" s="97">
        <f t="shared" si="219"/>
        <v>54.485073365039248</v>
      </c>
      <c r="U189" s="97">
        <f t="shared" si="219"/>
        <v>57.003497685304374</v>
      </c>
      <c r="V189" s="97">
        <f t="shared" si="219"/>
        <v>61.750252253672222</v>
      </c>
      <c r="W189" s="97">
        <f t="shared" ref="W189" si="220">IF(W37=0,0,W37/W7*1000)</f>
        <v>59.973808771256266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53.13239573114604</v>
      </c>
      <c r="C190" s="97">
        <f t="shared" si="221"/>
        <v>49.167879897693759</v>
      </c>
      <c r="D190" s="97">
        <f t="shared" si="221"/>
        <v>47.540948063642482</v>
      </c>
      <c r="E190" s="97">
        <f t="shared" si="221"/>
        <v>45.716647772157678</v>
      </c>
      <c r="F190" s="97">
        <f t="shared" si="221"/>
        <v>48.849684612525373</v>
      </c>
      <c r="G190" s="97">
        <f t="shared" si="221"/>
        <v>48.048154087665552</v>
      </c>
      <c r="H190" s="97">
        <f t="shared" si="221"/>
        <v>45.963011155893909</v>
      </c>
      <c r="I190" s="97">
        <f t="shared" si="221"/>
        <v>44.099540766536023</v>
      </c>
      <c r="J190" s="97">
        <f t="shared" si="221"/>
        <v>40.816591311592298</v>
      </c>
      <c r="K190" s="97">
        <f t="shared" si="221"/>
        <v>49.727860829128623</v>
      </c>
      <c r="L190" s="97">
        <f t="shared" si="221"/>
        <v>52.635561709880982</v>
      </c>
      <c r="M190" s="97">
        <f t="shared" si="221"/>
        <v>52.018903123031812</v>
      </c>
      <c r="N190" s="97">
        <f t="shared" si="221"/>
        <v>49.35674691869221</v>
      </c>
      <c r="O190" s="97">
        <f t="shared" si="221"/>
        <v>46.088407443057072</v>
      </c>
      <c r="P190" s="97">
        <f t="shared" si="221"/>
        <v>44.918602544410312</v>
      </c>
      <c r="Q190" s="97">
        <f t="shared" si="221"/>
        <v>51.582836581568756</v>
      </c>
      <c r="R190" s="97">
        <f t="shared" si="221"/>
        <v>47.924733057772563</v>
      </c>
      <c r="S190" s="97">
        <f t="shared" si="221"/>
        <v>46.439436110167392</v>
      </c>
      <c r="T190" s="97">
        <f t="shared" si="221"/>
        <v>51.047152303400317</v>
      </c>
      <c r="U190" s="97">
        <f t="shared" si="221"/>
        <v>41.308858063077942</v>
      </c>
      <c r="V190" s="97">
        <f t="shared" si="221"/>
        <v>58.060646326738194</v>
      </c>
      <c r="W190" s="97">
        <f t="shared" ref="W190" si="222">IF(W38=0,0,W38/W8*1000)</f>
        <v>56.942242619640908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18.661610131545352</v>
      </c>
      <c r="C191" s="130">
        <f t="shared" si="223"/>
        <v>17.986014793730728</v>
      </c>
      <c r="D191" s="130">
        <f t="shared" si="223"/>
        <v>18.414569369965584</v>
      </c>
      <c r="E191" s="130">
        <f t="shared" si="223"/>
        <v>17.615518838175927</v>
      </c>
      <c r="F191" s="130">
        <f t="shared" si="223"/>
        <v>18.300283045636434</v>
      </c>
      <c r="G191" s="130">
        <f t="shared" si="223"/>
        <v>17.686193559144151</v>
      </c>
      <c r="H191" s="130">
        <f t="shared" si="223"/>
        <v>16.990928141833084</v>
      </c>
      <c r="I191" s="130">
        <f t="shared" si="223"/>
        <v>14.522906821452828</v>
      </c>
      <c r="J191" s="130">
        <f t="shared" si="223"/>
        <v>14.185003817319144</v>
      </c>
      <c r="K191" s="130">
        <f t="shared" si="223"/>
        <v>13.572185087103581</v>
      </c>
      <c r="L191" s="130">
        <f t="shared" si="223"/>
        <v>13.860958633749762</v>
      </c>
      <c r="M191" s="130">
        <f t="shared" si="223"/>
        <v>15.6083117190436</v>
      </c>
      <c r="N191" s="130">
        <f t="shared" si="223"/>
        <v>18.55063853200641</v>
      </c>
      <c r="O191" s="130">
        <f t="shared" si="223"/>
        <v>18.495267787125552</v>
      </c>
      <c r="P191" s="130">
        <f t="shared" si="223"/>
        <v>16.235663049761005</v>
      </c>
      <c r="Q191" s="130">
        <f t="shared" si="223"/>
        <v>15.113732238346033</v>
      </c>
      <c r="R191" s="130">
        <f t="shared" si="223"/>
        <v>15.798466762468717</v>
      </c>
      <c r="S191" s="130">
        <f t="shared" si="223"/>
        <v>16.688668253970405</v>
      </c>
      <c r="T191" s="130">
        <f t="shared" si="223"/>
        <v>16.349127593478709</v>
      </c>
      <c r="U191" s="130">
        <f t="shared" si="223"/>
        <v>18.717645704874077</v>
      </c>
      <c r="V191" s="130">
        <f t="shared" si="223"/>
        <v>21.04724767066369</v>
      </c>
      <c r="W191" s="130">
        <f t="shared" ref="W191" si="224">IF(W39=0,0,W39/W9*1000)</f>
        <v>23.316400329800246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5.5366267725803642</v>
      </c>
      <c r="C192" s="97">
        <f t="shared" si="225"/>
        <v>5.5230204457811745</v>
      </c>
      <c r="D192" s="97">
        <f t="shared" si="225"/>
        <v>5.527027124384059</v>
      </c>
      <c r="E192" s="97">
        <f t="shared" si="225"/>
        <v>5.5528994294017302</v>
      </c>
      <c r="F192" s="97">
        <f t="shared" si="225"/>
        <v>5.470815946562241</v>
      </c>
      <c r="G192" s="97">
        <f t="shared" si="225"/>
        <v>5.444587825689287</v>
      </c>
      <c r="H192" s="97">
        <f t="shared" si="225"/>
        <v>5.3774797424919543</v>
      </c>
      <c r="I192" s="97">
        <f t="shared" si="225"/>
        <v>5.3608492673296402</v>
      </c>
      <c r="J192" s="97">
        <f t="shared" si="225"/>
        <v>5.2874547150058975</v>
      </c>
      <c r="K192" s="97">
        <f t="shared" si="225"/>
        <v>5.2615690421113879</v>
      </c>
      <c r="L192" s="97">
        <f t="shared" si="225"/>
        <v>5.2248672350310335</v>
      </c>
      <c r="M192" s="97">
        <f t="shared" si="225"/>
        <v>5.1617845080858853</v>
      </c>
      <c r="N192" s="97">
        <f t="shared" si="225"/>
        <v>5.1239884196797441</v>
      </c>
      <c r="O192" s="97">
        <f t="shared" si="225"/>
        <v>5.0649082642049672</v>
      </c>
      <c r="P192" s="97">
        <f t="shared" si="225"/>
        <v>5.0027402213647356</v>
      </c>
      <c r="Q192" s="97">
        <f t="shared" si="225"/>
        <v>4.920907081822202</v>
      </c>
      <c r="R192" s="97">
        <f t="shared" si="225"/>
        <v>4.9318340272158263</v>
      </c>
      <c r="S192" s="97">
        <f t="shared" si="225"/>
        <v>4.8577409848503805</v>
      </c>
      <c r="T192" s="97">
        <f t="shared" si="225"/>
        <v>4.7840087744677513</v>
      </c>
      <c r="U192" s="97">
        <f t="shared" si="225"/>
        <v>5.4551219227673053</v>
      </c>
      <c r="V192" s="97">
        <f t="shared" si="225"/>
        <v>5.8066477020958658</v>
      </c>
      <c r="W192" s="97">
        <f t="shared" ref="W192" si="226">IF(W40=0,0,W40/W10*1000)</f>
        <v>6.2588480809344222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23.946942387993222</v>
      </c>
      <c r="C193" s="97">
        <f t="shared" si="227"/>
        <v>23.326161825605098</v>
      </c>
      <c r="D193" s="97">
        <f t="shared" si="227"/>
        <v>24.181480303285895</v>
      </c>
      <c r="E193" s="97">
        <f t="shared" si="227"/>
        <v>23.323305563544551</v>
      </c>
      <c r="F193" s="97">
        <f t="shared" si="227"/>
        <v>24.106829616363097</v>
      </c>
      <c r="G193" s="97">
        <f t="shared" si="227"/>
        <v>23.005515451958491</v>
      </c>
      <c r="H193" s="97">
        <f t="shared" si="227"/>
        <v>21.908397771821278</v>
      </c>
      <c r="I193" s="97">
        <f t="shared" si="227"/>
        <v>18.372718366890375</v>
      </c>
      <c r="J193" s="97">
        <f t="shared" si="227"/>
        <v>17.32154831160911</v>
      </c>
      <c r="K193" s="97">
        <f t="shared" si="227"/>
        <v>16.241636129923997</v>
      </c>
      <c r="L193" s="97">
        <f t="shared" si="227"/>
        <v>16.633779944401972</v>
      </c>
      <c r="M193" s="97">
        <f t="shared" si="227"/>
        <v>19.33329094240398</v>
      </c>
      <c r="N193" s="97">
        <f t="shared" si="227"/>
        <v>25.045370265090995</v>
      </c>
      <c r="O193" s="97">
        <f t="shared" si="227"/>
        <v>26.148245743807703</v>
      </c>
      <c r="P193" s="97">
        <f t="shared" si="227"/>
        <v>23.287745899858329</v>
      </c>
      <c r="Q193" s="97">
        <f t="shared" si="227"/>
        <v>21.59084476496232</v>
      </c>
      <c r="R193" s="97">
        <f t="shared" si="227"/>
        <v>23.800421219878608</v>
      </c>
      <c r="S193" s="97">
        <f t="shared" si="227"/>
        <v>26.461769685847308</v>
      </c>
      <c r="T193" s="97">
        <f t="shared" si="227"/>
        <v>25.269364118720269</v>
      </c>
      <c r="U193" s="97">
        <f t="shared" si="227"/>
        <v>25.626614585619091</v>
      </c>
      <c r="V193" s="97">
        <f t="shared" si="227"/>
        <v>34.460472487643145</v>
      </c>
      <c r="W193" s="97">
        <f t="shared" ref="W193" si="228">IF(W41=0,0,W41/W11*1000)</f>
        <v>35.022668701127373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44.025509698461391</v>
      </c>
      <c r="C195" s="130">
        <f t="shared" si="231"/>
        <v>43.635770478984902</v>
      </c>
      <c r="D195" s="130">
        <f t="shared" si="231"/>
        <v>43.936916994057228</v>
      </c>
      <c r="E195" s="130">
        <f t="shared" si="231"/>
        <v>44.3932846226649</v>
      </c>
      <c r="F195" s="130">
        <f t="shared" si="231"/>
        <v>44.548351808443897</v>
      </c>
      <c r="G195" s="130">
        <f t="shared" si="231"/>
        <v>42.617917883864394</v>
      </c>
      <c r="H195" s="130">
        <f t="shared" si="231"/>
        <v>39.736430221821671</v>
      </c>
      <c r="I195" s="130">
        <f t="shared" si="231"/>
        <v>40.248242922957843</v>
      </c>
      <c r="J195" s="130">
        <f t="shared" si="231"/>
        <v>45.22473716918271</v>
      </c>
      <c r="K195" s="130">
        <f t="shared" si="231"/>
        <v>39.89846366154088</v>
      </c>
      <c r="L195" s="130">
        <f t="shared" si="231"/>
        <v>37.883362276643261</v>
      </c>
      <c r="M195" s="130">
        <f t="shared" si="231"/>
        <v>37.861797403572972</v>
      </c>
      <c r="N195" s="130">
        <f t="shared" si="231"/>
        <v>35.929720041695319</v>
      </c>
      <c r="O195" s="130">
        <f t="shared" si="231"/>
        <v>36.916255871900432</v>
      </c>
      <c r="P195" s="130">
        <f t="shared" si="231"/>
        <v>34.623706816873479</v>
      </c>
      <c r="Q195" s="130">
        <f t="shared" si="231"/>
        <v>31.239929049691835</v>
      </c>
      <c r="R195" s="130">
        <f t="shared" si="231"/>
        <v>28.297926207216204</v>
      </c>
      <c r="S195" s="130">
        <f t="shared" si="231"/>
        <v>26.952130208254186</v>
      </c>
      <c r="T195" s="130">
        <f t="shared" si="231"/>
        <v>28.901442678948907</v>
      </c>
      <c r="U195" s="130">
        <f t="shared" si="231"/>
        <v>28.868431804070525</v>
      </c>
      <c r="V195" s="130">
        <f t="shared" si="231"/>
        <v>51.331002272756194</v>
      </c>
      <c r="W195" s="130">
        <f t="shared" ref="W195" si="232">IF(W43=0,0,W43/W13*1000)</f>
        <v>38.223178553265477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62.074245349628391</v>
      </c>
      <c r="C196" s="97">
        <f t="shared" si="233"/>
        <v>62.184425973978549</v>
      </c>
      <c r="D196" s="97">
        <f t="shared" si="233"/>
        <v>62.499197647873146</v>
      </c>
      <c r="E196" s="97">
        <f t="shared" si="233"/>
        <v>62.623024498490359</v>
      </c>
      <c r="F196" s="97">
        <f t="shared" si="233"/>
        <v>62.619551615474109</v>
      </c>
      <c r="G196" s="97">
        <f t="shared" si="233"/>
        <v>61.33258931354198</v>
      </c>
      <c r="H196" s="97">
        <f t="shared" si="233"/>
        <v>71.218152142206335</v>
      </c>
      <c r="I196" s="97">
        <f t="shared" si="233"/>
        <v>68.097176013875398</v>
      </c>
      <c r="J196" s="97">
        <f t="shared" si="233"/>
        <v>62.593651835812807</v>
      </c>
      <c r="K196" s="97">
        <f t="shared" si="233"/>
        <v>63.436901700686718</v>
      </c>
      <c r="L196" s="97">
        <f t="shared" si="233"/>
        <v>57.025086349913764</v>
      </c>
      <c r="M196" s="97">
        <f t="shared" si="233"/>
        <v>57.859668995901281</v>
      </c>
      <c r="N196" s="97">
        <f t="shared" si="233"/>
        <v>54.543429716682809</v>
      </c>
      <c r="O196" s="97">
        <f t="shared" si="233"/>
        <v>56.363335726671913</v>
      </c>
      <c r="P196" s="97">
        <f t="shared" si="233"/>
        <v>56.682343428394731</v>
      </c>
      <c r="Q196" s="97">
        <f t="shared" si="233"/>
        <v>62.187140045987924</v>
      </c>
      <c r="R196" s="97">
        <f t="shared" si="233"/>
        <v>58.559968750172246</v>
      </c>
      <c r="S196" s="97">
        <f t="shared" si="233"/>
        <v>52.854999091225402</v>
      </c>
      <c r="T196" s="97">
        <f t="shared" si="233"/>
        <v>53.641520132670585</v>
      </c>
      <c r="U196" s="97">
        <f t="shared" si="233"/>
        <v>55.183471072624592</v>
      </c>
      <c r="V196" s="97">
        <f t="shared" si="233"/>
        <v>86.89534281813151</v>
      </c>
      <c r="W196" s="97">
        <f t="shared" ref="W196" si="234">IF(W44=0,0,W44/W14*1000)</f>
        <v>85.85111746080743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42.538543621140406</v>
      </c>
      <c r="C197" s="97">
        <f t="shared" si="235"/>
        <v>42.086704337709314</v>
      </c>
      <c r="D197" s="97">
        <f t="shared" si="235"/>
        <v>42.030482508786633</v>
      </c>
      <c r="E197" s="97">
        <f t="shared" si="235"/>
        <v>42.361546997756101</v>
      </c>
      <c r="F197" s="97">
        <f t="shared" si="235"/>
        <v>42.727413802569522</v>
      </c>
      <c r="G197" s="97">
        <f t="shared" si="235"/>
        <v>39.942246177674818</v>
      </c>
      <c r="H197" s="97">
        <f t="shared" si="235"/>
        <v>36.562826853299207</v>
      </c>
      <c r="I197" s="97">
        <f t="shared" si="235"/>
        <v>38.314649233793702</v>
      </c>
      <c r="J197" s="97">
        <f t="shared" si="235"/>
        <v>45.481425286656069</v>
      </c>
      <c r="K197" s="97">
        <f t="shared" si="235"/>
        <v>38.635503804049705</v>
      </c>
      <c r="L197" s="97">
        <f t="shared" si="235"/>
        <v>38.773113343575417</v>
      </c>
      <c r="M197" s="97">
        <f t="shared" si="235"/>
        <v>39.468371500784379</v>
      </c>
      <c r="N197" s="97">
        <f t="shared" si="235"/>
        <v>37.647003414769898</v>
      </c>
      <c r="O197" s="97">
        <f t="shared" si="235"/>
        <v>36.451245881576824</v>
      </c>
      <c r="P197" s="97">
        <f t="shared" si="235"/>
        <v>33.82067615104588</v>
      </c>
      <c r="Q197" s="97">
        <f t="shared" si="235"/>
        <v>30.924977158607412</v>
      </c>
      <c r="R197" s="97">
        <f t="shared" si="235"/>
        <v>28.390925383257919</v>
      </c>
      <c r="S197" s="97">
        <f t="shared" si="235"/>
        <v>28.399382065712903</v>
      </c>
      <c r="T197" s="97">
        <f t="shared" si="235"/>
        <v>32.244443546224453</v>
      </c>
      <c r="U197" s="97">
        <f t="shared" si="235"/>
        <v>32.054607726000214</v>
      </c>
      <c r="V197" s="97">
        <f t="shared" si="235"/>
        <v>47.955241168886772</v>
      </c>
      <c r="W197" s="97">
        <f t="shared" ref="W197" si="236">IF(W45=0,0,W45/W15*1000)</f>
        <v>37.641669565212126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42.323695795617304</v>
      </c>
      <c r="C198" s="97">
        <f t="shared" si="237"/>
        <v>42.097970435871886</v>
      </c>
      <c r="D198" s="97">
        <f t="shared" si="237"/>
        <v>41.772247002228873</v>
      </c>
      <c r="E198" s="97">
        <f t="shared" si="237"/>
        <v>41.421334057580857</v>
      </c>
      <c r="F198" s="97">
        <f t="shared" si="237"/>
        <v>41.307320575827553</v>
      </c>
      <c r="G198" s="97">
        <f t="shared" si="237"/>
        <v>46.302235443273219</v>
      </c>
      <c r="H198" s="97">
        <f t="shared" si="237"/>
        <v>42.12224264204783</v>
      </c>
      <c r="I198" s="97">
        <f t="shared" si="237"/>
        <v>36.721991710126602</v>
      </c>
      <c r="J198" s="97">
        <f t="shared" si="237"/>
        <v>36.221762784007346</v>
      </c>
      <c r="K198" s="97">
        <f t="shared" si="237"/>
        <v>35.063190324721234</v>
      </c>
      <c r="L198" s="97">
        <f t="shared" si="237"/>
        <v>28.237405863229487</v>
      </c>
      <c r="M198" s="97">
        <f t="shared" si="237"/>
        <v>26.175468265344701</v>
      </c>
      <c r="N198" s="97">
        <f t="shared" si="237"/>
        <v>24.776874850255496</v>
      </c>
      <c r="O198" s="97">
        <f t="shared" si="237"/>
        <v>32.907549154918371</v>
      </c>
      <c r="P198" s="97">
        <f t="shared" si="237"/>
        <v>31.956588169809571</v>
      </c>
      <c r="Q198" s="97">
        <f t="shared" si="237"/>
        <v>24.63059381046638</v>
      </c>
      <c r="R198" s="97">
        <f t="shared" si="237"/>
        <v>20.582162416273125</v>
      </c>
      <c r="S198" s="97">
        <f t="shared" si="237"/>
        <v>15.854787857469084</v>
      </c>
      <c r="T198" s="97">
        <f t="shared" si="237"/>
        <v>14.186496960002268</v>
      </c>
      <c r="U198" s="97">
        <f t="shared" si="237"/>
        <v>14.433496106433365</v>
      </c>
      <c r="V198" s="97">
        <f t="shared" si="237"/>
        <v>54.728889093379401</v>
      </c>
      <c r="W198" s="97">
        <f t="shared" ref="W198" si="238">IF(W46=0,0,W46/W16*1000)</f>
        <v>32.543930318779481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31.598134811610038</v>
      </c>
      <c r="C199" s="32">
        <f t="shared" si="239"/>
        <v>27.679750660153463</v>
      </c>
      <c r="D199" s="32">
        <f t="shared" si="239"/>
        <v>32.739544807743975</v>
      </c>
      <c r="E199" s="32">
        <f t="shared" si="239"/>
        <v>34.082537072453334</v>
      </c>
      <c r="F199" s="32">
        <f t="shared" si="239"/>
        <v>33.446698883715513</v>
      </c>
      <c r="G199" s="32">
        <f t="shared" si="239"/>
        <v>33.461914466604739</v>
      </c>
      <c r="H199" s="32">
        <f t="shared" si="239"/>
        <v>33.449189756609897</v>
      </c>
      <c r="I199" s="32">
        <f t="shared" si="239"/>
        <v>33.467070239561131</v>
      </c>
      <c r="J199" s="32">
        <f t="shared" si="239"/>
        <v>34.270902688451692</v>
      </c>
      <c r="K199" s="32">
        <f t="shared" si="239"/>
        <v>39.153675545016803</v>
      </c>
      <c r="L199" s="32">
        <f t="shared" si="239"/>
        <v>38.975800301330594</v>
      </c>
      <c r="M199" s="32">
        <f t="shared" si="239"/>
        <v>39.711765487992317</v>
      </c>
      <c r="N199" s="32">
        <f t="shared" si="239"/>
        <v>37.985316078974975</v>
      </c>
      <c r="O199" s="32">
        <f t="shared" si="239"/>
        <v>42.431145375953726</v>
      </c>
      <c r="P199" s="32">
        <f t="shared" si="239"/>
        <v>39.652940445719963</v>
      </c>
      <c r="Q199" s="32">
        <f t="shared" si="239"/>
        <v>38.107822592630555</v>
      </c>
      <c r="R199" s="32">
        <f t="shared" si="239"/>
        <v>37.079742115555881</v>
      </c>
      <c r="S199" s="32">
        <f t="shared" si="239"/>
        <v>40.006546018467937</v>
      </c>
      <c r="T199" s="32">
        <f t="shared" si="239"/>
        <v>38.245634153529252</v>
      </c>
      <c r="U199" s="32">
        <f t="shared" si="239"/>
        <v>43.800868789207229</v>
      </c>
      <c r="V199" s="32">
        <f t="shared" si="239"/>
        <v>40.644010839770822</v>
      </c>
      <c r="W199" s="32">
        <f t="shared" ref="W199" si="240">IF(W47=0,0,W47/W17*1000)</f>
        <v>42.259456169574079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34.530409350084867</v>
      </c>
      <c r="C200" s="141">
        <f t="shared" si="241"/>
        <v>29.787831607730507</v>
      </c>
      <c r="D200" s="141">
        <f t="shared" si="241"/>
        <v>35.769839542741281</v>
      </c>
      <c r="E200" s="141">
        <f t="shared" si="241"/>
        <v>38.035989132814734</v>
      </c>
      <c r="F200" s="141">
        <f t="shared" si="241"/>
        <v>37.636052822050367</v>
      </c>
      <c r="G200" s="141">
        <f t="shared" si="241"/>
        <v>37.9748627249093</v>
      </c>
      <c r="H200" s="141">
        <f t="shared" si="241"/>
        <v>39.006195805563777</v>
      </c>
      <c r="I200" s="141">
        <f t="shared" si="241"/>
        <v>39.553302490860553</v>
      </c>
      <c r="J200" s="141">
        <f t="shared" si="241"/>
        <v>41.883409765461337</v>
      </c>
      <c r="K200" s="141">
        <f t="shared" si="241"/>
        <v>47.090140383512328</v>
      </c>
      <c r="L200" s="141">
        <f t="shared" si="241"/>
        <v>49.347895848722018</v>
      </c>
      <c r="M200" s="141">
        <f t="shared" si="241"/>
        <v>48.677932136054636</v>
      </c>
      <c r="N200" s="141">
        <f t="shared" si="241"/>
        <v>46.908259889088896</v>
      </c>
      <c r="O200" s="141">
        <f t="shared" si="241"/>
        <v>50.990544794451139</v>
      </c>
      <c r="P200" s="141">
        <f t="shared" si="241"/>
        <v>46.785011563273784</v>
      </c>
      <c r="Q200" s="141">
        <f t="shared" si="241"/>
        <v>45.632098345236713</v>
      </c>
      <c r="R200" s="141">
        <f t="shared" si="241"/>
        <v>43.505448853551798</v>
      </c>
      <c r="S200" s="141">
        <f t="shared" si="241"/>
        <v>47.878467182741915</v>
      </c>
      <c r="T200" s="141">
        <f t="shared" si="241"/>
        <v>45.347828608891263</v>
      </c>
      <c r="U200" s="141">
        <f t="shared" si="241"/>
        <v>54.476283335282041</v>
      </c>
      <c r="V200" s="141">
        <f t="shared" si="241"/>
        <v>52.440284929233648</v>
      </c>
      <c r="W200" s="141">
        <f t="shared" ref="W200" si="242">IF(W48=0,0,W48/W18*1000)</f>
        <v>53.365517654877635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527.57567212979814</v>
      </c>
      <c r="C201" s="97">
        <f t="shared" si="243"/>
        <v>476.78927070838949</v>
      </c>
      <c r="D201" s="97">
        <f t="shared" si="243"/>
        <v>485.87754149410381</v>
      </c>
      <c r="E201" s="97">
        <f t="shared" si="243"/>
        <v>481.08602044919422</v>
      </c>
      <c r="F201" s="97">
        <f t="shared" si="243"/>
        <v>475.34257916807582</v>
      </c>
      <c r="G201" s="97">
        <f t="shared" si="243"/>
        <v>480.58974355335204</v>
      </c>
      <c r="H201" s="97">
        <f t="shared" si="243"/>
        <v>464.07770101944385</v>
      </c>
      <c r="I201" s="97">
        <f t="shared" si="243"/>
        <v>462.06041734551764</v>
      </c>
      <c r="J201" s="97">
        <f t="shared" si="243"/>
        <v>459.98125038924462</v>
      </c>
      <c r="K201" s="97">
        <f t="shared" si="243"/>
        <v>457.15925338732177</v>
      </c>
      <c r="L201" s="97">
        <f t="shared" si="243"/>
        <v>453.81480568831512</v>
      </c>
      <c r="M201" s="97">
        <f t="shared" si="243"/>
        <v>449.19605296100821</v>
      </c>
      <c r="N201" s="97">
        <f t="shared" si="243"/>
        <v>448.81329987990421</v>
      </c>
      <c r="O201" s="97">
        <f t="shared" si="243"/>
        <v>440.90814107138402</v>
      </c>
      <c r="P201" s="97">
        <f t="shared" si="243"/>
        <v>423.52988351789725</v>
      </c>
      <c r="Q201" s="97">
        <f t="shared" si="243"/>
        <v>409.45890176810906</v>
      </c>
      <c r="R201" s="97">
        <f t="shared" si="243"/>
        <v>396.539704081975</v>
      </c>
      <c r="S201" s="97">
        <f t="shared" si="243"/>
        <v>411.85797912127845</v>
      </c>
      <c r="T201" s="97">
        <f t="shared" si="243"/>
        <v>402.52221374301149</v>
      </c>
      <c r="U201" s="97">
        <f t="shared" si="243"/>
        <v>406.97101558724728</v>
      </c>
      <c r="V201" s="97">
        <f t="shared" si="243"/>
        <v>403.18852608104606</v>
      </c>
      <c r="W201" s="97">
        <f t="shared" ref="W201" si="244">IF(W49=0,0,W49/W19*1000)</f>
        <v>409.52499881975297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22.745118363877523</v>
      </c>
      <c r="C202" s="97">
        <f t="shared" si="245"/>
        <v>19.172730085248382</v>
      </c>
      <c r="D202" s="97">
        <f t="shared" si="245"/>
        <v>24.952699855906467</v>
      </c>
      <c r="E202" s="97">
        <f t="shared" si="245"/>
        <v>26.934410319099836</v>
      </c>
      <c r="F202" s="97">
        <f t="shared" si="245"/>
        <v>26.949004287177747</v>
      </c>
      <c r="G202" s="97">
        <f t="shared" si="245"/>
        <v>26.555069080855311</v>
      </c>
      <c r="H202" s="97">
        <f t="shared" si="245"/>
        <v>27.604864799952736</v>
      </c>
      <c r="I202" s="97">
        <f t="shared" si="245"/>
        <v>28.525906055464478</v>
      </c>
      <c r="J202" s="97">
        <f t="shared" si="245"/>
        <v>29.792030126888545</v>
      </c>
      <c r="K202" s="97">
        <f t="shared" si="245"/>
        <v>33.013982046734242</v>
      </c>
      <c r="L202" s="97">
        <f t="shared" si="245"/>
        <v>35.405719893531121</v>
      </c>
      <c r="M202" s="97">
        <f t="shared" si="245"/>
        <v>34.554538135491093</v>
      </c>
      <c r="N202" s="97">
        <f t="shared" si="245"/>
        <v>32.939645624664266</v>
      </c>
      <c r="O202" s="97">
        <f t="shared" si="245"/>
        <v>37.928422787203495</v>
      </c>
      <c r="P202" s="97">
        <f t="shared" si="245"/>
        <v>33.951652051383263</v>
      </c>
      <c r="Q202" s="97">
        <f t="shared" si="245"/>
        <v>32.346443107182459</v>
      </c>
      <c r="R202" s="97">
        <f t="shared" si="245"/>
        <v>29.794212086321114</v>
      </c>
      <c r="S202" s="97">
        <f t="shared" si="245"/>
        <v>34.267768332705124</v>
      </c>
      <c r="T202" s="97">
        <f t="shared" si="245"/>
        <v>30.574674843329753</v>
      </c>
      <c r="U202" s="97">
        <f t="shared" si="245"/>
        <v>38.008177946640451</v>
      </c>
      <c r="V202" s="97">
        <f t="shared" si="245"/>
        <v>35.914860719692498</v>
      </c>
      <c r="W202" s="97">
        <f t="shared" ref="W202" si="246">IF(W50=0,0,W50/W20*1000)</f>
        <v>35.261440234738636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7.3180744342635355</v>
      </c>
      <c r="C203" s="130">
        <f t="shared" si="247"/>
        <v>7.2705885758966957</v>
      </c>
      <c r="D203" s="130">
        <f t="shared" si="247"/>
        <v>7.239920829964003</v>
      </c>
      <c r="E203" s="130">
        <f t="shared" si="247"/>
        <v>7.1631706633455554</v>
      </c>
      <c r="F203" s="130">
        <f t="shared" si="247"/>
        <v>7.3640450667938113</v>
      </c>
      <c r="G203" s="130">
        <f t="shared" si="247"/>
        <v>7.2103162218075783</v>
      </c>
      <c r="H203" s="130">
        <f t="shared" si="247"/>
        <v>6.5248645637704472</v>
      </c>
      <c r="I203" s="130">
        <f t="shared" si="247"/>
        <v>6.3559502855297811</v>
      </c>
      <c r="J203" s="130">
        <f t="shared" si="247"/>
        <v>6.2435434596500112</v>
      </c>
      <c r="K203" s="130">
        <f t="shared" si="247"/>
        <v>6.4265251541266384</v>
      </c>
      <c r="L203" s="130">
        <f t="shared" si="247"/>
        <v>6.9566926375009075</v>
      </c>
      <c r="M203" s="130">
        <f t="shared" si="247"/>
        <v>6.8568203143829383</v>
      </c>
      <c r="N203" s="130">
        <f t="shared" si="247"/>
        <v>6.5820291288047841</v>
      </c>
      <c r="O203" s="130">
        <f t="shared" si="247"/>
        <v>7.5024939429838007</v>
      </c>
      <c r="P203" s="130">
        <f t="shared" si="247"/>
        <v>7.0317329600898208</v>
      </c>
      <c r="Q203" s="130">
        <f t="shared" si="247"/>
        <v>6.1827667899232974</v>
      </c>
      <c r="R203" s="130">
        <f t="shared" si="247"/>
        <v>6.6362384220208197</v>
      </c>
      <c r="S203" s="130">
        <f t="shared" si="247"/>
        <v>5.8567468281895261</v>
      </c>
      <c r="T203" s="130">
        <f t="shared" si="247"/>
        <v>5.0315502892164563</v>
      </c>
      <c r="U203" s="130">
        <f t="shared" si="247"/>
        <v>5.0139416174504143</v>
      </c>
      <c r="V203" s="130">
        <f t="shared" si="247"/>
        <v>4.597278328928069</v>
      </c>
      <c r="W203" s="130">
        <f t="shared" ref="W203" si="248">IF(W51=0,0,W51/W21*1000)</f>
        <v>4.4115498852541357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148.51338032860264</v>
      </c>
      <c r="C204" s="130">
        <f t="shared" si="249"/>
        <v>144.77821175851847</v>
      </c>
      <c r="D204" s="130">
        <f t="shared" si="249"/>
        <v>152.89418781256455</v>
      </c>
      <c r="E204" s="130">
        <f t="shared" si="249"/>
        <v>147.61537310494975</v>
      </c>
      <c r="F204" s="130">
        <f t="shared" si="249"/>
        <v>159.37534576758125</v>
      </c>
      <c r="G204" s="130">
        <f t="shared" si="249"/>
        <v>159.84277499156141</v>
      </c>
      <c r="H204" s="130">
        <f t="shared" si="249"/>
        <v>177.7809189125212</v>
      </c>
      <c r="I204" s="130">
        <f t="shared" si="249"/>
        <v>186.82599646437072</v>
      </c>
      <c r="J204" s="130">
        <f t="shared" si="249"/>
        <v>207.37831534245672</v>
      </c>
      <c r="K204" s="130">
        <f t="shared" si="249"/>
        <v>175.06163461726715</v>
      </c>
      <c r="L204" s="130">
        <f t="shared" si="249"/>
        <v>162.99793308153028</v>
      </c>
      <c r="M204" s="130">
        <f t="shared" si="249"/>
        <v>112.30911453060618</v>
      </c>
      <c r="N204" s="130">
        <f t="shared" si="249"/>
        <v>130.55242151108163</v>
      </c>
      <c r="O204" s="130">
        <f t="shared" si="249"/>
        <v>115.02251106775168</v>
      </c>
      <c r="P204" s="130">
        <f t="shared" si="249"/>
        <v>93.112286909964695</v>
      </c>
      <c r="Q204" s="130">
        <f t="shared" si="249"/>
        <v>81.135238210188461</v>
      </c>
      <c r="R204" s="130">
        <f t="shared" si="249"/>
        <v>64.684133394045205</v>
      </c>
      <c r="S204" s="130">
        <f t="shared" si="249"/>
        <v>58.542143361993361</v>
      </c>
      <c r="T204" s="130">
        <f t="shared" si="249"/>
        <v>36.250464674935955</v>
      </c>
      <c r="U204" s="130">
        <f t="shared" si="249"/>
        <v>40.23504525787876</v>
      </c>
      <c r="V204" s="130">
        <f t="shared" si="249"/>
        <v>123.41774261538966</v>
      </c>
      <c r="W204" s="130">
        <f t="shared" ref="W204" si="250">IF(W52=0,0,W52/W22*1000)</f>
        <v>105.27765329175109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747.52693487048271</v>
      </c>
      <c r="C205" s="97">
        <f t="shared" si="251"/>
        <v>749.8968523649969</v>
      </c>
      <c r="D205" s="97">
        <f t="shared" si="251"/>
        <v>730.84743338037765</v>
      </c>
      <c r="E205" s="97">
        <f t="shared" si="251"/>
        <v>688.51069640792105</v>
      </c>
      <c r="F205" s="97">
        <f t="shared" si="251"/>
        <v>731.19441109356967</v>
      </c>
      <c r="G205" s="97">
        <f t="shared" si="251"/>
        <v>720.73435888597135</v>
      </c>
      <c r="H205" s="97">
        <f t="shared" si="251"/>
        <v>771.89348338275602</v>
      </c>
      <c r="I205" s="97">
        <f t="shared" si="251"/>
        <v>658.93952757852685</v>
      </c>
      <c r="J205" s="97">
        <f t="shared" si="251"/>
        <v>571.43505610982902</v>
      </c>
      <c r="K205" s="97">
        <f t="shared" si="251"/>
        <v>470.06341905961904</v>
      </c>
      <c r="L205" s="97">
        <f t="shared" si="251"/>
        <v>370.53354313075528</v>
      </c>
      <c r="M205" s="97">
        <f t="shared" si="251"/>
        <v>473.28613515113216</v>
      </c>
      <c r="N205" s="97">
        <f t="shared" si="251"/>
        <v>721.38131947207762</v>
      </c>
      <c r="O205" s="97">
        <f t="shared" si="251"/>
        <v>668.71105413973658</v>
      </c>
      <c r="P205" s="97">
        <f t="shared" si="251"/>
        <v>510.24108481264352</v>
      </c>
      <c r="Q205" s="97">
        <f t="shared" si="251"/>
        <v>515.92417720107233</v>
      </c>
      <c r="R205" s="97">
        <f t="shared" si="251"/>
        <v>382.22164556277534</v>
      </c>
      <c r="S205" s="97">
        <f t="shared" si="251"/>
        <v>376.22275201373105</v>
      </c>
      <c r="T205" s="97">
        <f t="shared" si="251"/>
        <v>355.54610731010638</v>
      </c>
      <c r="U205" s="97">
        <f t="shared" si="251"/>
        <v>319.54496570401614</v>
      </c>
      <c r="V205" s="97">
        <f t="shared" si="251"/>
        <v>305.71520023921931</v>
      </c>
      <c r="W205" s="97">
        <f t="shared" ref="W205" si="252">IF(W53=0,0,W53/W23*1000)</f>
        <v>306.56662649901017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143.86405643504244</v>
      </c>
      <c r="C206" s="97">
        <f t="shared" si="253"/>
        <v>138.73160532523514</v>
      </c>
      <c r="D206" s="97">
        <f t="shared" si="253"/>
        <v>147.41454826260104</v>
      </c>
      <c r="E206" s="97">
        <f t="shared" si="253"/>
        <v>143.89810353968289</v>
      </c>
      <c r="F206" s="97">
        <f t="shared" si="253"/>
        <v>158.3531970995258</v>
      </c>
      <c r="G206" s="97">
        <f t="shared" si="253"/>
        <v>144.96781515524404</v>
      </c>
      <c r="H206" s="97">
        <f t="shared" si="253"/>
        <v>151.95398192560739</v>
      </c>
      <c r="I206" s="97">
        <f t="shared" si="253"/>
        <v>166.75122290337043</v>
      </c>
      <c r="J206" s="97">
        <f t="shared" si="253"/>
        <v>211.04977819810745</v>
      </c>
      <c r="K206" s="97">
        <f t="shared" si="253"/>
        <v>180.18952164511015</v>
      </c>
      <c r="L206" s="97">
        <f t="shared" si="253"/>
        <v>196.73856747001182</v>
      </c>
      <c r="M206" s="97">
        <f t="shared" si="253"/>
        <v>222.96593564468856</v>
      </c>
      <c r="N206" s="97">
        <f t="shared" si="253"/>
        <v>214.65838059572255</v>
      </c>
      <c r="O206" s="97">
        <f t="shared" si="253"/>
        <v>203.18888724519712</v>
      </c>
      <c r="P206" s="97">
        <f t="shared" si="253"/>
        <v>158.58046394624355</v>
      </c>
      <c r="Q206" s="97">
        <f t="shared" si="253"/>
        <v>149.53075524965632</v>
      </c>
      <c r="R206" s="97">
        <f t="shared" si="253"/>
        <v>123.29736652287464</v>
      </c>
      <c r="S206" s="97">
        <f t="shared" si="253"/>
        <v>130.0854117147326</v>
      </c>
      <c r="T206" s="97">
        <f t="shared" si="253"/>
        <v>139.31125248000129</v>
      </c>
      <c r="U206" s="97">
        <f t="shared" si="253"/>
        <v>121.63276675283575</v>
      </c>
      <c r="V206" s="97">
        <f t="shared" si="253"/>
        <v>202.92681699067944</v>
      </c>
      <c r="W206" s="97">
        <f t="shared" ref="W206" si="254">IF(W54=0,0,W54/W24*1000)</f>
        <v>200.7146887600762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43.264451542979153</v>
      </c>
      <c r="C207" s="97">
        <f t="shared" si="255"/>
        <v>41.220008995928914</v>
      </c>
      <c r="D207" s="97">
        <f t="shared" si="255"/>
        <v>43.583682992932694</v>
      </c>
      <c r="E207" s="97">
        <f t="shared" si="255"/>
        <v>47.921315950918071</v>
      </c>
      <c r="F207" s="97">
        <f t="shared" si="255"/>
        <v>49.353292447238388</v>
      </c>
      <c r="G207" s="97">
        <f t="shared" si="255"/>
        <v>57.831999112300565</v>
      </c>
      <c r="H207" s="97">
        <f t="shared" si="255"/>
        <v>50.736489679611715</v>
      </c>
      <c r="I207" s="97">
        <f t="shared" si="255"/>
        <v>44.43874041499086</v>
      </c>
      <c r="J207" s="97">
        <f t="shared" si="255"/>
        <v>44.576287084476846</v>
      </c>
      <c r="K207" s="97">
        <f t="shared" si="255"/>
        <v>34.125433675415117</v>
      </c>
      <c r="L207" s="97">
        <f t="shared" si="255"/>
        <v>29.677758643825875</v>
      </c>
      <c r="M207" s="97">
        <f t="shared" si="255"/>
        <v>36.15335761670881</v>
      </c>
      <c r="N207" s="97">
        <f t="shared" si="255"/>
        <v>40.603484729185887</v>
      </c>
      <c r="O207" s="97">
        <f t="shared" si="255"/>
        <v>45.835319976402246</v>
      </c>
      <c r="P207" s="97">
        <f t="shared" si="255"/>
        <v>38.534528367563851</v>
      </c>
      <c r="Q207" s="97">
        <f t="shared" si="255"/>
        <v>29.063140125675947</v>
      </c>
      <c r="R207" s="97">
        <f t="shared" si="255"/>
        <v>24.735650164186861</v>
      </c>
      <c r="S207" s="97">
        <f t="shared" si="255"/>
        <v>23.834366594513611</v>
      </c>
      <c r="T207" s="97">
        <f t="shared" si="255"/>
        <v>24.357446659326801</v>
      </c>
      <c r="U207" s="97">
        <f t="shared" si="255"/>
        <v>24.493377869969276</v>
      </c>
      <c r="V207" s="97">
        <f t="shared" si="255"/>
        <v>86.953400546770652</v>
      </c>
      <c r="W207" s="97">
        <f t="shared" ref="W207" si="256">IF(W55=0,0,W55/W25*1000)</f>
        <v>72.01895691242153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189.65056045465914</v>
      </c>
      <c r="C208" s="130">
        <f t="shared" si="257"/>
        <v>175.40299205016785</v>
      </c>
      <c r="D208" s="130">
        <f t="shared" si="257"/>
        <v>181.87756360819583</v>
      </c>
      <c r="E208" s="130">
        <f t="shared" si="257"/>
        <v>175.59089419474543</v>
      </c>
      <c r="F208" s="130">
        <f t="shared" si="257"/>
        <v>109.83724114420504</v>
      </c>
      <c r="G208" s="130">
        <f t="shared" si="257"/>
        <v>150.66489510682328</v>
      </c>
      <c r="H208" s="130">
        <f t="shared" si="257"/>
        <v>150.94443792871292</v>
      </c>
      <c r="I208" s="130">
        <f t="shared" si="257"/>
        <v>158.4470800335931</v>
      </c>
      <c r="J208" s="130">
        <f t="shared" si="257"/>
        <v>45.871272311916513</v>
      </c>
      <c r="K208" s="130">
        <f t="shared" si="257"/>
        <v>59.30729772985201</v>
      </c>
      <c r="L208" s="130">
        <f t="shared" si="257"/>
        <v>37.330692700283862</v>
      </c>
      <c r="M208" s="130">
        <f t="shared" si="257"/>
        <v>50.238288489546662</v>
      </c>
      <c r="N208" s="130">
        <f t="shared" si="257"/>
        <v>43.272061641006665</v>
      </c>
      <c r="O208" s="130">
        <f t="shared" si="257"/>
        <v>47.725032649148957</v>
      </c>
      <c r="P208" s="130">
        <f t="shared" si="257"/>
        <v>56.441490874166561</v>
      </c>
      <c r="Q208" s="130">
        <f t="shared" si="257"/>
        <v>43.736489985186388</v>
      </c>
      <c r="R208" s="130">
        <f t="shared" si="257"/>
        <v>49.130477522510979</v>
      </c>
      <c r="S208" s="130">
        <f t="shared" si="257"/>
        <v>52.961317128337214</v>
      </c>
      <c r="T208" s="130">
        <f t="shared" si="257"/>
        <v>67.179558591588574</v>
      </c>
      <c r="U208" s="130">
        <f t="shared" si="257"/>
        <v>57.641543453942823</v>
      </c>
      <c r="V208" s="130">
        <f t="shared" si="257"/>
        <v>43.801892155446637</v>
      </c>
      <c r="W208" s="130">
        <f t="shared" ref="W208" si="258">IF(W56=0,0,W56/W26*1000)</f>
        <v>54.539216541296149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221.28513069472842</v>
      </c>
      <c r="C209" s="97">
        <f t="shared" si="259"/>
        <v>212.18740446321348</v>
      </c>
      <c r="D209" s="97">
        <f t="shared" si="259"/>
        <v>221.14501724417738</v>
      </c>
      <c r="E209" s="97">
        <f t="shared" si="259"/>
        <v>218.53231839224637</v>
      </c>
      <c r="F209" s="97">
        <f t="shared" si="259"/>
        <v>151.09070000181805</v>
      </c>
      <c r="G209" s="97">
        <f t="shared" si="259"/>
        <v>212.34851215087085</v>
      </c>
      <c r="H209" s="97">
        <f t="shared" si="259"/>
        <v>172.89726729050921</v>
      </c>
      <c r="I209" s="97">
        <f t="shared" si="259"/>
        <v>178.0566664961095</v>
      </c>
      <c r="J209" s="97">
        <f t="shared" si="259"/>
        <v>65.027825958564833</v>
      </c>
      <c r="K209" s="97">
        <f t="shared" si="259"/>
        <v>86.482522795980941</v>
      </c>
      <c r="L209" s="97">
        <f t="shared" si="259"/>
        <v>68.54206801109062</v>
      </c>
      <c r="M209" s="97">
        <f t="shared" si="259"/>
        <v>77.276169856625842</v>
      </c>
      <c r="N209" s="97">
        <f t="shared" si="259"/>
        <v>60.329094781525932</v>
      </c>
      <c r="O209" s="97">
        <f t="shared" si="259"/>
        <v>61.90771875678255</v>
      </c>
      <c r="P209" s="97">
        <f t="shared" si="259"/>
        <v>69.644547675812319</v>
      </c>
      <c r="Q209" s="97">
        <f t="shared" si="259"/>
        <v>61.334424129488724</v>
      </c>
      <c r="R209" s="97">
        <f t="shared" si="259"/>
        <v>68.159455801145896</v>
      </c>
      <c r="S209" s="97">
        <f t="shared" si="259"/>
        <v>76.391465322963811</v>
      </c>
      <c r="T209" s="97">
        <f t="shared" si="259"/>
        <v>83.607767741060144</v>
      </c>
      <c r="U209" s="97">
        <f t="shared" si="259"/>
        <v>78.491611708545122</v>
      </c>
      <c r="V209" s="97">
        <f t="shared" si="259"/>
        <v>56.91995635662856</v>
      </c>
      <c r="W209" s="97">
        <f t="shared" ref="W209" si="260">IF(W57=0,0,W57/W27*1000)</f>
        <v>66.150752148530188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145.3105796853452</v>
      </c>
      <c r="C210" s="98">
        <f t="shared" si="261"/>
        <v>132.56712507838623</v>
      </c>
      <c r="D210" s="98">
        <f t="shared" si="261"/>
        <v>136.18082740798101</v>
      </c>
      <c r="E210" s="98">
        <f t="shared" si="261"/>
        <v>129.75553545542289</v>
      </c>
      <c r="F210" s="98">
        <f t="shared" si="261"/>
        <v>88.913403704487806</v>
      </c>
      <c r="G210" s="98">
        <f t="shared" si="261"/>
        <v>99.66252969206414</v>
      </c>
      <c r="H210" s="98">
        <f t="shared" si="261"/>
        <v>130.83609886896451</v>
      </c>
      <c r="I210" s="98">
        <f t="shared" si="261"/>
        <v>138.67593936333969</v>
      </c>
      <c r="J210" s="98">
        <f t="shared" si="261"/>
        <v>43.680668074544144</v>
      </c>
      <c r="K210" s="98">
        <f t="shared" si="261"/>
        <v>56.66348848848039</v>
      </c>
      <c r="L210" s="98">
        <f t="shared" si="261"/>
        <v>35.068963708745329</v>
      </c>
      <c r="M210" s="98">
        <f t="shared" si="261"/>
        <v>47.689733738202044</v>
      </c>
      <c r="N210" s="98">
        <f t="shared" si="261"/>
        <v>41.894728309512246</v>
      </c>
      <c r="O210" s="98">
        <f t="shared" si="261"/>
        <v>46.573199869232511</v>
      </c>
      <c r="P210" s="98">
        <f t="shared" si="261"/>
        <v>55.313477758705289</v>
      </c>
      <c r="Q210" s="98">
        <f t="shared" si="261"/>
        <v>42.189233167884609</v>
      </c>
      <c r="R210" s="98">
        <f t="shared" si="261"/>
        <v>48.309727643598272</v>
      </c>
      <c r="S210" s="98">
        <f t="shared" si="261"/>
        <v>51.800444066310455</v>
      </c>
      <c r="T210" s="98">
        <f t="shared" si="261"/>
        <v>66.241236468707626</v>
      </c>
      <c r="U210" s="98">
        <f t="shared" si="261"/>
        <v>56.793882056291345</v>
      </c>
      <c r="V210" s="98">
        <f t="shared" si="261"/>
        <v>43.319225839738699</v>
      </c>
      <c r="W210" s="98">
        <f t="shared" ref="W210:W213" si="262">IF(W58=0,0,W58/W28*1000)</f>
        <v>54.039064487346039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0.59272511158019003</v>
      </c>
      <c r="C211" s="32">
        <f t="shared" si="263"/>
        <v>0.59685642158742092</v>
      </c>
      <c r="D211" s="32">
        <f t="shared" si="263"/>
        <v>0.59593903126317638</v>
      </c>
      <c r="E211" s="32">
        <f t="shared" si="263"/>
        <v>0.59554199218903259</v>
      </c>
      <c r="F211" s="32">
        <f t="shared" si="263"/>
        <v>0.5957595585349027</v>
      </c>
      <c r="G211" s="32">
        <f t="shared" si="263"/>
        <v>0.60005501471728995</v>
      </c>
      <c r="H211" s="32">
        <f t="shared" si="263"/>
        <v>0.55686080926717541</v>
      </c>
      <c r="I211" s="32">
        <f t="shared" si="263"/>
        <v>0.47710420391459785</v>
      </c>
      <c r="J211" s="32">
        <f t="shared" si="263"/>
        <v>0.38538645577784708</v>
      </c>
      <c r="K211" s="32">
        <f t="shared" si="263"/>
        <v>0.1908790814499064</v>
      </c>
      <c r="L211" s="32">
        <f t="shared" si="263"/>
        <v>0.17839661157706529</v>
      </c>
      <c r="M211" s="32">
        <f t="shared" si="263"/>
        <v>0.68555069036524374</v>
      </c>
      <c r="N211" s="32">
        <f t="shared" si="263"/>
        <v>0.13553136710830835</v>
      </c>
      <c r="O211" s="32">
        <f t="shared" si="263"/>
        <v>0.14094417794096362</v>
      </c>
      <c r="P211" s="32">
        <f t="shared" si="263"/>
        <v>0.1582060696536397</v>
      </c>
      <c r="Q211" s="32">
        <f t="shared" si="263"/>
        <v>0.12378910892674644</v>
      </c>
      <c r="R211" s="32">
        <f t="shared" si="263"/>
        <v>0.13859315914654313</v>
      </c>
      <c r="S211" s="32">
        <f t="shared" si="263"/>
        <v>0.17047283284235132</v>
      </c>
      <c r="T211" s="32">
        <f t="shared" si="263"/>
        <v>0.44908555721229221</v>
      </c>
      <c r="U211" s="32">
        <f t="shared" si="263"/>
        <v>0.56333504234667597</v>
      </c>
      <c r="V211" s="32">
        <f t="shared" si="263"/>
        <v>0.50840976257977355</v>
      </c>
      <c r="W211" s="32">
        <f t="shared" si="262"/>
        <v>0.55173025628863748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1.1272558850246426</v>
      </c>
      <c r="C212" s="97">
        <f t="shared" si="264"/>
        <v>1.1493530940651104</v>
      </c>
      <c r="D212" s="97">
        <f t="shared" si="264"/>
        <v>1.1443404589765862</v>
      </c>
      <c r="E212" s="97">
        <f t="shared" si="264"/>
        <v>1.1411123089469695</v>
      </c>
      <c r="F212" s="97">
        <f t="shared" si="264"/>
        <v>1.1427805419664721</v>
      </c>
      <c r="G212" s="97">
        <f t="shared" si="264"/>
        <v>1.1656589440152079</v>
      </c>
      <c r="H212" s="97">
        <f t="shared" si="264"/>
        <v>1.0362053570653145</v>
      </c>
      <c r="I212" s="97">
        <f t="shared" si="264"/>
        <v>0.98336257852315412</v>
      </c>
      <c r="J212" s="97">
        <f t="shared" si="264"/>
        <v>0.87810292008842405</v>
      </c>
      <c r="K212" s="97">
        <f t="shared" si="264"/>
        <v>0.35672893159680219</v>
      </c>
      <c r="L212" s="97">
        <f t="shared" si="264"/>
        <v>0.37567724327221808</v>
      </c>
      <c r="M212" s="97">
        <f t="shared" si="264"/>
        <v>1.3901974920380116</v>
      </c>
      <c r="N212" s="97">
        <f t="shared" si="264"/>
        <v>0.29026440892517436</v>
      </c>
      <c r="O212" s="97">
        <f t="shared" si="264"/>
        <v>0.34036270527856061</v>
      </c>
      <c r="P212" s="97">
        <f t="shared" si="264"/>
        <v>0.40397417751601233</v>
      </c>
      <c r="Q212" s="97">
        <f t="shared" si="264"/>
        <v>0.33993067962288032</v>
      </c>
      <c r="R212" s="97">
        <f t="shared" si="264"/>
        <v>0.37684679008050459</v>
      </c>
      <c r="S212" s="97">
        <f t="shared" si="264"/>
        <v>0.44905735393586538</v>
      </c>
      <c r="T212" s="97">
        <f t="shared" si="264"/>
        <v>1.2581150491541979</v>
      </c>
      <c r="U212" s="97">
        <f t="shared" si="264"/>
        <v>1.5810977878668273</v>
      </c>
      <c r="V212" s="97">
        <f t="shared" si="264"/>
        <v>1.0890144359152103</v>
      </c>
      <c r="W212" s="97">
        <f t="shared" si="262"/>
        <v>1.1599994752738856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0.44704992868555504</v>
      </c>
      <c r="C213" s="98">
        <f t="shared" si="265"/>
        <v>0.44960545146931313</v>
      </c>
      <c r="D213" s="98">
        <f t="shared" si="265"/>
        <v>0.44954317353725054</v>
      </c>
      <c r="E213" s="98">
        <f t="shared" si="265"/>
        <v>0.44947231479752325</v>
      </c>
      <c r="F213" s="98">
        <f t="shared" si="265"/>
        <v>0.44940044685370845</v>
      </c>
      <c r="G213" s="98">
        <f t="shared" si="265"/>
        <v>0.45264774875799285</v>
      </c>
      <c r="H213" s="98">
        <f t="shared" si="265"/>
        <v>0.41972076995969743</v>
      </c>
      <c r="I213" s="98">
        <f t="shared" si="265"/>
        <v>0.3612478255385525</v>
      </c>
      <c r="J213" s="98">
        <f t="shared" si="265"/>
        <v>0.29562344828078679</v>
      </c>
      <c r="K213" s="98">
        <f t="shared" si="265"/>
        <v>0.14049697748936563</v>
      </c>
      <c r="L213" s="98">
        <f t="shared" si="265"/>
        <v>0.13168853433765088</v>
      </c>
      <c r="M213" s="98">
        <f t="shared" si="265"/>
        <v>0.50278843629562731</v>
      </c>
      <c r="N213" s="98">
        <f t="shared" si="265"/>
        <v>9.9393898952717552E-2</v>
      </c>
      <c r="O213" s="98">
        <f t="shared" si="265"/>
        <v>0.10718530358885689</v>
      </c>
      <c r="P213" s="98">
        <f t="shared" si="265"/>
        <v>0.1213578356461176</v>
      </c>
      <c r="Q213" s="98">
        <f t="shared" si="265"/>
        <v>9.7134388771388816E-2</v>
      </c>
      <c r="R213" s="98">
        <f t="shared" si="265"/>
        <v>0.11059013255932021</v>
      </c>
      <c r="S213" s="98">
        <f t="shared" si="265"/>
        <v>0.13564082466660055</v>
      </c>
      <c r="T213" s="98">
        <f t="shared" si="265"/>
        <v>0.36146419741803909</v>
      </c>
      <c r="U213" s="98">
        <f t="shared" si="265"/>
        <v>0.44441577759428924</v>
      </c>
      <c r="V213" s="98">
        <f t="shared" si="265"/>
        <v>0.40730131168393779</v>
      </c>
      <c r="W213" s="98">
        <f t="shared" si="262"/>
        <v>0.43558546444163565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138.96768207387942</v>
      </c>
      <c r="C216" s="32">
        <f t="shared" si="266"/>
        <v>132.84736648568867</v>
      </c>
      <c r="D216" s="32">
        <f t="shared" si="266"/>
        <v>129.8439298709952</v>
      </c>
      <c r="E216" s="32">
        <f t="shared" si="266"/>
        <v>135.78084839236982</v>
      </c>
      <c r="F216" s="32">
        <f t="shared" si="266"/>
        <v>134.13192438314186</v>
      </c>
      <c r="G216" s="32">
        <f t="shared" si="266"/>
        <v>135.87053700523526</v>
      </c>
      <c r="H216" s="32">
        <f t="shared" si="266"/>
        <v>137.64903571328821</v>
      </c>
      <c r="I216" s="32">
        <f t="shared" si="266"/>
        <v>142.5894493406837</v>
      </c>
      <c r="J216" s="32">
        <f t="shared" si="266"/>
        <v>135.73933856264821</v>
      </c>
      <c r="K216" s="32">
        <f t="shared" si="266"/>
        <v>139.73027050447217</v>
      </c>
      <c r="L216" s="32">
        <f t="shared" si="266"/>
        <v>139.42766623918146</v>
      </c>
      <c r="M216" s="32">
        <f t="shared" si="266"/>
        <v>140.72108414323367</v>
      </c>
      <c r="N216" s="32">
        <f t="shared" si="266"/>
        <v>135.15566613295817</v>
      </c>
      <c r="O216" s="32">
        <f t="shared" si="266"/>
        <v>132.85986740327834</v>
      </c>
      <c r="P216" s="32">
        <f t="shared" si="266"/>
        <v>133.0915499158842</v>
      </c>
      <c r="Q216" s="32">
        <f t="shared" si="266"/>
        <v>138.09784941237803</v>
      </c>
      <c r="R216" s="32">
        <f t="shared" si="266"/>
        <v>142.17335616681657</v>
      </c>
      <c r="S216" s="32">
        <f t="shared" si="266"/>
        <v>143.14184830649404</v>
      </c>
      <c r="T216" s="32">
        <f t="shared" si="266"/>
        <v>142.21622480652633</v>
      </c>
      <c r="U216" s="32">
        <f t="shared" si="266"/>
        <v>142.34551476817001</v>
      </c>
      <c r="V216" s="32">
        <f t="shared" si="266"/>
        <v>172.13426373751159</v>
      </c>
      <c r="W216" s="32">
        <f t="shared" ref="W216" si="267">IF(W4=0,0,W64/W4*1000)</f>
        <v>162.03308613780106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147.23010383728035</v>
      </c>
      <c r="C217" s="141">
        <f t="shared" si="268"/>
        <v>140.15262485375089</v>
      </c>
      <c r="D217" s="141">
        <f t="shared" si="268"/>
        <v>136.18922868546207</v>
      </c>
      <c r="E217" s="141">
        <f t="shared" si="268"/>
        <v>142.70214992353664</v>
      </c>
      <c r="F217" s="141">
        <f t="shared" si="268"/>
        <v>140.4059679533471</v>
      </c>
      <c r="G217" s="141">
        <f t="shared" si="268"/>
        <v>143.10374886065298</v>
      </c>
      <c r="H217" s="141">
        <f t="shared" si="268"/>
        <v>146.22007505035367</v>
      </c>
      <c r="I217" s="141">
        <f t="shared" si="268"/>
        <v>153.14275673717614</v>
      </c>
      <c r="J217" s="141">
        <f t="shared" si="268"/>
        <v>144.15344640831066</v>
      </c>
      <c r="K217" s="141">
        <f t="shared" si="268"/>
        <v>150.50887224771679</v>
      </c>
      <c r="L217" s="141">
        <f t="shared" si="268"/>
        <v>150.9143596411422</v>
      </c>
      <c r="M217" s="141">
        <f t="shared" si="268"/>
        <v>151.4806689619752</v>
      </c>
      <c r="N217" s="141">
        <f t="shared" si="268"/>
        <v>143.86620236823339</v>
      </c>
      <c r="O217" s="141">
        <f t="shared" si="268"/>
        <v>140.4071377213956</v>
      </c>
      <c r="P217" s="141">
        <f t="shared" si="268"/>
        <v>142.06443468051782</v>
      </c>
      <c r="Q217" s="141">
        <f t="shared" si="268"/>
        <v>150.00846523055037</v>
      </c>
      <c r="R217" s="141">
        <f t="shared" si="268"/>
        <v>156.77762416543419</v>
      </c>
      <c r="S217" s="141">
        <f t="shared" si="268"/>
        <v>160.23463659432656</v>
      </c>
      <c r="T217" s="141">
        <f t="shared" si="268"/>
        <v>160.08859656313876</v>
      </c>
      <c r="U217" s="141">
        <f t="shared" si="268"/>
        <v>160.3321193438498</v>
      </c>
      <c r="V217" s="141">
        <f t="shared" si="268"/>
        <v>178.49701832711963</v>
      </c>
      <c r="W217" s="141">
        <f t="shared" ref="W217" si="269">IF(W5=0,0,W65/W5*1000)</f>
        <v>171.77513073580425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100.33076387195126</v>
      </c>
      <c r="C218" s="97">
        <f t="shared" si="270"/>
        <v>100.12659987506585</v>
      </c>
      <c r="D218" s="97">
        <f t="shared" si="270"/>
        <v>98.774449084930936</v>
      </c>
      <c r="E218" s="97">
        <f t="shared" si="270"/>
        <v>95.602287665823425</v>
      </c>
      <c r="F218" s="97">
        <f t="shared" si="270"/>
        <v>93.236470363409026</v>
      </c>
      <c r="G218" s="97">
        <f t="shared" si="270"/>
        <v>91.089987328876305</v>
      </c>
      <c r="H218" s="97">
        <f t="shared" si="270"/>
        <v>89.377882810871597</v>
      </c>
      <c r="I218" s="97">
        <f t="shared" si="270"/>
        <v>88.317410030081462</v>
      </c>
      <c r="J218" s="97">
        <f t="shared" si="270"/>
        <v>87.445522682160302</v>
      </c>
      <c r="K218" s="97">
        <f t="shared" si="270"/>
        <v>86.538000028472723</v>
      </c>
      <c r="L218" s="97">
        <f t="shared" si="270"/>
        <v>86.510872465229838</v>
      </c>
      <c r="M218" s="97">
        <f t="shared" si="270"/>
        <v>85.90594711791249</v>
      </c>
      <c r="N218" s="97">
        <f t="shared" si="270"/>
        <v>86.235135877233887</v>
      </c>
      <c r="O218" s="97">
        <f t="shared" si="270"/>
        <v>85.651543725239975</v>
      </c>
      <c r="P218" s="97">
        <f t="shared" si="270"/>
        <v>84.964647758044649</v>
      </c>
      <c r="Q218" s="97">
        <f t="shared" si="270"/>
        <v>84.743484919237162</v>
      </c>
      <c r="R218" s="97">
        <f t="shared" si="270"/>
        <v>84.374550832353052</v>
      </c>
      <c r="S218" s="97">
        <f t="shared" si="270"/>
        <v>84.429141272123744</v>
      </c>
      <c r="T218" s="97">
        <f t="shared" si="270"/>
        <v>83.85439191898665</v>
      </c>
      <c r="U218" s="97">
        <f t="shared" si="270"/>
        <v>83.557677687496977</v>
      </c>
      <c r="V218" s="97">
        <f t="shared" si="270"/>
        <v>83.652425351516371</v>
      </c>
      <c r="W218" s="97">
        <f t="shared" ref="W218" si="271">IF(W6=0,0,W66/W6*1000)</f>
        <v>80.225740929465189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144.69754361512264</v>
      </c>
      <c r="C219" s="97">
        <f t="shared" si="272"/>
        <v>138.42568756077489</v>
      </c>
      <c r="D219" s="97">
        <f t="shared" si="272"/>
        <v>134.66244469695164</v>
      </c>
      <c r="E219" s="97">
        <f t="shared" si="272"/>
        <v>143.26344760638963</v>
      </c>
      <c r="F219" s="97">
        <f t="shared" si="272"/>
        <v>139.24204453934232</v>
      </c>
      <c r="G219" s="97">
        <f t="shared" si="272"/>
        <v>142.78891042463241</v>
      </c>
      <c r="H219" s="97">
        <f t="shared" si="272"/>
        <v>147.34112032389137</v>
      </c>
      <c r="I219" s="97">
        <f t="shared" si="272"/>
        <v>156.25272997636458</v>
      </c>
      <c r="J219" s="97">
        <f t="shared" si="272"/>
        <v>147.44072116266335</v>
      </c>
      <c r="K219" s="97">
        <f t="shared" si="272"/>
        <v>150.79653096519232</v>
      </c>
      <c r="L219" s="97">
        <f t="shared" si="272"/>
        <v>150.1378646581305</v>
      </c>
      <c r="M219" s="97">
        <f t="shared" si="272"/>
        <v>151.01729420661664</v>
      </c>
      <c r="N219" s="97">
        <f t="shared" si="272"/>
        <v>143.92859793641904</v>
      </c>
      <c r="O219" s="97">
        <f t="shared" si="272"/>
        <v>141.1823842990797</v>
      </c>
      <c r="P219" s="97">
        <f t="shared" si="272"/>
        <v>143.6090838516474</v>
      </c>
      <c r="Q219" s="97">
        <f t="shared" si="272"/>
        <v>149.87123315260115</v>
      </c>
      <c r="R219" s="97">
        <f t="shared" si="272"/>
        <v>158.8559148395361</v>
      </c>
      <c r="S219" s="97">
        <f t="shared" si="272"/>
        <v>163.77279070009928</v>
      </c>
      <c r="T219" s="97">
        <f t="shared" si="272"/>
        <v>161.79005569413235</v>
      </c>
      <c r="U219" s="97">
        <f t="shared" si="272"/>
        <v>167.27407505066682</v>
      </c>
      <c r="V219" s="97">
        <f t="shared" si="272"/>
        <v>180.55105697895732</v>
      </c>
      <c r="W219" s="97">
        <f t="shared" ref="W219" si="273">IF(W7=0,0,W67/W7*1000)</f>
        <v>173.77833320209334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164.82795391281132</v>
      </c>
      <c r="C220" s="97">
        <f t="shared" si="274"/>
        <v>152.52850984206987</v>
      </c>
      <c r="D220" s="97">
        <f t="shared" si="274"/>
        <v>147.48143509442451</v>
      </c>
      <c r="E220" s="97">
        <f t="shared" si="274"/>
        <v>141.82260849866006</v>
      </c>
      <c r="F220" s="97">
        <f t="shared" si="274"/>
        <v>151.54242440838581</v>
      </c>
      <c r="G220" s="97">
        <f t="shared" si="274"/>
        <v>149.05582015623108</v>
      </c>
      <c r="H220" s="97">
        <f t="shared" si="274"/>
        <v>142.58725085549932</v>
      </c>
      <c r="I220" s="97">
        <f t="shared" si="274"/>
        <v>136.49918805967292</v>
      </c>
      <c r="J220" s="97">
        <f t="shared" si="274"/>
        <v>126.23738999203863</v>
      </c>
      <c r="K220" s="97">
        <f t="shared" si="274"/>
        <v>153.33807785803398</v>
      </c>
      <c r="L220" s="97">
        <f t="shared" si="274"/>
        <v>162.45021303005862</v>
      </c>
      <c r="M220" s="97">
        <f t="shared" si="274"/>
        <v>160.86295675519688</v>
      </c>
      <c r="N220" s="97">
        <f t="shared" si="274"/>
        <v>148.15617307984209</v>
      </c>
      <c r="O220" s="97">
        <f t="shared" si="274"/>
        <v>138.83170711035061</v>
      </c>
      <c r="P220" s="97">
        <f t="shared" si="274"/>
        <v>135.24559633620413</v>
      </c>
      <c r="Q220" s="97">
        <f t="shared" si="274"/>
        <v>156.28134901914643</v>
      </c>
      <c r="R220" s="97">
        <f t="shared" si="274"/>
        <v>147.83255796448611</v>
      </c>
      <c r="S220" s="97">
        <f t="shared" si="274"/>
        <v>143.25814461708859</v>
      </c>
      <c r="T220" s="97">
        <f t="shared" si="274"/>
        <v>154.67642974862335</v>
      </c>
      <c r="U220" s="97">
        <f t="shared" si="274"/>
        <v>122.467723278501</v>
      </c>
      <c r="V220" s="97">
        <f t="shared" si="274"/>
        <v>170.94350581495641</v>
      </c>
      <c r="W220" s="97">
        <f t="shared" ref="W220" si="275">IF(W8=0,0,W68/W8*1000)</f>
        <v>165.16219973673296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34.655447248088315</v>
      </c>
      <c r="C221" s="130">
        <f t="shared" si="276"/>
        <v>32.72573242063563</v>
      </c>
      <c r="D221" s="130">
        <f t="shared" si="276"/>
        <v>33.161728362883743</v>
      </c>
      <c r="E221" s="130">
        <f t="shared" si="276"/>
        <v>31.105665269069863</v>
      </c>
      <c r="F221" s="130">
        <f t="shared" si="276"/>
        <v>34.017982631089438</v>
      </c>
      <c r="G221" s="130">
        <f t="shared" si="276"/>
        <v>32.132662982680941</v>
      </c>
      <c r="H221" s="130">
        <f t="shared" si="276"/>
        <v>30.751421777072405</v>
      </c>
      <c r="I221" s="130">
        <f t="shared" si="276"/>
        <v>25.487380892867051</v>
      </c>
      <c r="J221" s="130">
        <f t="shared" si="276"/>
        <v>25.014852014612401</v>
      </c>
      <c r="K221" s="130">
        <f t="shared" si="276"/>
        <v>22.606449470221698</v>
      </c>
      <c r="L221" s="130">
        <f t="shared" si="276"/>
        <v>23.002708375059235</v>
      </c>
      <c r="M221" s="130">
        <f t="shared" si="276"/>
        <v>25.63230459343422</v>
      </c>
      <c r="N221" s="130">
        <f t="shared" si="276"/>
        <v>30.047080452426542</v>
      </c>
      <c r="O221" s="130">
        <f t="shared" si="276"/>
        <v>31.231910156553493</v>
      </c>
      <c r="P221" s="130">
        <f t="shared" si="276"/>
        <v>25.678977479382308</v>
      </c>
      <c r="Q221" s="130">
        <f t="shared" si="276"/>
        <v>22.035269291217219</v>
      </c>
      <c r="R221" s="130">
        <f t="shared" si="276"/>
        <v>23.048761811058512</v>
      </c>
      <c r="S221" s="130">
        <f t="shared" si="276"/>
        <v>24.132909040138038</v>
      </c>
      <c r="T221" s="130">
        <f t="shared" si="276"/>
        <v>20.863811969301022</v>
      </c>
      <c r="U221" s="130">
        <f t="shared" si="276"/>
        <v>22.706888862261497</v>
      </c>
      <c r="V221" s="130">
        <f t="shared" si="276"/>
        <v>25.614537609551324</v>
      </c>
      <c r="W221" s="130">
        <f t="shared" ref="W221" si="277">IF(W9=0,0,W69/W9*1000)</f>
        <v>25.991249861655966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48.610935662238418</v>
      </c>
      <c r="C223" s="97">
        <f t="shared" si="280"/>
        <v>46.74806268677461</v>
      </c>
      <c r="D223" s="97">
        <f t="shared" si="280"/>
        <v>48.000921920466773</v>
      </c>
      <c r="E223" s="97">
        <f t="shared" si="280"/>
        <v>45.824234867428679</v>
      </c>
      <c r="F223" s="97">
        <f t="shared" si="280"/>
        <v>49.414335329468138</v>
      </c>
      <c r="G223" s="97">
        <f t="shared" si="280"/>
        <v>46.095208534289803</v>
      </c>
      <c r="H223" s="97">
        <f t="shared" si="280"/>
        <v>43.772462338658755</v>
      </c>
      <c r="I223" s="97">
        <f t="shared" si="280"/>
        <v>36.196941779675321</v>
      </c>
      <c r="J223" s="97">
        <f t="shared" si="280"/>
        <v>33.833032780989093</v>
      </c>
      <c r="K223" s="97">
        <f t="shared" si="280"/>
        <v>29.86786183556783</v>
      </c>
      <c r="L223" s="97">
        <f t="shared" si="280"/>
        <v>30.388271709248254</v>
      </c>
      <c r="M223" s="97">
        <f t="shared" si="280"/>
        <v>34.772165154677509</v>
      </c>
      <c r="N223" s="97">
        <f t="shared" si="280"/>
        <v>44.581437516051835</v>
      </c>
      <c r="O223" s="97">
        <f t="shared" si="280"/>
        <v>49.028687641569348</v>
      </c>
      <c r="P223" s="97">
        <f t="shared" si="280"/>
        <v>41.800362755225223</v>
      </c>
      <c r="Q223" s="97">
        <f t="shared" si="280"/>
        <v>36.037757959646541</v>
      </c>
      <c r="R223" s="97">
        <f t="shared" si="280"/>
        <v>40.02137391687166</v>
      </c>
      <c r="S223" s="97">
        <f t="shared" si="280"/>
        <v>44.068233003385664</v>
      </c>
      <c r="T223" s="97">
        <f t="shared" si="280"/>
        <v>36.956179068755262</v>
      </c>
      <c r="U223" s="97">
        <f t="shared" si="280"/>
        <v>34.535797982828548</v>
      </c>
      <c r="V223" s="97">
        <f t="shared" si="280"/>
        <v>48.157846419471717</v>
      </c>
      <c r="W223" s="97">
        <f t="shared" ref="W223" si="281">IF(W11=0,0,W71/W11*1000)</f>
        <v>43.828542208627631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132.53039687996755</v>
      </c>
      <c r="C225" s="130">
        <f t="shared" si="284"/>
        <v>131.35716132197663</v>
      </c>
      <c r="D225" s="130">
        <f t="shared" si="284"/>
        <v>132.2385995518155</v>
      </c>
      <c r="E225" s="130">
        <f t="shared" si="284"/>
        <v>133.61154221604082</v>
      </c>
      <c r="F225" s="130">
        <f t="shared" si="284"/>
        <v>134.08156739407167</v>
      </c>
      <c r="G225" s="130">
        <f t="shared" si="284"/>
        <v>128.27489474846419</v>
      </c>
      <c r="H225" s="130">
        <f t="shared" si="284"/>
        <v>119.60253403000313</v>
      </c>
      <c r="I225" s="130">
        <f t="shared" si="284"/>
        <v>121.14374300033619</v>
      </c>
      <c r="J225" s="130">
        <f t="shared" si="284"/>
        <v>136.12459420699727</v>
      </c>
      <c r="K225" s="130">
        <f t="shared" si="284"/>
        <v>120.0903243097658</v>
      </c>
      <c r="L225" s="130">
        <f t="shared" si="284"/>
        <v>114.02599201976797</v>
      </c>
      <c r="M225" s="130">
        <f t="shared" si="284"/>
        <v>113.96186236033786</v>
      </c>
      <c r="N225" s="130">
        <f t="shared" si="284"/>
        <v>108.14697708989222</v>
      </c>
      <c r="O225" s="130">
        <f t="shared" si="284"/>
        <v>111.1174289239182</v>
      </c>
      <c r="P225" s="130">
        <f t="shared" si="284"/>
        <v>104.21687485309252</v>
      </c>
      <c r="Q225" s="130">
        <f t="shared" si="284"/>
        <v>94.033559858287987</v>
      </c>
      <c r="R225" s="130">
        <f t="shared" si="284"/>
        <v>85.176632043276229</v>
      </c>
      <c r="S225" s="130">
        <f t="shared" si="284"/>
        <v>81.127049929668019</v>
      </c>
      <c r="T225" s="130">
        <f t="shared" si="284"/>
        <v>86.995992104605733</v>
      </c>
      <c r="U225" s="130">
        <f t="shared" si="284"/>
        <v>86.897086949618682</v>
      </c>
      <c r="V225" s="130">
        <f t="shared" si="284"/>
        <v>154.49255485605121</v>
      </c>
      <c r="W225" s="130">
        <f t="shared" ref="W225" si="285">IF(W13=0,0,W73/W13*1000)</f>
        <v>115.04810552821513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186.86267185904359</v>
      </c>
      <c r="C226" s="97">
        <f t="shared" si="286"/>
        <v>187.19434960618665</v>
      </c>
      <c r="D226" s="97">
        <f t="shared" si="286"/>
        <v>187.87831246641753</v>
      </c>
      <c r="E226" s="97">
        <f t="shared" si="286"/>
        <v>188.2742134810417</v>
      </c>
      <c r="F226" s="97">
        <f t="shared" si="286"/>
        <v>188.28466701880492</v>
      </c>
      <c r="G226" s="97">
        <f t="shared" si="286"/>
        <v>184.41502467494038</v>
      </c>
      <c r="H226" s="97">
        <f t="shared" si="286"/>
        <v>214.15893023650958</v>
      </c>
      <c r="I226" s="97">
        <f t="shared" si="286"/>
        <v>204.77389441583253</v>
      </c>
      <c r="J226" s="97">
        <f t="shared" si="286"/>
        <v>188.22433766587363</v>
      </c>
      <c r="K226" s="97">
        <f t="shared" si="286"/>
        <v>190.74227785538613</v>
      </c>
      <c r="L226" s="97">
        <f t="shared" si="286"/>
        <v>171.42115240739159</v>
      </c>
      <c r="M226" s="97">
        <f t="shared" si="286"/>
        <v>173.95333041985754</v>
      </c>
      <c r="N226" s="97">
        <f t="shared" si="286"/>
        <v>163.96112968445286</v>
      </c>
      <c r="O226" s="97">
        <f t="shared" si="286"/>
        <v>169.43188659994752</v>
      </c>
      <c r="P226" s="97">
        <f t="shared" si="286"/>
        <v>170.39084468938566</v>
      </c>
      <c r="Q226" s="97">
        <f t="shared" si="286"/>
        <v>187.00964901086436</v>
      </c>
      <c r="R226" s="97">
        <f t="shared" si="286"/>
        <v>176.0587602756051</v>
      </c>
      <c r="S226" s="97">
        <f t="shared" si="286"/>
        <v>158.89891190738794</v>
      </c>
      <c r="T226" s="97">
        <f t="shared" si="286"/>
        <v>161.26554145079666</v>
      </c>
      <c r="U226" s="97">
        <f t="shared" si="286"/>
        <v>165.94480776480779</v>
      </c>
      <c r="V226" s="97">
        <f t="shared" si="286"/>
        <v>261.05329058914447</v>
      </c>
      <c r="W226" s="97">
        <f t="shared" ref="W226" si="287">IF(W14=0,0,W74/W14*1000)</f>
        <v>257.95106746811524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128.05416921732029</v>
      </c>
      <c r="C227" s="97">
        <f t="shared" si="288"/>
        <v>126.69399326548626</v>
      </c>
      <c r="D227" s="97">
        <f t="shared" si="288"/>
        <v>126.52474817663951</v>
      </c>
      <c r="E227" s="97">
        <f t="shared" si="288"/>
        <v>127.52135465357756</v>
      </c>
      <c r="F227" s="97">
        <f t="shared" si="288"/>
        <v>128.62272686208206</v>
      </c>
      <c r="G227" s="97">
        <f t="shared" si="288"/>
        <v>120.23851113731935</v>
      </c>
      <c r="H227" s="97">
        <f t="shared" si="288"/>
        <v>110.06541405449373</v>
      </c>
      <c r="I227" s="97">
        <f t="shared" si="288"/>
        <v>115.33894108326217</v>
      </c>
      <c r="J227" s="97">
        <f t="shared" si="288"/>
        <v>136.9131529695334</v>
      </c>
      <c r="K227" s="97">
        <f t="shared" si="288"/>
        <v>116.30481254796581</v>
      </c>
      <c r="L227" s="97">
        <f t="shared" si="288"/>
        <v>116.71905981080786</v>
      </c>
      <c r="M227" s="97">
        <f t="shared" si="288"/>
        <v>118.81200183782902</v>
      </c>
      <c r="N227" s="97">
        <f t="shared" si="288"/>
        <v>113.32912073191325</v>
      </c>
      <c r="O227" s="97">
        <f t="shared" si="288"/>
        <v>109.72952082877283</v>
      </c>
      <c r="P227" s="97">
        <f t="shared" si="288"/>
        <v>101.810692567714</v>
      </c>
      <c r="Q227" s="97">
        <f t="shared" si="288"/>
        <v>93.093743250345767</v>
      </c>
      <c r="R227" s="97">
        <f t="shared" si="288"/>
        <v>85.465463877734848</v>
      </c>
      <c r="S227" s="97">
        <f t="shared" si="288"/>
        <v>85.490921106730539</v>
      </c>
      <c r="T227" s="97">
        <f t="shared" si="288"/>
        <v>97.06574505608009</v>
      </c>
      <c r="U227" s="97">
        <f t="shared" si="288"/>
        <v>96.492919543610213</v>
      </c>
      <c r="V227" s="97">
        <f t="shared" si="288"/>
        <v>144.36010367891862</v>
      </c>
      <c r="W227" s="97">
        <f t="shared" ref="W227" si="289">IF(W15=0,0,W75/W15*1000)</f>
        <v>113.31306419551808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127.40741083154811</v>
      </c>
      <c r="C228" s="97">
        <f t="shared" si="290"/>
        <v>126.72790770443312</v>
      </c>
      <c r="D228" s="97">
        <f t="shared" si="290"/>
        <v>125.74737945548203</v>
      </c>
      <c r="E228" s="97">
        <f t="shared" si="290"/>
        <v>124.69102298980899</v>
      </c>
      <c r="F228" s="97">
        <f t="shared" si="290"/>
        <v>124.34780715676301</v>
      </c>
      <c r="G228" s="97">
        <f t="shared" si="290"/>
        <v>139.38404533545148</v>
      </c>
      <c r="H228" s="97">
        <f t="shared" si="290"/>
        <v>126.80097454998895</v>
      </c>
      <c r="I228" s="97">
        <f t="shared" si="290"/>
        <v>110.54454948731787</v>
      </c>
      <c r="J228" s="97">
        <f t="shared" si="290"/>
        <v>109.03870574891494</v>
      </c>
      <c r="K228" s="97">
        <f t="shared" si="290"/>
        <v>105.55104441585929</v>
      </c>
      <c r="L228" s="97">
        <f t="shared" si="290"/>
        <v>85.00332265421369</v>
      </c>
      <c r="M228" s="97">
        <f t="shared" si="290"/>
        <v>78.796252933475216</v>
      </c>
      <c r="N228" s="97">
        <f t="shared" si="290"/>
        <v>74.586054308972749</v>
      </c>
      <c r="O228" s="97">
        <f t="shared" si="290"/>
        <v>99.061897970503026</v>
      </c>
      <c r="P228" s="97">
        <f t="shared" si="290"/>
        <v>96.199211368188884</v>
      </c>
      <c r="Q228" s="97">
        <f t="shared" si="290"/>
        <v>74.145703149110005</v>
      </c>
      <c r="R228" s="97">
        <f t="shared" si="290"/>
        <v>61.958672877601224</v>
      </c>
      <c r="S228" s="97">
        <f t="shared" si="290"/>
        <v>47.727813751387465</v>
      </c>
      <c r="T228" s="97">
        <f t="shared" si="290"/>
        <v>42.70574231446686</v>
      </c>
      <c r="U228" s="97">
        <f t="shared" si="290"/>
        <v>43.448673290155753</v>
      </c>
      <c r="V228" s="97">
        <f t="shared" si="290"/>
        <v>164.7508783435797</v>
      </c>
      <c r="W228" s="97">
        <f t="shared" ref="W228" si="291">IF(W16=0,0,W76/W16*1000)</f>
        <v>97.967292842780822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95.810698824767158</v>
      </c>
      <c r="C229" s="32">
        <f t="shared" si="292"/>
        <v>84.049849557441192</v>
      </c>
      <c r="D229" s="32">
        <f t="shared" si="292"/>
        <v>99.7597613354869</v>
      </c>
      <c r="E229" s="32">
        <f t="shared" si="292"/>
        <v>103.92906943738448</v>
      </c>
      <c r="F229" s="32">
        <f t="shared" si="292"/>
        <v>102.06994296253305</v>
      </c>
      <c r="G229" s="32">
        <f t="shared" si="292"/>
        <v>102.04203300875925</v>
      </c>
      <c r="H229" s="32">
        <f t="shared" si="292"/>
        <v>102.00639774530408</v>
      </c>
      <c r="I229" s="32">
        <f t="shared" si="292"/>
        <v>101.97175448696983</v>
      </c>
      <c r="J229" s="32">
        <f t="shared" si="292"/>
        <v>104.46726038428977</v>
      </c>
      <c r="K229" s="32">
        <f t="shared" si="292"/>
        <v>119.38509084190298</v>
      </c>
      <c r="L229" s="32">
        <f t="shared" si="292"/>
        <v>118.88063257772787</v>
      </c>
      <c r="M229" s="32">
        <f t="shared" si="292"/>
        <v>121.13944326605298</v>
      </c>
      <c r="N229" s="32">
        <f t="shared" si="292"/>
        <v>112.96395629645109</v>
      </c>
      <c r="O229" s="32">
        <f t="shared" si="292"/>
        <v>126.74325118950358</v>
      </c>
      <c r="P229" s="32">
        <f t="shared" si="292"/>
        <v>118.58437001148815</v>
      </c>
      <c r="Q229" s="32">
        <f t="shared" si="292"/>
        <v>114.56653074129503</v>
      </c>
      <c r="R229" s="32">
        <f t="shared" si="292"/>
        <v>113.09971119382837</v>
      </c>
      <c r="S229" s="32">
        <f t="shared" si="292"/>
        <v>122.20020407215611</v>
      </c>
      <c r="T229" s="32">
        <f t="shared" si="292"/>
        <v>114.87031042647654</v>
      </c>
      <c r="U229" s="32">
        <f t="shared" si="292"/>
        <v>129.18356156148579</v>
      </c>
      <c r="V229" s="32">
        <f t="shared" si="292"/>
        <v>118.95120237804858</v>
      </c>
      <c r="W229" s="32">
        <f t="shared" ref="W229" si="293">IF(W17=0,0,W77/W17*1000)</f>
        <v>122.56399215234325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106.72957856340159</v>
      </c>
      <c r="C230" s="141">
        <f t="shared" si="294"/>
        <v>92.036482277007565</v>
      </c>
      <c r="D230" s="141">
        <f t="shared" si="294"/>
        <v>110.63473869953016</v>
      </c>
      <c r="E230" s="141">
        <f t="shared" si="294"/>
        <v>117.69914576595365</v>
      </c>
      <c r="F230" s="141">
        <f t="shared" si="294"/>
        <v>116.50742771242821</v>
      </c>
      <c r="G230" s="141">
        <f t="shared" si="294"/>
        <v>117.57883904138575</v>
      </c>
      <c r="H230" s="141">
        <f t="shared" si="294"/>
        <v>120.79230029264193</v>
      </c>
      <c r="I230" s="141">
        <f t="shared" si="294"/>
        <v>122.26665405399743</v>
      </c>
      <c r="J230" s="141">
        <f t="shared" si="294"/>
        <v>129.36748204539296</v>
      </c>
      <c r="K230" s="141">
        <f t="shared" si="294"/>
        <v>145.22483866517371</v>
      </c>
      <c r="L230" s="141">
        <f t="shared" si="294"/>
        <v>152.55573682523072</v>
      </c>
      <c r="M230" s="141">
        <f t="shared" si="294"/>
        <v>150.47480777650441</v>
      </c>
      <c r="N230" s="141">
        <f t="shared" si="294"/>
        <v>140.85314975738959</v>
      </c>
      <c r="O230" s="141">
        <f t="shared" si="294"/>
        <v>153.82290505639639</v>
      </c>
      <c r="P230" s="141">
        <f t="shared" si="294"/>
        <v>141.3848488700059</v>
      </c>
      <c r="Q230" s="141">
        <f t="shared" si="294"/>
        <v>138.7745315838732</v>
      </c>
      <c r="R230" s="141">
        <f t="shared" si="294"/>
        <v>134.75643631644198</v>
      </c>
      <c r="S230" s="141">
        <f t="shared" si="294"/>
        <v>148.37818457422028</v>
      </c>
      <c r="T230" s="141">
        <f t="shared" si="294"/>
        <v>137.99364289409388</v>
      </c>
      <c r="U230" s="141">
        <f t="shared" si="294"/>
        <v>162.26392464716463</v>
      </c>
      <c r="V230" s="141">
        <f t="shared" si="294"/>
        <v>155.1539872438496</v>
      </c>
      <c r="W230" s="141">
        <f t="shared" ref="W230" si="295">IF(W18=0,0,W78/W18*1000)</f>
        <v>155.70595968954592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1619.7029906636642</v>
      </c>
      <c r="C231" s="97">
        <f t="shared" si="296"/>
        <v>1462.9110511629644</v>
      </c>
      <c r="D231" s="97">
        <f t="shared" si="296"/>
        <v>1492.9811353443788</v>
      </c>
      <c r="E231" s="97">
        <f t="shared" si="296"/>
        <v>1480.0767937197102</v>
      </c>
      <c r="F231" s="97">
        <f t="shared" si="296"/>
        <v>1463.99725969208</v>
      </c>
      <c r="G231" s="97">
        <f t="shared" si="296"/>
        <v>1481.643852678242</v>
      </c>
      <c r="H231" s="97">
        <f t="shared" si="296"/>
        <v>1431.2931671189003</v>
      </c>
      <c r="I231" s="97">
        <f t="shared" si="296"/>
        <v>1423.656715345496</v>
      </c>
      <c r="J231" s="97">
        <f t="shared" si="296"/>
        <v>1416.383919922587</v>
      </c>
      <c r="K231" s="97">
        <f t="shared" si="296"/>
        <v>1405.7751145919651</v>
      </c>
      <c r="L231" s="97">
        <f t="shared" si="296"/>
        <v>1399.0762043116338</v>
      </c>
      <c r="M231" s="97">
        <f t="shared" si="296"/>
        <v>1384.8610925342757</v>
      </c>
      <c r="N231" s="97">
        <f t="shared" si="296"/>
        <v>1345.8984482242211</v>
      </c>
      <c r="O231" s="97">
        <f t="shared" si="296"/>
        <v>1328.0447652855828</v>
      </c>
      <c r="P231" s="97">
        <f t="shared" si="296"/>
        <v>1277.9448204487724</v>
      </c>
      <c r="Q231" s="97">
        <f t="shared" si="296"/>
        <v>1243.361801626138</v>
      </c>
      <c r="R231" s="97">
        <f t="shared" si="296"/>
        <v>1226.0116563168826</v>
      </c>
      <c r="S231" s="97">
        <f t="shared" si="296"/>
        <v>1273.9251446471505</v>
      </c>
      <c r="T231" s="97">
        <f t="shared" si="296"/>
        <v>1223.1433214175056</v>
      </c>
      <c r="U231" s="97">
        <f t="shared" si="296"/>
        <v>1211.0511533734025</v>
      </c>
      <c r="V231" s="97">
        <f t="shared" si="296"/>
        <v>1191.8801719241796</v>
      </c>
      <c r="W231" s="97">
        <f t="shared" ref="W231" si="297">IF(W19=0,0,W79/W19*1000)</f>
        <v>1194.2222662695572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70.564882820318857</v>
      </c>
      <c r="C232" s="97">
        <f t="shared" si="298"/>
        <v>59.481838263800192</v>
      </c>
      <c r="D232" s="97">
        <f t="shared" si="298"/>
        <v>77.413725143721521</v>
      </c>
      <c r="E232" s="97">
        <f t="shared" si="298"/>
        <v>83.561820940889334</v>
      </c>
      <c r="F232" s="97">
        <f t="shared" si="298"/>
        <v>83.607097541820835</v>
      </c>
      <c r="G232" s="97">
        <f t="shared" si="298"/>
        <v>82.384945551744238</v>
      </c>
      <c r="H232" s="97">
        <f t="shared" si="298"/>
        <v>85.641851526831616</v>
      </c>
      <c r="I232" s="97">
        <f t="shared" si="298"/>
        <v>88.300494388538297</v>
      </c>
      <c r="J232" s="97">
        <f t="shared" si="298"/>
        <v>92.146997174580761</v>
      </c>
      <c r="K232" s="97">
        <f t="shared" si="298"/>
        <v>101.95480268162967</v>
      </c>
      <c r="L232" s="97">
        <f t="shared" si="298"/>
        <v>109.58755508612471</v>
      </c>
      <c r="M232" s="97">
        <f t="shared" si="298"/>
        <v>106.94687996984909</v>
      </c>
      <c r="N232" s="97">
        <f t="shared" si="298"/>
        <v>98.97058728485554</v>
      </c>
      <c r="O232" s="97">
        <f t="shared" si="298"/>
        <v>114.48682648917656</v>
      </c>
      <c r="P232" s="97">
        <f t="shared" si="298"/>
        <v>102.66930472359174</v>
      </c>
      <c r="Q232" s="97">
        <f t="shared" si="298"/>
        <v>98.438950169690642</v>
      </c>
      <c r="R232" s="97">
        <f t="shared" si="298"/>
        <v>92.373980582163995</v>
      </c>
      <c r="S232" s="97">
        <f t="shared" si="298"/>
        <v>106.28933008475671</v>
      </c>
      <c r="T232" s="97">
        <f t="shared" si="298"/>
        <v>93.110572532101742</v>
      </c>
      <c r="U232" s="97">
        <f t="shared" si="298"/>
        <v>113.26591976186258</v>
      </c>
      <c r="V232" s="97">
        <f t="shared" si="298"/>
        <v>106.30886706670735</v>
      </c>
      <c r="W232" s="97">
        <f t="shared" ref="W232" si="299">IF(W20=0,0,W80/W20*1000)</f>
        <v>102.91674415354933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13.752240240982937</v>
      </c>
      <c r="C233" s="130">
        <f t="shared" si="300"/>
        <v>14.754287293014805</v>
      </c>
      <c r="D233" s="130">
        <f t="shared" si="300"/>
        <v>14.167559358586674</v>
      </c>
      <c r="E233" s="130">
        <f t="shared" si="300"/>
        <v>14.202313023393824</v>
      </c>
      <c r="F233" s="130">
        <f t="shared" si="300"/>
        <v>14.913381837084524</v>
      </c>
      <c r="G233" s="130">
        <f t="shared" si="300"/>
        <v>14.65623939627034</v>
      </c>
      <c r="H233" s="130">
        <f t="shared" si="300"/>
        <v>13.133627300542548</v>
      </c>
      <c r="I233" s="130">
        <f t="shared" si="300"/>
        <v>13.290678416499924</v>
      </c>
      <c r="J233" s="130">
        <f t="shared" si="300"/>
        <v>12.793739145661323</v>
      </c>
      <c r="K233" s="130">
        <f t="shared" si="300"/>
        <v>13.174119883493669</v>
      </c>
      <c r="L233" s="130">
        <f t="shared" si="300"/>
        <v>13.987931529975647</v>
      </c>
      <c r="M233" s="130">
        <f t="shared" si="300"/>
        <v>13.48976812536295</v>
      </c>
      <c r="N233" s="130">
        <f t="shared" si="300"/>
        <v>13.009966433389375</v>
      </c>
      <c r="O233" s="130">
        <f t="shared" si="300"/>
        <v>14.436026910418351</v>
      </c>
      <c r="P233" s="130">
        <f t="shared" si="300"/>
        <v>13.275218156422117</v>
      </c>
      <c r="Q233" s="130">
        <f t="shared" si="300"/>
        <v>10.556349706947161</v>
      </c>
      <c r="R233" s="130">
        <f t="shared" si="300"/>
        <v>11.050426745716264</v>
      </c>
      <c r="S233" s="130">
        <f t="shared" si="300"/>
        <v>8.9762097027423469</v>
      </c>
      <c r="T233" s="130">
        <f t="shared" si="300"/>
        <v>6.8962491708493658</v>
      </c>
      <c r="U233" s="130">
        <f t="shared" si="300"/>
        <v>6.9573972175994978</v>
      </c>
      <c r="V233" s="130">
        <f t="shared" si="300"/>
        <v>6.2571958536372918</v>
      </c>
      <c r="W233" s="130">
        <f t="shared" ref="W233" si="301">IF(W21=0,0,W81/W21*1000)</f>
        <v>6.8339045812605104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447.07119512629163</v>
      </c>
      <c r="C234" s="130">
        <f t="shared" si="302"/>
        <v>435.82718281621635</v>
      </c>
      <c r="D234" s="130">
        <f t="shared" si="302"/>
        <v>460.0656742331625</v>
      </c>
      <c r="E234" s="130">
        <f t="shared" si="302"/>
        <v>444.20264773879069</v>
      </c>
      <c r="F234" s="130">
        <f t="shared" si="302"/>
        <v>479.6065748998285</v>
      </c>
      <c r="G234" s="130">
        <f t="shared" si="302"/>
        <v>481.00749116787671</v>
      </c>
      <c r="H234" s="130">
        <f t="shared" si="302"/>
        <v>534.9599199002306</v>
      </c>
      <c r="I234" s="130">
        <f t="shared" si="302"/>
        <v>562.1763953704434</v>
      </c>
      <c r="J234" s="130">
        <f t="shared" si="302"/>
        <v>624.04794752693658</v>
      </c>
      <c r="K234" s="130">
        <f t="shared" si="302"/>
        <v>526.84873221223131</v>
      </c>
      <c r="L234" s="130">
        <f t="shared" si="302"/>
        <v>490.51099340361014</v>
      </c>
      <c r="M234" s="130">
        <f t="shared" si="302"/>
        <v>337.98492205773681</v>
      </c>
      <c r="N234" s="130">
        <f t="shared" si="302"/>
        <v>392.89984854268869</v>
      </c>
      <c r="O234" s="130">
        <f t="shared" si="302"/>
        <v>346.18345432064763</v>
      </c>
      <c r="P234" s="130">
        <f t="shared" si="302"/>
        <v>280.24411252277099</v>
      </c>
      <c r="Q234" s="130">
        <f t="shared" si="302"/>
        <v>244.20704357174091</v>
      </c>
      <c r="R234" s="130">
        <f t="shared" si="302"/>
        <v>194.69265757473795</v>
      </c>
      <c r="S234" s="130">
        <f t="shared" si="302"/>
        <v>176.20593071489546</v>
      </c>
      <c r="T234" s="130">
        <f t="shared" si="302"/>
        <v>109.11943741792786</v>
      </c>
      <c r="U234" s="130">
        <f t="shared" si="302"/>
        <v>121.1135856286943</v>
      </c>
      <c r="V234" s="130">
        <f t="shared" si="302"/>
        <v>371.52130859492831</v>
      </c>
      <c r="W234" s="130">
        <f t="shared" ref="W234" si="303">IF(W22=0,0,W82/W22*1000)</f>
        <v>316.91622788078297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2250.2872092884154</v>
      </c>
      <c r="C235" s="97">
        <f t="shared" si="304"/>
        <v>2257.4213937253926</v>
      </c>
      <c r="D235" s="97">
        <f t="shared" si="304"/>
        <v>2196.9943234717762</v>
      </c>
      <c r="E235" s="97">
        <f t="shared" si="304"/>
        <v>2069.9864127867309</v>
      </c>
      <c r="F235" s="97">
        <f t="shared" si="304"/>
        <v>2198.5576815395652</v>
      </c>
      <c r="G235" s="97">
        <f t="shared" si="304"/>
        <v>2167.1063632835549</v>
      </c>
      <c r="H235" s="97">
        <f t="shared" si="304"/>
        <v>2321.1481579541978</v>
      </c>
      <c r="I235" s="97">
        <f t="shared" si="304"/>
        <v>1981.4861811492724</v>
      </c>
      <c r="J235" s="97">
        <f t="shared" si="304"/>
        <v>1718.3529287836639</v>
      </c>
      <c r="K235" s="97">
        <f t="shared" si="304"/>
        <v>1413.388183914916</v>
      </c>
      <c r="L235" s="97">
        <f t="shared" si="304"/>
        <v>1113.8481506072114</v>
      </c>
      <c r="M235" s="97">
        <f t="shared" si="304"/>
        <v>1422.9203325880485</v>
      </c>
      <c r="N235" s="97">
        <f t="shared" si="304"/>
        <v>2168.5195941707725</v>
      </c>
      <c r="O235" s="97">
        <f t="shared" si="304"/>
        <v>2010.1893195707298</v>
      </c>
      <c r="P235" s="97">
        <f t="shared" si="304"/>
        <v>1533.8181906025864</v>
      </c>
      <c r="Q235" s="97">
        <f t="shared" si="304"/>
        <v>1551.4911800613706</v>
      </c>
      <c r="R235" s="97">
        <f t="shared" si="304"/>
        <v>1149.1377216297785</v>
      </c>
      <c r="S235" s="97">
        <f t="shared" si="304"/>
        <v>1131.0450658906427</v>
      </c>
      <c r="T235" s="97">
        <f t="shared" si="304"/>
        <v>1068.8984086259297</v>
      </c>
      <c r="U235" s="97">
        <f t="shared" si="304"/>
        <v>960.9186750173568</v>
      </c>
      <c r="V235" s="97">
        <f t="shared" si="304"/>
        <v>918.43770238184447</v>
      </c>
      <c r="W235" s="97">
        <f t="shared" ref="W235" si="305">IF(W23=0,0,W83/W23*1000)</f>
        <v>921.12008433227106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433.07529263572746</v>
      </c>
      <c r="C236" s="97">
        <f t="shared" si="306"/>
        <v>417.62502784132425</v>
      </c>
      <c r="D236" s="97">
        <f t="shared" si="306"/>
        <v>443.76337084875206</v>
      </c>
      <c r="E236" s="97">
        <f t="shared" si="306"/>
        <v>433.17778494805992</v>
      </c>
      <c r="F236" s="97">
        <f t="shared" si="306"/>
        <v>476.69208607811601</v>
      </c>
      <c r="G236" s="97">
        <f t="shared" si="306"/>
        <v>436.39794766573067</v>
      </c>
      <c r="H236" s="97">
        <f t="shared" si="306"/>
        <v>457.42846976728987</v>
      </c>
      <c r="I236" s="97">
        <f t="shared" si="306"/>
        <v>501.97274041726678</v>
      </c>
      <c r="J236" s="97">
        <f t="shared" si="306"/>
        <v>635.32508896772242</v>
      </c>
      <c r="K236" s="97">
        <f t="shared" si="306"/>
        <v>542.42617475187421</v>
      </c>
      <c r="L236" s="97">
        <f t="shared" si="306"/>
        <v>592.24391964979748</v>
      </c>
      <c r="M236" s="97">
        <f t="shared" si="306"/>
        <v>671.196407357814</v>
      </c>
      <c r="N236" s="97">
        <f t="shared" si="306"/>
        <v>646.18809796440507</v>
      </c>
      <c r="O236" s="97">
        <f t="shared" si="306"/>
        <v>611.66137661197968</v>
      </c>
      <c r="P236" s="97">
        <f t="shared" si="306"/>
        <v>477.37622955764533</v>
      </c>
      <c r="Q236" s="97">
        <f t="shared" si="306"/>
        <v>450.13380821098872</v>
      </c>
      <c r="R236" s="97">
        <f t="shared" si="306"/>
        <v>371.16319677958154</v>
      </c>
      <c r="S236" s="97">
        <f t="shared" si="306"/>
        <v>391.59731167064723</v>
      </c>
      <c r="T236" s="97">
        <f t="shared" si="306"/>
        <v>419.3699450040707</v>
      </c>
      <c r="U236" s="97">
        <f t="shared" si="306"/>
        <v>366.14707241069078</v>
      </c>
      <c r="V236" s="97">
        <f t="shared" si="306"/>
        <v>610.87246411375872</v>
      </c>
      <c r="W236" s="97">
        <f t="shared" ref="W236" si="307">IF(W24=0,0,W84/W24*1000)</f>
        <v>604.21327414959399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130.23937651278433</v>
      </c>
      <c r="C237" s="97">
        <f t="shared" si="308"/>
        <v>124.08497230452754</v>
      </c>
      <c r="D237" s="97">
        <f t="shared" si="308"/>
        <v>131.20036188350883</v>
      </c>
      <c r="E237" s="97">
        <f t="shared" si="308"/>
        <v>144.25797828315544</v>
      </c>
      <c r="F237" s="97">
        <f t="shared" si="308"/>
        <v>148.56867030421228</v>
      </c>
      <c r="G237" s="97">
        <f t="shared" si="308"/>
        <v>174.09219898215028</v>
      </c>
      <c r="H237" s="97">
        <f t="shared" si="308"/>
        <v>152.73252165824027</v>
      </c>
      <c r="I237" s="97">
        <f t="shared" si="308"/>
        <v>133.77434910765885</v>
      </c>
      <c r="J237" s="97">
        <f t="shared" si="308"/>
        <v>134.18840711224189</v>
      </c>
      <c r="K237" s="97">
        <f t="shared" si="308"/>
        <v>102.72810694709192</v>
      </c>
      <c r="L237" s="97">
        <f t="shared" si="308"/>
        <v>89.339229880888581</v>
      </c>
      <c r="M237" s="97">
        <f t="shared" si="308"/>
        <v>108.83278504446864</v>
      </c>
      <c r="N237" s="97">
        <f t="shared" si="308"/>
        <v>122.22904363232782</v>
      </c>
      <c r="O237" s="97">
        <f t="shared" si="308"/>
        <v>137.97848540990748</v>
      </c>
      <c r="P237" s="97">
        <f t="shared" si="308"/>
        <v>116.00084526253843</v>
      </c>
      <c r="Q237" s="97">
        <f t="shared" si="308"/>
        <v>87.489038101211477</v>
      </c>
      <c r="R237" s="97">
        <f t="shared" si="308"/>
        <v>74.461955257233228</v>
      </c>
      <c r="S237" s="97">
        <f t="shared" si="308"/>
        <v>71.748813035636985</v>
      </c>
      <c r="T237" s="97">
        <f t="shared" si="308"/>
        <v>73.323445767080727</v>
      </c>
      <c r="U237" s="97">
        <f t="shared" si="308"/>
        <v>73.731600784530926</v>
      </c>
      <c r="V237" s="97">
        <f t="shared" si="308"/>
        <v>261.75662163722887</v>
      </c>
      <c r="W237" s="97">
        <f t="shared" ref="W237" si="309">IF(W25=0,0,W85/W25*1000)</f>
        <v>216.79932856786621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588.19600681564975</v>
      </c>
      <c r="C238" s="130">
        <f t="shared" si="310"/>
        <v>546.55832358465284</v>
      </c>
      <c r="D238" s="130">
        <f t="shared" si="310"/>
        <v>569.06635706340376</v>
      </c>
      <c r="E238" s="130">
        <f t="shared" si="310"/>
        <v>549.26609898234324</v>
      </c>
      <c r="F238" s="130">
        <f t="shared" si="310"/>
        <v>340.76112186591524</v>
      </c>
      <c r="G238" s="130">
        <f t="shared" si="310"/>
        <v>467.4256030794366</v>
      </c>
      <c r="H238" s="130">
        <f t="shared" si="310"/>
        <v>468.29286198547214</v>
      </c>
      <c r="I238" s="130">
        <f t="shared" si="310"/>
        <v>491.56919990132394</v>
      </c>
      <c r="J238" s="130">
        <f t="shared" si="310"/>
        <v>142.59607002136875</v>
      </c>
      <c r="K238" s="130">
        <f t="shared" si="310"/>
        <v>184.06292696257375</v>
      </c>
      <c r="L238" s="130">
        <f t="shared" si="310"/>
        <v>116.07993072232689</v>
      </c>
      <c r="M238" s="130">
        <f t="shared" si="310"/>
        <v>156.21233062212522</v>
      </c>
      <c r="N238" s="130">
        <f t="shared" si="310"/>
        <v>134.56763393253092</v>
      </c>
      <c r="O238" s="130">
        <f t="shared" si="310"/>
        <v>148.06303852133357</v>
      </c>
      <c r="P238" s="130">
        <f t="shared" si="310"/>
        <v>175.10514238804282</v>
      </c>
      <c r="Q238" s="130">
        <f t="shared" si="310"/>
        <v>135.68890877605398</v>
      </c>
      <c r="R238" s="130">
        <f t="shared" si="310"/>
        <v>152.42331711881548</v>
      </c>
      <c r="S238" s="130">
        <f t="shared" si="310"/>
        <v>164.30818593171546</v>
      </c>
      <c r="T238" s="130">
        <f t="shared" si="310"/>
        <v>208.41912555024592</v>
      </c>
      <c r="U238" s="130">
        <f t="shared" si="310"/>
        <v>178.82820807252918</v>
      </c>
      <c r="V238" s="130">
        <f t="shared" si="310"/>
        <v>135.89181369863019</v>
      </c>
      <c r="W238" s="130">
        <f t="shared" ref="W238" si="311">IF(W26=0,0,W86/W26*1000)</f>
        <v>169.20349073498821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686.30975795843392</v>
      </c>
      <c r="C239" s="97">
        <f t="shared" si="312"/>
        <v>661.17909799407937</v>
      </c>
      <c r="D239" s="97">
        <f t="shared" si="312"/>
        <v>691.92805780578828</v>
      </c>
      <c r="E239" s="97">
        <f t="shared" si="312"/>
        <v>683.5912225137954</v>
      </c>
      <c r="F239" s="97">
        <f t="shared" si="312"/>
        <v>468.74662819080038</v>
      </c>
      <c r="G239" s="97">
        <f t="shared" si="312"/>
        <v>658.79401624889022</v>
      </c>
      <c r="H239" s="97">
        <f t="shared" si="312"/>
        <v>536.3997325107008</v>
      </c>
      <c r="I239" s="97">
        <f t="shared" si="312"/>
        <v>552.40634960286013</v>
      </c>
      <c r="J239" s="97">
        <f t="shared" si="312"/>
        <v>202.14639700141944</v>
      </c>
      <c r="K239" s="97">
        <f t="shared" si="312"/>
        <v>268.4024881633311</v>
      </c>
      <c r="L239" s="97">
        <f t="shared" si="312"/>
        <v>213.13182078273934</v>
      </c>
      <c r="M239" s="97">
        <f t="shared" si="312"/>
        <v>240.28467047332876</v>
      </c>
      <c r="N239" s="97">
        <f t="shared" si="312"/>
        <v>187.61166522160835</v>
      </c>
      <c r="O239" s="97">
        <f t="shared" si="312"/>
        <v>192.06367053615483</v>
      </c>
      <c r="P239" s="97">
        <f t="shared" si="312"/>
        <v>216.0665540269365</v>
      </c>
      <c r="Q239" s="97">
        <f t="shared" si="312"/>
        <v>190.28507050649947</v>
      </c>
      <c r="R239" s="97">
        <f t="shared" si="312"/>
        <v>211.45917707524407</v>
      </c>
      <c r="S239" s="97">
        <f t="shared" si="312"/>
        <v>236.99831817751101</v>
      </c>
      <c r="T239" s="97">
        <f t="shared" si="312"/>
        <v>259.38631046589853</v>
      </c>
      <c r="U239" s="97">
        <f t="shared" si="312"/>
        <v>243.51385180689056</v>
      </c>
      <c r="V239" s="97">
        <f t="shared" si="312"/>
        <v>176.58954269598399</v>
      </c>
      <c r="W239" s="97">
        <f t="shared" ref="W239" si="313">IF(W27=0,0,W87/W27*1000)</f>
        <v>205.22733709974045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450.67677371521086</v>
      </c>
      <c r="C240" s="98">
        <f t="shared" si="314"/>
        <v>413.08112705715058</v>
      </c>
      <c r="D240" s="98">
        <f t="shared" si="314"/>
        <v>426.08844003366539</v>
      </c>
      <c r="E240" s="98">
        <f t="shared" si="314"/>
        <v>405.88845513777244</v>
      </c>
      <c r="F240" s="98">
        <f t="shared" si="314"/>
        <v>275.84661522479263</v>
      </c>
      <c r="G240" s="98">
        <f t="shared" si="314"/>
        <v>309.19490577221796</v>
      </c>
      <c r="H240" s="98">
        <f t="shared" si="314"/>
        <v>405.90837284973423</v>
      </c>
      <c r="I240" s="98">
        <f t="shared" si="314"/>
        <v>430.23084138848509</v>
      </c>
      <c r="J240" s="98">
        <f t="shared" si="314"/>
        <v>135.78632746403599</v>
      </c>
      <c r="K240" s="98">
        <f t="shared" si="314"/>
        <v>175.85774335238509</v>
      </c>
      <c r="L240" s="98">
        <f t="shared" si="314"/>
        <v>109.04707583376825</v>
      </c>
      <c r="M240" s="98">
        <f t="shared" si="314"/>
        <v>148.28778364022571</v>
      </c>
      <c r="N240" s="98">
        <f t="shared" si="314"/>
        <v>130.28439711582303</v>
      </c>
      <c r="O240" s="98">
        <f t="shared" si="314"/>
        <v>144.48957085046447</v>
      </c>
      <c r="P240" s="98">
        <f t="shared" si="314"/>
        <v>171.6055732919892</v>
      </c>
      <c r="Q240" s="98">
        <f t="shared" si="314"/>
        <v>130.88867013762876</v>
      </c>
      <c r="R240" s="98">
        <f t="shared" si="314"/>
        <v>149.87700726437899</v>
      </c>
      <c r="S240" s="98">
        <f t="shared" si="314"/>
        <v>160.70667151967004</v>
      </c>
      <c r="T240" s="98">
        <f t="shared" si="314"/>
        <v>205.50805735576412</v>
      </c>
      <c r="U240" s="98">
        <f t="shared" si="314"/>
        <v>176.19840741642093</v>
      </c>
      <c r="V240" s="98">
        <f t="shared" si="314"/>
        <v>134.39438064665114</v>
      </c>
      <c r="W240" s="98">
        <f t="shared" ref="W240:W243" si="315">IF(W28=0,0,W88/W28*1000)</f>
        <v>167.65180959995473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1.8883673618248644</v>
      </c>
      <c r="C241" s="32">
        <f t="shared" si="316"/>
        <v>1.8960590931817916</v>
      </c>
      <c r="D241" s="32">
        <f t="shared" si="316"/>
        <v>1.8919946235210703</v>
      </c>
      <c r="E241" s="32">
        <f t="shared" si="316"/>
        <v>1.9065439070557562</v>
      </c>
      <c r="F241" s="32">
        <f t="shared" si="316"/>
        <v>1.9019098303658057</v>
      </c>
      <c r="G241" s="32">
        <f t="shared" si="316"/>
        <v>1.9140889441119007</v>
      </c>
      <c r="H241" s="32">
        <f t="shared" si="316"/>
        <v>1.7770487648537172</v>
      </c>
      <c r="I241" s="32">
        <f t="shared" si="316"/>
        <v>1.5345907434141179</v>
      </c>
      <c r="J241" s="32">
        <f t="shared" si="316"/>
        <v>1.2488768741012344</v>
      </c>
      <c r="K241" s="32">
        <f t="shared" si="316"/>
        <v>0.61437143033613117</v>
      </c>
      <c r="L241" s="32">
        <f t="shared" si="316"/>
        <v>0.57441669283721497</v>
      </c>
      <c r="M241" s="32">
        <f t="shared" si="316"/>
        <v>2.2162434103652808</v>
      </c>
      <c r="N241" s="32">
        <f t="shared" si="316"/>
        <v>0.43432134433271669</v>
      </c>
      <c r="O241" s="32">
        <f t="shared" si="316"/>
        <v>0.45166713909311951</v>
      </c>
      <c r="P241" s="32">
        <f t="shared" si="316"/>
        <v>0.50364330417193492</v>
      </c>
      <c r="Q241" s="32">
        <f t="shared" si="316"/>
        <v>0.39235947011078048</v>
      </c>
      <c r="R241" s="32">
        <f t="shared" si="316"/>
        <v>0.43612240719961254</v>
      </c>
      <c r="S241" s="32">
        <f t="shared" si="316"/>
        <v>0.53813247447817925</v>
      </c>
      <c r="T241" s="32">
        <f t="shared" si="316"/>
        <v>1.4061623539576109</v>
      </c>
      <c r="U241" s="32">
        <f t="shared" si="316"/>
        <v>1.7621606375414005</v>
      </c>
      <c r="V241" s="32">
        <f t="shared" si="316"/>
        <v>1.5905998855003032</v>
      </c>
      <c r="W241" s="32">
        <f t="shared" si="315"/>
        <v>1.7252207468648226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3.5312913764673746</v>
      </c>
      <c r="C242" s="97">
        <f t="shared" si="317"/>
        <v>3.57904489459523</v>
      </c>
      <c r="D242" s="97">
        <f t="shared" si="317"/>
        <v>3.5595562317258977</v>
      </c>
      <c r="E242" s="97">
        <f t="shared" si="317"/>
        <v>3.6090840412387721</v>
      </c>
      <c r="F242" s="97">
        <f t="shared" si="317"/>
        <v>3.5941023305150823</v>
      </c>
      <c r="G242" s="97">
        <f t="shared" si="317"/>
        <v>3.6594015527186339</v>
      </c>
      <c r="H242" s="97">
        <f t="shared" si="317"/>
        <v>3.2575900710539303</v>
      </c>
      <c r="I242" s="97">
        <f t="shared" si="317"/>
        <v>3.138076715783336</v>
      </c>
      <c r="J242" s="97">
        <f t="shared" si="317"/>
        <v>2.8455655707094896</v>
      </c>
      <c r="K242" s="97">
        <f t="shared" si="317"/>
        <v>1.1411137115206271</v>
      </c>
      <c r="L242" s="97">
        <f t="shared" si="317"/>
        <v>1.2019523948294522</v>
      </c>
      <c r="M242" s="97">
        <f t="shared" si="317"/>
        <v>4.4839822299063155</v>
      </c>
      <c r="N242" s="97">
        <f t="shared" si="317"/>
        <v>0.92005116231429185</v>
      </c>
      <c r="O242" s="97">
        <f t="shared" si="317"/>
        <v>1.0768786158300607</v>
      </c>
      <c r="P242" s="97">
        <f t="shared" si="317"/>
        <v>1.2596155789647561</v>
      </c>
      <c r="Q242" s="97">
        <f t="shared" si="317"/>
        <v>1.0546073311588009</v>
      </c>
      <c r="R242" s="97">
        <f t="shared" si="317"/>
        <v>1.1691365662654107</v>
      </c>
      <c r="S242" s="97">
        <f t="shared" si="317"/>
        <v>1.3931639771288828</v>
      </c>
      <c r="T242" s="97">
        <f t="shared" si="317"/>
        <v>3.9031997810589081</v>
      </c>
      <c r="U242" s="97">
        <f t="shared" si="317"/>
        <v>4.9052275017164586</v>
      </c>
      <c r="V242" s="97">
        <f t="shared" si="317"/>
        <v>3.3785788594547439</v>
      </c>
      <c r="W242" s="97">
        <f t="shared" si="315"/>
        <v>3.5988041800798385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1.4406227824570563</v>
      </c>
      <c r="C243" s="98">
        <f t="shared" si="318"/>
        <v>1.4475110669253308</v>
      </c>
      <c r="D243" s="98">
        <f t="shared" si="318"/>
        <v>1.4468387584791811</v>
      </c>
      <c r="E243" s="98">
        <f t="shared" si="318"/>
        <v>1.4507099283597513</v>
      </c>
      <c r="F243" s="98">
        <f t="shared" si="318"/>
        <v>1.4491524433241632</v>
      </c>
      <c r="G243" s="98">
        <f t="shared" si="318"/>
        <v>1.4592268992205966</v>
      </c>
      <c r="H243" s="98">
        <f t="shared" si="318"/>
        <v>1.353467243250291</v>
      </c>
      <c r="I243" s="98">
        <f t="shared" si="318"/>
        <v>1.1676356729342836</v>
      </c>
      <c r="J243" s="98">
        <f t="shared" si="318"/>
        <v>0.9579923800247867</v>
      </c>
      <c r="K243" s="98">
        <f t="shared" si="318"/>
        <v>0.45435690908365967</v>
      </c>
      <c r="L243" s="98">
        <f t="shared" si="318"/>
        <v>0.42584161079653982</v>
      </c>
      <c r="M243" s="98">
        <f t="shared" si="318"/>
        <v>1.6280663870443668</v>
      </c>
      <c r="N243" s="98">
        <f t="shared" si="318"/>
        <v>0.32088050698199133</v>
      </c>
      <c r="O243" s="98">
        <f t="shared" si="318"/>
        <v>0.34582724563664913</v>
      </c>
      <c r="P243" s="98">
        <f t="shared" si="318"/>
        <v>0.39029969939322279</v>
      </c>
      <c r="Q243" s="98">
        <f t="shared" si="318"/>
        <v>0.31069062985544832</v>
      </c>
      <c r="R243" s="98">
        <f t="shared" si="318"/>
        <v>0.34996793851569175</v>
      </c>
      <c r="S243" s="98">
        <f t="shared" si="318"/>
        <v>0.43122608867486856</v>
      </c>
      <c r="T243" s="98">
        <f t="shared" si="318"/>
        <v>1.1357225034960532</v>
      </c>
      <c r="U243" s="98">
        <f t="shared" si="318"/>
        <v>1.3949127674454453</v>
      </c>
      <c r="V243" s="98">
        <f t="shared" si="318"/>
        <v>1.2792352124391613</v>
      </c>
      <c r="W243" s="98">
        <f t="shared" si="315"/>
        <v>1.3674729748802821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23501.081609917575</v>
      </c>
      <c r="C4" s="29">
        <f t="shared" si="0"/>
        <v>24647.012815445891</v>
      </c>
      <c r="D4" s="29">
        <f t="shared" si="0"/>
        <v>25733.691790285473</v>
      </c>
      <c r="E4" s="29">
        <f t="shared" si="0"/>
        <v>26415.578273724561</v>
      </c>
      <c r="F4" s="29">
        <f t="shared" si="0"/>
        <v>27110.802406046045</v>
      </c>
      <c r="G4" s="29">
        <f t="shared" si="0"/>
        <v>27647.665291553261</v>
      </c>
      <c r="H4" s="29">
        <f t="shared" si="0"/>
        <v>28804.051846309867</v>
      </c>
      <c r="I4" s="29">
        <f t="shared" si="0"/>
        <v>30077.641921675873</v>
      </c>
      <c r="J4" s="29">
        <f t="shared" si="0"/>
        <v>31365.359974832121</v>
      </c>
      <c r="K4" s="29">
        <f t="shared" si="0"/>
        <v>30510.55834900212</v>
      </c>
      <c r="L4" s="29">
        <f t="shared" ref="L4" si="1">L5+L6+L13</f>
        <v>29220.411854659902</v>
      </c>
      <c r="M4" s="29">
        <f t="shared" ref="M4:V4" si="2">M5+M6+M13</f>
        <v>28658.634604481904</v>
      </c>
      <c r="N4" s="29">
        <f t="shared" si="2"/>
        <v>29666.243161415408</v>
      </c>
      <c r="O4" s="29">
        <f t="shared" si="2"/>
        <v>29921.265394539434</v>
      </c>
      <c r="P4" s="29">
        <f t="shared" si="2"/>
        <v>29974.244457828558</v>
      </c>
      <c r="Q4" s="29">
        <f t="shared" si="2"/>
        <v>30039.08094106528</v>
      </c>
      <c r="R4" s="29">
        <f t="shared" si="2"/>
        <v>30264.791718271365</v>
      </c>
      <c r="S4" s="29">
        <f t="shared" si="2"/>
        <v>30631.963934555803</v>
      </c>
      <c r="T4" s="29">
        <f t="shared" si="2"/>
        <v>29735.398704841897</v>
      </c>
      <c r="U4" s="29">
        <f t="shared" si="2"/>
        <v>29704.529112347598</v>
      </c>
      <c r="V4" s="29">
        <f t="shared" si="2"/>
        <v>22563.459383934463</v>
      </c>
      <c r="W4" s="29">
        <f t="shared" ref="W4" si="3">W5+W6+W13</f>
        <v>25858.581513043606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169.93460991757573</v>
      </c>
      <c r="C5" s="152">
        <f t="shared" si="4"/>
        <v>169.25581544588621</v>
      </c>
      <c r="D5" s="152">
        <f t="shared" si="4"/>
        <v>175.99879028546823</v>
      </c>
      <c r="E5" s="152">
        <f t="shared" si="4"/>
        <v>198.72827372456152</v>
      </c>
      <c r="F5" s="152">
        <f t="shared" si="4"/>
        <v>220.54940604604275</v>
      </c>
      <c r="G5" s="152">
        <f t="shared" si="4"/>
        <v>244.19629155326044</v>
      </c>
      <c r="H5" s="152">
        <f t="shared" si="4"/>
        <v>266.995846309863</v>
      </c>
      <c r="I5" s="152">
        <f t="shared" si="4"/>
        <v>269.66192167587201</v>
      </c>
      <c r="J5" s="152">
        <f t="shared" si="4"/>
        <v>271.87097483212125</v>
      </c>
      <c r="K5" s="152">
        <f t="shared" si="4"/>
        <v>272.56234900211803</v>
      </c>
      <c r="L5" s="152">
        <f t="shared" ref="L5:L7" si="5">IF(L32=0,0,L32*L142)</f>
        <v>271.99385465990503</v>
      </c>
      <c r="M5" s="152">
        <f t="shared" ref="M5:V5" si="6">IF(M32=0,0,M32*M142)</f>
        <v>271.61360448190248</v>
      </c>
      <c r="N5" s="152">
        <f t="shared" si="6"/>
        <v>270.16516141540421</v>
      </c>
      <c r="O5" s="152">
        <f t="shared" si="6"/>
        <v>269.26539453942951</v>
      </c>
      <c r="P5" s="152">
        <f t="shared" si="6"/>
        <v>269.24445782855344</v>
      </c>
      <c r="Q5" s="152">
        <f t="shared" si="6"/>
        <v>269.08094106528034</v>
      </c>
      <c r="R5" s="152">
        <f t="shared" si="6"/>
        <v>281.79171827136008</v>
      </c>
      <c r="S5" s="152">
        <f t="shared" si="6"/>
        <v>292.9639345557984</v>
      </c>
      <c r="T5" s="152">
        <f t="shared" si="6"/>
        <v>298.39870484189225</v>
      </c>
      <c r="U5" s="152">
        <f t="shared" si="6"/>
        <v>310.52911234759557</v>
      </c>
      <c r="V5" s="152">
        <f t="shared" si="6"/>
        <v>272.4593839344617</v>
      </c>
      <c r="W5" s="152">
        <f t="shared" ref="W5" si="7">IF(W32=0,0,W32*W142)</f>
        <v>333.58151304360916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20000</v>
      </c>
      <c r="C6" s="116">
        <f t="shared" si="8"/>
        <v>21000.000000000004</v>
      </c>
      <c r="D6" s="116">
        <f t="shared" si="8"/>
        <v>22000.000000000004</v>
      </c>
      <c r="E6" s="116">
        <f t="shared" si="8"/>
        <v>22500</v>
      </c>
      <c r="F6" s="116">
        <f t="shared" si="8"/>
        <v>23500</v>
      </c>
      <c r="G6" s="116">
        <f t="shared" si="8"/>
        <v>24000</v>
      </c>
      <c r="H6" s="116">
        <f t="shared" si="8"/>
        <v>25000.000000000004</v>
      </c>
      <c r="I6" s="116">
        <f t="shared" si="8"/>
        <v>26000</v>
      </c>
      <c r="J6" s="116">
        <f t="shared" si="8"/>
        <v>27000</v>
      </c>
      <c r="K6" s="116">
        <f t="shared" si="8"/>
        <v>26800.000000000004</v>
      </c>
      <c r="L6" s="116">
        <f t="shared" ref="L6" si="9">SUM(L7:L12)</f>
        <v>25699.999999999996</v>
      </c>
      <c r="M6" s="116">
        <f t="shared" ref="M6:V6" si="10">SUM(M7:M12)</f>
        <v>25242</v>
      </c>
      <c r="N6" s="116">
        <f t="shared" si="10"/>
        <v>26147.000000000004</v>
      </c>
      <c r="O6" s="116">
        <f t="shared" si="10"/>
        <v>26145.000000000004</v>
      </c>
      <c r="P6" s="116">
        <f t="shared" si="10"/>
        <v>26057.000000000004</v>
      </c>
      <c r="Q6" s="116">
        <f t="shared" si="10"/>
        <v>26393</v>
      </c>
      <c r="R6" s="116">
        <f t="shared" si="10"/>
        <v>26181.000000000004</v>
      </c>
      <c r="S6" s="116">
        <f t="shared" si="10"/>
        <v>26189.000000000004</v>
      </c>
      <c r="T6" s="116">
        <f t="shared" si="10"/>
        <v>25594.000000000004</v>
      </c>
      <c r="U6" s="116">
        <f t="shared" si="10"/>
        <v>25372.000000000004</v>
      </c>
      <c r="V6" s="116">
        <f t="shared" si="10"/>
        <v>20215</v>
      </c>
      <c r="W6" s="116">
        <f t="shared" ref="W6" si="11">SUM(W7:W12)</f>
        <v>23134.999999999996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15466.935641960232</v>
      </c>
      <c r="C7" s="87">
        <f t="shared" si="12"/>
        <v>15941.206840947281</v>
      </c>
      <c r="D7" s="87">
        <f t="shared" si="12"/>
        <v>16171.527132047091</v>
      </c>
      <c r="E7" s="87">
        <f t="shared" si="12"/>
        <v>15046.673548059825</v>
      </c>
      <c r="F7" s="87">
        <f t="shared" si="12"/>
        <v>14695.402795770327</v>
      </c>
      <c r="G7" s="87">
        <f t="shared" si="12"/>
        <v>13995.395202227926</v>
      </c>
      <c r="H7" s="87">
        <f t="shared" si="12"/>
        <v>13311.55064093184</v>
      </c>
      <c r="I7" s="87">
        <f t="shared" si="12"/>
        <v>12841.540948581001</v>
      </c>
      <c r="J7" s="87">
        <f t="shared" si="12"/>
        <v>14331.446738701929</v>
      </c>
      <c r="K7" s="87">
        <f t="shared" si="12"/>
        <v>14140.476221123077</v>
      </c>
      <c r="L7" s="87">
        <f t="shared" si="5"/>
        <v>13517.10869275766</v>
      </c>
      <c r="M7" s="87">
        <f t="shared" ref="M7:V7" si="13">IF(M34=0,0,M34*M144)</f>
        <v>12925.630108763866</v>
      </c>
      <c r="N7" s="87">
        <f t="shared" si="13"/>
        <v>12912.907452284697</v>
      </c>
      <c r="O7" s="87">
        <f t="shared" si="13"/>
        <v>12430.998781809827</v>
      </c>
      <c r="P7" s="87">
        <f t="shared" si="13"/>
        <v>11109.040495044401</v>
      </c>
      <c r="Q7" s="87">
        <f t="shared" si="13"/>
        <v>10887.324431037407</v>
      </c>
      <c r="R7" s="87">
        <f t="shared" si="13"/>
        <v>10149.110391887622</v>
      </c>
      <c r="S7" s="87">
        <f t="shared" si="13"/>
        <v>9763.9928419420285</v>
      </c>
      <c r="T7" s="87">
        <f t="shared" si="13"/>
        <v>9450.4126390784731</v>
      </c>
      <c r="U7" s="87">
        <f t="shared" si="13"/>
        <v>8864.5233510289745</v>
      </c>
      <c r="V7" s="87">
        <f t="shared" si="13"/>
        <v>6771.0153235857551</v>
      </c>
      <c r="W7" s="87">
        <f t="shared" ref="W7" si="14">IF(W34=0,0,W34*W144)</f>
        <v>7694.3527388024531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4271.5539914668789</v>
      </c>
      <c r="C8" s="87">
        <f t="shared" si="15"/>
        <v>4749.924338945073</v>
      </c>
      <c r="D8" s="87">
        <f t="shared" si="15"/>
        <v>5493.8653884218074</v>
      </c>
      <c r="E8" s="87">
        <f t="shared" si="15"/>
        <v>7120.2999260126981</v>
      </c>
      <c r="F8" s="87">
        <f t="shared" si="15"/>
        <v>8366.5963848381743</v>
      </c>
      <c r="G8" s="87">
        <f t="shared" si="15"/>
        <v>9429.5876114012444</v>
      </c>
      <c r="H8" s="87">
        <f t="shared" si="15"/>
        <v>10685.988342414223</v>
      </c>
      <c r="I8" s="87">
        <f t="shared" si="15"/>
        <v>11775.473881871318</v>
      </c>
      <c r="J8" s="87">
        <f t="shared" si="15"/>
        <v>10963.549306146047</v>
      </c>
      <c r="K8" s="87">
        <f t="shared" si="15"/>
        <v>10823.608355036149</v>
      </c>
      <c r="L8" s="87">
        <f t="shared" ref="L8" si="16">IF(L35=0,0,L35*L145)</f>
        <v>10673.905513693291</v>
      </c>
      <c r="M8" s="87">
        <f t="shared" ref="M8:V8" si="17">IF(M35=0,0,M35*M145)</f>
        <v>10888.92035963763</v>
      </c>
      <c r="N8" s="87">
        <f t="shared" si="17"/>
        <v>11741.550149136419</v>
      </c>
      <c r="O8" s="87">
        <f t="shared" si="17"/>
        <v>12201.263322535837</v>
      </c>
      <c r="P8" s="87">
        <f t="shared" si="17"/>
        <v>13331.913562362701</v>
      </c>
      <c r="Q8" s="87">
        <f t="shared" si="17"/>
        <v>13764.465913151473</v>
      </c>
      <c r="R8" s="87">
        <f t="shared" si="17"/>
        <v>14406.450787053314</v>
      </c>
      <c r="S8" s="87">
        <f t="shared" si="17"/>
        <v>14852.815726728306</v>
      </c>
      <c r="T8" s="87">
        <f t="shared" si="17"/>
        <v>14659.293651155738</v>
      </c>
      <c r="U8" s="87">
        <f t="shared" si="17"/>
        <v>15072.931149169955</v>
      </c>
      <c r="V8" s="87">
        <f t="shared" si="17"/>
        <v>12313.329087760047</v>
      </c>
      <c r="W8" s="87">
        <f t="shared" ref="W8" si="18">IF(W35=0,0,W35*W145)</f>
        <v>14215.21778990022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261.51036657288881</v>
      </c>
      <c r="C9" s="87">
        <f t="shared" si="19"/>
        <v>308.86882010764714</v>
      </c>
      <c r="D9" s="87">
        <f t="shared" si="19"/>
        <v>334.60747953110365</v>
      </c>
      <c r="E9" s="87">
        <f t="shared" si="19"/>
        <v>333.02652592747415</v>
      </c>
      <c r="F9" s="87">
        <f t="shared" si="19"/>
        <v>438.00081939149646</v>
      </c>
      <c r="G9" s="87">
        <f t="shared" si="19"/>
        <v>575.01718637082956</v>
      </c>
      <c r="H9" s="87">
        <f t="shared" si="19"/>
        <v>1002.4610166539381</v>
      </c>
      <c r="I9" s="87">
        <f t="shared" si="19"/>
        <v>1382.9851695476816</v>
      </c>
      <c r="J9" s="87">
        <f t="shared" si="19"/>
        <v>1705.0039551520242</v>
      </c>
      <c r="K9" s="87">
        <f t="shared" si="19"/>
        <v>1834.5588746103747</v>
      </c>
      <c r="L9" s="87">
        <f t="shared" ref="L9" si="20">IF(L36=0,0,L36*L146)</f>
        <v>1507.4771203059036</v>
      </c>
      <c r="M9" s="87">
        <f t="shared" ref="M9:V9" si="21">IF(M36=0,0,M36*M146)</f>
        <v>1425.9796543882326</v>
      </c>
      <c r="N9" s="87">
        <f t="shared" si="21"/>
        <v>1490.1230981075096</v>
      </c>
      <c r="O9" s="87">
        <f t="shared" si="21"/>
        <v>1510.1326811603601</v>
      </c>
      <c r="P9" s="87">
        <f t="shared" si="21"/>
        <v>1612.4209377971229</v>
      </c>
      <c r="Q9" s="87">
        <f t="shared" si="21"/>
        <v>1735.7852107653887</v>
      </c>
      <c r="R9" s="87">
        <f t="shared" si="21"/>
        <v>1618.8907880550739</v>
      </c>
      <c r="S9" s="87">
        <f t="shared" si="21"/>
        <v>1564.1055165235284</v>
      </c>
      <c r="T9" s="87">
        <f t="shared" si="21"/>
        <v>1473.7816349778375</v>
      </c>
      <c r="U9" s="87">
        <f t="shared" si="21"/>
        <v>1419.0643837278792</v>
      </c>
      <c r="V9" s="87">
        <f t="shared" si="21"/>
        <v>1106.453279050962</v>
      </c>
      <c r="W9" s="87">
        <f t="shared" ref="W9" si="22">IF(W36=0,0,W36*W146)</f>
        <v>1169.651207592779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1.3565492304005351</v>
      </c>
      <c r="L10" s="87">
        <f t="shared" ref="L10" si="24">IF(L37=0,0,L37*L147)</f>
        <v>1.5086732431440784</v>
      </c>
      <c r="M10" s="87">
        <f t="shared" ref="M10:V10" si="25">IF(M37=0,0,M37*M147)</f>
        <v>1.4698772102714734</v>
      </c>
      <c r="N10" s="87">
        <f t="shared" si="25"/>
        <v>1.8915962518936378</v>
      </c>
      <c r="O10" s="87">
        <f t="shared" si="25"/>
        <v>1.9972525303959729</v>
      </c>
      <c r="P10" s="87">
        <f t="shared" si="25"/>
        <v>2.1934976010113125</v>
      </c>
      <c r="Q10" s="87">
        <f t="shared" si="25"/>
        <v>2.0574232545766211</v>
      </c>
      <c r="R10" s="87">
        <f t="shared" si="25"/>
        <v>2.0194309471379044</v>
      </c>
      <c r="S10" s="87">
        <f t="shared" si="25"/>
        <v>2.6327456438819747</v>
      </c>
      <c r="T10" s="87">
        <f t="shared" si="25"/>
        <v>2.6497509425299435</v>
      </c>
      <c r="U10" s="87">
        <f t="shared" si="25"/>
        <v>2.5769001963310236</v>
      </c>
      <c r="V10" s="87">
        <f t="shared" si="25"/>
        <v>2.0101842408699744</v>
      </c>
      <c r="W10" s="87">
        <f t="shared" ref="W10" si="26">IF(W37=0,0,W37*W147)</f>
        <v>2.323265604897319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</v>
      </c>
      <c r="P11" s="87">
        <f t="shared" si="29"/>
        <v>8.1976075055772507E-2</v>
      </c>
      <c r="Q11" s="87">
        <f t="shared" si="29"/>
        <v>0.79710450105245567</v>
      </c>
      <c r="R11" s="87">
        <f t="shared" si="29"/>
        <v>1.0609606551031465</v>
      </c>
      <c r="S11" s="87">
        <f t="shared" si="29"/>
        <v>1.2782935525938848</v>
      </c>
      <c r="T11" s="87">
        <f t="shared" si="29"/>
        <v>1.3118711141938715</v>
      </c>
      <c r="U11" s="87">
        <f t="shared" si="29"/>
        <v>2.4708186436658095</v>
      </c>
      <c r="V11" s="87">
        <f t="shared" si="29"/>
        <v>5.774196063004827</v>
      </c>
      <c r="W11" s="87">
        <f t="shared" ref="W11" si="30">IF(W38=0,0,W38*W148)</f>
        <v>11.566549176785436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0.5277042194813083</v>
      </c>
      <c r="O12" s="87">
        <f t="shared" si="33"/>
        <v>0.60796196358134491</v>
      </c>
      <c r="P12" s="87">
        <f t="shared" si="33"/>
        <v>1.3495311197099298</v>
      </c>
      <c r="Q12" s="87">
        <f t="shared" si="33"/>
        <v>2.5699172901027727</v>
      </c>
      <c r="R12" s="87">
        <f t="shared" si="33"/>
        <v>3.4676414017506669</v>
      </c>
      <c r="S12" s="87">
        <f t="shared" si="33"/>
        <v>4.1748756096647739</v>
      </c>
      <c r="T12" s="87">
        <f t="shared" si="33"/>
        <v>6.5504527312304983</v>
      </c>
      <c r="U12" s="87">
        <f t="shared" si="33"/>
        <v>10.433397233194292</v>
      </c>
      <c r="V12" s="87">
        <f t="shared" si="33"/>
        <v>16.417929299361699</v>
      </c>
      <c r="W12" s="87">
        <f t="shared" ref="W12" si="34">IF(W39=0,0,W39*W149)</f>
        <v>41.888448922861457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3331.1469999999999</v>
      </c>
      <c r="C13" s="116">
        <f t="shared" si="35"/>
        <v>3477.7570000000005</v>
      </c>
      <c r="D13" s="116">
        <f t="shared" si="35"/>
        <v>3557.6930000000002</v>
      </c>
      <c r="E13" s="116">
        <f t="shared" si="35"/>
        <v>3716.8500000000004</v>
      </c>
      <c r="F13" s="116">
        <f t="shared" si="35"/>
        <v>3390.2530000000002</v>
      </c>
      <c r="G13" s="116">
        <f t="shared" si="35"/>
        <v>3403.4690000000001</v>
      </c>
      <c r="H13" s="116">
        <f t="shared" si="35"/>
        <v>3537.056</v>
      </c>
      <c r="I13" s="116">
        <f t="shared" si="35"/>
        <v>3807.98</v>
      </c>
      <c r="J13" s="116">
        <f t="shared" si="35"/>
        <v>4093.4889999999996</v>
      </c>
      <c r="K13" s="116">
        <f t="shared" si="35"/>
        <v>3437.9960000000005</v>
      </c>
      <c r="L13" s="116">
        <f t="shared" ref="L13" si="36">SUM(L14:L18)</f>
        <v>3248.4180000000006</v>
      </c>
      <c r="M13" s="116">
        <f t="shared" ref="M13:V13" si="37">SUM(M14:M18)</f>
        <v>3145.0209999999997</v>
      </c>
      <c r="N13" s="116">
        <f t="shared" si="37"/>
        <v>3249.078</v>
      </c>
      <c r="O13" s="116">
        <f t="shared" si="37"/>
        <v>3506.9999999999995</v>
      </c>
      <c r="P13" s="116">
        <f t="shared" si="37"/>
        <v>3648</v>
      </c>
      <c r="Q13" s="116">
        <f t="shared" si="37"/>
        <v>3377</v>
      </c>
      <c r="R13" s="116">
        <f t="shared" si="37"/>
        <v>3802</v>
      </c>
      <c r="S13" s="116">
        <f t="shared" si="37"/>
        <v>4150</v>
      </c>
      <c r="T13" s="116">
        <f t="shared" si="37"/>
        <v>3843</v>
      </c>
      <c r="U13" s="116">
        <f t="shared" si="37"/>
        <v>4022</v>
      </c>
      <c r="V13" s="116">
        <f t="shared" si="37"/>
        <v>2076</v>
      </c>
      <c r="W13" s="116">
        <f t="shared" ref="W13" si="38">SUM(W14:W18)</f>
        <v>2390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6.2881666447328657</v>
      </c>
      <c r="C14" s="101">
        <f t="shared" si="39"/>
        <v>6.6047288841594511</v>
      </c>
      <c r="D14" s="101">
        <f t="shared" si="39"/>
        <v>6.6404945354956011</v>
      </c>
      <c r="E14" s="101">
        <f t="shared" si="39"/>
        <v>6.3788570132562503</v>
      </c>
      <c r="F14" s="101">
        <f t="shared" si="39"/>
        <v>5.9214691833510544</v>
      </c>
      <c r="G14" s="101">
        <f t="shared" si="39"/>
        <v>5.9534486599240077</v>
      </c>
      <c r="H14" s="101">
        <f t="shared" si="39"/>
        <v>5.9960119389903763</v>
      </c>
      <c r="I14" s="101">
        <f t="shared" si="39"/>
        <v>5.4867964624917693</v>
      </c>
      <c r="J14" s="101">
        <f t="shared" si="39"/>
        <v>6.1043126859647003</v>
      </c>
      <c r="K14" s="101">
        <f t="shared" si="39"/>
        <v>5.5283114477541107</v>
      </c>
      <c r="L14" s="101">
        <f t="shared" ref="L14" si="40">IF(L41=0,0,L41*L151)</f>
        <v>5.3458583472761063</v>
      </c>
      <c r="M14" s="101">
        <f t="shared" ref="M14:V14" si="41">IF(M41=0,0,M41*M151)</f>
        <v>4.8295086224699775</v>
      </c>
      <c r="N14" s="101">
        <f t="shared" si="41"/>
        <v>4.74842618853872</v>
      </c>
      <c r="O14" s="101">
        <f t="shared" si="41"/>
        <v>5.4604717556330549</v>
      </c>
      <c r="P14" s="101">
        <f t="shared" si="41"/>
        <v>5.1099048932360578</v>
      </c>
      <c r="Q14" s="101">
        <f t="shared" si="41"/>
        <v>4.7463527921726056</v>
      </c>
      <c r="R14" s="101">
        <f t="shared" si="41"/>
        <v>4.8891056063946161</v>
      </c>
      <c r="S14" s="101">
        <f t="shared" si="41"/>
        <v>4.7889831711818864</v>
      </c>
      <c r="T14" s="101">
        <f t="shared" si="41"/>
        <v>4.7568616826882542</v>
      </c>
      <c r="U14" s="101">
        <f t="shared" si="41"/>
        <v>3.5075258662947832</v>
      </c>
      <c r="V14" s="101">
        <f t="shared" si="41"/>
        <v>2.4082430368277001</v>
      </c>
      <c r="W14" s="101">
        <f t="shared" ref="W14" si="42">IF(W41=0,0,W41*W151)</f>
        <v>2.5298368336162387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3324.8588333552671</v>
      </c>
      <c r="C15" s="101">
        <f t="shared" si="43"/>
        <v>3471.1522711158409</v>
      </c>
      <c r="D15" s="101">
        <f t="shared" si="43"/>
        <v>3551.0525054645045</v>
      </c>
      <c r="E15" s="101">
        <f t="shared" si="43"/>
        <v>3710.4711429867443</v>
      </c>
      <c r="F15" s="101">
        <f t="shared" si="43"/>
        <v>3384.3315308166493</v>
      </c>
      <c r="G15" s="101">
        <f t="shared" si="43"/>
        <v>3397.5155513400759</v>
      </c>
      <c r="H15" s="101">
        <f t="shared" si="43"/>
        <v>3531.0599880610098</v>
      </c>
      <c r="I15" s="101">
        <f t="shared" si="43"/>
        <v>3802.2202322133376</v>
      </c>
      <c r="J15" s="101">
        <f t="shared" si="43"/>
        <v>4087.0874373974088</v>
      </c>
      <c r="K15" s="101">
        <f t="shared" si="43"/>
        <v>3416.3293912139384</v>
      </c>
      <c r="L15" s="101">
        <f t="shared" ref="L15" si="44">IF(L42=0,0,L42*L152)</f>
        <v>3226.4209663292245</v>
      </c>
      <c r="M15" s="101">
        <f t="shared" ref="M15:V15" si="45">IF(M42=0,0,M42*M152)</f>
        <v>3123.4942353094229</v>
      </c>
      <c r="N15" s="101">
        <f t="shared" si="45"/>
        <v>3224.3002539378804</v>
      </c>
      <c r="O15" s="101">
        <f t="shared" si="45"/>
        <v>3454.6708248940204</v>
      </c>
      <c r="P15" s="101">
        <f t="shared" si="45"/>
        <v>3545.5540642799192</v>
      </c>
      <c r="Q15" s="101">
        <f t="shared" si="45"/>
        <v>3285.0900736212343</v>
      </c>
      <c r="R15" s="101">
        <f t="shared" si="45"/>
        <v>3704.7168037603169</v>
      </c>
      <c r="S15" s="101">
        <f t="shared" si="45"/>
        <v>4033.2128637566911</v>
      </c>
      <c r="T15" s="101">
        <f t="shared" si="45"/>
        <v>3739.7462908811531</v>
      </c>
      <c r="U15" s="101">
        <f t="shared" si="45"/>
        <v>3896.2601477021772</v>
      </c>
      <c r="V15" s="101">
        <f t="shared" si="45"/>
        <v>2005.9068996137969</v>
      </c>
      <c r="W15" s="101">
        <f t="shared" ref="W15" si="46">IF(W42=0,0,W42*W152)</f>
        <v>2296.879062810362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0.27297132417080477</v>
      </c>
      <c r="J16" s="101">
        <f t="shared" si="47"/>
        <v>0.29724991662644429</v>
      </c>
      <c r="K16" s="101">
        <f t="shared" si="47"/>
        <v>0.25389794785356612</v>
      </c>
      <c r="L16" s="101">
        <f t="shared" ref="L16" si="48">IF(L43=0,0,L43*L153)</f>
        <v>0.25024596230909524</v>
      </c>
      <c r="M16" s="101">
        <f t="shared" ref="M16:V16" si="49">IF(M43=0,0,M43*M153)</f>
        <v>0.49646640332054842</v>
      </c>
      <c r="N16" s="101">
        <f t="shared" si="49"/>
        <v>0.53343153564390311</v>
      </c>
      <c r="O16" s="101">
        <f t="shared" si="49"/>
        <v>3.7326628669804185</v>
      </c>
      <c r="P16" s="101">
        <f t="shared" si="49"/>
        <v>4.3608433440582344</v>
      </c>
      <c r="Q16" s="101">
        <f t="shared" si="49"/>
        <v>3.9949227236188514</v>
      </c>
      <c r="R16" s="101">
        <f t="shared" si="49"/>
        <v>4.3125272098840037</v>
      </c>
      <c r="S16" s="101">
        <f t="shared" si="49"/>
        <v>4.2272727259797778</v>
      </c>
      <c r="T16" s="101">
        <f t="shared" si="49"/>
        <v>3.7753943920980446</v>
      </c>
      <c r="U16" s="101">
        <f t="shared" si="49"/>
        <v>4.0331911537146796</v>
      </c>
      <c r="V16" s="101">
        <f t="shared" si="49"/>
        <v>2.3473701728869258</v>
      </c>
      <c r="W16" s="101">
        <f t="shared" ref="W16" si="50">IF(W43=0,0,W43*W153)</f>
        <v>2.6008678474382791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15.884399390454233</v>
      </c>
      <c r="L17" s="101">
        <f t="shared" ref="L17" si="52">IF(L44=0,0,L44*L154)</f>
        <v>16.400929361190567</v>
      </c>
      <c r="M17" s="101">
        <f t="shared" ref="M17:V17" si="53">IF(M44=0,0,M44*M154)</f>
        <v>16.200789664786377</v>
      </c>
      <c r="N17" s="101">
        <f t="shared" si="53"/>
        <v>19.495888337936936</v>
      </c>
      <c r="O17" s="101">
        <f t="shared" si="53"/>
        <v>43.13604048336601</v>
      </c>
      <c r="P17" s="101">
        <f t="shared" si="53"/>
        <v>92.975187482786552</v>
      </c>
      <c r="Q17" s="101">
        <f t="shared" si="53"/>
        <v>82.197709226276615</v>
      </c>
      <c r="R17" s="101">
        <f t="shared" si="53"/>
        <v>86.565747090273163</v>
      </c>
      <c r="S17" s="101">
        <f t="shared" si="53"/>
        <v>106.15106099447179</v>
      </c>
      <c r="T17" s="101">
        <f t="shared" si="53"/>
        <v>93.292196509285503</v>
      </c>
      <c r="U17" s="101">
        <f t="shared" si="53"/>
        <v>116.32713868949868</v>
      </c>
      <c r="V17" s="101">
        <f t="shared" si="53"/>
        <v>64.262507164761544</v>
      </c>
      <c r="W17" s="101">
        <f t="shared" ref="W17" si="54">IF(W44=0,0,W44*W154)</f>
        <v>85.29425859769178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0</v>
      </c>
      <c r="Q18" s="101">
        <f t="shared" si="57"/>
        <v>0.97094163669775557</v>
      </c>
      <c r="R18" s="101">
        <f t="shared" si="57"/>
        <v>1.5158163331312218</v>
      </c>
      <c r="S18" s="101">
        <f t="shared" si="57"/>
        <v>1.6198193516753066</v>
      </c>
      <c r="T18" s="101">
        <f t="shared" si="57"/>
        <v>1.4292565347749839</v>
      </c>
      <c r="U18" s="101">
        <f t="shared" si="57"/>
        <v>1.8719965883150691</v>
      </c>
      <c r="V18" s="101">
        <f t="shared" si="57"/>
        <v>1.0749800117269019</v>
      </c>
      <c r="W18" s="101">
        <f t="shared" ref="W18" si="58">IF(W45=0,0,W45*W155)</f>
        <v>2.6959739108918677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6455.6512775334922</v>
      </c>
      <c r="C19" s="29">
        <f t="shared" si="59"/>
        <v>8113.5857477005338</v>
      </c>
      <c r="D19" s="29">
        <f t="shared" si="59"/>
        <v>8861.2433097903377</v>
      </c>
      <c r="E19" s="29">
        <f t="shared" si="59"/>
        <v>9425.0722239900078</v>
      </c>
      <c r="F19" s="29">
        <f t="shared" si="59"/>
        <v>10509.129870837956</v>
      </c>
      <c r="G19" s="29">
        <f t="shared" si="59"/>
        <v>10753.526726430129</v>
      </c>
      <c r="H19" s="29">
        <f t="shared" si="59"/>
        <v>11202.568821687733</v>
      </c>
      <c r="I19" s="29">
        <f t="shared" si="59"/>
        <v>11320.939526729808</v>
      </c>
      <c r="J19" s="29">
        <f t="shared" si="59"/>
        <v>10675.092144609343</v>
      </c>
      <c r="K19" s="29">
        <f t="shared" si="59"/>
        <v>8788.1904267495665</v>
      </c>
      <c r="L19" s="29">
        <f t="shared" ref="L19" si="60">L20+L26</f>
        <v>8199.3415456840776</v>
      </c>
      <c r="M19" s="29">
        <f t="shared" ref="M19:V19" si="61">M20+M26</f>
        <v>8005.4443635870948</v>
      </c>
      <c r="N19" s="29">
        <f t="shared" si="61"/>
        <v>7671.0234497110005</v>
      </c>
      <c r="O19" s="29">
        <f t="shared" si="61"/>
        <v>7954.3882670911307</v>
      </c>
      <c r="P19" s="29">
        <f t="shared" si="61"/>
        <v>7823.9289409292032</v>
      </c>
      <c r="Q19" s="29">
        <f t="shared" si="61"/>
        <v>8519.5868602154587</v>
      </c>
      <c r="R19" s="29">
        <f t="shared" si="61"/>
        <v>8570.6309148425244</v>
      </c>
      <c r="S19" s="29">
        <f t="shared" si="61"/>
        <v>9823.9601779653676</v>
      </c>
      <c r="T19" s="29">
        <f t="shared" si="61"/>
        <v>9914.7997875998153</v>
      </c>
      <c r="U19" s="29">
        <f t="shared" si="61"/>
        <v>9456.0569854492023</v>
      </c>
      <c r="V19" s="29">
        <f t="shared" si="61"/>
        <v>9718.2722200547487</v>
      </c>
      <c r="W19" s="29">
        <f t="shared" ref="W19" si="62">W20+W26</f>
        <v>9774.8334835039095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150.70745667761406</v>
      </c>
      <c r="C20" s="152">
        <f t="shared" si="63"/>
        <v>188.20678183075682</v>
      </c>
      <c r="D20" s="152">
        <f t="shared" si="63"/>
        <v>207.95864753211225</v>
      </c>
      <c r="E20" s="152">
        <f t="shared" si="63"/>
        <v>230.39262613118865</v>
      </c>
      <c r="F20" s="152">
        <f t="shared" si="63"/>
        <v>250.47544675178938</v>
      </c>
      <c r="G20" s="152">
        <f t="shared" si="63"/>
        <v>270.47065580250143</v>
      </c>
      <c r="H20" s="152">
        <f t="shared" si="63"/>
        <v>292.62805070639178</v>
      </c>
      <c r="I20" s="152">
        <f t="shared" si="63"/>
        <v>287.95974698971827</v>
      </c>
      <c r="J20" s="152">
        <f t="shared" si="63"/>
        <v>300.04608604208823</v>
      </c>
      <c r="K20" s="152">
        <f t="shared" si="63"/>
        <v>291.6546954530358</v>
      </c>
      <c r="L20" s="152">
        <f t="shared" ref="L20" si="64">SUM(L21:L25)</f>
        <v>273.21744777479074</v>
      </c>
      <c r="M20" s="152">
        <f t="shared" ref="M20:V20" si="65">SUM(M21:M25)</f>
        <v>272.6790271931863</v>
      </c>
      <c r="N20" s="152">
        <f t="shared" si="65"/>
        <v>257.65894637943097</v>
      </c>
      <c r="O20" s="152">
        <f t="shared" si="65"/>
        <v>257.83230600328289</v>
      </c>
      <c r="P20" s="152">
        <f t="shared" si="65"/>
        <v>257.7333248740818</v>
      </c>
      <c r="Q20" s="152">
        <f t="shared" si="65"/>
        <v>300.14466824404417</v>
      </c>
      <c r="R20" s="152">
        <f t="shared" si="65"/>
        <v>320.42370603793375</v>
      </c>
      <c r="S20" s="152">
        <f t="shared" si="65"/>
        <v>354.1166049241412</v>
      </c>
      <c r="T20" s="152">
        <f t="shared" si="65"/>
        <v>393.7997875998152</v>
      </c>
      <c r="U20" s="152">
        <f t="shared" si="65"/>
        <v>422.05698544920216</v>
      </c>
      <c r="V20" s="152">
        <f t="shared" si="65"/>
        <v>437.27222005474863</v>
      </c>
      <c r="W20" s="152">
        <f t="shared" ref="W20" si="66">SUM(W21:W25)</f>
        <v>472.83348350390912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22.498983635728919</v>
      </c>
      <c r="C21" s="87">
        <f t="shared" si="67"/>
        <v>27.323773628071873</v>
      </c>
      <c r="D21" s="87">
        <f t="shared" si="67"/>
        <v>26.816907702312939</v>
      </c>
      <c r="E21" s="87">
        <f t="shared" si="67"/>
        <v>25.73927319941825</v>
      </c>
      <c r="F21" s="87">
        <f t="shared" si="67"/>
        <v>24.140568450508738</v>
      </c>
      <c r="G21" s="87">
        <f t="shared" si="67"/>
        <v>22.80983870861894</v>
      </c>
      <c r="H21" s="87">
        <f t="shared" si="67"/>
        <v>22.485171026159364</v>
      </c>
      <c r="I21" s="87">
        <f t="shared" si="67"/>
        <v>17.710723562943862</v>
      </c>
      <c r="J21" s="87">
        <f t="shared" si="67"/>
        <v>17.260282115099322</v>
      </c>
      <c r="K21" s="87">
        <f t="shared" si="67"/>
        <v>15.180621733624982</v>
      </c>
      <c r="L21" s="87">
        <f t="shared" ref="L21" si="68">IF(L48=0,0,L48*L158)</f>
        <v>13.21162143466373</v>
      </c>
      <c r="M21" s="87">
        <f t="shared" ref="M21:V21" si="69">IF(M48=0,0,M48*M158)</f>
        <v>12.462237755066745</v>
      </c>
      <c r="N21" s="87">
        <f t="shared" si="69"/>
        <v>8.9712362483936214</v>
      </c>
      <c r="O21" s="87">
        <f t="shared" si="69"/>
        <v>8.5890616982710544</v>
      </c>
      <c r="P21" s="87">
        <f t="shared" si="69"/>
        <v>8.3311699477469539</v>
      </c>
      <c r="Q21" s="87">
        <f t="shared" si="69"/>
        <v>8.012893677544799</v>
      </c>
      <c r="R21" s="87">
        <f t="shared" si="69"/>
        <v>8.0344777183631333</v>
      </c>
      <c r="S21" s="87">
        <f t="shared" si="69"/>
        <v>8.838346618222225</v>
      </c>
      <c r="T21" s="87">
        <f t="shared" si="69"/>
        <v>9.4132753366369499</v>
      </c>
      <c r="U21" s="87">
        <f t="shared" si="69"/>
        <v>9.640209297778437</v>
      </c>
      <c r="V21" s="87">
        <f t="shared" si="69"/>
        <v>9.5481803470823721</v>
      </c>
      <c r="W21" s="87">
        <f t="shared" ref="W21" si="70">IF(W48=0,0,W48*W158)</f>
        <v>9.9922999444235003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128.20847304188516</v>
      </c>
      <c r="C22" s="87">
        <f t="shared" si="71"/>
        <v>160.88300820268495</v>
      </c>
      <c r="D22" s="87">
        <f t="shared" si="71"/>
        <v>181.14173982979932</v>
      </c>
      <c r="E22" s="87">
        <f t="shared" si="71"/>
        <v>204.64923244841827</v>
      </c>
      <c r="F22" s="87">
        <f t="shared" si="71"/>
        <v>226.33075398206537</v>
      </c>
      <c r="G22" s="87">
        <f t="shared" si="71"/>
        <v>247.65462492744294</v>
      </c>
      <c r="H22" s="87">
        <f t="shared" si="71"/>
        <v>270.13668178102097</v>
      </c>
      <c r="I22" s="87">
        <f t="shared" si="71"/>
        <v>269.95024425325772</v>
      </c>
      <c r="J22" s="87">
        <f t="shared" si="71"/>
        <v>282.02261938227065</v>
      </c>
      <c r="K22" s="87">
        <f t="shared" si="71"/>
        <v>275.49156316334938</v>
      </c>
      <c r="L22" s="87">
        <f t="shared" ref="L22" si="72">IF(L49=0,0,L49*L159)</f>
        <v>258.9947184162375</v>
      </c>
      <c r="M22" s="87">
        <f t="shared" ref="M22:V22" si="73">IF(M49=0,0,M49*M159)</f>
        <v>259.24853723579054</v>
      </c>
      <c r="N22" s="87">
        <f t="shared" si="73"/>
        <v>247.69166675185522</v>
      </c>
      <c r="O22" s="87">
        <f t="shared" si="73"/>
        <v>248.14759635750667</v>
      </c>
      <c r="P22" s="87">
        <f t="shared" si="73"/>
        <v>248.22495922778262</v>
      </c>
      <c r="Q22" s="87">
        <f t="shared" si="73"/>
        <v>290.79056063625831</v>
      </c>
      <c r="R22" s="87">
        <f t="shared" si="73"/>
        <v>310.93706862043956</v>
      </c>
      <c r="S22" s="87">
        <f t="shared" si="73"/>
        <v>343.62749606469282</v>
      </c>
      <c r="T22" s="87">
        <f t="shared" si="73"/>
        <v>382.57660559124997</v>
      </c>
      <c r="U22" s="87">
        <f t="shared" si="73"/>
        <v>410.50480598701972</v>
      </c>
      <c r="V22" s="87">
        <f t="shared" si="73"/>
        <v>425.58242646838045</v>
      </c>
      <c r="W22" s="87">
        <f t="shared" ref="W22" si="74">IF(W49=0,0,W49*W159)</f>
        <v>460.51752108652954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0.29257851280916686</v>
      </c>
      <c r="J23" s="87">
        <f t="shared" si="75"/>
        <v>0.75284961253892502</v>
      </c>
      <c r="K23" s="87">
        <f t="shared" si="75"/>
        <v>0.93012846084033873</v>
      </c>
      <c r="L23" s="87">
        <f t="shared" ref="L23" si="76">IF(L50=0,0,L50*L160)</f>
        <v>0.95139633921365296</v>
      </c>
      <c r="M23" s="87">
        <f t="shared" ref="M23:V23" si="77">IF(M50=0,0,M50*M160)</f>
        <v>0.90904705516136364</v>
      </c>
      <c r="N23" s="87">
        <f t="shared" si="77"/>
        <v>0.91145745320628069</v>
      </c>
      <c r="O23" s="87">
        <f t="shared" si="77"/>
        <v>1.0098142774397847</v>
      </c>
      <c r="P23" s="87">
        <f t="shared" si="77"/>
        <v>1.0892638567359227</v>
      </c>
      <c r="Q23" s="87">
        <f t="shared" si="77"/>
        <v>1.1906534111229148</v>
      </c>
      <c r="R23" s="87">
        <f t="shared" si="77"/>
        <v>1.2686084440344287</v>
      </c>
      <c r="S23" s="87">
        <f t="shared" si="77"/>
        <v>1.4254135527990965</v>
      </c>
      <c r="T23" s="87">
        <f t="shared" si="77"/>
        <v>1.5555394224210926</v>
      </c>
      <c r="U23" s="87">
        <f t="shared" si="77"/>
        <v>1.6596738273404723</v>
      </c>
      <c r="V23" s="87">
        <f t="shared" si="77"/>
        <v>1.686959619450499</v>
      </c>
      <c r="W23" s="87">
        <f t="shared" ref="W23" si="78">IF(W50=0,0,W50*W160)</f>
        <v>1.8649092489951158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3.9970037429613879E-2</v>
      </c>
      <c r="L24" s="87">
        <f t="shared" ref="L24" si="80">IF(L51=0,0,L51*L161)</f>
        <v>4.7288498492390064E-2</v>
      </c>
      <c r="M24" s="87">
        <f t="shared" ref="M24:V24" si="81">IF(M51=0,0,M51*M161)</f>
        <v>4.8844579026272802E-2</v>
      </c>
      <c r="N24" s="87">
        <f t="shared" si="81"/>
        <v>7.0071556229114401E-2</v>
      </c>
      <c r="O24" s="87">
        <f t="shared" si="81"/>
        <v>7.1318281800098068E-2</v>
      </c>
      <c r="P24" s="87">
        <f t="shared" si="81"/>
        <v>7.1330186338574714E-2</v>
      </c>
      <c r="Q24" s="87">
        <f t="shared" si="81"/>
        <v>7.5817631447094594E-2</v>
      </c>
      <c r="R24" s="87">
        <f t="shared" si="81"/>
        <v>7.3585020831753126E-2</v>
      </c>
      <c r="S24" s="87">
        <f t="shared" si="81"/>
        <v>9.0612929790036781E-2</v>
      </c>
      <c r="T24" s="87">
        <f t="shared" si="81"/>
        <v>9.4908520006296848E-2</v>
      </c>
      <c r="U24" s="87">
        <f t="shared" si="81"/>
        <v>9.2879012896042834E-2</v>
      </c>
      <c r="V24" s="87">
        <f t="shared" si="81"/>
        <v>9.0036656650587771E-2</v>
      </c>
      <c r="W24" s="87">
        <f t="shared" ref="W24" si="82">IF(W51=0,0,W51*W161)</f>
        <v>9.0303879938300316E-2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4.1204833521107063E-3</v>
      </c>
      <c r="F25" s="87">
        <f t="shared" si="83"/>
        <v>4.124319215271329E-3</v>
      </c>
      <c r="G25" s="87">
        <f t="shared" si="83"/>
        <v>6.1921664395475475E-3</v>
      </c>
      <c r="H25" s="87">
        <f t="shared" si="83"/>
        <v>6.1978992114039662E-3</v>
      </c>
      <c r="I25" s="87">
        <f t="shared" si="83"/>
        <v>6.2006607074985426E-3</v>
      </c>
      <c r="J25" s="87">
        <f t="shared" si="83"/>
        <v>1.0334932179384689E-2</v>
      </c>
      <c r="K25" s="87">
        <f t="shared" si="83"/>
        <v>1.2412057791424918E-2</v>
      </c>
      <c r="L25" s="87">
        <f t="shared" ref="L25" si="84">IF(L52=0,0,L52*L162)</f>
        <v>1.2423086183458028E-2</v>
      </c>
      <c r="M25" s="87">
        <f t="shared" ref="M25:V25" si="85">IF(M52=0,0,M52*M162)</f>
        <v>1.0360568141410311E-2</v>
      </c>
      <c r="N25" s="87">
        <f t="shared" si="85"/>
        <v>1.4514369746814602E-2</v>
      </c>
      <c r="O25" s="87">
        <f t="shared" si="85"/>
        <v>1.4515388265317328E-2</v>
      </c>
      <c r="P25" s="87">
        <f t="shared" si="85"/>
        <v>1.6601655477774466E-2</v>
      </c>
      <c r="Q25" s="87">
        <f t="shared" si="85"/>
        <v>7.4742887671053845E-2</v>
      </c>
      <c r="R25" s="87">
        <f t="shared" si="85"/>
        <v>0.10996623426490905</v>
      </c>
      <c r="S25" s="87">
        <f t="shared" si="85"/>
        <v>0.13473575863702583</v>
      </c>
      <c r="T25" s="87">
        <f t="shared" si="85"/>
        <v>0.15945872950087184</v>
      </c>
      <c r="U25" s="87">
        <f t="shared" si="85"/>
        <v>0.15941732416745688</v>
      </c>
      <c r="V25" s="87">
        <f t="shared" si="85"/>
        <v>0.36461696318477205</v>
      </c>
      <c r="W25" s="87">
        <f t="shared" ref="W25" si="86">IF(W52=0,0,W52*W162)</f>
        <v>0.36844934402265694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6304.9438208558786</v>
      </c>
      <c r="C26" s="116">
        <f t="shared" si="87"/>
        <v>7925.3789658697769</v>
      </c>
      <c r="D26" s="116">
        <f t="shared" si="87"/>
        <v>8653.2846622582256</v>
      </c>
      <c r="E26" s="116">
        <f t="shared" si="87"/>
        <v>9194.6795978588198</v>
      </c>
      <c r="F26" s="116">
        <f t="shared" si="87"/>
        <v>10258.654424086168</v>
      </c>
      <c r="G26" s="116">
        <f t="shared" si="87"/>
        <v>10483.056070627628</v>
      </c>
      <c r="H26" s="116">
        <f t="shared" si="87"/>
        <v>10909.940770981342</v>
      </c>
      <c r="I26" s="116">
        <f t="shared" si="87"/>
        <v>11032.97977974009</v>
      </c>
      <c r="J26" s="116">
        <f t="shared" si="87"/>
        <v>10375.046058567255</v>
      </c>
      <c r="K26" s="116">
        <f t="shared" si="87"/>
        <v>8496.5357312965316</v>
      </c>
      <c r="L26" s="116">
        <f t="shared" ref="L26" si="88">SUM(L27:L28)</f>
        <v>7926.1240979092863</v>
      </c>
      <c r="M26" s="116">
        <f t="shared" ref="M26:V26" si="89">SUM(M27:M28)</f>
        <v>7732.7653363939089</v>
      </c>
      <c r="N26" s="116">
        <f t="shared" si="89"/>
        <v>7413.3645033315697</v>
      </c>
      <c r="O26" s="116">
        <f t="shared" si="89"/>
        <v>7696.5559610878481</v>
      </c>
      <c r="P26" s="116">
        <f t="shared" si="89"/>
        <v>7566.1956160551217</v>
      </c>
      <c r="Q26" s="116">
        <f t="shared" si="89"/>
        <v>8219.442191971415</v>
      </c>
      <c r="R26" s="116">
        <f t="shared" si="89"/>
        <v>8250.2072088045898</v>
      </c>
      <c r="S26" s="116">
        <f t="shared" si="89"/>
        <v>9469.8435730412257</v>
      </c>
      <c r="T26" s="116">
        <f t="shared" si="89"/>
        <v>9521</v>
      </c>
      <c r="U26" s="116">
        <f t="shared" si="89"/>
        <v>9034</v>
      </c>
      <c r="V26" s="116">
        <f t="shared" si="89"/>
        <v>9281</v>
      </c>
      <c r="W26" s="116">
        <f t="shared" ref="W26" si="90">SUM(W27:W28)</f>
        <v>9302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1906</v>
      </c>
      <c r="C27" s="101">
        <f t="shared" si="91"/>
        <v>3212.9999999999995</v>
      </c>
      <c r="D27" s="101">
        <f t="shared" si="91"/>
        <v>3663</v>
      </c>
      <c r="E27" s="101">
        <f t="shared" si="91"/>
        <v>4124</v>
      </c>
      <c r="F27" s="101">
        <f t="shared" si="91"/>
        <v>4373</v>
      </c>
      <c r="G27" s="101">
        <f t="shared" si="91"/>
        <v>4387</v>
      </c>
      <c r="H27" s="101">
        <f t="shared" si="91"/>
        <v>5291</v>
      </c>
      <c r="I27" s="101">
        <f t="shared" si="91"/>
        <v>5122</v>
      </c>
      <c r="J27" s="101">
        <f t="shared" si="91"/>
        <v>6445</v>
      </c>
      <c r="K27" s="101">
        <f t="shared" si="91"/>
        <v>5125.0000000000009</v>
      </c>
      <c r="L27" s="101">
        <f t="shared" ref="L27:V27" si="92">IF(L54=0,0,L54*L164)</f>
        <v>4547</v>
      </c>
      <c r="M27" s="101">
        <f t="shared" si="92"/>
        <v>4375</v>
      </c>
      <c r="N27" s="101">
        <f t="shared" si="92"/>
        <v>4145</v>
      </c>
      <c r="O27" s="101">
        <f t="shared" si="92"/>
        <v>4284</v>
      </c>
      <c r="P27" s="101">
        <f t="shared" si="92"/>
        <v>3931</v>
      </c>
      <c r="Q27" s="101">
        <f t="shared" si="92"/>
        <v>4054.9999999999995</v>
      </c>
      <c r="R27" s="101">
        <f t="shared" si="92"/>
        <v>3986</v>
      </c>
      <c r="S27" s="101">
        <f t="shared" si="92"/>
        <v>4199</v>
      </c>
      <c r="T27" s="101">
        <f t="shared" si="92"/>
        <v>4235</v>
      </c>
      <c r="U27" s="101">
        <f t="shared" si="92"/>
        <v>4312</v>
      </c>
      <c r="V27" s="101">
        <f t="shared" si="92"/>
        <v>4487</v>
      </c>
      <c r="W27" s="101">
        <f t="shared" ref="W27" si="93">IF(W54=0,0,W54*W164)</f>
        <v>4802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4398.9438208558786</v>
      </c>
      <c r="C28" s="88">
        <f t="shared" si="94"/>
        <v>4712.3789658697769</v>
      </c>
      <c r="D28" s="88">
        <f t="shared" si="94"/>
        <v>4990.2846622582256</v>
      </c>
      <c r="E28" s="88">
        <f t="shared" si="94"/>
        <v>5070.6795978588198</v>
      </c>
      <c r="F28" s="88">
        <f t="shared" si="94"/>
        <v>5885.6544240861676</v>
      </c>
      <c r="G28" s="88">
        <f t="shared" si="94"/>
        <v>6096.0560706276283</v>
      </c>
      <c r="H28" s="88">
        <f t="shared" si="94"/>
        <v>5618.9407709813422</v>
      </c>
      <c r="I28" s="88">
        <f t="shared" si="94"/>
        <v>5910.9797797400897</v>
      </c>
      <c r="J28" s="88">
        <f t="shared" si="94"/>
        <v>3930.0460585672554</v>
      </c>
      <c r="K28" s="88">
        <f t="shared" si="94"/>
        <v>3371.5357312965316</v>
      </c>
      <c r="L28" s="88">
        <f t="shared" ref="L28:V28" si="95">IF(L55=0,0,L55*L165)</f>
        <v>3379.1240979092863</v>
      </c>
      <c r="M28" s="88">
        <f t="shared" si="95"/>
        <v>3357.7653363939089</v>
      </c>
      <c r="N28" s="88">
        <f t="shared" si="95"/>
        <v>3268.3645033315697</v>
      </c>
      <c r="O28" s="88">
        <f t="shared" si="95"/>
        <v>3412.5559610878481</v>
      </c>
      <c r="P28" s="88">
        <f t="shared" si="95"/>
        <v>3635.1956160551217</v>
      </c>
      <c r="Q28" s="88">
        <f t="shared" si="95"/>
        <v>4164.442191971415</v>
      </c>
      <c r="R28" s="88">
        <f t="shared" si="95"/>
        <v>4264.2072088045898</v>
      </c>
      <c r="S28" s="88">
        <f t="shared" si="95"/>
        <v>5270.8435730412257</v>
      </c>
      <c r="T28" s="88">
        <f t="shared" si="95"/>
        <v>5286</v>
      </c>
      <c r="U28" s="88">
        <f t="shared" si="95"/>
        <v>4722</v>
      </c>
      <c r="V28" s="88">
        <f t="shared" si="95"/>
        <v>4794</v>
      </c>
      <c r="W28" s="88">
        <f t="shared" ref="W28" si="96">IF(W55=0,0,W55*W165)</f>
        <v>4500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15623.798407345328</v>
      </c>
      <c r="C30" s="62">
        <f t="shared" ref="C30:V30" si="98">C31+C46</f>
        <v>16980.709727083129</v>
      </c>
      <c r="D30" s="62">
        <f t="shared" si="98"/>
        <v>18030.341103846244</v>
      </c>
      <c r="E30" s="62">
        <f t="shared" si="98"/>
        <v>18724.201548519333</v>
      </c>
      <c r="F30" s="62">
        <f t="shared" si="98"/>
        <v>19767.913426026807</v>
      </c>
      <c r="G30" s="62">
        <f t="shared" si="98"/>
        <v>20380.917249204856</v>
      </c>
      <c r="H30" s="62">
        <f t="shared" si="98"/>
        <v>21121.567993004963</v>
      </c>
      <c r="I30" s="62">
        <f t="shared" si="98"/>
        <v>22049.533744448687</v>
      </c>
      <c r="J30" s="62">
        <f t="shared" si="98"/>
        <v>24005.879476556227</v>
      </c>
      <c r="K30" s="62">
        <f t="shared" si="98"/>
        <v>23313.843420936155</v>
      </c>
      <c r="L30" s="62">
        <f t="shared" si="98"/>
        <v>23096.348251301948</v>
      </c>
      <c r="M30" s="62">
        <f t="shared" si="98"/>
        <v>22744.290625529229</v>
      </c>
      <c r="N30" s="62">
        <f t="shared" si="98"/>
        <v>22058.43316437933</v>
      </c>
      <c r="O30" s="62">
        <f t="shared" si="98"/>
        <v>22080.509519352108</v>
      </c>
      <c r="P30" s="62">
        <f t="shared" si="98"/>
        <v>22356.584694162244</v>
      </c>
      <c r="Q30" s="62">
        <f t="shared" si="98"/>
        <v>23178.62310906007</v>
      </c>
      <c r="R30" s="62">
        <f t="shared" si="98"/>
        <v>25283.928322263615</v>
      </c>
      <c r="S30" s="62">
        <f t="shared" si="98"/>
        <v>26237.831720640745</v>
      </c>
      <c r="T30" s="62">
        <f t="shared" si="98"/>
        <v>27309.309725586514</v>
      </c>
      <c r="U30" s="62">
        <f t="shared" si="98"/>
        <v>26496.717204140961</v>
      </c>
      <c r="V30" s="62">
        <f t="shared" si="98"/>
        <v>22326.26938672996</v>
      </c>
      <c r="W30" s="62">
        <f t="shared" ref="W30" si="99">W31+W46</f>
        <v>25678.532912712479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14355.153397256334</v>
      </c>
      <c r="C31" s="29">
        <f t="shared" ref="C31:V31" si="101">C32+C33+C40</f>
        <v>15366.187608112965</v>
      </c>
      <c r="D31" s="29">
        <f t="shared" si="101"/>
        <v>16193.422853825687</v>
      </c>
      <c r="E31" s="29">
        <f t="shared" si="101"/>
        <v>16689.650943871264</v>
      </c>
      <c r="F31" s="29">
        <f t="shared" si="101"/>
        <v>17535.769743549696</v>
      </c>
      <c r="G31" s="29">
        <f t="shared" si="101"/>
        <v>18028.74879159253</v>
      </c>
      <c r="H31" s="29">
        <f t="shared" si="101"/>
        <v>18579.909104536491</v>
      </c>
      <c r="I31" s="29">
        <f t="shared" si="101"/>
        <v>19535.48305807275</v>
      </c>
      <c r="J31" s="29">
        <f t="shared" si="101"/>
        <v>21478.161881789809</v>
      </c>
      <c r="K31" s="29">
        <f t="shared" si="101"/>
        <v>20984.234608758692</v>
      </c>
      <c r="L31" s="29">
        <f t="shared" si="101"/>
        <v>20908.508876436223</v>
      </c>
      <c r="M31" s="29">
        <f t="shared" si="101"/>
        <v>20560.85896160598</v>
      </c>
      <c r="N31" s="29">
        <f t="shared" si="101"/>
        <v>19994.359248606088</v>
      </c>
      <c r="O31" s="29">
        <f t="shared" si="101"/>
        <v>19999.735875672424</v>
      </c>
      <c r="P31" s="29">
        <f t="shared" si="101"/>
        <v>20302.500750569099</v>
      </c>
      <c r="Q31" s="29">
        <f t="shared" si="101"/>
        <v>20869.78506160104</v>
      </c>
      <c r="R31" s="29">
        <f t="shared" si="101"/>
        <v>22861.999999999996</v>
      </c>
      <c r="S31" s="29">
        <f t="shared" si="101"/>
        <v>23543.000000000004</v>
      </c>
      <c r="T31" s="29">
        <f t="shared" si="101"/>
        <v>24413</v>
      </c>
      <c r="U31" s="29">
        <f t="shared" si="101"/>
        <v>23489.999999999996</v>
      </c>
      <c r="V31" s="29">
        <f t="shared" si="101"/>
        <v>19230.525431861806</v>
      </c>
      <c r="W31" s="29">
        <f t="shared" ref="W31" si="102">W32+W33+W40</f>
        <v>22367.597614477654</v>
      </c>
      <c r="DA31" s="173" t="s">
        <v>474</v>
      </c>
    </row>
    <row r="32" spans="1:105" ht="11.45" customHeight="1" x14ac:dyDescent="0.25">
      <c r="A32" s="136" t="s">
        <v>180</v>
      </c>
      <c r="B32" s="152">
        <v>135.36534989758857</v>
      </c>
      <c r="C32" s="152">
        <v>134.82722645449155</v>
      </c>
      <c r="D32" s="152">
        <v>140.22296786529168</v>
      </c>
      <c r="E32" s="152">
        <v>158.26569162409876</v>
      </c>
      <c r="F32" s="152">
        <v>175.62035732486137</v>
      </c>
      <c r="G32" s="152">
        <v>194.62627542651802</v>
      </c>
      <c r="H32" s="152">
        <v>212.73834925502075</v>
      </c>
      <c r="I32" s="152">
        <v>214.51832224885254</v>
      </c>
      <c r="J32" s="152">
        <v>216.16188178981096</v>
      </c>
      <c r="K32" s="152">
        <v>216.607638442092</v>
      </c>
      <c r="L32" s="152">
        <v>216.52784409286207</v>
      </c>
      <c r="M32" s="152">
        <v>216.41471573040772</v>
      </c>
      <c r="N32" s="152">
        <v>216.59742911813177</v>
      </c>
      <c r="O32" s="152">
        <v>215.98717793656323</v>
      </c>
      <c r="P32" s="152">
        <v>215.50246818648603</v>
      </c>
      <c r="Q32" s="152">
        <v>215</v>
      </c>
      <c r="R32" s="152">
        <v>225</v>
      </c>
      <c r="S32" s="152">
        <v>235</v>
      </c>
      <c r="T32" s="152">
        <v>240</v>
      </c>
      <c r="U32" s="152">
        <v>250</v>
      </c>
      <c r="V32" s="152">
        <v>220</v>
      </c>
      <c r="W32" s="152">
        <v>270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13887.139664771521</v>
      </c>
      <c r="C33" s="116">
        <f t="shared" ref="C33:V33" si="104">SUM(C34:C39)</f>
        <v>14896.674298901004</v>
      </c>
      <c r="D33" s="116">
        <f t="shared" si="104"/>
        <v>15724.047279005159</v>
      </c>
      <c r="E33" s="116">
        <f t="shared" si="104"/>
        <v>16206.629712484644</v>
      </c>
      <c r="F33" s="116">
        <f t="shared" si="104"/>
        <v>17040.581814368528</v>
      </c>
      <c r="G33" s="116">
        <f t="shared" si="104"/>
        <v>17520.000000000004</v>
      </c>
      <c r="H33" s="116">
        <f t="shared" si="104"/>
        <v>18058</v>
      </c>
      <c r="I33" s="116">
        <f t="shared" si="104"/>
        <v>19011</v>
      </c>
      <c r="J33" s="116">
        <f t="shared" si="104"/>
        <v>20955.999999999996</v>
      </c>
      <c r="K33" s="116">
        <f t="shared" si="104"/>
        <v>20465.788761232729</v>
      </c>
      <c r="L33" s="116">
        <f t="shared" si="104"/>
        <v>20390.76708003641</v>
      </c>
      <c r="M33" s="116">
        <f t="shared" si="104"/>
        <v>20050.737248956277</v>
      </c>
      <c r="N33" s="116">
        <f t="shared" si="104"/>
        <v>19495.780630728474</v>
      </c>
      <c r="O33" s="116">
        <f t="shared" si="104"/>
        <v>19500.777777159627</v>
      </c>
      <c r="P33" s="116">
        <f t="shared" si="104"/>
        <v>19795.787022874374</v>
      </c>
      <c r="Q33" s="116">
        <f t="shared" si="104"/>
        <v>20350.78506160104</v>
      </c>
      <c r="R33" s="116">
        <f t="shared" si="104"/>
        <v>22308.999999999996</v>
      </c>
      <c r="S33" s="116">
        <f t="shared" si="104"/>
        <v>22973.000000000004</v>
      </c>
      <c r="T33" s="116">
        <f t="shared" si="104"/>
        <v>23822</v>
      </c>
      <c r="U33" s="116">
        <f t="shared" si="104"/>
        <v>22962.999999999996</v>
      </c>
      <c r="V33" s="116">
        <f t="shared" si="104"/>
        <v>18812.525431861806</v>
      </c>
      <c r="W33" s="116">
        <f t="shared" ref="W33" si="105">SUM(W34:W39)</f>
        <v>21871.31190019194</v>
      </c>
      <c r="DA33" s="176" t="s">
        <v>476</v>
      </c>
    </row>
    <row r="34" spans="1:105" ht="11.45" customHeight="1" x14ac:dyDescent="0.25">
      <c r="A34" s="111" t="s">
        <v>110</v>
      </c>
      <c r="B34" s="87">
        <v>10863.634265726854</v>
      </c>
      <c r="C34" s="87">
        <v>11446.501312972658</v>
      </c>
      <c r="D34" s="87">
        <v>11715.067303367863</v>
      </c>
      <c r="E34" s="87">
        <v>11026.534328595348</v>
      </c>
      <c r="F34" s="87">
        <v>10865.217895361437</v>
      </c>
      <c r="G34" s="87">
        <v>10438.482112919512</v>
      </c>
      <c r="H34" s="87">
        <v>9842.2536829246037</v>
      </c>
      <c r="I34" s="87">
        <v>9624.8918597953707</v>
      </c>
      <c r="J34" s="87">
        <v>11369.399295161871</v>
      </c>
      <c r="K34" s="87">
        <v>11035.295522232425</v>
      </c>
      <c r="L34" s="87">
        <v>10968.4973231274</v>
      </c>
      <c r="M34" s="87">
        <v>10510.981056494536</v>
      </c>
      <c r="N34" s="87">
        <v>9866.926083476008</v>
      </c>
      <c r="O34" s="87">
        <v>9511.7841301757726</v>
      </c>
      <c r="P34" s="87">
        <v>8681.159921097973</v>
      </c>
      <c r="Q34" s="87">
        <v>8640.0994325398315</v>
      </c>
      <c r="R34" s="87">
        <v>8927.5615355479313</v>
      </c>
      <c r="S34" s="87">
        <v>8851.4342743044617</v>
      </c>
      <c r="T34" s="87">
        <v>9095.2801613379816</v>
      </c>
      <c r="U34" s="87">
        <v>8304.869264125351</v>
      </c>
      <c r="V34" s="87">
        <v>6529.2400495750589</v>
      </c>
      <c r="W34" s="87">
        <v>7539.2602049635261</v>
      </c>
      <c r="DA34" s="171" t="s">
        <v>477</v>
      </c>
    </row>
    <row r="35" spans="1:105" ht="11.45" customHeight="1" x14ac:dyDescent="0.25">
      <c r="A35" s="111" t="s">
        <v>111</v>
      </c>
      <c r="B35" s="87">
        <v>2836.3079256228466</v>
      </c>
      <c r="C35" s="87">
        <v>3224.2958030992122</v>
      </c>
      <c r="D35" s="87">
        <v>3762.4296556721674</v>
      </c>
      <c r="E35" s="87">
        <v>4932.7992743753566</v>
      </c>
      <c r="F35" s="87">
        <v>5847.9329561818558</v>
      </c>
      <c r="G35" s="87">
        <v>6648.7729942447095</v>
      </c>
      <c r="H35" s="87">
        <v>7469.2539031068682</v>
      </c>
      <c r="I35" s="87">
        <v>8343.6049261574062</v>
      </c>
      <c r="J35" s="87">
        <v>8222.3371353778075</v>
      </c>
      <c r="K35" s="87">
        <v>7985.2519209410239</v>
      </c>
      <c r="L35" s="87">
        <v>8188.1030965298578</v>
      </c>
      <c r="M35" s="87">
        <v>8370.9157663326532</v>
      </c>
      <c r="N35" s="87">
        <v>8481.6411569417487</v>
      </c>
      <c r="O35" s="87">
        <v>8825.8670704588294</v>
      </c>
      <c r="P35" s="87">
        <v>9848.9587080162382</v>
      </c>
      <c r="Q35" s="87">
        <v>10326.509788809657</v>
      </c>
      <c r="R35" s="87">
        <v>11980.046302850797</v>
      </c>
      <c r="S35" s="87">
        <v>12728.921555552361</v>
      </c>
      <c r="T35" s="87">
        <v>13337.516649088098</v>
      </c>
      <c r="U35" s="87">
        <v>13349.707425165565</v>
      </c>
      <c r="V35" s="87">
        <v>11224.860346242447</v>
      </c>
      <c r="W35" s="87">
        <v>13167.604655857129</v>
      </c>
      <c r="DA35" s="171" t="s">
        <v>478</v>
      </c>
    </row>
    <row r="36" spans="1:105" ht="11.45" customHeight="1" x14ac:dyDescent="0.25">
      <c r="A36" s="111" t="s">
        <v>112</v>
      </c>
      <c r="B36" s="87">
        <v>187.19747342181984</v>
      </c>
      <c r="C36" s="87">
        <v>225.87718282913426</v>
      </c>
      <c r="D36" s="87">
        <v>246.5503199651277</v>
      </c>
      <c r="E36" s="87">
        <v>247.29610951393997</v>
      </c>
      <c r="F36" s="87">
        <v>327.43096282523578</v>
      </c>
      <c r="G36" s="87">
        <v>432.74489283577901</v>
      </c>
      <c r="H36" s="87">
        <v>746.49241396852847</v>
      </c>
      <c r="I36" s="87">
        <v>1042.5032140472235</v>
      </c>
      <c r="J36" s="87">
        <v>1364.2635694603212</v>
      </c>
      <c r="K36" s="87">
        <v>1444.2317036813863</v>
      </c>
      <c r="L36" s="87">
        <v>1233.0000594904477</v>
      </c>
      <c r="M36" s="87">
        <v>1167.7024983922256</v>
      </c>
      <c r="N36" s="87">
        <v>1145.3857747811205</v>
      </c>
      <c r="O36" s="87">
        <v>1161.1527024199706</v>
      </c>
      <c r="P36" s="87">
        <v>1262.809347140786</v>
      </c>
      <c r="Q36" s="87">
        <v>1379.748419667495</v>
      </c>
      <c r="R36" s="87">
        <v>1395.5670182684712</v>
      </c>
      <c r="S36" s="87">
        <v>1385.3035530402506</v>
      </c>
      <c r="T36" s="87">
        <v>1379.1928794674288</v>
      </c>
      <c r="U36" s="87">
        <v>1293.9112650711995</v>
      </c>
      <c r="V36" s="87">
        <v>1035.2926109193002</v>
      </c>
      <c r="W36" s="87">
        <v>1110.4936611086691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1.009614377895552</v>
      </c>
      <c r="L37" s="87">
        <v>1.1666008887027401</v>
      </c>
      <c r="M37" s="87">
        <v>1.137927736860229</v>
      </c>
      <c r="N37" s="87">
        <v>1.3745888914424649</v>
      </c>
      <c r="O37" s="87">
        <v>1.4518506979661991</v>
      </c>
      <c r="P37" s="87">
        <v>1.6240944016776211</v>
      </c>
      <c r="Q37" s="87">
        <v>1.546116847332516</v>
      </c>
      <c r="R37" s="87">
        <v>1.7037213016058401</v>
      </c>
      <c r="S37" s="87">
        <v>2.2904144638533697</v>
      </c>
      <c r="T37" s="87">
        <v>2.4547957062791284</v>
      </c>
      <c r="U37" s="87">
        <v>2.3173432836552594</v>
      </c>
      <c r="V37" s="87">
        <v>1.8619811609010071</v>
      </c>
      <c r="W37" s="87">
        <v>2.1882757409417297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6.4321558973574111E-2</v>
      </c>
      <c r="Q38" s="87">
        <v>0.63380519196092455</v>
      </c>
      <c r="R38" s="87">
        <v>0.9220812109374722</v>
      </c>
      <c r="S38" s="87">
        <v>1.1398253112854175</v>
      </c>
      <c r="T38" s="87">
        <v>1.2323240814095513</v>
      </c>
      <c r="U38" s="87">
        <v>2.2646499112606997</v>
      </c>
      <c r="V38" s="87">
        <v>5.4233405365656546</v>
      </c>
      <c r="W38" s="87">
        <v>11.014299469782456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0.45302663815525035</v>
      </c>
      <c r="O39" s="87">
        <v>0.52202340708748685</v>
      </c>
      <c r="P39" s="87">
        <v>1.1706306587266893</v>
      </c>
      <c r="Q39" s="87">
        <v>2.2474985447619908</v>
      </c>
      <c r="R39" s="87">
        <v>3.1993408202564808</v>
      </c>
      <c r="S39" s="87">
        <v>3.9103773277883374</v>
      </c>
      <c r="T39" s="87">
        <v>6.3231903188023084</v>
      </c>
      <c r="U39" s="87">
        <v>9.9300524429672805</v>
      </c>
      <c r="V39" s="87">
        <v>15.847103427531721</v>
      </c>
      <c r="W39" s="87">
        <v>40.750803051891687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332.64838258722358</v>
      </c>
      <c r="C40" s="116">
        <f t="shared" ref="C40:V40" si="107">SUM(C41:C45)</f>
        <v>334.68608275746885</v>
      </c>
      <c r="D40" s="116">
        <f t="shared" si="107"/>
        <v>329.15260695523693</v>
      </c>
      <c r="E40" s="116">
        <f t="shared" si="107"/>
        <v>324.75553976251979</v>
      </c>
      <c r="F40" s="116">
        <f t="shared" si="107"/>
        <v>319.56757185630613</v>
      </c>
      <c r="G40" s="116">
        <f t="shared" si="107"/>
        <v>314.12251616600895</v>
      </c>
      <c r="H40" s="116">
        <f t="shared" si="107"/>
        <v>309.17075528147029</v>
      </c>
      <c r="I40" s="116">
        <f t="shared" si="107"/>
        <v>309.96473582389677</v>
      </c>
      <c r="J40" s="116">
        <f t="shared" si="107"/>
        <v>306.00000000000006</v>
      </c>
      <c r="K40" s="116">
        <f t="shared" si="107"/>
        <v>301.83820908387071</v>
      </c>
      <c r="L40" s="116">
        <f t="shared" si="107"/>
        <v>301.21395230694799</v>
      </c>
      <c r="M40" s="116">
        <f t="shared" si="107"/>
        <v>293.70699691929735</v>
      </c>
      <c r="N40" s="116">
        <f t="shared" si="107"/>
        <v>281.98118875948404</v>
      </c>
      <c r="O40" s="116">
        <f t="shared" si="107"/>
        <v>282.97092057623416</v>
      </c>
      <c r="P40" s="116">
        <f t="shared" si="107"/>
        <v>291.21125950824035</v>
      </c>
      <c r="Q40" s="116">
        <f t="shared" si="107"/>
        <v>304</v>
      </c>
      <c r="R40" s="116">
        <f t="shared" si="107"/>
        <v>328.00000000000006</v>
      </c>
      <c r="S40" s="116">
        <f t="shared" si="107"/>
        <v>334.99999999999994</v>
      </c>
      <c r="T40" s="116">
        <f t="shared" si="107"/>
        <v>350.99999999999994</v>
      </c>
      <c r="U40" s="116">
        <f t="shared" si="107"/>
        <v>277.00000000000006</v>
      </c>
      <c r="V40" s="116">
        <f t="shared" si="107"/>
        <v>198.00000000000003</v>
      </c>
      <c r="W40" s="116">
        <f t="shared" ref="W40" si="108">SUM(W41:W45)</f>
        <v>226.28571428571428</v>
      </c>
      <c r="DA40" s="176" t="s">
        <v>483</v>
      </c>
    </row>
    <row r="41" spans="1:105" ht="11.45" customHeight="1" x14ac:dyDescent="0.25">
      <c r="A41" s="111" t="s">
        <v>110</v>
      </c>
      <c r="B41" s="101">
        <v>0.98481040583006929</v>
      </c>
      <c r="C41" s="101">
        <v>1.0320440793679511</v>
      </c>
      <c r="D41" s="101">
        <v>1.0350354447115233</v>
      </c>
      <c r="E41" s="101">
        <v>0.99047575420020173</v>
      </c>
      <c r="F41" s="101">
        <v>0.92406960374227309</v>
      </c>
      <c r="G41" s="101">
        <v>0.92780177000509234</v>
      </c>
      <c r="H41" s="101">
        <v>0.93105519052410679</v>
      </c>
      <c r="I41" s="101">
        <v>0.84770796640390034</v>
      </c>
      <c r="J41" s="101">
        <v>0.93703242433154521</v>
      </c>
      <c r="K41" s="101">
        <v>0.85868887249973014</v>
      </c>
      <c r="L41" s="101">
        <v>0.83336510926557705</v>
      </c>
      <c r="M41" s="101">
        <v>0.75321644776421182</v>
      </c>
      <c r="N41" s="101">
        <v>0.73697092764334005</v>
      </c>
      <c r="O41" s="101">
        <v>0.84309825472363109</v>
      </c>
      <c r="P41" s="101">
        <v>0.78834570459291264</v>
      </c>
      <c r="Q41" s="101">
        <v>0.73847311016185258</v>
      </c>
      <c r="R41" s="101">
        <v>0.75849177026256664</v>
      </c>
      <c r="S41" s="101">
        <v>0.73944413084549243</v>
      </c>
      <c r="T41" s="101">
        <v>0.74081673264412373</v>
      </c>
      <c r="U41" s="101">
        <v>0.53480969829053282</v>
      </c>
      <c r="V41" s="101">
        <v>0.37609620050931319</v>
      </c>
      <c r="W41" s="101">
        <v>0.39490285617339377</v>
      </c>
      <c r="DA41" s="175" t="s">
        <v>484</v>
      </c>
    </row>
    <row r="42" spans="1:105" ht="11.45" customHeight="1" x14ac:dyDescent="0.25">
      <c r="A42" s="111" t="s">
        <v>111</v>
      </c>
      <c r="B42" s="101">
        <v>331.66357218139353</v>
      </c>
      <c r="C42" s="101">
        <v>333.6540386781009</v>
      </c>
      <c r="D42" s="101">
        <v>328.11757151052541</v>
      </c>
      <c r="E42" s="101">
        <v>323.7650640083196</v>
      </c>
      <c r="F42" s="101">
        <v>318.64350225256385</v>
      </c>
      <c r="G42" s="101">
        <v>313.19471439600386</v>
      </c>
      <c r="H42" s="101">
        <v>308.2397000909462</v>
      </c>
      <c r="I42" s="101">
        <v>309.09483713159244</v>
      </c>
      <c r="J42" s="101">
        <v>305.04078225458551</v>
      </c>
      <c r="K42" s="101">
        <v>299.564416725878</v>
      </c>
      <c r="L42" s="101">
        <v>298.83831813836531</v>
      </c>
      <c r="M42" s="101">
        <v>291.39606518503405</v>
      </c>
      <c r="N42" s="101">
        <v>279.50791753515693</v>
      </c>
      <c r="O42" s="101">
        <v>278.35149333690072</v>
      </c>
      <c r="P42" s="101">
        <v>282.66297239647042</v>
      </c>
      <c r="Q42" s="101">
        <v>295.4230422500687</v>
      </c>
      <c r="R42" s="101">
        <v>319.27882754664381</v>
      </c>
      <c r="S42" s="101">
        <v>325.22927501271027</v>
      </c>
      <c r="T42" s="101">
        <v>341.27084561021547</v>
      </c>
      <c r="U42" s="101">
        <v>268.05582196135987</v>
      </c>
      <c r="V42" s="101">
        <v>191.17319059011487</v>
      </c>
      <c r="W42" s="101">
        <v>217.31952225347982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2.2190725900444346E-2</v>
      </c>
      <c r="J43" s="101">
        <v>2.218532108297154E-2</v>
      </c>
      <c r="K43" s="101">
        <v>2.2263307177656146E-2</v>
      </c>
      <c r="L43" s="101">
        <v>2.3178340110543375E-2</v>
      </c>
      <c r="M43" s="101">
        <v>4.6316191267067486E-2</v>
      </c>
      <c r="N43" s="101">
        <v>4.6242076088699381E-2</v>
      </c>
      <c r="O43" s="101">
        <v>0.30075000942501373</v>
      </c>
      <c r="P43" s="101">
        <v>0.34766045572547438</v>
      </c>
      <c r="Q43" s="101">
        <v>0.35925718872738766</v>
      </c>
      <c r="R43" s="101">
        <v>0.37166096742865756</v>
      </c>
      <c r="S43" s="101">
        <v>0.34087782876672523</v>
      </c>
      <c r="T43" s="101">
        <v>0.34452391592580117</v>
      </c>
      <c r="U43" s="101">
        <v>0.27747643351634654</v>
      </c>
      <c r="V43" s="101">
        <v>0.22371638760166937</v>
      </c>
      <c r="W43" s="101">
        <v>0.24608146210281759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1.392840178315327</v>
      </c>
      <c r="L44" s="101">
        <v>1.5190907192066028</v>
      </c>
      <c r="M44" s="101">
        <v>1.511399095232028</v>
      </c>
      <c r="N44" s="101">
        <v>1.690058220595138</v>
      </c>
      <c r="O44" s="101">
        <v>3.4755789751847841</v>
      </c>
      <c r="P44" s="101">
        <v>7.4122809514515184</v>
      </c>
      <c r="Q44" s="101">
        <v>7.3919121793958409</v>
      </c>
      <c r="R44" s="101">
        <v>7.4603840727119257</v>
      </c>
      <c r="S44" s="101">
        <v>8.559784413884266</v>
      </c>
      <c r="T44" s="101">
        <v>8.5133868223067779</v>
      </c>
      <c r="U44" s="101">
        <v>8.0031018452955163</v>
      </c>
      <c r="V44" s="101">
        <v>6.1245457266101919</v>
      </c>
      <c r="W44" s="101">
        <v>8.0701277788370636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8.7315271646211778E-2</v>
      </c>
      <c r="R45" s="101">
        <v>0.1306356429530478</v>
      </c>
      <c r="S45" s="101">
        <v>0.130618613793229</v>
      </c>
      <c r="T45" s="101">
        <v>0.13042691890782224</v>
      </c>
      <c r="U45" s="101">
        <v>0.1287900615377528</v>
      </c>
      <c r="V45" s="101">
        <v>0.10245109516398684</v>
      </c>
      <c r="W45" s="101">
        <v>0.25507993512118105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1268.6450100889947</v>
      </c>
      <c r="C46" s="29">
        <f t="shared" ref="C46:V46" si="110">C47+C53</f>
        <v>1614.5221189701642</v>
      </c>
      <c r="D46" s="29">
        <f t="shared" si="110"/>
        <v>1836.918250020557</v>
      </c>
      <c r="E46" s="29">
        <f t="shared" si="110"/>
        <v>2034.5506046480693</v>
      </c>
      <c r="F46" s="29">
        <f t="shared" si="110"/>
        <v>2232.1436824771117</v>
      </c>
      <c r="G46" s="29">
        <f t="shared" si="110"/>
        <v>2352.1684576123253</v>
      </c>
      <c r="H46" s="29">
        <f t="shared" si="110"/>
        <v>2541.6588884684725</v>
      </c>
      <c r="I46" s="29">
        <f t="shared" si="110"/>
        <v>2514.0506863759383</v>
      </c>
      <c r="J46" s="29">
        <f t="shared" si="110"/>
        <v>2527.7175947664191</v>
      </c>
      <c r="K46" s="29">
        <f t="shared" si="110"/>
        <v>2329.6088121774615</v>
      </c>
      <c r="L46" s="29">
        <f t="shared" si="110"/>
        <v>2187.8393748657245</v>
      </c>
      <c r="M46" s="29">
        <f t="shared" si="110"/>
        <v>2183.4316639232484</v>
      </c>
      <c r="N46" s="29">
        <f t="shared" si="110"/>
        <v>2064.0739157732423</v>
      </c>
      <c r="O46" s="29">
        <f t="shared" si="110"/>
        <v>2080.7736436796831</v>
      </c>
      <c r="P46" s="29">
        <f t="shared" si="110"/>
        <v>2054.083943593143</v>
      </c>
      <c r="Q46" s="29">
        <f t="shared" si="110"/>
        <v>2308.8380474590313</v>
      </c>
      <c r="R46" s="29">
        <f t="shared" si="110"/>
        <v>2421.9283222636172</v>
      </c>
      <c r="S46" s="29">
        <f t="shared" si="110"/>
        <v>2694.8317206407419</v>
      </c>
      <c r="T46" s="29">
        <f t="shared" si="110"/>
        <v>2896.309725586515</v>
      </c>
      <c r="U46" s="29">
        <f t="shared" si="110"/>
        <v>3006.7172041409644</v>
      </c>
      <c r="V46" s="29">
        <f t="shared" si="110"/>
        <v>3095.7439548681532</v>
      </c>
      <c r="W46" s="29">
        <f t="shared" ref="W46" si="111">W47+W53</f>
        <v>3310.9352982348241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769.731791105713</v>
      </c>
      <c r="C47" s="152">
        <f t="shared" ref="C47:V47" si="113">SUM(C48:C52)</f>
        <v>965.36239514257227</v>
      </c>
      <c r="D47" s="152">
        <f t="shared" si="113"/>
        <v>1066.144079567599</v>
      </c>
      <c r="E47" s="152">
        <f t="shared" si="113"/>
        <v>1180.3537968447733</v>
      </c>
      <c r="F47" s="152">
        <f t="shared" si="113"/>
        <v>1282.9739745250679</v>
      </c>
      <c r="G47" s="152">
        <f t="shared" si="113"/>
        <v>1386.4655113586593</v>
      </c>
      <c r="H47" s="152">
        <f t="shared" si="113"/>
        <v>1503.3197435629781</v>
      </c>
      <c r="I47" s="152">
        <f t="shared" si="113"/>
        <v>1476.1950831383231</v>
      </c>
      <c r="J47" s="152">
        <f t="shared" si="113"/>
        <v>1536.2943443698441</v>
      </c>
      <c r="K47" s="152">
        <f t="shared" si="113"/>
        <v>1485.081252112494</v>
      </c>
      <c r="L47" s="152">
        <f t="shared" si="113"/>
        <v>1383.5154062112269</v>
      </c>
      <c r="M47" s="152">
        <f t="shared" si="113"/>
        <v>1384.8517482376931</v>
      </c>
      <c r="N47" s="152">
        <f t="shared" si="113"/>
        <v>1309.0516511195453</v>
      </c>
      <c r="O47" s="152">
        <f t="shared" si="113"/>
        <v>1309.8370442866385</v>
      </c>
      <c r="P47" s="152">
        <f t="shared" si="113"/>
        <v>1303.9654532072529</v>
      </c>
      <c r="Q47" s="152">
        <f t="shared" si="113"/>
        <v>1512.4958999931109</v>
      </c>
      <c r="R47" s="152">
        <f t="shared" si="113"/>
        <v>1608.834469012726</v>
      </c>
      <c r="S47" s="152">
        <f t="shared" si="113"/>
        <v>1786.67366093747</v>
      </c>
      <c r="T47" s="152">
        <f t="shared" si="113"/>
        <v>1995.898407771293</v>
      </c>
      <c r="U47" s="152">
        <f t="shared" si="113"/>
        <v>2135.8718478377518</v>
      </c>
      <c r="V47" s="152">
        <f t="shared" si="113"/>
        <v>2204.5237899810063</v>
      </c>
      <c r="W47" s="152">
        <f t="shared" ref="W47" si="114">SUM(W48:W52)</f>
        <v>2394.4401615925058</v>
      </c>
      <c r="DA47" s="174" t="s">
        <v>490</v>
      </c>
    </row>
    <row r="48" spans="1:105" ht="11.45" customHeight="1" x14ac:dyDescent="0.25">
      <c r="A48" s="111" t="s">
        <v>110</v>
      </c>
      <c r="B48" s="87">
        <v>144.24773482961922</v>
      </c>
      <c r="C48" s="87">
        <v>175.72306630992267</v>
      </c>
      <c r="D48" s="87">
        <v>172.78049088414761</v>
      </c>
      <c r="E48" s="87">
        <v>166.14520408419696</v>
      </c>
      <c r="F48" s="87">
        <v>156.08686314058687</v>
      </c>
      <c r="G48" s="87">
        <v>147.72136748848007</v>
      </c>
      <c r="H48" s="87">
        <v>145.85910132252485</v>
      </c>
      <c r="I48" s="87">
        <v>114.80154318804264</v>
      </c>
      <c r="J48" s="87">
        <v>111.52225328343614</v>
      </c>
      <c r="K48" s="87">
        <v>97.39472514536925</v>
      </c>
      <c r="L48" s="87">
        <v>84.13568689025162</v>
      </c>
      <c r="M48" s="87">
        <v>79.433471802507853</v>
      </c>
      <c r="N48" s="87">
        <v>57.200453691364771</v>
      </c>
      <c r="O48" s="87">
        <v>54.620046753975849</v>
      </c>
      <c r="P48" s="87">
        <v>52.621735283598397</v>
      </c>
      <c r="Q48" s="87">
        <v>50.341428382773977</v>
      </c>
      <c r="R48" s="87">
        <v>50.462361566275348</v>
      </c>
      <c r="S48" s="87">
        <v>55.94277417545544</v>
      </c>
      <c r="T48" s="87">
        <v>60.043589222117632</v>
      </c>
      <c r="U48" s="87">
        <v>61.59445729972046</v>
      </c>
      <c r="V48" s="87">
        <v>60.971425812501508</v>
      </c>
      <c r="W48" s="87">
        <v>64.289799658393108</v>
      </c>
      <c r="DA48" s="171" t="s">
        <v>491</v>
      </c>
    </row>
    <row r="49" spans="1:105" ht="11.45" customHeight="1" x14ac:dyDescent="0.25">
      <c r="A49" s="111" t="s">
        <v>111</v>
      </c>
      <c r="B49" s="87">
        <v>625.48405627609372</v>
      </c>
      <c r="C49" s="87">
        <v>789.63932883264954</v>
      </c>
      <c r="D49" s="87">
        <v>893.36358868345144</v>
      </c>
      <c r="E49" s="87">
        <v>1014.1882280156782</v>
      </c>
      <c r="F49" s="87">
        <v>1126.8667229392495</v>
      </c>
      <c r="G49" s="87">
        <v>1238.7135260525965</v>
      </c>
      <c r="H49" s="87">
        <v>1357.4299889859053</v>
      </c>
      <c r="I49" s="87">
        <v>1359.5177909998595</v>
      </c>
      <c r="J49" s="87">
        <v>1419.9744992187527</v>
      </c>
      <c r="K49" s="87">
        <v>1381.4346551170561</v>
      </c>
      <c r="L49" s="87">
        <v>1292.9579647985308</v>
      </c>
      <c r="M49" s="87">
        <v>1299.2311052676305</v>
      </c>
      <c r="N49" s="87">
        <v>1245.4157873849533</v>
      </c>
      <c r="O49" s="87">
        <v>1248.1460813976232</v>
      </c>
      <c r="P49" s="87">
        <v>1243.7893330358893</v>
      </c>
      <c r="Q49" s="87">
        <v>1453.6232984690953</v>
      </c>
      <c r="R49" s="87">
        <v>1549.2611424906413</v>
      </c>
      <c r="S49" s="87">
        <v>1720.3225284375603</v>
      </c>
      <c r="T49" s="87">
        <v>1924.4209847311113</v>
      </c>
      <c r="U49" s="87">
        <v>2062.2247693891049</v>
      </c>
      <c r="V49" s="87">
        <v>2130.3884473389512</v>
      </c>
      <c r="W49" s="87">
        <v>2315.7887214731936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1.8450786228387155</v>
      </c>
      <c r="J50" s="87">
        <v>4.7464715779872249</v>
      </c>
      <c r="K50" s="87">
        <v>5.8390514112711136</v>
      </c>
      <c r="L50" s="87">
        <v>5.94478112010193</v>
      </c>
      <c r="M50" s="87">
        <v>5.7032339115936912</v>
      </c>
      <c r="N50" s="87">
        <v>5.7382007826915542</v>
      </c>
      <c r="O50" s="87">
        <v>6.3597616394077789</v>
      </c>
      <c r="P50" s="87">
        <v>6.8327536420688917</v>
      </c>
      <c r="Q50" s="87">
        <v>7.4803430367137365</v>
      </c>
      <c r="R50" s="87">
        <v>7.9107662627281563</v>
      </c>
      <c r="S50" s="87">
        <v>8.9331612095629787</v>
      </c>
      <c r="T50" s="87">
        <v>9.7973359501458575</v>
      </c>
      <c r="U50" s="87">
        <v>10.438968952662027</v>
      </c>
      <c r="V50" s="87">
        <v>10.57109010626851</v>
      </c>
      <c r="W50" s="87">
        <v>11.7421963415285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0.3514133947781834</v>
      </c>
      <c r="L51" s="87">
        <v>0.41549814882826136</v>
      </c>
      <c r="M51" s="87">
        <v>0.43265841132181737</v>
      </c>
      <c r="N51" s="87">
        <v>0.62535963876435086</v>
      </c>
      <c r="O51" s="87">
        <v>0.63929857141575508</v>
      </c>
      <c r="P51" s="87">
        <v>0.63943196486407916</v>
      </c>
      <c r="Q51" s="87">
        <v>0.68071399876006033</v>
      </c>
      <c r="R51" s="87">
        <v>0.65575058579868484</v>
      </c>
      <c r="S51" s="87">
        <v>0.80827284928592302</v>
      </c>
      <c r="T51" s="87">
        <v>0.8473852979185984</v>
      </c>
      <c r="U51" s="87">
        <v>0.82479574589342186</v>
      </c>
      <c r="V51" s="87">
        <v>0.79336607039858364</v>
      </c>
      <c r="W51" s="87">
        <v>0.79631048898126611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2.0364744898178307E-2</v>
      </c>
      <c r="F52" s="87">
        <v>2.0388445231369089E-2</v>
      </c>
      <c r="G52" s="87">
        <v>3.0617817582563954E-2</v>
      </c>
      <c r="H52" s="87">
        <v>3.0653254548125647E-2</v>
      </c>
      <c r="I52" s="87">
        <v>3.0670327582422718E-2</v>
      </c>
      <c r="J52" s="87">
        <v>5.1120289668000148E-2</v>
      </c>
      <c r="K52" s="87">
        <v>6.1407044019365586E-2</v>
      </c>
      <c r="L52" s="87">
        <v>6.1475253514264944E-2</v>
      </c>
      <c r="M52" s="87">
        <v>5.1278844639044849E-2</v>
      </c>
      <c r="N52" s="87">
        <v>7.1849621771245764E-2</v>
      </c>
      <c r="O52" s="87">
        <v>7.1855924216026629E-2</v>
      </c>
      <c r="P52" s="87">
        <v>8.2199280832346247E-2</v>
      </c>
      <c r="Q52" s="87">
        <v>0.3701161057679197</v>
      </c>
      <c r="R52" s="87">
        <v>0.54444810728252735</v>
      </c>
      <c r="S52" s="87">
        <v>0.66692426560540807</v>
      </c>
      <c r="T52" s="87">
        <v>0.78911256999957369</v>
      </c>
      <c r="U52" s="87">
        <v>0.78885645037076835</v>
      </c>
      <c r="V52" s="87">
        <v>1.7994606528868915</v>
      </c>
      <c r="W52" s="87">
        <v>1.8231336304094143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498.91321898328181</v>
      </c>
      <c r="C53" s="116">
        <f t="shared" ref="C53:V53" si="116">SUM(C54:C55)</f>
        <v>649.15972382759196</v>
      </c>
      <c r="D53" s="116">
        <f t="shared" si="116"/>
        <v>770.77417045295806</v>
      </c>
      <c r="E53" s="116">
        <f t="shared" si="116"/>
        <v>854.196807803296</v>
      </c>
      <c r="F53" s="116">
        <f t="shared" si="116"/>
        <v>949.16970795204406</v>
      </c>
      <c r="G53" s="116">
        <f t="shared" si="116"/>
        <v>965.70294625366569</v>
      </c>
      <c r="H53" s="116">
        <f t="shared" si="116"/>
        <v>1038.3391449054941</v>
      </c>
      <c r="I53" s="116">
        <f t="shared" si="116"/>
        <v>1037.8556032376155</v>
      </c>
      <c r="J53" s="116">
        <f t="shared" si="116"/>
        <v>991.42325039657487</v>
      </c>
      <c r="K53" s="116">
        <f t="shared" si="116"/>
        <v>844.52756006496759</v>
      </c>
      <c r="L53" s="116">
        <f t="shared" si="116"/>
        <v>804.32396865449732</v>
      </c>
      <c r="M53" s="116">
        <f t="shared" si="116"/>
        <v>798.57991568555519</v>
      </c>
      <c r="N53" s="116">
        <f t="shared" si="116"/>
        <v>755.02226465369688</v>
      </c>
      <c r="O53" s="116">
        <f t="shared" si="116"/>
        <v>770.93659939304484</v>
      </c>
      <c r="P53" s="116">
        <f t="shared" si="116"/>
        <v>750.11849038588991</v>
      </c>
      <c r="Q53" s="116">
        <f t="shared" si="116"/>
        <v>796.34214746592011</v>
      </c>
      <c r="R53" s="116">
        <f t="shared" si="116"/>
        <v>813.09385325089113</v>
      </c>
      <c r="S53" s="116">
        <f t="shared" si="116"/>
        <v>908.15805970327165</v>
      </c>
      <c r="T53" s="116">
        <f t="shared" si="116"/>
        <v>900.41131781522222</v>
      </c>
      <c r="U53" s="116">
        <f t="shared" si="116"/>
        <v>870.84535630321261</v>
      </c>
      <c r="V53" s="116">
        <f t="shared" si="116"/>
        <v>891.22016488714689</v>
      </c>
      <c r="W53" s="116">
        <f t="shared" ref="W53" si="117">SUM(W54:W55)</f>
        <v>916.49513664231847</v>
      </c>
      <c r="DA53" s="176" t="s">
        <v>496</v>
      </c>
    </row>
    <row r="54" spans="1:105" ht="11.45" customHeight="1" x14ac:dyDescent="0.25">
      <c r="A54" s="128" t="s">
        <v>27</v>
      </c>
      <c r="B54" s="101">
        <v>190.37610550814586</v>
      </c>
      <c r="C54" s="101">
        <v>318.35174553917767</v>
      </c>
      <c r="D54" s="101">
        <v>422.74274631497286</v>
      </c>
      <c r="E54" s="101">
        <v>498.46330488750971</v>
      </c>
      <c r="F54" s="101">
        <v>528.55965865011638</v>
      </c>
      <c r="G54" s="101">
        <v>530.25182311869662</v>
      </c>
      <c r="H54" s="101">
        <v>639.51730023273853</v>
      </c>
      <c r="I54" s="101">
        <v>619.09045771916215</v>
      </c>
      <c r="J54" s="101">
        <v>709</v>
      </c>
      <c r="K54" s="101">
        <v>599</v>
      </c>
      <c r="L54" s="101">
        <v>566</v>
      </c>
      <c r="M54" s="101">
        <v>561</v>
      </c>
      <c r="N54" s="101">
        <v>523</v>
      </c>
      <c r="O54" s="101">
        <v>529</v>
      </c>
      <c r="P54" s="101">
        <v>493</v>
      </c>
      <c r="Q54" s="101">
        <v>499</v>
      </c>
      <c r="R54" s="101">
        <v>507</v>
      </c>
      <c r="S54" s="101">
        <v>533</v>
      </c>
      <c r="T54" s="101">
        <v>527</v>
      </c>
      <c r="U54" s="101">
        <v>536</v>
      </c>
      <c r="V54" s="101">
        <v>546</v>
      </c>
      <c r="W54" s="101">
        <v>596</v>
      </c>
      <c r="DA54" s="175" t="s">
        <v>497</v>
      </c>
    </row>
    <row r="55" spans="1:105" ht="11.45" customHeight="1" x14ac:dyDescent="0.25">
      <c r="A55" s="138" t="s">
        <v>116</v>
      </c>
      <c r="B55" s="88">
        <v>308.53711347513598</v>
      </c>
      <c r="C55" s="88">
        <v>330.80797828841435</v>
      </c>
      <c r="D55" s="88">
        <v>348.0314241379852</v>
      </c>
      <c r="E55" s="88">
        <v>355.73350291578635</v>
      </c>
      <c r="F55" s="88">
        <v>420.61004930192769</v>
      </c>
      <c r="G55" s="88">
        <v>435.45112313496901</v>
      </c>
      <c r="H55" s="88">
        <v>398.8218446727555</v>
      </c>
      <c r="I55" s="88">
        <v>418.76514551845332</v>
      </c>
      <c r="J55" s="88">
        <v>282.42325039657487</v>
      </c>
      <c r="K55" s="88">
        <v>245.52756006496756</v>
      </c>
      <c r="L55" s="88">
        <v>238.32396865449735</v>
      </c>
      <c r="M55" s="88">
        <v>237.57991568555522</v>
      </c>
      <c r="N55" s="88">
        <v>232.02226465369685</v>
      </c>
      <c r="O55" s="88">
        <v>241.93659939304479</v>
      </c>
      <c r="P55" s="88">
        <v>257.11849038588991</v>
      </c>
      <c r="Q55" s="88">
        <v>297.34214746592005</v>
      </c>
      <c r="R55" s="88">
        <v>306.09385325089113</v>
      </c>
      <c r="S55" s="88">
        <v>375.15805970327165</v>
      </c>
      <c r="T55" s="88">
        <v>373.41131781522216</v>
      </c>
      <c r="U55" s="88">
        <v>334.84535630321261</v>
      </c>
      <c r="V55" s="88">
        <v>345.22016488714695</v>
      </c>
      <c r="W55" s="88">
        <v>320.49513664231847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1317628</v>
      </c>
      <c r="C57" s="54">
        <f t="shared" si="118"/>
        <v>1395708</v>
      </c>
      <c r="D57" s="54">
        <f t="shared" si="118"/>
        <v>1453149</v>
      </c>
      <c r="E57" s="54">
        <f t="shared" si="118"/>
        <v>1532412</v>
      </c>
      <c r="F57" s="54">
        <f t="shared" si="118"/>
        <v>1601156</v>
      </c>
      <c r="G57" s="54">
        <f t="shared" si="118"/>
        <v>1666327</v>
      </c>
      <c r="H57" s="54">
        <f t="shared" si="118"/>
        <v>1748129</v>
      </c>
      <c r="I57" s="54">
        <f t="shared" si="118"/>
        <v>1835033</v>
      </c>
      <c r="J57" s="54">
        <f t="shared" si="118"/>
        <v>1890143</v>
      </c>
      <c r="K57" s="54">
        <f t="shared" si="118"/>
        <v>1870980</v>
      </c>
      <c r="L57" s="54">
        <f t="shared" ref="L57" si="119">L58+L73</f>
        <v>1846491</v>
      </c>
      <c r="M57" s="54">
        <f t="shared" ref="M57:V57" si="120">M58+M73</f>
        <v>1841991</v>
      </c>
      <c r="N57" s="54">
        <f t="shared" si="120"/>
        <v>1761001</v>
      </c>
      <c r="O57" s="54">
        <f t="shared" si="120"/>
        <v>1764137</v>
      </c>
      <c r="P57" s="54">
        <f t="shared" si="120"/>
        <v>1791936</v>
      </c>
      <c r="Q57" s="54">
        <f t="shared" si="120"/>
        <v>1832678</v>
      </c>
      <c r="R57" s="54">
        <f t="shared" si="120"/>
        <v>1894452</v>
      </c>
      <c r="S57" s="54">
        <f t="shared" si="120"/>
        <v>1951340</v>
      </c>
      <c r="T57" s="54">
        <f t="shared" si="120"/>
        <v>2037725</v>
      </c>
      <c r="U57" s="54">
        <f t="shared" si="120"/>
        <v>2110170</v>
      </c>
      <c r="V57" s="54">
        <f t="shared" si="120"/>
        <v>2139813</v>
      </c>
      <c r="W57" s="54">
        <f t="shared" ref="W57" si="121">W58+W73</f>
        <v>2202357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1222180</v>
      </c>
      <c r="C58" s="28">
        <f t="shared" si="122"/>
        <v>1274844</v>
      </c>
      <c r="D58" s="28">
        <f t="shared" si="122"/>
        <v>1321949</v>
      </c>
      <c r="E58" s="28">
        <f t="shared" si="122"/>
        <v>1389922</v>
      </c>
      <c r="F58" s="28">
        <f t="shared" si="122"/>
        <v>1450723</v>
      </c>
      <c r="G58" s="28">
        <f t="shared" si="122"/>
        <v>1511220</v>
      </c>
      <c r="H58" s="28">
        <f t="shared" si="122"/>
        <v>1578357</v>
      </c>
      <c r="I58" s="28">
        <f t="shared" si="122"/>
        <v>1668652</v>
      </c>
      <c r="J58" s="28">
        <f t="shared" si="122"/>
        <v>1715531</v>
      </c>
      <c r="K58" s="28">
        <f t="shared" si="122"/>
        <v>1707118</v>
      </c>
      <c r="L58" s="28">
        <f t="shared" ref="L58" si="123">L59+L60+L67</f>
        <v>1686638</v>
      </c>
      <c r="M58" s="28">
        <f t="shared" ref="M58:V58" si="124">M59+M60+M67</f>
        <v>1683183</v>
      </c>
      <c r="N58" s="28">
        <f t="shared" si="124"/>
        <v>1610669</v>
      </c>
      <c r="O58" s="28">
        <f t="shared" si="124"/>
        <v>1611965</v>
      </c>
      <c r="P58" s="28">
        <f t="shared" si="124"/>
        <v>1636851</v>
      </c>
      <c r="Q58" s="28">
        <f t="shared" si="124"/>
        <v>1660586</v>
      </c>
      <c r="R58" s="28">
        <f t="shared" si="124"/>
        <v>1715519</v>
      </c>
      <c r="S58" s="28">
        <f t="shared" si="124"/>
        <v>1760280</v>
      </c>
      <c r="T58" s="28">
        <f t="shared" si="124"/>
        <v>1833869</v>
      </c>
      <c r="U58" s="28">
        <f t="shared" si="124"/>
        <v>1894546</v>
      </c>
      <c r="V58" s="28">
        <f t="shared" si="124"/>
        <v>1915148</v>
      </c>
      <c r="W58" s="28">
        <f t="shared" ref="W58" si="125">W59+W60+W67</f>
        <v>1967143</v>
      </c>
      <c r="DA58" s="173" t="s">
        <v>500</v>
      </c>
    </row>
    <row r="59" spans="1:105" ht="11.45" customHeight="1" x14ac:dyDescent="0.25">
      <c r="A59" s="136" t="s">
        <v>180</v>
      </c>
      <c r="B59" s="137">
        <v>81543</v>
      </c>
      <c r="C59" s="137">
        <v>81138</v>
      </c>
      <c r="D59" s="137">
        <v>85217</v>
      </c>
      <c r="E59" s="137">
        <v>99137</v>
      </c>
      <c r="F59" s="137">
        <v>112907</v>
      </c>
      <c r="G59" s="137">
        <v>128382</v>
      </c>
      <c r="H59" s="137">
        <v>143486</v>
      </c>
      <c r="I59" s="137">
        <v>149590</v>
      </c>
      <c r="J59" s="137">
        <v>155409</v>
      </c>
      <c r="K59" s="137">
        <v>157018</v>
      </c>
      <c r="L59" s="137">
        <v>156729</v>
      </c>
      <c r="M59" s="137">
        <v>156320</v>
      </c>
      <c r="N59" s="137">
        <v>156981</v>
      </c>
      <c r="O59" s="137">
        <v>154782</v>
      </c>
      <c r="P59" s="137">
        <v>153053</v>
      </c>
      <c r="Q59" s="137">
        <v>151277</v>
      </c>
      <c r="R59" s="137">
        <v>152873</v>
      </c>
      <c r="S59" s="137">
        <v>154269</v>
      </c>
      <c r="T59" s="137">
        <v>157359</v>
      </c>
      <c r="U59" s="137">
        <v>159388</v>
      </c>
      <c r="V59" s="137">
        <v>158915</v>
      </c>
      <c r="W59" s="137">
        <v>161493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1132000</v>
      </c>
      <c r="C60" s="110">
        <f t="shared" si="126"/>
        <v>1185000</v>
      </c>
      <c r="D60" s="110">
        <f t="shared" si="126"/>
        <v>1228000</v>
      </c>
      <c r="E60" s="110">
        <f t="shared" si="126"/>
        <v>1282000</v>
      </c>
      <c r="F60" s="110">
        <f t="shared" si="126"/>
        <v>1329000</v>
      </c>
      <c r="G60" s="110">
        <f t="shared" si="126"/>
        <v>1374000</v>
      </c>
      <c r="H60" s="110">
        <f t="shared" si="126"/>
        <v>1426000</v>
      </c>
      <c r="I60" s="110">
        <f t="shared" si="126"/>
        <v>1510000</v>
      </c>
      <c r="J60" s="110">
        <f t="shared" si="126"/>
        <v>1551000</v>
      </c>
      <c r="K60" s="110">
        <f t="shared" si="126"/>
        <v>1541000</v>
      </c>
      <c r="L60" s="110">
        <f t="shared" ref="L60" si="127">SUM(L61:L66)</f>
        <v>1521000</v>
      </c>
      <c r="M60" s="110">
        <f t="shared" ref="M60:V60" si="128">SUM(M61:M66)</f>
        <v>1518000</v>
      </c>
      <c r="N60" s="110">
        <f t="shared" si="128"/>
        <v>1445000</v>
      </c>
      <c r="O60" s="110">
        <f t="shared" si="128"/>
        <v>1448300</v>
      </c>
      <c r="P60" s="110">
        <f t="shared" si="128"/>
        <v>1474495</v>
      </c>
      <c r="Q60" s="110">
        <f t="shared" si="128"/>
        <v>1499802</v>
      </c>
      <c r="R60" s="110">
        <f t="shared" si="128"/>
        <v>1552904</v>
      </c>
      <c r="S60" s="110">
        <f t="shared" si="128"/>
        <v>1596087</v>
      </c>
      <c r="T60" s="110">
        <f t="shared" si="128"/>
        <v>1666413</v>
      </c>
      <c r="U60" s="110">
        <f t="shared" si="128"/>
        <v>1724900</v>
      </c>
      <c r="V60" s="110">
        <f t="shared" si="128"/>
        <v>1746285</v>
      </c>
      <c r="W60" s="110">
        <f t="shared" ref="W60" si="129">SUM(W61:W66)</f>
        <v>1795465</v>
      </c>
      <c r="DA60" s="176" t="s">
        <v>502</v>
      </c>
    </row>
    <row r="61" spans="1:105" ht="11.45" customHeight="1" x14ac:dyDescent="0.25">
      <c r="A61" s="111" t="s">
        <v>110</v>
      </c>
      <c r="B61" s="84">
        <v>891000</v>
      </c>
      <c r="C61" s="84">
        <v>912363</v>
      </c>
      <c r="D61" s="84">
        <v>922888</v>
      </c>
      <c r="E61" s="84">
        <v>934593</v>
      </c>
      <c r="F61" s="84">
        <v>934563</v>
      </c>
      <c r="G61" s="84">
        <v>935751</v>
      </c>
      <c r="H61" s="84">
        <v>936556</v>
      </c>
      <c r="I61" s="84">
        <v>949694</v>
      </c>
      <c r="J61" s="84">
        <v>952727</v>
      </c>
      <c r="K61" s="84">
        <v>923521</v>
      </c>
      <c r="L61" s="84">
        <v>909176</v>
      </c>
      <c r="M61" s="84">
        <v>896050</v>
      </c>
      <c r="N61" s="84">
        <v>827529</v>
      </c>
      <c r="O61" s="84">
        <v>815411</v>
      </c>
      <c r="P61" s="84">
        <v>794421</v>
      </c>
      <c r="Q61" s="84">
        <v>773455</v>
      </c>
      <c r="R61" s="84">
        <v>760176</v>
      </c>
      <c r="S61" s="84">
        <v>744152</v>
      </c>
      <c r="T61" s="84">
        <v>733793</v>
      </c>
      <c r="U61" s="84">
        <v>720851</v>
      </c>
      <c r="V61" s="84">
        <v>701554</v>
      </c>
      <c r="W61" s="84">
        <v>698747</v>
      </c>
      <c r="DA61" s="171" t="s">
        <v>503</v>
      </c>
    </row>
    <row r="62" spans="1:105" ht="11.45" customHeight="1" x14ac:dyDescent="0.25">
      <c r="A62" s="111" t="s">
        <v>111</v>
      </c>
      <c r="B62" s="84">
        <v>228000</v>
      </c>
      <c r="C62" s="84">
        <v>257713</v>
      </c>
      <c r="D62" s="84">
        <v>289205</v>
      </c>
      <c r="E62" s="84">
        <v>330611</v>
      </c>
      <c r="F62" s="84">
        <v>372842</v>
      </c>
      <c r="G62" s="84">
        <v>409147</v>
      </c>
      <c r="H62" s="84">
        <v>440278</v>
      </c>
      <c r="I62" s="84">
        <v>490352</v>
      </c>
      <c r="J62" s="84">
        <v>506769</v>
      </c>
      <c r="K62" s="84">
        <v>508703</v>
      </c>
      <c r="L62" s="84">
        <v>519529</v>
      </c>
      <c r="M62" s="84">
        <v>531028</v>
      </c>
      <c r="N62" s="84">
        <v>533166</v>
      </c>
      <c r="O62" s="84">
        <v>550451</v>
      </c>
      <c r="P62" s="84">
        <v>592400</v>
      </c>
      <c r="Q62" s="84">
        <v>633563</v>
      </c>
      <c r="R62" s="84">
        <v>693591</v>
      </c>
      <c r="S62" s="84">
        <v>746691</v>
      </c>
      <c r="T62" s="84">
        <v>819532</v>
      </c>
      <c r="U62" s="84">
        <v>885087</v>
      </c>
      <c r="V62" s="84">
        <v>920317</v>
      </c>
      <c r="W62" s="84">
        <v>966065</v>
      </c>
      <c r="DA62" s="171" t="s">
        <v>504</v>
      </c>
    </row>
    <row r="63" spans="1:105" ht="11.45" customHeight="1" x14ac:dyDescent="0.25">
      <c r="A63" s="111" t="s">
        <v>112</v>
      </c>
      <c r="B63" s="84">
        <v>13000</v>
      </c>
      <c r="C63" s="84">
        <v>14924</v>
      </c>
      <c r="D63" s="84">
        <v>15907</v>
      </c>
      <c r="E63" s="84">
        <v>16796</v>
      </c>
      <c r="F63" s="84">
        <v>21595</v>
      </c>
      <c r="G63" s="84">
        <v>29102</v>
      </c>
      <c r="H63" s="84">
        <v>49166</v>
      </c>
      <c r="I63" s="84">
        <v>69954</v>
      </c>
      <c r="J63" s="84">
        <v>91504</v>
      </c>
      <c r="K63" s="84">
        <v>108712</v>
      </c>
      <c r="L63" s="84">
        <v>92222</v>
      </c>
      <c r="M63" s="84">
        <v>90851</v>
      </c>
      <c r="N63" s="84">
        <v>84191</v>
      </c>
      <c r="O63" s="84">
        <v>82316</v>
      </c>
      <c r="P63" s="84">
        <v>87488</v>
      </c>
      <c r="Q63" s="84">
        <v>92481</v>
      </c>
      <c r="R63" s="84">
        <v>98737</v>
      </c>
      <c r="S63" s="84">
        <v>104741</v>
      </c>
      <c r="T63" s="84">
        <v>112393</v>
      </c>
      <c r="U63" s="84">
        <v>117913</v>
      </c>
      <c r="V63" s="84">
        <v>122394</v>
      </c>
      <c r="W63" s="84">
        <v>126603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64</v>
      </c>
      <c r="L64" s="84">
        <v>73</v>
      </c>
      <c r="M64" s="84">
        <v>71</v>
      </c>
      <c r="N64" s="84">
        <v>81</v>
      </c>
      <c r="O64" s="84">
        <v>84</v>
      </c>
      <c r="P64" s="84">
        <v>96</v>
      </c>
      <c r="Q64" s="84">
        <v>92</v>
      </c>
      <c r="R64" s="84">
        <v>96</v>
      </c>
      <c r="S64" s="84">
        <v>126</v>
      </c>
      <c r="T64" s="84">
        <v>133</v>
      </c>
      <c r="U64" s="84">
        <v>133</v>
      </c>
      <c r="V64" s="84">
        <v>133</v>
      </c>
      <c r="W64" s="84">
        <v>133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5</v>
      </c>
      <c r="Q65" s="84">
        <v>48</v>
      </c>
      <c r="R65" s="84">
        <v>71</v>
      </c>
      <c r="S65" s="84">
        <v>92</v>
      </c>
      <c r="T65" s="84">
        <v>101</v>
      </c>
      <c r="U65" s="84">
        <v>191</v>
      </c>
      <c r="V65" s="84">
        <v>553</v>
      </c>
      <c r="W65" s="84">
        <v>940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33</v>
      </c>
      <c r="O66" s="84">
        <v>38</v>
      </c>
      <c r="P66" s="84">
        <v>85</v>
      </c>
      <c r="Q66" s="84">
        <v>163</v>
      </c>
      <c r="R66" s="84">
        <v>233</v>
      </c>
      <c r="S66" s="84">
        <v>285</v>
      </c>
      <c r="T66" s="84">
        <v>461</v>
      </c>
      <c r="U66" s="84">
        <v>725</v>
      </c>
      <c r="V66" s="84">
        <v>1334</v>
      </c>
      <c r="W66" s="84">
        <v>2977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8637</v>
      </c>
      <c r="C67" s="110">
        <f t="shared" si="130"/>
        <v>8706</v>
      </c>
      <c r="D67" s="110">
        <f t="shared" si="130"/>
        <v>8732</v>
      </c>
      <c r="E67" s="110">
        <f t="shared" si="130"/>
        <v>8785</v>
      </c>
      <c r="F67" s="110">
        <f t="shared" si="130"/>
        <v>8816</v>
      </c>
      <c r="G67" s="110">
        <f t="shared" si="130"/>
        <v>8838</v>
      </c>
      <c r="H67" s="110">
        <f t="shared" si="130"/>
        <v>8871</v>
      </c>
      <c r="I67" s="110">
        <f t="shared" si="130"/>
        <v>9062</v>
      </c>
      <c r="J67" s="110">
        <f t="shared" si="130"/>
        <v>9122</v>
      </c>
      <c r="K67" s="110">
        <f t="shared" si="130"/>
        <v>9100</v>
      </c>
      <c r="L67" s="110">
        <f t="shared" ref="L67" si="131">SUM(L68:L72)</f>
        <v>8909</v>
      </c>
      <c r="M67" s="110">
        <f t="shared" ref="M67:V67" si="132">SUM(M68:M72)</f>
        <v>8863</v>
      </c>
      <c r="N67" s="110">
        <f t="shared" si="132"/>
        <v>8688</v>
      </c>
      <c r="O67" s="110">
        <f t="shared" si="132"/>
        <v>8883</v>
      </c>
      <c r="P67" s="110">
        <f t="shared" si="132"/>
        <v>9303</v>
      </c>
      <c r="Q67" s="110">
        <f t="shared" si="132"/>
        <v>9507</v>
      </c>
      <c r="R67" s="110">
        <f t="shared" si="132"/>
        <v>9742</v>
      </c>
      <c r="S67" s="110">
        <f t="shared" si="132"/>
        <v>9924</v>
      </c>
      <c r="T67" s="110">
        <f t="shared" si="132"/>
        <v>10097</v>
      </c>
      <c r="U67" s="110">
        <f t="shared" si="132"/>
        <v>10258</v>
      </c>
      <c r="V67" s="110">
        <f t="shared" si="132"/>
        <v>9948</v>
      </c>
      <c r="W67" s="110">
        <f t="shared" ref="W67" si="133">SUM(W68:W72)</f>
        <v>10185</v>
      </c>
      <c r="DA67" s="176" t="s">
        <v>509</v>
      </c>
    </row>
    <row r="68" spans="1:105" ht="11.45" customHeight="1" x14ac:dyDescent="0.25">
      <c r="A68" s="111" t="s">
        <v>110</v>
      </c>
      <c r="B68" s="102">
        <v>40</v>
      </c>
      <c r="C68" s="102">
        <v>42</v>
      </c>
      <c r="D68" s="102">
        <v>43</v>
      </c>
      <c r="E68" s="102">
        <v>42</v>
      </c>
      <c r="F68" s="102">
        <v>40</v>
      </c>
      <c r="G68" s="102">
        <v>41</v>
      </c>
      <c r="H68" s="102">
        <v>42</v>
      </c>
      <c r="I68" s="102">
        <v>39</v>
      </c>
      <c r="J68" s="102">
        <v>44</v>
      </c>
      <c r="K68" s="102">
        <v>41</v>
      </c>
      <c r="L68" s="102">
        <v>39</v>
      </c>
      <c r="M68" s="102">
        <v>36</v>
      </c>
      <c r="N68" s="102">
        <v>36</v>
      </c>
      <c r="O68" s="102">
        <v>42</v>
      </c>
      <c r="P68" s="102">
        <v>40</v>
      </c>
      <c r="Q68" s="102">
        <v>37</v>
      </c>
      <c r="R68" s="102">
        <v>36</v>
      </c>
      <c r="S68" s="102">
        <v>35</v>
      </c>
      <c r="T68" s="102">
        <v>34</v>
      </c>
      <c r="U68" s="102">
        <v>32</v>
      </c>
      <c r="V68" s="102">
        <v>31</v>
      </c>
      <c r="W68" s="102">
        <v>29</v>
      </c>
      <c r="DA68" s="175" t="s">
        <v>510</v>
      </c>
    </row>
    <row r="69" spans="1:105" ht="11.45" customHeight="1" x14ac:dyDescent="0.25">
      <c r="A69" s="111" t="s">
        <v>111</v>
      </c>
      <c r="B69" s="102">
        <v>8597</v>
      </c>
      <c r="C69" s="102">
        <v>8664</v>
      </c>
      <c r="D69" s="102">
        <v>8689</v>
      </c>
      <c r="E69" s="102">
        <v>8743</v>
      </c>
      <c r="F69" s="102">
        <v>8776</v>
      </c>
      <c r="G69" s="102">
        <v>8797</v>
      </c>
      <c r="H69" s="102">
        <v>8829</v>
      </c>
      <c r="I69" s="102">
        <v>9022</v>
      </c>
      <c r="J69" s="102">
        <v>9077</v>
      </c>
      <c r="K69" s="102">
        <v>9000</v>
      </c>
      <c r="L69" s="102">
        <v>8807</v>
      </c>
      <c r="M69" s="102">
        <v>8762</v>
      </c>
      <c r="N69" s="102">
        <v>8578</v>
      </c>
      <c r="O69" s="102">
        <v>8677</v>
      </c>
      <c r="P69" s="102">
        <v>8920</v>
      </c>
      <c r="Q69" s="102">
        <v>9130</v>
      </c>
      <c r="R69" s="102">
        <v>9369</v>
      </c>
      <c r="S69" s="102">
        <v>9547</v>
      </c>
      <c r="T69" s="102">
        <v>9727</v>
      </c>
      <c r="U69" s="102">
        <v>9897</v>
      </c>
      <c r="V69" s="102">
        <v>9575</v>
      </c>
      <c r="W69" s="102">
        <v>9821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1</v>
      </c>
      <c r="J70" s="102">
        <v>1</v>
      </c>
      <c r="K70" s="102">
        <v>1</v>
      </c>
      <c r="L70" s="102">
        <v>1</v>
      </c>
      <c r="M70" s="102">
        <v>2</v>
      </c>
      <c r="N70" s="102">
        <v>2</v>
      </c>
      <c r="O70" s="102">
        <v>13</v>
      </c>
      <c r="P70" s="102">
        <v>15</v>
      </c>
      <c r="Q70" s="102">
        <v>15</v>
      </c>
      <c r="R70" s="102">
        <v>15</v>
      </c>
      <c r="S70" s="102">
        <v>14</v>
      </c>
      <c r="T70" s="102">
        <v>14</v>
      </c>
      <c r="U70" s="102">
        <v>15</v>
      </c>
      <c r="V70" s="102">
        <v>17</v>
      </c>
      <c r="W70" s="102">
        <v>17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58</v>
      </c>
      <c r="L71" s="102">
        <v>62</v>
      </c>
      <c r="M71" s="102">
        <v>63</v>
      </c>
      <c r="N71" s="102">
        <v>72</v>
      </c>
      <c r="O71" s="102">
        <v>151</v>
      </c>
      <c r="P71" s="102">
        <v>328</v>
      </c>
      <c r="Q71" s="102">
        <v>323</v>
      </c>
      <c r="R71" s="102">
        <v>319</v>
      </c>
      <c r="S71" s="102">
        <v>325</v>
      </c>
      <c r="T71" s="102">
        <v>319</v>
      </c>
      <c r="U71" s="102">
        <v>311</v>
      </c>
      <c r="V71" s="102">
        <v>322</v>
      </c>
      <c r="W71" s="102">
        <v>312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2</v>
      </c>
      <c r="R72" s="102">
        <v>3</v>
      </c>
      <c r="S72" s="102">
        <v>3</v>
      </c>
      <c r="T72" s="102">
        <v>3</v>
      </c>
      <c r="U72" s="102">
        <v>3</v>
      </c>
      <c r="V72" s="102">
        <v>3</v>
      </c>
      <c r="W72" s="102">
        <v>6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95448</v>
      </c>
      <c r="C73" s="28">
        <f t="shared" si="134"/>
        <v>120864.00000000001</v>
      </c>
      <c r="D73" s="28">
        <f t="shared" si="134"/>
        <v>131200</v>
      </c>
      <c r="E73" s="28">
        <f t="shared" si="134"/>
        <v>142490</v>
      </c>
      <c r="F73" s="28">
        <f t="shared" si="134"/>
        <v>150433</v>
      </c>
      <c r="G73" s="28">
        <f t="shared" si="134"/>
        <v>155107</v>
      </c>
      <c r="H73" s="28">
        <f t="shared" si="134"/>
        <v>169772</v>
      </c>
      <c r="I73" s="28">
        <f t="shared" si="134"/>
        <v>166381</v>
      </c>
      <c r="J73" s="28">
        <f t="shared" si="134"/>
        <v>174612</v>
      </c>
      <c r="K73" s="28">
        <f t="shared" si="134"/>
        <v>163862</v>
      </c>
      <c r="L73" s="28">
        <f t="shared" ref="L73" si="135">L74+L80</f>
        <v>159853</v>
      </c>
      <c r="M73" s="28">
        <f t="shared" ref="M73:V73" si="136">M74+M80</f>
        <v>158808</v>
      </c>
      <c r="N73" s="28">
        <f t="shared" si="136"/>
        <v>150332</v>
      </c>
      <c r="O73" s="28">
        <f t="shared" si="136"/>
        <v>152172</v>
      </c>
      <c r="P73" s="28">
        <f t="shared" si="136"/>
        <v>155085</v>
      </c>
      <c r="Q73" s="28">
        <f t="shared" si="136"/>
        <v>172092</v>
      </c>
      <c r="R73" s="28">
        <f t="shared" si="136"/>
        <v>178933</v>
      </c>
      <c r="S73" s="28">
        <f t="shared" si="136"/>
        <v>191060</v>
      </c>
      <c r="T73" s="28">
        <f t="shared" si="136"/>
        <v>203856</v>
      </c>
      <c r="U73" s="28">
        <f t="shared" si="136"/>
        <v>215624</v>
      </c>
      <c r="V73" s="28">
        <f t="shared" si="136"/>
        <v>224665</v>
      </c>
      <c r="W73" s="28">
        <f t="shared" ref="W73" si="137">W74+W80</f>
        <v>235214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60996</v>
      </c>
      <c r="C74" s="137">
        <f t="shared" si="138"/>
        <v>74427</v>
      </c>
      <c r="D74" s="137">
        <f t="shared" si="138"/>
        <v>80420</v>
      </c>
      <c r="E74" s="137">
        <f t="shared" si="138"/>
        <v>87048</v>
      </c>
      <c r="F74" s="137">
        <f t="shared" si="138"/>
        <v>92541</v>
      </c>
      <c r="G74" s="137">
        <f t="shared" si="138"/>
        <v>97814</v>
      </c>
      <c r="H74" s="137">
        <f t="shared" si="138"/>
        <v>103721</v>
      </c>
      <c r="I74" s="137">
        <f t="shared" si="138"/>
        <v>100749</v>
      </c>
      <c r="J74" s="137">
        <f t="shared" si="138"/>
        <v>105158</v>
      </c>
      <c r="K74" s="137">
        <f t="shared" si="138"/>
        <v>103846</v>
      </c>
      <c r="L74" s="137">
        <f t="shared" ref="L74" si="139">SUM(L75:L79)</f>
        <v>98978</v>
      </c>
      <c r="M74" s="137">
        <f t="shared" ref="M74:V74" si="140">SUM(M75:M79)</f>
        <v>97212</v>
      </c>
      <c r="N74" s="137">
        <f t="shared" si="140"/>
        <v>90267</v>
      </c>
      <c r="O74" s="137">
        <f t="shared" si="140"/>
        <v>90219</v>
      </c>
      <c r="P74" s="137">
        <f t="shared" si="140"/>
        <v>91602</v>
      </c>
      <c r="Q74" s="137">
        <f t="shared" si="140"/>
        <v>107381</v>
      </c>
      <c r="R74" s="137">
        <f t="shared" si="140"/>
        <v>116001</v>
      </c>
      <c r="S74" s="137">
        <f t="shared" si="140"/>
        <v>125731</v>
      </c>
      <c r="T74" s="137">
        <f t="shared" si="140"/>
        <v>137049</v>
      </c>
      <c r="U74" s="137">
        <f t="shared" si="140"/>
        <v>147501</v>
      </c>
      <c r="V74" s="137">
        <f t="shared" si="140"/>
        <v>154885</v>
      </c>
      <c r="W74" s="137">
        <f t="shared" ref="W74" si="141">SUM(W75:W79)</f>
        <v>164351</v>
      </c>
      <c r="DA74" s="174" t="s">
        <v>516</v>
      </c>
    </row>
    <row r="75" spans="1:105" ht="11.45" customHeight="1" x14ac:dyDescent="0.25">
      <c r="A75" s="111" t="s">
        <v>110</v>
      </c>
      <c r="B75" s="84">
        <v>11402</v>
      </c>
      <c r="C75" s="84">
        <v>13677</v>
      </c>
      <c r="D75" s="84">
        <v>13325</v>
      </c>
      <c r="E75" s="84">
        <v>12695</v>
      </c>
      <c r="F75" s="84">
        <v>11827</v>
      </c>
      <c r="G75" s="84">
        <v>11103</v>
      </c>
      <c r="H75" s="84">
        <v>10873</v>
      </c>
      <c r="I75" s="84">
        <v>8590</v>
      </c>
      <c r="J75" s="84">
        <v>8480</v>
      </c>
      <c r="K75" s="84">
        <v>7672</v>
      </c>
      <c r="L75" s="84">
        <v>6878</v>
      </c>
      <c r="M75" s="84">
        <v>6465</v>
      </c>
      <c r="N75" s="84">
        <v>4648</v>
      </c>
      <c r="O75" s="84">
        <v>4497</v>
      </c>
      <c r="P75" s="84">
        <v>4482</v>
      </c>
      <c r="Q75" s="84">
        <v>4404</v>
      </c>
      <c r="R75" s="84">
        <v>4421</v>
      </c>
      <c r="S75" s="84">
        <v>4715</v>
      </c>
      <c r="T75" s="84">
        <v>4869</v>
      </c>
      <c r="U75" s="84">
        <v>4953</v>
      </c>
      <c r="V75" s="84">
        <v>4917</v>
      </c>
      <c r="W75" s="84">
        <v>4993</v>
      </c>
      <c r="DA75" s="171" t="s">
        <v>517</v>
      </c>
    </row>
    <row r="76" spans="1:105" ht="11.45" customHeight="1" x14ac:dyDescent="0.25">
      <c r="A76" s="111" t="s">
        <v>111</v>
      </c>
      <c r="B76" s="84">
        <v>49594</v>
      </c>
      <c r="C76" s="84">
        <v>60750</v>
      </c>
      <c r="D76" s="84">
        <v>67095</v>
      </c>
      <c r="E76" s="84">
        <v>74351</v>
      </c>
      <c r="F76" s="84">
        <v>80712</v>
      </c>
      <c r="G76" s="84">
        <v>86708</v>
      </c>
      <c r="H76" s="84">
        <v>92845</v>
      </c>
      <c r="I76" s="84">
        <v>91958</v>
      </c>
      <c r="J76" s="84">
        <v>96163</v>
      </c>
      <c r="K76" s="84">
        <v>95484</v>
      </c>
      <c r="L76" s="84">
        <v>91375</v>
      </c>
      <c r="M76" s="84">
        <v>90063</v>
      </c>
      <c r="N76" s="84">
        <v>84920</v>
      </c>
      <c r="O76" s="84">
        <v>84957</v>
      </c>
      <c r="P76" s="84">
        <v>86288</v>
      </c>
      <c r="Q76" s="84">
        <v>102048</v>
      </c>
      <c r="R76" s="84">
        <v>110554</v>
      </c>
      <c r="S76" s="84">
        <v>119870</v>
      </c>
      <c r="T76" s="84">
        <v>130949</v>
      </c>
      <c r="U76" s="84">
        <v>141240</v>
      </c>
      <c r="V76" s="84">
        <v>148523</v>
      </c>
      <c r="W76" s="84">
        <v>157814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198</v>
      </c>
      <c r="J77" s="84">
        <v>510</v>
      </c>
      <c r="K77" s="84">
        <v>641</v>
      </c>
      <c r="L77" s="84">
        <v>668</v>
      </c>
      <c r="M77" s="84">
        <v>628</v>
      </c>
      <c r="N77" s="84">
        <v>621</v>
      </c>
      <c r="O77" s="84">
        <v>687</v>
      </c>
      <c r="P77" s="84">
        <v>753</v>
      </c>
      <c r="Q77" s="84">
        <v>818</v>
      </c>
      <c r="R77" s="84">
        <v>898</v>
      </c>
      <c r="S77" s="84">
        <v>989</v>
      </c>
      <c r="T77" s="84">
        <v>1058</v>
      </c>
      <c r="U77" s="84">
        <v>1135</v>
      </c>
      <c r="V77" s="84">
        <v>1171</v>
      </c>
      <c r="W77" s="84">
        <v>1270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43</v>
      </c>
      <c r="L78" s="84">
        <v>51</v>
      </c>
      <c r="M78" s="84">
        <v>51</v>
      </c>
      <c r="N78" s="84">
        <v>71</v>
      </c>
      <c r="O78" s="84">
        <v>71</v>
      </c>
      <c r="P78" s="84">
        <v>71</v>
      </c>
      <c r="Q78" s="84">
        <v>75</v>
      </c>
      <c r="R78" s="84">
        <v>75</v>
      </c>
      <c r="S78" s="84">
        <v>92</v>
      </c>
      <c r="T78" s="84">
        <v>96</v>
      </c>
      <c r="U78" s="84">
        <v>96</v>
      </c>
      <c r="V78" s="84">
        <v>96</v>
      </c>
      <c r="W78" s="84">
        <v>96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2</v>
      </c>
      <c r="F79" s="84">
        <v>2</v>
      </c>
      <c r="G79" s="84">
        <v>3</v>
      </c>
      <c r="H79" s="84">
        <v>3</v>
      </c>
      <c r="I79" s="84">
        <v>3</v>
      </c>
      <c r="J79" s="84">
        <v>5</v>
      </c>
      <c r="K79" s="84">
        <v>6</v>
      </c>
      <c r="L79" s="84">
        <v>6</v>
      </c>
      <c r="M79" s="84">
        <v>5</v>
      </c>
      <c r="N79" s="84">
        <v>7</v>
      </c>
      <c r="O79" s="84">
        <v>7</v>
      </c>
      <c r="P79" s="84">
        <v>8</v>
      </c>
      <c r="Q79" s="84">
        <v>36</v>
      </c>
      <c r="R79" s="84">
        <v>53</v>
      </c>
      <c r="S79" s="84">
        <v>65</v>
      </c>
      <c r="T79" s="84">
        <v>77</v>
      </c>
      <c r="U79" s="84">
        <v>77</v>
      </c>
      <c r="V79" s="84">
        <v>178</v>
      </c>
      <c r="W79" s="84">
        <v>178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34452</v>
      </c>
      <c r="C80" s="110">
        <f t="shared" si="142"/>
        <v>46437.000000000015</v>
      </c>
      <c r="D80" s="110">
        <f t="shared" si="142"/>
        <v>50780</v>
      </c>
      <c r="E80" s="110">
        <f t="shared" si="142"/>
        <v>55442</v>
      </c>
      <c r="F80" s="110">
        <f t="shared" si="142"/>
        <v>57892</v>
      </c>
      <c r="G80" s="110">
        <f t="shared" si="142"/>
        <v>57293</v>
      </c>
      <c r="H80" s="110">
        <f t="shared" si="142"/>
        <v>66051</v>
      </c>
      <c r="I80" s="110">
        <f t="shared" si="142"/>
        <v>65632</v>
      </c>
      <c r="J80" s="110">
        <f t="shared" si="142"/>
        <v>69454</v>
      </c>
      <c r="K80" s="110">
        <f t="shared" si="142"/>
        <v>60016</v>
      </c>
      <c r="L80" s="110">
        <f t="shared" ref="L80" si="143">SUM(L81:L82)</f>
        <v>60875</v>
      </c>
      <c r="M80" s="110">
        <f t="shared" ref="M80:V80" si="144">SUM(M81:M82)</f>
        <v>61596</v>
      </c>
      <c r="N80" s="110">
        <f t="shared" si="144"/>
        <v>60065</v>
      </c>
      <c r="O80" s="110">
        <f t="shared" si="144"/>
        <v>61953</v>
      </c>
      <c r="P80" s="110">
        <f t="shared" si="144"/>
        <v>63483</v>
      </c>
      <c r="Q80" s="110">
        <f t="shared" si="144"/>
        <v>64711</v>
      </c>
      <c r="R80" s="110">
        <f t="shared" si="144"/>
        <v>62932</v>
      </c>
      <c r="S80" s="110">
        <f t="shared" si="144"/>
        <v>65329</v>
      </c>
      <c r="T80" s="110">
        <f t="shared" si="144"/>
        <v>66807</v>
      </c>
      <c r="U80" s="110">
        <f t="shared" si="144"/>
        <v>68123</v>
      </c>
      <c r="V80" s="110">
        <f t="shared" si="144"/>
        <v>69780</v>
      </c>
      <c r="W80" s="110">
        <f t="shared" ref="W80" si="145">SUM(W81:W82)</f>
        <v>70863</v>
      </c>
      <c r="DA80" s="176" t="s">
        <v>522</v>
      </c>
    </row>
    <row r="81" spans="1:105" ht="11.45" customHeight="1" x14ac:dyDescent="0.25">
      <c r="A81" s="128" t="s">
        <v>27</v>
      </c>
      <c r="B81" s="102">
        <v>30822</v>
      </c>
      <c r="C81" s="102">
        <v>42545.000000000015</v>
      </c>
      <c r="D81" s="102">
        <v>46686</v>
      </c>
      <c r="E81" s="102">
        <v>51257</v>
      </c>
      <c r="F81" s="102">
        <v>52944</v>
      </c>
      <c r="G81" s="102">
        <v>52170</v>
      </c>
      <c r="H81" s="102">
        <v>61359</v>
      </c>
      <c r="I81" s="102">
        <v>60705</v>
      </c>
      <c r="J81" s="102">
        <v>66131</v>
      </c>
      <c r="K81" s="102">
        <v>57127</v>
      </c>
      <c r="L81" s="102">
        <v>58071</v>
      </c>
      <c r="M81" s="102">
        <v>58801</v>
      </c>
      <c r="N81" s="102">
        <v>57335</v>
      </c>
      <c r="O81" s="102">
        <v>59107</v>
      </c>
      <c r="P81" s="102">
        <v>60458</v>
      </c>
      <c r="Q81" s="102">
        <v>61213</v>
      </c>
      <c r="R81" s="102">
        <v>59331</v>
      </c>
      <c r="S81" s="102">
        <v>60915</v>
      </c>
      <c r="T81" s="102">
        <v>62414</v>
      </c>
      <c r="U81" s="102">
        <v>64184</v>
      </c>
      <c r="V81" s="102">
        <v>65719</v>
      </c>
      <c r="W81" s="102">
        <v>67092</v>
      </c>
      <c r="DA81" s="175" t="s">
        <v>523</v>
      </c>
    </row>
    <row r="82" spans="1:105" ht="11.45" customHeight="1" x14ac:dyDescent="0.25">
      <c r="A82" s="138" t="s">
        <v>116</v>
      </c>
      <c r="B82" s="86">
        <v>3630</v>
      </c>
      <c r="C82" s="86">
        <v>3892</v>
      </c>
      <c r="D82" s="86">
        <v>4094</v>
      </c>
      <c r="E82" s="86">
        <v>4185</v>
      </c>
      <c r="F82" s="86">
        <v>4948</v>
      </c>
      <c r="G82" s="86">
        <v>5123</v>
      </c>
      <c r="H82" s="86">
        <v>4692</v>
      </c>
      <c r="I82" s="86">
        <v>4927</v>
      </c>
      <c r="J82" s="86">
        <v>3323</v>
      </c>
      <c r="K82" s="86">
        <v>2889</v>
      </c>
      <c r="L82" s="86">
        <v>2804</v>
      </c>
      <c r="M82" s="86">
        <v>2795</v>
      </c>
      <c r="N82" s="86">
        <v>2730</v>
      </c>
      <c r="O82" s="86">
        <v>2846</v>
      </c>
      <c r="P82" s="86">
        <v>3025</v>
      </c>
      <c r="Q82" s="86">
        <v>3498</v>
      </c>
      <c r="R82" s="86">
        <v>3601</v>
      </c>
      <c r="S82" s="86">
        <v>4414</v>
      </c>
      <c r="T82" s="86">
        <v>4393</v>
      </c>
      <c r="U82" s="86">
        <v>3939</v>
      </c>
      <c r="V82" s="86">
        <v>4061</v>
      </c>
      <c r="W82" s="86">
        <v>3771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1317628</v>
      </c>
      <c r="C84" s="54">
        <f t="shared" si="146"/>
        <v>1395708</v>
      </c>
      <c r="D84" s="54">
        <f t="shared" ref="D84:V84" si="147">D85+D100</f>
        <v>1453149</v>
      </c>
      <c r="E84" s="54">
        <f t="shared" si="147"/>
        <v>1532412</v>
      </c>
      <c r="F84" s="54">
        <f t="shared" si="147"/>
        <v>1601156</v>
      </c>
      <c r="G84" s="54">
        <f t="shared" si="147"/>
        <v>1666327</v>
      </c>
      <c r="H84" s="54">
        <f t="shared" si="147"/>
        <v>1748129</v>
      </c>
      <c r="I84" s="54">
        <f t="shared" si="147"/>
        <v>1835033</v>
      </c>
      <c r="J84" s="54">
        <f t="shared" si="147"/>
        <v>1890143</v>
      </c>
      <c r="K84" s="54">
        <f t="shared" si="147"/>
        <v>1870980</v>
      </c>
      <c r="L84" s="54">
        <f t="shared" si="147"/>
        <v>1846491</v>
      </c>
      <c r="M84" s="54">
        <f t="shared" si="147"/>
        <v>1841991</v>
      </c>
      <c r="N84" s="54">
        <f t="shared" si="147"/>
        <v>1761001</v>
      </c>
      <c r="O84" s="54">
        <f t="shared" si="147"/>
        <v>1764137</v>
      </c>
      <c r="P84" s="54">
        <f t="shared" si="147"/>
        <v>1791936</v>
      </c>
      <c r="Q84" s="54">
        <f t="shared" si="147"/>
        <v>1832678</v>
      </c>
      <c r="R84" s="54">
        <f t="shared" si="147"/>
        <v>1894452</v>
      </c>
      <c r="S84" s="54">
        <f t="shared" si="147"/>
        <v>1951340</v>
      </c>
      <c r="T84" s="54">
        <f t="shared" si="147"/>
        <v>2037725</v>
      </c>
      <c r="U84" s="54">
        <f t="shared" si="147"/>
        <v>2110170</v>
      </c>
      <c r="V84" s="54">
        <f t="shared" si="147"/>
        <v>2139813</v>
      </c>
      <c r="W84" s="54">
        <f t="shared" ref="W84" si="148">W85+W100</f>
        <v>2202357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1222180</v>
      </c>
      <c r="C85" s="28">
        <f t="shared" si="149"/>
        <v>1274844</v>
      </c>
      <c r="D85" s="28">
        <f t="shared" ref="D85:V85" si="150">D86+D87+D94</f>
        <v>1321949</v>
      </c>
      <c r="E85" s="28">
        <f t="shared" si="150"/>
        <v>1389922</v>
      </c>
      <c r="F85" s="28">
        <f t="shared" si="150"/>
        <v>1450723</v>
      </c>
      <c r="G85" s="28">
        <f t="shared" si="150"/>
        <v>1511220</v>
      </c>
      <c r="H85" s="28">
        <f t="shared" si="150"/>
        <v>1578357</v>
      </c>
      <c r="I85" s="28">
        <f t="shared" si="150"/>
        <v>1668652</v>
      </c>
      <c r="J85" s="28">
        <f t="shared" si="150"/>
        <v>1715531</v>
      </c>
      <c r="K85" s="28">
        <f t="shared" si="150"/>
        <v>1707118</v>
      </c>
      <c r="L85" s="28">
        <f t="shared" si="150"/>
        <v>1686638</v>
      </c>
      <c r="M85" s="28">
        <f t="shared" si="150"/>
        <v>1683183</v>
      </c>
      <c r="N85" s="28">
        <f t="shared" si="150"/>
        <v>1610669</v>
      </c>
      <c r="O85" s="28">
        <f t="shared" si="150"/>
        <v>1611965</v>
      </c>
      <c r="P85" s="28">
        <f t="shared" si="150"/>
        <v>1636851</v>
      </c>
      <c r="Q85" s="28">
        <f t="shared" si="150"/>
        <v>1660586</v>
      </c>
      <c r="R85" s="28">
        <f t="shared" si="150"/>
        <v>1715519</v>
      </c>
      <c r="S85" s="28">
        <f t="shared" si="150"/>
        <v>1760280</v>
      </c>
      <c r="T85" s="28">
        <f t="shared" si="150"/>
        <v>1833869</v>
      </c>
      <c r="U85" s="28">
        <f t="shared" si="150"/>
        <v>1894546</v>
      </c>
      <c r="V85" s="28">
        <f t="shared" si="150"/>
        <v>1915148</v>
      </c>
      <c r="W85" s="28">
        <f t="shared" ref="W85" si="151">W86+W87+W94</f>
        <v>1967143</v>
      </c>
      <c r="DA85" s="173"/>
    </row>
    <row r="86" spans="1:105" ht="11.45" hidden="1" customHeight="1" x14ac:dyDescent="0.25">
      <c r="A86" s="136" t="s">
        <v>180</v>
      </c>
      <c r="B86" s="137">
        <v>81543</v>
      </c>
      <c r="C86" s="137">
        <v>81138</v>
      </c>
      <c r="D86" s="137">
        <v>85217</v>
      </c>
      <c r="E86" s="137">
        <v>99137</v>
      </c>
      <c r="F86" s="137">
        <v>112907</v>
      </c>
      <c r="G86" s="137">
        <v>128382</v>
      </c>
      <c r="H86" s="137">
        <v>143486</v>
      </c>
      <c r="I86" s="137">
        <v>149590</v>
      </c>
      <c r="J86" s="137">
        <v>155409</v>
      </c>
      <c r="K86" s="137">
        <v>157018</v>
      </c>
      <c r="L86" s="137">
        <v>156729</v>
      </c>
      <c r="M86" s="137">
        <v>156320</v>
      </c>
      <c r="N86" s="137">
        <v>156981</v>
      </c>
      <c r="O86" s="137">
        <v>154782</v>
      </c>
      <c r="P86" s="137">
        <v>153053</v>
      </c>
      <c r="Q86" s="137">
        <v>151277</v>
      </c>
      <c r="R86" s="137">
        <v>152873</v>
      </c>
      <c r="S86" s="137">
        <v>154269</v>
      </c>
      <c r="T86" s="137">
        <v>157359</v>
      </c>
      <c r="U86" s="137">
        <v>159388</v>
      </c>
      <c r="V86" s="137">
        <v>158915</v>
      </c>
      <c r="W86" s="137">
        <v>161493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1132000</v>
      </c>
      <c r="C87" s="110">
        <f t="shared" si="152"/>
        <v>1185000</v>
      </c>
      <c r="D87" s="110">
        <f t="shared" ref="D87:V87" si="153">SUM(D88:D93)</f>
        <v>1228000</v>
      </c>
      <c r="E87" s="110">
        <f t="shared" si="153"/>
        <v>1282000</v>
      </c>
      <c r="F87" s="110">
        <f t="shared" si="153"/>
        <v>1329000</v>
      </c>
      <c r="G87" s="110">
        <f t="shared" si="153"/>
        <v>1374000</v>
      </c>
      <c r="H87" s="110">
        <f t="shared" si="153"/>
        <v>1426000</v>
      </c>
      <c r="I87" s="110">
        <f t="shared" si="153"/>
        <v>1510000</v>
      </c>
      <c r="J87" s="110">
        <f t="shared" si="153"/>
        <v>1551000</v>
      </c>
      <c r="K87" s="110">
        <f t="shared" si="153"/>
        <v>1541000</v>
      </c>
      <c r="L87" s="110">
        <f t="shared" si="153"/>
        <v>1521000</v>
      </c>
      <c r="M87" s="110">
        <f t="shared" si="153"/>
        <v>1518000</v>
      </c>
      <c r="N87" s="110">
        <f t="shared" si="153"/>
        <v>1445000</v>
      </c>
      <c r="O87" s="110">
        <f t="shared" si="153"/>
        <v>1448300</v>
      </c>
      <c r="P87" s="110">
        <f t="shared" si="153"/>
        <v>1474495</v>
      </c>
      <c r="Q87" s="110">
        <f t="shared" si="153"/>
        <v>1499802</v>
      </c>
      <c r="R87" s="110">
        <f t="shared" si="153"/>
        <v>1552904</v>
      </c>
      <c r="S87" s="110">
        <f t="shared" si="153"/>
        <v>1596087</v>
      </c>
      <c r="T87" s="110">
        <f t="shared" si="153"/>
        <v>1666413</v>
      </c>
      <c r="U87" s="110">
        <f t="shared" si="153"/>
        <v>1724900</v>
      </c>
      <c r="V87" s="110">
        <f t="shared" si="153"/>
        <v>1746285</v>
      </c>
      <c r="W87" s="110">
        <f t="shared" ref="W87" si="154">SUM(W88:W93)</f>
        <v>1795465</v>
      </c>
      <c r="DA87" s="176"/>
    </row>
    <row r="88" spans="1:105" ht="11.45" hidden="1" customHeight="1" x14ac:dyDescent="0.25">
      <c r="A88" s="111" t="s">
        <v>110</v>
      </c>
      <c r="B88" s="84">
        <v>891000</v>
      </c>
      <c r="C88" s="84">
        <v>912363</v>
      </c>
      <c r="D88" s="84">
        <v>922888</v>
      </c>
      <c r="E88" s="84">
        <v>934593</v>
      </c>
      <c r="F88" s="84">
        <v>934563</v>
      </c>
      <c r="G88" s="84">
        <v>935751</v>
      </c>
      <c r="H88" s="84">
        <v>936556</v>
      </c>
      <c r="I88" s="84">
        <v>949694</v>
      </c>
      <c r="J88" s="84">
        <v>952727</v>
      </c>
      <c r="K88" s="84">
        <v>923521</v>
      </c>
      <c r="L88" s="84">
        <v>909176</v>
      </c>
      <c r="M88" s="84">
        <v>896050</v>
      </c>
      <c r="N88" s="84">
        <v>827529</v>
      </c>
      <c r="O88" s="84">
        <v>815411</v>
      </c>
      <c r="P88" s="84">
        <v>794421</v>
      </c>
      <c r="Q88" s="84">
        <v>773455</v>
      </c>
      <c r="R88" s="84">
        <v>760176</v>
      </c>
      <c r="S88" s="84">
        <v>744152</v>
      </c>
      <c r="T88" s="84">
        <v>733793</v>
      </c>
      <c r="U88" s="84">
        <v>720851</v>
      </c>
      <c r="V88" s="84">
        <v>701554</v>
      </c>
      <c r="W88" s="84">
        <v>698747</v>
      </c>
      <c r="DA88" s="171"/>
    </row>
    <row r="89" spans="1:105" ht="11.45" hidden="1" customHeight="1" x14ac:dyDescent="0.25">
      <c r="A89" s="111" t="s">
        <v>111</v>
      </c>
      <c r="B89" s="84">
        <v>228000</v>
      </c>
      <c r="C89" s="84">
        <v>257713</v>
      </c>
      <c r="D89" s="84">
        <v>289205</v>
      </c>
      <c r="E89" s="84">
        <v>330611</v>
      </c>
      <c r="F89" s="84">
        <v>372842</v>
      </c>
      <c r="G89" s="84">
        <v>409147</v>
      </c>
      <c r="H89" s="84">
        <v>440278</v>
      </c>
      <c r="I89" s="84">
        <v>490352</v>
      </c>
      <c r="J89" s="84">
        <v>506769</v>
      </c>
      <c r="K89" s="84">
        <v>508703</v>
      </c>
      <c r="L89" s="84">
        <v>519529</v>
      </c>
      <c r="M89" s="84">
        <v>531028</v>
      </c>
      <c r="N89" s="84">
        <v>533166</v>
      </c>
      <c r="O89" s="84">
        <v>550451</v>
      </c>
      <c r="P89" s="84">
        <v>592400</v>
      </c>
      <c r="Q89" s="84">
        <v>633563</v>
      </c>
      <c r="R89" s="84">
        <v>693591</v>
      </c>
      <c r="S89" s="84">
        <v>746691</v>
      </c>
      <c r="T89" s="84">
        <v>819532</v>
      </c>
      <c r="U89" s="84">
        <v>885087</v>
      </c>
      <c r="V89" s="84">
        <v>920317</v>
      </c>
      <c r="W89" s="84">
        <v>966065</v>
      </c>
      <c r="DA89" s="171"/>
    </row>
    <row r="90" spans="1:105" ht="11.45" hidden="1" customHeight="1" x14ac:dyDescent="0.25">
      <c r="A90" s="111" t="s">
        <v>112</v>
      </c>
      <c r="B90" s="84">
        <v>13000</v>
      </c>
      <c r="C90" s="84">
        <v>14924</v>
      </c>
      <c r="D90" s="84">
        <v>15907</v>
      </c>
      <c r="E90" s="84">
        <v>16796</v>
      </c>
      <c r="F90" s="84">
        <v>21595</v>
      </c>
      <c r="G90" s="84">
        <v>29102</v>
      </c>
      <c r="H90" s="84">
        <v>49166</v>
      </c>
      <c r="I90" s="84">
        <v>69954</v>
      </c>
      <c r="J90" s="84">
        <v>91504</v>
      </c>
      <c r="K90" s="84">
        <v>108712</v>
      </c>
      <c r="L90" s="84">
        <v>92222</v>
      </c>
      <c r="M90" s="84">
        <v>90851</v>
      </c>
      <c r="N90" s="84">
        <v>84191</v>
      </c>
      <c r="O90" s="84">
        <v>82316</v>
      </c>
      <c r="P90" s="84">
        <v>87488</v>
      </c>
      <c r="Q90" s="84">
        <v>92481</v>
      </c>
      <c r="R90" s="84">
        <v>98737</v>
      </c>
      <c r="S90" s="84">
        <v>104741</v>
      </c>
      <c r="T90" s="84">
        <v>112393</v>
      </c>
      <c r="U90" s="84">
        <v>117913</v>
      </c>
      <c r="V90" s="84">
        <v>122394</v>
      </c>
      <c r="W90" s="84">
        <v>126603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64</v>
      </c>
      <c r="L91" s="84">
        <v>73</v>
      </c>
      <c r="M91" s="84">
        <v>71</v>
      </c>
      <c r="N91" s="84">
        <v>81</v>
      </c>
      <c r="O91" s="84">
        <v>84</v>
      </c>
      <c r="P91" s="84">
        <v>96</v>
      </c>
      <c r="Q91" s="84">
        <v>92</v>
      </c>
      <c r="R91" s="84">
        <v>96</v>
      </c>
      <c r="S91" s="84">
        <v>126</v>
      </c>
      <c r="T91" s="84">
        <v>133</v>
      </c>
      <c r="U91" s="84">
        <v>133</v>
      </c>
      <c r="V91" s="84">
        <v>133</v>
      </c>
      <c r="W91" s="84">
        <v>133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5</v>
      </c>
      <c r="Q92" s="84">
        <v>48</v>
      </c>
      <c r="R92" s="84">
        <v>71</v>
      </c>
      <c r="S92" s="84">
        <v>92</v>
      </c>
      <c r="T92" s="84">
        <v>101</v>
      </c>
      <c r="U92" s="84">
        <v>191</v>
      </c>
      <c r="V92" s="84">
        <v>553</v>
      </c>
      <c r="W92" s="84">
        <v>940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33</v>
      </c>
      <c r="O93" s="84">
        <v>38</v>
      </c>
      <c r="P93" s="84">
        <v>85</v>
      </c>
      <c r="Q93" s="84">
        <v>163</v>
      </c>
      <c r="R93" s="84">
        <v>233</v>
      </c>
      <c r="S93" s="84">
        <v>285</v>
      </c>
      <c r="T93" s="84">
        <v>461</v>
      </c>
      <c r="U93" s="84">
        <v>725</v>
      </c>
      <c r="V93" s="84">
        <v>1334</v>
      </c>
      <c r="W93" s="84">
        <v>2977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8637</v>
      </c>
      <c r="C94" s="110">
        <f t="shared" si="155"/>
        <v>8706</v>
      </c>
      <c r="D94" s="110">
        <f t="shared" ref="D94:V94" si="156">SUM(D95:D99)</f>
        <v>8732</v>
      </c>
      <c r="E94" s="110">
        <f t="shared" si="156"/>
        <v>8785</v>
      </c>
      <c r="F94" s="110">
        <f t="shared" si="156"/>
        <v>8816</v>
      </c>
      <c r="G94" s="110">
        <f t="shared" si="156"/>
        <v>8838</v>
      </c>
      <c r="H94" s="110">
        <f t="shared" si="156"/>
        <v>8871</v>
      </c>
      <c r="I94" s="110">
        <f t="shared" si="156"/>
        <v>9062</v>
      </c>
      <c r="J94" s="110">
        <f t="shared" si="156"/>
        <v>9122</v>
      </c>
      <c r="K94" s="110">
        <f t="shared" si="156"/>
        <v>9100</v>
      </c>
      <c r="L94" s="110">
        <f t="shared" si="156"/>
        <v>8909</v>
      </c>
      <c r="M94" s="110">
        <f t="shared" si="156"/>
        <v>8863</v>
      </c>
      <c r="N94" s="110">
        <f t="shared" si="156"/>
        <v>8688</v>
      </c>
      <c r="O94" s="110">
        <f t="shared" si="156"/>
        <v>8883</v>
      </c>
      <c r="P94" s="110">
        <f t="shared" si="156"/>
        <v>9303</v>
      </c>
      <c r="Q94" s="110">
        <f t="shared" si="156"/>
        <v>9507</v>
      </c>
      <c r="R94" s="110">
        <f t="shared" si="156"/>
        <v>9742</v>
      </c>
      <c r="S94" s="110">
        <f t="shared" si="156"/>
        <v>9924</v>
      </c>
      <c r="T94" s="110">
        <f t="shared" si="156"/>
        <v>10097</v>
      </c>
      <c r="U94" s="110">
        <f t="shared" si="156"/>
        <v>10258</v>
      </c>
      <c r="V94" s="110">
        <f t="shared" si="156"/>
        <v>9948</v>
      </c>
      <c r="W94" s="110">
        <f t="shared" ref="W94" si="157">SUM(W95:W99)</f>
        <v>10185</v>
      </c>
      <c r="DA94" s="176"/>
    </row>
    <row r="95" spans="1:105" ht="11.45" hidden="1" customHeight="1" x14ac:dyDescent="0.25">
      <c r="A95" s="111" t="s">
        <v>110</v>
      </c>
      <c r="B95" s="102">
        <v>40</v>
      </c>
      <c r="C95" s="102">
        <v>42</v>
      </c>
      <c r="D95" s="102">
        <v>43</v>
      </c>
      <c r="E95" s="102">
        <v>42</v>
      </c>
      <c r="F95" s="102">
        <v>40</v>
      </c>
      <c r="G95" s="102">
        <v>41</v>
      </c>
      <c r="H95" s="102">
        <v>42</v>
      </c>
      <c r="I95" s="102">
        <v>39</v>
      </c>
      <c r="J95" s="102">
        <v>44</v>
      </c>
      <c r="K95" s="102">
        <v>41</v>
      </c>
      <c r="L95" s="102">
        <v>39</v>
      </c>
      <c r="M95" s="102">
        <v>36</v>
      </c>
      <c r="N95" s="102">
        <v>36</v>
      </c>
      <c r="O95" s="102">
        <v>42</v>
      </c>
      <c r="P95" s="102">
        <v>40</v>
      </c>
      <c r="Q95" s="102">
        <v>37</v>
      </c>
      <c r="R95" s="102">
        <v>36</v>
      </c>
      <c r="S95" s="102">
        <v>35</v>
      </c>
      <c r="T95" s="102">
        <v>34</v>
      </c>
      <c r="U95" s="102">
        <v>32</v>
      </c>
      <c r="V95" s="102">
        <v>31</v>
      </c>
      <c r="W95" s="102">
        <v>29</v>
      </c>
      <c r="DA95" s="175"/>
    </row>
    <row r="96" spans="1:105" ht="11.45" hidden="1" customHeight="1" x14ac:dyDescent="0.25">
      <c r="A96" s="111" t="s">
        <v>111</v>
      </c>
      <c r="B96" s="102">
        <v>8597</v>
      </c>
      <c r="C96" s="102">
        <v>8664</v>
      </c>
      <c r="D96" s="102">
        <v>8689</v>
      </c>
      <c r="E96" s="102">
        <v>8743</v>
      </c>
      <c r="F96" s="102">
        <v>8776</v>
      </c>
      <c r="G96" s="102">
        <v>8797</v>
      </c>
      <c r="H96" s="102">
        <v>8829</v>
      </c>
      <c r="I96" s="102">
        <v>9022</v>
      </c>
      <c r="J96" s="102">
        <v>9077</v>
      </c>
      <c r="K96" s="102">
        <v>9000</v>
      </c>
      <c r="L96" s="102">
        <v>8807</v>
      </c>
      <c r="M96" s="102">
        <v>8762</v>
      </c>
      <c r="N96" s="102">
        <v>8578</v>
      </c>
      <c r="O96" s="102">
        <v>8677</v>
      </c>
      <c r="P96" s="102">
        <v>8920</v>
      </c>
      <c r="Q96" s="102">
        <v>9130</v>
      </c>
      <c r="R96" s="102">
        <v>9369</v>
      </c>
      <c r="S96" s="102">
        <v>9547</v>
      </c>
      <c r="T96" s="102">
        <v>9727</v>
      </c>
      <c r="U96" s="102">
        <v>9897</v>
      </c>
      <c r="V96" s="102">
        <v>9575</v>
      </c>
      <c r="W96" s="102">
        <v>9821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1</v>
      </c>
      <c r="J97" s="102">
        <v>1</v>
      </c>
      <c r="K97" s="102">
        <v>1</v>
      </c>
      <c r="L97" s="102">
        <v>1</v>
      </c>
      <c r="M97" s="102">
        <v>2</v>
      </c>
      <c r="N97" s="102">
        <v>2</v>
      </c>
      <c r="O97" s="102">
        <v>13</v>
      </c>
      <c r="P97" s="102">
        <v>15</v>
      </c>
      <c r="Q97" s="102">
        <v>15</v>
      </c>
      <c r="R97" s="102">
        <v>15</v>
      </c>
      <c r="S97" s="102">
        <v>14</v>
      </c>
      <c r="T97" s="102">
        <v>14</v>
      </c>
      <c r="U97" s="102">
        <v>15</v>
      </c>
      <c r="V97" s="102">
        <v>17</v>
      </c>
      <c r="W97" s="102">
        <v>17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58</v>
      </c>
      <c r="L98" s="102">
        <v>62</v>
      </c>
      <c r="M98" s="102">
        <v>63</v>
      </c>
      <c r="N98" s="102">
        <v>72</v>
      </c>
      <c r="O98" s="102">
        <v>151</v>
      </c>
      <c r="P98" s="102">
        <v>328</v>
      </c>
      <c r="Q98" s="102">
        <v>323</v>
      </c>
      <c r="R98" s="102">
        <v>319</v>
      </c>
      <c r="S98" s="102">
        <v>325</v>
      </c>
      <c r="T98" s="102">
        <v>319</v>
      </c>
      <c r="U98" s="102">
        <v>311</v>
      </c>
      <c r="V98" s="102">
        <v>322</v>
      </c>
      <c r="W98" s="102">
        <v>312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2</v>
      </c>
      <c r="R99" s="102">
        <v>3</v>
      </c>
      <c r="S99" s="102">
        <v>3</v>
      </c>
      <c r="T99" s="102">
        <v>3</v>
      </c>
      <c r="U99" s="102">
        <v>3</v>
      </c>
      <c r="V99" s="102">
        <v>3</v>
      </c>
      <c r="W99" s="102">
        <v>6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95448</v>
      </c>
      <c r="C100" s="28">
        <f t="shared" si="158"/>
        <v>120864.00000000001</v>
      </c>
      <c r="D100" s="28">
        <f t="shared" ref="D100:V100" si="159">D101+D107</f>
        <v>131200</v>
      </c>
      <c r="E100" s="28">
        <f t="shared" si="159"/>
        <v>142490</v>
      </c>
      <c r="F100" s="28">
        <f t="shared" si="159"/>
        <v>150433</v>
      </c>
      <c r="G100" s="28">
        <f t="shared" si="159"/>
        <v>155107</v>
      </c>
      <c r="H100" s="28">
        <f t="shared" si="159"/>
        <v>169772</v>
      </c>
      <c r="I100" s="28">
        <f t="shared" si="159"/>
        <v>166381</v>
      </c>
      <c r="J100" s="28">
        <f t="shared" si="159"/>
        <v>174612</v>
      </c>
      <c r="K100" s="28">
        <f t="shared" si="159"/>
        <v>163862</v>
      </c>
      <c r="L100" s="28">
        <f t="shared" si="159"/>
        <v>159853</v>
      </c>
      <c r="M100" s="28">
        <f t="shared" si="159"/>
        <v>158808</v>
      </c>
      <c r="N100" s="28">
        <f t="shared" si="159"/>
        <v>150332</v>
      </c>
      <c r="O100" s="28">
        <f t="shared" si="159"/>
        <v>152172</v>
      </c>
      <c r="P100" s="28">
        <f t="shared" si="159"/>
        <v>155085</v>
      </c>
      <c r="Q100" s="28">
        <f t="shared" si="159"/>
        <v>172092</v>
      </c>
      <c r="R100" s="28">
        <f t="shared" si="159"/>
        <v>178933</v>
      </c>
      <c r="S100" s="28">
        <f t="shared" si="159"/>
        <v>191060</v>
      </c>
      <c r="T100" s="28">
        <f t="shared" si="159"/>
        <v>203856</v>
      </c>
      <c r="U100" s="28">
        <f t="shared" si="159"/>
        <v>215624</v>
      </c>
      <c r="V100" s="28">
        <f t="shared" si="159"/>
        <v>224665</v>
      </c>
      <c r="W100" s="28">
        <f t="shared" ref="W100" si="160">W101+W107</f>
        <v>235214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60996</v>
      </c>
      <c r="C101" s="137">
        <f t="shared" si="161"/>
        <v>74427</v>
      </c>
      <c r="D101" s="137">
        <f t="shared" ref="D101:V101" si="162">SUM(D102:D106)</f>
        <v>80420</v>
      </c>
      <c r="E101" s="137">
        <f t="shared" si="162"/>
        <v>87048</v>
      </c>
      <c r="F101" s="137">
        <f t="shared" si="162"/>
        <v>92541</v>
      </c>
      <c r="G101" s="137">
        <f t="shared" si="162"/>
        <v>97814</v>
      </c>
      <c r="H101" s="137">
        <f t="shared" si="162"/>
        <v>103721</v>
      </c>
      <c r="I101" s="137">
        <f t="shared" si="162"/>
        <v>100749</v>
      </c>
      <c r="J101" s="137">
        <f t="shared" si="162"/>
        <v>105158</v>
      </c>
      <c r="K101" s="137">
        <f t="shared" si="162"/>
        <v>103846</v>
      </c>
      <c r="L101" s="137">
        <f t="shared" si="162"/>
        <v>98978</v>
      </c>
      <c r="M101" s="137">
        <f t="shared" si="162"/>
        <v>97212</v>
      </c>
      <c r="N101" s="137">
        <f t="shared" si="162"/>
        <v>90267</v>
      </c>
      <c r="O101" s="137">
        <f t="shared" si="162"/>
        <v>90219</v>
      </c>
      <c r="P101" s="137">
        <f t="shared" si="162"/>
        <v>91602</v>
      </c>
      <c r="Q101" s="137">
        <f t="shared" si="162"/>
        <v>107381</v>
      </c>
      <c r="R101" s="137">
        <f t="shared" si="162"/>
        <v>116001</v>
      </c>
      <c r="S101" s="137">
        <f t="shared" si="162"/>
        <v>125731</v>
      </c>
      <c r="T101" s="137">
        <f t="shared" si="162"/>
        <v>137049</v>
      </c>
      <c r="U101" s="137">
        <f t="shared" si="162"/>
        <v>147501</v>
      </c>
      <c r="V101" s="137">
        <f t="shared" si="162"/>
        <v>154885</v>
      </c>
      <c r="W101" s="137">
        <f t="shared" ref="W101" si="163">SUM(W102:W106)</f>
        <v>164351</v>
      </c>
      <c r="DA101" s="174"/>
    </row>
    <row r="102" spans="1:105" ht="11.45" hidden="1" customHeight="1" x14ac:dyDescent="0.25">
      <c r="A102" s="111" t="s">
        <v>110</v>
      </c>
      <c r="B102" s="84">
        <v>11402</v>
      </c>
      <c r="C102" s="84">
        <v>13677</v>
      </c>
      <c r="D102" s="84">
        <v>13325</v>
      </c>
      <c r="E102" s="84">
        <v>12695</v>
      </c>
      <c r="F102" s="84">
        <v>11827</v>
      </c>
      <c r="G102" s="84">
        <v>11103</v>
      </c>
      <c r="H102" s="84">
        <v>10873</v>
      </c>
      <c r="I102" s="84">
        <v>8590</v>
      </c>
      <c r="J102" s="84">
        <v>8480</v>
      </c>
      <c r="K102" s="84">
        <v>7672</v>
      </c>
      <c r="L102" s="84">
        <v>6878</v>
      </c>
      <c r="M102" s="84">
        <v>6465</v>
      </c>
      <c r="N102" s="84">
        <v>4648</v>
      </c>
      <c r="O102" s="84">
        <v>4497</v>
      </c>
      <c r="P102" s="84">
        <v>4482</v>
      </c>
      <c r="Q102" s="84">
        <v>4404</v>
      </c>
      <c r="R102" s="84">
        <v>4421</v>
      </c>
      <c r="S102" s="84">
        <v>4715</v>
      </c>
      <c r="T102" s="84">
        <v>4869</v>
      </c>
      <c r="U102" s="84">
        <v>4953</v>
      </c>
      <c r="V102" s="84">
        <v>4917</v>
      </c>
      <c r="W102" s="84">
        <v>4993</v>
      </c>
      <c r="DA102" s="171"/>
    </row>
    <row r="103" spans="1:105" ht="11.45" hidden="1" customHeight="1" x14ac:dyDescent="0.25">
      <c r="A103" s="111" t="s">
        <v>111</v>
      </c>
      <c r="B103" s="84">
        <v>49594</v>
      </c>
      <c r="C103" s="84">
        <v>60750</v>
      </c>
      <c r="D103" s="84">
        <v>67095</v>
      </c>
      <c r="E103" s="84">
        <v>74351</v>
      </c>
      <c r="F103" s="84">
        <v>80712</v>
      </c>
      <c r="G103" s="84">
        <v>86708</v>
      </c>
      <c r="H103" s="84">
        <v>92845</v>
      </c>
      <c r="I103" s="84">
        <v>91958</v>
      </c>
      <c r="J103" s="84">
        <v>96163</v>
      </c>
      <c r="K103" s="84">
        <v>95484</v>
      </c>
      <c r="L103" s="84">
        <v>91375</v>
      </c>
      <c r="M103" s="84">
        <v>90063</v>
      </c>
      <c r="N103" s="84">
        <v>84920</v>
      </c>
      <c r="O103" s="84">
        <v>84957</v>
      </c>
      <c r="P103" s="84">
        <v>86288</v>
      </c>
      <c r="Q103" s="84">
        <v>102048</v>
      </c>
      <c r="R103" s="84">
        <v>110554</v>
      </c>
      <c r="S103" s="84">
        <v>119870</v>
      </c>
      <c r="T103" s="84">
        <v>130949</v>
      </c>
      <c r="U103" s="84">
        <v>141240</v>
      </c>
      <c r="V103" s="84">
        <v>148523</v>
      </c>
      <c r="W103" s="84">
        <v>157814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198</v>
      </c>
      <c r="J104" s="84">
        <v>510</v>
      </c>
      <c r="K104" s="84">
        <v>641</v>
      </c>
      <c r="L104" s="84">
        <v>668</v>
      </c>
      <c r="M104" s="84">
        <v>628</v>
      </c>
      <c r="N104" s="84">
        <v>621</v>
      </c>
      <c r="O104" s="84">
        <v>687</v>
      </c>
      <c r="P104" s="84">
        <v>753</v>
      </c>
      <c r="Q104" s="84">
        <v>818</v>
      </c>
      <c r="R104" s="84">
        <v>898</v>
      </c>
      <c r="S104" s="84">
        <v>989</v>
      </c>
      <c r="T104" s="84">
        <v>1058</v>
      </c>
      <c r="U104" s="84">
        <v>1135</v>
      </c>
      <c r="V104" s="84">
        <v>1171</v>
      </c>
      <c r="W104" s="84">
        <v>1270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43</v>
      </c>
      <c r="L105" s="84">
        <v>51</v>
      </c>
      <c r="M105" s="84">
        <v>51</v>
      </c>
      <c r="N105" s="84">
        <v>71</v>
      </c>
      <c r="O105" s="84">
        <v>71</v>
      </c>
      <c r="P105" s="84">
        <v>71</v>
      </c>
      <c r="Q105" s="84">
        <v>75</v>
      </c>
      <c r="R105" s="84">
        <v>75</v>
      </c>
      <c r="S105" s="84">
        <v>92</v>
      </c>
      <c r="T105" s="84">
        <v>96</v>
      </c>
      <c r="U105" s="84">
        <v>96</v>
      </c>
      <c r="V105" s="84">
        <v>96</v>
      </c>
      <c r="W105" s="84">
        <v>96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2</v>
      </c>
      <c r="F106" s="84">
        <v>2</v>
      </c>
      <c r="G106" s="84">
        <v>3</v>
      </c>
      <c r="H106" s="84">
        <v>3</v>
      </c>
      <c r="I106" s="84">
        <v>3</v>
      </c>
      <c r="J106" s="84">
        <v>5</v>
      </c>
      <c r="K106" s="84">
        <v>6</v>
      </c>
      <c r="L106" s="84">
        <v>6</v>
      </c>
      <c r="M106" s="84">
        <v>5</v>
      </c>
      <c r="N106" s="84">
        <v>7</v>
      </c>
      <c r="O106" s="84">
        <v>7</v>
      </c>
      <c r="P106" s="84">
        <v>8</v>
      </c>
      <c r="Q106" s="84">
        <v>36</v>
      </c>
      <c r="R106" s="84">
        <v>53</v>
      </c>
      <c r="S106" s="84">
        <v>65</v>
      </c>
      <c r="T106" s="84">
        <v>77</v>
      </c>
      <c r="U106" s="84">
        <v>77</v>
      </c>
      <c r="V106" s="84">
        <v>178</v>
      </c>
      <c r="W106" s="84">
        <v>178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34452</v>
      </c>
      <c r="C107" s="110">
        <f t="shared" si="164"/>
        <v>46437.000000000015</v>
      </c>
      <c r="D107" s="110">
        <f t="shared" ref="D107:V107" si="165">SUM(D108:D109)</f>
        <v>50780</v>
      </c>
      <c r="E107" s="110">
        <f t="shared" si="165"/>
        <v>55442</v>
      </c>
      <c r="F107" s="110">
        <f t="shared" si="165"/>
        <v>57892</v>
      </c>
      <c r="G107" s="110">
        <f t="shared" si="165"/>
        <v>57293</v>
      </c>
      <c r="H107" s="110">
        <f t="shared" si="165"/>
        <v>66051</v>
      </c>
      <c r="I107" s="110">
        <f t="shared" si="165"/>
        <v>65632</v>
      </c>
      <c r="J107" s="110">
        <f t="shared" si="165"/>
        <v>69454</v>
      </c>
      <c r="K107" s="110">
        <f t="shared" si="165"/>
        <v>60016</v>
      </c>
      <c r="L107" s="110">
        <f t="shared" si="165"/>
        <v>60875</v>
      </c>
      <c r="M107" s="110">
        <f t="shared" si="165"/>
        <v>61596</v>
      </c>
      <c r="N107" s="110">
        <f t="shared" si="165"/>
        <v>60065</v>
      </c>
      <c r="O107" s="110">
        <f t="shared" si="165"/>
        <v>61953</v>
      </c>
      <c r="P107" s="110">
        <f t="shared" si="165"/>
        <v>63483</v>
      </c>
      <c r="Q107" s="110">
        <f t="shared" si="165"/>
        <v>64711</v>
      </c>
      <c r="R107" s="110">
        <f t="shared" si="165"/>
        <v>62932</v>
      </c>
      <c r="S107" s="110">
        <f t="shared" si="165"/>
        <v>65329</v>
      </c>
      <c r="T107" s="110">
        <f t="shared" si="165"/>
        <v>66807</v>
      </c>
      <c r="U107" s="110">
        <f t="shared" si="165"/>
        <v>68123</v>
      </c>
      <c r="V107" s="110">
        <f t="shared" si="165"/>
        <v>69780</v>
      </c>
      <c r="W107" s="110">
        <f t="shared" ref="W107" si="166">SUM(W108:W109)</f>
        <v>70863</v>
      </c>
      <c r="DA107" s="176"/>
    </row>
    <row r="108" spans="1:105" ht="11.45" hidden="1" customHeight="1" x14ac:dyDescent="0.25">
      <c r="A108" s="128" t="s">
        <v>27</v>
      </c>
      <c r="B108" s="102">
        <v>30822</v>
      </c>
      <c r="C108" s="102">
        <v>42545.000000000015</v>
      </c>
      <c r="D108" s="102">
        <v>46686</v>
      </c>
      <c r="E108" s="102">
        <v>51257</v>
      </c>
      <c r="F108" s="102">
        <v>52944</v>
      </c>
      <c r="G108" s="102">
        <v>52170</v>
      </c>
      <c r="H108" s="102">
        <v>61359</v>
      </c>
      <c r="I108" s="102">
        <v>60705</v>
      </c>
      <c r="J108" s="102">
        <v>66131</v>
      </c>
      <c r="K108" s="102">
        <v>57127</v>
      </c>
      <c r="L108" s="102">
        <v>58071</v>
      </c>
      <c r="M108" s="102">
        <v>58801</v>
      </c>
      <c r="N108" s="102">
        <v>57335</v>
      </c>
      <c r="O108" s="102">
        <v>59107</v>
      </c>
      <c r="P108" s="102">
        <v>60458</v>
      </c>
      <c r="Q108" s="102">
        <v>61213</v>
      </c>
      <c r="R108" s="102">
        <v>59331</v>
      </c>
      <c r="S108" s="102">
        <v>60915</v>
      </c>
      <c r="T108" s="102">
        <v>62414</v>
      </c>
      <c r="U108" s="102">
        <v>64184</v>
      </c>
      <c r="V108" s="102">
        <v>65719</v>
      </c>
      <c r="W108" s="102">
        <v>67092</v>
      </c>
      <c r="DA108" s="175"/>
    </row>
    <row r="109" spans="1:105" ht="11.45" hidden="1" customHeight="1" x14ac:dyDescent="0.25">
      <c r="A109" s="138" t="s">
        <v>116</v>
      </c>
      <c r="B109" s="86">
        <v>3630</v>
      </c>
      <c r="C109" s="86">
        <v>3892</v>
      </c>
      <c r="D109" s="86">
        <v>4094</v>
      </c>
      <c r="E109" s="86">
        <v>4185</v>
      </c>
      <c r="F109" s="86">
        <v>4948</v>
      </c>
      <c r="G109" s="86">
        <v>5123</v>
      </c>
      <c r="H109" s="86">
        <v>4692</v>
      </c>
      <c r="I109" s="86">
        <v>4927</v>
      </c>
      <c r="J109" s="86">
        <v>3323</v>
      </c>
      <c r="K109" s="86">
        <v>2889</v>
      </c>
      <c r="L109" s="86">
        <v>2804</v>
      </c>
      <c r="M109" s="86">
        <v>2795</v>
      </c>
      <c r="N109" s="86">
        <v>2730</v>
      </c>
      <c r="O109" s="86">
        <v>2846</v>
      </c>
      <c r="P109" s="86">
        <v>3025</v>
      </c>
      <c r="Q109" s="86">
        <v>3498</v>
      </c>
      <c r="R109" s="86">
        <v>3601</v>
      </c>
      <c r="S109" s="86">
        <v>4414</v>
      </c>
      <c r="T109" s="86">
        <v>4393</v>
      </c>
      <c r="U109" s="86">
        <v>3939</v>
      </c>
      <c r="V109" s="86">
        <v>4061</v>
      </c>
      <c r="W109" s="86">
        <v>3771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120024</v>
      </c>
      <c r="C111" s="54">
        <f t="shared" si="167"/>
        <v>176661</v>
      </c>
      <c r="D111" s="54">
        <f t="shared" si="167"/>
        <v>144697</v>
      </c>
      <c r="E111" s="54">
        <f t="shared" si="167"/>
        <v>170610</v>
      </c>
      <c r="F111" s="54">
        <f t="shared" si="167"/>
        <v>168829</v>
      </c>
      <c r="G111" s="54">
        <f t="shared" si="167"/>
        <v>175037</v>
      </c>
      <c r="H111" s="54">
        <f t="shared" si="167"/>
        <v>210394</v>
      </c>
      <c r="I111" s="54">
        <f t="shared" si="167"/>
        <v>187510</v>
      </c>
      <c r="J111" s="54">
        <f t="shared" si="167"/>
        <v>174690</v>
      </c>
      <c r="K111" s="54">
        <f t="shared" si="167"/>
        <v>114180</v>
      </c>
      <c r="L111" s="54">
        <f t="shared" ref="L111" si="168">L112+L127</f>
        <v>84532</v>
      </c>
      <c r="M111" s="54">
        <f t="shared" ref="M111:V111" si="169">M112+M127</f>
        <v>89260</v>
      </c>
      <c r="N111" s="54">
        <f t="shared" si="169"/>
        <v>79851</v>
      </c>
      <c r="O111" s="54">
        <f t="shared" si="169"/>
        <v>88157</v>
      </c>
      <c r="P111" s="54">
        <f t="shared" si="169"/>
        <v>115961</v>
      </c>
      <c r="Q111" s="54">
        <f t="shared" si="169"/>
        <v>143023</v>
      </c>
      <c r="R111" s="54">
        <f t="shared" si="169"/>
        <v>157165</v>
      </c>
      <c r="S111" s="54">
        <f t="shared" si="169"/>
        <v>161304</v>
      </c>
      <c r="T111" s="54">
        <f t="shared" si="169"/>
        <v>216532</v>
      </c>
      <c r="U111" s="54">
        <f t="shared" si="169"/>
        <v>221292</v>
      </c>
      <c r="V111" s="54">
        <f t="shared" si="169"/>
        <v>160605</v>
      </c>
      <c r="W111" s="54">
        <f t="shared" ref="W111" si="170">W112+W127</f>
        <v>154011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115590</v>
      </c>
      <c r="C112" s="28">
        <f t="shared" si="171"/>
        <v>146649</v>
      </c>
      <c r="D112" s="28">
        <f t="shared" si="171"/>
        <v>129167</v>
      </c>
      <c r="E112" s="28">
        <f t="shared" si="171"/>
        <v>153362</v>
      </c>
      <c r="F112" s="28">
        <f t="shared" si="171"/>
        <v>153834</v>
      </c>
      <c r="G112" s="28">
        <f t="shared" si="171"/>
        <v>162271</v>
      </c>
      <c r="H112" s="28">
        <f t="shared" si="171"/>
        <v>188578</v>
      </c>
      <c r="I112" s="28">
        <f t="shared" si="171"/>
        <v>174557</v>
      </c>
      <c r="J112" s="28">
        <f t="shared" si="171"/>
        <v>158955</v>
      </c>
      <c r="K112" s="28">
        <f t="shared" si="171"/>
        <v>108814</v>
      </c>
      <c r="L112" s="28">
        <f t="shared" ref="L112" si="172">L113+L114+L121</f>
        <v>80274</v>
      </c>
      <c r="M112" s="28">
        <f t="shared" ref="M112:V112" si="173">M113+M114+M121</f>
        <v>82581</v>
      </c>
      <c r="N112" s="28">
        <f t="shared" si="173"/>
        <v>73311</v>
      </c>
      <c r="O112" s="28">
        <f t="shared" si="173"/>
        <v>77994</v>
      </c>
      <c r="P112" s="28">
        <f t="shared" si="173"/>
        <v>105605</v>
      </c>
      <c r="Q112" s="28">
        <f t="shared" si="173"/>
        <v>109960</v>
      </c>
      <c r="R112" s="28">
        <f t="shared" si="173"/>
        <v>137032</v>
      </c>
      <c r="S112" s="28">
        <f t="shared" si="173"/>
        <v>137521</v>
      </c>
      <c r="T112" s="28">
        <f t="shared" si="173"/>
        <v>191515</v>
      </c>
      <c r="U112" s="28">
        <f t="shared" si="173"/>
        <v>197261</v>
      </c>
      <c r="V112" s="28">
        <f t="shared" si="173"/>
        <v>140052</v>
      </c>
      <c r="W112" s="28">
        <f t="shared" ref="W112" si="174">W113+W114+W121</f>
        <v>130570</v>
      </c>
      <c r="DA112" s="173" t="s">
        <v>526</v>
      </c>
    </row>
    <row r="113" spans="1:105" ht="11.45" customHeight="1" x14ac:dyDescent="0.25">
      <c r="A113" s="136" t="s">
        <v>180</v>
      </c>
      <c r="B113" s="137">
        <v>0</v>
      </c>
      <c r="C113" s="137">
        <v>1144</v>
      </c>
      <c r="D113" s="137">
        <v>7414</v>
      </c>
      <c r="E113" s="137">
        <v>21277</v>
      </c>
      <c r="F113" s="137">
        <v>21360</v>
      </c>
      <c r="G113" s="137">
        <v>24037</v>
      </c>
      <c r="H113" s="137">
        <v>23842</v>
      </c>
      <c r="I113" s="137">
        <v>12564</v>
      </c>
      <c r="J113" s="137">
        <v>12335</v>
      </c>
      <c r="K113" s="137">
        <v>6604</v>
      </c>
      <c r="L113" s="137">
        <v>3991</v>
      </c>
      <c r="M113" s="137">
        <v>3816</v>
      </c>
      <c r="N113" s="137">
        <v>4207</v>
      </c>
      <c r="O113" s="137">
        <v>2839</v>
      </c>
      <c r="P113" s="137">
        <v>3437</v>
      </c>
      <c r="Q113" s="137">
        <v>2115</v>
      </c>
      <c r="R113" s="137">
        <v>5411</v>
      </c>
      <c r="S113" s="137">
        <v>5165</v>
      </c>
      <c r="T113" s="137">
        <v>7566</v>
      </c>
      <c r="U113" s="137">
        <v>6145</v>
      </c>
      <c r="V113" s="137">
        <v>3766</v>
      </c>
      <c r="W113" s="137">
        <v>6947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115139</v>
      </c>
      <c r="C114" s="110">
        <f t="shared" si="175"/>
        <v>144974</v>
      </c>
      <c r="D114" s="110">
        <f t="shared" si="175"/>
        <v>121235</v>
      </c>
      <c r="E114" s="110">
        <f t="shared" si="175"/>
        <v>131515</v>
      </c>
      <c r="F114" s="110">
        <f t="shared" si="175"/>
        <v>131905</v>
      </c>
      <c r="G114" s="110">
        <f t="shared" si="175"/>
        <v>137657</v>
      </c>
      <c r="H114" s="110">
        <f t="shared" si="175"/>
        <v>164135</v>
      </c>
      <c r="I114" s="110">
        <f t="shared" si="175"/>
        <v>161225</v>
      </c>
      <c r="J114" s="110">
        <f t="shared" si="175"/>
        <v>145979</v>
      </c>
      <c r="K114" s="110">
        <f t="shared" si="175"/>
        <v>101649</v>
      </c>
      <c r="L114" s="110">
        <f t="shared" ref="L114" si="176">SUM(L115:L120)</f>
        <v>75894</v>
      </c>
      <c r="M114" s="110">
        <f t="shared" ref="M114:V114" si="177">SUM(M115:M120)</f>
        <v>78238</v>
      </c>
      <c r="N114" s="110">
        <f t="shared" si="177"/>
        <v>68715</v>
      </c>
      <c r="O114" s="110">
        <f t="shared" si="177"/>
        <v>74407</v>
      </c>
      <c r="P114" s="110">
        <f t="shared" si="177"/>
        <v>101208</v>
      </c>
      <c r="Q114" s="110">
        <f t="shared" si="177"/>
        <v>107107</v>
      </c>
      <c r="R114" s="110">
        <f t="shared" si="177"/>
        <v>131122</v>
      </c>
      <c r="S114" s="110">
        <f t="shared" si="177"/>
        <v>131879</v>
      </c>
      <c r="T114" s="110">
        <f t="shared" si="177"/>
        <v>183452</v>
      </c>
      <c r="U114" s="110">
        <f t="shared" si="177"/>
        <v>190600</v>
      </c>
      <c r="V114" s="110">
        <f t="shared" si="177"/>
        <v>136214</v>
      </c>
      <c r="W114" s="110">
        <f t="shared" ref="W114" si="178">SUM(W115:W120)</f>
        <v>122979</v>
      </c>
      <c r="DA114" s="176" t="s">
        <v>528</v>
      </c>
    </row>
    <row r="115" spans="1:105" ht="11.45" customHeight="1" x14ac:dyDescent="0.25">
      <c r="A115" s="111" t="s">
        <v>110</v>
      </c>
      <c r="B115" s="84">
        <v>90999</v>
      </c>
      <c r="C115" s="84">
        <v>93314</v>
      </c>
      <c r="D115" s="84">
        <v>78930</v>
      </c>
      <c r="E115" s="84">
        <v>77042</v>
      </c>
      <c r="F115" s="84">
        <v>69126</v>
      </c>
      <c r="G115" s="84">
        <v>72674</v>
      </c>
      <c r="H115" s="84">
        <v>84163</v>
      </c>
      <c r="I115" s="84">
        <v>79200</v>
      </c>
      <c r="J115" s="84">
        <v>78088</v>
      </c>
      <c r="K115" s="84">
        <v>51703</v>
      </c>
      <c r="L115" s="84">
        <v>45263</v>
      </c>
      <c r="M115" s="84">
        <v>42610</v>
      </c>
      <c r="N115" s="84">
        <v>34405</v>
      </c>
      <c r="O115" s="84">
        <v>31925</v>
      </c>
      <c r="P115" s="84">
        <v>32970</v>
      </c>
      <c r="Q115" s="84">
        <v>32182</v>
      </c>
      <c r="R115" s="84">
        <v>36097</v>
      </c>
      <c r="S115" s="84">
        <v>36589</v>
      </c>
      <c r="T115" s="84">
        <v>56088</v>
      </c>
      <c r="U115" s="84">
        <v>62331</v>
      </c>
      <c r="V115" s="84">
        <v>42581</v>
      </c>
      <c r="W115" s="84">
        <v>43894</v>
      </c>
      <c r="DA115" s="171" t="s">
        <v>529</v>
      </c>
    </row>
    <row r="116" spans="1:105" ht="11.45" customHeight="1" x14ac:dyDescent="0.25">
      <c r="A116" s="111" t="s">
        <v>111</v>
      </c>
      <c r="B116" s="84">
        <v>24140</v>
      </c>
      <c r="C116" s="84">
        <v>48570</v>
      </c>
      <c r="D116" s="84">
        <v>40814</v>
      </c>
      <c r="E116" s="84">
        <v>52997</v>
      </c>
      <c r="F116" s="84">
        <v>57313</v>
      </c>
      <c r="G116" s="84">
        <v>56719</v>
      </c>
      <c r="H116" s="84">
        <v>59037</v>
      </c>
      <c r="I116" s="84">
        <v>60194</v>
      </c>
      <c r="J116" s="84">
        <v>45032</v>
      </c>
      <c r="K116" s="84">
        <v>31002</v>
      </c>
      <c r="L116" s="84">
        <v>30480</v>
      </c>
      <c r="M116" s="84">
        <v>35519</v>
      </c>
      <c r="N116" s="84">
        <v>34166</v>
      </c>
      <c r="O116" s="84">
        <v>42306</v>
      </c>
      <c r="P116" s="84">
        <v>63001</v>
      </c>
      <c r="Q116" s="84">
        <v>69807</v>
      </c>
      <c r="R116" s="84">
        <v>88660</v>
      </c>
      <c r="S116" s="84">
        <v>86746</v>
      </c>
      <c r="T116" s="84">
        <v>114175</v>
      </c>
      <c r="U116" s="84">
        <v>116613</v>
      </c>
      <c r="V116" s="84">
        <v>82006</v>
      </c>
      <c r="W116" s="84">
        <v>65661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3090</v>
      </c>
      <c r="D117" s="84">
        <v>1491</v>
      </c>
      <c r="E117" s="84">
        <v>1476</v>
      </c>
      <c r="F117" s="84">
        <v>5466</v>
      </c>
      <c r="G117" s="84">
        <v>8264</v>
      </c>
      <c r="H117" s="84">
        <v>20935</v>
      </c>
      <c r="I117" s="84">
        <v>21831</v>
      </c>
      <c r="J117" s="84">
        <v>22859</v>
      </c>
      <c r="K117" s="84">
        <v>18880</v>
      </c>
      <c r="L117" s="84">
        <v>139</v>
      </c>
      <c r="M117" s="84">
        <v>109</v>
      </c>
      <c r="N117" s="84">
        <v>101</v>
      </c>
      <c r="O117" s="84">
        <v>166</v>
      </c>
      <c r="P117" s="84">
        <v>5172</v>
      </c>
      <c r="Q117" s="84">
        <v>4993</v>
      </c>
      <c r="R117" s="84">
        <v>6256</v>
      </c>
      <c r="S117" s="84">
        <v>8437</v>
      </c>
      <c r="T117" s="84">
        <v>12969</v>
      </c>
      <c r="U117" s="84">
        <v>11258</v>
      </c>
      <c r="V117" s="84">
        <v>10624</v>
      </c>
      <c r="W117" s="84">
        <v>11223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64</v>
      </c>
      <c r="L118" s="84">
        <v>12</v>
      </c>
      <c r="M118" s="84">
        <v>0</v>
      </c>
      <c r="N118" s="84">
        <v>10</v>
      </c>
      <c r="O118" s="84">
        <v>5</v>
      </c>
      <c r="P118" s="84">
        <v>13</v>
      </c>
      <c r="Q118" s="84">
        <v>0</v>
      </c>
      <c r="R118" s="84">
        <v>10</v>
      </c>
      <c r="S118" s="84">
        <v>31</v>
      </c>
      <c r="T118" s="84">
        <v>8</v>
      </c>
      <c r="U118" s="84">
        <v>3</v>
      </c>
      <c r="V118" s="84">
        <v>1</v>
      </c>
      <c r="W118" s="84">
        <v>2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0</v>
      </c>
      <c r="P119" s="84">
        <v>5</v>
      </c>
      <c r="Q119" s="84">
        <v>43</v>
      </c>
      <c r="R119" s="84">
        <v>29</v>
      </c>
      <c r="S119" s="84">
        <v>21</v>
      </c>
      <c r="T119" s="84">
        <v>30</v>
      </c>
      <c r="U119" s="84">
        <v>116</v>
      </c>
      <c r="V119" s="84">
        <v>363</v>
      </c>
      <c r="W119" s="84">
        <v>556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33</v>
      </c>
      <c r="O120" s="84">
        <v>5</v>
      </c>
      <c r="P120" s="84">
        <v>47</v>
      </c>
      <c r="Q120" s="84">
        <v>82</v>
      </c>
      <c r="R120" s="84">
        <v>70</v>
      </c>
      <c r="S120" s="84">
        <v>55</v>
      </c>
      <c r="T120" s="84">
        <v>182</v>
      </c>
      <c r="U120" s="84">
        <v>279</v>
      </c>
      <c r="V120" s="84">
        <v>639</v>
      </c>
      <c r="W120" s="84">
        <v>1643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451</v>
      </c>
      <c r="C121" s="110">
        <f t="shared" si="179"/>
        <v>531</v>
      </c>
      <c r="D121" s="110">
        <f t="shared" si="179"/>
        <v>518</v>
      </c>
      <c r="E121" s="110">
        <f t="shared" si="179"/>
        <v>570</v>
      </c>
      <c r="F121" s="110">
        <f t="shared" si="179"/>
        <v>569</v>
      </c>
      <c r="G121" s="110">
        <f t="shared" si="179"/>
        <v>577</v>
      </c>
      <c r="H121" s="110">
        <f t="shared" si="179"/>
        <v>601</v>
      </c>
      <c r="I121" s="110">
        <f t="shared" si="179"/>
        <v>768</v>
      </c>
      <c r="J121" s="110">
        <f t="shared" si="179"/>
        <v>641</v>
      </c>
      <c r="K121" s="110">
        <f t="shared" si="179"/>
        <v>561</v>
      </c>
      <c r="L121" s="110">
        <f t="shared" ref="L121" si="180">SUM(L122:L126)</f>
        <v>389</v>
      </c>
      <c r="M121" s="110">
        <f t="shared" ref="M121:V121" si="181">SUM(M122:M126)</f>
        <v>527</v>
      </c>
      <c r="N121" s="110">
        <f t="shared" si="181"/>
        <v>389</v>
      </c>
      <c r="O121" s="110">
        <f t="shared" si="181"/>
        <v>748</v>
      </c>
      <c r="P121" s="110">
        <f t="shared" si="181"/>
        <v>960</v>
      </c>
      <c r="Q121" s="110">
        <f t="shared" si="181"/>
        <v>738</v>
      </c>
      <c r="R121" s="110">
        <f t="shared" si="181"/>
        <v>499</v>
      </c>
      <c r="S121" s="110">
        <f t="shared" si="181"/>
        <v>477</v>
      </c>
      <c r="T121" s="110">
        <f t="shared" si="181"/>
        <v>497</v>
      </c>
      <c r="U121" s="110">
        <f t="shared" si="181"/>
        <v>516</v>
      </c>
      <c r="V121" s="110">
        <f t="shared" si="181"/>
        <v>72</v>
      </c>
      <c r="W121" s="110">
        <f t="shared" ref="W121" si="182">SUM(W122:W126)</f>
        <v>644</v>
      </c>
      <c r="DA121" s="176" t="s">
        <v>535</v>
      </c>
    </row>
    <row r="122" spans="1:105" ht="11.45" customHeight="1" x14ac:dyDescent="0.25">
      <c r="A122" s="111" t="s">
        <v>110</v>
      </c>
      <c r="B122" s="102">
        <v>1</v>
      </c>
      <c r="C122" s="102">
        <v>4</v>
      </c>
      <c r="D122" s="102">
        <v>4</v>
      </c>
      <c r="E122" s="102">
        <v>1</v>
      </c>
      <c r="F122" s="102">
        <v>1</v>
      </c>
      <c r="G122" s="102">
        <v>3</v>
      </c>
      <c r="H122" s="102">
        <v>4</v>
      </c>
      <c r="I122" s="102">
        <v>0</v>
      </c>
      <c r="J122" s="102">
        <v>7</v>
      </c>
      <c r="K122" s="102">
        <v>0</v>
      </c>
      <c r="L122" s="102">
        <v>1</v>
      </c>
      <c r="M122" s="102">
        <v>0</v>
      </c>
      <c r="N122" s="102">
        <v>2</v>
      </c>
      <c r="O122" s="102">
        <v>9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450</v>
      </c>
      <c r="C123" s="102">
        <v>527</v>
      </c>
      <c r="D123" s="102">
        <v>514</v>
      </c>
      <c r="E123" s="102">
        <v>569</v>
      </c>
      <c r="F123" s="102">
        <v>568</v>
      </c>
      <c r="G123" s="102">
        <v>574</v>
      </c>
      <c r="H123" s="102">
        <v>597</v>
      </c>
      <c r="I123" s="102">
        <v>767</v>
      </c>
      <c r="J123" s="102">
        <v>634</v>
      </c>
      <c r="K123" s="102">
        <v>503</v>
      </c>
      <c r="L123" s="102">
        <v>384</v>
      </c>
      <c r="M123" s="102">
        <v>525</v>
      </c>
      <c r="N123" s="102">
        <v>378</v>
      </c>
      <c r="O123" s="102">
        <v>649</v>
      </c>
      <c r="P123" s="102">
        <v>781</v>
      </c>
      <c r="Q123" s="102">
        <v>736</v>
      </c>
      <c r="R123" s="102">
        <v>498</v>
      </c>
      <c r="S123" s="102">
        <v>467</v>
      </c>
      <c r="T123" s="102">
        <v>497</v>
      </c>
      <c r="U123" s="102">
        <v>515</v>
      </c>
      <c r="V123" s="102">
        <v>49</v>
      </c>
      <c r="W123" s="102">
        <v>641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1</v>
      </c>
      <c r="J124" s="102">
        <v>0</v>
      </c>
      <c r="K124" s="102">
        <v>0</v>
      </c>
      <c r="L124" s="102">
        <v>0</v>
      </c>
      <c r="M124" s="102">
        <v>1</v>
      </c>
      <c r="N124" s="102">
        <v>0</v>
      </c>
      <c r="O124" s="102">
        <v>11</v>
      </c>
      <c r="P124" s="102">
        <v>2</v>
      </c>
      <c r="Q124" s="102">
        <v>0</v>
      </c>
      <c r="R124" s="102">
        <v>0</v>
      </c>
      <c r="S124" s="102">
        <v>0</v>
      </c>
      <c r="T124" s="102">
        <v>0</v>
      </c>
      <c r="U124" s="102">
        <v>1</v>
      </c>
      <c r="V124" s="102">
        <v>3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58</v>
      </c>
      <c r="L125" s="102">
        <v>4</v>
      </c>
      <c r="M125" s="102">
        <v>1</v>
      </c>
      <c r="N125" s="102">
        <v>9</v>
      </c>
      <c r="O125" s="102">
        <v>79</v>
      </c>
      <c r="P125" s="102">
        <v>177</v>
      </c>
      <c r="Q125" s="102">
        <v>0</v>
      </c>
      <c r="R125" s="102">
        <v>0</v>
      </c>
      <c r="S125" s="102">
        <v>10</v>
      </c>
      <c r="T125" s="102">
        <v>0</v>
      </c>
      <c r="U125" s="102">
        <v>0</v>
      </c>
      <c r="V125" s="102">
        <v>20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2</v>
      </c>
      <c r="R126" s="102">
        <v>1</v>
      </c>
      <c r="S126" s="102">
        <v>0</v>
      </c>
      <c r="T126" s="102">
        <v>0</v>
      </c>
      <c r="U126" s="102">
        <v>0</v>
      </c>
      <c r="V126" s="102">
        <v>0</v>
      </c>
      <c r="W126" s="102">
        <v>3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4434</v>
      </c>
      <c r="C127" s="28">
        <f t="shared" si="183"/>
        <v>30012</v>
      </c>
      <c r="D127" s="28">
        <f t="shared" si="183"/>
        <v>15530</v>
      </c>
      <c r="E127" s="28">
        <f t="shared" si="183"/>
        <v>17248</v>
      </c>
      <c r="F127" s="28">
        <f t="shared" si="183"/>
        <v>14995</v>
      </c>
      <c r="G127" s="28">
        <f t="shared" si="183"/>
        <v>12766</v>
      </c>
      <c r="H127" s="28">
        <f t="shared" si="183"/>
        <v>21816</v>
      </c>
      <c r="I127" s="28">
        <f t="shared" si="183"/>
        <v>12953</v>
      </c>
      <c r="J127" s="28">
        <f t="shared" si="183"/>
        <v>15735</v>
      </c>
      <c r="K127" s="28">
        <f t="shared" si="183"/>
        <v>5366</v>
      </c>
      <c r="L127" s="28">
        <f t="shared" ref="L127" si="184">L128+L134</f>
        <v>4258</v>
      </c>
      <c r="M127" s="28">
        <f t="shared" ref="M127:V127" si="185">M128+M134</f>
        <v>6679</v>
      </c>
      <c r="N127" s="28">
        <f t="shared" si="185"/>
        <v>6540</v>
      </c>
      <c r="O127" s="28">
        <f t="shared" si="185"/>
        <v>10163</v>
      </c>
      <c r="P127" s="28">
        <f t="shared" si="185"/>
        <v>10356</v>
      </c>
      <c r="Q127" s="28">
        <f t="shared" si="185"/>
        <v>33063</v>
      </c>
      <c r="R127" s="28">
        <f t="shared" si="185"/>
        <v>20133</v>
      </c>
      <c r="S127" s="28">
        <f t="shared" si="185"/>
        <v>23783</v>
      </c>
      <c r="T127" s="28">
        <f t="shared" si="185"/>
        <v>25017</v>
      </c>
      <c r="U127" s="28">
        <f t="shared" si="185"/>
        <v>24031</v>
      </c>
      <c r="V127" s="28">
        <f t="shared" si="185"/>
        <v>20553</v>
      </c>
      <c r="W127" s="28">
        <f t="shared" ref="W127" si="186">W128+W134</f>
        <v>23441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4071</v>
      </c>
      <c r="C128" s="137">
        <f t="shared" si="187"/>
        <v>14997</v>
      </c>
      <c r="D128" s="137">
        <f t="shared" si="187"/>
        <v>9782</v>
      </c>
      <c r="E128" s="137">
        <f t="shared" si="187"/>
        <v>10679</v>
      </c>
      <c r="F128" s="137">
        <f t="shared" si="187"/>
        <v>10106</v>
      </c>
      <c r="G128" s="137">
        <f t="shared" si="187"/>
        <v>10180</v>
      </c>
      <c r="H128" s="137">
        <f t="shared" si="187"/>
        <v>11006</v>
      </c>
      <c r="I128" s="137">
        <f t="shared" si="187"/>
        <v>9493</v>
      </c>
      <c r="J128" s="137">
        <f t="shared" si="187"/>
        <v>8688</v>
      </c>
      <c r="K128" s="137">
        <f t="shared" si="187"/>
        <v>4705</v>
      </c>
      <c r="L128" s="137">
        <f t="shared" ref="L128" si="188">SUM(L129:L133)</f>
        <v>3098</v>
      </c>
      <c r="M128" s="137">
        <f t="shared" ref="M128:V128" si="189">SUM(M129:M133)</f>
        <v>3355</v>
      </c>
      <c r="N128" s="137">
        <f t="shared" si="189"/>
        <v>3540</v>
      </c>
      <c r="O128" s="137">
        <f t="shared" si="189"/>
        <v>3723</v>
      </c>
      <c r="P128" s="137">
        <f t="shared" si="189"/>
        <v>3956</v>
      </c>
      <c r="Q128" s="137">
        <f t="shared" si="189"/>
        <v>25773</v>
      </c>
      <c r="R128" s="137">
        <f t="shared" si="189"/>
        <v>16306</v>
      </c>
      <c r="S128" s="137">
        <f t="shared" si="189"/>
        <v>16837</v>
      </c>
      <c r="T128" s="137">
        <f t="shared" si="189"/>
        <v>18581</v>
      </c>
      <c r="U128" s="137">
        <f t="shared" si="189"/>
        <v>18114</v>
      </c>
      <c r="V128" s="137">
        <f t="shared" si="189"/>
        <v>15045</v>
      </c>
      <c r="W128" s="137">
        <f t="shared" ref="W128" si="190">SUM(W129:W133)</f>
        <v>17457</v>
      </c>
      <c r="DA128" s="174" t="s">
        <v>542</v>
      </c>
    </row>
    <row r="129" spans="1:105" ht="11.45" customHeight="1" x14ac:dyDescent="0.25">
      <c r="A129" s="111" t="s">
        <v>110</v>
      </c>
      <c r="B129" s="84">
        <v>501</v>
      </c>
      <c r="C129" s="84">
        <v>2275</v>
      </c>
      <c r="D129" s="84">
        <v>642</v>
      </c>
      <c r="E129" s="84">
        <v>467</v>
      </c>
      <c r="F129" s="84">
        <v>291</v>
      </c>
      <c r="G129" s="84">
        <v>316</v>
      </c>
      <c r="H129" s="84">
        <v>589</v>
      </c>
      <c r="I129" s="84">
        <v>535</v>
      </c>
      <c r="J129" s="84">
        <v>613</v>
      </c>
      <c r="K129" s="84">
        <v>406</v>
      </c>
      <c r="L129" s="84">
        <v>249</v>
      </c>
      <c r="M129" s="84">
        <v>181</v>
      </c>
      <c r="N129" s="84">
        <v>131</v>
      </c>
      <c r="O129" s="84">
        <v>118</v>
      </c>
      <c r="P129" s="84">
        <v>124</v>
      </c>
      <c r="Q129" s="84">
        <v>291</v>
      </c>
      <c r="R129" s="84">
        <v>346</v>
      </c>
      <c r="S129" s="84">
        <v>453</v>
      </c>
      <c r="T129" s="84">
        <v>382</v>
      </c>
      <c r="U129" s="84">
        <v>350</v>
      </c>
      <c r="V129" s="84">
        <v>242</v>
      </c>
      <c r="W129" s="84">
        <v>435</v>
      </c>
      <c r="DA129" s="171" t="s">
        <v>543</v>
      </c>
    </row>
    <row r="130" spans="1:105" ht="11.45" customHeight="1" x14ac:dyDescent="0.25">
      <c r="A130" s="111" t="s">
        <v>111</v>
      </c>
      <c r="B130" s="84">
        <v>3570</v>
      </c>
      <c r="C130" s="84">
        <v>12722</v>
      </c>
      <c r="D130" s="84">
        <v>9140</v>
      </c>
      <c r="E130" s="84">
        <v>10210</v>
      </c>
      <c r="F130" s="84">
        <v>9815</v>
      </c>
      <c r="G130" s="84">
        <v>9863</v>
      </c>
      <c r="H130" s="84">
        <v>10417</v>
      </c>
      <c r="I130" s="84">
        <v>8760</v>
      </c>
      <c r="J130" s="84">
        <v>7761</v>
      </c>
      <c r="K130" s="84">
        <v>4124</v>
      </c>
      <c r="L130" s="84">
        <v>2814</v>
      </c>
      <c r="M130" s="84">
        <v>3166</v>
      </c>
      <c r="N130" s="84">
        <v>3382</v>
      </c>
      <c r="O130" s="84">
        <v>3539</v>
      </c>
      <c r="P130" s="84">
        <v>3760</v>
      </c>
      <c r="Q130" s="84">
        <v>25385</v>
      </c>
      <c r="R130" s="84">
        <v>15856</v>
      </c>
      <c r="S130" s="84">
        <v>16263</v>
      </c>
      <c r="T130" s="84">
        <v>18113</v>
      </c>
      <c r="U130" s="84">
        <v>17660</v>
      </c>
      <c r="V130" s="84">
        <v>14662</v>
      </c>
      <c r="W130" s="84">
        <v>16857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198</v>
      </c>
      <c r="J131" s="84">
        <v>312</v>
      </c>
      <c r="K131" s="84">
        <v>131</v>
      </c>
      <c r="L131" s="84">
        <v>27</v>
      </c>
      <c r="M131" s="84">
        <v>5</v>
      </c>
      <c r="N131" s="84">
        <v>4</v>
      </c>
      <c r="O131" s="84">
        <v>66</v>
      </c>
      <c r="P131" s="84">
        <v>66</v>
      </c>
      <c r="Q131" s="84">
        <v>65</v>
      </c>
      <c r="R131" s="84">
        <v>80</v>
      </c>
      <c r="S131" s="84">
        <v>91</v>
      </c>
      <c r="T131" s="84">
        <v>69</v>
      </c>
      <c r="U131" s="84">
        <v>77</v>
      </c>
      <c r="V131" s="84">
        <v>36</v>
      </c>
      <c r="W131" s="84">
        <v>99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43</v>
      </c>
      <c r="L132" s="84">
        <v>8</v>
      </c>
      <c r="M132" s="84">
        <v>3</v>
      </c>
      <c r="N132" s="84">
        <v>21</v>
      </c>
      <c r="O132" s="84">
        <v>0</v>
      </c>
      <c r="P132" s="84">
        <v>5</v>
      </c>
      <c r="Q132" s="84">
        <v>4</v>
      </c>
      <c r="R132" s="84">
        <v>7</v>
      </c>
      <c r="S132" s="84">
        <v>18</v>
      </c>
      <c r="T132" s="84">
        <v>5</v>
      </c>
      <c r="U132" s="84">
        <v>1</v>
      </c>
      <c r="V132" s="84">
        <v>3</v>
      </c>
      <c r="W132" s="84">
        <v>4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2</v>
      </c>
      <c r="F133" s="84">
        <v>0</v>
      </c>
      <c r="G133" s="84">
        <v>1</v>
      </c>
      <c r="H133" s="84">
        <v>0</v>
      </c>
      <c r="I133" s="84">
        <v>0</v>
      </c>
      <c r="J133" s="84">
        <v>2</v>
      </c>
      <c r="K133" s="84">
        <v>1</v>
      </c>
      <c r="L133" s="84">
        <v>0</v>
      </c>
      <c r="M133" s="84">
        <v>0</v>
      </c>
      <c r="N133" s="84">
        <v>2</v>
      </c>
      <c r="O133" s="84">
        <v>0</v>
      </c>
      <c r="P133" s="84">
        <v>1</v>
      </c>
      <c r="Q133" s="84">
        <v>28</v>
      </c>
      <c r="R133" s="84">
        <v>17</v>
      </c>
      <c r="S133" s="84">
        <v>12</v>
      </c>
      <c r="T133" s="84">
        <v>12</v>
      </c>
      <c r="U133" s="84">
        <v>26</v>
      </c>
      <c r="V133" s="84">
        <v>102</v>
      </c>
      <c r="W133" s="84">
        <v>62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363</v>
      </c>
      <c r="C134" s="110">
        <f t="shared" si="191"/>
        <v>15015</v>
      </c>
      <c r="D134" s="110">
        <f t="shared" si="191"/>
        <v>5748</v>
      </c>
      <c r="E134" s="110">
        <f t="shared" si="191"/>
        <v>6569</v>
      </c>
      <c r="F134" s="110">
        <f t="shared" si="191"/>
        <v>4889</v>
      </c>
      <c r="G134" s="110">
        <f t="shared" si="191"/>
        <v>2586</v>
      </c>
      <c r="H134" s="110">
        <f t="shared" si="191"/>
        <v>10810</v>
      </c>
      <c r="I134" s="110">
        <f t="shared" si="191"/>
        <v>3460</v>
      </c>
      <c r="J134" s="110">
        <f t="shared" si="191"/>
        <v>7047</v>
      </c>
      <c r="K134" s="110">
        <f t="shared" si="191"/>
        <v>661</v>
      </c>
      <c r="L134" s="110">
        <f t="shared" ref="L134" si="192">SUM(L135:L136)</f>
        <v>1160</v>
      </c>
      <c r="M134" s="110">
        <f t="shared" ref="M134:V134" si="193">SUM(M135:M136)</f>
        <v>3324</v>
      </c>
      <c r="N134" s="110">
        <f t="shared" si="193"/>
        <v>3000</v>
      </c>
      <c r="O134" s="110">
        <f t="shared" si="193"/>
        <v>6440</v>
      </c>
      <c r="P134" s="110">
        <f t="shared" si="193"/>
        <v>6400</v>
      </c>
      <c r="Q134" s="110">
        <f t="shared" si="193"/>
        <v>7290</v>
      </c>
      <c r="R134" s="110">
        <f t="shared" si="193"/>
        <v>3827</v>
      </c>
      <c r="S134" s="110">
        <f t="shared" si="193"/>
        <v>6946</v>
      </c>
      <c r="T134" s="110">
        <f t="shared" si="193"/>
        <v>6436</v>
      </c>
      <c r="U134" s="110">
        <f t="shared" si="193"/>
        <v>5917</v>
      </c>
      <c r="V134" s="110">
        <f t="shared" si="193"/>
        <v>5508</v>
      </c>
      <c r="W134" s="110">
        <f t="shared" ref="W134" si="194">SUM(W135:W136)</f>
        <v>5984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14479</v>
      </c>
      <c r="D135" s="102">
        <v>5220</v>
      </c>
      <c r="E135" s="102">
        <v>6102</v>
      </c>
      <c r="F135" s="102">
        <v>3708</v>
      </c>
      <c r="G135" s="102">
        <v>1946</v>
      </c>
      <c r="H135" s="102">
        <v>10738</v>
      </c>
      <c r="I135" s="102">
        <v>2700</v>
      </c>
      <c r="J135" s="102">
        <v>7047</v>
      </c>
      <c r="K135" s="102">
        <v>661</v>
      </c>
      <c r="L135" s="102">
        <v>944</v>
      </c>
      <c r="M135" s="102">
        <v>3016</v>
      </c>
      <c r="N135" s="102">
        <v>2738</v>
      </c>
      <c r="O135" s="102">
        <v>5994</v>
      </c>
      <c r="P135" s="102">
        <v>5887</v>
      </c>
      <c r="Q135" s="102">
        <v>6476</v>
      </c>
      <c r="R135" s="102">
        <v>3373</v>
      </c>
      <c r="S135" s="102">
        <v>5778</v>
      </c>
      <c r="T135" s="102">
        <v>6091</v>
      </c>
      <c r="U135" s="102">
        <v>5917</v>
      </c>
      <c r="V135" s="102">
        <v>5015</v>
      </c>
      <c r="W135" s="102">
        <v>5895</v>
      </c>
      <c r="DA135" s="175" t="s">
        <v>549</v>
      </c>
    </row>
    <row r="136" spans="1:105" ht="11.45" customHeight="1" x14ac:dyDescent="0.25">
      <c r="A136" s="138" t="s">
        <v>116</v>
      </c>
      <c r="B136" s="86">
        <v>363</v>
      </c>
      <c r="C136" s="86">
        <v>536</v>
      </c>
      <c r="D136" s="86">
        <v>528</v>
      </c>
      <c r="E136" s="86">
        <v>467</v>
      </c>
      <c r="F136" s="86">
        <v>1181</v>
      </c>
      <c r="G136" s="86">
        <v>640</v>
      </c>
      <c r="H136" s="86">
        <v>72</v>
      </c>
      <c r="I136" s="86">
        <v>760</v>
      </c>
      <c r="J136" s="86">
        <v>0</v>
      </c>
      <c r="K136" s="86">
        <v>0</v>
      </c>
      <c r="L136" s="86">
        <v>216</v>
      </c>
      <c r="M136" s="86">
        <v>308</v>
      </c>
      <c r="N136" s="86">
        <v>262</v>
      </c>
      <c r="O136" s="86">
        <v>446</v>
      </c>
      <c r="P136" s="86">
        <v>513</v>
      </c>
      <c r="Q136" s="86">
        <v>814</v>
      </c>
      <c r="R136" s="86">
        <v>454</v>
      </c>
      <c r="S136" s="86">
        <v>1168</v>
      </c>
      <c r="T136" s="86">
        <v>345</v>
      </c>
      <c r="U136" s="86">
        <v>0</v>
      </c>
      <c r="V136" s="86">
        <v>493</v>
      </c>
      <c r="W136" s="86">
        <v>89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1.6371181107970105</v>
      </c>
      <c r="C141" s="32">
        <f t="shared" si="195"/>
        <v>1.6039770855350537</v>
      </c>
      <c r="D141" s="32">
        <f t="shared" si="195"/>
        <v>1.589144680687808</v>
      </c>
      <c r="E141" s="32">
        <f t="shared" si="195"/>
        <v>1.5827519917919453</v>
      </c>
      <c r="F141" s="32">
        <f t="shared" si="195"/>
        <v>1.546028649014304</v>
      </c>
      <c r="G141" s="32">
        <f t="shared" si="195"/>
        <v>1.533532116463145</v>
      </c>
      <c r="H141" s="32">
        <f t="shared" si="195"/>
        <v>1.5502794811454184</v>
      </c>
      <c r="I141" s="32">
        <f t="shared" si="195"/>
        <v>1.53964157590906</v>
      </c>
      <c r="J141" s="32">
        <f t="shared" si="195"/>
        <v>1.4603372554624956</v>
      </c>
      <c r="K141" s="32">
        <f t="shared" si="195"/>
        <v>1.4539752780054793</v>
      </c>
      <c r="L141" s="32">
        <f t="shared" ref="L141" si="196">IF(L4=0,0,L4/L31)</f>
        <v>1.3975368605836425</v>
      </c>
      <c r="M141" s="32">
        <f t="shared" ref="M141:V141" si="197">IF(M4=0,0,M4/M31)</f>
        <v>1.3938442288815456</v>
      </c>
      <c r="N141" s="32">
        <f t="shared" si="197"/>
        <v>1.4837306258505683</v>
      </c>
      <c r="O141" s="32">
        <f t="shared" si="197"/>
        <v>1.4960830273231511</v>
      </c>
      <c r="P141" s="32">
        <f t="shared" si="197"/>
        <v>1.4763818913780042</v>
      </c>
      <c r="Q141" s="32">
        <f t="shared" si="197"/>
        <v>1.4393574659441564</v>
      </c>
      <c r="R141" s="32">
        <f t="shared" si="197"/>
        <v>1.3238033294668607</v>
      </c>
      <c r="S141" s="32">
        <f t="shared" si="197"/>
        <v>1.3011070778811451</v>
      </c>
      <c r="T141" s="32">
        <f t="shared" si="197"/>
        <v>1.2180149389604678</v>
      </c>
      <c r="U141" s="32">
        <f t="shared" si="197"/>
        <v>1.2645606263238656</v>
      </c>
      <c r="V141" s="32">
        <f t="shared" si="197"/>
        <v>1.1733147627131673</v>
      </c>
      <c r="W141" s="32">
        <f t="shared" ref="W141" si="198">IF(W4=0,0,W4/W31)</f>
        <v>1.1560732609167816</v>
      </c>
      <c r="DA141" s="173" t="s">
        <v>551</v>
      </c>
    </row>
    <row r="142" spans="1:105" ht="11.45" customHeight="1" x14ac:dyDescent="0.25">
      <c r="A142" s="136" t="s">
        <v>180</v>
      </c>
      <c r="B142" s="141">
        <v>1.2553774658444035</v>
      </c>
      <c r="C142" s="141">
        <v>1.255353387418493</v>
      </c>
      <c r="D142" s="141">
        <v>1.2551352532671067</v>
      </c>
      <c r="E142" s="141">
        <v>1.2556623718333506</v>
      </c>
      <c r="F142" s="141">
        <v>1.2558305278816391</v>
      </c>
      <c r="G142" s="141">
        <v>1.2546933399311635</v>
      </c>
      <c r="H142" s="141">
        <v>1.2550433301980777</v>
      </c>
      <c r="I142" s="141">
        <v>1.2570577601434436</v>
      </c>
      <c r="J142" s="141">
        <v>1.2577193193408636</v>
      </c>
      <c r="K142" s="141">
        <v>1.2583228872373537</v>
      </c>
      <c r="L142" s="141">
        <v>1.2561610992776306</v>
      </c>
      <c r="M142" s="141">
        <v>1.2550606993854205</v>
      </c>
      <c r="N142" s="141">
        <v>1.2473147189021192</v>
      </c>
      <c r="O142" s="141">
        <v>1.2466730530574108</v>
      </c>
      <c r="P142" s="141">
        <v>1.2493799263382985</v>
      </c>
      <c r="Q142" s="141">
        <v>1.2515392607687459</v>
      </c>
      <c r="R142" s="141">
        <v>1.2524076367616004</v>
      </c>
      <c r="S142" s="141">
        <v>1.2466550406629719</v>
      </c>
      <c r="T142" s="141">
        <v>1.2433279368412178</v>
      </c>
      <c r="U142" s="141">
        <v>1.2421164493903822</v>
      </c>
      <c r="V142" s="141">
        <v>1.2384517451566441</v>
      </c>
      <c r="W142" s="141">
        <v>1.2354870853467006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1.4401813824005385</v>
      </c>
      <c r="C143" s="130">
        <f t="shared" si="199"/>
        <v>1.409710622561525</v>
      </c>
      <c r="D143" s="130">
        <f t="shared" si="199"/>
        <v>1.3991308732182797</v>
      </c>
      <c r="E143" s="130">
        <f t="shared" si="199"/>
        <v>1.388320730414869</v>
      </c>
      <c r="F143" s="130">
        <f t="shared" si="199"/>
        <v>1.3790608945162262</v>
      </c>
      <c r="G143" s="130">
        <f t="shared" si="199"/>
        <v>1.3698630136986298</v>
      </c>
      <c r="H143" s="130">
        <f t="shared" si="199"/>
        <v>1.3844279543692548</v>
      </c>
      <c r="I143" s="130">
        <f t="shared" si="199"/>
        <v>1.3676292672663195</v>
      </c>
      <c r="J143" s="130">
        <f t="shared" si="199"/>
        <v>1.2884138194311894</v>
      </c>
      <c r="K143" s="130">
        <f t="shared" si="199"/>
        <v>1.3095024243954789</v>
      </c>
      <c r="L143" s="130">
        <f t="shared" ref="L143" si="200">IF(L6=0,0,L6/L33)</f>
        <v>1.2603743595875603</v>
      </c>
      <c r="M143" s="130">
        <f t="shared" ref="M143:V143" si="201">IF(M6=0,0,M6/M33)</f>
        <v>1.2589063278116595</v>
      </c>
      <c r="N143" s="130">
        <f t="shared" si="201"/>
        <v>1.341161992702572</v>
      </c>
      <c r="O143" s="130">
        <f t="shared" si="201"/>
        <v>1.3407157549696531</v>
      </c>
      <c r="P143" s="130">
        <f t="shared" si="201"/>
        <v>1.3162901767881565</v>
      </c>
      <c r="Q143" s="130">
        <f t="shared" si="201"/>
        <v>1.2969032850629305</v>
      </c>
      <c r="R143" s="130">
        <f t="shared" si="201"/>
        <v>1.1735622394549288</v>
      </c>
      <c r="S143" s="130">
        <f t="shared" si="201"/>
        <v>1.1399904235406781</v>
      </c>
      <c r="T143" s="130">
        <f t="shared" si="201"/>
        <v>1.074385022248342</v>
      </c>
      <c r="U143" s="130">
        <f t="shared" si="201"/>
        <v>1.1049078953098466</v>
      </c>
      <c r="V143" s="130">
        <f t="shared" si="201"/>
        <v>1.0745500423756449</v>
      </c>
      <c r="W143" s="130">
        <f t="shared" ref="W143" si="202">IF(W6=0,0,W6/W33)</f>
        <v>1.0577783402099883</v>
      </c>
      <c r="DA143" s="176" t="s">
        <v>553</v>
      </c>
    </row>
    <row r="144" spans="1:105" ht="11.45" customHeight="1" x14ac:dyDescent="0.25">
      <c r="A144" s="111" t="s">
        <v>110</v>
      </c>
      <c r="B144" s="96">
        <v>1.4237349365447718</v>
      </c>
      <c r="C144" s="96">
        <v>1.3926706864464027</v>
      </c>
      <c r="D144" s="96">
        <v>1.3804041166198062</v>
      </c>
      <c r="E144" s="96">
        <v>1.3645877389633627</v>
      </c>
      <c r="F144" s="96">
        <v>1.3525180016908882</v>
      </c>
      <c r="G144" s="96">
        <v>1.3407500296337234</v>
      </c>
      <c r="H144" s="96">
        <v>1.352490097265644</v>
      </c>
      <c r="I144" s="96">
        <v>1.3342010627903322</v>
      </c>
      <c r="J144" s="96">
        <v>1.2605280513633228</v>
      </c>
      <c r="K144" s="96">
        <v>1.2813862748518834</v>
      </c>
      <c r="L144" s="96">
        <v>1.2323573862990729</v>
      </c>
      <c r="M144" s="96">
        <v>1.2297263251918205</v>
      </c>
      <c r="N144" s="96">
        <v>1.308706211340708</v>
      </c>
      <c r="O144" s="96">
        <v>1.3069050571041616</v>
      </c>
      <c r="P144" s="96">
        <v>1.2796723705142106</v>
      </c>
      <c r="Q144" s="96">
        <v>1.2600924926898653</v>
      </c>
      <c r="R144" s="96">
        <v>1.1368289483612859</v>
      </c>
      <c r="S144" s="96">
        <v>1.1030972539994683</v>
      </c>
      <c r="T144" s="96">
        <v>1.039045798638516</v>
      </c>
      <c r="U144" s="96">
        <v>1.0673886691174259</v>
      </c>
      <c r="V144" s="96">
        <v>1.0370296194005659</v>
      </c>
      <c r="W144" s="96">
        <v>1.0205713199468591</v>
      </c>
      <c r="DA144" s="171" t="s">
        <v>554</v>
      </c>
    </row>
    <row r="145" spans="1:105" ht="11.45" customHeight="1" x14ac:dyDescent="0.25">
      <c r="A145" s="111" t="s">
        <v>111</v>
      </c>
      <c r="B145" s="96">
        <v>1.5060261803304926</v>
      </c>
      <c r="C145" s="96">
        <v>1.473166430443329</v>
      </c>
      <c r="D145" s="96">
        <v>1.4601908583564773</v>
      </c>
      <c r="E145" s="96">
        <v>1.4434603011318246</v>
      </c>
      <c r="F145" s="96">
        <v>1.4306929384328588</v>
      </c>
      <c r="G145" s="96">
        <v>1.4182447828439406</v>
      </c>
      <c r="H145" s="96">
        <v>1.4306634211442912</v>
      </c>
      <c r="I145" s="96">
        <v>1.4113172886404195</v>
      </c>
      <c r="J145" s="96">
        <v>1.3333860100401107</v>
      </c>
      <c r="K145" s="96">
        <v>1.3554498295353266</v>
      </c>
      <c r="L145" s="96">
        <v>1.3035870931103595</v>
      </c>
      <c r="M145" s="96">
        <v>1.3008039578455977</v>
      </c>
      <c r="N145" s="96">
        <v>1.3843488461577531</v>
      </c>
      <c r="O145" s="96">
        <v>1.3824435860103579</v>
      </c>
      <c r="P145" s="96">
        <v>1.3536368622920132</v>
      </c>
      <c r="Q145" s="96">
        <v>1.3329252762697581</v>
      </c>
      <c r="R145" s="96">
        <v>1.2025371541030794</v>
      </c>
      <c r="S145" s="96">
        <v>1.1668557828647708</v>
      </c>
      <c r="T145" s="96">
        <v>1.0991021819761335</v>
      </c>
      <c r="U145" s="96">
        <v>1.1290832577166401</v>
      </c>
      <c r="V145" s="96">
        <v>1.0969694684782396</v>
      </c>
      <c r="W145" s="96">
        <v>1.079559886662993</v>
      </c>
      <c r="DA145" s="171" t="s">
        <v>555</v>
      </c>
    </row>
    <row r="146" spans="1:105" ht="11.45" customHeight="1" x14ac:dyDescent="0.25">
      <c r="A146" s="111" t="s">
        <v>112</v>
      </c>
      <c r="B146" s="96">
        <v>1.3969759409285223</v>
      </c>
      <c r="C146" s="96">
        <v>1.3674193038846791</v>
      </c>
      <c r="D146" s="96">
        <v>1.3571569470217311</v>
      </c>
      <c r="E146" s="96">
        <v>1.346671108502423</v>
      </c>
      <c r="F146" s="96">
        <v>1.3376890676807394</v>
      </c>
      <c r="G146" s="96">
        <v>1.328767123287671</v>
      </c>
      <c r="H146" s="96">
        <v>1.342895115738177</v>
      </c>
      <c r="I146" s="96">
        <v>1.3266003892483298</v>
      </c>
      <c r="J146" s="96">
        <v>1.2497614048482537</v>
      </c>
      <c r="K146" s="96">
        <v>1.2702663083312973</v>
      </c>
      <c r="L146" s="96">
        <v>1.2226091221186857</v>
      </c>
      <c r="M146" s="96">
        <v>1.2211840399002494</v>
      </c>
      <c r="N146" s="96">
        <v>1.3009792254424211</v>
      </c>
      <c r="O146" s="96">
        <v>1.3005461538461536</v>
      </c>
      <c r="P146" s="96">
        <v>1.2768522354129834</v>
      </c>
      <c r="Q146" s="96">
        <v>1.2580447174447171</v>
      </c>
      <c r="R146" s="96">
        <v>1.1600236798829542</v>
      </c>
      <c r="S146" s="96">
        <v>1.1290706019564238</v>
      </c>
      <c r="T146" s="96">
        <v>1.0685826884104375</v>
      </c>
      <c r="U146" s="96">
        <v>1.0967246534095156</v>
      </c>
      <c r="V146" s="96">
        <v>1.0687348362976086</v>
      </c>
      <c r="W146" s="96">
        <v>1.0532713950163834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1.3436310536980831</v>
      </c>
      <c r="L147" s="96">
        <v>1.2932214073844248</v>
      </c>
      <c r="M147" s="96">
        <v>1.291714018965</v>
      </c>
      <c r="N147" s="96">
        <v>1.3761178077822498</v>
      </c>
      <c r="O147" s="96">
        <v>1.3756597239604533</v>
      </c>
      <c r="P147" s="96">
        <v>1.3505973536670786</v>
      </c>
      <c r="Q147" s="96">
        <v>1.3307035998774941</v>
      </c>
      <c r="R147" s="96">
        <v>1.185305921358436</v>
      </c>
      <c r="S147" s="96">
        <v>1.1494625472512388</v>
      </c>
      <c r="T147" s="96">
        <v>1.0794181103348595</v>
      </c>
      <c r="U147" s="96">
        <v>1.1120062420214032</v>
      </c>
      <c r="V147" s="96">
        <v>1.0795942961620795</v>
      </c>
      <c r="W147" s="96">
        <v>1.0616877761015147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1.274472764092232</v>
      </c>
      <c r="Q148" s="96">
        <v>1.2576490555186219</v>
      </c>
      <c r="R148" s="96">
        <v>1.1506151980089441</v>
      </c>
      <c r="S148" s="96">
        <v>1.1214819849475988</v>
      </c>
      <c r="T148" s="96">
        <v>1.0645504165538444</v>
      </c>
      <c r="U148" s="96">
        <v>1.091037794133195</v>
      </c>
      <c r="V148" s="96">
        <v>1.0646936190109413</v>
      </c>
      <c r="W148" s="96">
        <v>1.0501393400931278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1.1648414795874902</v>
      </c>
      <c r="O149" s="96">
        <v>1.1646258679727277</v>
      </c>
      <c r="P149" s="96">
        <v>1.1528240010199571</v>
      </c>
      <c r="Q149" s="96">
        <v>1.1434567092789489</v>
      </c>
      <c r="R149" s="96">
        <v>1.0838612065946376</v>
      </c>
      <c r="S149" s="96">
        <v>1.0676400919156397</v>
      </c>
      <c r="T149" s="96">
        <v>1.0359410995035867</v>
      </c>
      <c r="U149" s="96">
        <v>1.0506890364494996</v>
      </c>
      <c r="V149" s="96">
        <v>1.0360208333617777</v>
      </c>
      <c r="W149" s="96">
        <v>1.0279171399277973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10.014018327975911</v>
      </c>
      <c r="C150" s="130">
        <f t="shared" si="203"/>
        <v>10.39110133097517</v>
      </c>
      <c r="D150" s="130">
        <f t="shared" si="203"/>
        <v>10.808642935900636</v>
      </c>
      <c r="E150" s="130">
        <f t="shared" si="203"/>
        <v>11.445070352665818</v>
      </c>
      <c r="F150" s="130">
        <f t="shared" si="203"/>
        <v>10.608876802820378</v>
      </c>
      <c r="G150" s="130">
        <f t="shared" si="203"/>
        <v>10.834845720519183</v>
      </c>
      <c r="H150" s="130">
        <f t="shared" si="203"/>
        <v>11.440461103055657</v>
      </c>
      <c r="I150" s="130">
        <f t="shared" si="203"/>
        <v>12.285203959986804</v>
      </c>
      <c r="J150" s="130">
        <f t="shared" si="203"/>
        <v>13.377415032679735</v>
      </c>
      <c r="K150" s="130">
        <f t="shared" si="203"/>
        <v>11.390194801496111</v>
      </c>
      <c r="L150" s="130">
        <f t="shared" ref="L150" si="204">IF(L13=0,0,L13/L40)</f>
        <v>10.784420758470525</v>
      </c>
      <c r="M150" s="130">
        <f t="shared" ref="M150:V150" si="205">IF(M13=0,0,M13/M40)</f>
        <v>10.708022052549758</v>
      </c>
      <c r="N150" s="130">
        <f t="shared" si="205"/>
        <v>11.522321805555981</v>
      </c>
      <c r="O150" s="130">
        <f t="shared" si="205"/>
        <v>12.393499631900132</v>
      </c>
      <c r="P150" s="130">
        <f t="shared" si="205"/>
        <v>12.52698816028016</v>
      </c>
      <c r="Q150" s="130">
        <f t="shared" si="205"/>
        <v>11.108552631578947</v>
      </c>
      <c r="R150" s="130">
        <f t="shared" si="205"/>
        <v>11.591463414634145</v>
      </c>
      <c r="S150" s="130">
        <f t="shared" si="205"/>
        <v>12.388059701492539</v>
      </c>
      <c r="T150" s="130">
        <f t="shared" si="205"/>
        <v>10.948717948717951</v>
      </c>
      <c r="U150" s="130">
        <f t="shared" si="205"/>
        <v>14.519855595667867</v>
      </c>
      <c r="V150" s="130">
        <f t="shared" si="205"/>
        <v>10.484848484848483</v>
      </c>
      <c r="W150" s="130">
        <f t="shared" ref="W150" si="206">IF(W13=0,0,W13/W40)</f>
        <v>10.561868686868687</v>
      </c>
      <c r="DA150" s="176" t="s">
        <v>560</v>
      </c>
    </row>
    <row r="151" spans="1:105" ht="11.45" customHeight="1" x14ac:dyDescent="0.25">
      <c r="A151" s="111" t="s">
        <v>110</v>
      </c>
      <c r="B151" s="97">
        <v>6.3851545510759964</v>
      </c>
      <c r="C151" s="97">
        <v>6.3996577434990449</v>
      </c>
      <c r="D151" s="97">
        <v>6.4157170359961784</v>
      </c>
      <c r="E151" s="97">
        <v>6.44019501356407</v>
      </c>
      <c r="F151" s="97">
        <v>6.4080337231853992</v>
      </c>
      <c r="G151" s="97">
        <v>6.416724835404584</v>
      </c>
      <c r="H151" s="97">
        <v>6.4400177347329102</v>
      </c>
      <c r="I151" s="97">
        <v>6.4725078446148769</v>
      </c>
      <c r="J151" s="97">
        <v>6.5145159627953744</v>
      </c>
      <c r="K151" s="97">
        <v>6.4380844154421579</v>
      </c>
      <c r="L151" s="97">
        <v>6.4147854137873281</v>
      </c>
      <c r="M151" s="97">
        <v>6.4118470020211449</v>
      </c>
      <c r="N151" s="97">
        <v>6.4431662232906142</v>
      </c>
      <c r="O151" s="97">
        <v>6.4766730627653901</v>
      </c>
      <c r="P151" s="97">
        <v>6.481807236933852</v>
      </c>
      <c r="Q151" s="97">
        <v>6.4272520242914988</v>
      </c>
      <c r="R151" s="97">
        <v>6.4458255159474671</v>
      </c>
      <c r="S151" s="97">
        <v>6.4764638346727903</v>
      </c>
      <c r="T151" s="97">
        <v>6.4211045364891524</v>
      </c>
      <c r="U151" s="97">
        <v>6.5584559844487647</v>
      </c>
      <c r="V151" s="97">
        <v>6.403263403263403</v>
      </c>
      <c r="W151" s="97">
        <v>6.406225718725719</v>
      </c>
      <c r="DA151" s="175" t="s">
        <v>561</v>
      </c>
    </row>
    <row r="152" spans="1:105" ht="11.45" customHeight="1" x14ac:dyDescent="0.25">
      <c r="A152" s="111" t="s">
        <v>111</v>
      </c>
      <c r="B152" s="97">
        <v>10.024793532455938</v>
      </c>
      <c r="C152" s="97">
        <v>10.40344748970565</v>
      </c>
      <c r="D152" s="97">
        <v>10.822500267562152</v>
      </c>
      <c r="E152" s="97">
        <v>11.460381478624878</v>
      </c>
      <c r="F152" s="97">
        <v>10.62105929319768</v>
      </c>
      <c r="G152" s="97">
        <v>10.847933873635723</v>
      </c>
      <c r="H152" s="97">
        <v>11.455565220895199</v>
      </c>
      <c r="I152" s="97">
        <v>12.301144423821611</v>
      </c>
      <c r="J152" s="97">
        <v>13.398495136254752</v>
      </c>
      <c r="K152" s="97">
        <v>11.404323078665628</v>
      </c>
      <c r="L152" s="97">
        <v>10.796543717781725</v>
      </c>
      <c r="M152" s="97">
        <v>10.719067991964923</v>
      </c>
      <c r="N152" s="97">
        <v>11.535631199185342</v>
      </c>
      <c r="O152" s="97">
        <v>12.41118121364876</v>
      </c>
      <c r="P152" s="97">
        <v>12.543397652051974</v>
      </c>
      <c r="Q152" s="97">
        <v>11.119952081599926</v>
      </c>
      <c r="R152" s="97">
        <v>11.603390153451658</v>
      </c>
      <c r="S152" s="97">
        <v>12.401137208816978</v>
      </c>
      <c r="T152" s="97">
        <v>10.958294091000456</v>
      </c>
      <c r="U152" s="97">
        <v>14.535256571535392</v>
      </c>
      <c r="V152" s="97">
        <v>10.492616111191889</v>
      </c>
      <c r="W152" s="97">
        <v>10.569133591833042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12.301144423821611</v>
      </c>
      <c r="J153" s="97">
        <v>13.398495136254757</v>
      </c>
      <c r="K153" s="97">
        <v>11.404323078665628</v>
      </c>
      <c r="L153" s="97">
        <v>10.796543717781724</v>
      </c>
      <c r="M153" s="97">
        <v>10.719067991964923</v>
      </c>
      <c r="N153" s="97">
        <v>11.535631199185342</v>
      </c>
      <c r="O153" s="97">
        <v>12.411181213648762</v>
      </c>
      <c r="P153" s="97">
        <v>12.543397652051974</v>
      </c>
      <c r="Q153" s="97">
        <v>11.119952081599925</v>
      </c>
      <c r="R153" s="97">
        <v>11.603390153451661</v>
      </c>
      <c r="S153" s="97">
        <v>12.401137208816975</v>
      </c>
      <c r="T153" s="97">
        <v>10.958294091000456</v>
      </c>
      <c r="U153" s="97">
        <v>14.535256571535394</v>
      </c>
      <c r="V153" s="97">
        <v>10.492616111191891</v>
      </c>
      <c r="W153" s="97">
        <v>10.569133591833042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11.404323078665628</v>
      </c>
      <c r="L154" s="97">
        <v>10.796543717781724</v>
      </c>
      <c r="M154" s="97">
        <v>10.719067991964923</v>
      </c>
      <c r="N154" s="97">
        <v>11.535631199185341</v>
      </c>
      <c r="O154" s="97">
        <v>12.411181213648762</v>
      </c>
      <c r="P154" s="97">
        <v>12.543397652051974</v>
      </c>
      <c r="Q154" s="97">
        <v>11.119952081599925</v>
      </c>
      <c r="R154" s="97">
        <v>11.603390153451661</v>
      </c>
      <c r="S154" s="97">
        <v>12.401137208816976</v>
      </c>
      <c r="T154" s="97">
        <v>10.958294091000456</v>
      </c>
      <c r="U154" s="97">
        <v>14.535256571535394</v>
      </c>
      <c r="V154" s="97">
        <v>10.492616111191891</v>
      </c>
      <c r="W154" s="97">
        <v>10.569133591833042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11.119952081599925</v>
      </c>
      <c r="R155" s="97">
        <v>11.603390153451661</v>
      </c>
      <c r="S155" s="97">
        <v>12.401137208816976</v>
      </c>
      <c r="T155" s="97">
        <v>10.958294091000456</v>
      </c>
      <c r="U155" s="97">
        <v>14.535256571535394</v>
      </c>
      <c r="V155" s="97">
        <v>10.492616111191891</v>
      </c>
      <c r="W155" s="97">
        <v>10.569133591833042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5.0886191378947148</v>
      </c>
      <c r="C156" s="32">
        <f t="shared" si="207"/>
        <v>5.0253791213934242</v>
      </c>
      <c r="D156" s="32">
        <f t="shared" si="207"/>
        <v>4.823972601769932</v>
      </c>
      <c r="E156" s="32">
        <f t="shared" si="207"/>
        <v>4.632508133470747</v>
      </c>
      <c r="F156" s="32">
        <f t="shared" si="207"/>
        <v>4.708088441320899</v>
      </c>
      <c r="G156" s="32">
        <f t="shared" si="207"/>
        <v>4.5717502467259434</v>
      </c>
      <c r="H156" s="32">
        <f t="shared" si="207"/>
        <v>4.4075815494021962</v>
      </c>
      <c r="I156" s="32">
        <f t="shared" si="207"/>
        <v>4.5030673359450848</v>
      </c>
      <c r="J156" s="32">
        <f t="shared" si="207"/>
        <v>4.2232139249700502</v>
      </c>
      <c r="K156" s="32">
        <f t="shared" si="207"/>
        <v>3.772388901008378</v>
      </c>
      <c r="L156" s="32">
        <f t="shared" ref="L156" si="208">IF(L19=0,0,L19/L46)</f>
        <v>3.7476889939359923</v>
      </c>
      <c r="M156" s="32">
        <f t="shared" ref="M156:V156" si="209">IF(M19=0,0,M19/M46)</f>
        <v>3.6664506134360524</v>
      </c>
      <c r="N156" s="32">
        <f t="shared" si="209"/>
        <v>3.7164480356495786</v>
      </c>
      <c r="O156" s="32">
        <f t="shared" si="209"/>
        <v>3.822803259380211</v>
      </c>
      <c r="P156" s="32">
        <f t="shared" si="209"/>
        <v>3.808962610964699</v>
      </c>
      <c r="Q156" s="32">
        <f t="shared" si="209"/>
        <v>3.6899889403640094</v>
      </c>
      <c r="R156" s="32">
        <f t="shared" si="209"/>
        <v>3.5387632392159811</v>
      </c>
      <c r="S156" s="32">
        <f t="shared" si="209"/>
        <v>3.6454818691348767</v>
      </c>
      <c r="T156" s="32">
        <f t="shared" si="209"/>
        <v>3.4232525962298546</v>
      </c>
      <c r="U156" s="32">
        <f t="shared" si="209"/>
        <v>3.144977177243661</v>
      </c>
      <c r="V156" s="32">
        <f t="shared" si="209"/>
        <v>3.1392364361311165</v>
      </c>
      <c r="W156" s="32">
        <f t="shared" ref="W156" si="210">IF(W19=0,0,W19/W46)</f>
        <v>2.9522876779607312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0.19579216867361568</v>
      </c>
      <c r="C157" s="141">
        <f t="shared" si="211"/>
        <v>0.1949597195599907</v>
      </c>
      <c r="D157" s="141">
        <f t="shared" si="211"/>
        <v>0.19505679534088396</v>
      </c>
      <c r="E157" s="141">
        <f t="shared" si="211"/>
        <v>0.19518946501214776</v>
      </c>
      <c r="F157" s="141">
        <f t="shared" si="211"/>
        <v>0.19523034116456692</v>
      </c>
      <c r="G157" s="141">
        <f t="shared" si="211"/>
        <v>0.19507925266561818</v>
      </c>
      <c r="H157" s="141">
        <f t="shared" si="211"/>
        <v>0.19465456497820072</v>
      </c>
      <c r="I157" s="141">
        <f t="shared" si="211"/>
        <v>0.19506889724732659</v>
      </c>
      <c r="J157" s="141">
        <f t="shared" si="211"/>
        <v>0.19530507753392848</v>
      </c>
      <c r="K157" s="141">
        <f t="shared" si="211"/>
        <v>0.19638972281022582</v>
      </c>
      <c r="L157" s="141">
        <f t="shared" ref="L157" si="212">IF(L20=0,0,L20/L47)</f>
        <v>0.19748059656451525</v>
      </c>
      <c r="M157" s="141">
        <f t="shared" ref="M157:V157" si="213">IF(M20=0,0,M20/M47)</f>
        <v>0.19690124054086419</v>
      </c>
      <c r="N157" s="141">
        <f t="shared" si="213"/>
        <v>0.19682870890470389</v>
      </c>
      <c r="O157" s="141">
        <f t="shared" si="213"/>
        <v>0.1968430402300182</v>
      </c>
      <c r="P157" s="141">
        <f t="shared" si="213"/>
        <v>0.19765349169347782</v>
      </c>
      <c r="Q157" s="141">
        <f t="shared" si="213"/>
        <v>0.19844329379366335</v>
      </c>
      <c r="R157" s="141">
        <f t="shared" si="213"/>
        <v>0.19916511748692475</v>
      </c>
      <c r="S157" s="141">
        <f t="shared" si="213"/>
        <v>0.19819881641862663</v>
      </c>
      <c r="T157" s="141">
        <f t="shared" si="213"/>
        <v>0.19730452515343663</v>
      </c>
      <c r="U157" s="141">
        <f t="shared" si="213"/>
        <v>0.19760407717179812</v>
      </c>
      <c r="V157" s="141">
        <f t="shared" si="213"/>
        <v>0.19835223463772014</v>
      </c>
      <c r="W157" s="141">
        <f t="shared" ref="W157" si="214">IF(W20=0,0,W20/W47)</f>
        <v>0.19747141360569009</v>
      </c>
      <c r="DA157" s="174" t="s">
        <v>567</v>
      </c>
    </row>
    <row r="158" spans="1:105" ht="11.45" customHeight="1" x14ac:dyDescent="0.25">
      <c r="A158" s="111" t="s">
        <v>110</v>
      </c>
      <c r="B158" s="96">
        <v>0.15597460620302978</v>
      </c>
      <c r="C158" s="96">
        <v>0.1554933805894381</v>
      </c>
      <c r="D158" s="96">
        <v>0.15520796106716789</v>
      </c>
      <c r="E158" s="96">
        <v>0.15492035019183839</v>
      </c>
      <c r="F158" s="96">
        <v>0.15466111602720478</v>
      </c>
      <c r="G158" s="96">
        <v>0.15441123445054586</v>
      </c>
      <c r="H158" s="96">
        <v>0.15415679119289216</v>
      </c>
      <c r="I158" s="96">
        <v>0.1542725217023786</v>
      </c>
      <c r="J158" s="96">
        <v>0.15476984733470148</v>
      </c>
      <c r="K158" s="96">
        <v>0.15586698058818602</v>
      </c>
      <c r="L158" s="96">
        <v>0.15702755778172051</v>
      </c>
      <c r="M158" s="96">
        <v>0.15688899744998042</v>
      </c>
      <c r="N158" s="96">
        <v>0.15683855056114632</v>
      </c>
      <c r="O158" s="96">
        <v>0.1572510865279669</v>
      </c>
      <c r="P158" s="96">
        <v>0.15832183987941739</v>
      </c>
      <c r="Q158" s="96">
        <v>0.15917096385542134</v>
      </c>
      <c r="R158" s="96">
        <v>0.15921723575720798</v>
      </c>
      <c r="S158" s="96">
        <v>0.15798906558516715</v>
      </c>
      <c r="T158" s="96">
        <v>0.15677402797848533</v>
      </c>
      <c r="U158" s="96">
        <v>0.15651098687125195</v>
      </c>
      <c r="V158" s="96">
        <v>0.15660090312542149</v>
      </c>
      <c r="W158" s="96">
        <v>0.15542589955977557</v>
      </c>
      <c r="DA158" s="171" t="s">
        <v>568</v>
      </c>
    </row>
    <row r="159" spans="1:105" ht="11.45" customHeight="1" x14ac:dyDescent="0.25">
      <c r="A159" s="111" t="s">
        <v>111</v>
      </c>
      <c r="B159" s="96">
        <v>0.2049748059210208</v>
      </c>
      <c r="C159" s="96">
        <v>0.20374239520278672</v>
      </c>
      <c r="D159" s="96">
        <v>0.20276373709918896</v>
      </c>
      <c r="E159" s="96">
        <v>0.20178624321919722</v>
      </c>
      <c r="F159" s="96">
        <v>0.20084962078897692</v>
      </c>
      <c r="G159" s="96">
        <v>0.19992889374239978</v>
      </c>
      <c r="H159" s="96">
        <v>0.1990059774521645</v>
      </c>
      <c r="I159" s="96">
        <v>0.19856323031618614</v>
      </c>
      <c r="J159" s="96">
        <v>0.19861104515428621</v>
      </c>
      <c r="K159" s="96">
        <v>0.19942424503604592</v>
      </c>
      <c r="L159" s="96">
        <v>0.20031178543116376</v>
      </c>
      <c r="M159" s="96">
        <v>0.19953997112960711</v>
      </c>
      <c r="N159" s="96">
        <v>0.19888270990360801</v>
      </c>
      <c r="O159" s="96">
        <v>0.19881294349747994</v>
      </c>
      <c r="P159" s="96">
        <v>0.19957154530494767</v>
      </c>
      <c r="Q159" s="96">
        <v>0.20004533563992036</v>
      </c>
      <c r="R159" s="96">
        <v>0.20070023064063122</v>
      </c>
      <c r="S159" s="96">
        <v>0.19974597227229468</v>
      </c>
      <c r="T159" s="96">
        <v>0.19880089056745828</v>
      </c>
      <c r="U159" s="96">
        <v>0.19905919668912908</v>
      </c>
      <c r="V159" s="96">
        <v>0.19976752455636509</v>
      </c>
      <c r="W159" s="96">
        <v>0.19885990324435573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0.1585723823297161</v>
      </c>
      <c r="J160" s="96">
        <v>0.15861247669330325</v>
      </c>
      <c r="K160" s="96">
        <v>0.15929444619119348</v>
      </c>
      <c r="L160" s="96">
        <v>0.16003891816917562</v>
      </c>
      <c r="M160" s="96">
        <v>0.15939150826576265</v>
      </c>
      <c r="N160" s="96">
        <v>0.15884028595784921</v>
      </c>
      <c r="O160" s="96">
        <v>0.15878178062249179</v>
      </c>
      <c r="P160" s="96">
        <v>0.15941799072476207</v>
      </c>
      <c r="Q160" s="96">
        <v>0.15917096385542134</v>
      </c>
      <c r="R160" s="96">
        <v>0.16036479930035608</v>
      </c>
      <c r="S160" s="96">
        <v>0.15956429301568931</v>
      </c>
      <c r="T160" s="96">
        <v>0.15877167327286909</v>
      </c>
      <c r="U160" s="96">
        <v>0.15898829040172988</v>
      </c>
      <c r="V160" s="96">
        <v>0.1595823706440791</v>
      </c>
      <c r="W160" s="96">
        <v>0.15882116043312197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0.11374079082797477</v>
      </c>
      <c r="L161" s="96">
        <v>0.11381157443359852</v>
      </c>
      <c r="M161" s="96">
        <v>0.1128940932340768</v>
      </c>
      <c r="N161" s="96">
        <v>0.11205001392089983</v>
      </c>
      <c r="O161" s="96">
        <v>0.11155707988234756</v>
      </c>
      <c r="P161" s="96">
        <v>0.11155242505547407</v>
      </c>
      <c r="Q161" s="96">
        <v>0.11137956849014202</v>
      </c>
      <c r="R161" s="96">
        <v>0.11221495249162262</v>
      </c>
      <c r="S161" s="96">
        <v>0.11210685830915848</v>
      </c>
      <c r="T161" s="96">
        <v>0.11200161277215592</v>
      </c>
      <c r="U161" s="96">
        <v>0.11260850138774169</v>
      </c>
      <c r="V161" s="96">
        <v>0.11348690095273894</v>
      </c>
      <c r="W161" s="96">
        <v>0.11340285125947247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0.20233415015570841</v>
      </c>
      <c r="F162" s="96">
        <v>0.20228708802796633</v>
      </c>
      <c r="G162" s="96">
        <v>0.20224062093419173</v>
      </c>
      <c r="H162" s="96">
        <v>0.20219383888497897</v>
      </c>
      <c r="I162" s="96">
        <v>0.20217132310814198</v>
      </c>
      <c r="J162" s="96">
        <v>0.20216888923174595</v>
      </c>
      <c r="K162" s="96">
        <v>0.20212758958908034</v>
      </c>
      <c r="L162" s="96">
        <v>0.20208271578051043</v>
      </c>
      <c r="M162" s="96">
        <v>0.2020437124576232</v>
      </c>
      <c r="N162" s="96">
        <v>0.20201038487057502</v>
      </c>
      <c r="O162" s="96">
        <v>0.2020068411016254</v>
      </c>
      <c r="P162" s="96">
        <v>0.20196837867274317</v>
      </c>
      <c r="Q162" s="96">
        <v>0.20194443447949054</v>
      </c>
      <c r="R162" s="96">
        <v>0.20197743879352839</v>
      </c>
      <c r="S162" s="96">
        <v>0.202025575594731</v>
      </c>
      <c r="T162" s="96">
        <v>0.2020734880714902</v>
      </c>
      <c r="U162" s="96">
        <v>0.20208660788985064</v>
      </c>
      <c r="V162" s="96">
        <v>0.20262569375985723</v>
      </c>
      <c r="W162" s="96">
        <v>0.20209672943168497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12.637355718304093</v>
      </c>
      <c r="C163" s="130">
        <f t="shared" si="215"/>
        <v>12.208673266326441</v>
      </c>
      <c r="D163" s="130">
        <f t="shared" si="215"/>
        <v>11.226744478441695</v>
      </c>
      <c r="E163" s="130">
        <f t="shared" si="215"/>
        <v>10.764123108238266</v>
      </c>
      <c r="F163" s="130">
        <f t="shared" si="215"/>
        <v>10.808029731817438</v>
      </c>
      <c r="G163" s="130">
        <f t="shared" si="215"/>
        <v>10.855363040255233</v>
      </c>
      <c r="H163" s="130">
        <f t="shared" si="215"/>
        <v>10.50710726308438</v>
      </c>
      <c r="I163" s="130">
        <f t="shared" si="215"/>
        <v>10.630553754609451</v>
      </c>
      <c r="J163" s="130">
        <f t="shared" si="215"/>
        <v>10.464800028057823</v>
      </c>
      <c r="K163" s="130">
        <f t="shared" si="215"/>
        <v>10.060696812124062</v>
      </c>
      <c r="L163" s="130">
        <f t="shared" ref="L163" si="216">IF(L26=0,0,L26/L53)</f>
        <v>9.8543925169461222</v>
      </c>
      <c r="M163" s="130">
        <f t="shared" ref="M163:V163" si="217">IF(M26=0,0,M26/M53)</f>
        <v>9.6831452738898136</v>
      </c>
      <c r="N163" s="130">
        <f t="shared" si="217"/>
        <v>9.8187362815477091</v>
      </c>
      <c r="O163" s="130">
        <f t="shared" si="217"/>
        <v>9.983383805033144</v>
      </c>
      <c r="P163" s="130">
        <f t="shared" si="217"/>
        <v>10.086667257279284</v>
      </c>
      <c r="Q163" s="130">
        <f t="shared" si="217"/>
        <v>10.321495877277011</v>
      </c>
      <c r="R163" s="130">
        <f t="shared" si="217"/>
        <v>10.146685005450259</v>
      </c>
      <c r="S163" s="130">
        <f t="shared" si="217"/>
        <v>10.427527974739737</v>
      </c>
      <c r="T163" s="130">
        <f t="shared" si="217"/>
        <v>10.574056335833232</v>
      </c>
      <c r="U163" s="130">
        <f t="shared" si="217"/>
        <v>10.373828067878591</v>
      </c>
      <c r="V163" s="130">
        <f t="shared" si="217"/>
        <v>10.41381284407454</v>
      </c>
      <c r="W163" s="130">
        <f t="shared" ref="W163" si="218">IF(W26=0,0,W26/W53)</f>
        <v>10.149535581911442</v>
      </c>
      <c r="DA163" s="176" t="s">
        <v>573</v>
      </c>
    </row>
    <row r="164" spans="1:105" ht="11.45" customHeight="1" x14ac:dyDescent="0.25">
      <c r="A164" s="128" t="s">
        <v>27</v>
      </c>
      <c r="B164" s="97">
        <v>10.011760640404768</v>
      </c>
      <c r="C164" s="97">
        <v>10.092609966872617</v>
      </c>
      <c r="D164" s="97">
        <v>8.6648441207570936</v>
      </c>
      <c r="E164" s="97">
        <v>8.2734274711168165</v>
      </c>
      <c r="F164" s="97">
        <v>8.2734274711168165</v>
      </c>
      <c r="G164" s="97">
        <v>8.2734274711168165</v>
      </c>
      <c r="H164" s="97">
        <v>8.2734274711168165</v>
      </c>
      <c r="I164" s="97">
        <v>8.2734274711168165</v>
      </c>
      <c r="J164" s="97">
        <v>9.090267983074753</v>
      </c>
      <c r="K164" s="97">
        <v>8.5559265442404016</v>
      </c>
      <c r="L164" s="97">
        <v>8.0335689045936398</v>
      </c>
      <c r="M164" s="97">
        <v>7.7985739750445635</v>
      </c>
      <c r="N164" s="97">
        <v>7.9254302103250476</v>
      </c>
      <c r="O164" s="97">
        <v>8.0982986767485823</v>
      </c>
      <c r="P164" s="97">
        <v>7.9736308316430025</v>
      </c>
      <c r="Q164" s="97">
        <v>8.1262525050100187</v>
      </c>
      <c r="R164" s="97">
        <v>7.8619329388560155</v>
      </c>
      <c r="S164" s="97">
        <v>7.8780487804878048</v>
      </c>
      <c r="T164" s="97">
        <v>8.0360531309297905</v>
      </c>
      <c r="U164" s="97">
        <v>8.0447761194029859</v>
      </c>
      <c r="V164" s="97">
        <v>8.2179487179487172</v>
      </c>
      <c r="W164" s="97">
        <v>8.0570469798657722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14.338603689647606</v>
      </c>
      <c r="E165" s="98">
        <v>14.254152494203545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13.915448013039784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</v>
      </c>
      <c r="Q165" s="98">
        <v>14.005556317739057</v>
      </c>
      <c r="R165" s="98">
        <v>13.931044885469863</v>
      </c>
      <c r="S165" s="98">
        <v>14.049661034098957</v>
      </c>
      <c r="T165" s="98">
        <v>14.155971572922999</v>
      </c>
      <c r="U165" s="98">
        <v>14.102032210128923</v>
      </c>
      <c r="V165" s="98">
        <v>13.886790192476637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11857.518516110258</v>
      </c>
      <c r="C167" s="54">
        <f t="shared" si="219"/>
        <v>12166.377012299943</v>
      </c>
      <c r="D167" s="54">
        <f t="shared" si="219"/>
        <v>12407.771745255473</v>
      </c>
      <c r="E167" s="54">
        <f t="shared" si="219"/>
        <v>12218.77768414717</v>
      </c>
      <c r="F167" s="54">
        <f t="shared" si="219"/>
        <v>12346.02588756299</v>
      </c>
      <c r="G167" s="54">
        <f t="shared" si="219"/>
        <v>12231.04303609367</v>
      </c>
      <c r="H167" s="54">
        <f t="shared" si="219"/>
        <v>12082.385220429936</v>
      </c>
      <c r="I167" s="54">
        <f t="shared" si="219"/>
        <v>12015.878594253449</v>
      </c>
      <c r="J167" s="54">
        <f t="shared" si="219"/>
        <v>12700.562590532159</v>
      </c>
      <c r="K167" s="54">
        <f t="shared" si="219"/>
        <v>12460.765706173317</v>
      </c>
      <c r="L167" s="54">
        <f t="shared" si="219"/>
        <v>12508.237652553924</v>
      </c>
      <c r="M167" s="54">
        <f>IF(M30=0,0,M30*1000000/M57)</f>
        <v>12347.666533402838</v>
      </c>
      <c r="N167" s="54">
        <f t="shared" ref="N167:V167" si="220">IF(N30=0,0,N30*1000000/N57)</f>
        <v>12526.076455595045</v>
      </c>
      <c r="O167" s="54">
        <f t="shared" si="220"/>
        <v>12516.323573142057</v>
      </c>
      <c r="P167" s="54">
        <f t="shared" si="220"/>
        <v>12476.218288020467</v>
      </c>
      <c r="Q167" s="54">
        <f t="shared" si="220"/>
        <v>12647.406205050789</v>
      </c>
      <c r="R167" s="54">
        <f t="shared" si="220"/>
        <v>13346.301897468828</v>
      </c>
      <c r="S167" s="54">
        <f t="shared" si="220"/>
        <v>13446.058462718309</v>
      </c>
      <c r="T167" s="54">
        <f t="shared" si="220"/>
        <v>13401.862236359917</v>
      </c>
      <c r="U167" s="54">
        <f t="shared" si="220"/>
        <v>12556.674203566992</v>
      </c>
      <c r="V167" s="54">
        <f t="shared" si="220"/>
        <v>10433.747896068469</v>
      </c>
      <c r="W167" s="54">
        <f t="shared" ref="W167:W191" si="221">IF(W30=0,0,W30*1000000/W57)</f>
        <v>11659.568776866094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11745.531261562401</v>
      </c>
      <c r="C168" s="28">
        <f t="shared" si="219"/>
        <v>12053.386616804068</v>
      </c>
      <c r="D168" s="28">
        <f t="shared" si="219"/>
        <v>12249.657780917181</v>
      </c>
      <c r="E168" s="28">
        <f t="shared" si="219"/>
        <v>12007.616933807267</v>
      </c>
      <c r="F168" s="28">
        <f t="shared" si="219"/>
        <v>12087.607174870525</v>
      </c>
      <c r="G168" s="28">
        <f t="shared" si="219"/>
        <v>11929.929984775565</v>
      </c>
      <c r="H168" s="28">
        <f t="shared" si="219"/>
        <v>11771.677196310146</v>
      </c>
      <c r="I168" s="28">
        <f t="shared" si="219"/>
        <v>11707.344046615322</v>
      </c>
      <c r="J168" s="28">
        <f t="shared" si="219"/>
        <v>12519.833148914133</v>
      </c>
      <c r="K168" s="28">
        <f t="shared" si="219"/>
        <v>12292.199255563291</v>
      </c>
      <c r="L168" s="28">
        <f t="shared" si="219"/>
        <v>12396.559828745838</v>
      </c>
      <c r="M168" s="28">
        <f t="shared" ref="M168:M192" si="222">IF(M31=0,0,M31*1000000/M58)</f>
        <v>12215.462585830524</v>
      </c>
      <c r="N168" s="28">
        <f t="shared" si="219"/>
        <v>12413.698437485347</v>
      </c>
      <c r="O168" s="28">
        <f t="shared" si="219"/>
        <v>12407.053425894746</v>
      </c>
      <c r="P168" s="28">
        <f t="shared" si="219"/>
        <v>12403.389649130617</v>
      </c>
      <c r="Q168" s="28">
        <f t="shared" si="219"/>
        <v>12567.723117984278</v>
      </c>
      <c r="R168" s="28">
        <f t="shared" si="219"/>
        <v>13326.579303406139</v>
      </c>
      <c r="S168" s="28">
        <f t="shared" si="219"/>
        <v>13374.576771877204</v>
      </c>
      <c r="T168" s="28">
        <f t="shared" si="219"/>
        <v>13312.292208440189</v>
      </c>
      <c r="U168" s="28">
        <f t="shared" si="219"/>
        <v>12398.748829534883</v>
      </c>
      <c r="V168" s="28">
        <f t="shared" si="219"/>
        <v>10041.27379808861</v>
      </c>
      <c r="W168" s="28">
        <f t="shared" si="221"/>
        <v>11370.600721186845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1660.0486847134466</v>
      </c>
      <c r="C169" s="137">
        <f t="shared" si="219"/>
        <v>1661.702611039113</v>
      </c>
      <c r="D169" s="137">
        <f t="shared" si="219"/>
        <v>1645.4811582817006</v>
      </c>
      <c r="E169" s="137">
        <f t="shared" si="219"/>
        <v>1596.4341428941643</v>
      </c>
      <c r="F169" s="137">
        <f t="shared" si="219"/>
        <v>1555.4425972248077</v>
      </c>
      <c r="G169" s="137">
        <f t="shared" si="219"/>
        <v>1515.993483716705</v>
      </c>
      <c r="H169" s="137">
        <f t="shared" si="219"/>
        <v>1482.6418553379476</v>
      </c>
      <c r="I169" s="137">
        <f t="shared" si="219"/>
        <v>1434.0418627505351</v>
      </c>
      <c r="J169" s="137">
        <f t="shared" si="219"/>
        <v>1390.922544960787</v>
      </c>
      <c r="K169" s="137">
        <f t="shared" si="219"/>
        <v>1379.5083267019832</v>
      </c>
      <c r="L169" s="137">
        <f t="shared" si="219"/>
        <v>1381.542944144747</v>
      </c>
      <c r="M169" s="137">
        <f t="shared" si="222"/>
        <v>1384.4339542630994</v>
      </c>
      <c r="N169" s="137">
        <f t="shared" si="219"/>
        <v>1379.768437697121</v>
      </c>
      <c r="O169" s="137">
        <f t="shared" si="219"/>
        <v>1395.4282664428888</v>
      </c>
      <c r="P169" s="137">
        <f t="shared" si="219"/>
        <v>1408.0251167013128</v>
      </c>
      <c r="Q169" s="137">
        <f t="shared" si="219"/>
        <v>1421.2338954368477</v>
      </c>
      <c r="R169" s="137">
        <f t="shared" si="219"/>
        <v>1471.809933735846</v>
      </c>
      <c r="S169" s="137">
        <f t="shared" si="219"/>
        <v>1523.3131737419701</v>
      </c>
      <c r="T169" s="137">
        <f t="shared" si="219"/>
        <v>1525.1749184984653</v>
      </c>
      <c r="U169" s="137">
        <f t="shared" si="219"/>
        <v>1568.4995106281526</v>
      </c>
      <c r="V169" s="137">
        <f t="shared" si="219"/>
        <v>1384.387880313375</v>
      </c>
      <c r="W169" s="137">
        <f t="shared" si="221"/>
        <v>1671.8990916014936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12267.791223296395</v>
      </c>
      <c r="C170" s="110">
        <f t="shared" si="219"/>
        <v>12571.033163629538</v>
      </c>
      <c r="D170" s="110">
        <f t="shared" si="219"/>
        <v>12804.598761404854</v>
      </c>
      <c r="E170" s="110">
        <f t="shared" si="219"/>
        <v>12641.676842811734</v>
      </c>
      <c r="F170" s="110">
        <f t="shared" si="219"/>
        <v>12822.108212466914</v>
      </c>
      <c r="G170" s="110">
        <f t="shared" si="219"/>
        <v>12751.091703056771</v>
      </c>
      <c r="H170" s="110">
        <f t="shared" si="219"/>
        <v>12663.394109396915</v>
      </c>
      <c r="I170" s="110">
        <f t="shared" si="219"/>
        <v>12590.066225165563</v>
      </c>
      <c r="J170" s="110">
        <f t="shared" si="219"/>
        <v>13511.283043197935</v>
      </c>
      <c r="K170" s="110">
        <f t="shared" si="219"/>
        <v>13280.849293467052</v>
      </c>
      <c r="L170" s="110">
        <f t="shared" si="219"/>
        <v>13406.158501010132</v>
      </c>
      <c r="M170" s="110">
        <f t="shared" si="222"/>
        <v>13208.654314200445</v>
      </c>
      <c r="N170" s="110">
        <f t="shared" si="219"/>
        <v>13491.889709846695</v>
      </c>
      <c r="O170" s="110">
        <f t="shared" si="219"/>
        <v>13464.598340923583</v>
      </c>
      <c r="P170" s="110">
        <f t="shared" si="219"/>
        <v>13425.469074411492</v>
      </c>
      <c r="Q170" s="110">
        <f t="shared" si="219"/>
        <v>13568.981146578708</v>
      </c>
      <c r="R170" s="110">
        <f t="shared" si="219"/>
        <v>14365.987852436465</v>
      </c>
      <c r="S170" s="110">
        <f t="shared" si="219"/>
        <v>14393.325677109082</v>
      </c>
      <c r="T170" s="110">
        <f t="shared" si="219"/>
        <v>14295.375756190093</v>
      </c>
      <c r="U170" s="110">
        <f t="shared" si="219"/>
        <v>13312.655806133687</v>
      </c>
      <c r="V170" s="110">
        <f t="shared" si="219"/>
        <v>10772.88382587138</v>
      </c>
      <c r="W170" s="110">
        <f t="shared" si="221"/>
        <v>12181.419242475871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12192.63105019849</v>
      </c>
      <c r="C171" s="84">
        <f t="shared" si="219"/>
        <v>12545.994645741506</v>
      </c>
      <c r="D171" s="84">
        <f t="shared" si="219"/>
        <v>12693.92093446644</v>
      </c>
      <c r="E171" s="84">
        <f t="shared" si="219"/>
        <v>11798.220539416996</v>
      </c>
      <c r="F171" s="84">
        <f t="shared" si="219"/>
        <v>11625.987649159486</v>
      </c>
      <c r="G171" s="84">
        <f t="shared" si="219"/>
        <v>11155.192046729859</v>
      </c>
      <c r="H171" s="84">
        <f t="shared" si="219"/>
        <v>10508.985776530826</v>
      </c>
      <c r="I171" s="84">
        <f t="shared" si="219"/>
        <v>10134.729565307742</v>
      </c>
      <c r="J171" s="84">
        <f t="shared" si="219"/>
        <v>11933.533210627882</v>
      </c>
      <c r="K171" s="84">
        <f t="shared" si="219"/>
        <v>11949.154943127905</v>
      </c>
      <c r="L171" s="84">
        <f t="shared" si="219"/>
        <v>12064.21784464988</v>
      </c>
      <c r="M171" s="84">
        <f t="shared" si="222"/>
        <v>11730.351047926497</v>
      </c>
      <c r="N171" s="84">
        <f t="shared" si="219"/>
        <v>11923.359886452326</v>
      </c>
      <c r="O171" s="84">
        <f t="shared" si="219"/>
        <v>11665.018168967272</v>
      </c>
      <c r="P171" s="84">
        <f t="shared" si="219"/>
        <v>10927.656646913882</v>
      </c>
      <c r="Q171" s="84">
        <f t="shared" si="219"/>
        <v>11170.784897039686</v>
      </c>
      <c r="R171" s="84">
        <f t="shared" si="219"/>
        <v>11744.071814353429</v>
      </c>
      <c r="S171" s="84">
        <f t="shared" si="219"/>
        <v>11894.658986745266</v>
      </c>
      <c r="T171" s="84">
        <f t="shared" si="219"/>
        <v>12394.885425914368</v>
      </c>
      <c r="U171" s="84">
        <f t="shared" si="219"/>
        <v>11520.92355303017</v>
      </c>
      <c r="V171" s="84">
        <f t="shared" si="219"/>
        <v>9306.8246344188174</v>
      </c>
      <c r="W171" s="84">
        <f t="shared" si="221"/>
        <v>10789.685257988265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12439.947042205467</v>
      </c>
      <c r="C172" s="84">
        <f t="shared" si="219"/>
        <v>12511.188039017094</v>
      </c>
      <c r="D172" s="84">
        <f t="shared" si="219"/>
        <v>13009.559501641283</v>
      </c>
      <c r="E172" s="84">
        <f t="shared" si="219"/>
        <v>14920.251517267594</v>
      </c>
      <c r="F172" s="84">
        <f t="shared" si="219"/>
        <v>15684.748381839643</v>
      </c>
      <c r="G172" s="84">
        <f t="shared" si="219"/>
        <v>16250.328107610978</v>
      </c>
      <c r="H172" s="84">
        <f t="shared" si="219"/>
        <v>16964.858346560282</v>
      </c>
      <c r="I172" s="84">
        <f t="shared" si="219"/>
        <v>17015.541745842591</v>
      </c>
      <c r="J172" s="84">
        <f t="shared" si="219"/>
        <v>16225.019950663533</v>
      </c>
      <c r="K172" s="84">
        <f t="shared" si="219"/>
        <v>15697.277037762749</v>
      </c>
      <c r="L172" s="84">
        <f t="shared" si="219"/>
        <v>15760.627600249183</v>
      </c>
      <c r="M172" s="84">
        <f t="shared" si="222"/>
        <v>15763.605245547604</v>
      </c>
      <c r="N172" s="84">
        <f t="shared" si="219"/>
        <v>15908.068325702969</v>
      </c>
      <c r="O172" s="84">
        <f t="shared" si="219"/>
        <v>16033.883252930469</v>
      </c>
      <c r="P172" s="84">
        <f t="shared" si="219"/>
        <v>16625.521114139498</v>
      </c>
      <c r="Q172" s="84">
        <f t="shared" si="219"/>
        <v>16299.104885875053</v>
      </c>
      <c r="R172" s="84">
        <f t="shared" si="219"/>
        <v>17272.493880184138</v>
      </c>
      <c r="S172" s="84">
        <f t="shared" si="219"/>
        <v>17047.107244566174</v>
      </c>
      <c r="T172" s="84">
        <f t="shared" si="219"/>
        <v>16274.552609401584</v>
      </c>
      <c r="U172" s="84">
        <f t="shared" si="219"/>
        <v>15082.932440726805</v>
      </c>
      <c r="V172" s="84">
        <f t="shared" si="219"/>
        <v>12196.732589143139</v>
      </c>
      <c r="W172" s="84">
        <f t="shared" si="221"/>
        <v>13630.14357818276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14399.805647832294</v>
      </c>
      <c r="C173" s="84">
        <f t="shared" si="219"/>
        <v>15135.16368461098</v>
      </c>
      <c r="D173" s="84">
        <f t="shared" si="219"/>
        <v>15499.485758793469</v>
      </c>
      <c r="E173" s="84">
        <f t="shared" si="219"/>
        <v>14723.512116809954</v>
      </c>
      <c r="F173" s="84">
        <f t="shared" si="219"/>
        <v>15162.350674935669</v>
      </c>
      <c r="G173" s="84">
        <f t="shared" si="219"/>
        <v>14869.93652792863</v>
      </c>
      <c r="H173" s="84">
        <f t="shared" si="219"/>
        <v>15183.102427867398</v>
      </c>
      <c r="I173" s="84">
        <f t="shared" si="219"/>
        <v>14902.696258215736</v>
      </c>
      <c r="J173" s="84">
        <f t="shared" si="219"/>
        <v>14909.332591584205</v>
      </c>
      <c r="K173" s="84">
        <f t="shared" si="219"/>
        <v>13284.933619852327</v>
      </c>
      <c r="L173" s="84">
        <f t="shared" si="219"/>
        <v>13369.91237980577</v>
      </c>
      <c r="M173" s="84">
        <f t="shared" si="222"/>
        <v>12852.940511301202</v>
      </c>
      <c r="N173" s="84">
        <f t="shared" si="219"/>
        <v>13604.610644619028</v>
      </c>
      <c r="O173" s="84">
        <f t="shared" si="219"/>
        <v>14106.038952572657</v>
      </c>
      <c r="P173" s="84">
        <f t="shared" si="219"/>
        <v>14434.086356309275</v>
      </c>
      <c r="Q173" s="84">
        <f t="shared" si="219"/>
        <v>14919.263628934537</v>
      </c>
      <c r="R173" s="84">
        <f t="shared" si="219"/>
        <v>14134.184938457429</v>
      </c>
      <c r="S173" s="84">
        <f t="shared" si="219"/>
        <v>13225.9912836449</v>
      </c>
      <c r="T173" s="84">
        <f t="shared" si="219"/>
        <v>12271.163501885607</v>
      </c>
      <c r="U173" s="84">
        <f t="shared" si="219"/>
        <v>10973.440291326651</v>
      </c>
      <c r="V173" s="84">
        <f t="shared" si="219"/>
        <v>8458.6876065763045</v>
      </c>
      <c r="W173" s="84">
        <f t="shared" si="221"/>
        <v>8771.4640340961032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15775.224654617999</v>
      </c>
      <c r="L174" s="84">
        <f t="shared" si="219"/>
        <v>15980.834091818359</v>
      </c>
      <c r="M174" s="84">
        <f t="shared" si="222"/>
        <v>16027.151223383506</v>
      </c>
      <c r="N174" s="84">
        <f t="shared" si="219"/>
        <v>16970.233227684752</v>
      </c>
      <c r="O174" s="84">
        <f t="shared" si="219"/>
        <v>17283.936880549991</v>
      </c>
      <c r="P174" s="84">
        <f t="shared" si="219"/>
        <v>16917.650017475218</v>
      </c>
      <c r="Q174" s="84">
        <f t="shared" si="219"/>
        <v>16805.617905788218</v>
      </c>
      <c r="R174" s="84">
        <f t="shared" si="219"/>
        <v>17747.096891727502</v>
      </c>
      <c r="S174" s="84">
        <f t="shared" si="219"/>
        <v>18177.892570264838</v>
      </c>
      <c r="T174" s="84">
        <f t="shared" si="219"/>
        <v>18457.110573527279</v>
      </c>
      <c r="U174" s="84">
        <f t="shared" si="219"/>
        <v>17423.633711693677</v>
      </c>
      <c r="V174" s="84">
        <f t="shared" si="219"/>
        <v>13999.85835263915</v>
      </c>
      <c r="W174" s="84">
        <f t="shared" si="221"/>
        <v>16453.201059712253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0</v>
      </c>
      <c r="P175" s="84">
        <f t="shared" si="219"/>
        <v>12864.311794714822</v>
      </c>
      <c r="Q175" s="84">
        <f t="shared" si="219"/>
        <v>13204.274832519261</v>
      </c>
      <c r="R175" s="84">
        <f t="shared" si="219"/>
        <v>12987.059308978482</v>
      </c>
      <c r="S175" s="84">
        <f t="shared" si="219"/>
        <v>12389.405557450191</v>
      </c>
      <c r="T175" s="84">
        <f t="shared" si="219"/>
        <v>12201.228528807438</v>
      </c>
      <c r="U175" s="84">
        <f t="shared" si="219"/>
        <v>11856.805818118848</v>
      </c>
      <c r="V175" s="84">
        <f t="shared" si="219"/>
        <v>9807.12574424169</v>
      </c>
      <c r="W175" s="84">
        <f t="shared" si="221"/>
        <v>11717.339861470698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13728.079944098496</v>
      </c>
      <c r="O176" s="84">
        <f t="shared" si="219"/>
        <v>13737.458081249653</v>
      </c>
      <c r="P176" s="84">
        <f t="shared" si="219"/>
        <v>13772.125396784579</v>
      </c>
      <c r="Q176" s="84">
        <f t="shared" si="219"/>
        <v>13788.334630441661</v>
      </c>
      <c r="R176" s="84">
        <f t="shared" si="219"/>
        <v>13731.076481787471</v>
      </c>
      <c r="S176" s="84">
        <f t="shared" si="219"/>
        <v>13720.622202766095</v>
      </c>
      <c r="T176" s="84">
        <f t="shared" si="219"/>
        <v>13716.247980048391</v>
      </c>
      <c r="U176" s="84">
        <f t="shared" si="219"/>
        <v>13696.624059265216</v>
      </c>
      <c r="V176" s="84">
        <f t="shared" si="219"/>
        <v>11879.387876710436</v>
      </c>
      <c r="W176" s="84">
        <f t="shared" si="221"/>
        <v>13688.546540776515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38514.343242702744</v>
      </c>
      <c r="C177" s="110">
        <f t="shared" si="219"/>
        <v>38443.152166031345</v>
      </c>
      <c r="D177" s="110">
        <f t="shared" si="219"/>
        <v>37694.984763540648</v>
      </c>
      <c r="E177" s="110">
        <f t="shared" si="219"/>
        <v>36967.050627492288</v>
      </c>
      <c r="F177" s="110">
        <f t="shared" si="219"/>
        <v>36248.590274081915</v>
      </c>
      <c r="G177" s="110">
        <f t="shared" si="219"/>
        <v>35542.26252161224</v>
      </c>
      <c r="H177" s="110">
        <f t="shared" si="219"/>
        <v>34851.849315913685</v>
      </c>
      <c r="I177" s="110">
        <f t="shared" si="219"/>
        <v>34204.892498774745</v>
      </c>
      <c r="J177" s="110">
        <f t="shared" si="219"/>
        <v>33545.275158956378</v>
      </c>
      <c r="K177" s="110">
        <f t="shared" si="219"/>
        <v>33169.033965260518</v>
      </c>
      <c r="L177" s="110">
        <f t="shared" si="219"/>
        <v>33810.074341334381</v>
      </c>
      <c r="M177" s="110">
        <f t="shared" si="222"/>
        <v>33138.553189585618</v>
      </c>
      <c r="N177" s="110">
        <f t="shared" si="219"/>
        <v>32456.398337877999</v>
      </c>
      <c r="O177" s="110">
        <f t="shared" si="219"/>
        <v>31855.332722755167</v>
      </c>
      <c r="P177" s="110">
        <f t="shared" si="219"/>
        <v>31302.940933918129</v>
      </c>
      <c r="Q177" s="110">
        <f t="shared" si="219"/>
        <v>31976.438413800359</v>
      </c>
      <c r="R177" s="110">
        <f t="shared" si="219"/>
        <v>33668.651200985427</v>
      </c>
      <c r="S177" s="110">
        <f t="shared" si="219"/>
        <v>33756.549778315188</v>
      </c>
      <c r="T177" s="110">
        <f t="shared" si="219"/>
        <v>34762.800831930268</v>
      </c>
      <c r="U177" s="110">
        <f t="shared" si="219"/>
        <v>27003.314486254636</v>
      </c>
      <c r="V177" s="110">
        <f t="shared" si="219"/>
        <v>19903.498190591075</v>
      </c>
      <c r="W177" s="110">
        <f t="shared" si="221"/>
        <v>22217.546812539447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24620.260145751734</v>
      </c>
      <c r="C178" s="102">
        <f t="shared" si="219"/>
        <v>24572.47808018931</v>
      </c>
      <c r="D178" s="102">
        <f t="shared" si="219"/>
        <v>24070.591737477287</v>
      </c>
      <c r="E178" s="102">
        <f t="shared" si="219"/>
        <v>23582.756052385754</v>
      </c>
      <c r="F178" s="102">
        <f t="shared" si="219"/>
        <v>23101.740093556826</v>
      </c>
      <c r="G178" s="102">
        <f t="shared" si="219"/>
        <v>22629.311463538837</v>
      </c>
      <c r="H178" s="102">
        <f t="shared" si="219"/>
        <v>22167.98072676445</v>
      </c>
      <c r="I178" s="102">
        <f t="shared" si="219"/>
        <v>21736.101702664109</v>
      </c>
      <c r="J178" s="102">
        <f t="shared" si="219"/>
        <v>21296.191462080573</v>
      </c>
      <c r="K178" s="102">
        <f t="shared" si="219"/>
        <v>20943.631036578783</v>
      </c>
      <c r="L178" s="102">
        <f t="shared" si="219"/>
        <v>21368.336135014797</v>
      </c>
      <c r="M178" s="102">
        <f t="shared" si="222"/>
        <v>20922.679104561437</v>
      </c>
      <c r="N178" s="102">
        <f t="shared" si="219"/>
        <v>20471.414656759447</v>
      </c>
      <c r="O178" s="102">
        <f t="shared" si="219"/>
        <v>20073.767969610264</v>
      </c>
      <c r="P178" s="102">
        <f t="shared" si="219"/>
        <v>19708.642614822817</v>
      </c>
      <c r="Q178" s="102">
        <f t="shared" si="219"/>
        <v>19958.732707077095</v>
      </c>
      <c r="R178" s="102">
        <f t="shared" si="219"/>
        <v>21069.21584062685</v>
      </c>
      <c r="S178" s="102">
        <f t="shared" si="219"/>
        <v>21126.975167014072</v>
      </c>
      <c r="T178" s="102">
        <f t="shared" si="219"/>
        <v>21788.727430709521</v>
      </c>
      <c r="U178" s="102">
        <f t="shared" si="219"/>
        <v>16712.80307157915</v>
      </c>
      <c r="V178" s="102">
        <f t="shared" si="219"/>
        <v>12132.135500300426</v>
      </c>
      <c r="W178" s="102">
        <f t="shared" si="221"/>
        <v>13617.339868048062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38578.989436011805</v>
      </c>
      <c r="C179" s="102">
        <f t="shared" si="219"/>
        <v>38510.39227586575</v>
      </c>
      <c r="D179" s="102">
        <f t="shared" si="219"/>
        <v>37762.408966569848</v>
      </c>
      <c r="E179" s="102">
        <f t="shared" si="219"/>
        <v>37031.346678293448</v>
      </c>
      <c r="F179" s="102">
        <f t="shared" si="219"/>
        <v>36308.512107174545</v>
      </c>
      <c r="G179" s="102">
        <f t="shared" si="219"/>
        <v>35602.445651472532</v>
      </c>
      <c r="H179" s="102">
        <f t="shared" si="219"/>
        <v>34912.187120958908</v>
      </c>
      <c r="I179" s="102">
        <f t="shared" si="219"/>
        <v>34260.123823053917</v>
      </c>
      <c r="J179" s="102">
        <f t="shared" si="219"/>
        <v>33605.903079716372</v>
      </c>
      <c r="K179" s="102">
        <f t="shared" si="219"/>
        <v>33284.93519176422</v>
      </c>
      <c r="L179" s="102">
        <f t="shared" si="219"/>
        <v>33931.908497600241</v>
      </c>
      <c r="M179" s="102">
        <f t="shared" si="222"/>
        <v>33256.798126573158</v>
      </c>
      <c r="N179" s="102">
        <f t="shared" si="219"/>
        <v>32584.275767679752</v>
      </c>
      <c r="O179" s="102">
        <f t="shared" si="219"/>
        <v>32079.23168570943</v>
      </c>
      <c r="P179" s="102">
        <f t="shared" si="219"/>
        <v>31688.674035478747</v>
      </c>
      <c r="Q179" s="102">
        <f t="shared" si="219"/>
        <v>32357.397836809279</v>
      </c>
      <c r="R179" s="102">
        <f t="shared" si="219"/>
        <v>34078.218331374082</v>
      </c>
      <c r="S179" s="102">
        <f t="shared" si="219"/>
        <v>34066.122867153063</v>
      </c>
      <c r="T179" s="102">
        <f t="shared" si="219"/>
        <v>35084.902396444486</v>
      </c>
      <c r="U179" s="102">
        <f t="shared" si="219"/>
        <v>27084.553092993821</v>
      </c>
      <c r="V179" s="102">
        <f t="shared" si="219"/>
        <v>19965.868468941499</v>
      </c>
      <c r="W179" s="102">
        <f t="shared" si="221"/>
        <v>22128.044216829225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22190.725900444344</v>
      </c>
      <c r="J180" s="102">
        <f t="shared" si="223"/>
        <v>22185.321082971539</v>
      </c>
      <c r="K180" s="102">
        <f t="shared" si="223"/>
        <v>22263.307177656145</v>
      </c>
      <c r="L180" s="102">
        <f t="shared" si="223"/>
        <v>23178.340110543377</v>
      </c>
      <c r="M180" s="102">
        <f t="shared" si="222"/>
        <v>23158.095633533743</v>
      </c>
      <c r="N180" s="102">
        <f t="shared" si="223"/>
        <v>23121.038044349691</v>
      </c>
      <c r="O180" s="102">
        <f t="shared" si="223"/>
        <v>23134.61610961644</v>
      </c>
      <c r="P180" s="102">
        <f t="shared" si="223"/>
        <v>23177.363715031628</v>
      </c>
      <c r="Q180" s="102">
        <f t="shared" si="223"/>
        <v>23950.479248492509</v>
      </c>
      <c r="R180" s="102">
        <f t="shared" si="223"/>
        <v>24777.39782857717</v>
      </c>
      <c r="S180" s="102">
        <f t="shared" si="223"/>
        <v>24348.416340480377</v>
      </c>
      <c r="T180" s="102">
        <f t="shared" si="223"/>
        <v>24608.851137557223</v>
      </c>
      <c r="U180" s="102">
        <f t="shared" si="223"/>
        <v>18498.42890108977</v>
      </c>
      <c r="V180" s="102">
        <f t="shared" si="223"/>
        <v>13159.787505980552</v>
      </c>
      <c r="W180" s="102">
        <f t="shared" si="221"/>
        <v>14475.380123695151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24014.485833022882</v>
      </c>
      <c r="L181" s="102">
        <f t="shared" si="223"/>
        <v>24501.463213009723</v>
      </c>
      <c r="M181" s="102">
        <f t="shared" si="222"/>
        <v>23990.46182907981</v>
      </c>
      <c r="N181" s="102">
        <f t="shared" si="223"/>
        <v>23473.030841599139</v>
      </c>
      <c r="O181" s="102">
        <f t="shared" si="223"/>
        <v>23017.079305859497</v>
      </c>
      <c r="P181" s="102">
        <f t="shared" si="223"/>
        <v>22598.417534913166</v>
      </c>
      <c r="Q181" s="102">
        <f t="shared" si="223"/>
        <v>22885.177025993315</v>
      </c>
      <c r="R181" s="102">
        <f t="shared" si="223"/>
        <v>23386.783926996632</v>
      </c>
      <c r="S181" s="102">
        <f t="shared" si="223"/>
        <v>26337.798196566971</v>
      </c>
      <c r="T181" s="102">
        <f t="shared" si="223"/>
        <v>26687.732985287705</v>
      </c>
      <c r="U181" s="102">
        <f t="shared" si="223"/>
        <v>25733.446447895549</v>
      </c>
      <c r="V181" s="102">
        <f t="shared" si="223"/>
        <v>19020.328343509915</v>
      </c>
      <c r="W181" s="102">
        <f t="shared" si="221"/>
        <v>25865.794162939306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0</v>
      </c>
      <c r="Q182" s="102">
        <f t="shared" si="223"/>
        <v>43657.635823105891</v>
      </c>
      <c r="R182" s="102">
        <f t="shared" si="223"/>
        <v>43545.214317682599</v>
      </c>
      <c r="S182" s="102">
        <f t="shared" si="223"/>
        <v>43539.537931076331</v>
      </c>
      <c r="T182" s="102">
        <f t="shared" si="223"/>
        <v>43475.639635940744</v>
      </c>
      <c r="U182" s="102">
        <f t="shared" si="223"/>
        <v>42930.020512584269</v>
      </c>
      <c r="V182" s="102">
        <f t="shared" si="223"/>
        <v>34150.365054662281</v>
      </c>
      <c r="W182" s="102">
        <f t="shared" si="221"/>
        <v>42513.322520196838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13291.478188008075</v>
      </c>
      <c r="C183" s="28">
        <f t="shared" si="223"/>
        <v>13358.17215192418</v>
      </c>
      <c r="D183" s="28">
        <f t="shared" si="223"/>
        <v>14000.90129588839</v>
      </c>
      <c r="E183" s="28">
        <f t="shared" si="223"/>
        <v>14278.550106309702</v>
      </c>
      <c r="F183" s="28">
        <f t="shared" si="223"/>
        <v>14838.125161880118</v>
      </c>
      <c r="G183" s="28">
        <f t="shared" si="223"/>
        <v>15164.811759703463</v>
      </c>
      <c r="H183" s="28">
        <f t="shared" si="223"/>
        <v>14971.013408974815</v>
      </c>
      <c r="I183" s="28">
        <f t="shared" si="223"/>
        <v>15110.203006208272</v>
      </c>
      <c r="J183" s="28">
        <f t="shared" si="223"/>
        <v>14476.196336829193</v>
      </c>
      <c r="K183" s="28">
        <f t="shared" si="223"/>
        <v>14216.894778395612</v>
      </c>
      <c r="L183" s="28">
        <f t="shared" si="223"/>
        <v>13686.570629676795</v>
      </c>
      <c r="M183" s="28">
        <f t="shared" si="222"/>
        <v>13748.877033419276</v>
      </c>
      <c r="N183" s="28">
        <f t="shared" si="223"/>
        <v>13730.103476127786</v>
      </c>
      <c r="O183" s="28">
        <f t="shared" si="223"/>
        <v>13673.827272295055</v>
      </c>
      <c r="P183" s="28">
        <f t="shared" si="223"/>
        <v>13244.891147391063</v>
      </c>
      <c r="Q183" s="28">
        <f t="shared" si="223"/>
        <v>13416.300859185965</v>
      </c>
      <c r="R183" s="28">
        <f t="shared" si="223"/>
        <v>13535.392142665785</v>
      </c>
      <c r="S183" s="28">
        <f t="shared" si="223"/>
        <v>14104.635824561614</v>
      </c>
      <c r="T183" s="28">
        <f t="shared" si="223"/>
        <v>14207.625606244186</v>
      </c>
      <c r="U183" s="28">
        <f t="shared" si="223"/>
        <v>13944.260398383132</v>
      </c>
      <c r="V183" s="28">
        <f t="shared" si="223"/>
        <v>13779.377984413029</v>
      </c>
      <c r="W183" s="28">
        <f t="shared" si="221"/>
        <v>14076.267986747491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12619.381452975818</v>
      </c>
      <c r="C184" s="137">
        <f t="shared" si="223"/>
        <v>12970.593939599505</v>
      </c>
      <c r="D184" s="137">
        <f t="shared" si="223"/>
        <v>13257.200690967407</v>
      </c>
      <c r="E184" s="137">
        <f t="shared" si="223"/>
        <v>13559.803750169714</v>
      </c>
      <c r="F184" s="137">
        <f t="shared" si="223"/>
        <v>13863.843858668783</v>
      </c>
      <c r="G184" s="137">
        <f t="shared" si="223"/>
        <v>14174.509900000607</v>
      </c>
      <c r="H184" s="137">
        <f t="shared" si="223"/>
        <v>14493.880155059998</v>
      </c>
      <c r="I184" s="137">
        <f t="shared" si="223"/>
        <v>14652.205809867324</v>
      </c>
      <c r="J184" s="137">
        <f t="shared" si="223"/>
        <v>14609.391053175643</v>
      </c>
      <c r="K184" s="137">
        <f t="shared" si="223"/>
        <v>14300.803614125667</v>
      </c>
      <c r="L184" s="137">
        <f t="shared" si="223"/>
        <v>13978.009317335438</v>
      </c>
      <c r="M184" s="137">
        <f t="shared" si="222"/>
        <v>14245.687242703505</v>
      </c>
      <c r="N184" s="137">
        <f t="shared" si="223"/>
        <v>14501.995758356268</v>
      </c>
      <c r="O184" s="137">
        <f t="shared" si="223"/>
        <v>14518.416788998309</v>
      </c>
      <c r="P184" s="137">
        <f t="shared" si="223"/>
        <v>14235.119901391377</v>
      </c>
      <c r="Q184" s="137">
        <f t="shared" si="223"/>
        <v>14085.321425513926</v>
      </c>
      <c r="R184" s="137">
        <f t="shared" si="223"/>
        <v>13869.143102324342</v>
      </c>
      <c r="S184" s="137">
        <f t="shared" si="223"/>
        <v>14210.287526047434</v>
      </c>
      <c r="T184" s="137">
        <f t="shared" si="223"/>
        <v>14563.392711886208</v>
      </c>
      <c r="U184" s="137">
        <f t="shared" si="223"/>
        <v>14480.388931856407</v>
      </c>
      <c r="V184" s="137">
        <f t="shared" si="223"/>
        <v>14233.294315014406</v>
      </c>
      <c r="W184" s="137">
        <f t="shared" si="221"/>
        <v>14569.063538356968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12651.090583197618</v>
      </c>
      <c r="C185" s="84">
        <f t="shared" si="223"/>
        <v>12848.070944645951</v>
      </c>
      <c r="D185" s="84">
        <f t="shared" si="223"/>
        <v>12966.640966915393</v>
      </c>
      <c r="E185" s="84">
        <f t="shared" si="223"/>
        <v>13087.452074375498</v>
      </c>
      <c r="F185" s="84">
        <f t="shared" si="223"/>
        <v>13197.50259073196</v>
      </c>
      <c r="G185" s="84">
        <f t="shared" si="223"/>
        <v>13304.635457847435</v>
      </c>
      <c r="H185" s="84">
        <f t="shared" si="223"/>
        <v>13414.798245426731</v>
      </c>
      <c r="I185" s="84">
        <f t="shared" si="223"/>
        <v>13364.556832135348</v>
      </c>
      <c r="J185" s="84">
        <f t="shared" si="223"/>
        <v>13151.209113612753</v>
      </c>
      <c r="K185" s="84">
        <f t="shared" si="223"/>
        <v>12694.828616445418</v>
      </c>
      <c r="L185" s="84">
        <f t="shared" si="223"/>
        <v>12232.580239931902</v>
      </c>
      <c r="M185" s="84">
        <f t="shared" si="222"/>
        <v>12286.693240913821</v>
      </c>
      <c r="N185" s="84">
        <f t="shared" si="223"/>
        <v>12306.465940482954</v>
      </c>
      <c r="O185" s="84">
        <f t="shared" si="223"/>
        <v>12145.885424499855</v>
      </c>
      <c r="P185" s="84">
        <f t="shared" si="223"/>
        <v>11740.681678625257</v>
      </c>
      <c r="Q185" s="84">
        <f t="shared" si="223"/>
        <v>11430.842048767932</v>
      </c>
      <c r="R185" s="84">
        <f t="shared" si="223"/>
        <v>11414.241476198904</v>
      </c>
      <c r="S185" s="84">
        <f t="shared" si="223"/>
        <v>11864.851362768917</v>
      </c>
      <c r="T185" s="84">
        <f t="shared" si="223"/>
        <v>12331.811300496536</v>
      </c>
      <c r="U185" s="84">
        <f t="shared" si="223"/>
        <v>12435.787865883396</v>
      </c>
      <c r="V185" s="84">
        <f t="shared" si="223"/>
        <v>12400.127275269779</v>
      </c>
      <c r="W185" s="84">
        <f t="shared" si="221"/>
        <v>12875.986312516145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12612.09130693418</v>
      </c>
      <c r="C186" s="84">
        <f t="shared" si="223"/>
        <v>12998.178252389294</v>
      </c>
      <c r="D186" s="84">
        <f t="shared" si="223"/>
        <v>13314.90556201582</v>
      </c>
      <c r="E186" s="84">
        <f t="shared" si="223"/>
        <v>13640.545897374321</v>
      </c>
      <c r="F186" s="84">
        <f t="shared" si="223"/>
        <v>13961.576010249399</v>
      </c>
      <c r="G186" s="84">
        <f t="shared" si="223"/>
        <v>14286.035037742729</v>
      </c>
      <c r="H186" s="84">
        <f t="shared" si="223"/>
        <v>14620.388701447631</v>
      </c>
      <c r="I186" s="84">
        <f t="shared" si="223"/>
        <v>14784.116564082076</v>
      </c>
      <c r="J186" s="84">
        <f t="shared" si="223"/>
        <v>14766.329037350672</v>
      </c>
      <c r="K186" s="84">
        <f t="shared" si="223"/>
        <v>14467.708256012067</v>
      </c>
      <c r="L186" s="84">
        <f t="shared" si="223"/>
        <v>14150.018766604988</v>
      </c>
      <c r="M186" s="84">
        <f t="shared" si="222"/>
        <v>14425.803107465113</v>
      </c>
      <c r="N186" s="84">
        <f t="shared" si="223"/>
        <v>14665.753501942454</v>
      </c>
      <c r="O186" s="84">
        <f t="shared" si="223"/>
        <v>14691.503718323662</v>
      </c>
      <c r="P186" s="84">
        <f t="shared" si="223"/>
        <v>14414.395200211957</v>
      </c>
      <c r="Q186" s="84">
        <f t="shared" si="223"/>
        <v>14244.505511809102</v>
      </c>
      <c r="R186" s="84">
        <f t="shared" si="223"/>
        <v>14013.614545748154</v>
      </c>
      <c r="S186" s="84">
        <f t="shared" si="223"/>
        <v>14351.568602966216</v>
      </c>
      <c r="T186" s="84">
        <f t="shared" si="223"/>
        <v>14695.957851767569</v>
      </c>
      <c r="U186" s="84">
        <f t="shared" si="223"/>
        <v>14600.855065060216</v>
      </c>
      <c r="V186" s="84">
        <f t="shared" si="223"/>
        <v>14343.828547355972</v>
      </c>
      <c r="W186" s="84">
        <f t="shared" si="221"/>
        <v>14674.165292516467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9318.5789032258363</v>
      </c>
      <c r="J187" s="84">
        <f t="shared" si="223"/>
        <v>9306.8070156612248</v>
      </c>
      <c r="K187" s="84">
        <f t="shared" si="223"/>
        <v>9109.2845729658566</v>
      </c>
      <c r="L187" s="84">
        <f t="shared" si="223"/>
        <v>8899.3729342843253</v>
      </c>
      <c r="M187" s="84">
        <f t="shared" si="222"/>
        <v>9081.5826617733946</v>
      </c>
      <c r="N187" s="84">
        <f t="shared" si="223"/>
        <v>9240.258909326174</v>
      </c>
      <c r="O187" s="84">
        <f t="shared" si="223"/>
        <v>9257.2949627478592</v>
      </c>
      <c r="P187" s="84">
        <f t="shared" si="223"/>
        <v>9074.0420213398302</v>
      </c>
      <c r="Q187" s="84">
        <f t="shared" si="223"/>
        <v>9144.6736390143469</v>
      </c>
      <c r="R187" s="84">
        <f t="shared" si="223"/>
        <v>8809.3165509222235</v>
      </c>
      <c r="S187" s="84">
        <f t="shared" si="223"/>
        <v>9032.5189176572076</v>
      </c>
      <c r="T187" s="84">
        <f t="shared" si="223"/>
        <v>9260.2419188524163</v>
      </c>
      <c r="U187" s="84">
        <f t="shared" si="223"/>
        <v>9197.3294737110373</v>
      </c>
      <c r="V187" s="84">
        <f t="shared" si="223"/>
        <v>9027.4040190166616</v>
      </c>
      <c r="W187" s="84">
        <f t="shared" si="221"/>
        <v>9245.8238909673219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8172.4045297251951</v>
      </c>
      <c r="L188" s="84">
        <f t="shared" si="223"/>
        <v>8147.0225260443403</v>
      </c>
      <c r="M188" s="84">
        <f t="shared" si="222"/>
        <v>8483.4982612121057</v>
      </c>
      <c r="N188" s="84">
        <f t="shared" si="223"/>
        <v>8807.882236117619</v>
      </c>
      <c r="O188" s="84">
        <f t="shared" si="223"/>
        <v>9004.2052312078176</v>
      </c>
      <c r="P188" s="84">
        <f t="shared" si="223"/>
        <v>9006.0840121701294</v>
      </c>
      <c r="Q188" s="84">
        <f t="shared" si="223"/>
        <v>9076.1866501341374</v>
      </c>
      <c r="R188" s="84">
        <f t="shared" si="223"/>
        <v>8743.3411439824649</v>
      </c>
      <c r="S188" s="84">
        <f t="shared" si="223"/>
        <v>8785.5744487600332</v>
      </c>
      <c r="T188" s="84">
        <f t="shared" si="223"/>
        <v>8826.9301866520673</v>
      </c>
      <c r="U188" s="84">
        <f t="shared" si="223"/>
        <v>8591.6223530564766</v>
      </c>
      <c r="V188" s="84">
        <f t="shared" si="223"/>
        <v>8264.2298999852464</v>
      </c>
      <c r="W188" s="84">
        <f t="shared" si="221"/>
        <v>8294.9009268881891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10182.372449089153</v>
      </c>
      <c r="F189" s="84">
        <f t="shared" si="223"/>
        <v>10194.222615684545</v>
      </c>
      <c r="G189" s="84">
        <f t="shared" si="223"/>
        <v>10205.939194187986</v>
      </c>
      <c r="H189" s="84">
        <f t="shared" si="223"/>
        <v>10217.751516041882</v>
      </c>
      <c r="I189" s="84">
        <f t="shared" si="223"/>
        <v>10223.442527474239</v>
      </c>
      <c r="J189" s="84">
        <f t="shared" si="223"/>
        <v>10224.05793360003</v>
      </c>
      <c r="K189" s="84">
        <f t="shared" si="223"/>
        <v>10234.507336560931</v>
      </c>
      <c r="L189" s="84">
        <f t="shared" si="223"/>
        <v>10245.875585710824</v>
      </c>
      <c r="M189" s="84">
        <f t="shared" si="222"/>
        <v>10255.768927808971</v>
      </c>
      <c r="N189" s="84">
        <f t="shared" si="223"/>
        <v>10264.231681606538</v>
      </c>
      <c r="O189" s="84">
        <f t="shared" si="223"/>
        <v>10265.132030860947</v>
      </c>
      <c r="P189" s="84">
        <f t="shared" si="223"/>
        <v>10274.910104043282</v>
      </c>
      <c r="Q189" s="84">
        <f t="shared" si="223"/>
        <v>10281.00293799777</v>
      </c>
      <c r="R189" s="84">
        <f t="shared" si="223"/>
        <v>10272.605797783535</v>
      </c>
      <c r="S189" s="84">
        <f t="shared" si="223"/>
        <v>10260.373317006279</v>
      </c>
      <c r="T189" s="84">
        <f t="shared" si="223"/>
        <v>10248.215194799657</v>
      </c>
      <c r="U189" s="84">
        <f t="shared" si="223"/>
        <v>10244.888965854134</v>
      </c>
      <c r="V189" s="84">
        <f t="shared" si="223"/>
        <v>10109.329510600513</v>
      </c>
      <c r="W189" s="84">
        <f t="shared" si="221"/>
        <v>10242.323766345025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14481.400759993086</v>
      </c>
      <c r="C190" s="110">
        <f t="shared" si="223"/>
        <v>13979.363951753812</v>
      </c>
      <c r="D190" s="110">
        <f t="shared" si="223"/>
        <v>15178.695755276844</v>
      </c>
      <c r="E190" s="110">
        <f t="shared" si="223"/>
        <v>15407.034519016197</v>
      </c>
      <c r="F190" s="110">
        <f t="shared" si="223"/>
        <v>16395.524562150971</v>
      </c>
      <c r="G190" s="110">
        <f t="shared" si="223"/>
        <v>16855.513697199756</v>
      </c>
      <c r="H190" s="110">
        <f t="shared" si="223"/>
        <v>15720.263809866528</v>
      </c>
      <c r="I190" s="110">
        <f t="shared" si="223"/>
        <v>15813.255778242556</v>
      </c>
      <c r="J190" s="110">
        <f t="shared" si="223"/>
        <v>14274.530630295949</v>
      </c>
      <c r="K190" s="110">
        <f t="shared" si="223"/>
        <v>14071.706879248328</v>
      </c>
      <c r="L190" s="110">
        <f t="shared" si="223"/>
        <v>13212.714064139585</v>
      </c>
      <c r="M190" s="110">
        <f t="shared" si="222"/>
        <v>12964.801540449951</v>
      </c>
      <c r="N190" s="110">
        <f t="shared" si="223"/>
        <v>12570.086816843368</v>
      </c>
      <c r="O190" s="110">
        <f t="shared" si="223"/>
        <v>12443.89455543791</v>
      </c>
      <c r="P190" s="110">
        <f t="shared" si="223"/>
        <v>11816.052965138539</v>
      </c>
      <c r="Q190" s="110">
        <f t="shared" si="223"/>
        <v>12306.132612166712</v>
      </c>
      <c r="R190" s="110">
        <f t="shared" si="223"/>
        <v>12920.197248631715</v>
      </c>
      <c r="S190" s="110">
        <f t="shared" si="223"/>
        <v>13901.300489878486</v>
      </c>
      <c r="T190" s="110">
        <f t="shared" si="223"/>
        <v>13477.799000332634</v>
      </c>
      <c r="U190" s="110">
        <f t="shared" si="223"/>
        <v>12783.426394950497</v>
      </c>
      <c r="V190" s="110">
        <f t="shared" si="223"/>
        <v>12771.856762498523</v>
      </c>
      <c r="W190" s="110">
        <f t="shared" si="221"/>
        <v>12933.338083941104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6176.6305076940453</v>
      </c>
      <c r="C191" s="102">
        <f t="shared" si="223"/>
        <v>7482.7064411605961</v>
      </c>
      <c r="D191" s="102">
        <f t="shared" si="223"/>
        <v>9055.0217691593389</v>
      </c>
      <c r="E191" s="102">
        <f t="shared" si="223"/>
        <v>9724.7850027802979</v>
      </c>
      <c r="F191" s="102">
        <f t="shared" si="223"/>
        <v>9983.3722168728546</v>
      </c>
      <c r="G191" s="102">
        <f t="shared" si="223"/>
        <v>10163.922237276147</v>
      </c>
      <c r="H191" s="102">
        <f t="shared" si="223"/>
        <v>10422.550892823196</v>
      </c>
      <c r="I191" s="102">
        <f t="shared" si="223"/>
        <v>10198.343756184204</v>
      </c>
      <c r="J191" s="102">
        <f t="shared" si="223"/>
        <v>10721.144395215557</v>
      </c>
      <c r="K191" s="102">
        <f t="shared" si="223"/>
        <v>10485.40970119208</v>
      </c>
      <c r="L191" s="102">
        <f t="shared" si="223"/>
        <v>9746.6893974617287</v>
      </c>
      <c r="M191" s="102">
        <f t="shared" si="222"/>
        <v>9540.6540705090047</v>
      </c>
      <c r="N191" s="102">
        <f t="shared" si="223"/>
        <v>9121.8278538414579</v>
      </c>
      <c r="O191" s="102">
        <f t="shared" si="223"/>
        <v>8949.8705737053133</v>
      </c>
      <c r="P191" s="102">
        <f t="shared" si="223"/>
        <v>8154.4212511164778</v>
      </c>
      <c r="Q191" s="102">
        <f t="shared" si="223"/>
        <v>8151.8631663208798</v>
      </c>
      <c r="R191" s="102">
        <f t="shared" si="223"/>
        <v>8545.2798705567075</v>
      </c>
      <c r="S191" s="102">
        <f t="shared" si="223"/>
        <v>8749.8973980136252</v>
      </c>
      <c r="T191" s="102">
        <f t="shared" si="223"/>
        <v>8443.6184189444684</v>
      </c>
      <c r="U191" s="102">
        <f t="shared" si="223"/>
        <v>8350.9909011591681</v>
      </c>
      <c r="V191" s="102">
        <f t="shared" si="223"/>
        <v>8308.0996363304366</v>
      </c>
      <c r="W191" s="102">
        <f t="shared" si="221"/>
        <v>8883.3243903893162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84996.449993150411</v>
      </c>
      <c r="C192" s="86">
        <f t="shared" si="223"/>
        <v>84996.911173796077</v>
      </c>
      <c r="D192" s="86">
        <f t="shared" si="223"/>
        <v>85010.118255492227</v>
      </c>
      <c r="E192" s="86">
        <f t="shared" si="223"/>
        <v>85002.031760044527</v>
      </c>
      <c r="F192" s="86">
        <f t="shared" si="223"/>
        <v>85006.073019791365</v>
      </c>
      <c r="G192" s="86">
        <f t="shared" si="223"/>
        <v>84999.243243210818</v>
      </c>
      <c r="H192" s="86">
        <f t="shared" si="223"/>
        <v>85000.393152761186</v>
      </c>
      <c r="I192" s="86">
        <f t="shared" si="223"/>
        <v>84993.940636990723</v>
      </c>
      <c r="J192" s="86">
        <f t="shared" si="223"/>
        <v>84990.445500022528</v>
      </c>
      <c r="K192" s="86">
        <f t="shared" si="223"/>
        <v>84987.040520930284</v>
      </c>
      <c r="L192" s="86">
        <f t="shared" si="223"/>
        <v>84994.282687053259</v>
      </c>
      <c r="M192" s="86">
        <f t="shared" si="222"/>
        <v>85001.75874259579</v>
      </c>
      <c r="N192" s="86">
        <f t="shared" si="223"/>
        <v>84989.840532489688</v>
      </c>
      <c r="O192" s="86">
        <f t="shared" si="223"/>
        <v>85009.346237893464</v>
      </c>
      <c r="P192" s="86">
        <f t="shared" si="223"/>
        <v>84997.848061451208</v>
      </c>
      <c r="Q192" s="86">
        <f t="shared" si="223"/>
        <v>85003.47268894226</v>
      </c>
      <c r="R192" s="86">
        <f t="shared" si="223"/>
        <v>85002.458553427146</v>
      </c>
      <c r="S192" s="86">
        <f t="shared" si="223"/>
        <v>84992.763865716275</v>
      </c>
      <c r="T192" s="86">
        <f t="shared" si="223"/>
        <v>85001.438155069918</v>
      </c>
      <c r="U192" s="86">
        <f t="shared" si="223"/>
        <v>85007.706601475656</v>
      </c>
      <c r="V192" s="86">
        <f t="shared" ref="V192:W192" si="224">IF(V55=0,0,V55*1000000/V82)</f>
        <v>85008.659169452585</v>
      </c>
      <c r="W192" s="86">
        <f t="shared" si="224"/>
        <v>84989.428969058208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19228.821949236262</v>
      </c>
      <c r="C195" s="28">
        <f t="shared" si="225"/>
        <v>19333.35593644861</v>
      </c>
      <c r="D195" s="28">
        <f t="shared" si="225"/>
        <v>19466.478502790556</v>
      </c>
      <c r="E195" s="28">
        <f t="shared" si="225"/>
        <v>19005.079618658139</v>
      </c>
      <c r="F195" s="28">
        <f t="shared" si="225"/>
        <v>18687.78699038069</v>
      </c>
      <c r="G195" s="28">
        <f t="shared" si="225"/>
        <v>18294.930778810009</v>
      </c>
      <c r="H195" s="28">
        <f t="shared" si="225"/>
        <v>18249.389616107044</v>
      </c>
      <c r="I195" s="28">
        <f t="shared" si="225"/>
        <v>18025.113637640367</v>
      </c>
      <c r="J195" s="28">
        <f t="shared" si="225"/>
        <v>18283.178779533639</v>
      </c>
      <c r="K195" s="28">
        <f t="shared" si="225"/>
        <v>17872.553829906381</v>
      </c>
      <c r="L195" s="28">
        <f t="shared" si="225"/>
        <v>17324.649305102754</v>
      </c>
      <c r="M195" s="28">
        <f>IF(M4=0,0,M4*1000000/M58)</f>
        <v>17026.452028378317</v>
      </c>
      <c r="N195" s="28">
        <f t="shared" ref="N195:V195" si="226">IF(N4=0,0,N4*1000000/N58)</f>
        <v>18418.584551770356</v>
      </c>
      <c r="O195" s="28">
        <f t="shared" si="226"/>
        <v>18561.982049572685</v>
      </c>
      <c r="P195" s="28">
        <f t="shared" si="226"/>
        <v>18312.139869681818</v>
      </c>
      <c r="Q195" s="28">
        <f t="shared" si="226"/>
        <v>18089.446099789642</v>
      </c>
      <c r="R195" s="28">
        <f t="shared" si="226"/>
        <v>17641.770052253207</v>
      </c>
      <c r="S195" s="28">
        <f t="shared" si="226"/>
        <v>17401.756501554184</v>
      </c>
      <c r="T195" s="28">
        <f t="shared" si="226"/>
        <v>16214.570781687185</v>
      </c>
      <c r="U195" s="28">
        <f t="shared" si="226"/>
        <v>15678.969585508929</v>
      </c>
      <c r="V195" s="28">
        <f t="shared" si="226"/>
        <v>11781.574783742282</v>
      </c>
      <c r="W195" s="28">
        <f t="shared" ref="W195" si="227">IF(W4=0,0,W4*1000000/W58)</f>
        <v>13145.247454325185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2083.9877109939016</v>
      </c>
      <c r="C196" s="137">
        <f t="shared" si="228"/>
        <v>2086.0240016501052</v>
      </c>
      <c r="D196" s="137">
        <f t="shared" si="228"/>
        <v>2065.3014103461542</v>
      </c>
      <c r="E196" s="137">
        <f t="shared" si="228"/>
        <v>2004.5822823422286</v>
      </c>
      <c r="F196" s="137">
        <f t="shared" si="228"/>
        <v>1953.3722979624181</v>
      </c>
      <c r="G196" s="137">
        <f t="shared" si="228"/>
        <v>1902.1069273983926</v>
      </c>
      <c r="H196" s="137">
        <f t="shared" si="228"/>
        <v>1860.7797716143943</v>
      </c>
      <c r="I196" s="137">
        <f t="shared" si="228"/>
        <v>1802.6734519411193</v>
      </c>
      <c r="J196" s="137">
        <f t="shared" si="228"/>
        <v>1749.3901565039428</v>
      </c>
      <c r="K196" s="137">
        <f t="shared" si="228"/>
        <v>1735.8669006236103</v>
      </c>
      <c r="L196" s="137">
        <f t="shared" si="228"/>
        <v>1735.4405034161196</v>
      </c>
      <c r="M196" s="137">
        <f>IF(M5=0,0,M5*1000000/M59)</f>
        <v>1737.5486468903689</v>
      </c>
      <c r="N196" s="137">
        <f t="shared" ref="N196:V196" si="229">IF(N5=0,0,N5*1000000/N59)</f>
        <v>1721.0054810162007</v>
      </c>
      <c r="O196" s="137">
        <f t="shared" si="229"/>
        <v>1739.6428172489661</v>
      </c>
      <c r="P196" s="137">
        <f t="shared" si="229"/>
        <v>1759.1583165867603</v>
      </c>
      <c r="Q196" s="137">
        <f t="shared" si="229"/>
        <v>1778.7300188745171</v>
      </c>
      <c r="R196" s="137">
        <f t="shared" si="229"/>
        <v>1843.3060008723587</v>
      </c>
      <c r="S196" s="137">
        <f t="shared" si="229"/>
        <v>1899.0460465537367</v>
      </c>
      <c r="T196" s="137">
        <f t="shared" si="229"/>
        <v>1896.2925847386691</v>
      </c>
      <c r="U196" s="137">
        <f t="shared" si="229"/>
        <v>1948.2590430119933</v>
      </c>
      <c r="V196" s="137">
        <f t="shared" si="229"/>
        <v>1714.4975863478069</v>
      </c>
      <c r="W196" s="137">
        <f t="shared" ref="W196" si="230">IF(W5=0,0,W5*1000000/W59)</f>
        <v>2065.6097356765254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17667.844522968197</v>
      </c>
      <c r="C197" s="110">
        <f t="shared" si="231"/>
        <v>17721.518987341777</v>
      </c>
      <c r="D197" s="110">
        <f t="shared" si="231"/>
        <v>17915.309446254076</v>
      </c>
      <c r="E197" s="110">
        <f t="shared" si="231"/>
        <v>17550.702028081123</v>
      </c>
      <c r="F197" s="110">
        <f t="shared" si="231"/>
        <v>17682.468021068471</v>
      </c>
      <c r="G197" s="110">
        <f t="shared" si="231"/>
        <v>17467.248908296944</v>
      </c>
      <c r="H197" s="110">
        <f t="shared" si="231"/>
        <v>17531.556802244042</v>
      </c>
      <c r="I197" s="110">
        <f t="shared" si="231"/>
        <v>17218.543046357616</v>
      </c>
      <c r="J197" s="110">
        <f t="shared" si="231"/>
        <v>17408.123791102513</v>
      </c>
      <c r="K197" s="110">
        <f t="shared" si="231"/>
        <v>17391.304347826088</v>
      </c>
      <c r="L197" s="110">
        <f t="shared" si="231"/>
        <v>16896.778435239972</v>
      </c>
      <c r="M197" s="110">
        <f>IF(M6=0,0,M6*1000000/M60)</f>
        <v>16628.458498023716</v>
      </c>
      <c r="N197" s="110">
        <f t="shared" ref="N197:V197" si="232">IF(N6=0,0,N6*1000000/N60)</f>
        <v>18094.809688581317</v>
      </c>
      <c r="O197" s="110">
        <f t="shared" si="232"/>
        <v>18052.199130014502</v>
      </c>
      <c r="P197" s="110">
        <f t="shared" si="232"/>
        <v>17671.813061421031</v>
      </c>
      <c r="Q197" s="110">
        <f t="shared" si="232"/>
        <v>17597.656223954895</v>
      </c>
      <c r="R197" s="110">
        <f t="shared" si="232"/>
        <v>16859.380876087642</v>
      </c>
      <c r="S197" s="110">
        <f t="shared" si="232"/>
        <v>16408.253434806502</v>
      </c>
      <c r="T197" s="110">
        <f t="shared" si="232"/>
        <v>15358.737599862701</v>
      </c>
      <c r="U197" s="110">
        <f t="shared" si="232"/>
        <v>14709.258507739582</v>
      </c>
      <c r="V197" s="110">
        <f t="shared" si="232"/>
        <v>11576.002771597992</v>
      </c>
      <c r="W197" s="110">
        <f t="shared" ref="W197:W209" si="233">IF(W6=0,0,W6*1000000/W60)</f>
        <v>12885.241427708141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17359.074794568161</v>
      </c>
      <c r="C198" s="84">
        <f t="shared" si="231"/>
        <v>17472.438975437715</v>
      </c>
      <c r="D198" s="84">
        <f t="shared" si="231"/>
        <v>17522.740713983811</v>
      </c>
      <c r="E198" s="84">
        <f t="shared" si="231"/>
        <v>16099.707089674142</v>
      </c>
      <c r="F198" s="84">
        <f t="shared" si="231"/>
        <v>15724.357582924133</v>
      </c>
      <c r="G198" s="84">
        <f t="shared" si="231"/>
        <v>14956.324067222933</v>
      </c>
      <c r="H198" s="84">
        <f t="shared" si="231"/>
        <v>14213.299195063446</v>
      </c>
      <c r="I198" s="84">
        <f t="shared" si="231"/>
        <v>13521.766957126192</v>
      </c>
      <c r="J198" s="84">
        <f t="shared" si="231"/>
        <v>15042.553363872263</v>
      </c>
      <c r="K198" s="84">
        <f t="shared" si="231"/>
        <v>15311.483140202634</v>
      </c>
      <c r="L198" s="84">
        <f t="shared" si="231"/>
        <v>14867.427970775361</v>
      </c>
      <c r="M198" s="84">
        <f t="shared" ref="M198:M219" si="234">IF(M7=0,0,M7*1000000/M61)</f>
        <v>14425.121487376671</v>
      </c>
      <c r="N198" s="84">
        <f t="shared" si="231"/>
        <v>15604.175143450799</v>
      </c>
      <c r="O198" s="84">
        <f t="shared" si="231"/>
        <v>15245.071236235257</v>
      </c>
      <c r="P198" s="84">
        <f t="shared" si="231"/>
        <v>13983.820285521659</v>
      </c>
      <c r="Q198" s="84">
        <f t="shared" si="231"/>
        <v>14076.222186213041</v>
      </c>
      <c r="R198" s="84">
        <f t="shared" si="231"/>
        <v>13351.000810190826</v>
      </c>
      <c r="S198" s="84">
        <f t="shared" si="231"/>
        <v>13120.965665538799</v>
      </c>
      <c r="T198" s="84">
        <f t="shared" si="231"/>
        <v>12878.853626402097</v>
      </c>
      <c r="U198" s="84">
        <f t="shared" si="231"/>
        <v>12297.303258272479</v>
      </c>
      <c r="V198" s="84">
        <f t="shared" si="231"/>
        <v>9651.4528084591566</v>
      </c>
      <c r="W198" s="84">
        <f t="shared" si="233"/>
        <v>11011.64332555625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18734.88592748631</v>
      </c>
      <c r="C199" s="84">
        <f t="shared" si="231"/>
        <v>18431.062224044086</v>
      </c>
      <c r="D199" s="84">
        <f t="shared" si="231"/>
        <v>18996.439855541252</v>
      </c>
      <c r="E199" s="84">
        <f t="shared" si="231"/>
        <v>21536.790748077645</v>
      </c>
      <c r="F199" s="84">
        <f t="shared" si="231"/>
        <v>22440.058750994187</v>
      </c>
      <c r="G199" s="84">
        <f t="shared" si="231"/>
        <v>23046.94305812152</v>
      </c>
      <c r="H199" s="84">
        <f t="shared" si="231"/>
        <v>24271.002281318219</v>
      </c>
      <c r="I199" s="84">
        <f t="shared" si="231"/>
        <v>24014.328241490432</v>
      </c>
      <c r="J199" s="84">
        <f t="shared" si="231"/>
        <v>21634.214614836441</v>
      </c>
      <c r="K199" s="84">
        <f t="shared" si="231"/>
        <v>21276.871485004314</v>
      </c>
      <c r="L199" s="84">
        <f t="shared" si="231"/>
        <v>20545.350719003734</v>
      </c>
      <c r="M199" s="84">
        <f t="shared" si="234"/>
        <v>20505.36009332395</v>
      </c>
      <c r="N199" s="84">
        <f t="shared" si="231"/>
        <v>22022.316031285602</v>
      </c>
      <c r="O199" s="84">
        <f t="shared" si="231"/>
        <v>22165.939061852619</v>
      </c>
      <c r="P199" s="84">
        <f t="shared" si="231"/>
        <v>22504.918234913406</v>
      </c>
      <c r="Q199" s="84">
        <f t="shared" si="231"/>
        <v>21725.488882954767</v>
      </c>
      <c r="R199" s="84">
        <f t="shared" si="231"/>
        <v>20770.815634939489</v>
      </c>
      <c r="S199" s="84">
        <f t="shared" si="231"/>
        <v>19891.515669437969</v>
      </c>
      <c r="T199" s="84">
        <f t="shared" si="231"/>
        <v>17887.39628367866</v>
      </c>
      <c r="U199" s="84">
        <f t="shared" si="231"/>
        <v>17029.886496095816</v>
      </c>
      <c r="V199" s="84">
        <f t="shared" si="231"/>
        <v>13379.443265483573</v>
      </c>
      <c r="W199" s="84">
        <f t="shared" si="233"/>
        <v>14714.556256463304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20116.18204406837</v>
      </c>
      <c r="C200" s="84">
        <f t="shared" si="231"/>
        <v>20696.114989791418</v>
      </c>
      <c r="D200" s="84">
        <f t="shared" si="231"/>
        <v>21035.234772810942</v>
      </c>
      <c r="E200" s="84">
        <f t="shared" si="231"/>
        <v>19827.728383393318</v>
      </c>
      <c r="F200" s="84">
        <f t="shared" si="231"/>
        <v>20282.510738203124</v>
      </c>
      <c r="G200" s="84">
        <f t="shared" si="231"/>
        <v>19758.682783685988</v>
      </c>
      <c r="H200" s="84">
        <f t="shared" si="231"/>
        <v>20389.314092135584</v>
      </c>
      <c r="I200" s="84">
        <f t="shared" si="231"/>
        <v>19769.92265699862</v>
      </c>
      <c r="J200" s="84">
        <f t="shared" si="231"/>
        <v>18633.108445008133</v>
      </c>
      <c r="K200" s="84">
        <f t="shared" si="231"/>
        <v>16875.403585716154</v>
      </c>
      <c r="L200" s="84">
        <f t="shared" si="231"/>
        <v>16346.176837478082</v>
      </c>
      <c r="M200" s="84">
        <f t="shared" si="234"/>
        <v>15695.805818188379</v>
      </c>
      <c r="N200" s="84">
        <f t="shared" si="231"/>
        <v>17699.31581888218</v>
      </c>
      <c r="O200" s="84">
        <f t="shared" si="231"/>
        <v>18345.554705772389</v>
      </c>
      <c r="P200" s="84">
        <f t="shared" si="231"/>
        <v>18430.195430197546</v>
      </c>
      <c r="Q200" s="84">
        <f t="shared" si="231"/>
        <v>18769.100796546194</v>
      </c>
      <c r="R200" s="84">
        <f t="shared" si="231"/>
        <v>16395.989224455614</v>
      </c>
      <c r="S200" s="84">
        <f t="shared" si="231"/>
        <v>14933.077940095362</v>
      </c>
      <c r="T200" s="84">
        <f t="shared" si="231"/>
        <v>13112.752884768959</v>
      </c>
      <c r="U200" s="84">
        <f t="shared" si="231"/>
        <v>12034.842500215238</v>
      </c>
      <c r="V200" s="84">
        <f t="shared" si="231"/>
        <v>9040.0941145069355</v>
      </c>
      <c r="W200" s="84">
        <f t="shared" si="233"/>
        <v>9238.7321595284393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21196.08172500836</v>
      </c>
      <c r="L201" s="84">
        <f t="shared" si="231"/>
        <v>20666.756755398335</v>
      </c>
      <c r="M201" s="84">
        <f t="shared" si="234"/>
        <v>20702.495919316527</v>
      </c>
      <c r="N201" s="84">
        <f t="shared" si="231"/>
        <v>23353.040146835032</v>
      </c>
      <c r="O201" s="84">
        <f t="shared" si="231"/>
        <v>23776.815838047296</v>
      </c>
      <c r="P201" s="84">
        <f t="shared" si="231"/>
        <v>22848.93334386784</v>
      </c>
      <c r="Q201" s="84">
        <f t="shared" si="231"/>
        <v>22363.296245398054</v>
      </c>
      <c r="R201" s="84">
        <f t="shared" si="231"/>
        <v>21035.739032686502</v>
      </c>
      <c r="S201" s="84">
        <f t="shared" si="231"/>
        <v>20894.806697475989</v>
      </c>
      <c r="T201" s="84">
        <f t="shared" si="231"/>
        <v>19922.93941751837</v>
      </c>
      <c r="U201" s="84">
        <f t="shared" si="231"/>
        <v>19375.189446097924</v>
      </c>
      <c r="V201" s="84">
        <f t="shared" si="231"/>
        <v>15114.167224586274</v>
      </c>
      <c r="W201" s="84">
        <f t="shared" si="233"/>
        <v>17468.162442836983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0</v>
      </c>
      <c r="O202" s="84">
        <f t="shared" si="231"/>
        <v>0</v>
      </c>
      <c r="P202" s="84">
        <f t="shared" si="231"/>
        <v>16395.215011154502</v>
      </c>
      <c r="Q202" s="84">
        <f t="shared" si="231"/>
        <v>16606.34377192616</v>
      </c>
      <c r="R202" s="84">
        <f t="shared" si="231"/>
        <v>14943.107818354178</v>
      </c>
      <c r="S202" s="84">
        <f t="shared" si="231"/>
        <v>13894.495136890051</v>
      </c>
      <c r="T202" s="84">
        <f t="shared" si="231"/>
        <v>12988.822912810609</v>
      </c>
      <c r="U202" s="84">
        <f t="shared" si="231"/>
        <v>12936.223265266019</v>
      </c>
      <c r="V202" s="84">
        <f t="shared" si="231"/>
        <v>10441.584200732057</v>
      </c>
      <c r="W202" s="84">
        <f t="shared" si="233"/>
        <v>12304.839549771739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0</v>
      </c>
      <c r="N203" s="84">
        <f t="shared" si="231"/>
        <v>15991.036953979037</v>
      </c>
      <c r="O203" s="84">
        <f t="shared" si="231"/>
        <v>15998.999041614341</v>
      </c>
      <c r="P203" s="84">
        <f t="shared" si="231"/>
        <v>15876.836702469762</v>
      </c>
      <c r="Q203" s="84">
        <f t="shared" si="231"/>
        <v>15766.363742961797</v>
      </c>
      <c r="R203" s="84">
        <f t="shared" si="231"/>
        <v>14882.58112339342</v>
      </c>
      <c r="S203" s="84">
        <f t="shared" si="231"/>
        <v>14648.686349700962</v>
      </c>
      <c r="T203" s="84">
        <f t="shared" si="231"/>
        <v>14209.225013515181</v>
      </c>
      <c r="U203" s="84">
        <f t="shared" si="231"/>
        <v>14390.892735440402</v>
      </c>
      <c r="V203" s="84">
        <f t="shared" si="231"/>
        <v>12307.293327857346</v>
      </c>
      <c r="W203" s="84">
        <f t="shared" si="233"/>
        <v>14070.69160996354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385683.33912238048</v>
      </c>
      <c r="C204" s="110">
        <f t="shared" si="231"/>
        <v>399466.68963932927</v>
      </c>
      <c r="D204" s="110">
        <f t="shared" si="231"/>
        <v>407431.6307833257</v>
      </c>
      <c r="E204" s="110">
        <f t="shared" si="231"/>
        <v>423090.49516220839</v>
      </c>
      <c r="F204" s="110">
        <f t="shared" si="231"/>
        <v>384556.82849364792</v>
      </c>
      <c r="G204" s="110">
        <f t="shared" si="231"/>
        <v>385094.93097985972</v>
      </c>
      <c r="H204" s="110">
        <f t="shared" si="231"/>
        <v>398721.22646826738</v>
      </c>
      <c r="I204" s="110">
        <f t="shared" si="231"/>
        <v>420214.08077687043</v>
      </c>
      <c r="J204" s="110">
        <f t="shared" si="231"/>
        <v>448749.0681868011</v>
      </c>
      <c r="K204" s="110">
        <f t="shared" si="231"/>
        <v>377801.75824175827</v>
      </c>
      <c r="L204" s="110">
        <f t="shared" si="231"/>
        <v>364622.06757211813</v>
      </c>
      <c r="M204" s="110">
        <f t="shared" si="234"/>
        <v>354848.35834367591</v>
      </c>
      <c r="N204" s="110">
        <f t="shared" si="231"/>
        <v>373973.06629834254</v>
      </c>
      <c r="O204" s="110">
        <f t="shared" si="231"/>
        <v>394799.05437352241</v>
      </c>
      <c r="P204" s="110">
        <f t="shared" si="231"/>
        <v>392131.57046114159</v>
      </c>
      <c r="Q204" s="110">
        <f t="shared" si="231"/>
        <v>355211.94909014413</v>
      </c>
      <c r="R204" s="110">
        <f t="shared" si="231"/>
        <v>390268.93861630053</v>
      </c>
      <c r="S204" s="110">
        <f t="shared" si="231"/>
        <v>418178.15397017333</v>
      </c>
      <c r="T204" s="110">
        <f t="shared" si="231"/>
        <v>380608.10141626227</v>
      </c>
      <c r="U204" s="110">
        <f t="shared" si="231"/>
        <v>392084.22694482357</v>
      </c>
      <c r="V204" s="110">
        <f t="shared" si="231"/>
        <v>208685.16284680337</v>
      </c>
      <c r="W204" s="110">
        <f t="shared" si="233"/>
        <v>234658.81197839961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157204.16611832165</v>
      </c>
      <c r="C205" s="102">
        <f t="shared" si="231"/>
        <v>157255.44962284408</v>
      </c>
      <c r="D205" s="102">
        <f t="shared" si="231"/>
        <v>154430.10547664188</v>
      </c>
      <c r="E205" s="102">
        <f t="shared" si="231"/>
        <v>151877.54793467262</v>
      </c>
      <c r="F205" s="102">
        <f t="shared" si="231"/>
        <v>148036.72958377638</v>
      </c>
      <c r="G205" s="102">
        <f t="shared" si="231"/>
        <v>145206.06487619531</v>
      </c>
      <c r="H205" s="102">
        <f t="shared" si="231"/>
        <v>142762.18902358037</v>
      </c>
      <c r="I205" s="102">
        <f t="shared" si="231"/>
        <v>140687.08878184023</v>
      </c>
      <c r="J205" s="102">
        <f t="shared" si="231"/>
        <v>138734.37922647048</v>
      </c>
      <c r="K205" s="102">
        <f t="shared" si="231"/>
        <v>134836.86457936853</v>
      </c>
      <c r="L205" s="102">
        <f t="shared" si="231"/>
        <v>137073.29095579759</v>
      </c>
      <c r="M205" s="102">
        <f t="shared" si="234"/>
        <v>134153.01729083271</v>
      </c>
      <c r="N205" s="102">
        <f t="shared" si="231"/>
        <v>131900.7274594089</v>
      </c>
      <c r="O205" s="102">
        <f t="shared" si="231"/>
        <v>130011.23227697751</v>
      </c>
      <c r="P205" s="102">
        <f t="shared" si="231"/>
        <v>127747.62233090145</v>
      </c>
      <c r="Q205" s="102">
        <f t="shared" si="231"/>
        <v>128279.80519385422</v>
      </c>
      <c r="R205" s="102">
        <f t="shared" si="231"/>
        <v>135808.4890665171</v>
      </c>
      <c r="S205" s="102">
        <f t="shared" si="231"/>
        <v>136828.09060519675</v>
      </c>
      <c r="T205" s="102">
        <f t="shared" si="231"/>
        <v>139907.69654965453</v>
      </c>
      <c r="U205" s="102">
        <f t="shared" si="231"/>
        <v>109610.18332171197</v>
      </c>
      <c r="V205" s="102">
        <f t="shared" si="231"/>
        <v>77685.259252506454</v>
      </c>
      <c r="W205" s="102">
        <f t="shared" si="233"/>
        <v>87235.752883318564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386746.40378681716</v>
      </c>
      <c r="C206" s="102">
        <f t="shared" si="231"/>
        <v>400640.84384993545</v>
      </c>
      <c r="D206" s="102">
        <f t="shared" si="231"/>
        <v>408683.68114449357</v>
      </c>
      <c r="E206" s="102">
        <f t="shared" si="231"/>
        <v>424393.35960045113</v>
      </c>
      <c r="F206" s="102">
        <f t="shared" si="231"/>
        <v>385634.85993808677</v>
      </c>
      <c r="G206" s="102">
        <f t="shared" si="231"/>
        <v>386212.97616688372</v>
      </c>
      <c r="H206" s="102">
        <f t="shared" si="231"/>
        <v>399938.83656824217</v>
      </c>
      <c r="I206" s="102">
        <f t="shared" si="231"/>
        <v>421438.73112539761</v>
      </c>
      <c r="J206" s="102">
        <f t="shared" si="231"/>
        <v>450268.5289630284</v>
      </c>
      <c r="K206" s="102">
        <f t="shared" si="231"/>
        <v>379592.15457932645</v>
      </c>
      <c r="L206" s="102">
        <f t="shared" si="231"/>
        <v>366347.33352211019</v>
      </c>
      <c r="M206" s="102">
        <f t="shared" si="234"/>
        <v>356481.88031378941</v>
      </c>
      <c r="N206" s="102">
        <f t="shared" si="231"/>
        <v>375880.18814850552</v>
      </c>
      <c r="O206" s="102">
        <f t="shared" si="231"/>
        <v>398141.15764596296</v>
      </c>
      <c r="P206" s="102">
        <f t="shared" si="231"/>
        <v>397483.63949326449</v>
      </c>
      <c r="Q206" s="102">
        <f t="shared" si="231"/>
        <v>359812.71343058429</v>
      </c>
      <c r="R206" s="102">
        <f t="shared" si="231"/>
        <v>395422.86303344188</v>
      </c>
      <c r="S206" s="102">
        <f t="shared" si="231"/>
        <v>422458.66384798271</v>
      </c>
      <c r="T206" s="102">
        <f t="shared" si="231"/>
        <v>384470.67861428531</v>
      </c>
      <c r="U206" s="102">
        <f t="shared" si="231"/>
        <v>393680.9283320377</v>
      </c>
      <c r="V206" s="102">
        <f t="shared" si="231"/>
        <v>209494.19317115372</v>
      </c>
      <c r="W206" s="102">
        <f t="shared" si="233"/>
        <v>233874.25545365663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272971.32417080476</v>
      </c>
      <c r="J207" s="102">
        <f t="shared" si="231"/>
        <v>297249.91662644426</v>
      </c>
      <c r="K207" s="102">
        <f t="shared" si="231"/>
        <v>253897.94785356612</v>
      </c>
      <c r="L207" s="102">
        <f t="shared" si="231"/>
        <v>250245.96230909525</v>
      </c>
      <c r="M207" s="102">
        <f t="shared" si="234"/>
        <v>248233.20166027421</v>
      </c>
      <c r="N207" s="102">
        <f t="shared" si="231"/>
        <v>266715.76782195154</v>
      </c>
      <c r="O207" s="102">
        <f t="shared" si="231"/>
        <v>287127.9128446476</v>
      </c>
      <c r="P207" s="102">
        <f t="shared" si="231"/>
        <v>290722.88960388227</v>
      </c>
      <c r="Q207" s="102">
        <f t="shared" si="231"/>
        <v>266328.1815745901</v>
      </c>
      <c r="R207" s="102">
        <f t="shared" si="231"/>
        <v>287501.81399226689</v>
      </c>
      <c r="S207" s="102">
        <f t="shared" si="231"/>
        <v>301948.0518556984</v>
      </c>
      <c r="T207" s="102">
        <f t="shared" si="231"/>
        <v>269671.02800700319</v>
      </c>
      <c r="U207" s="102">
        <f t="shared" si="231"/>
        <v>268879.41024764528</v>
      </c>
      <c r="V207" s="102">
        <f t="shared" si="231"/>
        <v>138080.59840511327</v>
      </c>
      <c r="W207" s="102">
        <f t="shared" si="233"/>
        <v>152992.22631989876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273868.95500783162</v>
      </c>
      <c r="L208" s="102">
        <f t="shared" si="231"/>
        <v>264531.11872888013</v>
      </c>
      <c r="M208" s="102">
        <f t="shared" si="234"/>
        <v>257155.39150454567</v>
      </c>
      <c r="N208" s="102">
        <f t="shared" si="231"/>
        <v>270776.22691579082</v>
      </c>
      <c r="O208" s="102">
        <f t="shared" si="231"/>
        <v>285669.14227394713</v>
      </c>
      <c r="P208" s="102">
        <f t="shared" si="231"/>
        <v>283460.93744751997</v>
      </c>
      <c r="Q208" s="102">
        <f t="shared" si="231"/>
        <v>254482.07190797717</v>
      </c>
      <c r="R208" s="102">
        <f t="shared" si="231"/>
        <v>271365.97833941429</v>
      </c>
      <c r="S208" s="102">
        <f t="shared" si="231"/>
        <v>326618.64921375935</v>
      </c>
      <c r="T208" s="102">
        <f t="shared" si="231"/>
        <v>292452.02667487622</v>
      </c>
      <c r="U208" s="102">
        <f t="shared" si="231"/>
        <v>374042.24659002788</v>
      </c>
      <c r="V208" s="102">
        <f t="shared" si="231"/>
        <v>199573.00361727187</v>
      </c>
      <c r="W208" s="102">
        <f t="shared" si="233"/>
        <v>273379.03396696079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0</v>
      </c>
      <c r="P209" s="102">
        <f t="shared" si="231"/>
        <v>0</v>
      </c>
      <c r="Q209" s="102">
        <f t="shared" si="231"/>
        <v>485470.81834887777</v>
      </c>
      <c r="R209" s="102">
        <f t="shared" si="231"/>
        <v>505272.11104374059</v>
      </c>
      <c r="S209" s="102">
        <f t="shared" si="231"/>
        <v>539939.78389176878</v>
      </c>
      <c r="T209" s="102">
        <f t="shared" si="231"/>
        <v>476418.84492499469</v>
      </c>
      <c r="U209" s="102">
        <f t="shared" si="231"/>
        <v>623998.86277168978</v>
      </c>
      <c r="V209" s="102">
        <f t="shared" si="231"/>
        <v>358326.67057563394</v>
      </c>
      <c r="W209" s="102">
        <f t="shared" si="233"/>
        <v>449328.9851486446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67635.270278408061</v>
      </c>
      <c r="C210" s="28">
        <f t="shared" si="231"/>
        <v>67129.879432258851</v>
      </c>
      <c r="D210" s="28">
        <f t="shared" si="231"/>
        <v>67539.964251450758</v>
      </c>
      <c r="E210" s="28">
        <f t="shared" si="231"/>
        <v>66145.49950164929</v>
      </c>
      <c r="F210" s="28">
        <f t="shared" ref="B210:V219" si="235">IF(F19=0,0,F19*1000000/F73)</f>
        <v>69859.205565520562</v>
      </c>
      <c r="G210" s="28">
        <f t="shared" si="235"/>
        <v>69329.731903976804</v>
      </c>
      <c r="H210" s="28">
        <f t="shared" si="235"/>
        <v>65985.962477250272</v>
      </c>
      <c r="I210" s="28">
        <f t="shared" si="235"/>
        <v>68042.261596755678</v>
      </c>
      <c r="J210" s="28">
        <f t="shared" si="235"/>
        <v>61136.073950297476</v>
      </c>
      <c r="K210" s="28">
        <f t="shared" si="235"/>
        <v>53631.656068823562</v>
      </c>
      <c r="L210" s="28">
        <f t="shared" si="235"/>
        <v>51293.010113567325</v>
      </c>
      <c r="M210" s="28">
        <f t="shared" si="234"/>
        <v>50409.578633236961</v>
      </c>
      <c r="N210" s="28">
        <f t="shared" si="235"/>
        <v>51027.216093120565</v>
      </c>
      <c r="O210" s="28">
        <f t="shared" si="235"/>
        <v>52272.351464731553</v>
      </c>
      <c r="P210" s="28">
        <f t="shared" si="235"/>
        <v>50449.29516670989</v>
      </c>
      <c r="Q210" s="28">
        <f t="shared" si="235"/>
        <v>49506.00179099237</v>
      </c>
      <c r="R210" s="28">
        <f t="shared" si="235"/>
        <v>47898.548142838517</v>
      </c>
      <c r="S210" s="28">
        <f t="shared" si="235"/>
        <v>51418.194169189621</v>
      </c>
      <c r="T210" s="28">
        <f t="shared" si="235"/>
        <v>48636.291242837178</v>
      </c>
      <c r="U210" s="28">
        <f t="shared" si="235"/>
        <v>43854.380706457545</v>
      </c>
      <c r="V210" s="28">
        <f t="shared" si="235"/>
        <v>43256.725435892324</v>
      </c>
      <c r="W210" s="28">
        <f t="shared" ref="W210" si="236">IF(W19=0,0,W19*1000000/W73)</f>
        <v>41557.192528947722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2470.7760619977385</v>
      </c>
      <c r="C211" s="137">
        <f t="shared" si="235"/>
        <v>2528.7433569908339</v>
      </c>
      <c r="D211" s="137">
        <f t="shared" si="235"/>
        <v>2585.907081971055</v>
      </c>
      <c r="E211" s="137">
        <f t="shared" si="235"/>
        <v>2646.7308396653416</v>
      </c>
      <c r="F211" s="137">
        <f t="shared" si="235"/>
        <v>2706.6429663801923</v>
      </c>
      <c r="G211" s="137">
        <f t="shared" si="235"/>
        <v>2765.1527981935246</v>
      </c>
      <c r="H211" s="137">
        <f t="shared" si="235"/>
        <v>2821.2999364293801</v>
      </c>
      <c r="I211" s="137">
        <f t="shared" si="235"/>
        <v>2858.1896295716906</v>
      </c>
      <c r="J211" s="137">
        <f t="shared" si="235"/>
        <v>2853.2882523639496</v>
      </c>
      <c r="K211" s="137">
        <f t="shared" si="235"/>
        <v>2808.5308577416154</v>
      </c>
      <c r="L211" s="137">
        <f t="shared" si="235"/>
        <v>2760.3856187717552</v>
      </c>
      <c r="M211" s="137">
        <f t="shared" si="234"/>
        <v>2804.9934904454831</v>
      </c>
      <c r="N211" s="137">
        <f t="shared" si="235"/>
        <v>2854.4091016587568</v>
      </c>
      <c r="O211" s="137">
        <f t="shared" si="235"/>
        <v>2857.8493000729659</v>
      </c>
      <c r="P211" s="137">
        <f t="shared" si="235"/>
        <v>2813.621153185321</v>
      </c>
      <c r="Q211" s="137">
        <f t="shared" si="235"/>
        <v>2795.1375778214415</v>
      </c>
      <c r="R211" s="137">
        <f t="shared" si="235"/>
        <v>2762.2495154173994</v>
      </c>
      <c r="S211" s="137">
        <f t="shared" si="235"/>
        <v>2816.4621686309761</v>
      </c>
      <c r="T211" s="137">
        <f t="shared" si="235"/>
        <v>2873.4232836417282</v>
      </c>
      <c r="U211" s="137">
        <f t="shared" si="235"/>
        <v>2861.3838919682048</v>
      </c>
      <c r="V211" s="137">
        <f t="shared" si="235"/>
        <v>2823.205733639466</v>
      </c>
      <c r="W211" s="137">
        <f t="shared" ref="W211" si="237">IF(W20=0,0,W20*1000000/W74)</f>
        <v>2876.9735718304673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1973.2488717531062</v>
      </c>
      <c r="C212" s="84">
        <f t="shared" si="235"/>
        <v>1997.7899852359344</v>
      </c>
      <c r="D212" s="84">
        <f t="shared" si="235"/>
        <v>2012.5259063649485</v>
      </c>
      <c r="E212" s="84">
        <f t="shared" si="235"/>
        <v>2027.5126584811539</v>
      </c>
      <c r="F212" s="84">
        <f t="shared" si="235"/>
        <v>2041.1404794545308</v>
      </c>
      <c r="G212" s="84">
        <f t="shared" si="235"/>
        <v>2054.3851849607258</v>
      </c>
      <c r="H212" s="84">
        <f t="shared" si="235"/>
        <v>2067.9822520150246</v>
      </c>
      <c r="I212" s="84">
        <f t="shared" si="235"/>
        <v>2061.7838839282726</v>
      </c>
      <c r="J212" s="84">
        <f t="shared" si="235"/>
        <v>2035.4106267805805</v>
      </c>
      <c r="K212" s="84">
        <f t="shared" si="235"/>
        <v>1978.7046055298465</v>
      </c>
      <c r="L212" s="84">
        <f t="shared" si="235"/>
        <v>1920.8522004454389</v>
      </c>
      <c r="M212" s="84">
        <f t="shared" si="234"/>
        <v>1927.6469845424199</v>
      </c>
      <c r="N212" s="84">
        <f t="shared" si="235"/>
        <v>1930.1282806354607</v>
      </c>
      <c r="O212" s="84">
        <f t="shared" si="235"/>
        <v>1909.9536798467989</v>
      </c>
      <c r="P212" s="84">
        <f t="shared" si="235"/>
        <v>1858.8063247985172</v>
      </c>
      <c r="Q212" s="84">
        <f t="shared" si="235"/>
        <v>1819.4581465814711</v>
      </c>
      <c r="R212" s="84">
        <f t="shared" si="235"/>
        <v>1817.3439761056623</v>
      </c>
      <c r="S212" s="84">
        <f t="shared" si="235"/>
        <v>1874.5167801107584</v>
      </c>
      <c r="T212" s="84">
        <f t="shared" si="235"/>
        <v>1933.3077298494454</v>
      </c>
      <c r="U212" s="84">
        <f t="shared" si="235"/>
        <v>1946.3374314109503</v>
      </c>
      <c r="V212" s="84">
        <f t="shared" si="235"/>
        <v>1941.8711301774197</v>
      </c>
      <c r="W212" s="84">
        <f t="shared" ref="W212" si="238">IF(W21=0,0,W21*1000000/W75)</f>
        <v>2001.2617553421792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2585.1609678970267</v>
      </c>
      <c r="C213" s="84">
        <f t="shared" si="235"/>
        <v>2648.2799704145668</v>
      </c>
      <c r="D213" s="84">
        <f t="shared" si="235"/>
        <v>2699.7800108771044</v>
      </c>
      <c r="E213" s="84">
        <f t="shared" si="235"/>
        <v>2752.4745120901975</v>
      </c>
      <c r="F213" s="84">
        <f t="shared" si="235"/>
        <v>2804.177247275069</v>
      </c>
      <c r="G213" s="84">
        <f t="shared" si="235"/>
        <v>2856.1911810610663</v>
      </c>
      <c r="H213" s="84">
        <f t="shared" si="235"/>
        <v>2909.5447442621676</v>
      </c>
      <c r="I213" s="84">
        <f t="shared" si="235"/>
        <v>2935.5819423351722</v>
      </c>
      <c r="J213" s="84">
        <f t="shared" si="235"/>
        <v>2932.756043200302</v>
      </c>
      <c r="K213" s="84">
        <f t="shared" si="235"/>
        <v>2885.2117963569749</v>
      </c>
      <c r="L213" s="84">
        <f t="shared" si="235"/>
        <v>2834.415523023119</v>
      </c>
      <c r="M213" s="84">
        <f t="shared" si="234"/>
        <v>2878.5243355849857</v>
      </c>
      <c r="N213" s="84">
        <f t="shared" si="235"/>
        <v>2916.7647992446446</v>
      </c>
      <c r="O213" s="84">
        <f t="shared" si="235"/>
        <v>2920.8610986440985</v>
      </c>
      <c r="P213" s="84">
        <f t="shared" si="235"/>
        <v>2876.7031247425207</v>
      </c>
      <c r="Q213" s="84">
        <f t="shared" si="235"/>
        <v>2849.5468861345475</v>
      </c>
      <c r="R213" s="84">
        <f t="shared" si="235"/>
        <v>2812.5356714405593</v>
      </c>
      <c r="S213" s="84">
        <f t="shared" si="235"/>
        <v>2866.6680242320244</v>
      </c>
      <c r="T213" s="84">
        <f t="shared" si="235"/>
        <v>2921.5695086732235</v>
      </c>
      <c r="U213" s="84">
        <f t="shared" si="235"/>
        <v>2906.4344802252881</v>
      </c>
      <c r="V213" s="84">
        <f t="shared" si="235"/>
        <v>2865.4311215662251</v>
      </c>
      <c r="W213" s="84">
        <f t="shared" ref="W213" si="239">IF(W22=0,0,W22*1000000/W76)</f>
        <v>2918.1030902615075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1477.6692566119539</v>
      </c>
      <c r="J214" s="84">
        <f t="shared" si="235"/>
        <v>1476.1757108606373</v>
      </c>
      <c r="K214" s="84">
        <f t="shared" si="235"/>
        <v>1451.0584412485784</v>
      </c>
      <c r="L214" s="84">
        <f t="shared" si="235"/>
        <v>1424.2460167869058</v>
      </c>
      <c r="M214" s="84">
        <f t="shared" si="234"/>
        <v>1447.5271579002606</v>
      </c>
      <c r="N214" s="84">
        <f t="shared" si="235"/>
        <v>1467.7253674819335</v>
      </c>
      <c r="O214" s="84">
        <f t="shared" si="235"/>
        <v>1469.8897779327287</v>
      </c>
      <c r="P214" s="84">
        <f t="shared" si="235"/>
        <v>1446.5655467940539</v>
      </c>
      <c r="Q214" s="84">
        <f t="shared" si="235"/>
        <v>1455.566517265177</v>
      </c>
      <c r="R214" s="84">
        <f t="shared" si="235"/>
        <v>1412.7042806619475</v>
      </c>
      <c r="S214" s="84">
        <f t="shared" si="235"/>
        <v>1441.2674952468114</v>
      </c>
      <c r="T214" s="84">
        <f t="shared" si="235"/>
        <v>1470.2641043677625</v>
      </c>
      <c r="U214" s="84">
        <f t="shared" si="235"/>
        <v>1462.2676892867596</v>
      </c>
      <c r="V214" s="84">
        <f t="shared" si="235"/>
        <v>1440.6145341165663</v>
      </c>
      <c r="W214" s="84">
        <f t="shared" ref="W214" si="240">IF(W23=0,0,W23*1000000/W77)</f>
        <v>1468.4324795237133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929.53575417706691</v>
      </c>
      <c r="L215" s="84">
        <f t="shared" si="235"/>
        <v>927.22546063509924</v>
      </c>
      <c r="M215" s="84">
        <f t="shared" si="234"/>
        <v>957.73684365240797</v>
      </c>
      <c r="N215" s="84">
        <f t="shared" si="235"/>
        <v>986.92332717062538</v>
      </c>
      <c r="O215" s="84">
        <f t="shared" si="235"/>
        <v>1004.4828422549023</v>
      </c>
      <c r="P215" s="84">
        <f t="shared" si="235"/>
        <v>1004.6505118109114</v>
      </c>
      <c r="Q215" s="84">
        <f t="shared" si="235"/>
        <v>1010.901752627928</v>
      </c>
      <c r="R215" s="84">
        <f t="shared" si="235"/>
        <v>981.13361109004165</v>
      </c>
      <c r="S215" s="84">
        <f t="shared" si="235"/>
        <v>984.92314989170416</v>
      </c>
      <c r="T215" s="84">
        <f t="shared" si="235"/>
        <v>988.63041673225882</v>
      </c>
      <c r="U215" s="84">
        <f t="shared" si="235"/>
        <v>967.48971766711293</v>
      </c>
      <c r="V215" s="84">
        <f t="shared" si="235"/>
        <v>937.88184011028932</v>
      </c>
      <c r="W215" s="84">
        <f t="shared" ref="W215" si="241">IF(W24=0,0,W24*1000000/W78)</f>
        <v>940.66541602396171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2060.2416760553533</v>
      </c>
      <c r="F216" s="84">
        <f t="shared" si="235"/>
        <v>2062.1596076356645</v>
      </c>
      <c r="G216" s="84">
        <f t="shared" si="235"/>
        <v>2064.0554798491826</v>
      </c>
      <c r="H216" s="84">
        <f t="shared" si="235"/>
        <v>2065.966403801322</v>
      </c>
      <c r="I216" s="84">
        <f t="shared" si="235"/>
        <v>2066.8869024995142</v>
      </c>
      <c r="J216" s="84">
        <f t="shared" si="235"/>
        <v>2066.9864358769378</v>
      </c>
      <c r="K216" s="84">
        <f t="shared" si="235"/>
        <v>2068.6762985708197</v>
      </c>
      <c r="L216" s="84">
        <f t="shared" si="235"/>
        <v>2070.5143639096714</v>
      </c>
      <c r="M216" s="84">
        <f t="shared" si="234"/>
        <v>2072.1136282820621</v>
      </c>
      <c r="N216" s="84">
        <f t="shared" si="235"/>
        <v>2073.4813924020859</v>
      </c>
      <c r="O216" s="84">
        <f t="shared" si="235"/>
        <v>2073.6268950453327</v>
      </c>
      <c r="P216" s="84">
        <f t="shared" si="235"/>
        <v>2075.206934721808</v>
      </c>
      <c r="Q216" s="84">
        <f t="shared" si="235"/>
        <v>2076.1913241959401</v>
      </c>
      <c r="R216" s="84">
        <f t="shared" si="235"/>
        <v>2074.8346087718687</v>
      </c>
      <c r="S216" s="84">
        <f t="shared" si="235"/>
        <v>2072.8578251850126</v>
      </c>
      <c r="T216" s="84">
        <f t="shared" si="235"/>
        <v>2070.8925909204136</v>
      </c>
      <c r="U216" s="84">
        <f t="shared" si="235"/>
        <v>2070.354859317622</v>
      </c>
      <c r="V216" s="84">
        <f t="shared" si="235"/>
        <v>2048.4099055324273</v>
      </c>
      <c r="W216" s="84">
        <f t="shared" ref="W216" si="242">IF(W25=0,0,W25*1000000/W79)</f>
        <v>2069.940134958747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183006.61270335189</v>
      </c>
      <c r="C217" s="110">
        <f t="shared" si="235"/>
        <v>170669.4869580243</v>
      </c>
      <c r="D217" s="110">
        <f t="shared" si="235"/>
        <v>170407.33876050072</v>
      </c>
      <c r="E217" s="110">
        <f t="shared" si="235"/>
        <v>165843.2162955669</v>
      </c>
      <c r="F217" s="110">
        <f t="shared" si="235"/>
        <v>177203.3169364708</v>
      </c>
      <c r="G217" s="110">
        <f t="shared" si="235"/>
        <v>182972.72041309808</v>
      </c>
      <c r="H217" s="110">
        <f t="shared" si="235"/>
        <v>165174.49805425113</v>
      </c>
      <c r="I217" s="110">
        <f t="shared" si="235"/>
        <v>168103.665585996</v>
      </c>
      <c r="J217" s="110">
        <f t="shared" si="235"/>
        <v>149380.10854043331</v>
      </c>
      <c r="K217" s="110">
        <f t="shared" si="235"/>
        <v>141571.17654119787</v>
      </c>
      <c r="L217" s="110">
        <f t="shared" si="235"/>
        <v>130203.27060220594</v>
      </c>
      <c r="M217" s="110">
        <f t="shared" si="234"/>
        <v>125540.0567633273</v>
      </c>
      <c r="N217" s="110">
        <f t="shared" si="235"/>
        <v>123422.36749074452</v>
      </c>
      <c r="O217" s="110">
        <f t="shared" si="235"/>
        <v>124232.17537629892</v>
      </c>
      <c r="P217" s="110">
        <f t="shared" si="235"/>
        <v>119184.59455374071</v>
      </c>
      <c r="Q217" s="110">
        <f t="shared" si="235"/>
        <v>127017.69702170287</v>
      </c>
      <c r="R217" s="110">
        <f t="shared" si="235"/>
        <v>131097.17169015112</v>
      </c>
      <c r="S217" s="110">
        <f t="shared" si="235"/>
        <v>144956.19974347114</v>
      </c>
      <c r="T217" s="110">
        <f t="shared" si="235"/>
        <v>142515.00591255407</v>
      </c>
      <c r="U217" s="110">
        <f t="shared" si="235"/>
        <v>132613.06753959748</v>
      </c>
      <c r="V217" s="110">
        <f t="shared" si="235"/>
        <v>133003.72599598739</v>
      </c>
      <c r="W217" s="110">
        <f t="shared" ref="W217" si="243">IF(W26=0,0,W26*1000000/W80)</f>
        <v>131267.37507585058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61838.946207254558</v>
      </c>
      <c r="C218" s="163">
        <f t="shared" si="235"/>
        <v>75520.037607239356</v>
      </c>
      <c r="D218" s="163">
        <f t="shared" si="235"/>
        <v>78460.352139827781</v>
      </c>
      <c r="E218" s="163">
        <f t="shared" si="235"/>
        <v>80457.303392707341</v>
      </c>
      <c r="F218" s="163">
        <f t="shared" si="235"/>
        <v>82596.705953460259</v>
      </c>
      <c r="G218" s="163">
        <f t="shared" si="235"/>
        <v>84090.473452175574</v>
      </c>
      <c r="H218" s="163">
        <f t="shared" si="235"/>
        <v>86230.218875796549</v>
      </c>
      <c r="I218" s="163">
        <f t="shared" si="235"/>
        <v>84375.257392307059</v>
      </c>
      <c r="J218" s="163">
        <f t="shared" si="235"/>
        <v>97458.075637749309</v>
      </c>
      <c r="K218" s="163">
        <f t="shared" si="235"/>
        <v>89712.395189665142</v>
      </c>
      <c r="L218" s="163">
        <f t="shared" si="235"/>
        <v>78300.700866181054</v>
      </c>
      <c r="M218" s="163">
        <f t="shared" si="234"/>
        <v>74403.496539174506</v>
      </c>
      <c r="N218" s="163">
        <f t="shared" si="235"/>
        <v>72294.410046219593</v>
      </c>
      <c r="O218" s="163">
        <f t="shared" si="235"/>
        <v>72478.725024108819</v>
      </c>
      <c r="P218" s="163">
        <f t="shared" si="235"/>
        <v>65020.34470210725</v>
      </c>
      <c r="Q218" s="163">
        <f t="shared" si="235"/>
        <v>66244.098475813953</v>
      </c>
      <c r="R218" s="163">
        <f t="shared" si="235"/>
        <v>67182.417286073047</v>
      </c>
      <c r="S218" s="163">
        <f t="shared" si="235"/>
        <v>68932.118525814658</v>
      </c>
      <c r="T218" s="163">
        <f t="shared" si="235"/>
        <v>67853.366231935142</v>
      </c>
      <c r="U218" s="163">
        <f t="shared" si="235"/>
        <v>67181.852174996879</v>
      </c>
      <c r="V218" s="163">
        <f t="shared" si="235"/>
        <v>68275.536754971923</v>
      </c>
      <c r="W218" s="163">
        <f t="shared" ref="W218" si="244">IF(W27=0,0,W27*1000000/W81)</f>
        <v>71573.361950754188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1211830.2536793055</v>
      </c>
      <c r="C219" s="86">
        <f t="shared" si="235"/>
        <v>1210785.9624536938</v>
      </c>
      <c r="D219" s="86">
        <f t="shared" si="235"/>
        <v>1218926.3952755802</v>
      </c>
      <c r="E219" s="86">
        <f t="shared" si="235"/>
        <v>1211631.9230248076</v>
      </c>
      <c r="F219" s="86">
        <f t="shared" si="235"/>
        <v>1189501.7025234776</v>
      </c>
      <c r="G219" s="86">
        <f t="shared" si="235"/>
        <v>1189938.7215747859</v>
      </c>
      <c r="H219" s="86">
        <f t="shared" si="235"/>
        <v>1197557.7090753075</v>
      </c>
      <c r="I219" s="86">
        <f t="shared" si="235"/>
        <v>1199711.7474609476</v>
      </c>
      <c r="J219" s="86">
        <f t="shared" si="235"/>
        <v>1182680.1259606546</v>
      </c>
      <c r="K219" s="86">
        <f t="shared" si="235"/>
        <v>1167025.1752497514</v>
      </c>
      <c r="L219" s="86">
        <f t="shared" si="235"/>
        <v>1205108.4514655087</v>
      </c>
      <c r="M219" s="86">
        <f t="shared" si="234"/>
        <v>1201347.1686561392</v>
      </c>
      <c r="N219" s="86">
        <f t="shared" si="235"/>
        <v>1197203.1147734688</v>
      </c>
      <c r="O219" s="86">
        <f t="shared" si="235"/>
        <v>1199070.963136981</v>
      </c>
      <c r="P219" s="86">
        <f t="shared" si="235"/>
        <v>1201717.5590264865</v>
      </c>
      <c r="Q219" s="86">
        <f t="shared" si="235"/>
        <v>1190520.9239483748</v>
      </c>
      <c r="R219" s="86">
        <f t="shared" si="235"/>
        <v>1184173.0654830851</v>
      </c>
      <c r="S219" s="86">
        <f t="shared" si="235"/>
        <v>1194119.5226645276</v>
      </c>
      <c r="T219" s="86">
        <f t="shared" si="235"/>
        <v>1203277.942180742</v>
      </c>
      <c r="U219" s="86">
        <f t="shared" si="235"/>
        <v>1198781.4166031987</v>
      </c>
      <c r="V219" s="86">
        <f t="shared" si="235"/>
        <v>1180497.4144299433</v>
      </c>
      <c r="W219" s="86">
        <f t="shared" ref="W219" si="245">IF(W28=0,0,W28*1000000/W82)</f>
        <v>1193317.4224343675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7.2309271861709743E-3</v>
      </c>
      <c r="C223" s="154">
        <f t="shared" si="250"/>
        <v>6.8671938751058825E-3</v>
      </c>
      <c r="D223" s="154">
        <f t="shared" si="250"/>
        <v>6.8392359603804756E-3</v>
      </c>
      <c r="E223" s="154">
        <f t="shared" si="250"/>
        <v>7.5231468213677348E-3</v>
      </c>
      <c r="F223" s="154">
        <f t="shared" si="250"/>
        <v>8.1351117072380533E-3</v>
      </c>
      <c r="G223" s="154">
        <f t="shared" si="250"/>
        <v>8.8324380730934893E-3</v>
      </c>
      <c r="H223" s="154">
        <f t="shared" si="250"/>
        <v>9.2693850064732557E-3</v>
      </c>
      <c r="I223" s="154">
        <f t="shared" si="250"/>
        <v>8.9655273634179546E-3</v>
      </c>
      <c r="J223" s="154">
        <f t="shared" si="250"/>
        <v>8.6678735729567025E-3</v>
      </c>
      <c r="K223" s="154">
        <f t="shared" si="250"/>
        <v>8.9333779436072645E-3</v>
      </c>
      <c r="L223" s="154">
        <f t="shared" ref="L223" si="251">IF(L5=0,0,L5/L$4)</f>
        <v>9.3083511626318519E-3</v>
      </c>
      <c r="M223" s="154">
        <f t="shared" ref="M223:V223" si="252">IF(M5=0,0,M5/M$4)</f>
        <v>9.477548677054734E-3</v>
      </c>
      <c r="N223" s="154">
        <f t="shared" si="252"/>
        <v>9.1068208382646572E-3</v>
      </c>
      <c r="O223" s="154">
        <f t="shared" si="252"/>
        <v>8.9991312529372463E-3</v>
      </c>
      <c r="P223" s="154">
        <f t="shared" si="252"/>
        <v>8.98252692265053E-3</v>
      </c>
      <c r="Q223" s="154">
        <f t="shared" si="252"/>
        <v>8.9576955298066412E-3</v>
      </c>
      <c r="R223" s="154">
        <f t="shared" si="252"/>
        <v>9.3108758485602825E-3</v>
      </c>
      <c r="S223" s="154">
        <f t="shared" si="252"/>
        <v>9.5639944987434156E-3</v>
      </c>
      <c r="T223" s="154">
        <f t="shared" si="252"/>
        <v>1.0035133808153822E-2</v>
      </c>
      <c r="U223" s="154">
        <f t="shared" si="252"/>
        <v>1.0453931492168129E-2</v>
      </c>
      <c r="V223" s="154">
        <f t="shared" si="252"/>
        <v>1.2075248715117552E-2</v>
      </c>
      <c r="W223" s="154">
        <f t="shared" ref="W223" si="253">IF(W5=0,0,W5/W$4)</f>
        <v>1.2900224742619534E-2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0.8510246605654056</v>
      </c>
      <c r="C224" s="156">
        <f t="shared" si="254"/>
        <v>0.85203023008287793</v>
      </c>
      <c r="D224" s="156">
        <f t="shared" si="254"/>
        <v>0.85491037116971513</v>
      </c>
      <c r="E224" s="156">
        <f t="shared" si="254"/>
        <v>0.85177010954860044</v>
      </c>
      <c r="F224" s="156">
        <f t="shared" si="254"/>
        <v>0.86681314879707172</v>
      </c>
      <c r="G224" s="156">
        <f t="shared" si="254"/>
        <v>0.86806606441855061</v>
      </c>
      <c r="H224" s="156">
        <f t="shared" si="254"/>
        <v>0.86793344677314188</v>
      </c>
      <c r="I224" s="156">
        <f t="shared" si="254"/>
        <v>0.86442946783214203</v>
      </c>
      <c r="J224" s="156">
        <f t="shared" si="254"/>
        <v>0.8608222581110202</v>
      </c>
      <c r="K224" s="156">
        <f t="shared" si="254"/>
        <v>0.8783844495220956</v>
      </c>
      <c r="L224" s="156">
        <f t="shared" ref="L224" si="255">IF(L6=0,0,L6/L$4)</f>
        <v>0.87952216853854881</v>
      </c>
      <c r="M224" s="156">
        <f t="shared" ref="M224:V224" si="256">IF(M6=0,0,M6/M$4)</f>
        <v>0.88078166836505256</v>
      </c>
      <c r="N224" s="156">
        <f t="shared" si="256"/>
        <v>0.88137213255257707</v>
      </c>
      <c r="O224" s="156">
        <f t="shared" si="256"/>
        <v>0.87379325891649651</v>
      </c>
      <c r="P224" s="156">
        <f t="shared" si="256"/>
        <v>0.86931298757705755</v>
      </c>
      <c r="Q224" s="156">
        <f t="shared" si="256"/>
        <v>0.87862208739945624</v>
      </c>
      <c r="R224" s="156">
        <f t="shared" si="256"/>
        <v>0.86506460192138357</v>
      </c>
      <c r="S224" s="156">
        <f t="shared" si="256"/>
        <v>0.85495660859199074</v>
      </c>
      <c r="T224" s="156">
        <f t="shared" si="256"/>
        <v>0.86072496468098347</v>
      </c>
      <c r="U224" s="156">
        <f t="shared" si="256"/>
        <v>0.85414584099410462</v>
      </c>
      <c r="V224" s="156">
        <f t="shared" si="256"/>
        <v>0.89591758320505577</v>
      </c>
      <c r="W224" s="156">
        <f t="shared" ref="W224" si="257">IF(W6=0,0,W6/W$4)</f>
        <v>0.89467397847520069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0.65813718273430899</v>
      </c>
      <c r="C225" s="103">
        <f t="shared" si="258"/>
        <v>0.64678048249957421</v>
      </c>
      <c r="D225" s="103">
        <f t="shared" si="258"/>
        <v>0.62841846649270428</v>
      </c>
      <c r="E225" s="103">
        <f t="shared" si="258"/>
        <v>0.56961363450546432</v>
      </c>
      <c r="F225" s="103">
        <f t="shared" si="258"/>
        <v>0.54204971788267953</v>
      </c>
      <c r="G225" s="103">
        <f t="shared" si="258"/>
        <v>0.50620531804917757</v>
      </c>
      <c r="H225" s="103">
        <f t="shared" si="258"/>
        <v>0.46214160118716785</v>
      </c>
      <c r="I225" s="103">
        <f t="shared" si="258"/>
        <v>0.42694640032025133</v>
      </c>
      <c r="J225" s="103">
        <f t="shared" si="258"/>
        <v>0.45691956828174857</v>
      </c>
      <c r="K225" s="103">
        <f t="shared" si="258"/>
        <v>0.46346173214445802</v>
      </c>
      <c r="L225" s="103">
        <f t="shared" ref="L225" si="259">IF(L7=0,0,L7/L$4)</f>
        <v>0.46259131322278163</v>
      </c>
      <c r="M225" s="103">
        <f t="shared" ref="M225:V225" si="260">IF(M7=0,0,M7/M$4)</f>
        <v>0.45102044417504927</v>
      </c>
      <c r="N225" s="103">
        <f t="shared" si="260"/>
        <v>0.43527275705336083</v>
      </c>
      <c r="O225" s="103">
        <f t="shared" si="260"/>
        <v>0.41545698746011112</v>
      </c>
      <c r="P225" s="103">
        <f t="shared" si="260"/>
        <v>0.37061953340221671</v>
      </c>
      <c r="Q225" s="103">
        <f t="shared" si="260"/>
        <v>0.36243866622942383</v>
      </c>
      <c r="R225" s="103">
        <f t="shared" si="260"/>
        <v>0.33534380432429783</v>
      </c>
      <c r="S225" s="103">
        <f t="shared" si="260"/>
        <v>0.31875177389221543</v>
      </c>
      <c r="T225" s="103">
        <f t="shared" si="260"/>
        <v>0.31781691353409147</v>
      </c>
      <c r="U225" s="103">
        <f t="shared" si="260"/>
        <v>0.29842329152910774</v>
      </c>
      <c r="V225" s="103">
        <f t="shared" si="260"/>
        <v>0.3000876420752584</v>
      </c>
      <c r="W225" s="103">
        <f t="shared" ref="W225" si="261">IF(W7=0,0,W7/W$4)</f>
        <v>0.29755509732508961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0.1817598892837452</v>
      </c>
      <c r="C226" s="103">
        <f t="shared" si="262"/>
        <v>0.19271805368512532</v>
      </c>
      <c r="D226" s="103">
        <f t="shared" si="262"/>
        <v>0.2134892044714608</v>
      </c>
      <c r="E226" s="103">
        <f t="shared" si="262"/>
        <v>0.26954927324438788</v>
      </c>
      <c r="F226" s="103">
        <f t="shared" si="262"/>
        <v>0.30860747902364999</v>
      </c>
      <c r="G226" s="103">
        <f t="shared" si="262"/>
        <v>0.34106270862162497</v>
      </c>
      <c r="H226" s="103">
        <f t="shared" si="262"/>
        <v>0.37098906776836749</v>
      </c>
      <c r="I226" s="103">
        <f t="shared" si="262"/>
        <v>0.39150256235297348</v>
      </c>
      <c r="J226" s="103">
        <f t="shared" si="262"/>
        <v>0.34954323224548706</v>
      </c>
      <c r="K226" s="103">
        <f t="shared" si="262"/>
        <v>0.35474959950676049</v>
      </c>
      <c r="L226" s="103">
        <f t="shared" ref="L226" si="263">IF(L8=0,0,L8/L$4)</f>
        <v>0.3652893589174746</v>
      </c>
      <c r="M226" s="103">
        <f t="shared" ref="M226:V226" si="264">IF(M8=0,0,M8/M$4)</f>
        <v>0.37995251727501073</v>
      </c>
      <c r="N226" s="103">
        <f t="shared" si="264"/>
        <v>0.39578823935508445</v>
      </c>
      <c r="O226" s="103">
        <f t="shared" si="264"/>
        <v>0.40777898800906132</v>
      </c>
      <c r="P226" s="103">
        <f t="shared" si="264"/>
        <v>0.44477896952897916</v>
      </c>
      <c r="Q226" s="103">
        <f t="shared" si="264"/>
        <v>0.45821860995535973</v>
      </c>
      <c r="R226" s="103">
        <f t="shared" si="264"/>
        <v>0.47601354475391605</v>
      </c>
      <c r="S226" s="103">
        <f t="shared" si="264"/>
        <v>0.48487964266544792</v>
      </c>
      <c r="T226" s="103">
        <f t="shared" si="264"/>
        <v>0.49299132648820765</v>
      </c>
      <c r="U226" s="103">
        <f t="shared" si="264"/>
        <v>0.50742871877084994</v>
      </c>
      <c r="V226" s="103">
        <f t="shared" si="264"/>
        <v>0.54571991281298515</v>
      </c>
      <c r="W226" s="103">
        <f t="shared" ref="W226" si="265">IF(W8=0,0,W8/W$4)</f>
        <v>0.54972921785093931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1.1127588547351375E-2</v>
      </c>
      <c r="C227" s="103">
        <f t="shared" si="266"/>
        <v>1.2531693898178362E-2</v>
      </c>
      <c r="D227" s="103">
        <f t="shared" si="266"/>
        <v>1.3002700205549937E-2</v>
      </c>
      <c r="E227" s="103">
        <f t="shared" si="266"/>
        <v>1.26072017987482E-2</v>
      </c>
      <c r="F227" s="103">
        <f t="shared" si="266"/>
        <v>1.6155951890742152E-2</v>
      </c>
      <c r="G227" s="103">
        <f t="shared" si="266"/>
        <v>2.0798037747748094E-2</v>
      </c>
      <c r="H227" s="103">
        <f t="shared" si="266"/>
        <v>3.4802777817606413E-2</v>
      </c>
      <c r="I227" s="103">
        <f t="shared" si="266"/>
        <v>4.5980505158917197E-2</v>
      </c>
      <c r="J227" s="103">
        <f t="shared" si="266"/>
        <v>5.4359457583784673E-2</v>
      </c>
      <c r="K227" s="103">
        <f t="shared" si="266"/>
        <v>6.0128656238451823E-2</v>
      </c>
      <c r="L227" s="103">
        <f t="shared" ref="L227" si="267">IF(L9=0,0,L9/L$4)</f>
        <v>5.158986559819826E-2</v>
      </c>
      <c r="M227" s="103">
        <f t="shared" ref="M227:V227" si="268">IF(M9=0,0,M9/M$4)</f>
        <v>4.9757417757970386E-2</v>
      </c>
      <c r="N227" s="103">
        <f t="shared" si="268"/>
        <v>5.0229585525867919E-2</v>
      </c>
      <c r="O227" s="103">
        <f t="shared" si="268"/>
        <v>5.047021445276028E-2</v>
      </c>
      <c r="P227" s="103">
        <f t="shared" si="268"/>
        <v>5.3793547325794125E-2</v>
      </c>
      <c r="Q227" s="103">
        <f t="shared" si="268"/>
        <v>5.778423162049752E-2</v>
      </c>
      <c r="R227" s="103">
        <f t="shared" si="268"/>
        <v>5.3490894737521763E-2</v>
      </c>
      <c r="S227" s="103">
        <f t="shared" si="268"/>
        <v>5.1061222188208015E-2</v>
      </c>
      <c r="T227" s="103">
        <f t="shared" si="268"/>
        <v>4.9563204099155315E-2</v>
      </c>
      <c r="U227" s="103">
        <f t="shared" si="268"/>
        <v>4.7772660470756345E-2</v>
      </c>
      <c r="V227" s="103">
        <f t="shared" si="268"/>
        <v>4.9037395384449518E-2</v>
      </c>
      <c r="W227" s="103">
        <f t="shared" ref="W227" si="269">IF(W9=0,0,W9/W$4)</f>
        <v>4.5232612894979665E-2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4.4461632425186425E-5</v>
      </c>
      <c r="L228" s="103">
        <f t="shared" ref="L228" si="271">IF(L10=0,0,L10/L$4)</f>
        <v>5.163080009440332E-5</v>
      </c>
      <c r="M228" s="103">
        <f t="shared" ref="M228:V228" si="272">IF(M10=0,0,M10/M$4)</f>
        <v>5.128915702221209E-5</v>
      </c>
      <c r="N228" s="103">
        <f t="shared" si="272"/>
        <v>6.3762581652195542E-5</v>
      </c>
      <c r="O228" s="103">
        <f t="shared" si="272"/>
        <v>6.6750269551115555E-5</v>
      </c>
      <c r="P228" s="103">
        <f t="shared" si="272"/>
        <v>7.3179412548576286E-5</v>
      </c>
      <c r="Q228" s="103">
        <f t="shared" si="272"/>
        <v>6.8491551343170302E-5</v>
      </c>
      <c r="R228" s="103">
        <f t="shared" si="272"/>
        <v>6.6725420281638344E-5</v>
      </c>
      <c r="S228" s="103">
        <f t="shared" si="272"/>
        <v>8.59476607346088E-5</v>
      </c>
      <c r="T228" s="103">
        <f t="shared" si="272"/>
        <v>8.9110994233902014E-5</v>
      </c>
      <c r="U228" s="103">
        <f t="shared" si="272"/>
        <v>8.6751087236049002E-5</v>
      </c>
      <c r="V228" s="103">
        <f t="shared" si="272"/>
        <v>8.9090250154692902E-5</v>
      </c>
      <c r="W228" s="103">
        <f t="shared" ref="W228" si="273">IF(W10=0,0,W10/W$4)</f>
        <v>8.9845052162873499E-5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0</v>
      </c>
      <c r="O229" s="103">
        <f t="shared" si="276"/>
        <v>0</v>
      </c>
      <c r="P229" s="103">
        <f t="shared" si="276"/>
        <v>2.7348837823454231E-6</v>
      </c>
      <c r="Q229" s="103">
        <f t="shared" si="276"/>
        <v>2.6535582184299273E-5</v>
      </c>
      <c r="R229" s="103">
        <f t="shared" si="276"/>
        <v>3.5055937770178896E-5</v>
      </c>
      <c r="S229" s="103">
        <f t="shared" si="276"/>
        <v>4.1730708332149956E-5</v>
      </c>
      <c r="T229" s="103">
        <f t="shared" si="276"/>
        <v>4.4118161226479738E-5</v>
      </c>
      <c r="U229" s="103">
        <f t="shared" si="276"/>
        <v>8.3179862381280371E-5</v>
      </c>
      <c r="V229" s="103">
        <f t="shared" si="276"/>
        <v>2.5590916555624202E-4</v>
      </c>
      <c r="W229" s="103">
        <f t="shared" ref="W229" si="277">IF(W11=0,0,W11/W$4)</f>
        <v>4.4730021911492047E-4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0</v>
      </c>
      <c r="N230" s="103">
        <f t="shared" si="280"/>
        <v>1.7788036611513131E-5</v>
      </c>
      <c r="O230" s="103">
        <f t="shared" si="280"/>
        <v>2.0318725012622516E-5</v>
      </c>
      <c r="P230" s="103">
        <f t="shared" si="280"/>
        <v>4.5023023736548743E-5</v>
      </c>
      <c r="Q230" s="103">
        <f t="shared" si="280"/>
        <v>8.5552460647673703E-5</v>
      </c>
      <c r="R230" s="103">
        <f t="shared" si="280"/>
        <v>1.1457674759602569E-4</v>
      </c>
      <c r="S230" s="103">
        <f t="shared" si="280"/>
        <v>1.3629147705267154E-4</v>
      </c>
      <c r="T230" s="103">
        <f t="shared" si="280"/>
        <v>2.2029140406864194E-4</v>
      </c>
      <c r="U230" s="103">
        <f t="shared" si="280"/>
        <v>3.5123927377314764E-4</v>
      </c>
      <c r="V230" s="103">
        <f t="shared" si="280"/>
        <v>7.2763351665177376E-4</v>
      </c>
      <c r="W230" s="103">
        <f t="shared" ref="W230" si="281">IF(W12=0,0,W12/W$4)</f>
        <v>1.6199051329142727E-3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0.14174441224842346</v>
      </c>
      <c r="C231" s="156">
        <f t="shared" si="282"/>
        <v>0.14110257604201615</v>
      </c>
      <c r="D231" s="156">
        <f t="shared" si="282"/>
        <v>0.1382503928699044</v>
      </c>
      <c r="E231" s="156">
        <f t="shared" si="282"/>
        <v>0.14070674363003183</v>
      </c>
      <c r="F231" s="156">
        <f t="shared" si="282"/>
        <v>0.12505173949569018</v>
      </c>
      <c r="G231" s="156">
        <f t="shared" si="282"/>
        <v>0.12310149750835583</v>
      </c>
      <c r="H231" s="156">
        <f t="shared" si="282"/>
        <v>0.12279716822038486</v>
      </c>
      <c r="I231" s="156">
        <f t="shared" si="282"/>
        <v>0.12660500480444001</v>
      </c>
      <c r="J231" s="156">
        <f t="shared" si="282"/>
        <v>0.13050986831602304</v>
      </c>
      <c r="K231" s="156">
        <f t="shared" si="282"/>
        <v>0.11268217253429726</v>
      </c>
      <c r="L231" s="156">
        <f t="shared" ref="L231" si="283">IF(L13=0,0,L13/L$4)</f>
        <v>0.11116948029881932</v>
      </c>
      <c r="M231" s="156">
        <f t="shared" ref="M231:V231" si="284">IF(M13=0,0,M13/M$4)</f>
        <v>0.10974078295789264</v>
      </c>
      <c r="N231" s="156">
        <f t="shared" si="284"/>
        <v>0.10952104660915828</v>
      </c>
      <c r="O231" s="156">
        <f t="shared" si="284"/>
        <v>0.11720760983056618</v>
      </c>
      <c r="P231" s="156">
        <f t="shared" si="284"/>
        <v>0.12170448550029188</v>
      </c>
      <c r="Q231" s="156">
        <f t="shared" si="284"/>
        <v>0.11242021707073709</v>
      </c>
      <c r="R231" s="156">
        <f t="shared" si="284"/>
        <v>0.12562452223005613</v>
      </c>
      <c r="S231" s="156">
        <f t="shared" si="284"/>
        <v>0.13547939690926578</v>
      </c>
      <c r="T231" s="156">
        <f t="shared" si="284"/>
        <v>0.12923990151086268</v>
      </c>
      <c r="U231" s="156">
        <f t="shared" si="284"/>
        <v>0.13540022751372727</v>
      </c>
      <c r="V231" s="156">
        <f t="shared" si="284"/>
        <v>9.2007168079826646E-2</v>
      </c>
      <c r="W231" s="156">
        <f t="shared" ref="W231" si="285">IF(W13=0,0,W13/W$4)</f>
        <v>9.2425796782179812E-2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2.6756924422062463E-4</v>
      </c>
      <c r="C232" s="103">
        <f t="shared" si="286"/>
        <v>2.6797279384787649E-4</v>
      </c>
      <c r="D232" s="103">
        <f t="shared" si="286"/>
        <v>2.5804671127686402E-4</v>
      </c>
      <c r="E232" s="103">
        <f t="shared" si="286"/>
        <v>2.4148087719893933E-4</v>
      </c>
      <c r="F232" s="103">
        <f t="shared" si="286"/>
        <v>2.1841733397129159E-4</v>
      </c>
      <c r="G232" s="103">
        <f t="shared" si="286"/>
        <v>2.1533278116408865E-4</v>
      </c>
      <c r="H232" s="103">
        <f t="shared" si="286"/>
        <v>2.0816557236403305E-4</v>
      </c>
      <c r="I232" s="103">
        <f t="shared" si="286"/>
        <v>1.8242109792980922E-4</v>
      </c>
      <c r="J232" s="103">
        <f t="shared" si="286"/>
        <v>1.9461956409436596E-4</v>
      </c>
      <c r="K232" s="103">
        <f t="shared" si="286"/>
        <v>1.8119338835157435E-4</v>
      </c>
      <c r="L232" s="103">
        <f t="shared" ref="L232" si="287">IF(L14=0,0,L14/L$4)</f>
        <v>1.8294945238506554E-4</v>
      </c>
      <c r="M232" s="103">
        <f t="shared" ref="M232:V232" si="288">IF(M14=0,0,M14/M$4)</f>
        <v>1.6851844789963211E-4</v>
      </c>
      <c r="N232" s="103">
        <f t="shared" si="288"/>
        <v>1.6006159467858171E-4</v>
      </c>
      <c r="O232" s="103">
        <f t="shared" si="288"/>
        <v>1.8249468007558193E-4</v>
      </c>
      <c r="P232" s="103">
        <f t="shared" si="288"/>
        <v>1.7047652028144691E-4</v>
      </c>
      <c r="Q232" s="103">
        <f t="shared" si="288"/>
        <v>1.5800592573003949E-4</v>
      </c>
      <c r="R232" s="103">
        <f t="shared" si="288"/>
        <v>1.6154433349174448E-4</v>
      </c>
      <c r="S232" s="103">
        <f t="shared" si="288"/>
        <v>1.5633941008201085E-4</v>
      </c>
      <c r="T232" s="103">
        <f t="shared" si="288"/>
        <v>1.5997302507713413E-4</v>
      </c>
      <c r="U232" s="103">
        <f t="shared" si="288"/>
        <v>1.1808050728657309E-4</v>
      </c>
      <c r="V232" s="103">
        <f t="shared" si="288"/>
        <v>1.0673199511872754E-4</v>
      </c>
      <c r="W232" s="103">
        <f t="shared" ref="W232" si="289">IF(W14=0,0,W14/W$4)</f>
        <v>9.7833550240957205E-5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0.14147684300420282</v>
      </c>
      <c r="C233" s="103">
        <f t="shared" si="290"/>
        <v>0.14083460324816827</v>
      </c>
      <c r="D233" s="103">
        <f t="shared" si="290"/>
        <v>0.13799234615862754</v>
      </c>
      <c r="E233" s="103">
        <f t="shared" si="290"/>
        <v>0.14046526275283289</v>
      </c>
      <c r="F233" s="103">
        <f t="shared" si="290"/>
        <v>0.12483332216171888</v>
      </c>
      <c r="G233" s="103">
        <f t="shared" si="290"/>
        <v>0.12288616472719174</v>
      </c>
      <c r="H233" s="103">
        <f t="shared" si="290"/>
        <v>0.12258900264802083</v>
      </c>
      <c r="I233" s="103">
        <f t="shared" si="290"/>
        <v>0.12641350815049149</v>
      </c>
      <c r="J233" s="103">
        <f t="shared" si="290"/>
        <v>0.13030577173917113</v>
      </c>
      <c r="K233" s="103">
        <f t="shared" si="290"/>
        <v>0.11197203774953771</v>
      </c>
      <c r="L233" s="103">
        <f t="shared" ref="L233" si="291">IF(L15=0,0,L15/L$4)</f>
        <v>0.1104166834600825</v>
      </c>
      <c r="M233" s="103">
        <f t="shared" ref="M233:V233" si="292">IF(M15=0,0,M15/M$4)</f>
        <v>0.10898963884416678</v>
      </c>
      <c r="N233" s="103">
        <f t="shared" si="292"/>
        <v>0.10868582976261311</v>
      </c>
      <c r="O233" s="103">
        <f t="shared" si="292"/>
        <v>0.11545871403969735</v>
      </c>
      <c r="P233" s="103">
        <f t="shared" si="292"/>
        <v>0.1182866867342808</v>
      </c>
      <c r="Q233" s="103">
        <f t="shared" si="292"/>
        <v>0.10936053869512077</v>
      </c>
      <c r="R233" s="103">
        <f t="shared" si="292"/>
        <v>0.12241012058654667</v>
      </c>
      <c r="S233" s="103">
        <f t="shared" si="292"/>
        <v>0.13166680635866246</v>
      </c>
      <c r="T233" s="103">
        <f t="shared" si="292"/>
        <v>0.12576748433752125</v>
      </c>
      <c r="U233" s="103">
        <f t="shared" si="292"/>
        <v>0.13116720796905604</v>
      </c>
      <c r="V233" s="103">
        <f t="shared" si="292"/>
        <v>8.8900680763608173E-2</v>
      </c>
      <c r="W233" s="103">
        <f t="shared" ref="W233" si="293">IF(W15=0,0,W15/W$4)</f>
        <v>8.882463493412307E-2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9.075556018707842E-6</v>
      </c>
      <c r="J234" s="103">
        <f t="shared" si="294"/>
        <v>9.4770127575440099E-6</v>
      </c>
      <c r="K234" s="103">
        <f t="shared" si="294"/>
        <v>8.3216421328412071E-6</v>
      </c>
      <c r="L234" s="103">
        <f t="shared" ref="L234" si="295">IF(L16=0,0,L16/L$4)</f>
        <v>8.5640806007047244E-6</v>
      </c>
      <c r="M234" s="103">
        <f t="shared" ref="M234:V234" si="296">IF(M16=0,0,M16/M$4)</f>
        <v>1.7323449291017737E-5</v>
      </c>
      <c r="N234" s="103">
        <f t="shared" si="296"/>
        <v>1.798109496849592E-5</v>
      </c>
      <c r="O234" s="103">
        <f t="shared" si="296"/>
        <v>1.2474949898548144E-4</v>
      </c>
      <c r="P234" s="103">
        <f t="shared" si="296"/>
        <v>1.4548634746052076E-4</v>
      </c>
      <c r="Q234" s="103">
        <f t="shared" si="296"/>
        <v>1.3299084387623675E-4</v>
      </c>
      <c r="R234" s="103">
        <f t="shared" si="296"/>
        <v>1.4249320629821014E-4</v>
      </c>
      <c r="S234" s="103">
        <f t="shared" si="296"/>
        <v>1.3800201433415138E-4</v>
      </c>
      <c r="T234" s="103">
        <f t="shared" si="296"/>
        <v>1.2696632823299884E-4</v>
      </c>
      <c r="U234" s="103">
        <f t="shared" si="296"/>
        <v>1.3577697658362004E-4</v>
      </c>
      <c r="V234" s="103">
        <f t="shared" si="296"/>
        <v>1.0403414356569322E-4</v>
      </c>
      <c r="W234" s="103">
        <f t="shared" ref="W234" si="297">IF(W16=0,0,W16/W$4)</f>
        <v>1.005804531902242E-4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5.2061975427512125E-4</v>
      </c>
      <c r="L235" s="103">
        <f t="shared" ref="L235" si="299">IF(L17=0,0,L17/L$4)</f>
        <v>5.612833057510461E-4</v>
      </c>
      <c r="M235" s="103">
        <f t="shared" ref="M235:V235" si="300">IF(M17=0,0,M17/M$4)</f>
        <v>5.6530221653521299E-4</v>
      </c>
      <c r="N235" s="103">
        <f t="shared" si="300"/>
        <v>6.5717415689809126E-4</v>
      </c>
      <c r="O235" s="103">
        <f t="shared" si="300"/>
        <v>1.4416516118077761E-3</v>
      </c>
      <c r="P235" s="103">
        <f t="shared" si="300"/>
        <v>3.1018358982691104E-3</v>
      </c>
      <c r="Q235" s="103">
        <f t="shared" si="300"/>
        <v>2.7363589913933506E-3</v>
      </c>
      <c r="R235" s="103">
        <f t="shared" si="300"/>
        <v>2.8602789636253127E-3</v>
      </c>
      <c r="S235" s="103">
        <f t="shared" si="300"/>
        <v>3.465369090315596E-3</v>
      </c>
      <c r="T235" s="103">
        <f t="shared" si="300"/>
        <v>3.137411992868099E-3</v>
      </c>
      <c r="U235" s="103">
        <f t="shared" si="300"/>
        <v>3.9161414829883209E-3</v>
      </c>
      <c r="V235" s="103">
        <f t="shared" si="300"/>
        <v>2.84807865989368E-3</v>
      </c>
      <c r="W235" s="103">
        <f t="shared" ref="W235" si="301">IF(W17=0,0,W17/W$4)</f>
        <v>3.2984894610196456E-3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0</v>
      </c>
      <c r="P236" s="103">
        <f t="shared" si="304"/>
        <v>0</v>
      </c>
      <c r="Q236" s="103">
        <f t="shared" si="304"/>
        <v>3.2322614616694825E-5</v>
      </c>
      <c r="R236" s="103">
        <f t="shared" si="304"/>
        <v>5.0085140094193935E-5</v>
      </c>
      <c r="S236" s="103">
        <f t="shared" si="304"/>
        <v>5.2880035871549012E-5</v>
      </c>
      <c r="T236" s="103">
        <f t="shared" si="304"/>
        <v>4.8065827163173508E-5</v>
      </c>
      <c r="U236" s="103">
        <f t="shared" si="304"/>
        <v>6.3020577812725417E-5</v>
      </c>
      <c r="V236" s="103">
        <f t="shared" si="304"/>
        <v>4.7642517640371433E-5</v>
      </c>
      <c r="W236" s="103">
        <f t="shared" ref="W236" si="305">IF(W18=0,0,W18/W$4)</f>
        <v>1.0425838360592063E-4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2.3345043001640385E-2</v>
      </c>
      <c r="C238" s="154">
        <f t="shared" si="310"/>
        <v>2.3196498771717103E-2</v>
      </c>
      <c r="D238" s="154">
        <f t="shared" si="310"/>
        <v>2.3468337372290558E-2</v>
      </c>
      <c r="E238" s="154">
        <f t="shared" si="310"/>
        <v>2.4444653648887826E-2</v>
      </c>
      <c r="F238" s="154">
        <f t="shared" si="310"/>
        <v>2.3834080445312593E-2</v>
      </c>
      <c r="G238" s="154">
        <f t="shared" si="310"/>
        <v>2.5151809511733101E-2</v>
      </c>
      <c r="H238" s="154">
        <f t="shared" si="310"/>
        <v>2.612151332111215E-2</v>
      </c>
      <c r="I238" s="154">
        <f t="shared" si="310"/>
        <v>2.5436029077782644E-2</v>
      </c>
      <c r="J238" s="154">
        <f t="shared" si="310"/>
        <v>2.8107119074714876E-2</v>
      </c>
      <c r="K238" s="154">
        <f t="shared" si="310"/>
        <v>3.3187116037596866E-2</v>
      </c>
      <c r="L238" s="154">
        <f t="shared" ref="L238" si="311">IF(L20=0,0,L20/L$19)</f>
        <v>3.332187667174389E-2</v>
      </c>
      <c r="M238" s="154">
        <f t="shared" ref="M238:V238" si="312">IF(M20=0,0,M20/M$19)</f>
        <v>3.4061697865701457E-2</v>
      </c>
      <c r="N238" s="154">
        <f t="shared" si="312"/>
        <v>3.3588601060675689E-2</v>
      </c>
      <c r="O238" s="154">
        <f t="shared" si="312"/>
        <v>3.2413844703807815E-2</v>
      </c>
      <c r="P238" s="154">
        <f t="shared" si="312"/>
        <v>3.2941675061209374E-2</v>
      </c>
      <c r="Q238" s="154">
        <f t="shared" si="312"/>
        <v>3.5229955767650166E-2</v>
      </c>
      <c r="R238" s="154">
        <f t="shared" si="312"/>
        <v>3.7386244865944177E-2</v>
      </c>
      <c r="S238" s="154">
        <f t="shared" si="312"/>
        <v>3.6046217463137353E-2</v>
      </c>
      <c r="T238" s="154">
        <f t="shared" si="312"/>
        <v>3.9718380202929608E-2</v>
      </c>
      <c r="U238" s="154">
        <f t="shared" si="312"/>
        <v>4.4633506978506508E-2</v>
      </c>
      <c r="V238" s="154">
        <f t="shared" si="312"/>
        <v>4.4994851981238822E-2</v>
      </c>
      <c r="W238" s="154">
        <f t="shared" ref="W238" si="313">IF(W20=0,0,W20/W$19)</f>
        <v>4.8372535890444254E-2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3.4851609339600349E-3</v>
      </c>
      <c r="C239" s="103">
        <f t="shared" si="314"/>
        <v>3.3676569740839538E-3</v>
      </c>
      <c r="D239" s="103">
        <f t="shared" si="314"/>
        <v>3.0263143404136413E-3</v>
      </c>
      <c r="E239" s="103">
        <f t="shared" si="314"/>
        <v>2.7309364414102909E-3</v>
      </c>
      <c r="F239" s="103">
        <f t="shared" si="314"/>
        <v>2.2971043984808862E-3</v>
      </c>
      <c r="G239" s="103">
        <f t="shared" si="314"/>
        <v>2.1211495808678917E-3</v>
      </c>
      <c r="H239" s="103">
        <f t="shared" si="314"/>
        <v>2.0071441991616206E-3</v>
      </c>
      <c r="I239" s="103">
        <f t="shared" si="314"/>
        <v>1.5644217090928867E-3</v>
      </c>
      <c r="J239" s="103">
        <f t="shared" si="314"/>
        <v>1.6168742977844305E-3</v>
      </c>
      <c r="K239" s="103">
        <f t="shared" si="314"/>
        <v>1.7273888020698869E-3</v>
      </c>
      <c r="L239" s="103">
        <f t="shared" ref="L239" si="315">IF(L21=0,0,L21/L$19)</f>
        <v>1.61130273218317E-3</v>
      </c>
      <c r="M239" s="103">
        <f t="shared" ref="M239:V239" si="316">IF(M21=0,0,M21/M$19)</f>
        <v>1.556720300468448E-3</v>
      </c>
      <c r="N239" s="103">
        <f t="shared" si="316"/>
        <v>1.1694966528529652E-3</v>
      </c>
      <c r="O239" s="103">
        <f t="shared" si="316"/>
        <v>1.0797890937516456E-3</v>
      </c>
      <c r="P239" s="103">
        <f t="shared" si="316"/>
        <v>1.0648320058435383E-3</v>
      </c>
      <c r="Q239" s="103">
        <f t="shared" si="316"/>
        <v>9.4052608524518929E-4</v>
      </c>
      <c r="R239" s="103">
        <f t="shared" si="316"/>
        <v>9.3744297219112689E-4</v>
      </c>
      <c r="S239" s="103">
        <f t="shared" si="316"/>
        <v>8.9967248015175973E-4</v>
      </c>
      <c r="T239" s="103">
        <f t="shared" si="316"/>
        <v>9.4941658311748173E-4</v>
      </c>
      <c r="U239" s="103">
        <f t="shared" si="316"/>
        <v>1.0194745349581336E-3</v>
      </c>
      <c r="V239" s="103">
        <f t="shared" si="316"/>
        <v>9.8249772499463717E-4</v>
      </c>
      <c r="W239" s="103">
        <f t="shared" ref="W239" si="317">IF(W21=0,0,W21/W$19)</f>
        <v>1.0222475872644367E-3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1.9859882067680353E-2</v>
      </c>
      <c r="C240" s="103">
        <f t="shared" si="318"/>
        <v>1.982884179763315E-2</v>
      </c>
      <c r="D240" s="103">
        <f t="shared" si="318"/>
        <v>2.0442023031876918E-2</v>
      </c>
      <c r="E240" s="103">
        <f t="shared" si="318"/>
        <v>2.1713280024265123E-2</v>
      </c>
      <c r="F240" s="103">
        <f t="shared" si="318"/>
        <v>2.1536583595766209E-2</v>
      </c>
      <c r="G240" s="103">
        <f t="shared" si="318"/>
        <v>2.3030084104292487E-2</v>
      </c>
      <c r="H240" s="103">
        <f t="shared" si="318"/>
        <v>2.4113815864986874E-2</v>
      </c>
      <c r="I240" s="103">
        <f t="shared" si="318"/>
        <v>2.3845215639203769E-2</v>
      </c>
      <c r="J240" s="103">
        <f t="shared" si="318"/>
        <v>2.6418752696639257E-2</v>
      </c>
      <c r="K240" s="103">
        <f t="shared" si="318"/>
        <v>3.1347928274836408E-2</v>
      </c>
      <c r="L240" s="103">
        <f t="shared" ref="L240" si="319">IF(L22=0,0,L22/L$19)</f>
        <v>3.1587258193014979E-2</v>
      </c>
      <c r="M240" s="103">
        <f t="shared" ref="M240:V240" si="320">IF(M22=0,0,M22/M$19)</f>
        <v>3.2384028351378859E-2</v>
      </c>
      <c r="N240" s="103">
        <f t="shared" si="320"/>
        <v>3.2289259493944948E-2</v>
      </c>
      <c r="O240" s="103">
        <f t="shared" si="320"/>
        <v>3.1196314289075138E-2</v>
      </c>
      <c r="P240" s="103">
        <f t="shared" si="320"/>
        <v>3.1726382115927342E-2</v>
      </c>
      <c r="Q240" s="103">
        <f t="shared" si="320"/>
        <v>3.413200257329195E-2</v>
      </c>
      <c r="R240" s="103">
        <f t="shared" si="320"/>
        <v>3.6279367494633584E-2</v>
      </c>
      <c r="S240" s="103">
        <f t="shared" si="320"/>
        <v>3.4978510686090876E-2</v>
      </c>
      <c r="T240" s="103">
        <f t="shared" si="320"/>
        <v>3.8586417657140056E-2</v>
      </c>
      <c r="U240" s="103">
        <f t="shared" si="320"/>
        <v>4.3411837155666107E-2</v>
      </c>
      <c r="V240" s="103">
        <f t="shared" si="320"/>
        <v>4.3791984504214981E-2</v>
      </c>
      <c r="W240" s="103">
        <f t="shared" ref="W240" si="321">IF(W22=0,0,W22/W$19)</f>
        <v>4.7112569422661038E-2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2.5844013398213225E-5</v>
      </c>
      <c r="J241" s="103">
        <f t="shared" si="322"/>
        <v>7.0523945118271923E-5</v>
      </c>
      <c r="K241" s="103">
        <f t="shared" si="322"/>
        <v>1.0583845088395059E-4</v>
      </c>
      <c r="L241" s="103">
        <f t="shared" ref="L241" si="323">IF(L23=0,0,L23/L$19)</f>
        <v>1.160332611969852E-4</v>
      </c>
      <c r="M241" s="103">
        <f t="shared" ref="M241:V241" si="324">IF(M23=0,0,M23/M$19)</f>
        <v>1.1355360350715574E-4</v>
      </c>
      <c r="N241" s="103">
        <f t="shared" si="324"/>
        <v>1.1881823320988794E-4</v>
      </c>
      <c r="O241" s="103">
        <f t="shared" si="324"/>
        <v>1.2695058922602319E-4</v>
      </c>
      <c r="P241" s="103">
        <f t="shared" si="324"/>
        <v>1.3922210502675616E-4</v>
      </c>
      <c r="Q241" s="103">
        <f t="shared" si="324"/>
        <v>1.3975482974215529E-4</v>
      </c>
      <c r="R241" s="103">
        <f t="shared" si="324"/>
        <v>1.4801809302480482E-4</v>
      </c>
      <c r="S241" s="103">
        <f t="shared" si="324"/>
        <v>1.4509561592037244E-4</v>
      </c>
      <c r="T241" s="103">
        <f t="shared" si="324"/>
        <v>1.5689065394609034E-4</v>
      </c>
      <c r="U241" s="103">
        <f t="shared" si="324"/>
        <v>1.7551436395681056E-4</v>
      </c>
      <c r="V241" s="103">
        <f t="shared" si="324"/>
        <v>1.735863722740003E-4</v>
      </c>
      <c r="W241" s="103">
        <f t="shared" ref="W241" si="325">IF(W23=0,0,W23/W$19)</f>
        <v>1.9078680492535778E-4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4.5481533158353906E-6</v>
      </c>
      <c r="L242" s="103">
        <f t="shared" ref="L242" si="327">IF(L24=0,0,L24/L$19)</f>
        <v>5.7673531745096671E-6</v>
      </c>
      <c r="M242" s="103">
        <f t="shared" ref="M242:V242" si="328">IF(M24=0,0,M24/M$19)</f>
        <v>6.101420084616818E-6</v>
      </c>
      <c r="N242" s="103">
        <f t="shared" si="328"/>
        <v>9.1345772423305893E-6</v>
      </c>
      <c r="O242" s="103">
        <f t="shared" si="328"/>
        <v>8.9659040274857881E-6</v>
      </c>
      <c r="P242" s="103">
        <f t="shared" si="328"/>
        <v>9.1169266588588472E-6</v>
      </c>
      <c r="Q242" s="103">
        <f t="shared" si="328"/>
        <v>8.899214561817048E-6</v>
      </c>
      <c r="R242" s="103">
        <f t="shared" si="328"/>
        <v>8.5857180834049684E-6</v>
      </c>
      <c r="S242" s="103">
        <f t="shared" si="328"/>
        <v>9.2236662352598772E-6</v>
      </c>
      <c r="T242" s="103">
        <f t="shared" si="328"/>
        <v>9.5724091297331583E-6</v>
      </c>
      <c r="U242" s="103">
        <f t="shared" si="328"/>
        <v>9.8221714440768766E-6</v>
      </c>
      <c r="V242" s="103">
        <f t="shared" si="328"/>
        <v>9.2646773636148E-6</v>
      </c>
      <c r="W242" s="103">
        <f t="shared" ref="W242" si="329">IF(W24=0,0,W24/W$19)</f>
        <v>9.2384059626895837E-6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4.3718321241323514E-7</v>
      </c>
      <c r="F243" s="103">
        <f t="shared" si="330"/>
        <v>3.9245106549839148E-7</v>
      </c>
      <c r="G243" s="103">
        <f t="shared" si="330"/>
        <v>5.758265727213359E-7</v>
      </c>
      <c r="H243" s="103">
        <f t="shared" si="330"/>
        <v>5.5325696365328963E-7</v>
      </c>
      <c r="I243" s="103">
        <f t="shared" si="330"/>
        <v>5.4771608777329807E-7</v>
      </c>
      <c r="J243" s="103">
        <f t="shared" si="330"/>
        <v>9.6813517292247203E-7</v>
      </c>
      <c r="K243" s="103">
        <f t="shared" si="330"/>
        <v>1.4123564907793753E-6</v>
      </c>
      <c r="L243" s="103">
        <f t="shared" ref="L243" si="331">IF(L25=0,0,L25/L$19)</f>
        <v>1.5151321742411403E-6</v>
      </c>
      <c r="M243" s="103">
        <f t="shared" ref="M243:V243" si="332">IF(M25=0,0,M25/M$19)</f>
        <v>1.2941902623838769E-6</v>
      </c>
      <c r="N243" s="103">
        <f t="shared" si="332"/>
        <v>1.8921034255685165E-6</v>
      </c>
      <c r="O243" s="103">
        <f t="shared" si="332"/>
        <v>1.8248277275287586E-6</v>
      </c>
      <c r="P243" s="103">
        <f t="shared" si="332"/>
        <v>2.1219077528844198E-6</v>
      </c>
      <c r="Q243" s="103">
        <f t="shared" si="332"/>
        <v>8.7730648090562003E-6</v>
      </c>
      <c r="R243" s="103">
        <f t="shared" si="332"/>
        <v>1.2830588011259561E-5</v>
      </c>
      <c r="S243" s="103">
        <f t="shared" si="332"/>
        <v>1.3715014739089755E-5</v>
      </c>
      <c r="T243" s="103">
        <f t="shared" si="332"/>
        <v>1.6082899596248303E-5</v>
      </c>
      <c r="U243" s="103">
        <f t="shared" si="332"/>
        <v>1.6858752481374127E-5</v>
      </c>
      <c r="V243" s="103">
        <f t="shared" si="332"/>
        <v>3.7518702391598364E-5</v>
      </c>
      <c r="W243" s="103">
        <f t="shared" ref="W243" si="333">IF(W25=0,0,W25/W$19)</f>
        <v>3.7693669630736433E-5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0.97665495699835969</v>
      </c>
      <c r="C244" s="156">
        <f t="shared" si="334"/>
        <v>0.97680350122828286</v>
      </c>
      <c r="D244" s="156">
        <f t="shared" si="334"/>
        <v>0.97653166262770941</v>
      </c>
      <c r="E244" s="156">
        <f t="shared" si="334"/>
        <v>0.97555534635111218</v>
      </c>
      <c r="F244" s="156">
        <f t="shared" si="334"/>
        <v>0.97616591955468746</v>
      </c>
      <c r="G244" s="156">
        <f t="shared" si="334"/>
        <v>0.97484819048826699</v>
      </c>
      <c r="H244" s="156">
        <f t="shared" si="334"/>
        <v>0.97387848667888788</v>
      </c>
      <c r="I244" s="156">
        <f t="shared" si="334"/>
        <v>0.97456397092221736</v>
      </c>
      <c r="J244" s="156">
        <f t="shared" si="334"/>
        <v>0.97189288092528514</v>
      </c>
      <c r="K244" s="156">
        <f t="shared" si="334"/>
        <v>0.96681288396240328</v>
      </c>
      <c r="L244" s="156">
        <f t="shared" ref="L244" si="335">IF(L26=0,0,L26/L$19)</f>
        <v>0.96667812332825609</v>
      </c>
      <c r="M244" s="156">
        <f t="shared" ref="M244:V244" si="336">IF(M26=0,0,M26/M$19)</f>
        <v>0.96593830213429854</v>
      </c>
      <c r="N244" s="156">
        <f t="shared" si="336"/>
        <v>0.96641139893932437</v>
      </c>
      <c r="O244" s="156">
        <f t="shared" si="336"/>
        <v>0.96758615529619219</v>
      </c>
      <c r="P244" s="156">
        <f t="shared" si="336"/>
        <v>0.96705832493879063</v>
      </c>
      <c r="Q244" s="156">
        <f t="shared" si="336"/>
        <v>0.96477004423234991</v>
      </c>
      <c r="R244" s="156">
        <f t="shared" si="336"/>
        <v>0.96261375513405567</v>
      </c>
      <c r="S244" s="156">
        <f t="shared" si="336"/>
        <v>0.96395378253686259</v>
      </c>
      <c r="T244" s="156">
        <f t="shared" si="336"/>
        <v>0.96028161979707038</v>
      </c>
      <c r="U244" s="156">
        <f t="shared" si="336"/>
        <v>0.95536649302149346</v>
      </c>
      <c r="V244" s="156">
        <f t="shared" si="336"/>
        <v>0.95500514801876113</v>
      </c>
      <c r="W244" s="156">
        <f t="shared" ref="W244" si="337">IF(W26=0,0,W26/W$19)</f>
        <v>0.95162746410955568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0.29524519185742398</v>
      </c>
      <c r="C245" s="103">
        <f t="shared" si="338"/>
        <v>0.39600247041335501</v>
      </c>
      <c r="D245" s="103">
        <f t="shared" si="338"/>
        <v>0.41337314324198021</v>
      </c>
      <c r="E245" s="103">
        <f t="shared" si="338"/>
        <v>0.43755632869348421</v>
      </c>
      <c r="F245" s="103">
        <f t="shared" si="338"/>
        <v>0.41611437423898867</v>
      </c>
      <c r="G245" s="103">
        <f t="shared" si="338"/>
        <v>0.40795918507530987</v>
      </c>
      <c r="H245" s="103">
        <f t="shared" si="338"/>
        <v>0.4723023874449967</v>
      </c>
      <c r="I245" s="103">
        <f t="shared" si="338"/>
        <v>0.4524359473793208</v>
      </c>
      <c r="J245" s="103">
        <f t="shared" si="338"/>
        <v>0.60374186121237039</v>
      </c>
      <c r="K245" s="103">
        <f t="shared" si="338"/>
        <v>0.58316897462764161</v>
      </c>
      <c r="L245" s="103">
        <f t="shared" ref="L245" si="339">IF(L27=0,0,L27/L$19)</f>
        <v>0.5545567256426126</v>
      </c>
      <c r="M245" s="103">
        <f t="shared" ref="M245:V245" si="340">IF(M27=0,0,M27/M$19)</f>
        <v>0.54650307981650148</v>
      </c>
      <c r="N245" s="103">
        <f t="shared" si="340"/>
        <v>0.54034510872941721</v>
      </c>
      <c r="O245" s="103">
        <f t="shared" si="340"/>
        <v>0.53857064253749731</v>
      </c>
      <c r="P245" s="103">
        <f t="shared" si="340"/>
        <v>0.50243298855078022</v>
      </c>
      <c r="Q245" s="103">
        <f t="shared" si="340"/>
        <v>0.47596204681425708</v>
      </c>
      <c r="R245" s="103">
        <f t="shared" si="340"/>
        <v>0.46507661333275818</v>
      </c>
      <c r="S245" s="103">
        <f t="shared" si="340"/>
        <v>0.42742437102077624</v>
      </c>
      <c r="T245" s="103">
        <f t="shared" si="340"/>
        <v>0.42713923535769277</v>
      </c>
      <c r="U245" s="103">
        <f t="shared" si="340"/>
        <v>0.45600402013600616</v>
      </c>
      <c r="V245" s="103">
        <f t="shared" si="340"/>
        <v>0.46170758529901751</v>
      </c>
      <c r="W245" s="103">
        <f t="shared" ref="W245" si="341">IF(W27=0,0,W27/W$19)</f>
        <v>0.49126156554010819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0.68140976514093576</v>
      </c>
      <c r="C246" s="105">
        <f t="shared" si="342"/>
        <v>0.58080103081492784</v>
      </c>
      <c r="D246" s="105">
        <f t="shared" si="342"/>
        <v>0.56315851938572925</v>
      </c>
      <c r="E246" s="105">
        <f t="shared" si="342"/>
        <v>0.53799901765762803</v>
      </c>
      <c r="F246" s="105">
        <f t="shared" si="342"/>
        <v>0.56005154531569878</v>
      </c>
      <c r="G246" s="105">
        <f t="shared" si="342"/>
        <v>0.56688900541295706</v>
      </c>
      <c r="H246" s="105">
        <f t="shared" si="342"/>
        <v>0.50157609923389124</v>
      </c>
      <c r="I246" s="105">
        <f t="shared" si="342"/>
        <v>0.52212802354289656</v>
      </c>
      <c r="J246" s="105">
        <f t="shared" si="342"/>
        <v>0.3681510197129147</v>
      </c>
      <c r="K246" s="105">
        <f t="shared" si="342"/>
        <v>0.38364390933476172</v>
      </c>
      <c r="L246" s="105">
        <f t="shared" ref="L246" si="343">IF(L28=0,0,L28/L$19)</f>
        <v>0.41212139768564349</v>
      </c>
      <c r="M246" s="105">
        <f t="shared" ref="M246:V246" si="344">IF(M28=0,0,M28/M$19)</f>
        <v>0.41943522231779712</v>
      </c>
      <c r="N246" s="105">
        <f t="shared" si="344"/>
        <v>0.42606629020990711</v>
      </c>
      <c r="O246" s="105">
        <f t="shared" si="344"/>
        <v>0.42901551275869493</v>
      </c>
      <c r="P246" s="105">
        <f t="shared" si="344"/>
        <v>0.46462533638801051</v>
      </c>
      <c r="Q246" s="105">
        <f t="shared" si="344"/>
        <v>0.48880799741809278</v>
      </c>
      <c r="R246" s="105">
        <f t="shared" si="344"/>
        <v>0.49753714180129754</v>
      </c>
      <c r="S246" s="105">
        <f t="shared" si="344"/>
        <v>0.53652941151608635</v>
      </c>
      <c r="T246" s="105">
        <f t="shared" si="344"/>
        <v>0.53314238443937756</v>
      </c>
      <c r="U246" s="105">
        <f t="shared" si="344"/>
        <v>0.4993624728854873</v>
      </c>
      <c r="V246" s="105">
        <f t="shared" si="344"/>
        <v>0.49329756271974368</v>
      </c>
      <c r="W246" s="105">
        <f t="shared" ref="W246" si="345">IF(W28=0,0,W28/W$19)</f>
        <v>0.46036589856944748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9.4297390039357314E-3</v>
      </c>
      <c r="C250" s="154">
        <f t="shared" si="350"/>
        <v>8.7742795996650549E-3</v>
      </c>
      <c r="D250" s="154">
        <f t="shared" si="350"/>
        <v>8.6592543856263277E-3</v>
      </c>
      <c r="E250" s="154">
        <f t="shared" si="350"/>
        <v>9.4828640908284981E-3</v>
      </c>
      <c r="F250" s="154">
        <f t="shared" si="350"/>
        <v>1.0014978520658383E-2</v>
      </c>
      <c r="G250" s="154">
        <f t="shared" si="350"/>
        <v>1.0795329042317092E-2</v>
      </c>
      <c r="H250" s="154">
        <f t="shared" si="350"/>
        <v>1.1449913347696536E-2</v>
      </c>
      <c r="I250" s="154">
        <f t="shared" si="350"/>
        <v>1.0980958167819967E-2</v>
      </c>
      <c r="J250" s="154">
        <f t="shared" si="350"/>
        <v>1.0064263551951488E-2</v>
      </c>
      <c r="K250" s="154">
        <f t="shared" si="350"/>
        <v>1.0322398814187927E-2</v>
      </c>
      <c r="L250" s="154">
        <f t="shared" ref="L250" si="351">IF(L32=0,0,L32/L$31)</f>
        <v>1.035596777237844E-2</v>
      </c>
      <c r="M250" s="154">
        <f t="shared" ref="M250:V250" si="352">IF(M32=0,0,M32/M$31)</f>
        <v>1.0525567834229425E-2</v>
      </c>
      <c r="N250" s="154">
        <f t="shared" si="352"/>
        <v>1.0832926748239352E-2</v>
      </c>
      <c r="O250" s="154">
        <f t="shared" si="352"/>
        <v>1.0799501517381982E-2</v>
      </c>
      <c r="P250" s="154">
        <f t="shared" si="352"/>
        <v>1.0614577525896424E-2</v>
      </c>
      <c r="Q250" s="154">
        <f t="shared" si="352"/>
        <v>1.0301974810252603E-2</v>
      </c>
      <c r="R250" s="154">
        <f t="shared" si="352"/>
        <v>9.8416586475374001E-3</v>
      </c>
      <c r="S250" s="154">
        <f t="shared" si="352"/>
        <v>9.9817355477211898E-3</v>
      </c>
      <c r="T250" s="154">
        <f t="shared" si="352"/>
        <v>9.8308278376274937E-3</v>
      </c>
      <c r="U250" s="154">
        <f t="shared" si="352"/>
        <v>1.064282673478076E-2</v>
      </c>
      <c r="V250" s="154">
        <f t="shared" si="352"/>
        <v>1.1440145032932709E-2</v>
      </c>
      <c r="W250" s="154">
        <f t="shared" ref="W250" si="353">IF(W32=0,0,W32/W$31)</f>
        <v>1.2071032600534612E-2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0.96739751087757353</v>
      </c>
      <c r="C251" s="156">
        <f t="shared" si="354"/>
        <v>0.96944503599812426</v>
      </c>
      <c r="D251" s="156">
        <f t="shared" si="354"/>
        <v>0.9710144310404617</v>
      </c>
      <c r="E251" s="156">
        <f t="shared" si="354"/>
        <v>0.97105863789416202</v>
      </c>
      <c r="F251" s="156">
        <f t="shared" si="354"/>
        <v>0.9717612664614671</v>
      </c>
      <c r="G251" s="156">
        <f t="shared" si="354"/>
        <v>0.97178124796825749</v>
      </c>
      <c r="H251" s="156">
        <f t="shared" si="354"/>
        <v>0.97191002918259373</v>
      </c>
      <c r="I251" s="156">
        <f t="shared" si="354"/>
        <v>0.97315228620077476</v>
      </c>
      <c r="J251" s="156">
        <f t="shared" si="354"/>
        <v>0.97568870722440515</v>
      </c>
      <c r="K251" s="156">
        <f t="shared" si="354"/>
        <v>0.9752935545569259</v>
      </c>
      <c r="L251" s="156">
        <f t="shared" ref="L251" si="355">IF(L33=0,0,L33/L$31)</f>
        <v>0.97523774653374229</v>
      </c>
      <c r="M251" s="156">
        <f t="shared" ref="M251:V251" si="356">IF(M33=0,0,M33/M$31)</f>
        <v>0.97518966918637628</v>
      </c>
      <c r="N251" s="156">
        <f t="shared" si="356"/>
        <v>0.97506403622749882</v>
      </c>
      <c r="O251" s="156">
        <f t="shared" si="356"/>
        <v>0.97505176560257845</v>
      </c>
      <c r="P251" s="156">
        <f t="shared" si="356"/>
        <v>0.97504180721773792</v>
      </c>
      <c r="Q251" s="156">
        <f t="shared" si="356"/>
        <v>0.9751315119696693</v>
      </c>
      <c r="R251" s="156">
        <f t="shared" si="356"/>
        <v>0.97581139007960804</v>
      </c>
      <c r="S251" s="156">
        <f t="shared" si="356"/>
        <v>0.97578898186297414</v>
      </c>
      <c r="T251" s="156">
        <f t="shared" si="356"/>
        <v>0.97579158644984232</v>
      </c>
      <c r="U251" s="156">
        <f t="shared" si="356"/>
        <v>0.97756492124308214</v>
      </c>
      <c r="V251" s="156">
        <f t="shared" si="356"/>
        <v>0.97826372443742782</v>
      </c>
      <c r="W251" s="156">
        <f t="shared" ref="W251" si="357">IF(W33=0,0,W33/W$31)</f>
        <v>0.977812292458065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0.75677590932627681</v>
      </c>
      <c r="C252" s="103">
        <f t="shared" si="358"/>
        <v>0.74491484842533029</v>
      </c>
      <c r="D252" s="103">
        <f t="shared" si="358"/>
        <v>0.72344601935718522</v>
      </c>
      <c r="E252" s="103">
        <f t="shared" si="358"/>
        <v>0.66068094327907356</v>
      </c>
      <c r="F252" s="103">
        <f t="shared" si="358"/>
        <v>0.61960313429400871</v>
      </c>
      <c r="G252" s="103">
        <f t="shared" si="358"/>
        <v>0.57899093462256013</v>
      </c>
      <c r="H252" s="103">
        <f t="shared" si="358"/>
        <v>0.52972560993430851</v>
      </c>
      <c r="I252" s="103">
        <f t="shared" si="358"/>
        <v>0.49268768175241134</v>
      </c>
      <c r="J252" s="103">
        <f t="shared" si="358"/>
        <v>0.52934694122039283</v>
      </c>
      <c r="K252" s="103">
        <f t="shared" si="358"/>
        <v>0.52588506218980036</v>
      </c>
      <c r="L252" s="103">
        <f t="shared" ref="L252" si="359">IF(L34=0,0,L34/L$31)</f>
        <v>0.52459490956281618</v>
      </c>
      <c r="M252" s="103">
        <f t="shared" ref="M252:V252" si="360">IF(M34=0,0,M34/M$31)</f>
        <v>0.5112131295741128</v>
      </c>
      <c r="N252" s="103">
        <f t="shared" si="360"/>
        <v>0.49348548562084493</v>
      </c>
      <c r="O252" s="103">
        <f t="shared" si="360"/>
        <v>0.475595487325703</v>
      </c>
      <c r="P252" s="103">
        <f t="shared" si="360"/>
        <v>0.42759067110757926</v>
      </c>
      <c r="Q252" s="103">
        <f t="shared" si="360"/>
        <v>0.41400040331210775</v>
      </c>
      <c r="R252" s="103">
        <f t="shared" si="360"/>
        <v>0.39049783638998919</v>
      </c>
      <c r="S252" s="103">
        <f t="shared" si="360"/>
        <v>0.37596883465592579</v>
      </c>
      <c r="T252" s="103">
        <f t="shared" si="360"/>
        <v>0.37255888917126045</v>
      </c>
      <c r="U252" s="103">
        <f t="shared" si="360"/>
        <v>0.35354913853236919</v>
      </c>
      <c r="V252" s="103">
        <f t="shared" si="360"/>
        <v>0.33952478691805194</v>
      </c>
      <c r="W252" s="103">
        <f t="shared" ref="W252" si="361">IF(W34=0,0,W34/W$31)</f>
        <v>0.3370616878445481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0.19758116455690006</v>
      </c>
      <c r="C253" s="103">
        <f t="shared" si="362"/>
        <v>0.20983056339861841</v>
      </c>
      <c r="D253" s="103">
        <f t="shared" si="362"/>
        <v>0.23234307469364301</v>
      </c>
      <c r="E253" s="103">
        <f t="shared" si="362"/>
        <v>0.295560361985088</v>
      </c>
      <c r="F253" s="103">
        <f t="shared" si="362"/>
        <v>0.33348595708682488</v>
      </c>
      <c r="G253" s="103">
        <f t="shared" si="362"/>
        <v>0.36878726699798919</v>
      </c>
      <c r="H253" s="103">
        <f t="shared" si="362"/>
        <v>0.40200702065238664</v>
      </c>
      <c r="I253" s="103">
        <f t="shared" si="362"/>
        <v>0.42710000573594903</v>
      </c>
      <c r="J253" s="103">
        <f t="shared" si="362"/>
        <v>0.38282312893586529</v>
      </c>
      <c r="K253" s="103">
        <f t="shared" si="362"/>
        <v>0.38053577220338686</v>
      </c>
      <c r="L253" s="103">
        <f t="shared" ref="L253" si="363">IF(L35=0,0,L35/L$31)</f>
        <v>0.39161583185675214</v>
      </c>
      <c r="M253" s="103">
        <f t="shared" ref="M253:V253" si="364">IF(M35=0,0,M35/M$31)</f>
        <v>0.40712869933906753</v>
      </c>
      <c r="N253" s="103">
        <f t="shared" si="364"/>
        <v>0.42420169866323915</v>
      </c>
      <c r="O253" s="103">
        <f t="shared" si="364"/>
        <v>0.44129918141541902</v>
      </c>
      <c r="P253" s="103">
        <f t="shared" si="364"/>
        <v>0.48511061908174846</v>
      </c>
      <c r="Q253" s="103">
        <f t="shared" si="364"/>
        <v>0.49480671498671636</v>
      </c>
      <c r="R253" s="103">
        <f t="shared" si="364"/>
        <v>0.52401567241933333</v>
      </c>
      <c r="S253" s="103">
        <f t="shared" si="364"/>
        <v>0.54066693095834684</v>
      </c>
      <c r="T253" s="103">
        <f t="shared" si="364"/>
        <v>0.54632845816114772</v>
      </c>
      <c r="U253" s="103">
        <f t="shared" si="364"/>
        <v>0.56831449234421316</v>
      </c>
      <c r="V253" s="103">
        <f t="shared" si="364"/>
        <v>0.5837001378883131</v>
      </c>
      <c r="W253" s="103">
        <f t="shared" ref="W253" si="365">IF(W35=0,0,W35/W$31)</f>
        <v>0.58869105582149173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1.3040436994396621E-2</v>
      </c>
      <c r="C254" s="103">
        <f t="shared" si="366"/>
        <v>1.4699624174175559E-2</v>
      </c>
      <c r="D254" s="103">
        <f t="shared" si="366"/>
        <v>1.5225336989633438E-2</v>
      </c>
      <c r="E254" s="103">
        <f t="shared" si="366"/>
        <v>1.4817332630000358E-2</v>
      </c>
      <c r="F254" s="103">
        <f t="shared" si="366"/>
        <v>1.8672175080633513E-2</v>
      </c>
      <c r="G254" s="103">
        <f t="shared" si="366"/>
        <v>2.4003046347707939E-2</v>
      </c>
      <c r="H254" s="103">
        <f t="shared" si="366"/>
        <v>4.0177398595898625E-2</v>
      </c>
      <c r="I254" s="103">
        <f t="shared" si="366"/>
        <v>5.336459871241446E-2</v>
      </c>
      <c r="J254" s="103">
        <f t="shared" si="366"/>
        <v>6.3518637068147241E-2</v>
      </c>
      <c r="K254" s="103">
        <f t="shared" si="366"/>
        <v>6.8824607168591831E-2</v>
      </c>
      <c r="L254" s="103">
        <f t="shared" ref="L254" si="367">IF(L36=0,0,L36/L$31)</f>
        <v>5.8971209605484215E-2</v>
      </c>
      <c r="M254" s="103">
        <f t="shared" ref="M254:V254" si="368">IF(M36=0,0,M36/M$31)</f>
        <v>5.6792495905580491E-2</v>
      </c>
      <c r="N254" s="103">
        <f t="shared" si="368"/>
        <v>5.728544538685186E-2</v>
      </c>
      <c r="O254" s="103">
        <f t="shared" si="368"/>
        <v>5.8058401852816008E-2</v>
      </c>
      <c r="P254" s="103">
        <f t="shared" si="368"/>
        <v>6.2199694641330738E-2</v>
      </c>
      <c r="Q254" s="103">
        <f t="shared" si="368"/>
        <v>6.6112248669304055E-2</v>
      </c>
      <c r="R254" s="103">
        <f t="shared" si="368"/>
        <v>6.1043085393599483E-2</v>
      </c>
      <c r="S254" s="103">
        <f t="shared" si="368"/>
        <v>5.8841420084112063E-2</v>
      </c>
      <c r="T254" s="103">
        <f t="shared" si="368"/>
        <v>5.6494198970525079E-2</v>
      </c>
      <c r="U254" s="103">
        <f t="shared" si="368"/>
        <v>5.5083493617335028E-2</v>
      </c>
      <c r="V254" s="103">
        <f t="shared" si="368"/>
        <v>5.3835898274728948E-2</v>
      </c>
      <c r="W254" s="103">
        <f t="shared" ref="W254" si="369">IF(W36=0,0,W36/W$31)</f>
        <v>4.9647426614554749E-2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4.8112995147039822E-5</v>
      </c>
      <c r="L255" s="103">
        <f t="shared" ref="L255" si="371">IF(L37=0,0,L37/L$31)</f>
        <v>5.5795508689646114E-5</v>
      </c>
      <c r="M255" s="103">
        <f t="shared" ref="M255:V255" si="372">IF(M37=0,0,M37/M$31)</f>
        <v>5.5344367615434828E-5</v>
      </c>
      <c r="N255" s="103">
        <f t="shared" si="372"/>
        <v>6.8748834326276035E-5</v>
      </c>
      <c r="O255" s="103">
        <f t="shared" si="372"/>
        <v>7.259349358369391E-5</v>
      </c>
      <c r="P255" s="103">
        <f t="shared" si="372"/>
        <v>7.9994795795394622E-5</v>
      </c>
      <c r="Q255" s="103">
        <f t="shared" si="372"/>
        <v>7.4083985185705817E-5</v>
      </c>
      <c r="R255" s="103">
        <f t="shared" si="372"/>
        <v>7.4521971026412408E-5</v>
      </c>
      <c r="S255" s="103">
        <f t="shared" si="372"/>
        <v>9.7286431799404043E-5</v>
      </c>
      <c r="T255" s="103">
        <f t="shared" si="372"/>
        <v>1.0055280818740541E-4</v>
      </c>
      <c r="U255" s="103">
        <f t="shared" si="372"/>
        <v>9.8652332211803318E-5</v>
      </c>
      <c r="V255" s="103">
        <f t="shared" si="372"/>
        <v>9.682424786043608E-5</v>
      </c>
      <c r="W255" s="103">
        <f t="shared" ref="W255" si="373">IF(W37=0,0,W37/W$31)</f>
        <v>9.7832399288395012E-5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0</v>
      </c>
      <c r="O256" s="103">
        <f t="shared" si="376"/>
        <v>0</v>
      </c>
      <c r="P256" s="103">
        <f t="shared" si="376"/>
        <v>3.1681594185766062E-6</v>
      </c>
      <c r="Q256" s="103">
        <f t="shared" si="376"/>
        <v>3.0369512196226794E-5</v>
      </c>
      <c r="R256" s="103">
        <f t="shared" si="376"/>
        <v>4.0332482326020133E-5</v>
      </c>
      <c r="S256" s="103">
        <f t="shared" si="376"/>
        <v>4.8414616288723499E-5</v>
      </c>
      <c r="T256" s="103">
        <f t="shared" si="376"/>
        <v>5.047819118541561E-5</v>
      </c>
      <c r="U256" s="103">
        <f t="shared" si="376"/>
        <v>9.6409106481937001E-5</v>
      </c>
      <c r="V256" s="103">
        <f t="shared" si="376"/>
        <v>2.8201728318770085E-4</v>
      </c>
      <c r="W256" s="103">
        <f t="shared" ref="W256" si="377">IF(W38=0,0,W38/W$31)</f>
        <v>4.9242210359924123E-4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0</v>
      </c>
      <c r="N257" s="103">
        <f t="shared" si="380"/>
        <v>2.2657722236676989E-5</v>
      </c>
      <c r="O257" s="103">
        <f t="shared" si="380"/>
        <v>2.6101515056629995E-5</v>
      </c>
      <c r="P257" s="103">
        <f t="shared" si="380"/>
        <v>5.7659431865499394E-5</v>
      </c>
      <c r="Q257" s="103">
        <f t="shared" si="380"/>
        <v>1.0769150415915076E-4</v>
      </c>
      <c r="R257" s="103">
        <f t="shared" si="380"/>
        <v>1.3994142333376264E-4</v>
      </c>
      <c r="S257" s="103">
        <f t="shared" si="380"/>
        <v>1.6609511650122485E-4</v>
      </c>
      <c r="T257" s="103">
        <f t="shared" si="380"/>
        <v>2.5900914753624335E-4</v>
      </c>
      <c r="U257" s="103">
        <f t="shared" si="380"/>
        <v>4.2273531047114867E-4</v>
      </c>
      <c r="V257" s="103">
        <f t="shared" si="380"/>
        <v>8.2405982528567241E-4</v>
      </c>
      <c r="W257" s="103">
        <f t="shared" ref="W257" si="381">IF(W39=0,0,W39/W$31)</f>
        <v>1.8218676745827777E-3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2.3172750118490678E-2</v>
      </c>
      <c r="C258" s="156">
        <f t="shared" si="382"/>
        <v>2.1780684402210666E-2</v>
      </c>
      <c r="D258" s="156">
        <f t="shared" si="382"/>
        <v>2.0326314573912013E-2</v>
      </c>
      <c r="E258" s="156">
        <f t="shared" si="382"/>
        <v>1.9458498015009464E-2</v>
      </c>
      <c r="F258" s="156">
        <f t="shared" si="382"/>
        <v>1.8223755017874529E-2</v>
      </c>
      <c r="G258" s="156">
        <f t="shared" si="382"/>
        <v>1.7423422989425414E-2</v>
      </c>
      <c r="H258" s="156">
        <f t="shared" si="382"/>
        <v>1.6640057469709733E-2</v>
      </c>
      <c r="I258" s="156">
        <f t="shared" si="382"/>
        <v>1.5866755631405206E-2</v>
      </c>
      <c r="J258" s="156">
        <f t="shared" si="382"/>
        <v>1.4247029223643256E-2</v>
      </c>
      <c r="K258" s="156">
        <f t="shared" si="382"/>
        <v>1.4384046628886111E-2</v>
      </c>
      <c r="L258" s="156">
        <f t="shared" ref="L258" si="383">IF(L40=0,0,L40/L$31)</f>
        <v>1.4406285693879131E-2</v>
      </c>
      <c r="M258" s="156">
        <f t="shared" ref="M258:V258" si="384">IF(M40=0,0,M40/M$31)</f>
        <v>1.4284762979394336E-2</v>
      </c>
      <c r="N258" s="156">
        <f t="shared" si="384"/>
        <v>1.4103037024261852E-2</v>
      </c>
      <c r="O258" s="156">
        <f t="shared" si="384"/>
        <v>1.4148732880039608E-2</v>
      </c>
      <c r="P258" s="156">
        <f t="shared" si="384"/>
        <v>1.4343615256365766E-2</v>
      </c>
      <c r="Q258" s="156">
        <f t="shared" si="384"/>
        <v>1.45665132200781E-2</v>
      </c>
      <c r="R258" s="156">
        <f t="shared" si="384"/>
        <v>1.4346951272854524E-2</v>
      </c>
      <c r="S258" s="156">
        <f t="shared" si="384"/>
        <v>1.4229282589304672E-2</v>
      </c>
      <c r="T258" s="156">
        <f t="shared" si="384"/>
        <v>1.4377585712530207E-2</v>
      </c>
      <c r="U258" s="156">
        <f t="shared" si="384"/>
        <v>1.1792252022137083E-2</v>
      </c>
      <c r="V258" s="156">
        <f t="shared" si="384"/>
        <v>1.0296130529639441E-2</v>
      </c>
      <c r="W258" s="156">
        <f t="shared" ref="W258" si="385">IF(W40=0,0,W40/W$31)</f>
        <v>1.0116674941400438E-2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6.8603265919700573E-5</v>
      </c>
      <c r="C259" s="103">
        <f t="shared" si="386"/>
        <v>6.7163313743680796E-5</v>
      </c>
      <c r="D259" s="103">
        <f t="shared" si="386"/>
        <v>6.3917026934611095E-5</v>
      </c>
      <c r="E259" s="103">
        <f t="shared" si="386"/>
        <v>5.9346702787928707E-5</v>
      </c>
      <c r="F259" s="103">
        <f t="shared" si="386"/>
        <v>5.2696266959263653E-5</v>
      </c>
      <c r="G259" s="103">
        <f t="shared" si="386"/>
        <v>5.1462349424812025E-5</v>
      </c>
      <c r="H259" s="103">
        <f t="shared" si="386"/>
        <v>5.0110858200957469E-5</v>
      </c>
      <c r="I259" s="103">
        <f t="shared" si="386"/>
        <v>4.3393243150626752E-5</v>
      </c>
      <c r="J259" s="103">
        <f t="shared" si="386"/>
        <v>4.3627216774355594E-5</v>
      </c>
      <c r="K259" s="103">
        <f t="shared" si="386"/>
        <v>4.0920666801033505E-5</v>
      </c>
      <c r="L259" s="103">
        <f t="shared" ref="L259" si="387">IF(L41=0,0,L41/L$31)</f>
        <v>3.9857701674975733E-5</v>
      </c>
      <c r="M259" s="103">
        <f t="shared" ref="M259:V259" si="388">IF(M41=0,0,M41/M$31)</f>
        <v>3.6633510748297022E-5</v>
      </c>
      <c r="N259" s="103">
        <f t="shared" si="388"/>
        <v>3.6858941988587012E-5</v>
      </c>
      <c r="O259" s="103">
        <f t="shared" si="388"/>
        <v>4.2155469450432668E-5</v>
      </c>
      <c r="P259" s="103">
        <f t="shared" si="388"/>
        <v>3.8829980320075324E-5</v>
      </c>
      <c r="Q259" s="103">
        <f t="shared" si="388"/>
        <v>3.5384797111331631E-5</v>
      </c>
      <c r="R259" s="103">
        <f t="shared" si="388"/>
        <v>3.3176964843957953E-5</v>
      </c>
      <c r="S259" s="103">
        <f t="shared" si="388"/>
        <v>3.1408237303890427E-5</v>
      </c>
      <c r="T259" s="103">
        <f t="shared" si="388"/>
        <v>3.0345173991075401E-5</v>
      </c>
      <c r="U259" s="103">
        <f t="shared" si="388"/>
        <v>2.2767547819946057E-5</v>
      </c>
      <c r="V259" s="103">
        <f t="shared" si="388"/>
        <v>1.9557250364370382E-5</v>
      </c>
      <c r="W259" s="103">
        <f t="shared" ref="W259" si="389">IF(W41=0,0,W41/W$31)</f>
        <v>1.765513055893803E-5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2.3104146852570978E-2</v>
      </c>
      <c r="C260" s="103">
        <f t="shared" si="390"/>
        <v>2.1713521088466983E-2</v>
      </c>
      <c r="D260" s="103">
        <f t="shared" si="390"/>
        <v>2.0262397546977402E-2</v>
      </c>
      <c r="E260" s="103">
        <f t="shared" si="390"/>
        <v>1.9399151312221533E-2</v>
      </c>
      <c r="F260" s="103">
        <f t="shared" si="390"/>
        <v>1.8171058750915264E-2</v>
      </c>
      <c r="G260" s="103">
        <f t="shared" si="390"/>
        <v>1.7371960640000603E-2</v>
      </c>
      <c r="H260" s="103">
        <f t="shared" si="390"/>
        <v>1.6589946611508775E-2</v>
      </c>
      <c r="I260" s="103">
        <f t="shared" si="390"/>
        <v>1.5822226469279117E-2</v>
      </c>
      <c r="J260" s="103">
        <f t="shared" si="390"/>
        <v>1.420236908230091E-2</v>
      </c>
      <c r="K260" s="103">
        <f t="shared" si="390"/>
        <v>1.4275689455017894E-2</v>
      </c>
      <c r="L260" s="103">
        <f t="shared" ref="L260" si="391">IF(L42=0,0,L42/L$31)</f>
        <v>1.4292665244777665E-2</v>
      </c>
      <c r="M260" s="103">
        <f t="shared" ref="M260:V260" si="392">IF(M42=0,0,M42/M$31)</f>
        <v>1.4172368271635356E-2</v>
      </c>
      <c r="N260" s="103">
        <f t="shared" si="392"/>
        <v>1.3979338575435615E-2</v>
      </c>
      <c r="O260" s="103">
        <f t="shared" si="392"/>
        <v>1.391775846777487E-2</v>
      </c>
      <c r="P260" s="103">
        <f t="shared" si="392"/>
        <v>1.3922569237612125E-2</v>
      </c>
      <c r="Q260" s="103">
        <f t="shared" si="392"/>
        <v>1.4155538323853016E-2</v>
      </c>
      <c r="R260" s="103">
        <f t="shared" si="392"/>
        <v>1.3965481040444575E-2</v>
      </c>
      <c r="S260" s="103">
        <f t="shared" si="392"/>
        <v>1.3814266449165792E-2</v>
      </c>
      <c r="T260" s="103">
        <f t="shared" si="392"/>
        <v>1.3979062204981586E-2</v>
      </c>
      <c r="U260" s="103">
        <f t="shared" si="392"/>
        <v>1.1411486673535969E-2</v>
      </c>
      <c r="V260" s="103">
        <f t="shared" si="392"/>
        <v>9.9411319398154587E-3</v>
      </c>
      <c r="W260" s="103">
        <f t="shared" ref="W260" si="393">IF(W42=0,0,W42/W$31)</f>
        <v>9.7158186587198592E-3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1.1359189754601105E-6</v>
      </c>
      <c r="J261" s="103">
        <f t="shared" si="394"/>
        <v>1.0329245679902103E-6</v>
      </c>
      <c r="K261" s="103">
        <f t="shared" si="394"/>
        <v>1.0609539777239994E-6</v>
      </c>
      <c r="L261" s="103">
        <f t="shared" ref="L261" si="395">IF(L43=0,0,L43/L$31)</f>
        <v>1.1085601678972545E-6</v>
      </c>
      <c r="M261" s="103">
        <f t="shared" ref="M261:V261" si="396">IF(M43=0,0,M43/M$31)</f>
        <v>2.2526389268831303E-6</v>
      </c>
      <c r="N261" s="103">
        <f t="shared" si="396"/>
        <v>2.3127560885414799E-6</v>
      </c>
      <c r="O261" s="103">
        <f t="shared" si="396"/>
        <v>1.5037699062358343E-5</v>
      </c>
      <c r="P261" s="103">
        <f t="shared" si="396"/>
        <v>1.7124021321153214E-5</v>
      </c>
      <c r="Q261" s="103">
        <f t="shared" si="396"/>
        <v>1.7214225621728899E-5</v>
      </c>
      <c r="R261" s="103">
        <f t="shared" si="396"/>
        <v>1.6256712773539394E-5</v>
      </c>
      <c r="S261" s="103">
        <f t="shared" si="396"/>
        <v>1.4478946131195055E-5</v>
      </c>
      <c r="T261" s="103">
        <f t="shared" si="396"/>
        <v>1.4112313764215835E-5</v>
      </c>
      <c r="U261" s="103">
        <f t="shared" si="396"/>
        <v>1.1812534419597556E-5</v>
      </c>
      <c r="V261" s="103">
        <f t="shared" si="396"/>
        <v>1.1633399638213122E-5</v>
      </c>
      <c r="W261" s="103">
        <f t="shared" ref="W261" si="397">IF(W43=0,0,W43/W$31)</f>
        <v>1.1001693894186422E-5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6.637555308945908E-5</v>
      </c>
      <c r="L262" s="103">
        <f t="shared" ref="L262" si="399">IF(L44=0,0,L44/L$31)</f>
        <v>7.265418725859547E-5</v>
      </c>
      <c r="M262" s="103">
        <f t="shared" ref="M262:V262" si="400">IF(M44=0,0,M44/M$31)</f>
        <v>7.3508558083799756E-5</v>
      </c>
      <c r="N262" s="103">
        <f t="shared" si="400"/>
        <v>8.4526750749112451E-5</v>
      </c>
      <c r="O262" s="103">
        <f t="shared" si="400"/>
        <v>1.7378124375194676E-4</v>
      </c>
      <c r="P262" s="103">
        <f t="shared" si="400"/>
        <v>3.6509201711241139E-4</v>
      </c>
      <c r="Q262" s="103">
        <f t="shared" si="400"/>
        <v>3.541920607987692E-4</v>
      </c>
      <c r="R262" s="103">
        <f t="shared" si="400"/>
        <v>3.2632245965846937E-4</v>
      </c>
      <c r="S262" s="103">
        <f t="shared" si="400"/>
        <v>3.6358086963786537E-4</v>
      </c>
      <c r="T262" s="103">
        <f t="shared" si="400"/>
        <v>3.4872350068843559E-4</v>
      </c>
      <c r="U262" s="103">
        <f t="shared" si="400"/>
        <v>3.4070250512113737E-4</v>
      </c>
      <c r="V262" s="103">
        <f t="shared" si="400"/>
        <v>3.1848041533294929E-4</v>
      </c>
      <c r="W262" s="103">
        <f t="shared" ref="W262" si="401">IF(W44=0,0,W44/W$31)</f>
        <v>3.6079546484748957E-4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0</v>
      </c>
      <c r="P263" s="103">
        <f t="shared" si="404"/>
        <v>0</v>
      </c>
      <c r="Q263" s="103">
        <f t="shared" si="404"/>
        <v>4.1838126932541258E-6</v>
      </c>
      <c r="R263" s="103">
        <f t="shared" si="404"/>
        <v>5.7140951339798715E-6</v>
      </c>
      <c r="S263" s="103">
        <f t="shared" si="404"/>
        <v>5.5480870659316561E-6</v>
      </c>
      <c r="T263" s="103">
        <f t="shared" si="404"/>
        <v>5.342519104895844E-6</v>
      </c>
      <c r="U263" s="103">
        <f t="shared" si="404"/>
        <v>5.4827612404322183E-6</v>
      </c>
      <c r="V263" s="103">
        <f t="shared" si="404"/>
        <v>5.3275244884490928E-6</v>
      </c>
      <c r="W263" s="103">
        <f t="shared" ref="W263" si="405">IF(W45=0,0,W45/W$31)</f>
        <v>1.1403993379963075E-5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0.60673536330838262</v>
      </c>
      <c r="C265" s="154">
        <f t="shared" si="410"/>
        <v>0.59792453989935812</v>
      </c>
      <c r="D265" s="154">
        <f t="shared" si="410"/>
        <v>0.58039821835058136</v>
      </c>
      <c r="E265" s="154">
        <f t="shared" si="410"/>
        <v>0.58015455312252973</v>
      </c>
      <c r="F265" s="154">
        <f t="shared" si="410"/>
        <v>0.57477212806538203</v>
      </c>
      <c r="G265" s="154">
        <f t="shared" si="410"/>
        <v>0.58944141813977635</v>
      </c>
      <c r="H265" s="154">
        <f t="shared" si="410"/>
        <v>0.59147187310758043</v>
      </c>
      <c r="I265" s="154">
        <f t="shared" si="410"/>
        <v>0.58717793206718993</v>
      </c>
      <c r="J265" s="154">
        <f t="shared" si="410"/>
        <v>0.60777926598711263</v>
      </c>
      <c r="K265" s="154">
        <f t="shared" si="410"/>
        <v>0.63748095575085151</v>
      </c>
      <c r="L265" s="154">
        <f t="shared" ref="L265" si="411">IF(L47=0,0,L47/L$46)</f>
        <v>0.63236607865517469</v>
      </c>
      <c r="M265" s="154">
        <f t="shared" ref="M265:V265" si="412">IF(M47=0,0,M47/M$46)</f>
        <v>0.63425467859587348</v>
      </c>
      <c r="N265" s="154">
        <f t="shared" si="412"/>
        <v>0.63420773893610738</v>
      </c>
      <c r="O265" s="154">
        <f t="shared" si="412"/>
        <v>0.62949521119956886</v>
      </c>
      <c r="P265" s="154">
        <f t="shared" si="412"/>
        <v>0.63481604891291254</v>
      </c>
      <c r="Q265" s="154">
        <f t="shared" si="412"/>
        <v>0.65508964635162403</v>
      </c>
      <c r="R265" s="154">
        <f t="shared" si="412"/>
        <v>0.66427831667167347</v>
      </c>
      <c r="S265" s="154">
        <f t="shared" si="412"/>
        <v>0.66300008540520594</v>
      </c>
      <c r="T265" s="154">
        <f t="shared" si="412"/>
        <v>0.68911773838936208</v>
      </c>
      <c r="U265" s="154">
        <f t="shared" si="412"/>
        <v>0.71036672318106553</v>
      </c>
      <c r="V265" s="154">
        <f t="shared" si="412"/>
        <v>0.71211438094365798</v>
      </c>
      <c r="W265" s="154">
        <f t="shared" ref="W265" si="413">IF(W47=0,0,W47/W$46)</f>
        <v>0.72319146884841445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0.11370220485831598</v>
      </c>
      <c r="C266" s="103">
        <f t="shared" si="414"/>
        <v>0.10883905785199711</v>
      </c>
      <c r="D266" s="103">
        <f t="shared" si="414"/>
        <v>9.4059978380754847E-2</v>
      </c>
      <c r="E266" s="103">
        <f t="shared" si="414"/>
        <v>8.1661868574134724E-2</v>
      </c>
      <c r="F266" s="103">
        <f t="shared" si="414"/>
        <v>6.9926888831533529E-2</v>
      </c>
      <c r="G266" s="103">
        <f t="shared" si="414"/>
        <v>6.2802205773319186E-2</v>
      </c>
      <c r="H266" s="103">
        <f t="shared" si="414"/>
        <v>5.7387363026678684E-2</v>
      </c>
      <c r="I266" s="103">
        <f t="shared" si="414"/>
        <v>4.5663973208723049E-2</v>
      </c>
      <c r="J266" s="103">
        <f t="shared" si="414"/>
        <v>4.411974403878835E-2</v>
      </c>
      <c r="K266" s="103">
        <f t="shared" si="414"/>
        <v>4.1807330327848218E-2</v>
      </c>
      <c r="L266" s="103">
        <f t="shared" ref="L266" si="415">IF(L48=0,0,L48/L$46)</f>
        <v>3.8456062111696533E-2</v>
      </c>
      <c r="M266" s="103">
        <f t="shared" ref="M266:V266" si="416">IF(M48=0,0,M48/M$46)</f>
        <v>3.6380104362771615E-2</v>
      </c>
      <c r="N266" s="103">
        <f t="shared" si="416"/>
        <v>2.7712405672224372E-2</v>
      </c>
      <c r="O266" s="103">
        <f t="shared" si="416"/>
        <v>2.6249874377197814E-2</v>
      </c>
      <c r="P266" s="103">
        <f t="shared" si="416"/>
        <v>2.5618103606588196E-2</v>
      </c>
      <c r="Q266" s="103">
        <f t="shared" si="416"/>
        <v>2.1803793660701641E-2</v>
      </c>
      <c r="R266" s="103">
        <f t="shared" si="416"/>
        <v>2.0835613136193681E-2</v>
      </c>
      <c r="S266" s="103">
        <f t="shared" si="416"/>
        <v>2.0759282944077154E-2</v>
      </c>
      <c r="T266" s="103">
        <f t="shared" si="416"/>
        <v>2.0731066395172412E-2</v>
      </c>
      <c r="U266" s="103">
        <f t="shared" si="416"/>
        <v>2.0485617075955878E-2</v>
      </c>
      <c r="V266" s="103">
        <f t="shared" si="416"/>
        <v>1.9695241822768338E-2</v>
      </c>
      <c r="W266" s="103">
        <f t="shared" ref="W266" si="417">IF(W48=0,0,W48/W$46)</f>
        <v>1.9417413470045233E-2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0.49303315845006662</v>
      </c>
      <c r="C267" s="103">
        <f t="shared" si="418"/>
        <v>0.48908548204736102</v>
      </c>
      <c r="D267" s="103">
        <f t="shared" si="418"/>
        <v>0.4863382399698265</v>
      </c>
      <c r="E267" s="103">
        <f t="shared" si="418"/>
        <v>0.49848267509232563</v>
      </c>
      <c r="F267" s="103">
        <f t="shared" si="418"/>
        <v>0.5048361052137621</v>
      </c>
      <c r="G267" s="103">
        <f t="shared" si="418"/>
        <v>0.52662619551918</v>
      </c>
      <c r="H267" s="103">
        <f t="shared" si="418"/>
        <v>0.53407244974712242</v>
      </c>
      <c r="I267" s="103">
        <f t="shared" si="418"/>
        <v>0.54076785260031313</v>
      </c>
      <c r="J267" s="103">
        <f t="shared" si="418"/>
        <v>0.56176152832847193</v>
      </c>
      <c r="K267" s="103">
        <f t="shared" si="418"/>
        <v>0.59298996805641513</v>
      </c>
      <c r="L267" s="103">
        <f t="shared" ref="L267" si="419">IF(L49=0,0,L49/L$46)</f>
        <v>0.59097481270894681</v>
      </c>
      <c r="M267" s="103">
        <f t="shared" ref="M267:V267" si="420">IF(M49=0,0,M49/M$46)</f>
        <v>0.59504088299843438</v>
      </c>
      <c r="N267" s="103">
        <f t="shared" si="420"/>
        <v>0.60337751369644932</v>
      </c>
      <c r="O267" s="103">
        <f t="shared" si="420"/>
        <v>0.59984712185722222</v>
      </c>
      <c r="P267" s="103">
        <f t="shared" si="420"/>
        <v>0.60552020618016644</v>
      </c>
      <c r="Q267" s="103">
        <f t="shared" si="420"/>
        <v>0.62959084552026767</v>
      </c>
      <c r="R267" s="103">
        <f t="shared" si="420"/>
        <v>0.63968083953973032</v>
      </c>
      <c r="S267" s="103">
        <f t="shared" si="420"/>
        <v>0.63837846172766755</v>
      </c>
      <c r="T267" s="103">
        <f t="shared" si="420"/>
        <v>0.66443894716453633</v>
      </c>
      <c r="U267" s="103">
        <f t="shared" si="420"/>
        <v>0.68587254117179064</v>
      </c>
      <c r="V267" s="103">
        <f t="shared" si="420"/>
        <v>0.68816687632995277</v>
      </c>
      <c r="W267" s="103">
        <f t="shared" ref="W267" si="421">IF(W49=0,0,W49/W$46)</f>
        <v>0.6994364168662015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7.3390669203190909E-4</v>
      </c>
      <c r="J268" s="103">
        <f t="shared" si="422"/>
        <v>1.8777697270512673E-3</v>
      </c>
      <c r="K268" s="103">
        <f t="shared" si="422"/>
        <v>2.5064514611847694E-3</v>
      </c>
      <c r="L268" s="103">
        <f t="shared" ref="L268" si="423">IF(L50=0,0,L50/L$46)</f>
        <v>2.7171926734643318E-3</v>
      </c>
      <c r="M268" s="103">
        <f t="shared" ref="M268:V268" si="424">IF(M50=0,0,M50/M$46)</f>
        <v>2.6120505650934676E-3</v>
      </c>
      <c r="N268" s="103">
        <f t="shared" si="424"/>
        <v>2.7800364797216635E-3</v>
      </c>
      <c r="O268" s="103">
        <f t="shared" si="424"/>
        <v>3.0564408861701291E-3</v>
      </c>
      <c r="P268" s="103">
        <f t="shared" si="424"/>
        <v>3.3264237634400549E-3</v>
      </c>
      <c r="Q268" s="103">
        <f t="shared" si="424"/>
        <v>3.2398734267854576E-3</v>
      </c>
      <c r="R268" s="103">
        <f t="shared" si="424"/>
        <v>3.2663089943696117E-3</v>
      </c>
      <c r="S268" s="103">
        <f t="shared" si="424"/>
        <v>3.3149235780254838E-3</v>
      </c>
      <c r="T268" s="103">
        <f t="shared" si="424"/>
        <v>3.3826962163592002E-3</v>
      </c>
      <c r="U268" s="103">
        <f t="shared" si="424"/>
        <v>3.4718825363040744E-3</v>
      </c>
      <c r="V268" s="103">
        <f t="shared" si="424"/>
        <v>3.4147171925007378E-3</v>
      </c>
      <c r="W268" s="103">
        <f t="shared" ref="W268" si="425">IF(W50=0,0,W50/W$46)</f>
        <v>3.5464892194627534E-3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1.5084652536565609E-4</v>
      </c>
      <c r="L269" s="103">
        <f t="shared" ref="L269" si="427">IF(L51=0,0,L51/L$46)</f>
        <v>1.8991254732937695E-4</v>
      </c>
      <c r="M269" s="103">
        <f t="shared" ref="M269:V269" si="428">IF(M51=0,0,M51/M$46)</f>
        <v>1.9815523355762147E-4</v>
      </c>
      <c r="N269" s="103">
        <f t="shared" si="428"/>
        <v>3.0297347104940228E-4</v>
      </c>
      <c r="O269" s="103">
        <f t="shared" si="428"/>
        <v>3.0724080601348173E-4</v>
      </c>
      <c r="P269" s="103">
        <f t="shared" si="428"/>
        <v>3.1129787410028698E-4</v>
      </c>
      <c r="Q269" s="103">
        <f t="shared" si="428"/>
        <v>2.9482968695409943E-4</v>
      </c>
      <c r="R269" s="103">
        <f t="shared" si="428"/>
        <v>2.7075557099303331E-4</v>
      </c>
      <c r="S269" s="103">
        <f t="shared" si="428"/>
        <v>2.9993444232344959E-4</v>
      </c>
      <c r="T269" s="103">
        <f t="shared" si="428"/>
        <v>2.9257412991181366E-4</v>
      </c>
      <c r="U269" s="103">
        <f t="shared" si="428"/>
        <v>2.7431769930257559E-4</v>
      </c>
      <c r="V269" s="103">
        <f t="shared" si="428"/>
        <v>2.5627638524529492E-4</v>
      </c>
      <c r="W269" s="103">
        <f t="shared" ref="W269" si="429">IF(W51=0,0,W51/W$46)</f>
        <v>2.4050922692624263E-4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1.0009456069391276E-5</v>
      </c>
      <c r="F270" s="103">
        <f t="shared" si="430"/>
        <v>9.1340200863517452E-6</v>
      </c>
      <c r="G270" s="103">
        <f t="shared" si="430"/>
        <v>1.3016847277020266E-5</v>
      </c>
      <c r="H270" s="103">
        <f t="shared" si="430"/>
        <v>1.2060333779328027E-5</v>
      </c>
      <c r="I270" s="103">
        <f t="shared" si="430"/>
        <v>1.2199566121968168E-5</v>
      </c>
      <c r="J270" s="103">
        <f t="shared" si="430"/>
        <v>2.0223892801095948E-5</v>
      </c>
      <c r="K270" s="103">
        <f t="shared" si="430"/>
        <v>2.6359380037702147E-5</v>
      </c>
      <c r="L270" s="103">
        <f t="shared" ref="L270" si="431">IF(L52=0,0,L52/L$46)</f>
        <v>2.809861373760032E-5</v>
      </c>
      <c r="M270" s="103">
        <f t="shared" ref="M270:V270" si="432">IF(M52=0,0,M52/M$46)</f>
        <v>2.3485436016305475E-5</v>
      </c>
      <c r="N270" s="103">
        <f t="shared" si="432"/>
        <v>3.4809616662555179E-5</v>
      </c>
      <c r="O270" s="103">
        <f t="shared" si="432"/>
        <v>3.4533272965220342E-5</v>
      </c>
      <c r="P270" s="103">
        <f t="shared" si="432"/>
        <v>4.0017488617606194E-5</v>
      </c>
      <c r="Q270" s="103">
        <f t="shared" si="432"/>
        <v>1.6030405691522942E-4</v>
      </c>
      <c r="R270" s="103">
        <f t="shared" si="432"/>
        <v>2.2479943038680332E-4</v>
      </c>
      <c r="S270" s="103">
        <f t="shared" si="432"/>
        <v>2.474827131123555E-4</v>
      </c>
      <c r="T270" s="103">
        <f t="shared" si="432"/>
        <v>2.7245448338222015E-4</v>
      </c>
      <c r="U270" s="103">
        <f t="shared" si="432"/>
        <v>2.6236469771228417E-4</v>
      </c>
      <c r="V270" s="103">
        <f t="shared" si="432"/>
        <v>5.8126921319096296E-4</v>
      </c>
      <c r="W270" s="103">
        <f t="shared" ref="W270" si="433">IF(W52=0,0,W52/W$46)</f>
        <v>5.5064006577881211E-4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0.39326463669161743</v>
      </c>
      <c r="C271" s="156">
        <f t="shared" si="434"/>
        <v>0.40207546010064182</v>
      </c>
      <c r="D271" s="156">
        <f t="shared" si="434"/>
        <v>0.41960178164941869</v>
      </c>
      <c r="E271" s="156">
        <f t="shared" si="434"/>
        <v>0.41984544687747027</v>
      </c>
      <c r="F271" s="156">
        <f t="shared" si="434"/>
        <v>0.42522787193461808</v>
      </c>
      <c r="G271" s="156">
        <f t="shared" si="434"/>
        <v>0.41055858186022359</v>
      </c>
      <c r="H271" s="156">
        <f t="shared" si="434"/>
        <v>0.40852812689241952</v>
      </c>
      <c r="I271" s="156">
        <f t="shared" si="434"/>
        <v>0.41282206793281012</v>
      </c>
      <c r="J271" s="156">
        <f t="shared" si="434"/>
        <v>0.39222073401288726</v>
      </c>
      <c r="K271" s="156">
        <f t="shared" si="434"/>
        <v>0.36251904424914855</v>
      </c>
      <c r="L271" s="156">
        <f t="shared" ref="L271" si="435">IF(L53=0,0,L53/L$46)</f>
        <v>0.3676339213448252</v>
      </c>
      <c r="M271" s="156">
        <f t="shared" ref="M271:V271" si="436">IF(M53=0,0,M53/M$46)</f>
        <v>0.36574532140412652</v>
      </c>
      <c r="N271" s="156">
        <f t="shared" si="436"/>
        <v>0.36579226106389257</v>
      </c>
      <c r="O271" s="156">
        <f t="shared" si="436"/>
        <v>0.37050478880043131</v>
      </c>
      <c r="P271" s="156">
        <f t="shared" si="436"/>
        <v>0.3651839510870874</v>
      </c>
      <c r="Q271" s="156">
        <f t="shared" si="436"/>
        <v>0.34491035364837586</v>
      </c>
      <c r="R271" s="156">
        <f t="shared" si="436"/>
        <v>0.33572168332832647</v>
      </c>
      <c r="S271" s="156">
        <f t="shared" si="436"/>
        <v>0.33699991459479395</v>
      </c>
      <c r="T271" s="156">
        <f t="shared" si="436"/>
        <v>0.31088226161063803</v>
      </c>
      <c r="U271" s="156">
        <f t="shared" si="436"/>
        <v>0.28963327681893447</v>
      </c>
      <c r="V271" s="156">
        <f t="shared" si="436"/>
        <v>0.28788561905634202</v>
      </c>
      <c r="W271" s="156">
        <f t="shared" ref="W271" si="437">IF(W53=0,0,W53/W$46)</f>
        <v>0.27680853115158555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0.15006255019659998</v>
      </c>
      <c r="C272" s="104">
        <f t="shared" si="438"/>
        <v>0.1971801697843823</v>
      </c>
      <c r="D272" s="104">
        <f t="shared" si="438"/>
        <v>0.23013694066692511</v>
      </c>
      <c r="E272" s="104">
        <f t="shared" si="438"/>
        <v>0.24499921690261051</v>
      </c>
      <c r="F272" s="104">
        <f t="shared" si="438"/>
        <v>0.23679463952049432</v>
      </c>
      <c r="G272" s="104">
        <f t="shared" si="438"/>
        <v>0.22543105762796967</v>
      </c>
      <c r="H272" s="104">
        <f t="shared" si="438"/>
        <v>0.25161413403436389</v>
      </c>
      <c r="I272" s="104">
        <f t="shared" si="438"/>
        <v>0.24625217823734302</v>
      </c>
      <c r="J272" s="104">
        <f t="shared" si="438"/>
        <v>0.28049019458026803</v>
      </c>
      <c r="K272" s="104">
        <f t="shared" si="438"/>
        <v>0.25712471418758109</v>
      </c>
      <c r="L272" s="104">
        <f t="shared" ref="L272" si="439">IF(L54=0,0,L54/L$46)</f>
        <v>0.25870272127940719</v>
      </c>
      <c r="M272" s="104">
        <f t="shared" ref="M272:V272" si="440">IF(M54=0,0,M54/M$46)</f>
        <v>0.25693499332696323</v>
      </c>
      <c r="N272" s="104">
        <f t="shared" si="440"/>
        <v>0.25338239876166158</v>
      </c>
      <c r="O272" s="104">
        <f t="shared" si="440"/>
        <v>0.25423236285543555</v>
      </c>
      <c r="P272" s="104">
        <f t="shared" si="440"/>
        <v>0.24000966539741844</v>
      </c>
      <c r="Q272" s="104">
        <f t="shared" si="440"/>
        <v>0.21612602951912088</v>
      </c>
      <c r="R272" s="104">
        <f t="shared" si="440"/>
        <v>0.20933732651763221</v>
      </c>
      <c r="S272" s="104">
        <f t="shared" si="440"/>
        <v>0.19778600493587414</v>
      </c>
      <c r="T272" s="104">
        <f t="shared" si="440"/>
        <v>0.18195567806315338</v>
      </c>
      <c r="U272" s="104">
        <f t="shared" si="440"/>
        <v>0.17826751357320886</v>
      </c>
      <c r="V272" s="104">
        <f t="shared" si="440"/>
        <v>0.17637117538141295</v>
      </c>
      <c r="W272" s="104">
        <f t="shared" ref="W272" si="441">IF(W54=0,0,W54/W$46)</f>
        <v>0.18000955812025338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0.24320208649501746</v>
      </c>
      <c r="C273" s="105">
        <f t="shared" si="442"/>
        <v>0.20489529031625955</v>
      </c>
      <c r="D273" s="105">
        <f t="shared" si="442"/>
        <v>0.18946484098249355</v>
      </c>
      <c r="E273" s="105">
        <f t="shared" si="442"/>
        <v>0.17484622997485977</v>
      </c>
      <c r="F273" s="105">
        <f t="shared" si="442"/>
        <v>0.18843323241412377</v>
      </c>
      <c r="G273" s="105">
        <f t="shared" si="442"/>
        <v>0.1851275242322539</v>
      </c>
      <c r="H273" s="105">
        <f t="shared" si="442"/>
        <v>0.15691399285805563</v>
      </c>
      <c r="I273" s="105">
        <f t="shared" si="442"/>
        <v>0.16656988969546707</v>
      </c>
      <c r="J273" s="105">
        <f t="shared" si="442"/>
        <v>0.11173053943261925</v>
      </c>
      <c r="K273" s="105">
        <f t="shared" si="442"/>
        <v>0.1053943300615675</v>
      </c>
      <c r="L273" s="105">
        <f t="shared" ref="L273" si="443">IF(L55=0,0,L55/L$46)</f>
        <v>0.10893120006541802</v>
      </c>
      <c r="M273" s="105">
        <f t="shared" ref="M273:V273" si="444">IF(M55=0,0,M55/M$46)</f>
        <v>0.1088103280771633</v>
      </c>
      <c r="N273" s="105">
        <f t="shared" si="444"/>
        <v>0.11240986230223096</v>
      </c>
      <c r="O273" s="105">
        <f t="shared" si="444"/>
        <v>0.11627242594499568</v>
      </c>
      <c r="P273" s="105">
        <f t="shared" si="444"/>
        <v>0.12517428568966896</v>
      </c>
      <c r="Q273" s="105">
        <f t="shared" si="444"/>
        <v>0.12878432412925497</v>
      </c>
      <c r="R273" s="105">
        <f t="shared" si="444"/>
        <v>0.12638435681069426</v>
      </c>
      <c r="S273" s="105">
        <f t="shared" si="444"/>
        <v>0.1392139096589198</v>
      </c>
      <c r="T273" s="105">
        <f t="shared" si="444"/>
        <v>0.12892658354748465</v>
      </c>
      <c r="U273" s="105">
        <f t="shared" si="444"/>
        <v>0.11136576324572559</v>
      </c>
      <c r="V273" s="105">
        <f t="shared" si="444"/>
        <v>0.1115144436749291</v>
      </c>
      <c r="W273" s="105">
        <f t="shared" ref="W273" si="445">IF(W55=0,0,W55/W$46)</f>
        <v>9.6798973031332169E-2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1391.7045571797075</v>
      </c>
      <c r="C4" s="145">
        <f t="shared" si="0"/>
        <v>1406.8032674118658</v>
      </c>
      <c r="D4" s="145">
        <f t="shared" si="0"/>
        <v>1499.0023215821152</v>
      </c>
      <c r="E4" s="145">
        <f t="shared" si="0"/>
        <v>1625.7182619897044</v>
      </c>
      <c r="F4" s="145">
        <f t="shared" si="0"/>
        <v>1673.0610827210446</v>
      </c>
      <c r="G4" s="145">
        <f t="shared" si="0"/>
        <v>1734.345180925148</v>
      </c>
      <c r="H4" s="145">
        <f t="shared" si="0"/>
        <v>1847.8030491512893</v>
      </c>
      <c r="I4" s="145">
        <f t="shared" si="0"/>
        <v>1990.8071767178374</v>
      </c>
      <c r="J4" s="145">
        <f t="shared" si="0"/>
        <v>1964.2788113279087</v>
      </c>
      <c r="K4" s="145">
        <f t="shared" si="0"/>
        <v>1957.9063329617261</v>
      </c>
      <c r="L4" s="145">
        <f t="shared" ref="L4" si="1">L5+L9+L10+L15</f>
        <v>1881.4719403610318</v>
      </c>
      <c r="M4" s="145">
        <f t="shared" ref="M4:V4" si="2">M5+M9+M10+M15</f>
        <v>1843.8792331520524</v>
      </c>
      <c r="N4" s="145">
        <f t="shared" si="2"/>
        <v>1810.1026875663697</v>
      </c>
      <c r="O4" s="145">
        <f t="shared" si="2"/>
        <v>1829.929485887418</v>
      </c>
      <c r="P4" s="145">
        <f t="shared" si="2"/>
        <v>1805.8079173759293</v>
      </c>
      <c r="Q4" s="145">
        <f t="shared" si="2"/>
        <v>1905.6945754290273</v>
      </c>
      <c r="R4" s="145">
        <f t="shared" si="2"/>
        <v>1951.3831300298298</v>
      </c>
      <c r="S4" s="145">
        <f t="shared" si="2"/>
        <v>2100.0436659472812</v>
      </c>
      <c r="T4" s="145">
        <f t="shared" si="2"/>
        <v>2048.9104834954073</v>
      </c>
      <c r="U4" s="145">
        <f t="shared" si="2"/>
        <v>2136.5278942567843</v>
      </c>
      <c r="V4" s="145">
        <f t="shared" si="2"/>
        <v>1886.3140340735529</v>
      </c>
      <c r="W4" s="145">
        <f t="shared" ref="W4" si="3">W5+W9+W10+W15</f>
        <v>2054.4647567173852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1391.7045571797075</v>
      </c>
      <c r="C5" s="97">
        <f t="shared" si="4"/>
        <v>1406.8032674118658</v>
      </c>
      <c r="D5" s="97">
        <f t="shared" si="4"/>
        <v>1499.0023215821152</v>
      </c>
      <c r="E5" s="97">
        <f t="shared" si="4"/>
        <v>1625.7178847807395</v>
      </c>
      <c r="F5" s="97">
        <f t="shared" si="4"/>
        <v>1673.0607050730869</v>
      </c>
      <c r="G5" s="97">
        <f t="shared" si="4"/>
        <v>1734.3446259673256</v>
      </c>
      <c r="H5" s="97">
        <f t="shared" si="4"/>
        <v>1847.8024935511603</v>
      </c>
      <c r="I5" s="97">
        <f t="shared" si="4"/>
        <v>1988.1554600171964</v>
      </c>
      <c r="J5" s="97">
        <f t="shared" si="4"/>
        <v>1960.7429922613924</v>
      </c>
      <c r="K5" s="97">
        <f t="shared" si="4"/>
        <v>1948.9299226139296</v>
      </c>
      <c r="L5" s="97">
        <f t="shared" ref="L5" si="5">SUM(L6:L8)</f>
        <v>1876.7202063628547</v>
      </c>
      <c r="M5" s="97">
        <f t="shared" ref="M5:V5" si="6">SUM(M6:M8)</f>
        <v>1839.2938950988819</v>
      </c>
      <c r="N5" s="97">
        <f t="shared" si="6"/>
        <v>1772.3395528804813</v>
      </c>
      <c r="O5" s="97">
        <f t="shared" si="6"/>
        <v>1795.6398968185724</v>
      </c>
      <c r="P5" s="97">
        <f t="shared" si="6"/>
        <v>1772.7423043852104</v>
      </c>
      <c r="Q5" s="97">
        <f t="shared" si="6"/>
        <v>1878.0271711092005</v>
      </c>
      <c r="R5" s="97">
        <f t="shared" si="6"/>
        <v>1946.7687876182285</v>
      </c>
      <c r="S5" s="97">
        <f t="shared" si="6"/>
        <v>2095.1055889939817</v>
      </c>
      <c r="T5" s="97">
        <f t="shared" si="6"/>
        <v>2017.5294067067923</v>
      </c>
      <c r="U5" s="97">
        <f t="shared" si="6"/>
        <v>2069.7401547721406</v>
      </c>
      <c r="V5" s="97">
        <f t="shared" si="6"/>
        <v>1817.2895098882204</v>
      </c>
      <c r="W5" s="97">
        <f t="shared" ref="W5" si="7">SUM(W6:W8)</f>
        <v>1958.317196904557</v>
      </c>
      <c r="DA5" s="175"/>
    </row>
    <row r="6" spans="1:105" ht="11.45" customHeight="1" x14ac:dyDescent="0.25">
      <c r="A6" s="128" t="s">
        <v>52</v>
      </c>
      <c r="B6" s="97">
        <v>11.19948409286328</v>
      </c>
      <c r="C6" s="97">
        <v>13.43938091143594</v>
      </c>
      <c r="D6" s="97">
        <v>14.783319002579541</v>
      </c>
      <c r="E6" s="97">
        <v>14.55932932072227</v>
      </c>
      <c r="F6" s="97">
        <v>18.703181427343079</v>
      </c>
      <c r="G6" s="97">
        <v>24.63886500429923</v>
      </c>
      <c r="H6" s="97">
        <v>41.43809114359415</v>
      </c>
      <c r="I6" s="97">
        <v>57.117368873602743</v>
      </c>
      <c r="J6" s="97">
        <v>77.276440240756656</v>
      </c>
      <c r="K6" s="97">
        <v>78.396388650042994</v>
      </c>
      <c r="L6" s="97">
        <v>66.076956147893384</v>
      </c>
      <c r="M6" s="97">
        <v>62.717110920034393</v>
      </c>
      <c r="N6" s="97">
        <v>61.597162510748063</v>
      </c>
      <c r="O6" s="97">
        <v>62.717110920034393</v>
      </c>
      <c r="P6" s="97">
        <v>68.31685296646603</v>
      </c>
      <c r="Q6" s="97">
        <v>75.036543422183996</v>
      </c>
      <c r="R6" s="97">
        <v>79.516337059329317</v>
      </c>
      <c r="S6" s="97">
        <v>79.180395528804809</v>
      </c>
      <c r="T6" s="97">
        <v>78.844368013757517</v>
      </c>
      <c r="U6" s="97">
        <v>73.916595012897673</v>
      </c>
      <c r="V6" s="97">
        <v>59.133276010318141</v>
      </c>
      <c r="W6" s="97">
        <v>61.933190025795348</v>
      </c>
      <c r="DA6" s="175" t="s">
        <v>629</v>
      </c>
    </row>
    <row r="7" spans="1:105" ht="11.45" customHeight="1" x14ac:dyDescent="0.25">
      <c r="A7" s="128" t="s">
        <v>53</v>
      </c>
      <c r="B7" s="97">
        <v>813.15511607910571</v>
      </c>
      <c r="C7" s="97">
        <v>782.28993981083397</v>
      </c>
      <c r="D7" s="97">
        <v>789.74187446259668</v>
      </c>
      <c r="E7" s="97">
        <v>786.54789337919169</v>
      </c>
      <c r="F7" s="97">
        <v>751.42476354256223</v>
      </c>
      <c r="G7" s="97">
        <v>738.65210662080813</v>
      </c>
      <c r="H7" s="97">
        <v>739.71711092003432</v>
      </c>
      <c r="I7" s="97">
        <v>753.55477214101461</v>
      </c>
      <c r="J7" s="97">
        <v>721.62252794496976</v>
      </c>
      <c r="K7" s="97">
        <v>719.49458297506442</v>
      </c>
      <c r="L7" s="97">
        <v>677.98460877042135</v>
      </c>
      <c r="M7" s="97">
        <v>662.0190025795356</v>
      </c>
      <c r="N7" s="97">
        <v>615.18822012037833</v>
      </c>
      <c r="O7" s="97">
        <v>601.35262252794496</v>
      </c>
      <c r="P7" s="97">
        <v>554.52184006878758</v>
      </c>
      <c r="Q7" s="97">
        <v>553.45683576956151</v>
      </c>
      <c r="R7" s="97">
        <v>556.65081685296639</v>
      </c>
      <c r="S7" s="97">
        <v>534.38564058469467</v>
      </c>
      <c r="T7" s="97">
        <v>519.20490111779873</v>
      </c>
      <c r="U7" s="97">
        <v>495.20481513327599</v>
      </c>
      <c r="V7" s="97">
        <v>411.20189165950131</v>
      </c>
      <c r="W7" s="97">
        <v>460.57798796216679</v>
      </c>
      <c r="DA7" s="175" t="s">
        <v>630</v>
      </c>
    </row>
    <row r="8" spans="1:105" ht="11.45" customHeight="1" x14ac:dyDescent="0.25">
      <c r="A8" s="128" t="s">
        <v>54</v>
      </c>
      <c r="B8" s="97">
        <v>567.34995700773857</v>
      </c>
      <c r="C8" s="97">
        <v>611.07394668959591</v>
      </c>
      <c r="D8" s="97">
        <v>694.47712811693896</v>
      </c>
      <c r="E8" s="97">
        <v>824.61066208082536</v>
      </c>
      <c r="F8" s="97">
        <v>902.93276010318141</v>
      </c>
      <c r="G8" s="97">
        <v>971.05365434221824</v>
      </c>
      <c r="H8" s="97">
        <v>1066.6472914875319</v>
      </c>
      <c r="I8" s="97">
        <v>1177.483319002579</v>
      </c>
      <c r="J8" s="97">
        <v>1161.8440240756661</v>
      </c>
      <c r="K8" s="97">
        <v>1151.0389509888221</v>
      </c>
      <c r="L8" s="97">
        <v>1132.6586414445401</v>
      </c>
      <c r="M8" s="97">
        <v>1114.557781599312</v>
      </c>
      <c r="N8" s="97">
        <v>1095.5541702493549</v>
      </c>
      <c r="O8" s="97">
        <v>1131.570163370593</v>
      </c>
      <c r="P8" s="97">
        <v>1149.9036113499569</v>
      </c>
      <c r="Q8" s="97">
        <v>1249.5337919174549</v>
      </c>
      <c r="R8" s="97">
        <v>1310.601633705933</v>
      </c>
      <c r="S8" s="97">
        <v>1481.539552880482</v>
      </c>
      <c r="T8" s="97">
        <v>1419.4801375752361</v>
      </c>
      <c r="U8" s="97">
        <v>1500.6187446259671</v>
      </c>
      <c r="V8" s="97">
        <v>1346.9543422184011</v>
      </c>
      <c r="W8" s="97">
        <v>1435.8060189165949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1.139294926913156</v>
      </c>
      <c r="L9" s="97">
        <v>2.1066208082545139</v>
      </c>
      <c r="M9" s="97">
        <v>0.64488392089423896</v>
      </c>
      <c r="N9" s="97">
        <v>0.81685296646603611</v>
      </c>
      <c r="O9" s="97">
        <v>1.547721410146174</v>
      </c>
      <c r="P9" s="97">
        <v>3.224419604471195</v>
      </c>
      <c r="Q9" s="97">
        <v>3.310404127257093</v>
      </c>
      <c r="R9" s="97">
        <v>3.6558899398108342</v>
      </c>
      <c r="S9" s="97">
        <v>4.2268271711091998</v>
      </c>
      <c r="T9" s="97">
        <v>4.2195184866723991</v>
      </c>
      <c r="U9" s="97">
        <v>3.9713671539122948</v>
      </c>
      <c r="V9" s="97">
        <v>3.0727429062768699</v>
      </c>
      <c r="W9" s="97">
        <v>4.0126397248495271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2.6511607910576092</v>
      </c>
      <c r="J10" s="97">
        <f t="shared" si="8"/>
        <v>3.5349097162510739</v>
      </c>
      <c r="K10" s="97">
        <f t="shared" si="8"/>
        <v>7.8360275150472916</v>
      </c>
      <c r="L10" s="97">
        <f t="shared" si="8"/>
        <v>2.6440240756663802</v>
      </c>
      <c r="M10" s="97">
        <f t="shared" si="8"/>
        <v>3.9395528804815143</v>
      </c>
      <c r="N10" s="97">
        <f t="shared" si="8"/>
        <v>36.939810834049872</v>
      </c>
      <c r="O10" s="97">
        <f t="shared" si="8"/>
        <v>32.734565778159933</v>
      </c>
      <c r="P10" s="97">
        <f t="shared" si="8"/>
        <v>29.825107480653479</v>
      </c>
      <c r="Q10" s="97">
        <f t="shared" si="8"/>
        <v>24.285984522785903</v>
      </c>
      <c r="R10" s="97">
        <f t="shared" si="8"/>
        <v>0.85331040412725701</v>
      </c>
      <c r="S10" s="97">
        <f t="shared" si="8"/>
        <v>0.59260533104041269</v>
      </c>
      <c r="T10" s="97">
        <f t="shared" si="8"/>
        <v>27.003955288048147</v>
      </c>
      <c r="U10" s="97">
        <f t="shared" si="8"/>
        <v>62.581685296646604</v>
      </c>
      <c r="V10" s="97">
        <f t="shared" si="8"/>
        <v>65.554342218400677</v>
      </c>
      <c r="W10" s="97">
        <f t="shared" si="8"/>
        <v>91.192863284608762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2.5479793637145312</v>
      </c>
      <c r="L12" s="97">
        <v>0</v>
      </c>
      <c r="M12" s="97">
        <v>1.2740326741186589</v>
      </c>
      <c r="N12" s="97">
        <v>1.2740326741186589</v>
      </c>
      <c r="O12" s="97">
        <v>1.2740326741186589</v>
      </c>
      <c r="P12" s="97">
        <v>0</v>
      </c>
      <c r="Q12" s="97">
        <v>0</v>
      </c>
      <c r="R12" s="97">
        <v>0</v>
      </c>
      <c r="S12" s="97">
        <v>0.2631126397248495</v>
      </c>
      <c r="T12" s="97">
        <v>0.40318142734307821</v>
      </c>
      <c r="U12" s="97">
        <v>0.95743766122098017</v>
      </c>
      <c r="V12" s="97">
        <v>0.75803955288048153</v>
      </c>
      <c r="W12" s="97">
        <v>0.80326741186586414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2.6511607910576092</v>
      </c>
      <c r="J13" s="97">
        <v>3.5349097162510739</v>
      </c>
      <c r="K13" s="97">
        <v>5.2880481513327604</v>
      </c>
      <c r="L13" s="97">
        <v>2.6440240756663802</v>
      </c>
      <c r="M13" s="97">
        <v>2.6655202063628551</v>
      </c>
      <c r="N13" s="97">
        <v>35.665778159931214</v>
      </c>
      <c r="O13" s="97">
        <v>31.460533104041271</v>
      </c>
      <c r="P13" s="97">
        <v>29.825107480653479</v>
      </c>
      <c r="Q13" s="97">
        <v>24.285984522785903</v>
      </c>
      <c r="R13" s="97">
        <v>0.85331040412725701</v>
      </c>
      <c r="S13" s="97">
        <v>0.32949269131556319</v>
      </c>
      <c r="T13" s="97">
        <v>26.600773860705068</v>
      </c>
      <c r="U13" s="97">
        <v>61.624247635425625</v>
      </c>
      <c r="V13" s="97">
        <v>64.796302665520201</v>
      </c>
      <c r="W13" s="97">
        <v>90.389595872742902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3.7720896491212175E-4</v>
      </c>
      <c r="F15" s="98">
        <v>3.7764795779888095E-4</v>
      </c>
      <c r="G15" s="98">
        <v>5.5495782248175438E-4</v>
      </c>
      <c r="H15" s="98">
        <v>5.5560012891624948E-4</v>
      </c>
      <c r="I15" s="98">
        <v>5.5590958317147557E-4</v>
      </c>
      <c r="J15" s="98">
        <v>9.0935026524041141E-4</v>
      </c>
      <c r="K15" s="98">
        <v>1.0879058358767273E-3</v>
      </c>
      <c r="L15" s="98">
        <v>1.0891142559977126E-3</v>
      </c>
      <c r="M15" s="98">
        <v>9.0125179477038562E-4</v>
      </c>
      <c r="N15" s="98">
        <v>6.470885372514704E-3</v>
      </c>
      <c r="O15" s="98">
        <v>7.3018805393513719E-3</v>
      </c>
      <c r="P15" s="98">
        <v>1.6085905594136356E-2</v>
      </c>
      <c r="Q15" s="98">
        <v>7.1015669783971655E-2</v>
      </c>
      <c r="R15" s="98">
        <v>0.10514206766315315</v>
      </c>
      <c r="S15" s="98">
        <v>0.11864445114987449</v>
      </c>
      <c r="T15" s="98">
        <v>0.15760301389455753</v>
      </c>
      <c r="U15" s="98">
        <v>0.23468703408469024</v>
      </c>
      <c r="V15" s="98">
        <v>0.39743906065481521</v>
      </c>
      <c r="W15" s="98">
        <v>0.94205680336955322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1391.7045571797075</v>
      </c>
      <c r="C17" s="79">
        <f t="shared" si="9"/>
        <v>1406.8032674118658</v>
      </c>
      <c r="D17" s="79">
        <f t="shared" si="9"/>
        <v>1499.0023215821152</v>
      </c>
      <c r="E17" s="79">
        <f t="shared" si="9"/>
        <v>1625.7182619897044</v>
      </c>
      <c r="F17" s="79">
        <f t="shared" si="9"/>
        <v>1673.0610827210444</v>
      </c>
      <c r="G17" s="79">
        <f t="shared" si="9"/>
        <v>1734.3451809251483</v>
      </c>
      <c r="H17" s="79">
        <f t="shared" si="9"/>
        <v>1847.8030491512891</v>
      </c>
      <c r="I17" s="79">
        <f t="shared" si="9"/>
        <v>1990.8071767178371</v>
      </c>
      <c r="J17" s="79">
        <f t="shared" si="9"/>
        <v>1964.2788113279087</v>
      </c>
      <c r="K17" s="79">
        <f t="shared" si="9"/>
        <v>1957.9063329617259</v>
      </c>
      <c r="L17" s="79">
        <f t="shared" ref="L17" si="10">L18+L42</f>
        <v>1881.4719403610316</v>
      </c>
      <c r="M17" s="79">
        <f t="shared" ref="M17:V17" si="11">M18+M42</f>
        <v>1843.8792331520526</v>
      </c>
      <c r="N17" s="79">
        <f t="shared" si="11"/>
        <v>1810.1026875663699</v>
      </c>
      <c r="O17" s="79">
        <f t="shared" si="11"/>
        <v>1829.929485887418</v>
      </c>
      <c r="P17" s="79">
        <f t="shared" si="11"/>
        <v>1805.807917375929</v>
      </c>
      <c r="Q17" s="79">
        <f t="shared" si="11"/>
        <v>1905.6945754290273</v>
      </c>
      <c r="R17" s="79">
        <f t="shared" si="11"/>
        <v>1951.38313002983</v>
      </c>
      <c r="S17" s="79">
        <f t="shared" si="11"/>
        <v>2100.0436659472807</v>
      </c>
      <c r="T17" s="79">
        <f t="shared" si="11"/>
        <v>2048.9104834954073</v>
      </c>
      <c r="U17" s="79">
        <f t="shared" si="11"/>
        <v>2136.5278942567843</v>
      </c>
      <c r="V17" s="79">
        <f t="shared" si="11"/>
        <v>1886.3140340735531</v>
      </c>
      <c r="W17" s="79">
        <f t="shared" ref="W17" si="12">W18+W42</f>
        <v>2054.4647567173847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1168.7882759450777</v>
      </c>
      <c r="C18" s="32">
        <f t="shared" si="13"/>
        <v>1165.1171414244802</v>
      </c>
      <c r="D18" s="32">
        <f t="shared" si="13"/>
        <v>1182.0370702417251</v>
      </c>
      <c r="E18" s="32">
        <f t="shared" si="13"/>
        <v>1267.2263173020265</v>
      </c>
      <c r="F18" s="32">
        <f t="shared" si="13"/>
        <v>1277.5389157883997</v>
      </c>
      <c r="G18" s="32">
        <f t="shared" si="13"/>
        <v>1325.9814796803207</v>
      </c>
      <c r="H18" s="32">
        <f t="shared" si="13"/>
        <v>1410.8334561672336</v>
      </c>
      <c r="I18" s="32">
        <f t="shared" si="13"/>
        <v>1543.0266311363534</v>
      </c>
      <c r="J18" s="32">
        <f t="shared" si="13"/>
        <v>1517.1695527511781</v>
      </c>
      <c r="K18" s="32">
        <f t="shared" si="13"/>
        <v>1544.0692120490496</v>
      </c>
      <c r="L18" s="32">
        <f t="shared" ref="L18" si="14">L19+L21+L33</f>
        <v>1476.8516877365144</v>
      </c>
      <c r="M18" s="32">
        <f t="shared" ref="M18:V18" si="15">M19+M21+M33</f>
        <v>1454.190755702399</v>
      </c>
      <c r="N18" s="32">
        <f t="shared" si="15"/>
        <v>1450.2683259720311</v>
      </c>
      <c r="O18" s="32">
        <f t="shared" si="15"/>
        <v>1424.330894641851</v>
      </c>
      <c r="P18" s="32">
        <f t="shared" si="15"/>
        <v>1439.7653114043239</v>
      </c>
      <c r="Q18" s="32">
        <f t="shared" si="15"/>
        <v>1516.927949962889</v>
      </c>
      <c r="R18" s="32">
        <f t="shared" si="15"/>
        <v>1578.5139851214788</v>
      </c>
      <c r="S18" s="32">
        <f t="shared" si="15"/>
        <v>1629.6875109620025</v>
      </c>
      <c r="T18" s="32">
        <f t="shared" si="15"/>
        <v>1599.2958420358596</v>
      </c>
      <c r="U18" s="32">
        <f t="shared" si="15"/>
        <v>1621.3970546828805</v>
      </c>
      <c r="V18" s="32">
        <f t="shared" si="15"/>
        <v>1376.6850698340261</v>
      </c>
      <c r="W18" s="32">
        <f t="shared" ref="W18" si="16">W19+W21+W33</f>
        <v>1532.8257078799679</v>
      </c>
      <c r="DA18" s="173" t="s">
        <v>390</v>
      </c>
    </row>
    <row r="19" spans="1:105" ht="11.45" customHeight="1" x14ac:dyDescent="0.25">
      <c r="A19" s="107" t="s">
        <v>181</v>
      </c>
      <c r="B19" s="129">
        <v>5.8762532934582836</v>
      </c>
      <c r="C19" s="129">
        <v>5.8408710443356711</v>
      </c>
      <c r="D19" s="129">
        <v>5.9915453205647689</v>
      </c>
      <c r="E19" s="129">
        <v>6.5480576527631555</v>
      </c>
      <c r="F19" s="129">
        <v>7.087225749586425</v>
      </c>
      <c r="G19" s="129">
        <v>7.6664490871348017</v>
      </c>
      <c r="H19" s="129">
        <v>8.2246820462994386</v>
      </c>
      <c r="I19" s="129">
        <v>8.2082485675614372</v>
      </c>
      <c r="J19" s="129">
        <v>8.1937927006154876</v>
      </c>
      <c r="K19" s="129">
        <v>8.1581659926933501</v>
      </c>
      <c r="L19" s="129">
        <v>8.1098782360893811</v>
      </c>
      <c r="M19" s="129">
        <v>8.0573880604114567</v>
      </c>
      <c r="N19" s="129">
        <v>8.046307484994168</v>
      </c>
      <c r="O19" s="129">
        <v>7.9656168916289944</v>
      </c>
      <c r="P19" s="129">
        <v>7.8844169631074248</v>
      </c>
      <c r="Q19" s="129">
        <v>7.8591179614801634</v>
      </c>
      <c r="R19" s="129">
        <v>8.1945337643391909</v>
      </c>
      <c r="S19" s="129">
        <v>8.5291324816517644</v>
      </c>
      <c r="T19" s="129">
        <v>8.6306680290774711</v>
      </c>
      <c r="U19" s="129">
        <v>8.9600842816383235</v>
      </c>
      <c r="V19" s="129">
        <v>7.8698187517337264</v>
      </c>
      <c r="W19" s="129">
        <v>9.2396820960127712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2.8788938047930812E-2</v>
      </c>
      <c r="L20" s="97">
        <v>0</v>
      </c>
      <c r="M20" s="97">
        <v>1.5476380892635356E-2</v>
      </c>
      <c r="N20" s="97">
        <v>1.662917493393622E-2</v>
      </c>
      <c r="O20" s="97">
        <v>1.6840370570803943E-2</v>
      </c>
      <c r="P20" s="97">
        <v>0</v>
      </c>
      <c r="Q20" s="97">
        <v>0</v>
      </c>
      <c r="R20" s="97">
        <v>0</v>
      </c>
      <c r="S20" s="97">
        <v>4.1973773403122085E-3</v>
      </c>
      <c r="T20" s="97">
        <v>6.6968262653716902E-3</v>
      </c>
      <c r="U20" s="97">
        <v>1.7290154764167117E-2</v>
      </c>
      <c r="V20" s="97">
        <v>1.4481102252488581E-2</v>
      </c>
      <c r="W20" s="97">
        <v>1.6086339523504755E-2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985.92020200899947</v>
      </c>
      <c r="C21" s="130">
        <f t="shared" si="17"/>
        <v>988.28233189078071</v>
      </c>
      <c r="D21" s="130">
        <f t="shared" si="17"/>
        <v>1006.909426781776</v>
      </c>
      <c r="E21" s="130">
        <f t="shared" si="17"/>
        <v>1090.7563373773189</v>
      </c>
      <c r="F21" s="130">
        <f t="shared" si="17"/>
        <v>1104.8389002321453</v>
      </c>
      <c r="G21" s="130">
        <f t="shared" si="17"/>
        <v>1154.784627648593</v>
      </c>
      <c r="H21" s="130">
        <f t="shared" si="17"/>
        <v>1240.0350297339128</v>
      </c>
      <c r="I21" s="130">
        <f t="shared" si="17"/>
        <v>1366.8882133206382</v>
      </c>
      <c r="J21" s="130">
        <f t="shared" si="17"/>
        <v>1341.893492499064</v>
      </c>
      <c r="K21" s="130">
        <f t="shared" si="17"/>
        <v>1364.9468594372554</v>
      </c>
      <c r="L21" s="130">
        <f t="shared" ref="L21" si="18">L22+L24+L26+L27+L29+L32</f>
        <v>1297.7595034019369</v>
      </c>
      <c r="M21" s="130">
        <f t="shared" ref="M21:V21" si="19">M22+M24+M26+M27+M29+M32</f>
        <v>1282.5328249230868</v>
      </c>
      <c r="N21" s="130">
        <f t="shared" si="19"/>
        <v>1281.8580979219462</v>
      </c>
      <c r="O21" s="130">
        <f t="shared" si="19"/>
        <v>1254.7332328474208</v>
      </c>
      <c r="P21" s="130">
        <f t="shared" si="19"/>
        <v>1268.0178323592077</v>
      </c>
      <c r="Q21" s="130">
        <f t="shared" si="19"/>
        <v>1334.873592865451</v>
      </c>
      <c r="R21" s="130">
        <f t="shared" si="19"/>
        <v>1388.1096162714882</v>
      </c>
      <c r="S21" s="130">
        <f t="shared" si="19"/>
        <v>1428.4347186231562</v>
      </c>
      <c r="T21" s="130">
        <f t="shared" si="19"/>
        <v>1394.4909677048147</v>
      </c>
      <c r="U21" s="130">
        <f t="shared" si="19"/>
        <v>1446.2927432715428</v>
      </c>
      <c r="V21" s="130">
        <f t="shared" si="19"/>
        <v>1248.2813493079839</v>
      </c>
      <c r="W21" s="130">
        <f t="shared" ref="W21" si="20">W22+W24+W26+W27+W29+W32</f>
        <v>1387.4940659230135</v>
      </c>
      <c r="DA21" s="176" t="s">
        <v>392</v>
      </c>
    </row>
    <row r="22" spans="1:105" ht="11.45" customHeight="1" x14ac:dyDescent="0.25">
      <c r="A22" s="111" t="s">
        <v>110</v>
      </c>
      <c r="B22" s="96">
        <v>794.30490723854746</v>
      </c>
      <c r="C22" s="96">
        <v>761.00665280128601</v>
      </c>
      <c r="D22" s="96">
        <v>768.64851145300406</v>
      </c>
      <c r="E22" s="96">
        <v>765.55148599353197</v>
      </c>
      <c r="F22" s="96">
        <v>730.82473277616793</v>
      </c>
      <c r="G22" s="96">
        <v>718.25095427303302</v>
      </c>
      <c r="H22" s="96">
        <v>719.0045241779975</v>
      </c>
      <c r="I22" s="96">
        <v>735.65748536957653</v>
      </c>
      <c r="J22" s="96">
        <v>704.07722663231186</v>
      </c>
      <c r="K22" s="96">
        <v>705.79372203117384</v>
      </c>
      <c r="L22" s="96">
        <v>662.94105958808211</v>
      </c>
      <c r="M22" s="96">
        <v>648.69998453185076</v>
      </c>
      <c r="N22" s="96">
        <v>603.73526176624523</v>
      </c>
      <c r="O22" s="96">
        <v>590.1733533082612</v>
      </c>
      <c r="P22" s="96">
        <v>542.31912166353368</v>
      </c>
      <c r="Q22" s="96">
        <v>541.47954567358931</v>
      </c>
      <c r="R22" s="96">
        <v>544.33974517176102</v>
      </c>
      <c r="S22" s="96">
        <v>521.55326583637282</v>
      </c>
      <c r="T22" s="96">
        <v>506.09272737655004</v>
      </c>
      <c r="U22" s="96">
        <v>482.23697475302725</v>
      </c>
      <c r="V22" s="96">
        <v>399.17948895205171</v>
      </c>
      <c r="W22" s="96">
        <v>446.95734045996187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2.4906396555760439</v>
      </c>
      <c r="L23" s="96">
        <v>0</v>
      </c>
      <c r="M23" s="96">
        <v>1.2460027952468891</v>
      </c>
      <c r="N23" s="96">
        <v>1.2477300053993579</v>
      </c>
      <c r="O23" s="96">
        <v>1.2477047422616649</v>
      </c>
      <c r="P23" s="96">
        <v>0</v>
      </c>
      <c r="Q23" s="96">
        <v>0</v>
      </c>
      <c r="R23" s="96">
        <v>0</v>
      </c>
      <c r="S23" s="96">
        <v>0.25666805674514104</v>
      </c>
      <c r="T23" s="96">
        <v>0.39269440766234004</v>
      </c>
      <c r="U23" s="96">
        <v>0.93056623848621056</v>
      </c>
      <c r="V23" s="96">
        <v>0.73452250667619712</v>
      </c>
      <c r="W23" s="96">
        <v>0.77815529327186894</v>
      </c>
      <c r="DA23" s="171" t="s">
        <v>641</v>
      </c>
    </row>
    <row r="24" spans="1:105" ht="11.45" customHeight="1" x14ac:dyDescent="0.25">
      <c r="A24" s="111" t="s">
        <v>111</v>
      </c>
      <c r="B24" s="96">
        <v>180.41581067758872</v>
      </c>
      <c r="C24" s="96">
        <v>213.83629817805871</v>
      </c>
      <c r="D24" s="96">
        <v>223.47759632619233</v>
      </c>
      <c r="E24" s="96">
        <v>310.64552206306473</v>
      </c>
      <c r="F24" s="96">
        <v>355.31098602863437</v>
      </c>
      <c r="G24" s="96">
        <v>411.89480837126064</v>
      </c>
      <c r="H24" s="96">
        <v>479.59241441232109</v>
      </c>
      <c r="I24" s="96">
        <v>574.24636683888264</v>
      </c>
      <c r="J24" s="96">
        <v>560.85945042014316</v>
      </c>
      <c r="K24" s="96">
        <v>581.07675857228685</v>
      </c>
      <c r="L24" s="96">
        <v>569.05663847591711</v>
      </c>
      <c r="M24" s="96">
        <v>571.42717737966245</v>
      </c>
      <c r="N24" s="96">
        <v>616.81830250140251</v>
      </c>
      <c r="O24" s="96">
        <v>602.28675882617733</v>
      </c>
      <c r="P24" s="96">
        <v>657.85621105798657</v>
      </c>
      <c r="Q24" s="96">
        <v>718.85085638849296</v>
      </c>
      <c r="R24" s="96">
        <v>764.74416221181696</v>
      </c>
      <c r="S24" s="96">
        <v>828.21474283532518</v>
      </c>
      <c r="T24" s="96">
        <v>810.08690955590509</v>
      </c>
      <c r="U24" s="96">
        <v>890.58831589635247</v>
      </c>
      <c r="V24" s="96">
        <v>790.22227174634963</v>
      </c>
      <c r="W24" s="96">
        <v>878.36080830422259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1.2900389559304688</v>
      </c>
      <c r="J25" s="96">
        <v>1.7012385098557137</v>
      </c>
      <c r="K25" s="96">
        <v>2.6573468242422091</v>
      </c>
      <c r="L25" s="96">
        <v>1.3252848762216927</v>
      </c>
      <c r="M25" s="96">
        <v>1.3633359466354131</v>
      </c>
      <c r="N25" s="96">
        <v>19.447415838922961</v>
      </c>
      <c r="O25" s="96">
        <v>16.292143080670556</v>
      </c>
      <c r="P25" s="96">
        <v>16.631477973231494</v>
      </c>
      <c r="Q25" s="96">
        <v>13.705236090170992</v>
      </c>
      <c r="R25" s="96">
        <v>0.4975879293769786</v>
      </c>
      <c r="S25" s="96">
        <v>0.18415305010891839</v>
      </c>
      <c r="T25" s="96">
        <v>14.901613400882411</v>
      </c>
      <c r="U25" s="96">
        <v>35.130152730319125</v>
      </c>
      <c r="V25" s="96">
        <v>36.26949396387316</v>
      </c>
      <c r="W25" s="96">
        <v>52.02129905479606</v>
      </c>
      <c r="DA25" s="171" t="s">
        <v>643</v>
      </c>
    </row>
    <row r="26" spans="1:105" ht="11.45" customHeight="1" x14ac:dyDescent="0.25">
      <c r="A26" s="111" t="s">
        <v>112</v>
      </c>
      <c r="B26" s="96">
        <v>11.19948409286328</v>
      </c>
      <c r="C26" s="96">
        <v>13.43938091143594</v>
      </c>
      <c r="D26" s="96">
        <v>14.783319002579541</v>
      </c>
      <c r="E26" s="96">
        <v>14.55932932072227</v>
      </c>
      <c r="F26" s="96">
        <v>18.703181427343079</v>
      </c>
      <c r="G26" s="96">
        <v>24.63886500429923</v>
      </c>
      <c r="H26" s="96">
        <v>41.43809114359415</v>
      </c>
      <c r="I26" s="96">
        <v>56.984361112178895</v>
      </c>
      <c r="J26" s="96">
        <v>76.956815446609056</v>
      </c>
      <c r="K26" s="96">
        <v>78.006945916271576</v>
      </c>
      <c r="L26" s="96">
        <v>65.681878216116829</v>
      </c>
      <c r="M26" s="96">
        <v>62.327708614875029</v>
      </c>
      <c r="N26" s="96">
        <v>61.205772111804322</v>
      </c>
      <c r="O26" s="96">
        <v>62.169487654730617</v>
      </c>
      <c r="P26" s="96">
        <v>67.718169495109379</v>
      </c>
      <c r="Q26" s="96">
        <v>74.391648937501799</v>
      </c>
      <c r="R26" s="96">
        <v>78.841152470542681</v>
      </c>
      <c r="S26" s="96">
        <v>78.430976092318673</v>
      </c>
      <c r="T26" s="96">
        <v>78.026258383290113</v>
      </c>
      <c r="U26" s="96">
        <v>73.083134937028234</v>
      </c>
      <c r="V26" s="96">
        <v>58.307422700813561</v>
      </c>
      <c r="W26" s="96">
        <v>60.995813562312982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6.9432917523156876E-2</v>
      </c>
      <c r="L27" s="96">
        <v>7.9927121820813338E-2</v>
      </c>
      <c r="M27" s="96">
        <v>7.7954396698579759E-2</v>
      </c>
      <c r="N27" s="96">
        <v>9.3555962398495604E-2</v>
      </c>
      <c r="O27" s="96">
        <v>9.7596593978366231E-2</v>
      </c>
      <c r="P27" s="96">
        <v>0.10826834199229626</v>
      </c>
      <c r="Q27" s="96">
        <v>0.10293571246870557</v>
      </c>
      <c r="R27" s="96">
        <v>0.11277177519277647</v>
      </c>
      <c r="S27" s="96">
        <v>0.14618907172135021</v>
      </c>
      <c r="T27" s="96">
        <v>0.1556430048568927</v>
      </c>
      <c r="U27" s="96">
        <v>0.14609601058834726</v>
      </c>
      <c r="V27" s="96">
        <v>0.11705409957175249</v>
      </c>
      <c r="W27" s="96">
        <v>0.1368554131952803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</v>
      </c>
      <c r="P29" s="96">
        <v>2.231662920215234E-3</v>
      </c>
      <c r="Q29" s="96">
        <v>2.2594068650558626E-2</v>
      </c>
      <c r="R29" s="96">
        <v>3.5097412678585127E-2</v>
      </c>
      <c r="S29" s="96">
        <v>4.4382982507810829E-2</v>
      </c>
      <c r="T29" s="96">
        <v>4.9500778327223272E-2</v>
      </c>
      <c r="U29" s="96">
        <v>9.5199753155584751E-2</v>
      </c>
      <c r="V29" s="96">
        <v>0.21476877318742632</v>
      </c>
      <c r="W29" s="96">
        <v>0.425467103321642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1.4052266429702148E-5</v>
      </c>
      <c r="T30" s="96">
        <v>2.4470509687061251E-5</v>
      </c>
      <c r="U30" s="96">
        <v>1.2085162735126483E-4</v>
      </c>
      <c r="V30" s="96">
        <v>2.3992991798203354E-4</v>
      </c>
      <c r="W30" s="96">
        <v>4.077442413163961E-4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</v>
      </c>
      <c r="P31" s="96">
        <v>7.982010295365735E-4</v>
      </c>
      <c r="Q31" s="96">
        <v>7.9806488807883068E-3</v>
      </c>
      <c r="R31" s="96">
        <v>1.2732692503255434E-2</v>
      </c>
      <c r="S31" s="96">
        <v>1.5828570471679158E-2</v>
      </c>
      <c r="T31" s="96">
        <v>1.7963922323743213E-2</v>
      </c>
      <c r="U31" s="96">
        <v>3.2572160666672678E-2</v>
      </c>
      <c r="V31" s="96">
        <v>8.4377803307184404E-2</v>
      </c>
      <c r="W31" s="96">
        <v>0.19126670237035079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5.2055800954591792E-3</v>
      </c>
      <c r="O32" s="96">
        <v>6.0364642733101992E-3</v>
      </c>
      <c r="P32" s="96">
        <v>1.3830137665812663E-2</v>
      </c>
      <c r="Q32" s="96">
        <v>2.6012084747996083E-2</v>
      </c>
      <c r="R32" s="96">
        <v>3.668722949606585E-2</v>
      </c>
      <c r="S32" s="96">
        <v>4.5161804910376684E-2</v>
      </c>
      <c r="T32" s="96">
        <v>7.992860588531045E-2</v>
      </c>
      <c r="U32" s="96">
        <v>0.14302192139099831</v>
      </c>
      <c r="V32" s="96">
        <v>0.24034303600967744</v>
      </c>
      <c r="W32" s="96">
        <v>0.61778107999912646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176.99182064261993</v>
      </c>
      <c r="C33" s="130">
        <f t="shared" si="21"/>
        <v>170.99393848936379</v>
      </c>
      <c r="D33" s="130">
        <f t="shared" si="21"/>
        <v>169.13609813938442</v>
      </c>
      <c r="E33" s="130">
        <f t="shared" si="21"/>
        <v>169.92192227194428</v>
      </c>
      <c r="F33" s="130">
        <f t="shared" si="21"/>
        <v>165.61278980666799</v>
      </c>
      <c r="G33" s="130">
        <f t="shared" si="21"/>
        <v>163.53040294459299</v>
      </c>
      <c r="H33" s="130">
        <f t="shared" si="21"/>
        <v>162.57374438702149</v>
      </c>
      <c r="I33" s="130">
        <f t="shared" si="21"/>
        <v>167.93016924815385</v>
      </c>
      <c r="J33" s="130">
        <f t="shared" si="21"/>
        <v>167.08226755149863</v>
      </c>
      <c r="K33" s="130">
        <f t="shared" si="21"/>
        <v>170.96418661910093</v>
      </c>
      <c r="L33" s="130">
        <f t="shared" ref="L33" si="22">L34+L36+L38+L39+L41</f>
        <v>170.98230609848821</v>
      </c>
      <c r="M33" s="130">
        <f t="shared" ref="M33:V33" si="23">M34+M36+M38+M39+M41</f>
        <v>163.60054271890061</v>
      </c>
      <c r="N33" s="130">
        <f t="shared" si="23"/>
        <v>160.36392056509067</v>
      </c>
      <c r="O33" s="130">
        <f t="shared" si="23"/>
        <v>161.63204490280114</v>
      </c>
      <c r="P33" s="130">
        <f t="shared" si="23"/>
        <v>163.86306208200881</v>
      </c>
      <c r="Q33" s="130">
        <f t="shared" si="23"/>
        <v>174.19523913595771</v>
      </c>
      <c r="R33" s="130">
        <f t="shared" si="23"/>
        <v>182.20983508565129</v>
      </c>
      <c r="S33" s="130">
        <f t="shared" si="23"/>
        <v>192.72365985719466</v>
      </c>
      <c r="T33" s="130">
        <f t="shared" si="23"/>
        <v>196.17420630196742</v>
      </c>
      <c r="U33" s="130">
        <f t="shared" si="23"/>
        <v>166.14422712969949</v>
      </c>
      <c r="V33" s="130">
        <f t="shared" si="23"/>
        <v>120.53390177430849</v>
      </c>
      <c r="W33" s="130">
        <f t="shared" ref="W33" si="24">W34+W36+W38+W39+W41</f>
        <v>136.09195986094176</v>
      </c>
      <c r="DA33" s="176" t="s">
        <v>393</v>
      </c>
    </row>
    <row r="34" spans="1:105" ht="11.45" customHeight="1" x14ac:dyDescent="0.25">
      <c r="A34" s="111" t="s">
        <v>110</v>
      </c>
      <c r="B34" s="97">
        <v>0.18215788854531437</v>
      </c>
      <c r="C34" s="97">
        <v>0.18767641067595422</v>
      </c>
      <c r="D34" s="97">
        <v>0.18580897544418909</v>
      </c>
      <c r="E34" s="97">
        <v>0.1771629007335237</v>
      </c>
      <c r="F34" s="97">
        <v>0.16457297763196735</v>
      </c>
      <c r="G34" s="97">
        <v>0.16387463562523263</v>
      </c>
      <c r="H34" s="97">
        <v>0.16296162314166948</v>
      </c>
      <c r="I34" s="97">
        <v>0.1479607507179525</v>
      </c>
      <c r="J34" s="97">
        <v>0.16218898476563201</v>
      </c>
      <c r="K34" s="97">
        <v>0.14820688085075281</v>
      </c>
      <c r="L34" s="97">
        <v>0.14327680032904641</v>
      </c>
      <c r="M34" s="97">
        <v>0.12896791479296238</v>
      </c>
      <c r="N34" s="97">
        <v>0.12546468262631572</v>
      </c>
      <c r="O34" s="97">
        <v>0.14158567452982848</v>
      </c>
      <c r="P34" s="97">
        <v>0.13195558425220147</v>
      </c>
      <c r="Q34" s="97">
        <v>0.12289273115144468</v>
      </c>
      <c r="R34" s="97">
        <v>0.12619655139098707</v>
      </c>
      <c r="S34" s="97">
        <v>0.12301736836830916</v>
      </c>
      <c r="T34" s="97">
        <v>0.1232351745602521</v>
      </c>
      <c r="U34" s="97">
        <v>8.8964359844230984E-2</v>
      </c>
      <c r="V34" s="97">
        <v>6.2556829570680886E-2</v>
      </c>
      <c r="W34" s="97">
        <v>6.56538217376713E-2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5.2299974221053632E-4</v>
      </c>
      <c r="L35" s="97">
        <v>0</v>
      </c>
      <c r="M35" s="97">
        <v>2.4771756769065214E-4</v>
      </c>
      <c r="N35" s="97">
        <v>2.5929585208056517E-4</v>
      </c>
      <c r="O35" s="97">
        <v>2.9933089414647219E-4</v>
      </c>
      <c r="P35" s="97">
        <v>0</v>
      </c>
      <c r="Q35" s="97">
        <v>0</v>
      </c>
      <c r="R35" s="97">
        <v>0</v>
      </c>
      <c r="S35" s="97">
        <v>6.0539605354328314E-5</v>
      </c>
      <c r="T35" s="97">
        <v>9.5622326224610409E-5</v>
      </c>
      <c r="U35" s="97">
        <v>1.7167333496561171E-4</v>
      </c>
      <c r="V35" s="97">
        <v>1.1510961995217015E-4</v>
      </c>
      <c r="W35" s="97">
        <v>1.1430368020384513E-4</v>
      </c>
      <c r="DA35" s="175" t="s">
        <v>652</v>
      </c>
    </row>
    <row r="36" spans="1:105" ht="11.45" customHeight="1" x14ac:dyDescent="0.25">
      <c r="A36" s="111" t="s">
        <v>111</v>
      </c>
      <c r="B36" s="97">
        <v>176.80966275407462</v>
      </c>
      <c r="C36" s="97">
        <v>170.80626207868784</v>
      </c>
      <c r="D36" s="97">
        <v>168.95028916394023</v>
      </c>
      <c r="E36" s="97">
        <v>169.74475937121076</v>
      </c>
      <c r="F36" s="97">
        <v>165.44821682903603</v>
      </c>
      <c r="G36" s="97">
        <v>163.36652830896776</v>
      </c>
      <c r="H36" s="97">
        <v>162.41078276387981</v>
      </c>
      <c r="I36" s="97">
        <v>167.7724335625303</v>
      </c>
      <c r="J36" s="97">
        <v>166.91030601263006</v>
      </c>
      <c r="K36" s="97">
        <v>169.7680503001738</v>
      </c>
      <c r="L36" s="97">
        <v>168.83960882070681</v>
      </c>
      <c r="M36" s="97">
        <v>162.92282698220461</v>
      </c>
      <c r="N36" s="97">
        <v>159.55000392607346</v>
      </c>
      <c r="O36" s="97">
        <v>159.95774981228695</v>
      </c>
      <c r="P36" s="97">
        <v>160.51009505275903</v>
      </c>
      <c r="Q36" s="97">
        <v>170.72822594587433</v>
      </c>
      <c r="R36" s="97">
        <v>178.37987778760839</v>
      </c>
      <c r="S36" s="97">
        <v>188.38877497418881</v>
      </c>
      <c r="T36" s="97">
        <v>191.85752119081769</v>
      </c>
      <c r="U36" s="97">
        <v>162.13066597008034</v>
      </c>
      <c r="V36" s="97">
        <v>117.44836851495781</v>
      </c>
      <c r="W36" s="97">
        <v>132.01683940515392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0.37689916301663873</v>
      </c>
      <c r="J37" s="97">
        <v>0.50628413244668713</v>
      </c>
      <c r="K37" s="97">
        <v>0.7763734870955723</v>
      </c>
      <c r="L37" s="97">
        <v>0.39321319697905438</v>
      </c>
      <c r="M37" s="97">
        <v>0.38870840475395096</v>
      </c>
      <c r="N37" s="97">
        <v>5.0303878157783544</v>
      </c>
      <c r="O37" s="97">
        <v>4.3269331570279519</v>
      </c>
      <c r="P37" s="97">
        <v>4.0579081955584835</v>
      </c>
      <c r="Q37" s="97">
        <v>3.2550154500751032</v>
      </c>
      <c r="R37" s="97">
        <v>0.11606453297288478</v>
      </c>
      <c r="S37" s="97">
        <v>4.188813084757833E-2</v>
      </c>
      <c r="T37" s="97">
        <v>3.5292344254821808</v>
      </c>
      <c r="U37" s="97">
        <v>6.3954073460583603</v>
      </c>
      <c r="V37" s="97">
        <v>5.3906262139462298</v>
      </c>
      <c r="W37" s="97">
        <v>7.818754454929933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9.7749349055973201E-3</v>
      </c>
      <c r="J38" s="97">
        <v>9.7725541029498389E-3</v>
      </c>
      <c r="K38" s="97">
        <v>9.8069066970246695E-3</v>
      </c>
      <c r="L38" s="97">
        <v>1.020997541120636E-2</v>
      </c>
      <c r="M38" s="97">
        <v>2.0815233280130706E-2</v>
      </c>
      <c r="N38" s="97">
        <v>2.0781924739745015E-2</v>
      </c>
      <c r="O38" s="97">
        <v>0.13945146776512016</v>
      </c>
      <c r="P38" s="97">
        <v>0.16163673657386265</v>
      </c>
      <c r="Q38" s="97">
        <v>0.16702837098749243</v>
      </c>
      <c r="R38" s="97">
        <v>0.17279522274598175</v>
      </c>
      <c r="S38" s="97">
        <v>0.15896021999665252</v>
      </c>
      <c r="T38" s="97">
        <v>0.16066048551122283</v>
      </c>
      <c r="U38" s="97">
        <v>0.12892081496582761</v>
      </c>
      <c r="V38" s="97">
        <v>0.10275239215991165</v>
      </c>
      <c r="W38" s="97">
        <v>0.11302461642771704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1.0381225313793299</v>
      </c>
      <c r="L39" s="97">
        <v>1.9892105020411324</v>
      </c>
      <c r="M39" s="97">
        <v>0.52793258862291281</v>
      </c>
      <c r="N39" s="97">
        <v>0.66767003165115435</v>
      </c>
      <c r="O39" s="97">
        <v>1.3932579482192353</v>
      </c>
      <c r="P39" s="97">
        <v>3.0593747084237268</v>
      </c>
      <c r="Q39" s="97">
        <v>3.1472498633372572</v>
      </c>
      <c r="R39" s="97">
        <v>3.4859255648252074</v>
      </c>
      <c r="S39" s="97">
        <v>4.0078732067959475</v>
      </c>
      <c r="T39" s="97">
        <v>3.9878214549185684</v>
      </c>
      <c r="U39" s="97">
        <v>3.7512723368418128</v>
      </c>
      <c r="V39" s="97">
        <v>2.8849014179303101</v>
      </c>
      <c r="W39" s="97">
        <v>3.8038348311379035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2.9842224607199229E-2</v>
      </c>
      <c r="R41" s="97">
        <v>4.5039959080718048E-2</v>
      </c>
      <c r="S41" s="97">
        <v>4.5034087844935219E-2</v>
      </c>
      <c r="T41" s="97">
        <v>4.4967996159698861E-2</v>
      </c>
      <c r="U41" s="97">
        <v>4.4403647967258014E-2</v>
      </c>
      <c r="V41" s="97">
        <v>3.5322619689782474E-2</v>
      </c>
      <c r="W41" s="97">
        <v>9.2607186484577553E-2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222.91628123462982</v>
      </c>
      <c r="C42" s="32">
        <f t="shared" si="25"/>
        <v>241.68612598738571</v>
      </c>
      <c r="D42" s="32">
        <f t="shared" si="25"/>
        <v>316.96525134039007</v>
      </c>
      <c r="E42" s="32">
        <f t="shared" si="25"/>
        <v>358.49194468767791</v>
      </c>
      <c r="F42" s="32">
        <f t="shared" si="25"/>
        <v>395.52216693264467</v>
      </c>
      <c r="G42" s="32">
        <f t="shared" si="25"/>
        <v>408.36370124482744</v>
      </c>
      <c r="H42" s="32">
        <f t="shared" si="25"/>
        <v>436.96959298405557</v>
      </c>
      <c r="I42" s="32">
        <f t="shared" si="25"/>
        <v>447.78054558148381</v>
      </c>
      <c r="J42" s="32">
        <f t="shared" si="25"/>
        <v>447.10925857673055</v>
      </c>
      <c r="K42" s="32">
        <f t="shared" si="25"/>
        <v>413.8371209126762</v>
      </c>
      <c r="L42" s="32">
        <f t="shared" ref="L42" si="26">L43+L52</f>
        <v>404.62025262451726</v>
      </c>
      <c r="M42" s="32">
        <f t="shared" ref="M42:V42" si="27">M43+M52</f>
        <v>389.68847744965365</v>
      </c>
      <c r="N42" s="32">
        <f t="shared" si="27"/>
        <v>359.83436159433882</v>
      </c>
      <c r="O42" s="32">
        <f t="shared" si="27"/>
        <v>405.59859124556692</v>
      </c>
      <c r="P42" s="32">
        <f t="shared" si="27"/>
        <v>366.04260597160516</v>
      </c>
      <c r="Q42" s="32">
        <f t="shared" si="27"/>
        <v>388.76662546613824</v>
      </c>
      <c r="R42" s="32">
        <f t="shared" si="27"/>
        <v>372.8691449083513</v>
      </c>
      <c r="S42" s="32">
        <f t="shared" si="27"/>
        <v>470.35615498527824</v>
      </c>
      <c r="T42" s="32">
        <f t="shared" si="27"/>
        <v>449.6146414595479</v>
      </c>
      <c r="U42" s="32">
        <f t="shared" si="27"/>
        <v>515.1308395739037</v>
      </c>
      <c r="V42" s="32">
        <f t="shared" si="27"/>
        <v>509.62896423952702</v>
      </c>
      <c r="W42" s="32">
        <f t="shared" ref="W42" si="28">W43+W52</f>
        <v>521.63904883741691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79.509587751664682</v>
      </c>
      <c r="C43" s="141">
        <f t="shared" si="29"/>
        <v>89.734974251459519</v>
      </c>
      <c r="D43" s="141">
        <f t="shared" si="29"/>
        <v>101.04243639534158</v>
      </c>
      <c r="E43" s="141">
        <f t="shared" si="29"/>
        <v>110.83867164629258</v>
      </c>
      <c r="F43" s="141">
        <f t="shared" si="29"/>
        <v>119.0616448772716</v>
      </c>
      <c r="G43" s="141">
        <f t="shared" si="29"/>
        <v>129.98542311083111</v>
      </c>
      <c r="H43" s="141">
        <f t="shared" si="29"/>
        <v>135.80215302562354</v>
      </c>
      <c r="I43" s="141">
        <f t="shared" si="29"/>
        <v>133.05480087277888</v>
      </c>
      <c r="J43" s="141">
        <f t="shared" si="29"/>
        <v>138.01557383203863</v>
      </c>
      <c r="K43" s="141">
        <f t="shared" si="29"/>
        <v>133.33264282021656</v>
      </c>
      <c r="L43" s="141">
        <f t="shared" ref="L43" si="30">L44+L46+L48+L49+L51</f>
        <v>123.99012297257404</v>
      </c>
      <c r="M43" s="141">
        <f t="shared" ref="M43:V43" si="31">M44+M46+M48+M49+M51</f>
        <v>122.48634274042672</v>
      </c>
      <c r="N43" s="141">
        <f t="shared" si="31"/>
        <v>115.64076196813171</v>
      </c>
      <c r="O43" s="141">
        <f t="shared" si="31"/>
        <v>113.68036274805571</v>
      </c>
      <c r="P43" s="141">
        <f t="shared" si="31"/>
        <v>109.15776506260023</v>
      </c>
      <c r="Q43" s="141">
        <f t="shared" si="31"/>
        <v>122.89690623075977</v>
      </c>
      <c r="R43" s="141">
        <f t="shared" si="31"/>
        <v>127.060721573132</v>
      </c>
      <c r="S43" s="141">
        <f t="shared" si="31"/>
        <v>145.84574927734496</v>
      </c>
      <c r="T43" s="141">
        <f t="shared" si="31"/>
        <v>158.51316227620535</v>
      </c>
      <c r="U43" s="141">
        <f t="shared" si="31"/>
        <v>171.76496000395386</v>
      </c>
      <c r="V43" s="141">
        <f t="shared" si="31"/>
        <v>176.30314190006092</v>
      </c>
      <c r="W43" s="141">
        <f t="shared" ref="W43" si="32">W44+W46+W48+W49+W51</f>
        <v>193.63713177387805</v>
      </c>
      <c r="DA43" s="174" t="s">
        <v>399</v>
      </c>
    </row>
    <row r="44" spans="1:105" ht="11.45" customHeight="1" x14ac:dyDescent="0.25">
      <c r="A44" s="111" t="s">
        <v>110</v>
      </c>
      <c r="B44" s="96">
        <v>12.791797658554628</v>
      </c>
      <c r="C44" s="96">
        <v>15.254739554536329</v>
      </c>
      <c r="D44" s="96">
        <v>14.916008713583675</v>
      </c>
      <c r="E44" s="96">
        <v>14.271186832163069</v>
      </c>
      <c r="F44" s="96">
        <v>13.348232039175896</v>
      </c>
      <c r="G44" s="96">
        <v>12.570828625015128</v>
      </c>
      <c r="H44" s="96">
        <v>12.324943072595756</v>
      </c>
      <c r="I44" s="96">
        <v>9.5410774531586977</v>
      </c>
      <c r="J44" s="96">
        <v>9.1893196272767881</v>
      </c>
      <c r="K44" s="96">
        <v>7.9424674340611521</v>
      </c>
      <c r="L44" s="96">
        <v>6.7903941459208026</v>
      </c>
      <c r="M44" s="96">
        <v>6.4066947465991086</v>
      </c>
      <c r="N44" s="96">
        <v>4.5552188606311796</v>
      </c>
      <c r="O44" s="96">
        <v>4.3460993276435813</v>
      </c>
      <c r="P44" s="96">
        <v>4.1849123960035532</v>
      </c>
      <c r="Q44" s="96">
        <v>3.9806659835709444</v>
      </c>
      <c r="R44" s="96">
        <v>3.9679766452998604</v>
      </c>
      <c r="S44" s="96">
        <v>4.4147831259904153</v>
      </c>
      <c r="T44" s="96">
        <v>4.7299151089505997</v>
      </c>
      <c r="U44" s="96">
        <v>4.8136018074981859</v>
      </c>
      <c r="V44" s="96">
        <v>4.7176757091454142</v>
      </c>
      <c r="W44" s="96">
        <v>4.8843785953690864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2.8027770348345894E-2</v>
      </c>
      <c r="L45" s="96">
        <v>0</v>
      </c>
      <c r="M45" s="96">
        <v>1.2305780411443959E-2</v>
      </c>
      <c r="N45" s="96">
        <v>9.4141979332842268E-3</v>
      </c>
      <c r="O45" s="96">
        <v>9.1882303920433981E-3</v>
      </c>
      <c r="P45" s="96">
        <v>0</v>
      </c>
      <c r="Q45" s="96">
        <v>0</v>
      </c>
      <c r="R45" s="96">
        <v>0</v>
      </c>
      <c r="S45" s="96">
        <v>2.1726137676121807E-3</v>
      </c>
      <c r="T45" s="96">
        <v>3.6701005794547454E-3</v>
      </c>
      <c r="U45" s="96">
        <v>9.2887430082856607E-3</v>
      </c>
      <c r="V45" s="96">
        <v>8.6809044138616304E-3</v>
      </c>
      <c r="W45" s="96">
        <v>8.5037311489702325E-3</v>
      </c>
      <c r="DA45" s="171" t="s">
        <v>660</v>
      </c>
    </row>
    <row r="46" spans="1:105" ht="11.45" customHeight="1" x14ac:dyDescent="0.25">
      <c r="A46" s="111" t="s">
        <v>111</v>
      </c>
      <c r="B46" s="96">
        <v>66.717790093110054</v>
      </c>
      <c r="C46" s="96">
        <v>74.480234696923191</v>
      </c>
      <c r="D46" s="96">
        <v>86.126427681757903</v>
      </c>
      <c r="E46" s="96">
        <v>96.567107605164608</v>
      </c>
      <c r="F46" s="96">
        <v>105.7130351901379</v>
      </c>
      <c r="G46" s="96">
        <v>117.41403952799349</v>
      </c>
      <c r="H46" s="96">
        <v>123.47665435289888</v>
      </c>
      <c r="I46" s="96">
        <v>123.38993468351875</v>
      </c>
      <c r="J46" s="96">
        <v>128.51549261445197</v>
      </c>
      <c r="K46" s="96">
        <v>124.97771217523447</v>
      </c>
      <c r="L46" s="96">
        <v>116.77628857163931</v>
      </c>
      <c r="M46" s="96">
        <v>115.67116273458086</v>
      </c>
      <c r="N46" s="96">
        <v>110.65804235560309</v>
      </c>
      <c r="O46" s="96">
        <v>108.86795933865886</v>
      </c>
      <c r="P46" s="96">
        <v>104.47757181085993</v>
      </c>
      <c r="Q46" s="96">
        <v>118.370974870495</v>
      </c>
      <c r="R46" s="96">
        <v>122.52248077541552</v>
      </c>
      <c r="S46" s="96">
        <v>140.7551220543503</v>
      </c>
      <c r="T46" s="96">
        <v>153.03500150587584</v>
      </c>
      <c r="U46" s="96">
        <v>166.15813082501015</v>
      </c>
      <c r="V46" s="96">
        <v>170.75418228314783</v>
      </c>
      <c r="W46" s="96">
        <v>187.81605001642245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0.27719430492472952</v>
      </c>
      <c r="J47" s="96">
        <v>0.3898222718454723</v>
      </c>
      <c r="K47" s="96">
        <v>0.57154088793004332</v>
      </c>
      <c r="L47" s="96">
        <v>0.27196211884951638</v>
      </c>
      <c r="M47" s="96">
        <v>0.27597331801457531</v>
      </c>
      <c r="N47" s="96">
        <v>3.4888928504284618</v>
      </c>
      <c r="O47" s="96">
        <v>2.9449300427970226</v>
      </c>
      <c r="P47" s="96">
        <v>2.641331654336037</v>
      </c>
      <c r="Q47" s="96">
        <v>2.2567993658298997</v>
      </c>
      <c r="R47" s="96">
        <v>7.9720396079706907E-2</v>
      </c>
      <c r="S47" s="96">
        <v>3.129681676037914E-2</v>
      </c>
      <c r="T47" s="96">
        <v>2.8150910752207889</v>
      </c>
      <c r="U47" s="96">
        <v>6.5542747519565348</v>
      </c>
      <c r="V47" s="96">
        <v>7.8372478289407779</v>
      </c>
      <c r="W47" s="96">
        <v>11.12348685508613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0.12323282651824816</v>
      </c>
      <c r="J48" s="96">
        <v>0.30985224004464523</v>
      </c>
      <c r="K48" s="96">
        <v>0.37963582707440002</v>
      </c>
      <c r="L48" s="96">
        <v>0.38486795636535848</v>
      </c>
      <c r="M48" s="96">
        <v>0.36858707187923584</v>
      </c>
      <c r="N48" s="96">
        <v>0.37060847420399534</v>
      </c>
      <c r="O48" s="96">
        <v>0.40817179753865729</v>
      </c>
      <c r="P48" s="96">
        <v>0.43704673478278572</v>
      </c>
      <c r="Q48" s="96">
        <v>0.47786611369470117</v>
      </c>
      <c r="R48" s="96">
        <v>0.50238936604065509</v>
      </c>
      <c r="S48" s="96">
        <v>0.59045921648947319</v>
      </c>
      <c r="T48" s="96">
        <v>0.65744914495617413</v>
      </c>
      <c r="U48" s="96">
        <v>0.70453926090361774</v>
      </c>
      <c r="V48" s="96">
        <v>0.72310091734466841</v>
      </c>
      <c r="W48" s="96">
        <v>0.82435184705465392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3.1739478010669266E-2</v>
      </c>
      <c r="L49" s="96">
        <v>3.7483184392568189E-2</v>
      </c>
      <c r="M49" s="96">
        <v>3.8996935572746368E-2</v>
      </c>
      <c r="N49" s="96">
        <v>5.5626972416386186E-2</v>
      </c>
      <c r="O49" s="96">
        <v>5.6866867948572423E-2</v>
      </c>
      <c r="P49" s="96">
        <v>5.6776554055172089E-2</v>
      </c>
      <c r="Q49" s="96">
        <v>6.0218551451130323E-2</v>
      </c>
      <c r="R49" s="96">
        <v>5.719259979285022E-2</v>
      </c>
      <c r="S49" s="96">
        <v>7.2764892591901983E-2</v>
      </c>
      <c r="T49" s="96">
        <v>7.6054026896938284E-2</v>
      </c>
      <c r="U49" s="96">
        <v>7.3998806482134666E-2</v>
      </c>
      <c r="V49" s="96">
        <v>7.0787388774807308E-2</v>
      </c>
      <c r="W49" s="96">
        <v>7.1949480516343214E-2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3.7720896491212175E-4</v>
      </c>
      <c r="F51" s="96">
        <v>3.7764795779888095E-4</v>
      </c>
      <c r="G51" s="96">
        <v>5.5495782248175438E-4</v>
      </c>
      <c r="H51" s="96">
        <v>5.5560012891624948E-4</v>
      </c>
      <c r="I51" s="96">
        <v>5.5590958317147557E-4</v>
      </c>
      <c r="J51" s="96">
        <v>9.0935026524041141E-4</v>
      </c>
      <c r="K51" s="96">
        <v>1.0879058358767273E-3</v>
      </c>
      <c r="L51" s="96">
        <v>1.0891142559977126E-3</v>
      </c>
      <c r="M51" s="96">
        <v>9.0125179477038562E-4</v>
      </c>
      <c r="N51" s="96">
        <v>1.2653052770555248E-3</v>
      </c>
      <c r="O51" s="96">
        <v>1.2654162660411729E-3</v>
      </c>
      <c r="P51" s="96">
        <v>1.4575668987871187E-3</v>
      </c>
      <c r="Q51" s="96">
        <v>7.1807115479880371E-3</v>
      </c>
      <c r="R51" s="96">
        <v>1.0682186583113812E-2</v>
      </c>
      <c r="S51" s="96">
        <v>1.2619987922883436E-2</v>
      </c>
      <c r="T51" s="96">
        <v>1.4742489525804996E-2</v>
      </c>
      <c r="U51" s="96">
        <v>1.4689304059761231E-2</v>
      </c>
      <c r="V51" s="96">
        <v>3.7395601648170886E-2</v>
      </c>
      <c r="W51" s="96">
        <v>4.0401834515498447E-2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143.40669348296515</v>
      </c>
      <c r="C52" s="130">
        <f t="shared" si="33"/>
        <v>151.9511517359262</v>
      </c>
      <c r="D52" s="130">
        <f t="shared" si="33"/>
        <v>215.92281494504846</v>
      </c>
      <c r="E52" s="130">
        <f t="shared" si="33"/>
        <v>247.65327304138532</v>
      </c>
      <c r="F52" s="130">
        <f t="shared" si="33"/>
        <v>276.46052205537308</v>
      </c>
      <c r="G52" s="130">
        <f t="shared" si="33"/>
        <v>278.37827813399633</v>
      </c>
      <c r="H52" s="130">
        <f t="shared" si="33"/>
        <v>301.16743995843206</v>
      </c>
      <c r="I52" s="130">
        <f t="shared" si="33"/>
        <v>314.72574470870495</v>
      </c>
      <c r="J52" s="130">
        <f t="shared" si="33"/>
        <v>309.09368474469193</v>
      </c>
      <c r="K52" s="130">
        <f t="shared" si="33"/>
        <v>280.50447809245964</v>
      </c>
      <c r="L52" s="130">
        <f t="shared" ref="L52" si="34">L53+L55</f>
        <v>280.63012965194321</v>
      </c>
      <c r="M52" s="130">
        <f t="shared" ref="M52:V52" si="35">M53+M55</f>
        <v>267.20213470922693</v>
      </c>
      <c r="N52" s="130">
        <f t="shared" si="35"/>
        <v>244.19359962620712</v>
      </c>
      <c r="O52" s="130">
        <f t="shared" si="35"/>
        <v>291.91822849751122</v>
      </c>
      <c r="P52" s="130">
        <f t="shared" si="35"/>
        <v>256.88484090900494</v>
      </c>
      <c r="Q52" s="130">
        <f t="shared" si="35"/>
        <v>265.86971923537845</v>
      </c>
      <c r="R52" s="130">
        <f t="shared" si="35"/>
        <v>245.80842333521929</v>
      </c>
      <c r="S52" s="130">
        <f t="shared" si="35"/>
        <v>324.51040570793327</v>
      </c>
      <c r="T52" s="130">
        <f t="shared" si="35"/>
        <v>291.10147918334258</v>
      </c>
      <c r="U52" s="130">
        <f t="shared" si="35"/>
        <v>343.36587956994981</v>
      </c>
      <c r="V52" s="130">
        <f t="shared" si="35"/>
        <v>333.32582233946607</v>
      </c>
      <c r="W52" s="130">
        <f t="shared" ref="W52" si="36">W53+W55</f>
        <v>328.00191706353883</v>
      </c>
      <c r="DA52" s="176" t="s">
        <v>400</v>
      </c>
    </row>
    <row r="53" spans="1:105" ht="11.45" customHeight="1" x14ac:dyDescent="0.25">
      <c r="A53" s="128" t="s">
        <v>27</v>
      </c>
      <c r="B53" s="97">
        <v>61.158234495359451</v>
      </c>
      <c r="C53" s="97">
        <v>96.742168735473868</v>
      </c>
      <c r="D53" s="97">
        <v>133.86425862477131</v>
      </c>
      <c r="E53" s="97">
        <v>159.0383787856106</v>
      </c>
      <c r="F53" s="97">
        <v>168.61725640109563</v>
      </c>
      <c r="G53" s="97">
        <v>168.52897526345271</v>
      </c>
      <c r="H53" s="97">
        <v>203.21611962595765</v>
      </c>
      <c r="I53" s="97">
        <v>198.72703920469004</v>
      </c>
      <c r="J53" s="97">
        <v>229.99158155209352</v>
      </c>
      <c r="K53" s="97">
        <v>196.86698295852904</v>
      </c>
      <c r="L53" s="97">
        <v>188.68926311584352</v>
      </c>
      <c r="M53" s="97">
        <v>184.45997372149128</v>
      </c>
      <c r="N53" s="97">
        <v>169.89713380781731</v>
      </c>
      <c r="O53" s="97">
        <v>179.5919930549054</v>
      </c>
      <c r="P53" s="97">
        <v>161.36488872011944</v>
      </c>
      <c r="Q53" s="97">
        <v>160.90665608128441</v>
      </c>
      <c r="R53" s="97">
        <v>158.12682773417188</v>
      </c>
      <c r="S53" s="97">
        <v>173.17739430400346</v>
      </c>
      <c r="T53" s="97">
        <v>164.6755006384912</v>
      </c>
      <c r="U53" s="97">
        <v>177.07105008142813</v>
      </c>
      <c r="V53" s="97">
        <v>176.0494307700728</v>
      </c>
      <c r="W53" s="97">
        <v>188.37577880429274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0.44643838772897415</v>
      </c>
      <c r="J54" s="97">
        <v>0.69762671411873201</v>
      </c>
      <c r="K54" s="97">
        <v>0.90030076791982538</v>
      </c>
      <c r="L54" s="97">
        <v>0.43944136629806863</v>
      </c>
      <c r="M54" s="97">
        <v>0.44009267120112167</v>
      </c>
      <c r="N54" s="97">
        <v>5.3566183065624022</v>
      </c>
      <c r="O54" s="97">
        <v>4.8580487684899474</v>
      </c>
      <c r="P54" s="97">
        <v>4.0795185137578063</v>
      </c>
      <c r="Q54" s="97">
        <v>3.0677625135667186</v>
      </c>
      <c r="R54" s="97">
        <v>0.10288669685771817</v>
      </c>
      <c r="S54" s="97">
        <v>3.8505889501339222E-2</v>
      </c>
      <c r="T54" s="97">
        <v>3.0292189864626007</v>
      </c>
      <c r="U54" s="97">
        <v>6.9847458387299461</v>
      </c>
      <c r="V54" s="97">
        <v>8.0802882871770354</v>
      </c>
      <c r="W54" s="97">
        <v>11.156637034816479</v>
      </c>
      <c r="DA54" s="175" t="s">
        <v>668</v>
      </c>
    </row>
    <row r="55" spans="1:105" ht="11.45" customHeight="1" x14ac:dyDescent="0.25">
      <c r="A55" s="128" t="s">
        <v>116</v>
      </c>
      <c r="B55" s="97">
        <v>82.248458987605702</v>
      </c>
      <c r="C55" s="97">
        <v>55.208983000452335</v>
      </c>
      <c r="D55" s="97">
        <v>82.058556320277162</v>
      </c>
      <c r="E55" s="97">
        <v>88.614894255774715</v>
      </c>
      <c r="F55" s="97">
        <v>107.84326565427746</v>
      </c>
      <c r="G55" s="97">
        <v>109.84930287054364</v>
      </c>
      <c r="H55" s="97">
        <v>97.95132033247441</v>
      </c>
      <c r="I55" s="97">
        <v>115.99870550401488</v>
      </c>
      <c r="J55" s="97">
        <v>79.102103192598392</v>
      </c>
      <c r="K55" s="97">
        <v>83.637495133930571</v>
      </c>
      <c r="L55" s="97">
        <v>91.940866536099662</v>
      </c>
      <c r="M55" s="97">
        <v>82.742160987735645</v>
      </c>
      <c r="N55" s="97">
        <v>74.296465818389819</v>
      </c>
      <c r="O55" s="97">
        <v>112.32623544260581</v>
      </c>
      <c r="P55" s="97">
        <v>95.519952188885483</v>
      </c>
      <c r="Q55" s="97">
        <v>104.96306315409406</v>
      </c>
      <c r="R55" s="97">
        <v>87.681595601047391</v>
      </c>
      <c r="S55" s="97">
        <v>151.33301140392982</v>
      </c>
      <c r="T55" s="97">
        <v>126.4259785448514</v>
      </c>
      <c r="U55" s="97">
        <v>166.29482948852169</v>
      </c>
      <c r="V55" s="97">
        <v>157.2763915693933</v>
      </c>
      <c r="W55" s="97">
        <v>139.62613825924612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0.26058997945679785</v>
      </c>
      <c r="J56" s="98">
        <v>0.23993808798446833</v>
      </c>
      <c r="K56" s="98">
        <v>0.3824861841451106</v>
      </c>
      <c r="L56" s="98">
        <v>0.21412251731804821</v>
      </c>
      <c r="M56" s="98">
        <v>0.19740986575779412</v>
      </c>
      <c r="N56" s="98">
        <v>2.3424633482390336</v>
      </c>
      <c r="O56" s="98">
        <v>3.0384780550557942</v>
      </c>
      <c r="P56" s="98">
        <v>2.4148711437696604</v>
      </c>
      <c r="Q56" s="98">
        <v>2.0011711031431907</v>
      </c>
      <c r="R56" s="98">
        <v>5.7050848839968533E-2</v>
      </c>
      <c r="S56" s="98">
        <v>3.364880409734812E-2</v>
      </c>
      <c r="T56" s="98">
        <v>2.3256159726570882</v>
      </c>
      <c r="U56" s="98">
        <v>6.5596669683616575</v>
      </c>
      <c r="V56" s="98">
        <v>7.218646371583004</v>
      </c>
      <c r="W56" s="98">
        <v>8.269418473114305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8.9075941771331077</v>
      </c>
      <c r="C60" s="79">
        <f>IF(C17=0,0,C17/TrRoad_act!C30*100)</f>
        <v>8.2847141846380303</v>
      </c>
      <c r="D60" s="79">
        <f>IF(D17=0,0,D17/TrRoad_act!D30*100)</f>
        <v>8.3137768328872443</v>
      </c>
      <c r="E60" s="79">
        <f>IF(E17=0,0,E17/TrRoad_act!E30*100)</f>
        <v>8.6824437227779274</v>
      </c>
      <c r="F60" s="79">
        <f>IF(F17=0,0,F17/TrRoad_act!F30*100)</f>
        <v>8.4635188685026339</v>
      </c>
      <c r="G60" s="79">
        <f>IF(G17=0,0,G17/TrRoad_act!G30*100)</f>
        <v>8.5096522385066464</v>
      </c>
      <c r="H60" s="79">
        <f>IF(H17=0,0,H17/TrRoad_act!H30*100)</f>
        <v>8.7484179667117719</v>
      </c>
      <c r="I60" s="79">
        <f>IF(I17=0,0,I17/TrRoad_act!I30*100)</f>
        <v>9.0287948933117637</v>
      </c>
      <c r="J60" s="79">
        <f>IF(J17=0,0,J17/TrRoad_act!J30*100)</f>
        <v>8.1824905154847301</v>
      </c>
      <c r="K60" s="79">
        <f>IF(K17=0,0,K17/TrRoad_act!K30*100)</f>
        <v>8.3980418741403184</v>
      </c>
      <c r="L60" s="79">
        <f>IF(L17=0,0,L17/TrRoad_act!L30*100)</f>
        <v>8.1461879596267881</v>
      </c>
      <c r="M60" s="79">
        <f>IF(M17=0,0,M17/TrRoad_act!M30*100)</f>
        <v>8.1069982067605082</v>
      </c>
      <c r="N60" s="79">
        <f>IF(N17=0,0,N17/TrRoad_act!N30*100)</f>
        <v>8.2059440671850705</v>
      </c>
      <c r="O60" s="79">
        <f>IF(O17=0,0,O17/TrRoad_act!O30*100)</f>
        <v>8.2875328772807784</v>
      </c>
      <c r="P60" s="79">
        <f>IF(P17=0,0,P17/TrRoad_act!P30*100)</f>
        <v>8.0772977719063768</v>
      </c>
      <c r="Q60" s="79">
        <f>IF(Q17=0,0,Q17/TrRoad_act!Q30*100)</f>
        <v>8.2217764466092405</v>
      </c>
      <c r="R60" s="79">
        <f>IF(R17=0,0,R17/TrRoad_act!R30*100)</f>
        <v>7.7178795365890629</v>
      </c>
      <c r="S60" s="79">
        <f>IF(S17=0,0,S17/TrRoad_act!S30*100)</f>
        <v>8.0038765714592977</v>
      </c>
      <c r="T60" s="79">
        <f>IF(T17=0,0,T17/TrRoad_act!T30*100)</f>
        <v>7.5026080998881914</v>
      </c>
      <c r="U60" s="79">
        <f>IF(U17=0,0,U17/TrRoad_act!U30*100)</f>
        <v>8.0633682950085728</v>
      </c>
      <c r="V60" s="79">
        <f>IF(V17=0,0,V17/TrRoad_act!V30*100)</f>
        <v>8.4488545820141336</v>
      </c>
      <c r="W60" s="79">
        <f>IF(W17=0,0,W17/TrRoad_act!W30*100)</f>
        <v>8.0007092449596158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8.14194208588858</v>
      </c>
      <c r="C61" s="32">
        <f>IF(C18=0,0,C18/TrRoad_act!C31*100)</f>
        <v>7.582343591909078</v>
      </c>
      <c r="D61" s="32">
        <f>IF(D18=0,0,D18/TrRoad_act!D31*100)</f>
        <v>7.2994886931052356</v>
      </c>
      <c r="E61" s="32">
        <f>IF(E18=0,0,E18/TrRoad_act!E31*100)</f>
        <v>7.5928868827983154</v>
      </c>
      <c r="F61" s="32">
        <f>IF(F18=0,0,F18/TrRoad_act!F31*100)</f>
        <v>7.2853312655883018</v>
      </c>
      <c r="G61" s="32">
        <f>IF(G18=0,0,G18/TrRoad_act!G31*100)</f>
        <v>7.3548169926172289</v>
      </c>
      <c r="H61" s="32">
        <f>IF(H18=0,0,H18/TrRoad_act!H31*100)</f>
        <v>7.5933280848115832</v>
      </c>
      <c r="I61" s="32">
        <f>IF(I18=0,0,I18/TrRoad_act!I31*100)</f>
        <v>7.8985844708801327</v>
      </c>
      <c r="J61" s="32">
        <f>IF(J18=0,0,J18/TrRoad_act!J31*100)</f>
        <v>7.0637774363620256</v>
      </c>
      <c r="K61" s="32">
        <f>IF(K18=0,0,K18/TrRoad_act!K31*100)</f>
        <v>7.3582346024885021</v>
      </c>
      <c r="L61" s="32">
        <f>IF(L18=0,0,L18/TrRoad_act!L31*100)</f>
        <v>7.0634003432015104</v>
      </c>
      <c r="M61" s="32">
        <f>IF(M18=0,0,M18/TrRoad_act!M31*100)</f>
        <v>7.0726167540853275</v>
      </c>
      <c r="N61" s="32">
        <f>IF(N18=0,0,N18/TrRoad_act!N31*100)</f>
        <v>7.2533873576025547</v>
      </c>
      <c r="O61" s="32">
        <f>IF(O18=0,0,O18/TrRoad_act!O31*100)</f>
        <v>7.1217485245612648</v>
      </c>
      <c r="P61" s="32">
        <f>IF(P18=0,0,P18/TrRoad_act!P31*100)</f>
        <v>7.0915663498446895</v>
      </c>
      <c r="Q61" s="32">
        <f>IF(Q18=0,0,Q18/TrRoad_act!Q31*100)</f>
        <v>7.2685365253422338</v>
      </c>
      <c r="R61" s="32">
        <f>IF(R18=0,0,R18/TrRoad_act!R31*100)</f>
        <v>6.9045314719686779</v>
      </c>
      <c r="S61" s="32">
        <f>IF(S18=0,0,S18/TrRoad_act!S31*100)</f>
        <v>6.9221743658922072</v>
      </c>
      <c r="T61" s="32">
        <f>IF(T18=0,0,T18/TrRoad_act!T31*100)</f>
        <v>6.5510008685366801</v>
      </c>
      <c r="U61" s="32">
        <f>IF(U18=0,0,U18/TrRoad_act!U31*100)</f>
        <v>6.9024991685094959</v>
      </c>
      <c r="V61" s="32">
        <f>IF(V18=0,0,V18/TrRoad_act!V31*100)</f>
        <v>7.1588531198065244</v>
      </c>
      <c r="W61" s="32">
        <f>IF(W18=0,0,W18/TrRoad_act!W31*100)</f>
        <v>6.852884848428384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4.3410321015710425</v>
      </c>
      <c r="C62" s="141">
        <f>IF(C19=0,0,C19/TrRoad_act!C32*100)</f>
        <v>4.3321154027500146</v>
      </c>
      <c r="D62" s="141">
        <f>IF(D19=0,0,D19/TrRoad_act!D32*100)</f>
        <v>4.2728701380223821</v>
      </c>
      <c r="E62" s="141">
        <f>IF(E19=0,0,E19/TrRoad_act!E32*100)</f>
        <v>4.1373828942760564</v>
      </c>
      <c r="F62" s="141">
        <f>IF(F19=0,0,F19/TrRoad_act!F32*100)</f>
        <v>4.0355377118818421</v>
      </c>
      <c r="G62" s="141">
        <f>IF(G19=0,0,G19/TrRoad_act!G32*100)</f>
        <v>3.9390617070249085</v>
      </c>
      <c r="H62" s="141">
        <f>IF(H19=0,0,H19/TrRoad_act!H32*100)</f>
        <v>3.8661022213912521</v>
      </c>
      <c r="I62" s="141">
        <f>IF(I19=0,0,I19/TrRoad_act!I32*100)</f>
        <v>3.8263624670900773</v>
      </c>
      <c r="J62" s="141">
        <f>IF(J19=0,0,J19/TrRoad_act!J32*100)</f>
        <v>3.7905816847869942</v>
      </c>
      <c r="K62" s="141">
        <f>IF(K19=0,0,K19/TrRoad_act!K32*100)</f>
        <v>3.7663334734496718</v>
      </c>
      <c r="L62" s="141">
        <f>IF(L19=0,0,L19/TrRoad_act!L32*100)</f>
        <v>3.7454204885591089</v>
      </c>
      <c r="M62" s="141">
        <f>IF(M19=0,0,M19/TrRoad_act!M32*100)</f>
        <v>3.7231239258464806</v>
      </c>
      <c r="N62" s="141">
        <f>IF(N19=0,0,N19/TrRoad_act!N32*100)</f>
        <v>3.7148674930050669</v>
      </c>
      <c r="O62" s="141">
        <f>IF(O19=0,0,O19/TrRoad_act!O32*100)</f>
        <v>3.6880045231057861</v>
      </c>
      <c r="P62" s="141">
        <f>IF(P19=0,0,P19/TrRoad_act!P32*100)</f>
        <v>3.6586202605738181</v>
      </c>
      <c r="Q62" s="141">
        <f>IF(Q19=0,0,Q19/TrRoad_act!Q32*100)</f>
        <v>3.6554037030140298</v>
      </c>
      <c r="R62" s="141">
        <f>IF(R19=0,0,R19/TrRoad_act!R32*100)</f>
        <v>3.6420150063729735</v>
      </c>
      <c r="S62" s="141">
        <f>IF(S19=0,0,S19/TrRoad_act!S32*100)</f>
        <v>3.6294180772986233</v>
      </c>
      <c r="T62" s="141">
        <f>IF(T19=0,0,T19/TrRoad_act!T32*100)</f>
        <v>3.5961116787822793</v>
      </c>
      <c r="U62" s="141">
        <f>IF(U19=0,0,U19/TrRoad_act!U32*100)</f>
        <v>3.5840337126553297</v>
      </c>
      <c r="V62" s="141">
        <f>IF(V19=0,0,V19/TrRoad_act!V32*100)</f>
        <v>3.5771903416971487</v>
      </c>
      <c r="W62" s="141">
        <f>IF(W19=0,0,W19/TrRoad_act!W32*100)</f>
        <v>3.4221044800047298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7.0995195973296958</v>
      </c>
      <c r="C63" s="130">
        <f>IF(C21=0,0,C21/TrRoad_act!C33*100)</f>
        <v>6.6342481016967048</v>
      </c>
      <c r="D63" s="130">
        <f>IF(D21=0,0,D21/TrRoad_act!D33*100)</f>
        <v>6.403627570658653</v>
      </c>
      <c r="E63" s="130">
        <f>IF(E21=0,0,E21/TrRoad_act!E33*100)</f>
        <v>6.7303094889436741</v>
      </c>
      <c r="F63" s="130">
        <f>IF(F21=0,0,F21/TrRoad_act!F33*100)</f>
        <v>6.4835749874487911</v>
      </c>
      <c r="G63" s="130">
        <f>IF(G21=0,0,G21/TrRoad_act!G33*100)</f>
        <v>6.5912364591814656</v>
      </c>
      <c r="H63" s="130">
        <f>IF(H21=0,0,H21/TrRoad_act!H33*100)</f>
        <v>6.8669566382429545</v>
      </c>
      <c r="I63" s="130">
        <f>IF(I21=0,0,I21/TrRoad_act!I33*100)</f>
        <v>7.1899858677641273</v>
      </c>
      <c r="J63" s="130">
        <f>IF(J21=0,0,J21/TrRoad_act!J33*100)</f>
        <v>6.4033856294095441</v>
      </c>
      <c r="K63" s="130">
        <f>IF(K21=0,0,K21/TrRoad_act!K33*100)</f>
        <v>6.6694075432988082</v>
      </c>
      <c r="L63" s="130">
        <f>IF(L21=0,0,L21/TrRoad_act!L33*100)</f>
        <v>6.3644467042758235</v>
      </c>
      <c r="M63" s="130">
        <f>IF(M21=0,0,M21/TrRoad_act!M33*100)</f>
        <v>6.3964372431734295</v>
      </c>
      <c r="N63" s="130">
        <f>IF(N21=0,0,N21/TrRoad_act!N33*100)</f>
        <v>6.5750539678392377</v>
      </c>
      <c r="O63" s="130">
        <f>IF(O21=0,0,O21/TrRoad_act!O33*100)</f>
        <v>6.4342727617614965</v>
      </c>
      <c r="P63" s="130">
        <f>IF(P21=0,0,P21/TrRoad_act!P33*100)</f>
        <v>6.4054934057129991</v>
      </c>
      <c r="Q63" s="130">
        <f>IF(Q21=0,0,Q21/TrRoad_act!Q33*100)</f>
        <v>6.5593223496039101</v>
      </c>
      <c r="R63" s="130">
        <f>IF(R21=0,0,R21/TrRoad_act!R33*100)</f>
        <v>6.2221955994060174</v>
      </c>
      <c r="S63" s="130">
        <f>IF(S21=0,0,S21/TrRoad_act!S33*100)</f>
        <v>6.2178849894361035</v>
      </c>
      <c r="T63" s="130">
        <f>IF(T21=0,0,T21/TrRoad_act!T33*100)</f>
        <v>5.8537946759500237</v>
      </c>
      <c r="U63" s="130">
        <f>IF(U21=0,0,U21/TrRoad_act!U33*100)</f>
        <v>6.2983614652769377</v>
      </c>
      <c r="V63" s="130">
        <f>IF(V21=0,0,V21/TrRoad_act!V33*100)</f>
        <v>6.6353736175890248</v>
      </c>
      <c r="W63" s="130">
        <f>IF(W21=0,0,W21/TrRoad_act!W33*100)</f>
        <v>6.343899589813069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7.3115947003523587</v>
      </c>
      <c r="C64" s="96">
        <f>IF(C22=0,0,C22/TrRoad_act!C34*100)</f>
        <v>6.6483778055292291</v>
      </c>
      <c r="D64" s="96">
        <f>IF(D22=0,0,D22/TrRoad_act!D34*100)</f>
        <v>6.5611958646795987</v>
      </c>
      <c r="E64" s="96">
        <f>IF(E22=0,0,E22/TrRoad_act!E34*100)</f>
        <v>6.9428114326748238</v>
      </c>
      <c r="F64" s="96">
        <f>IF(F22=0,0,F22/TrRoad_act!F34*100)</f>
        <v>6.7262777407176584</v>
      </c>
      <c r="G64" s="96">
        <f>IF(G22=0,0,G22/TrRoad_act!G34*100)</f>
        <v>6.8807988221205791</v>
      </c>
      <c r="H64" s="96">
        <f>IF(H22=0,0,H22/TrRoad_act!H34*100)</f>
        <v>7.3052833968850397</v>
      </c>
      <c r="I64" s="96">
        <f>IF(I22=0,0,I22/TrRoad_act!I34*100)</f>
        <v>7.6432805280912204</v>
      </c>
      <c r="J64" s="96">
        <f>IF(J22=0,0,J22/TrRoad_act!J34*100)</f>
        <v>6.1927390212420859</v>
      </c>
      <c r="K64" s="96">
        <f>IF(K22=0,0,K22/TrRoad_act!K34*100)</f>
        <v>6.395784513511539</v>
      </c>
      <c r="L64" s="96">
        <f>IF(L22=0,0,L22/TrRoad_act!L34*100)</f>
        <v>6.0440463270228584</v>
      </c>
      <c r="M64" s="96">
        <f>IF(M22=0,0,M22/TrRoad_act!M34*100)</f>
        <v>6.1716406969550315</v>
      </c>
      <c r="N64" s="96">
        <f>IF(N22=0,0,N22/TrRoad_act!N34*100)</f>
        <v>6.1187775874526062</v>
      </c>
      <c r="O64" s="96">
        <f>IF(O22=0,0,O22/TrRoad_act!O34*100)</f>
        <v>6.2046546182220297</v>
      </c>
      <c r="P64" s="96">
        <f>IF(P22=0,0,P22/TrRoad_act!P34*100)</f>
        <v>6.2470813415788609</v>
      </c>
      <c r="Q64" s="96">
        <f>IF(Q22=0,0,Q22/TrRoad_act!Q34*100)</f>
        <v>6.2670522475042487</v>
      </c>
      <c r="R64" s="96">
        <f>IF(R22=0,0,R22/TrRoad_act!R34*100)</f>
        <v>6.0972947988574351</v>
      </c>
      <c r="S64" s="96">
        <f>IF(S22=0,0,S22/TrRoad_act!S34*100)</f>
        <v>5.8923023057453143</v>
      </c>
      <c r="T64" s="96">
        <f>IF(T22=0,0,T22/TrRoad_act!T34*100)</f>
        <v>5.564344565523534</v>
      </c>
      <c r="U64" s="96">
        <f>IF(U22=0,0,U22/TrRoad_act!U34*100)</f>
        <v>5.8066774974550466</v>
      </c>
      <c r="V64" s="96">
        <f>IF(V22=0,0,V22/TrRoad_act!V34*100)</f>
        <v>6.113720523692975</v>
      </c>
      <c r="W64" s="96">
        <f>IF(W22=0,0,W22/TrRoad_act!W34*100)</f>
        <v>5.9283978574675569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6.3609387770536179</v>
      </c>
      <c r="C65" s="96">
        <f>IF(C24=0,0,C24/TrRoad_act!C35*100)</f>
        <v>6.6320310305437236</v>
      </c>
      <c r="D65" s="96">
        <f>IF(D24=0,0,D24/TrRoad_act!D35*100)</f>
        <v>5.9397149389698685</v>
      </c>
      <c r="E65" s="96">
        <f>IF(E24=0,0,E24/TrRoad_act!E35*100)</f>
        <v>6.2975504330125398</v>
      </c>
      <c r="F65" s="96">
        <f>IF(F24=0,0,F24/TrRoad_act!F35*100)</f>
        <v>6.0758389107904325</v>
      </c>
      <c r="G65" s="96">
        <f>IF(G24=0,0,G24/TrRoad_act!G35*100)</f>
        <v>6.1950499547480984</v>
      </c>
      <c r="H65" s="96">
        <f>IF(H24=0,0,H24/TrRoad_act!H35*100)</f>
        <v>6.4208878240547236</v>
      </c>
      <c r="I65" s="96">
        <f>IF(I24=0,0,I24/TrRoad_act!I35*100)</f>
        <v>6.8824731266770094</v>
      </c>
      <c r="J65" s="96">
        <f>IF(J24=0,0,J24/TrRoad_act!J35*100)</f>
        <v>6.8211682540595842</v>
      </c>
      <c r="K65" s="96">
        <f>IF(K24=0,0,K24/TrRoad_act!K35*100)</f>
        <v>7.276874472155785</v>
      </c>
      <c r="L65" s="96">
        <f>IF(L24=0,0,L24/TrRoad_act!L35*100)</f>
        <v>6.949798161641187</v>
      </c>
      <c r="M65" s="96">
        <f>IF(M24=0,0,M24/TrRoad_act!M35*100)</f>
        <v>6.8263400723479988</v>
      </c>
      <c r="N65" s="96">
        <f>IF(N24=0,0,N24/TrRoad_act!N35*100)</f>
        <v>7.2723932914394895</v>
      </c>
      <c r="O65" s="96">
        <f>IF(O24=0,0,O24/TrRoad_act!O35*100)</f>
        <v>6.8241086571777059</v>
      </c>
      <c r="P65" s="96">
        <f>IF(P24=0,0,P24/TrRoad_act!P35*100)</f>
        <v>6.6794493769432295</v>
      </c>
      <c r="Q65" s="96">
        <f>IF(Q24=0,0,Q24/TrRoad_act!Q35*100)</f>
        <v>6.9612179825508633</v>
      </c>
      <c r="R65" s="96">
        <f>IF(R24=0,0,R24/TrRoad_act!R35*100)</f>
        <v>6.3834825248533207</v>
      </c>
      <c r="S65" s="96">
        <f>IF(S24=0,0,S24/TrRoad_act!S35*100)</f>
        <v>6.5065586210173292</v>
      </c>
      <c r="T65" s="96">
        <f>IF(T24=0,0,T24/TrRoad_act!T35*100)</f>
        <v>6.0737461918091897</v>
      </c>
      <c r="U65" s="96">
        <f>IF(U24=0,0,U24/TrRoad_act!U35*100)</f>
        <v>6.6712197318834292</v>
      </c>
      <c r="V65" s="96">
        <f>IF(V24=0,0,V24/TrRoad_act!V35*100)</f>
        <v>7.0399296505357301</v>
      </c>
      <c r="W65" s="96">
        <f>IF(W24=0,0,W24/TrRoad_act!W35*100)</f>
        <v>6.6706195337776624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5.9827111382144658</v>
      </c>
      <c r="C66" s="96">
        <f>IF(C26=0,0,C26/TrRoad_act!C36*100)</f>
        <v>5.9498621078527512</v>
      </c>
      <c r="D66" s="96">
        <f>IF(D26=0,0,D26/TrRoad_act!D36*100)</f>
        <v>5.9960656326345498</v>
      </c>
      <c r="E66" s="96">
        <f>IF(E26=0,0,E26/TrRoad_act!E36*100)</f>
        <v>5.8874073471429069</v>
      </c>
      <c r="F66" s="96">
        <f>IF(F26=0,0,F26/TrRoad_act!F36*100)</f>
        <v>5.7120992058792508</v>
      </c>
      <c r="G66" s="96">
        <f>IF(G26=0,0,G26/TrRoad_act!G36*100)</f>
        <v>5.6936235209711317</v>
      </c>
      <c r="H66" s="96">
        <f>IF(H26=0,0,H26/TrRoad_act!H36*100)</f>
        <v>5.5510398187838987</v>
      </c>
      <c r="I66" s="96">
        <f>IF(I26=0,0,I26/TrRoad_act!I36*100)</f>
        <v>5.4661089140390517</v>
      </c>
      <c r="J66" s="96">
        <f>IF(J26=0,0,J26/TrRoad_act!J36*100)</f>
        <v>5.6409052597550353</v>
      </c>
      <c r="K66" s="96">
        <f>IF(K26=0,0,K26/TrRoad_act!K36*100)</f>
        <v>5.4012763822750696</v>
      </c>
      <c r="L66" s="96">
        <f>IF(L26=0,0,L26/TrRoad_act!L36*100)</f>
        <v>5.3269971652118704</v>
      </c>
      <c r="M66" s="96">
        <f>IF(M26=0,0,M26/TrRoad_act!M36*100)</f>
        <v>5.337635973263068</v>
      </c>
      <c r="N66" s="96">
        <f>IF(N26=0,0,N26/TrRoad_act!N36*100)</f>
        <v>5.3436818807620119</v>
      </c>
      <c r="O66" s="96">
        <f>IF(O26=0,0,O26/TrRoad_act!O36*100)</f>
        <v>5.354118155619199</v>
      </c>
      <c r="P66" s="96">
        <f>IF(P26=0,0,P26/TrRoad_act!P36*100)</f>
        <v>5.3625014455614197</v>
      </c>
      <c r="Q66" s="96">
        <f>IF(Q26=0,0,Q26/TrRoad_act!Q36*100)</f>
        <v>5.3916821267626025</v>
      </c>
      <c r="R66" s="96">
        <f>IF(R26=0,0,R26/TrRoad_act!R36*100)</f>
        <v>5.6493992361874286</v>
      </c>
      <c r="S66" s="96">
        <f>IF(S26=0,0,S26/TrRoad_act!S36*100)</f>
        <v>5.6616454870263251</v>
      </c>
      <c r="T66" s="96">
        <f>IF(T26=0,0,T26/TrRoad_act!T36*100)</f>
        <v>5.6573855292393702</v>
      </c>
      <c r="U66" s="96">
        <f>IF(U26=0,0,U26/TrRoad_act!U36*100)</f>
        <v>5.6482339175713658</v>
      </c>
      <c r="V66" s="96">
        <f>IF(V26=0,0,V26/TrRoad_act!V36*100)</f>
        <v>5.6319751619823508</v>
      </c>
      <c r="W66" s="96">
        <f>IF(W26=0,0,W26/TrRoad_act!W36*100)</f>
        <v>5.4926755278744572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6.8771720216468575</v>
      </c>
      <c r="L67" s="96">
        <f>IF(L27=0,0,L27/TrRoad_act!L37*100)</f>
        <v>6.8512824389918192</v>
      </c>
      <c r="M67" s="96">
        <f>IF(M27=0,0,M27/TrRoad_act!M37*100)</f>
        <v>6.8505577439980136</v>
      </c>
      <c r="N67" s="96">
        <f>IF(N27=0,0,N27/TrRoad_act!N37*100)</f>
        <v>6.8061049366054407</v>
      </c>
      <c r="O67" s="96">
        <f>IF(O27=0,0,O27/TrRoad_act!O37*100)</f>
        <v>6.7222197237693102</v>
      </c>
      <c r="P67" s="96">
        <f>IF(P27=0,0,P27/TrRoad_act!P37*100)</f>
        <v>6.6663823162286393</v>
      </c>
      <c r="Q67" s="96">
        <f>IF(Q27=0,0,Q27/TrRoad_act!Q37*100)</f>
        <v>6.6576929580903581</v>
      </c>
      <c r="R67" s="96">
        <f>IF(R27=0,0,R27/TrRoad_act!R37*100)</f>
        <v>6.6191445212596438</v>
      </c>
      <c r="S67" s="96">
        <f>IF(S27=0,0,S27/TrRoad_act!S37*100)</f>
        <v>6.3826470723295738</v>
      </c>
      <c r="T67" s="96">
        <f>IF(T27=0,0,T27/TrRoad_act!T37*100)</f>
        <v>6.3403648808238104</v>
      </c>
      <c r="U67" s="96">
        <f>IF(U27=0,0,U27/TrRoad_act!U37*100)</f>
        <v>6.3044613035451027</v>
      </c>
      <c r="V67" s="96">
        <f>IF(V27=0,0,V27/TrRoad_act!V37*100)</f>
        <v>6.2865351180626527</v>
      </c>
      <c r="W67" s="96">
        <f>IF(W27=0,0,W27/TrRoad_act!W37*100)</f>
        <v>6.2540296286602457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0</v>
      </c>
      <c r="P68" s="96">
        <f>IF(P29=0,0,P29/TrRoad_act!P38*100)</f>
        <v>3.4695410929515731</v>
      </c>
      <c r="Q68" s="96">
        <f>IF(Q29=0,0,Q29/TrRoad_act!Q38*100)</f>
        <v>3.5648285841040566</v>
      </c>
      <c r="R68" s="96">
        <f>IF(R29=0,0,R29/TrRoad_act!R38*100)</f>
        <v>3.8063255451113553</v>
      </c>
      <c r="S68" s="96">
        <f>IF(S29=0,0,S29/TrRoad_act!S38*100)</f>
        <v>3.8938407551029655</v>
      </c>
      <c r="T68" s="96">
        <f>IF(T29=0,0,T29/TrRoad_act!T38*100)</f>
        <v>4.0168636703588163</v>
      </c>
      <c r="U68" s="96">
        <f>IF(U29=0,0,U29/TrRoad_act!U38*100)</f>
        <v>4.2037293571167629</v>
      </c>
      <c r="V68" s="96">
        <f>IF(V29=0,0,V29/TrRoad_act!V38*100)</f>
        <v>3.9600827523072937</v>
      </c>
      <c r="W68" s="96">
        <f>IF(W29=0,0,W29/TrRoad_act!W38*100)</f>
        <v>3.8628612240742481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1.1490671093109648</v>
      </c>
      <c r="O69" s="96">
        <f>IF(O32=0,0,O32/TrRoad_act!O39*100)</f>
        <v>1.1563589278475663</v>
      </c>
      <c r="P69" s="96">
        <f>IF(P32=0,0,P32/TrRoad_act!P39*100)</f>
        <v>1.1814262306145211</v>
      </c>
      <c r="Q69" s="96">
        <f>IF(Q32=0,0,Q32/TrRoad_act!Q39*100)</f>
        <v>1.1573793811177195</v>
      </c>
      <c r="R69" s="96">
        <f>IF(R32=0,0,R32/TrRoad_act!R39*100)</f>
        <v>1.1467121371934594</v>
      </c>
      <c r="S69" s="96">
        <f>IF(S32=0,0,S32/TrRoad_act!S39*100)</f>
        <v>1.1549219199242764</v>
      </c>
      <c r="T69" s="96">
        <f>IF(T32=0,0,T32/TrRoad_act!T39*100)</f>
        <v>1.2640550395524064</v>
      </c>
      <c r="U69" s="96">
        <f>IF(U32=0,0,U32/TrRoad_act!U39*100)</f>
        <v>1.4402937165985477</v>
      </c>
      <c r="V69" s="96">
        <f>IF(V32=0,0,V32/TrRoad_act!V39*100)</f>
        <v>1.5166370126172155</v>
      </c>
      <c r="W69" s="96">
        <f>IF(W32=0,0,W32/TrRoad_act!W39*100)</f>
        <v>1.5159973147337733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53.206878466096555</v>
      </c>
      <c r="C70" s="130">
        <f>IF(C33=0,0,C33/TrRoad_act!C40*100)</f>
        <v>51.090842224615294</v>
      </c>
      <c r="D70" s="130">
        <f>IF(D33=0,0,D33/TrRoad_act!D40*100)</f>
        <v>51.385313245410835</v>
      </c>
      <c r="E70" s="130">
        <f>IF(E33=0,0,E33/TrRoad_act!E40*100)</f>
        <v>52.323025004038769</v>
      </c>
      <c r="F70" s="130">
        <f>IF(F33=0,0,F33/TrRoad_act!F40*100)</f>
        <v>51.824028591091199</v>
      </c>
      <c r="G70" s="130">
        <f>IF(G33=0,0,G33/TrRoad_act!G40*100)</f>
        <v>52.059433669558942</v>
      </c>
      <c r="H70" s="130">
        <f>IF(H33=0,0,H33/TrRoad_act!H40*100)</f>
        <v>52.583804130831744</v>
      </c>
      <c r="I70" s="130">
        <f>IF(I33=0,0,I33/TrRoad_act!I40*100)</f>
        <v>54.17718528586478</v>
      </c>
      <c r="J70" s="130">
        <f>IF(J33=0,0,J33/TrRoad_act!J40*100)</f>
        <v>54.602048219443986</v>
      </c>
      <c r="K70" s="130">
        <f>IF(K33=0,0,K33/TrRoad_act!K40*100)</f>
        <v>56.641002190546295</v>
      </c>
      <c r="L70" s="130">
        <f>IF(L33=0,0,L33/TrRoad_act!L40*100)</f>
        <v>56.764404433779681</v>
      </c>
      <c r="M70" s="130">
        <f>IF(M33=0,0,M33/TrRoad_act!M40*100)</f>
        <v>55.701956179087411</v>
      </c>
      <c r="N70" s="130">
        <f>IF(N33=0,0,N33/TrRoad_act!N40*100)</f>
        <v>56.870432127255533</v>
      </c>
      <c r="O70" s="130">
        <f>IF(O33=0,0,O33/TrRoad_act!O40*100)</f>
        <v>57.119666068039109</v>
      </c>
      <c r="P70" s="130">
        <f>IF(P33=0,0,P33/TrRoad_act!P40*100)</f>
        <v>56.269480225015819</v>
      </c>
      <c r="Q70" s="130">
        <f>IF(Q33=0,0,Q33/TrRoad_act!Q40*100)</f>
        <v>57.301065505249248</v>
      </c>
      <c r="R70" s="130">
        <f>IF(R33=0,0,R33/TrRoad_act!R40*100)</f>
        <v>55.551778989527826</v>
      </c>
      <c r="S70" s="130">
        <f>IF(S33=0,0,S33/TrRoad_act!S40*100)</f>
        <v>57.529450703640208</v>
      </c>
      <c r="T70" s="130">
        <f>IF(T33=0,0,T33/TrRoad_act!T40*100)</f>
        <v>55.890087265517799</v>
      </c>
      <c r="U70" s="130">
        <f>IF(U33=0,0,U33/TrRoad_act!U40*100)</f>
        <v>59.979865389783193</v>
      </c>
      <c r="V70" s="130">
        <f>IF(V33=0,0,V33/TrRoad_act!V40*100)</f>
        <v>60.875707966822453</v>
      </c>
      <c r="W70" s="130">
        <f>IF(W33=0,0,W33/TrRoad_act!W40*100)</f>
        <v>60.141648928446486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18.496746933921614</v>
      </c>
      <c r="C71" s="97">
        <f>IF(C34=0,0,C34/TrRoad_act!C41*100)</f>
        <v>18.184921984232673</v>
      </c>
      <c r="D71" s="97">
        <f>IF(D34=0,0,D34/TrRoad_act!D41*100)</f>
        <v>17.951943229922552</v>
      </c>
      <c r="E71" s="97">
        <f>IF(E34=0,0,E34/TrRoad_act!E41*100)</f>
        <v>17.886646894913728</v>
      </c>
      <c r="F71" s="97">
        <f>IF(F34=0,0,F34/TrRoad_act!F41*100)</f>
        <v>17.809586741678764</v>
      </c>
      <c r="G71" s="97">
        <f>IF(G34=0,0,G34/TrRoad_act!G41*100)</f>
        <v>17.662677623942578</v>
      </c>
      <c r="H71" s="97">
        <f>IF(H34=0,0,H34/TrRoad_act!H41*100)</f>
        <v>17.502896154838645</v>
      </c>
      <c r="I71" s="97">
        <f>IF(I34=0,0,I34/TrRoad_act!I41*100)</f>
        <v>17.454212604090934</v>
      </c>
      <c r="J71" s="97">
        <f>IF(J34=0,0,J34/TrRoad_act!J41*100)</f>
        <v>17.308791089202007</v>
      </c>
      <c r="K71" s="97">
        <f>IF(K34=0,0,K34/TrRoad_act!K41*100)</f>
        <v>17.25967176205598</v>
      </c>
      <c r="L71" s="97">
        <f>IF(L34=0,0,L34/TrRoad_act!L41*100)</f>
        <v>17.192560467921737</v>
      </c>
      <c r="M71" s="97">
        <f>IF(M34=0,0,M34/TrRoad_act!M41*100)</f>
        <v>17.122291364690792</v>
      </c>
      <c r="N71" s="97">
        <f>IF(N34=0,0,N34/TrRoad_act!N41*100)</f>
        <v>17.024373407445299</v>
      </c>
      <c r="O71" s="97">
        <f>IF(O34=0,0,O34/TrRoad_act!O41*100)</f>
        <v>16.793496337652897</v>
      </c>
      <c r="P71" s="97">
        <f>IF(P34=0,0,P34/TrRoad_act!P41*100)</f>
        <v>16.73828924080216</v>
      </c>
      <c r="Q71" s="97">
        <f>IF(Q34=0,0,Q34/TrRoad_act!Q41*100)</f>
        <v>16.641463238182098</v>
      </c>
      <c r="R71" s="97">
        <f>IF(R34=0,0,R34/TrRoad_act!R41*100)</f>
        <v>16.637827375147616</v>
      </c>
      <c r="S71" s="97">
        <f>IF(S34=0,0,S34/TrRoad_act!S41*100)</f>
        <v>16.636465587690729</v>
      </c>
      <c r="T71" s="97">
        <f>IF(T34=0,0,T34/TrRoad_act!T41*100)</f>
        <v>16.635041992153848</v>
      </c>
      <c r="U71" s="97">
        <f>IF(U34=0,0,U34/TrRoad_act!U41*100)</f>
        <v>16.634769363494513</v>
      </c>
      <c r="V71" s="97">
        <f>IF(V34=0,0,V34/TrRoad_act!V41*100)</f>
        <v>16.633199028856396</v>
      </c>
      <c r="W71" s="97">
        <f>IF(W34=0,0,W34/TrRoad_act!W41*100)</f>
        <v>16.625309417575863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53.309943443946814</v>
      </c>
      <c r="C72" s="97">
        <f>IF(C36=0,0,C36/TrRoad_act!C42*100)</f>
        <v>51.192625377892234</v>
      </c>
      <c r="D72" s="97">
        <f>IF(D36=0,0,D36/TrRoad_act!D42*100)</f>
        <v>51.490777646000161</v>
      </c>
      <c r="E72" s="97">
        <f>IF(E36=0,0,E36/TrRoad_act!E42*100)</f>
        <v>52.428374225963104</v>
      </c>
      <c r="F72" s="97">
        <f>IF(F36=0,0,F36/TrRoad_act!F42*100)</f>
        <v>51.922670840436012</v>
      </c>
      <c r="G72" s="97">
        <f>IF(G36=0,0,G36/TrRoad_act!G42*100)</f>
        <v>52.161329933048265</v>
      </c>
      <c r="H72" s="97">
        <f>IF(H36=0,0,H36/TrRoad_act!H42*100)</f>
        <v>52.689767968227471</v>
      </c>
      <c r="I72" s="97">
        <f>IF(I36=0,0,I36/TrRoad_act!I42*100)</f>
        <v>54.278626948111629</v>
      </c>
      <c r="J72" s="97">
        <f>IF(J36=0,0,J36/TrRoad_act!J42*100)</f>
        <v>54.717374109448599</v>
      </c>
      <c r="K72" s="97">
        <f>IF(K36=0,0,K36/TrRoad_act!K42*100)</f>
        <v>56.671634153238969</v>
      </c>
      <c r="L72" s="97">
        <f>IF(L36=0,0,L36/TrRoad_act!L42*100)</f>
        <v>56.498647788043122</v>
      </c>
      <c r="M72" s="97">
        <f>IF(M36=0,0,M36/TrRoad_act!M42*100)</f>
        <v>55.911127996443597</v>
      </c>
      <c r="N72" s="97">
        <f>IF(N36=0,0,N36/TrRoad_act!N42*100)</f>
        <v>57.08246311341253</v>
      </c>
      <c r="O72" s="97">
        <f>IF(O36=0,0,O36/TrRoad_act!O42*100)</f>
        <v>57.466100826225222</v>
      </c>
      <c r="P72" s="97">
        <f>IF(P36=0,0,P36/TrRoad_act!P42*100)</f>
        <v>56.784973883181067</v>
      </c>
      <c r="Q72" s="97">
        <f>IF(Q36=0,0,Q36/TrRoad_act!Q42*100)</f>
        <v>57.7911000596077</v>
      </c>
      <c r="R72" s="97">
        <f>IF(R36=0,0,R36/TrRoad_act!R42*100)</f>
        <v>55.869623162390461</v>
      </c>
      <c r="S72" s="97">
        <f>IF(S36=0,0,S36/TrRoad_act!S42*100)</f>
        <v>57.924913114548616</v>
      </c>
      <c r="T72" s="97">
        <f>IF(T36=0,0,T36/TrRoad_act!T42*100)</f>
        <v>56.218550063297499</v>
      </c>
      <c r="U72" s="97">
        <f>IF(U36=0,0,U36/TrRoad_act!U42*100)</f>
        <v>60.483918903075129</v>
      </c>
      <c r="V72" s="97">
        <f>IF(V36=0,0,V36/TrRoad_act!V42*100)</f>
        <v>61.43558526821532</v>
      </c>
      <c r="W72" s="97">
        <f>IF(W36=0,0,W36/TrRoad_act!W42*100)</f>
        <v>60.747804907821624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44.049640149002911</v>
      </c>
      <c r="J73" s="97">
        <f>IF(J38=0,0,J38/TrRoad_act!J43*100)</f>
        <v>44.049640149002911</v>
      </c>
      <c r="K73" s="97">
        <f>IF(K38=0,0,K38/TrRoad_act!K43*100)</f>
        <v>44.049640149002919</v>
      </c>
      <c r="L73" s="97">
        <f>IF(L38=0,0,L38/TrRoad_act!L43*100)</f>
        <v>44.049640149002911</v>
      </c>
      <c r="M73" s="97">
        <f>IF(M38=0,0,M38/TrRoad_act!M43*100)</f>
        <v>44.941591073640595</v>
      </c>
      <c r="N73" s="97">
        <f>IF(N38=0,0,N38/TrRoad_act!N43*100)</f>
        <v>44.941591073640602</v>
      </c>
      <c r="O73" s="97">
        <f>IF(O38=0,0,O38/TrRoad_act!O43*100)</f>
        <v>46.367901378200862</v>
      </c>
      <c r="P73" s="97">
        <f>IF(P38=0,0,P38/TrRoad_act!P43*100)</f>
        <v>46.492701114531428</v>
      </c>
      <c r="Q73" s="97">
        <f>IF(Q38=0,0,Q38/TrRoad_act!Q43*100)</f>
        <v>46.492701114531428</v>
      </c>
      <c r="R73" s="97">
        <f>IF(R38=0,0,R38/TrRoad_act!R43*100)</f>
        <v>46.492701114531428</v>
      </c>
      <c r="S73" s="97">
        <f>IF(S38=0,0,S38/TrRoad_act!S43*100)</f>
        <v>46.63260751564885</v>
      </c>
      <c r="T73" s="97">
        <f>IF(T38=0,0,T38/TrRoad_act!T43*100)</f>
        <v>46.632607515648836</v>
      </c>
      <c r="U73" s="97">
        <f>IF(U38=0,0,U38/TrRoad_act!U43*100)</f>
        <v>46.461897081516547</v>
      </c>
      <c r="V73" s="97">
        <f>IF(V38=0,0,V38/TrRoad_act!V43*100)</f>
        <v>45.929756537488856</v>
      </c>
      <c r="W73" s="97">
        <f>IF(W38=0,0,W38/TrRoad_act!W43*100)</f>
        <v>45.929756537488863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74.532781832511716</v>
      </c>
      <c r="L74" s="97">
        <f>IF(L39=0,0,L39/TrRoad_act!L44*100)</f>
        <v>130.94744618544348</v>
      </c>
      <c r="M74" s="97">
        <f>IF(M39=0,0,M39/TrRoad_act!M44*100)</f>
        <v>34.930058532413327</v>
      </c>
      <c r="N74" s="97">
        <f>IF(N39=0,0,N39/TrRoad_act!N44*100)</f>
        <v>39.50574148954707</v>
      </c>
      <c r="O74" s="97">
        <f>IF(O39=0,0,O39/TrRoad_act!O44*100)</f>
        <v>40.087074935339679</v>
      </c>
      <c r="P74" s="97">
        <f>IF(P39=0,0,P39/TrRoad_act!P44*100)</f>
        <v>41.274402959923165</v>
      </c>
      <c r="Q74" s="97">
        <f>IF(Q39=0,0,Q39/TrRoad_act!Q44*100)</f>
        <v>42.57693796890441</v>
      </c>
      <c r="R74" s="97">
        <f>IF(R39=0,0,R39/TrRoad_act!R44*100)</f>
        <v>46.725819084513134</v>
      </c>
      <c r="S74" s="97">
        <f>IF(S39=0,0,S39/TrRoad_act!S44*100)</f>
        <v>46.822127906574828</v>
      </c>
      <c r="T74" s="97">
        <f>IF(T39=0,0,T39/TrRoad_act!T44*100)</f>
        <v>46.841774468295952</v>
      </c>
      <c r="U74" s="97">
        <f>IF(U39=0,0,U39/TrRoad_act!U44*100)</f>
        <v>46.87273021580917</v>
      </c>
      <c r="V74" s="97">
        <f>IF(V39=0,0,V39/TrRoad_act!V44*100)</f>
        <v>47.103924873903139</v>
      </c>
      <c r="W74" s="97">
        <f>IF(W39=0,0,W39/TrRoad_act!W44*100)</f>
        <v>47.134753443594803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0</v>
      </c>
      <c r="Q75" s="97">
        <f>IF(Q41=0,0,Q41/TrRoad_act!Q45*100)</f>
        <v>34.177554561263221</v>
      </c>
      <c r="R75" s="97">
        <f>IF(R41=0,0,R41/TrRoad_act!R45*100)</f>
        <v>34.477542317379658</v>
      </c>
      <c r="S75" s="97">
        <f>IF(S41=0,0,S41/TrRoad_act!S45*100)</f>
        <v>34.477542317379651</v>
      </c>
      <c r="T75" s="97">
        <f>IF(T41=0,0,T41/TrRoad_act!T45*100)</f>
        <v>34.477542317379658</v>
      </c>
      <c r="U75" s="97">
        <f>IF(U41=0,0,U41/TrRoad_act!U45*100)</f>
        <v>34.477542317379651</v>
      </c>
      <c r="V75" s="97">
        <f>IF(V41=0,0,V41/TrRoad_act!V45*100)</f>
        <v>34.477542317379658</v>
      </c>
      <c r="W75" s="97">
        <f>IF(W41=0,0,W41/TrRoad_act!W45*100)</f>
        <v>36.305163101355888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17.571210185818046</v>
      </c>
      <c r="C76" s="32">
        <f>IF(C42=0,0,C42/TrRoad_act!C46*100)</f>
        <v>14.969514703307201</v>
      </c>
      <c r="D76" s="32">
        <f>IF(D42=0,0,D42/TrRoad_act!D46*100)</f>
        <v>17.255272592389069</v>
      </c>
      <c r="E76" s="32">
        <f>IF(E42=0,0,E42/TrRoad_act!E46*100)</f>
        <v>17.620202902236919</v>
      </c>
      <c r="F76" s="32">
        <f>IF(F42=0,0,F42/TrRoad_act!F46*100)</f>
        <v>17.719386526843813</v>
      </c>
      <c r="G76" s="32">
        <f>IF(G42=0,0,G42/TrRoad_act!G46*100)</f>
        <v>17.361158803198791</v>
      </c>
      <c r="H76" s="32">
        <f>IF(H42=0,0,H42/TrRoad_act!H46*100)</f>
        <v>17.19229889449722</v>
      </c>
      <c r="I76" s="32">
        <f>IF(I42=0,0,I42/TrRoad_act!I46*100)</f>
        <v>17.811118447534952</v>
      </c>
      <c r="J76" s="32">
        <f>IF(J42=0,0,J42/TrRoad_act!J46*100)</f>
        <v>17.688259934672288</v>
      </c>
      <c r="K76" s="32">
        <f>IF(K42=0,0,K42/TrRoad_act!K46*100)</f>
        <v>17.764232292968831</v>
      </c>
      <c r="L76" s="32">
        <f>IF(L42=0,0,L42/TrRoad_act!L46*100)</f>
        <v>18.494056614615513</v>
      </c>
      <c r="M76" s="32">
        <f>IF(M42=0,0,M42/TrRoad_act!M46*100)</f>
        <v>17.847523414103602</v>
      </c>
      <c r="N76" s="32">
        <f>IF(N42=0,0,N42/TrRoad_act!N46*100)</f>
        <v>17.433211032054434</v>
      </c>
      <c r="O76" s="32">
        <f>IF(O42=0,0,O42/TrRoad_act!O46*100)</f>
        <v>19.49268208378005</v>
      </c>
      <c r="P76" s="32">
        <f>IF(P42=0,0,P42/TrRoad_act!P46*100)</f>
        <v>17.820235979806093</v>
      </c>
      <c r="Q76" s="32">
        <f>IF(Q42=0,0,Q42/TrRoad_act!Q46*100)</f>
        <v>16.838193821952625</v>
      </c>
      <c r="R76" s="32">
        <f>IF(R42=0,0,R42/TrRoad_act!R46*100)</f>
        <v>15.395548310854016</v>
      </c>
      <c r="S76" s="32">
        <f>IF(S42=0,0,S42/TrRoad_act!S46*100)</f>
        <v>17.454008403665483</v>
      </c>
      <c r="T76" s="32">
        <f>IF(T42=0,0,T42/TrRoad_act!T46*100)</f>
        <v>15.523707201877349</v>
      </c>
      <c r="U76" s="32">
        <f>IF(U42=0,0,U42/TrRoad_act!U46*100)</f>
        <v>17.132666779052119</v>
      </c>
      <c r="V76" s="32">
        <f>IF(V42=0,0,V42/TrRoad_act!V46*100)</f>
        <v>16.462245317094769</v>
      </c>
      <c r="W76" s="32">
        <f>IF(W42=0,0,W42/TrRoad_act!W46*100)</f>
        <v>15.755036020049108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10.329518498573361</v>
      </c>
      <c r="C77" s="141">
        <f>IF(C43=0,0,C43/TrRoad_act!C47*100)</f>
        <v>9.295470250652011</v>
      </c>
      <c r="D77" s="141">
        <f>IF(D43=0,0,D43/TrRoad_act!D47*100)</f>
        <v>9.4773716171947253</v>
      </c>
      <c r="E77" s="141">
        <f>IF(E43=0,0,E43/TrRoad_act!E47*100)</f>
        <v>9.3902922956301396</v>
      </c>
      <c r="F77" s="141">
        <f>IF(F43=0,0,F43/TrRoad_act!F47*100)</f>
        <v>9.2801293901028608</v>
      </c>
      <c r="G77" s="141">
        <f>IF(G43=0,0,G43/TrRoad_act!G47*100)</f>
        <v>9.3753088011149011</v>
      </c>
      <c r="H77" s="141">
        <f>IF(H43=0,0,H43/TrRoad_act!H47*100)</f>
        <v>9.0334843008023338</v>
      </c>
      <c r="I77" s="141">
        <f>IF(I43=0,0,I43/TrRoad_act!I47*100)</f>
        <v>9.0133616073229614</v>
      </c>
      <c r="J77" s="141">
        <f>IF(J43=0,0,J43/TrRoad_act!J47*100)</f>
        <v>8.9836673771424795</v>
      </c>
      <c r="K77" s="141">
        <f>IF(K43=0,0,K43/TrRoad_act!K47*100)</f>
        <v>8.9781379052865926</v>
      </c>
      <c r="L77" s="141">
        <f>IF(L43=0,0,L43/TrRoad_act!L47*100)</f>
        <v>8.9619618557138043</v>
      </c>
      <c r="M77" s="141">
        <f>IF(M43=0,0,M43/TrRoad_act!M47*100)</f>
        <v>8.8447260074082248</v>
      </c>
      <c r="N77" s="141">
        <f>IF(N43=0,0,N43/TrRoad_act!N47*100)</f>
        <v>8.8339342354621238</v>
      </c>
      <c r="O77" s="141">
        <f>IF(O43=0,0,O43/TrRoad_act!O47*100)</f>
        <v>8.6789698950656984</v>
      </c>
      <c r="P77" s="141">
        <f>IF(P43=0,0,P43/TrRoad_act!P47*100)</f>
        <v>8.3712160313844333</v>
      </c>
      <c r="Q77" s="141">
        <f>IF(Q43=0,0,Q43/TrRoad_act!Q47*100)</f>
        <v>8.1254373139999618</v>
      </c>
      <c r="R77" s="141">
        <f>IF(R43=0,0,R43/TrRoad_act!R47*100)</f>
        <v>7.8976876751716922</v>
      </c>
      <c r="S77" s="141">
        <f>IF(S43=0,0,S43/TrRoad_act!S47*100)</f>
        <v>8.1629763994404829</v>
      </c>
      <c r="T77" s="141">
        <f>IF(T43=0,0,T43/TrRoad_act!T47*100)</f>
        <v>7.9419454246275016</v>
      </c>
      <c r="U77" s="141">
        <f>IF(U43=0,0,U43/TrRoad_act!U47*100)</f>
        <v>8.0419131970787472</v>
      </c>
      <c r="V77" s="141">
        <f>IF(V43=0,0,V43/TrRoad_act!V47*100)</f>
        <v>7.9973345128464182</v>
      </c>
      <c r="W77" s="141">
        <f>IF(W43=0,0,W43/TrRoad_act!W47*100)</f>
        <v>8.0869480423805182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8.8679365909377275</v>
      </c>
      <c r="C78" s="96">
        <f>IF(C44=0,0,C44/TrRoad_act!C48*100)</f>
        <v>8.6811252926986562</v>
      </c>
      <c r="D78" s="96">
        <f>IF(D44=0,0,D44/TrRoad_act!D48*100)</f>
        <v>8.632924143956231</v>
      </c>
      <c r="E78" s="96">
        <f>IF(E44=0,0,E44/TrRoad_act!E48*100)</f>
        <v>8.5895869885783149</v>
      </c>
      <c r="F78" s="96">
        <f>IF(F44=0,0,F44/TrRoad_act!F48*100)</f>
        <v>8.5517972304646754</v>
      </c>
      <c r="G78" s="96">
        <f>IF(G44=0,0,G44/TrRoad_act!G48*100)</f>
        <v>8.5098241633834419</v>
      </c>
      <c r="H78" s="96">
        <f>IF(H44=0,0,H44/TrRoad_act!H48*100)</f>
        <v>8.4498964828685867</v>
      </c>
      <c r="I78" s="96">
        <f>IF(I44=0,0,I44/TrRoad_act!I48*100)</f>
        <v>8.3109313587628364</v>
      </c>
      <c r="J78" s="96">
        <f>IF(J44=0,0,J44/TrRoad_act!J48*100)</f>
        <v>8.2398977394421351</v>
      </c>
      <c r="K78" s="96">
        <f>IF(K44=0,0,K44/TrRoad_act!K48*100)</f>
        <v>8.1549256617403021</v>
      </c>
      <c r="L78" s="96">
        <f>IF(L44=0,0,L44/TrRoad_act!L48*100)</f>
        <v>8.0707656844572231</v>
      </c>
      <c r="M78" s="96">
        <f>IF(M44=0,0,M44/TrRoad_act!M48*100)</f>
        <v>8.0654849916768185</v>
      </c>
      <c r="N78" s="96">
        <f>IF(N44=0,0,N44/TrRoad_act!N48*100)</f>
        <v>7.9636061720937983</v>
      </c>
      <c r="O78" s="96">
        <f>IF(O44=0,0,O44/TrRoad_act!O48*100)</f>
        <v>7.9569674248351392</v>
      </c>
      <c r="P78" s="96">
        <f>IF(P44=0,0,P44/TrRoad_act!P48*100)</f>
        <v>7.9528209654232809</v>
      </c>
      <c r="Q78" s="96">
        <f>IF(Q44=0,0,Q44/TrRoad_act!Q48*100)</f>
        <v>7.9073361870142413</v>
      </c>
      <c r="R78" s="96">
        <f>IF(R44=0,0,R44/TrRoad_act!R48*100)</f>
        <v>7.8632400905147311</v>
      </c>
      <c r="S78" s="96">
        <f>IF(S44=0,0,S44/TrRoad_act!S48*100)</f>
        <v>7.8916056471281957</v>
      </c>
      <c r="T78" s="96">
        <f>IF(T44=0,0,T44/TrRoad_act!T48*100)</f>
        <v>7.8774689691739646</v>
      </c>
      <c r="U78" s="96">
        <f>IF(U44=0,0,U44/TrRoad_act!U48*100)</f>
        <v>7.8149918329096666</v>
      </c>
      <c r="V78" s="96">
        <f>IF(V44=0,0,V44/TrRoad_act!V48*100)</f>
        <v>7.7375190858307059</v>
      </c>
      <c r="W78" s="96">
        <f>IF(W44=0,0,W44/TrRoad_act!W48*100)</f>
        <v>7.5974394403505121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10.666585250841356</v>
      </c>
      <c r="C79" s="96">
        <f>IF(C46=0,0,C46/TrRoad_act!C49*100)</f>
        <v>9.4321840335675571</v>
      </c>
      <c r="D79" s="96">
        <f>IF(D46=0,0,D46/TrRoad_act!D49*100)</f>
        <v>9.6406915138193945</v>
      </c>
      <c r="E79" s="96">
        <f>IF(E46=0,0,E46/TrRoad_act!E49*100)</f>
        <v>9.5216159030068912</v>
      </c>
      <c r="F79" s="96">
        <f>IF(F46=0,0,F46/TrRoad_act!F49*100)</f>
        <v>9.3811480131743128</v>
      </c>
      <c r="G79" s="96">
        <f>IF(G46=0,0,G46/TrRoad_act!G49*100)</f>
        <v>9.4787081160045421</v>
      </c>
      <c r="H79" s="96">
        <f>IF(H46=0,0,H46/TrRoad_act!H49*100)</f>
        <v>9.0963552709738291</v>
      </c>
      <c r="I79" s="96">
        <f>IF(I46=0,0,I46/TrRoad_act!I49*100)</f>
        <v>9.0760073535169727</v>
      </c>
      <c r="J79" s="96">
        <f>IF(J46=0,0,J46/TrRoad_act!J49*100)</f>
        <v>9.0505493362844991</v>
      </c>
      <c r="K79" s="96">
        <f>IF(K46=0,0,K46/TrRoad_act!K49*100)</f>
        <v>9.0469506981236449</v>
      </c>
      <c r="L79" s="96">
        <f>IF(L46=0,0,L46/TrRoad_act!L49*100)</f>
        <v>9.0317157827969634</v>
      </c>
      <c r="M79" s="96">
        <f>IF(M46=0,0,M46/TrRoad_act!M49*100)</f>
        <v>8.90304752292346</v>
      </c>
      <c r="N79" s="96">
        <f>IF(N46=0,0,N46/TrRoad_act!N49*100)</f>
        <v>8.8852288108500677</v>
      </c>
      <c r="O79" s="96">
        <f>IF(O46=0,0,O46/TrRoad_act!O49*100)</f>
        <v>8.7223732030431051</v>
      </c>
      <c r="P79" s="96">
        <f>IF(P46=0,0,P46/TrRoad_act!P49*100)</f>
        <v>8.3999411343918684</v>
      </c>
      <c r="Q79" s="96">
        <f>IF(Q46=0,0,Q46/TrRoad_act!Q49*100)</f>
        <v>8.1431671462034991</v>
      </c>
      <c r="R79" s="96">
        <f>IF(R46=0,0,R46/TrRoad_act!R49*100)</f>
        <v>7.908445995001494</v>
      </c>
      <c r="S79" s="96">
        <f>IF(S46=0,0,S46/TrRoad_act!S49*100)</f>
        <v>8.181903086637341</v>
      </c>
      <c r="T79" s="96">
        <f>IF(T46=0,0,T46/TrRoad_act!T49*100)</f>
        <v>7.9522621463857384</v>
      </c>
      <c r="U79" s="96">
        <f>IF(U46=0,0,U46/TrRoad_act!U49*100)</f>
        <v>8.0572269953983415</v>
      </c>
      <c r="V79" s="96">
        <f>IF(V46=0,0,V46/TrRoad_act!V49*100)</f>
        <v>8.0151665531436453</v>
      </c>
      <c r="W79" s="96">
        <f>IF(W46=0,0,W46/TrRoad_act!W49*100)</f>
        <v>8.1102411577919291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6.679001371152971</v>
      </c>
      <c r="J80" s="96">
        <f>IF(J48=0,0,J48/TrRoad_act!J50*100)</f>
        <v>6.5280542599612552</v>
      </c>
      <c r="K80" s="96">
        <f>IF(K48=0,0,K48/TrRoad_act!K50*100)</f>
        <v>6.5016695407337819</v>
      </c>
      <c r="L80" s="96">
        <f>IF(L48=0,0,L48/TrRoad_act!L50*100)</f>
        <v>6.4740475484278122</v>
      </c>
      <c r="M80" s="96">
        <f>IF(M48=0,0,M48/TrRoad_act!M50*100)</f>
        <v>6.4627731843500555</v>
      </c>
      <c r="N80" s="96">
        <f>IF(N48=0,0,N48/TrRoad_act!N50*100)</f>
        <v>6.4586180971896585</v>
      </c>
      <c r="O80" s="96">
        <f>IF(O48=0,0,O48/TrRoad_act!O50*100)</f>
        <v>6.4180360944575634</v>
      </c>
      <c r="P80" s="96">
        <f>IF(P48=0,0,P48/TrRoad_act!P50*100)</f>
        <v>6.3963484954574215</v>
      </c>
      <c r="Q80" s="96">
        <f>IF(Q48=0,0,Q48/TrRoad_act!Q50*100)</f>
        <v>6.3882914372953303</v>
      </c>
      <c r="R80" s="96">
        <f>IF(R48=0,0,R48/TrRoad_act!R50*100)</f>
        <v>6.3507042093719752</v>
      </c>
      <c r="S80" s="96">
        <f>IF(S48=0,0,S48/TrRoad_act!S50*100)</f>
        <v>6.6097454488718359</v>
      </c>
      <c r="T80" s="96">
        <f>IF(T48=0,0,T48/TrRoad_act!T50*100)</f>
        <v>6.7104889359886286</v>
      </c>
      <c r="U80" s="96">
        <f>IF(U48=0,0,U48/TrRoad_act!U50*100)</f>
        <v>6.7491268926894765</v>
      </c>
      <c r="V80" s="96">
        <f>IF(V48=0,0,V48/TrRoad_act!V50*100)</f>
        <v>6.8403628204425155</v>
      </c>
      <c r="W80" s="96">
        <f>IF(W48=0,0,W48/TrRoad_act!W50*100)</f>
        <v>7.0204229522136137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9.0319488335678351</v>
      </c>
      <c r="L81" s="96">
        <f>IF(L49=0,0,L49/TrRoad_act!L51*100)</f>
        <v>9.0212638728412688</v>
      </c>
      <c r="M81" s="96">
        <f>IF(M49=0,0,M49/TrRoad_act!M51*100)</f>
        <v>9.0133311989952052</v>
      </c>
      <c r="N81" s="96">
        <f>IF(N49=0,0,N49/TrRoad_act!N51*100)</f>
        <v>8.8951970943151402</v>
      </c>
      <c r="O81" s="96">
        <f>IF(O49=0,0,O49/TrRoad_act!O51*100)</f>
        <v>8.8951970943151366</v>
      </c>
      <c r="P81" s="96">
        <f>IF(P49=0,0,P49/TrRoad_act!P51*100)</f>
        <v>8.879217363999123</v>
      </c>
      <c r="Q81" s="96">
        <f>IF(Q49=0,0,Q49/TrRoad_act!Q51*100)</f>
        <v>8.8463806474995526</v>
      </c>
      <c r="R81" s="96">
        <f>IF(R49=0,0,R49/TrRoad_act!R51*100)</f>
        <v>8.7217001450622149</v>
      </c>
      <c r="S81" s="96">
        <f>IF(S49=0,0,S49/TrRoad_act!S51*100)</f>
        <v>9.0025160013956764</v>
      </c>
      <c r="T81" s="96">
        <f>IF(T49=0,0,T49/TrRoad_act!T51*100)</f>
        <v>8.9751411882820022</v>
      </c>
      <c r="U81" s="96">
        <f>IF(U49=0,0,U49/TrRoad_act!U51*100)</f>
        <v>8.9717735391540945</v>
      </c>
      <c r="V81" s="96">
        <f>IF(V49=0,0,V49/TrRoad_act!V51*100)</f>
        <v>8.9224119124786903</v>
      </c>
      <c r="W81" s="96">
        <f>IF(W49=0,0,W49/TrRoad_act!W51*100)</f>
        <v>9.0353551173725517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1.8522646210307518</v>
      </c>
      <c r="F82" s="96">
        <f>IF(F51=0,0,F51/TrRoad_act!F52*100)</f>
        <v>1.8522646210307514</v>
      </c>
      <c r="G82" s="96">
        <f>IF(G51=0,0,G51/TrRoad_act!G52*100)</f>
        <v>1.8125322648658941</v>
      </c>
      <c r="H82" s="96">
        <f>IF(H51=0,0,H51/TrRoad_act!H52*100)</f>
        <v>1.8125322648658941</v>
      </c>
      <c r="I82" s="96">
        <f>IF(I51=0,0,I51/TrRoad_act!I52*100)</f>
        <v>1.8125322648658941</v>
      </c>
      <c r="J82" s="96">
        <f>IF(J51=0,0,J51/TrRoad_act!J52*100)</f>
        <v>1.7788441167805802</v>
      </c>
      <c r="K82" s="96">
        <f>IF(K51=0,0,K51/TrRoad_act!K52*100)</f>
        <v>1.7716303613859685</v>
      </c>
      <c r="L82" s="96">
        <f>IF(L51=0,0,L51/TrRoad_act!L52*100)</f>
        <v>1.7716303613859687</v>
      </c>
      <c r="M82" s="96">
        <f>IF(M51=0,0,M51/TrRoad_act!M52*100)</f>
        <v>1.7575508986490553</v>
      </c>
      <c r="N82" s="96">
        <f>IF(N51=0,0,N51/TrRoad_act!N52*100)</f>
        <v>1.7610465383993159</v>
      </c>
      <c r="O82" s="96">
        <f>IF(O51=0,0,O51/TrRoad_act!O52*100)</f>
        <v>1.7610465383993161</v>
      </c>
      <c r="P82" s="96">
        <f>IF(P51=0,0,P51/TrRoad_act!P52*100)</f>
        <v>1.773211254439043</v>
      </c>
      <c r="Q82" s="96">
        <f>IF(Q51=0,0,Q51/TrRoad_act!Q52*100)</f>
        <v>1.9401240411004117</v>
      </c>
      <c r="R82" s="96">
        <f>IF(R51=0,0,R51/TrRoad_act!R52*100)</f>
        <v>1.9620210705536656</v>
      </c>
      <c r="S82" s="96">
        <f>IF(S51=0,0,S51/TrRoad_act!S52*100)</f>
        <v>1.8922670194684699</v>
      </c>
      <c r="T82" s="96">
        <f>IF(T51=0,0,T51/TrRoad_act!T52*100)</f>
        <v>1.8682365591784909</v>
      </c>
      <c r="U82" s="96">
        <f>IF(U51=0,0,U51/TrRoad_act!U52*100)</f>
        <v>1.8621010264741005</v>
      </c>
      <c r="V82" s="96">
        <f>IF(V51=0,0,V51/TrRoad_act!V52*100)</f>
        <v>2.0781561179554981</v>
      </c>
      <c r="W82" s="96">
        <f>IF(W51=0,0,W51/TrRoad_act!W52*100)</f>
        <v>2.2160654513528755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28.743815161925102</v>
      </c>
      <c r="C83" s="130">
        <f>IF(C52=0,0,C52/TrRoad_act!C53*100)</f>
        <v>23.40735972342646</v>
      </c>
      <c r="D83" s="130">
        <f>IF(D52=0,0,D52/TrRoad_act!D53*100)</f>
        <v>28.013758532951083</v>
      </c>
      <c r="E83" s="130">
        <f>IF(E52=0,0,E52/TrRoad_act!E53*100)</f>
        <v>28.992530852259375</v>
      </c>
      <c r="F83" s="130">
        <f>IF(F52=0,0,F52/TrRoad_act!F53*100)</f>
        <v>29.126563957869273</v>
      </c>
      <c r="G83" s="130">
        <f>IF(G52=0,0,G52/TrRoad_act!G53*100)</f>
        <v>28.826491543174125</v>
      </c>
      <c r="H83" s="130">
        <f>IF(H52=0,0,H52/TrRoad_act!H53*100)</f>
        <v>29.004727543604574</v>
      </c>
      <c r="I83" s="130">
        <f>IF(I52=0,0,I52/TrRoad_act!I53*100)</f>
        <v>30.324617772155438</v>
      </c>
      <c r="J83" s="130">
        <f>IF(J52=0,0,J52/TrRoad_act!J53*100)</f>
        <v>31.176763770776279</v>
      </c>
      <c r="K83" s="130">
        <f>IF(K52=0,0,K52/TrRoad_act!K53*100)</f>
        <v>33.214366393310016</v>
      </c>
      <c r="L83" s="130">
        <f>IF(L52=0,0,L52/TrRoad_act!L53*100)</f>
        <v>34.890186117590353</v>
      </c>
      <c r="M83" s="130">
        <f>IF(M52=0,0,M52/TrRoad_act!M53*100)</f>
        <v>33.459661263812585</v>
      </c>
      <c r="N83" s="130">
        <f>IF(N52=0,0,N52/TrRoad_act!N53*100)</f>
        <v>32.342569359621528</v>
      </c>
      <c r="O83" s="130">
        <f>IF(O52=0,0,O52/TrRoad_act!O53*100)</f>
        <v>37.865400180421737</v>
      </c>
      <c r="P83" s="130">
        <f>IF(P52=0,0,P52/TrRoad_act!P53*100)</f>
        <v>34.245901707722666</v>
      </c>
      <c r="Q83" s="130">
        <f>IF(Q52=0,0,Q52/TrRoad_act!Q53*100)</f>
        <v>33.386367917535907</v>
      </c>
      <c r="R83" s="130">
        <f>IF(R52=0,0,R52/TrRoad_act!R53*100)</f>
        <v>30.231248502547931</v>
      </c>
      <c r="S83" s="130">
        <f>IF(S52=0,0,S52/TrRoad_act!S53*100)</f>
        <v>35.732811292118313</v>
      </c>
      <c r="T83" s="130">
        <f>IF(T52=0,0,T52/TrRoad_act!T53*100)</f>
        <v>32.32983342431519</v>
      </c>
      <c r="U83" s="130">
        <f>IF(U52=0,0,U52/TrRoad_act!U53*100)</f>
        <v>39.429030319178274</v>
      </c>
      <c r="V83" s="130">
        <f>IF(V52=0,0,V52/TrRoad_act!V53*100)</f>
        <v>37.401063785588192</v>
      </c>
      <c r="W83" s="130">
        <f>IF(W52=0,0,W52/TrRoad_act!W53*100)</f>
        <v>35.788724233192355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32.124953040780952</v>
      </c>
      <c r="C84" s="97">
        <f>IF(C53=0,0,C53/TrRoad_act!C54*100)</f>
        <v>30.388452424416933</v>
      </c>
      <c r="D84" s="97">
        <f>IF(D53=0,0,D53/TrRoad_act!D54*100)</f>
        <v>31.665654772709711</v>
      </c>
      <c r="E84" s="97">
        <f>IF(E53=0,0,E53/TrRoad_act!E54*100)</f>
        <v>31.90573452974667</v>
      </c>
      <c r="F84" s="97">
        <f>IF(F53=0,0,F53/TrRoad_act!F54*100)</f>
        <v>31.901272380818028</v>
      </c>
      <c r="G84" s="97">
        <f>IF(G53=0,0,G53/TrRoad_act!G54*100)</f>
        <v>31.782818637424576</v>
      </c>
      <c r="H84" s="97">
        <f>IF(H53=0,0,H53/TrRoad_act!H54*100)</f>
        <v>31.77648510087241</v>
      </c>
      <c r="I84" s="97">
        <f>IF(I53=0,0,I53/TrRoad_act!I54*100)</f>
        <v>32.099838840487919</v>
      </c>
      <c r="J84" s="97">
        <f>IF(J53=0,0,J53/TrRoad_act!J54*100)</f>
        <v>32.438869048250147</v>
      </c>
      <c r="K84" s="97">
        <f>IF(K53=0,0,K53/TrRoad_act!K54*100)</f>
        <v>32.865940393744417</v>
      </c>
      <c r="L84" s="97">
        <f>IF(L53=0,0,L53/TrRoad_act!L54*100)</f>
        <v>33.337325638841605</v>
      </c>
      <c r="M84" s="97">
        <f>IF(M53=0,0,M53/TrRoad_act!M54*100)</f>
        <v>32.880565725756021</v>
      </c>
      <c r="N84" s="97">
        <f>IF(N53=0,0,N53/TrRoad_act!N54*100)</f>
        <v>32.485111626733712</v>
      </c>
      <c r="O84" s="97">
        <f>IF(O53=0,0,O53/TrRoad_act!O54*100)</f>
        <v>33.949337061418788</v>
      </c>
      <c r="P84" s="97">
        <f>IF(P53=0,0,P53/TrRoad_act!P54*100)</f>
        <v>32.731214750531329</v>
      </c>
      <c r="Q84" s="97">
        <f>IF(Q53=0,0,Q53/TrRoad_act!Q54*100)</f>
        <v>32.245822861980841</v>
      </c>
      <c r="R84" s="97">
        <f>IF(R53=0,0,R53/TrRoad_act!R54*100)</f>
        <v>31.188723418968813</v>
      </c>
      <c r="S84" s="97">
        <f>IF(S53=0,0,S53/TrRoad_act!S54*100)</f>
        <v>32.491068349719221</v>
      </c>
      <c r="T84" s="97">
        <f>IF(T53=0,0,T53/TrRoad_act!T54*100)</f>
        <v>31.247723081307626</v>
      </c>
      <c r="U84" s="97">
        <f>IF(U53=0,0,U53/TrRoad_act!U54*100)</f>
        <v>33.035643671908232</v>
      </c>
      <c r="V84" s="97">
        <f>IF(V53=0,0,V53/TrRoad_act!V54*100)</f>
        <v>32.243485489024323</v>
      </c>
      <c r="W84" s="97">
        <f>IF(W53=0,0,W53/TrRoad_act!W54*100)</f>
        <v>31.60667429602227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26.657557679599485</v>
      </c>
      <c r="C85" s="98">
        <f>IF(C55=0,0,C55/TrRoad_act!C55*100)</f>
        <v>16.689132857708312</v>
      </c>
      <c r="D85" s="98">
        <f>IF(D55=0,0,D55/TrRoad_act!D55*100)</f>
        <v>23.577915851570669</v>
      </c>
      <c r="E85" s="98">
        <f>IF(E55=0,0,E55/TrRoad_act!E55*100)</f>
        <v>24.910471892424688</v>
      </c>
      <c r="F85" s="98">
        <f>IF(F55=0,0,F55/TrRoad_act!F55*100)</f>
        <v>25.639726353010655</v>
      </c>
      <c r="G85" s="98">
        <f>IF(G55=0,0,G55/TrRoad_act!G55*100)</f>
        <v>25.22655173781596</v>
      </c>
      <c r="H85" s="98">
        <f>IF(H55=0,0,H55/TrRoad_act!H55*100)</f>
        <v>24.560169318921389</v>
      </c>
      <c r="I85" s="98">
        <f>IF(I55=0,0,I55/TrRoad_act!I55*100)</f>
        <v>27.700181532635042</v>
      </c>
      <c r="J85" s="98">
        <f>IF(J55=0,0,J55/TrRoad_act!J55*100)</f>
        <v>28.008353802855922</v>
      </c>
      <c r="K85" s="98">
        <f>IF(K55=0,0,K55/TrRoad_act!K55*100)</f>
        <v>34.064402021426744</v>
      </c>
      <c r="L85" s="98">
        <f>IF(L55=0,0,L55/TrRoad_act!L55*100)</f>
        <v>38.578103182474287</v>
      </c>
      <c r="M85" s="98">
        <f>IF(M55=0,0,M55/TrRoad_act!M55*100)</f>
        <v>34.827085761427576</v>
      </c>
      <c r="N85" s="98">
        <f>IF(N55=0,0,N55/TrRoad_act!N55*100)</f>
        <v>32.02126568727379</v>
      </c>
      <c r="O85" s="98">
        <f>IF(O55=0,0,O55/TrRoad_act!O55*100)</f>
        <v>46.427963245082701</v>
      </c>
      <c r="P85" s="98">
        <f>IF(P55=0,0,P55/TrRoad_act!P55*100)</f>
        <v>37.150168408941234</v>
      </c>
      <c r="Q85" s="98">
        <f>IF(Q55=0,0,Q55/TrRoad_act!Q55*100)</f>
        <v>35.30043219524552</v>
      </c>
      <c r="R85" s="98">
        <f>IF(R55=0,0,R55/TrRoad_act!R55*100)</f>
        <v>28.645330401058004</v>
      </c>
      <c r="S85" s="98">
        <f>IF(S55=0,0,S55/TrRoad_act!S55*100)</f>
        <v>40.338467344570844</v>
      </c>
      <c r="T85" s="98">
        <f>IF(T55=0,0,T55/TrRoad_act!T55*100)</f>
        <v>33.857029102532906</v>
      </c>
      <c r="U85" s="98">
        <f>IF(U55=0,0,U55/TrRoad_act!U55*100)</f>
        <v>49.663173270331001</v>
      </c>
      <c r="V85" s="98">
        <f>IF(V55=0,0,V55/TrRoad_act!V55*100)</f>
        <v>45.55828644042483</v>
      </c>
      <c r="W85" s="98">
        <f>IF(W55=0,0,W55/TrRoad_act!W55*100)</f>
        <v>43.565758819945152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49.733382290449271</v>
      </c>
      <c r="C88" s="29">
        <f>IF(TrRoad_act!C4=0,0,C18/TrRoad_act!C4*1000)</f>
        <v>47.272144099114513</v>
      </c>
      <c r="D88" s="29">
        <f>IF(TrRoad_act!D4=0,0,D18/TrRoad_act!D4*1000)</f>
        <v>45.933443202577983</v>
      </c>
      <c r="E88" s="29">
        <f>IF(TrRoad_act!E4=0,0,E18/TrRoad_act!E4*1000)</f>
        <v>47.97268884938741</v>
      </c>
      <c r="F88" s="29">
        <f>IF(TrRoad_act!F4=0,0,F18/TrRoad_act!F4*1000)</f>
        <v>47.12287363001446</v>
      </c>
      <c r="G88" s="29">
        <f>IF(TrRoad_act!G4=0,0,G18/TrRoad_act!G4*1000)</f>
        <v>47.959980189915932</v>
      </c>
      <c r="H88" s="29">
        <f>IF(TrRoad_act!H4=0,0,H18/TrRoad_act!H4*1000)</f>
        <v>48.980381777363647</v>
      </c>
      <c r="I88" s="29">
        <f>IF(TrRoad_act!I4=0,0,I18/TrRoad_act!I4*1000)</f>
        <v>51.301449600154648</v>
      </c>
      <c r="J88" s="29">
        <f>IF(TrRoad_act!J4=0,0,J18/TrRoad_act!J4*1000)</f>
        <v>48.370863716168735</v>
      </c>
      <c r="K88" s="29">
        <f>IF(TrRoad_act!K4=0,0,K18/TrRoad_act!K4*1000)</f>
        <v>50.607700927228365</v>
      </c>
      <c r="L88" s="29">
        <f>IF(TrRoad_act!L4=0,0,L18/TrRoad_act!L4*1000)</f>
        <v>50.541782062561673</v>
      </c>
      <c r="M88" s="29">
        <f>IF(TrRoad_act!M4=0,0,M18/TrRoad_act!M4*1000)</f>
        <v>50.741801756144348</v>
      </c>
      <c r="N88" s="29">
        <f>IF(TrRoad_act!N4=0,0,N18/TrRoad_act!N4*1000)</f>
        <v>48.886147062203115</v>
      </c>
      <c r="O88" s="29">
        <f>IF(TrRoad_act!O4=0,0,O18/TrRoad_act!O4*1000)</f>
        <v>47.602628961734631</v>
      </c>
      <c r="P88" s="29">
        <f>IF(TrRoad_act!P4=0,0,P18/TrRoad_act!P4*1000)</f>
        <v>48.033414601324225</v>
      </c>
      <c r="Q88" s="29">
        <f>IF(TrRoad_act!Q4=0,0,Q18/TrRoad_act!Q4*1000)</f>
        <v>50.498480727123535</v>
      </c>
      <c r="R88" s="29">
        <f>IF(TrRoad_act!R4=0,0,R18/TrRoad_act!R4*1000)</f>
        <v>52.156776752853155</v>
      </c>
      <c r="S88" s="29">
        <f>IF(TrRoad_act!S4=0,0,S18/TrRoad_act!S4*1000)</f>
        <v>53.202188225468568</v>
      </c>
      <c r="T88" s="29">
        <f>IF(TrRoad_act!T4=0,0,T18/TrRoad_act!T4*1000)</f>
        <v>53.784240726371756</v>
      </c>
      <c r="U88" s="29">
        <f>IF(TrRoad_act!U4=0,0,U18/TrRoad_act!U4*1000)</f>
        <v>54.584169590787994</v>
      </c>
      <c r="V88" s="29">
        <f>IF(TrRoad_act!V4=0,0,V18/TrRoad_act!V4*1000)</f>
        <v>61.013918407132529</v>
      </c>
      <c r="W88" s="29">
        <f>IF(TrRoad_act!W4=0,0,W18/TrRoad_act!W4*1000)</f>
        <v>59.277254133479005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34.57949676236332</v>
      </c>
      <c r="C89" s="152">
        <f>IF(TrRoad_act!C5=0,0,C19/TrRoad_act!C5*1000)</f>
        <v>34.509130625429478</v>
      </c>
      <c r="D89" s="152">
        <f>IF(TrRoad_act!D5=0,0,D19/TrRoad_act!D5*1000)</f>
        <v>34.043105130703132</v>
      </c>
      <c r="E89" s="152">
        <f>IF(TrRoad_act!E5=0,0,E19/TrRoad_act!E5*1000)</f>
        <v>32.949803920899541</v>
      </c>
      <c r="F89" s="152">
        <f>IF(TrRoad_act!F5=0,0,F19/TrRoad_act!F5*1000)</f>
        <v>32.134413221257411</v>
      </c>
      <c r="G89" s="152">
        <f>IF(TrRoad_act!G5=0,0,G19/TrRoad_act!G5*1000)</f>
        <v>31.394617167897128</v>
      </c>
      <c r="H89" s="152">
        <f>IF(TrRoad_act!H5=0,0,H19/TrRoad_act!H5*1000)</f>
        <v>30.804531830634751</v>
      </c>
      <c r="I89" s="152">
        <f>IF(TrRoad_act!I5=0,0,I19/TrRoad_act!I5*1000)</f>
        <v>30.439034612486299</v>
      </c>
      <c r="J89" s="152">
        <f>IF(TrRoad_act!J5=0,0,J19/TrRoad_act!J5*1000)</f>
        <v>30.138534301703618</v>
      </c>
      <c r="K89" s="152">
        <f>IF(TrRoad_act!K5=0,0,K19/TrRoad_act!K5*1000)</f>
        <v>29.931375417629507</v>
      </c>
      <c r="L89" s="152">
        <f>IF(TrRoad_act!L5=0,0,L19/TrRoad_act!L5*1000)</f>
        <v>29.816402455966475</v>
      </c>
      <c r="M89" s="152">
        <f>IF(TrRoad_act!M5=0,0,M19/TrRoad_act!M5*1000)</f>
        <v>29.664891328918383</v>
      </c>
      <c r="N89" s="152">
        <f>IF(TrRoad_act!N5=0,0,N19/TrRoad_act!N5*1000)</f>
        <v>29.782920354494625</v>
      </c>
      <c r="O89" s="152">
        <f>IF(TrRoad_act!O5=0,0,O19/TrRoad_act!O5*1000)</f>
        <v>29.582772436294483</v>
      </c>
      <c r="P89" s="152">
        <f>IF(TrRoad_act!P5=0,0,P19/TrRoad_act!P5*1000)</f>
        <v>29.28348842050438</v>
      </c>
      <c r="Q89" s="152">
        <f>IF(TrRoad_act!Q5=0,0,Q19/TrRoad_act!Q5*1000)</f>
        <v>29.207263548158558</v>
      </c>
      <c r="R89" s="152">
        <f>IF(TrRoad_act!R5=0,0,R19/TrRoad_act!R5*1000)</f>
        <v>29.080108580224529</v>
      </c>
      <c r="S89" s="152">
        <f>IF(TrRoad_act!S5=0,0,S19/TrRoad_act!S5*1000)</f>
        <v>29.113250730278171</v>
      </c>
      <c r="T89" s="152">
        <f>IF(TrRoad_act!T5=0,0,T19/TrRoad_act!T5*1000)</f>
        <v>28.923275768406789</v>
      </c>
      <c r="U89" s="152">
        <f>IF(TrRoad_act!U5=0,0,U19/TrRoad_act!U5*1000)</f>
        <v>28.854248846107268</v>
      </c>
      <c r="V89" s="152">
        <f>IF(TrRoad_act!V5=0,0,V19/TrRoad_act!V5*1000)</f>
        <v>28.884374023347124</v>
      </c>
      <c r="W89" s="152">
        <f>IF(TrRoad_act!W5=0,0,W19/TrRoad_act!W5*1000)</f>
        <v>27.698423727710789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49.296010100449976</v>
      </c>
      <c r="C90" s="116">
        <f>IF(TrRoad_act!C6=0,0,C21/TrRoad_act!C6*1000)</f>
        <v>47.061063423370499</v>
      </c>
      <c r="D90" s="116">
        <f>IF(TrRoad_act!D6=0,0,D21/TrRoad_act!D6*1000)</f>
        <v>45.768610308262538</v>
      </c>
      <c r="E90" s="116">
        <f>IF(TrRoad_act!E6=0,0,E21/TrRoad_act!E6*1000)</f>
        <v>48.478059438991949</v>
      </c>
      <c r="F90" s="116">
        <f>IF(TrRoad_act!F6=0,0,F21/TrRoad_act!F6*1000)</f>
        <v>47.014421286474267</v>
      </c>
      <c r="G90" s="116">
        <f>IF(TrRoad_act!G6=0,0,G21/TrRoad_act!G6*1000)</f>
        <v>48.116026152024702</v>
      </c>
      <c r="H90" s="116">
        <f>IF(TrRoad_act!H6=0,0,H21/TrRoad_act!H6*1000)</f>
        <v>49.601401189356508</v>
      </c>
      <c r="I90" s="116">
        <f>IF(TrRoad_act!I6=0,0,I21/TrRoad_act!I6*1000)</f>
        <v>52.572623589255315</v>
      </c>
      <c r="J90" s="116">
        <f>IF(TrRoad_act!J6=0,0,J21/TrRoad_act!J6*1000)</f>
        <v>49.699758981446813</v>
      </c>
      <c r="K90" s="116">
        <f>IF(TrRoad_act!K6=0,0,K21/TrRoad_act!K6*1000)</f>
        <v>50.930852964076685</v>
      </c>
      <c r="L90" s="116">
        <f>IF(TrRoad_act!L6=0,0,L21/TrRoad_act!L6*1000)</f>
        <v>50.49647873159288</v>
      </c>
      <c r="M90" s="116">
        <f>IF(TrRoad_act!M6=0,0,M21/TrRoad_act!M6*1000)</f>
        <v>50.809477257074988</v>
      </c>
      <c r="N90" s="116">
        <f>IF(TrRoad_act!N6=0,0,N21/TrRoad_act!N6*1000)</f>
        <v>49.025054420084366</v>
      </c>
      <c r="O90" s="116">
        <f>IF(TrRoad_act!O6=0,0,O21/TrRoad_act!O6*1000)</f>
        <v>47.991326557560555</v>
      </c>
      <c r="P90" s="116">
        <f>IF(TrRoad_act!P6=0,0,P21/TrRoad_act!P6*1000)</f>
        <v>48.663231851679299</v>
      </c>
      <c r="Q90" s="116">
        <f>IF(TrRoad_act!Q6=0,0,Q21/TrRoad_act!Q6*1000)</f>
        <v>50.576804185407148</v>
      </c>
      <c r="R90" s="116">
        <f>IF(TrRoad_act!R6=0,0,R21/TrRoad_act!R6*1000)</f>
        <v>53.019732488120695</v>
      </c>
      <c r="S90" s="116">
        <f>IF(TrRoad_act!S6=0,0,S21/TrRoad_act!S6*1000)</f>
        <v>54.543308970298824</v>
      </c>
      <c r="T90" s="116">
        <f>IF(TrRoad_act!T6=0,0,T21/TrRoad_act!T6*1000)</f>
        <v>54.485073365039248</v>
      </c>
      <c r="U90" s="116">
        <f>IF(TrRoad_act!U6=0,0,U21/TrRoad_act!U6*1000)</f>
        <v>57.003497685304374</v>
      </c>
      <c r="V90" s="116">
        <f>IF(TrRoad_act!V6=0,0,V21/TrRoad_act!V6*1000)</f>
        <v>61.750252253672222</v>
      </c>
      <c r="W90" s="116">
        <f>IF(TrRoad_act!W6=0,0,W21/TrRoad_act!W6*1000)</f>
        <v>59.973808771256266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51.355027629628111</v>
      </c>
      <c r="C91" s="87">
        <f>IF(TrRoad_act!C7=0,0,C22/TrRoad_act!C7*1000)</f>
        <v>47.738333765705306</v>
      </c>
      <c r="D91" s="87">
        <f>IF(TrRoad_act!D7=0,0,D22/TrRoad_act!D7*1000)</f>
        <v>47.530978687212198</v>
      </c>
      <c r="E91" s="87">
        <f>IF(TrRoad_act!E7=0,0,E22/TrRoad_act!E7*1000)</f>
        <v>50.878453868778529</v>
      </c>
      <c r="F91" s="87">
        <f>IF(TrRoad_act!F7=0,0,F22/TrRoad_act!F7*1000)</f>
        <v>49.731521002371977</v>
      </c>
      <c r="G91" s="87">
        <f>IF(TrRoad_act!G7=0,0,G22/TrRoad_act!G7*1000)</f>
        <v>51.320519634822077</v>
      </c>
      <c r="H91" s="87">
        <f>IF(TrRoad_act!H7=0,0,H22/TrRoad_act!H7*1000)</f>
        <v>54.013581405544315</v>
      </c>
      <c r="I91" s="87">
        <f>IF(TrRoad_act!I7=0,0,I22/TrRoad_act!I7*1000)</f>
        <v>57.287321538375586</v>
      </c>
      <c r="J91" s="87">
        <f>IF(TrRoad_act!J7=0,0,J22/TrRoad_act!J7*1000)</f>
        <v>49.128133360811255</v>
      </c>
      <c r="K91" s="87">
        <f>IF(TrRoad_act!K7=0,0,K22/TrRoad_act!K7*1000)</f>
        <v>49.91300936363497</v>
      </c>
      <c r="L91" s="87">
        <f>IF(TrRoad_act!L7=0,0,L22/TrRoad_act!L7*1000)</f>
        <v>49.044590426596166</v>
      </c>
      <c r="M91" s="87">
        <f>IF(TrRoad_act!M7=0,0,M22/TrRoad_act!M7*1000)</f>
        <v>50.187107249186845</v>
      </c>
      <c r="N91" s="87">
        <f>IF(TrRoad_act!N7=0,0,N22/TrRoad_act!N7*1000)</f>
        <v>46.754401671129891</v>
      </c>
      <c r="O91" s="87">
        <f>IF(TrRoad_act!O7=0,0,O22/TrRoad_act!O7*1000)</f>
        <v>47.475940080684161</v>
      </c>
      <c r="P91" s="87">
        <f>IF(TrRoad_act!P7=0,0,P22/TrRoad_act!P7*1000)</f>
        <v>48.817818416041895</v>
      </c>
      <c r="Q91" s="87">
        <f>IF(TrRoad_act!Q7=0,0,Q22/TrRoad_act!Q7*1000)</f>
        <v>49.734859019168042</v>
      </c>
      <c r="R91" s="87">
        <f>IF(TrRoad_act!R7=0,0,R22/TrRoad_act!R7*1000)</f>
        <v>53.634232376353125</v>
      </c>
      <c r="S91" s="87">
        <f>IF(TrRoad_act!S7=0,0,S22/TrRoad_act!S7*1000)</f>
        <v>53.41598199416925</v>
      </c>
      <c r="T91" s="87">
        <f>IF(TrRoad_act!T7=0,0,T22/TrRoad_act!T7*1000)</f>
        <v>53.552447570786711</v>
      </c>
      <c r="U91" s="87">
        <f>IF(TrRoad_act!U7=0,0,U22/TrRoad_act!U7*1000)</f>
        <v>54.400778886441792</v>
      </c>
      <c r="V91" s="87">
        <f>IF(TrRoad_act!V7=0,0,V22/TrRoad_act!V7*1000)</f>
        <v>58.954155303942883</v>
      </c>
      <c r="W91" s="87">
        <f>IF(TrRoad_act!W7=0,0,W22/TrRoad_act!W7*1000)</f>
        <v>58.089010945126773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42.23657503522103</v>
      </c>
      <c r="C92" s="87">
        <f>IF(TrRoad_act!C8=0,0,C24/TrRoad_act!C8*1000)</f>
        <v>45.018885127241916</v>
      </c>
      <c r="D92" s="87">
        <f>IF(TrRoad_act!D8=0,0,D24/TrRoad_act!D8*1000)</f>
        <v>40.677661450745795</v>
      </c>
      <c r="E92" s="87">
        <f>IF(TrRoad_act!E8=0,0,E24/TrRoad_act!E8*1000)</f>
        <v>43.628151242362527</v>
      </c>
      <c r="F92" s="87">
        <f>IF(TrRoad_act!F8=0,0,F24/TrRoad_act!F8*1000)</f>
        <v>42.467805268164227</v>
      </c>
      <c r="G92" s="87">
        <f>IF(TrRoad_act!G8=0,0,G24/TrRoad_act!G8*1000)</f>
        <v>43.681105192049081</v>
      </c>
      <c r="H92" s="87">
        <f>IF(TrRoad_act!H8=0,0,H24/TrRoad_act!H8*1000)</f>
        <v>44.880492009218266</v>
      </c>
      <c r="I92" s="87">
        <f>IF(TrRoad_act!I8=0,0,I24/TrRoad_act!I8*1000)</f>
        <v>48.766306358417687</v>
      </c>
      <c r="J92" s="87">
        <f>IF(TrRoad_act!J8=0,0,J24/TrRoad_act!J8*1000)</f>
        <v>51.156740828969632</v>
      </c>
      <c r="K92" s="87">
        <f>IF(TrRoad_act!K8=0,0,K24/TrRoad_act!K8*1000)</f>
        <v>53.686048082284493</v>
      </c>
      <c r="L92" s="87">
        <f>IF(TrRoad_act!L8=0,0,L24/TrRoad_act!L8*1000)</f>
        <v>53.312879502810695</v>
      </c>
      <c r="M92" s="87">
        <f>IF(TrRoad_act!M8=0,0,M24/TrRoad_act!M8*1000)</f>
        <v>52.477854415924746</v>
      </c>
      <c r="N92" s="87">
        <f>IF(TrRoad_act!N8=0,0,N24/TrRoad_act!N8*1000)</f>
        <v>52.532953031484425</v>
      </c>
      <c r="O92" s="87">
        <f>IF(TrRoad_act!O8=0,0,O24/TrRoad_act!O8*1000)</f>
        <v>49.362655563194721</v>
      </c>
      <c r="P92" s="87">
        <f>IF(TrRoad_act!P8=0,0,P24/TrRoad_act!P8*1000)</f>
        <v>49.344470167821903</v>
      </c>
      <c r="Q92" s="87">
        <f>IF(TrRoad_act!Q8=0,0,Q24/TrRoad_act!Q8*1000)</f>
        <v>52.225117990350483</v>
      </c>
      <c r="R92" s="87">
        <f>IF(TrRoad_act!R8=0,0,R24/TrRoad_act!R8*1000)</f>
        <v>53.083453621975494</v>
      </c>
      <c r="S92" s="87">
        <f>IF(TrRoad_act!S8=0,0,S24/TrRoad_act!S8*1000)</f>
        <v>55.761463555015744</v>
      </c>
      <c r="T92" s="87">
        <f>IF(TrRoad_act!T8=0,0,T24/TrRoad_act!T8*1000)</f>
        <v>55.260978382272732</v>
      </c>
      <c r="U92" s="87">
        <f>IF(TrRoad_act!U8=0,0,U24/TrRoad_act!U8*1000)</f>
        <v>59.085277248506237</v>
      </c>
      <c r="V92" s="87">
        <f>IF(TrRoad_act!V8=0,0,V24/TrRoad_act!V8*1000)</f>
        <v>64.176167640306389</v>
      </c>
      <c r="W92" s="87">
        <f>IF(TrRoad_act!W8=0,0,W24/TrRoad_act!W8*1000)</f>
        <v>61.790175942875095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42.826157294004375</v>
      </c>
      <c r="C93" s="87">
        <f>IF(TrRoad_act!C9=0,0,C26/TrRoad_act!C9*1000)</f>
        <v>43.511614110974492</v>
      </c>
      <c r="D93" s="87">
        <f>IF(TrRoad_act!D9=0,0,D26/TrRoad_act!D9*1000)</f>
        <v>44.181077551810517</v>
      </c>
      <c r="E93" s="87">
        <f>IF(TrRoad_act!E9=0,0,E26/TrRoad_act!E9*1000)</f>
        <v>43.718227189785395</v>
      </c>
      <c r="F93" s="87">
        <f>IF(TrRoad_act!F9=0,0,F26/TrRoad_act!F9*1000)</f>
        <v>42.701247576036366</v>
      </c>
      <c r="G93" s="87">
        <f>IF(TrRoad_act!G9=0,0,G26/TrRoad_act!G9*1000)</f>
        <v>42.848919281535323</v>
      </c>
      <c r="H93" s="87">
        <f>IF(TrRoad_act!H9=0,0,H26/TrRoad_act!H9*1000)</f>
        <v>41.336361669113252</v>
      </c>
      <c r="I93" s="87">
        <f>IF(TrRoad_act!I9=0,0,I26/TrRoad_act!I9*1000)</f>
        <v>41.203884442821732</v>
      </c>
      <c r="J93" s="87">
        <f>IF(TrRoad_act!J9=0,0,J26/TrRoad_act!J9*1000)</f>
        <v>45.135857435443498</v>
      </c>
      <c r="K93" s="87">
        <f>IF(TrRoad_act!K9=0,0,K26/TrRoad_act!K9*1000)</f>
        <v>42.520819034951259</v>
      </c>
      <c r="L93" s="87">
        <f>IF(TrRoad_act!L9=0,0,L26/TrRoad_act!L9*1000)</f>
        <v>43.57072975196359</v>
      </c>
      <c r="M93" s="87">
        <f>IF(TrRoad_act!M9=0,0,M26/TrRoad_act!M9*1000)</f>
        <v>43.708694176015143</v>
      </c>
      <c r="N93" s="87">
        <f>IF(TrRoad_act!N9=0,0,N26/TrRoad_act!N9*1000)</f>
        <v>41.074306001656538</v>
      </c>
      <c r="O93" s="87">
        <f>IF(TrRoad_act!O9=0,0,O26/TrRoad_act!O9*1000)</f>
        <v>41.168228745940816</v>
      </c>
      <c r="P93" s="87">
        <f>IF(TrRoad_act!P9=0,0,P26/TrRoad_act!P9*1000)</f>
        <v>41.997823215831858</v>
      </c>
      <c r="Q93" s="87">
        <f>IF(TrRoad_act!Q9=0,0,Q26/TrRoad_act!Q9*1000)</f>
        <v>42.857634963198613</v>
      </c>
      <c r="R93" s="87">
        <f>IF(TrRoad_act!R9=0,0,R26/TrRoad_act!R9*1000)</f>
        <v>48.700723391762565</v>
      </c>
      <c r="S93" s="87">
        <f>IF(TrRoad_act!S9=0,0,S26/TrRoad_act!S9*1000)</f>
        <v>50.144299897774104</v>
      </c>
      <c r="T93" s="87">
        <f>IF(TrRoad_act!T9=0,0,T26/TrRoad_act!T9*1000)</f>
        <v>52.94288959196011</v>
      </c>
      <c r="U93" s="87">
        <f>IF(TrRoad_act!U9=0,0,U26/TrRoad_act!U9*1000)</f>
        <v>51.500929609013923</v>
      </c>
      <c r="V93" s="87">
        <f>IF(TrRoad_act!V9=0,0,V26/TrRoad_act!V9*1000)</f>
        <v>52.697591307990493</v>
      </c>
      <c r="W93" s="87">
        <f>IF(TrRoad_act!W9=0,0,W26/TrRoad_act!W9*1000)</f>
        <v>52.148720205099842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51.183485248564175</v>
      </c>
      <c r="L94" s="87">
        <f>IF(TrRoad_act!L10=0,0,L27/TrRoad_act!L10*1000)</f>
        <v>52.978418079613476</v>
      </c>
      <c r="M94" s="87">
        <f>IF(TrRoad_act!M10=0,0,M27/TrRoad_act!M10*1000)</f>
        <v>53.034631841242216</v>
      </c>
      <c r="N94" s="87">
        <f>IF(TrRoad_act!N10=0,0,N27/TrRoad_act!N10*1000)</f>
        <v>49.458737457762808</v>
      </c>
      <c r="O94" s="87">
        <f>IF(TrRoad_act!O10=0,0,O27/TrRoad_act!O10*1000)</f>
        <v>48.865425124291541</v>
      </c>
      <c r="P94" s="87">
        <f>IF(TrRoad_act!P10=0,0,P27/TrRoad_act!P10*1000)</f>
        <v>49.358769274413213</v>
      </c>
      <c r="Q94" s="87">
        <f>IF(TrRoad_act!Q10=0,0,Q27/TrRoad_act!Q10*1000)</f>
        <v>50.031374069351521</v>
      </c>
      <c r="R94" s="87">
        <f>IF(TrRoad_act!R10=0,0,R27/TrRoad_act!R10*1000)</f>
        <v>55.843343072762877</v>
      </c>
      <c r="S94" s="87">
        <f>IF(TrRoad_act!S10=0,0,S27/TrRoad_act!S10*1000)</f>
        <v>55.527229552565096</v>
      </c>
      <c r="T94" s="87">
        <f>IF(TrRoad_act!T10=0,0,T27/TrRoad_act!T10*1000)</f>
        <v>58.738729877868082</v>
      </c>
      <c r="U94" s="87">
        <f>IF(TrRoad_act!U10=0,0,U27/TrRoad_act!U10*1000)</f>
        <v>56.694477650456918</v>
      </c>
      <c r="V94" s="87">
        <f>IF(TrRoad_act!V10=0,0,V27/TrRoad_act!V10*1000)</f>
        <v>58.230532899359218</v>
      </c>
      <c r="W94" s="87">
        <f>IF(TrRoad_act!W10=0,0,W27/TrRoad_act!W10*1000)</f>
        <v>58.906486157586308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0</v>
      </c>
      <c r="P95" s="87">
        <f>IF(TrRoad_act!P11=0,0,P29/TrRoad_act!P11*1000)</f>
        <v>27.223344356227351</v>
      </c>
      <c r="Q95" s="87">
        <f>IF(TrRoad_act!Q11=0,0,Q29/TrRoad_act!Q11*1000)</f>
        <v>28.345177603095433</v>
      </c>
      <c r="R95" s="87">
        <f>IF(TrRoad_act!R11=0,0,R29/TrRoad_act!R11*1000)</f>
        <v>33.080786275880286</v>
      </c>
      <c r="S95" s="87">
        <f>IF(TrRoad_act!S11=0,0,S29/TrRoad_act!S11*1000)</f>
        <v>34.720493127536997</v>
      </c>
      <c r="T95" s="87">
        <f>IF(TrRoad_act!T11=0,0,T29/TrRoad_act!T11*1000)</f>
        <v>37.7329585137187</v>
      </c>
      <c r="U95" s="87">
        <f>IF(TrRoad_act!U11=0,0,U29/TrRoad_act!U11*1000)</f>
        <v>38.529640125404924</v>
      </c>
      <c r="V95" s="87">
        <f>IF(TrRoad_act!V11=0,0,V29/TrRoad_act!V11*1000)</f>
        <v>37.194575806569176</v>
      </c>
      <c r="W95" s="87">
        <f>IF(TrRoad_act!W11=0,0,W29/TrRoad_act!W11*1000)</f>
        <v>36.784273063531586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9.8645792534610663</v>
      </c>
      <c r="O96" s="87">
        <f>IF(TrRoad_act!O12=0,0,O32/TrRoad_act!O12*1000)</f>
        <v>9.929016344626179</v>
      </c>
      <c r="P96" s="87">
        <f>IF(TrRoad_act!P12=0,0,P32/TrRoad_act!P12*1000)</f>
        <v>10.248105778238987</v>
      </c>
      <c r="Q96" s="87">
        <f>IF(TrRoad_act!Q12=0,0,Q32/TrRoad_act!Q12*1000)</f>
        <v>10.121759501044426</v>
      </c>
      <c r="R96" s="87">
        <f>IF(TrRoad_act!R12=0,0,R32/TrRoad_act!R12*1000)</f>
        <v>10.579879879604622</v>
      </c>
      <c r="S96" s="87">
        <f>IF(TrRoad_act!S12=0,0,S32/TrRoad_act!S12*1000)</f>
        <v>10.81752107914971</v>
      </c>
      <c r="T96" s="87">
        <f>IF(TrRoad_act!T12=0,0,T32/TrRoad_act!T12*1000)</f>
        <v>12.201997200015809</v>
      </c>
      <c r="U96" s="87">
        <f>IF(TrRoad_act!U12=0,0,U32/TrRoad_act!U12*1000)</f>
        <v>13.708087422950605</v>
      </c>
      <c r="V96" s="87">
        <f>IF(TrRoad_act!V12=0,0,V32/TrRoad_act!V12*1000)</f>
        <v>14.639059020617269</v>
      </c>
      <c r="W96" s="87">
        <f>IF(TrRoad_act!W12=0,0,W32/TrRoad_act!W12*1000)</f>
        <v>14.748244346234555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53.13239573114604</v>
      </c>
      <c r="C97" s="116">
        <f>IF(TrRoad_act!C13=0,0,C33/TrRoad_act!C13*1000)</f>
        <v>49.167879897693759</v>
      </c>
      <c r="D97" s="116">
        <f>IF(TrRoad_act!D13=0,0,D33/TrRoad_act!D13*1000)</f>
        <v>47.540948063642482</v>
      </c>
      <c r="E97" s="116">
        <f>IF(TrRoad_act!E13=0,0,E33/TrRoad_act!E13*1000)</f>
        <v>45.716647772157678</v>
      </c>
      <c r="F97" s="116">
        <f>IF(TrRoad_act!F13=0,0,F33/TrRoad_act!F13*1000)</f>
        <v>48.849684612525373</v>
      </c>
      <c r="G97" s="116">
        <f>IF(TrRoad_act!G13=0,0,G33/TrRoad_act!G13*1000)</f>
        <v>48.048154087665552</v>
      </c>
      <c r="H97" s="116">
        <f>IF(TrRoad_act!H13=0,0,H33/TrRoad_act!H13*1000)</f>
        <v>45.963011155893909</v>
      </c>
      <c r="I97" s="116">
        <f>IF(TrRoad_act!I13=0,0,I33/TrRoad_act!I13*1000)</f>
        <v>44.099540766536023</v>
      </c>
      <c r="J97" s="116">
        <f>IF(TrRoad_act!J13=0,0,J33/TrRoad_act!J13*1000)</f>
        <v>40.816591311592298</v>
      </c>
      <c r="K97" s="116">
        <f>IF(TrRoad_act!K13=0,0,K33/TrRoad_act!K13*1000)</f>
        <v>49.727860829128623</v>
      </c>
      <c r="L97" s="116">
        <f>IF(TrRoad_act!L13=0,0,L33/TrRoad_act!L13*1000)</f>
        <v>52.635561709880982</v>
      </c>
      <c r="M97" s="116">
        <f>IF(TrRoad_act!M13=0,0,M33/TrRoad_act!M13*1000)</f>
        <v>52.018903123031812</v>
      </c>
      <c r="N97" s="116">
        <f>IF(TrRoad_act!N13=0,0,N33/TrRoad_act!N13*1000)</f>
        <v>49.35674691869221</v>
      </c>
      <c r="O97" s="116">
        <f>IF(TrRoad_act!O13=0,0,O33/TrRoad_act!O13*1000)</f>
        <v>46.088407443057072</v>
      </c>
      <c r="P97" s="116">
        <f>IF(TrRoad_act!P13=0,0,P33/TrRoad_act!P13*1000)</f>
        <v>44.918602544410312</v>
      </c>
      <c r="Q97" s="116">
        <f>IF(TrRoad_act!Q13=0,0,Q33/TrRoad_act!Q13*1000)</f>
        <v>51.582836581568756</v>
      </c>
      <c r="R97" s="116">
        <f>IF(TrRoad_act!R13=0,0,R33/TrRoad_act!R13*1000)</f>
        <v>47.924733057772563</v>
      </c>
      <c r="S97" s="116">
        <f>IF(TrRoad_act!S13=0,0,S33/TrRoad_act!S13*1000)</f>
        <v>46.439436110167392</v>
      </c>
      <c r="T97" s="116">
        <f>IF(TrRoad_act!T13=0,0,T33/TrRoad_act!T13*1000)</f>
        <v>51.047152303400317</v>
      </c>
      <c r="U97" s="116">
        <f>IF(TrRoad_act!U13=0,0,U33/TrRoad_act!U13*1000)</f>
        <v>41.308858063077942</v>
      </c>
      <c r="V97" s="116">
        <f>IF(TrRoad_act!V13=0,0,V33/TrRoad_act!V13*1000)</f>
        <v>58.060646326738194</v>
      </c>
      <c r="W97" s="116">
        <f>IF(TrRoad_act!W13=0,0,W33/TrRoad_act!W13*1000)</f>
        <v>56.942242619640908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28.968362137459355</v>
      </c>
      <c r="C98" s="101">
        <f>IF(TrRoad_act!C14=0,0,C34/TrRoad_act!C14*1000)</f>
        <v>28.415460190360079</v>
      </c>
      <c r="D98" s="101">
        <f>IF(TrRoad_act!D14=0,0,D34/TrRoad_act!D14*1000)</f>
        <v>27.981195444251892</v>
      </c>
      <c r="E98" s="101">
        <f>IF(TrRoad_act!E14=0,0,E34/TrRoad_act!E14*1000)</f>
        <v>27.773455395747519</v>
      </c>
      <c r="F98" s="101">
        <f>IF(TrRoad_act!F14=0,0,F34/TrRoad_act!F14*1000)</f>
        <v>27.792592097698442</v>
      </c>
      <c r="G98" s="101">
        <f>IF(TrRoad_act!G14=0,0,G34/TrRoad_act!G14*1000)</f>
        <v>27.526001312208244</v>
      </c>
      <c r="H98" s="101">
        <f>IF(TrRoad_act!H14=0,0,H34/TrRoad_act!H14*1000)</f>
        <v>27.178335333519929</v>
      </c>
      <c r="I98" s="101">
        <f>IF(TrRoad_act!I14=0,0,I34/TrRoad_act!I14*1000)</f>
        <v>26.966692081513393</v>
      </c>
      <c r="J98" s="101">
        <f>IF(TrRoad_act!J14=0,0,J34/TrRoad_act!J14*1000)</f>
        <v>26.569573530947054</v>
      </c>
      <c r="K98" s="101">
        <f>IF(TrRoad_act!K14=0,0,K34/TrRoad_act!K14*1000)</f>
        <v>26.808706826921306</v>
      </c>
      <c r="L98" s="101">
        <f>IF(TrRoad_act!L14=0,0,L34/TrRoad_act!L14*1000)</f>
        <v>26.801458441571079</v>
      </c>
      <c r="M98" s="101">
        <f>IF(TrRoad_act!M14=0,0,M34/TrRoad_act!M14*1000)</f>
        <v>26.704148366755316</v>
      </c>
      <c r="N98" s="101">
        <f>IF(TrRoad_act!N14=0,0,N34/TrRoad_act!N14*1000)</f>
        <v>26.422371885899778</v>
      </c>
      <c r="O98" s="101">
        <f>IF(TrRoad_act!O14=0,0,O34/TrRoad_act!O14*1000)</f>
        <v>25.929201883292933</v>
      </c>
      <c r="P98" s="101">
        <f>IF(TrRoad_act!P14=0,0,P34/TrRoad_act!P14*1000)</f>
        <v>25.823491240878099</v>
      </c>
      <c r="Q98" s="101">
        <f>IF(TrRoad_act!Q14=0,0,Q34/TrRoad_act!Q14*1000)</f>
        <v>25.892034691165783</v>
      </c>
      <c r="R98" s="101">
        <f>IF(TrRoad_act!R14=0,0,R34/TrRoad_act!R14*1000)</f>
        <v>25.811786766465136</v>
      </c>
      <c r="S98" s="101">
        <f>IF(TrRoad_act!S14=0,0,S34/TrRoad_act!S14*1000)</f>
        <v>25.687575832084072</v>
      </c>
      <c r="T98" s="101">
        <f>IF(TrRoad_act!T14=0,0,T34/TrRoad_act!T14*1000)</f>
        <v>25.90682319158962</v>
      </c>
      <c r="U98" s="101">
        <f>IF(TrRoad_act!U14=0,0,U34/TrRoad_act!U14*1000)</f>
        <v>25.363849971606779</v>
      </c>
      <c r="V98" s="101">
        <f>IF(TrRoad_act!V14=0,0,V34/TrRoad_act!V14*1000)</f>
        <v>25.976128079284287</v>
      </c>
      <c r="W98" s="101">
        <f>IF(TrRoad_act!W14=0,0,W34/TrRoad_act!W14*1000)</f>
        <v>25.951800869237641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53.178096158641395</v>
      </c>
      <c r="C99" s="101">
        <f>IF(TrRoad_act!C15=0,0,C36/TrRoad_act!C15*1000)</f>
        <v>49.207366527824561</v>
      </c>
      <c r="D99" s="101">
        <f>IF(TrRoad_act!D15=0,0,D36/TrRoad_act!D15*1000)</f>
        <v>47.577524946182194</v>
      </c>
      <c r="E99" s="101">
        <f>IF(TrRoad_act!E15=0,0,E36/TrRoad_act!E15*1000)</f>
        <v>45.747494813980602</v>
      </c>
      <c r="F99" s="101">
        <f>IF(TrRoad_act!F15=0,0,F36/TrRoad_act!F15*1000)</f>
        <v>48.886527611883487</v>
      </c>
      <c r="G99" s="101">
        <f>IF(TrRoad_act!G15=0,0,G36/TrRoad_act!G15*1000)</f>
        <v>48.084114948210143</v>
      </c>
      <c r="H99" s="101">
        <f>IF(TrRoad_act!H15=0,0,H36/TrRoad_act!H15*1000)</f>
        <v>45.994908982858568</v>
      </c>
      <c r="I99" s="101">
        <f>IF(TrRoad_act!I15=0,0,I36/TrRoad_act!I15*1000)</f>
        <v>44.124859507379739</v>
      </c>
      <c r="J99" s="101">
        <f>IF(TrRoad_act!J15=0,0,J36/TrRoad_act!J15*1000)</f>
        <v>40.838447566689652</v>
      </c>
      <c r="K99" s="101">
        <f>IF(TrRoad_act!K15=0,0,K36/TrRoad_act!K15*1000)</f>
        <v>49.693115288233201</v>
      </c>
      <c r="L99" s="101">
        <f>IF(TrRoad_act!L15=0,0,L36/TrRoad_act!L15*1000)</f>
        <v>52.330309833313422</v>
      </c>
      <c r="M99" s="101">
        <f>IF(TrRoad_act!M15=0,0,M36/TrRoad_act!M15*1000)</f>
        <v>52.160437864891712</v>
      </c>
      <c r="N99" s="101">
        <f>IF(TrRoad_act!N15=0,0,N36/TrRoad_act!N15*1000)</f>
        <v>49.483606165775946</v>
      </c>
      <c r="O99" s="101">
        <f>IF(TrRoad_act!O15=0,0,O36/TrRoad_act!O15*1000)</f>
        <v>46.301878795411426</v>
      </c>
      <c r="P99" s="101">
        <f>IF(TrRoad_act!P15=0,0,P36/TrRoad_act!P15*1000)</f>
        <v>45.270807366847372</v>
      </c>
      <c r="Q99" s="101">
        <f>IF(TrRoad_act!Q15=0,0,Q36/TrRoad_act!Q15*1000)</f>
        <v>51.970637674989675</v>
      </c>
      <c r="R99" s="101">
        <f>IF(TrRoad_act!R15=0,0,R36/TrRoad_act!R15*1000)</f>
        <v>48.149396360486023</v>
      </c>
      <c r="S99" s="101">
        <f>IF(TrRoad_act!S15=0,0,S36/TrRoad_act!S15*1000)</f>
        <v>46.70935587533463</v>
      </c>
      <c r="T99" s="101">
        <f>IF(TrRoad_act!T15=0,0,T36/TrRoad_act!T15*1000)</f>
        <v>51.302282633085397</v>
      </c>
      <c r="U99" s="101">
        <f>IF(TrRoad_act!U15=0,0,U36/TrRoad_act!U15*1000)</f>
        <v>41.611868772596466</v>
      </c>
      <c r="V99" s="101">
        <f>IF(TrRoad_act!V15=0,0,V36/TrRoad_act!V15*1000)</f>
        <v>58.551256061570193</v>
      </c>
      <c r="W99" s="101">
        <f>IF(TrRoad_act!W15=0,0,W36/TrRoad_act!W15*1000)</f>
        <v>57.476617529711731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35.809383770585754</v>
      </c>
      <c r="J100" s="101">
        <f>IF(TrRoad_act!J16=0,0,J38/TrRoad_act!J16*1000)</f>
        <v>32.876557927621107</v>
      </c>
      <c r="K100" s="101">
        <f>IF(TrRoad_act!K16=0,0,K38/TrRoad_act!K16*1000)</f>
        <v>38.625387798253236</v>
      </c>
      <c r="L100" s="101">
        <f>IF(TrRoad_act!L16=0,0,L38/TrRoad_act!L16*1000)</f>
        <v>40.799760831287053</v>
      </c>
      <c r="M100" s="101">
        <f>IF(TrRoad_act!M16=0,0,M38/TrRoad_act!M16*1000)</f>
        <v>41.926771158956235</v>
      </c>
      <c r="N100" s="101">
        <f>IF(TrRoad_act!N16=0,0,N38/TrRoad_act!N16*1000)</f>
        <v>38.958935404258085</v>
      </c>
      <c r="O100" s="101">
        <f>IF(TrRoad_act!O16=0,0,O38/TrRoad_act!O16*1000)</f>
        <v>37.359781136068968</v>
      </c>
      <c r="P100" s="101">
        <f>IF(TrRoad_act!P16=0,0,P38/TrRoad_act!P16*1000)</f>
        <v>37.065476519374862</v>
      </c>
      <c r="Q100" s="101">
        <f>IF(TrRoad_act!Q16=0,0,Q38/TrRoad_act!Q16*1000)</f>
        <v>41.810163185381384</v>
      </c>
      <c r="R100" s="101">
        <f>IF(TrRoad_act!R16=0,0,R38/TrRoad_act!R16*1000)</f>
        <v>40.068204636471037</v>
      </c>
      <c r="S100" s="101">
        <f>IF(TrRoad_act!S16=0,0,S38/TrRoad_act!S16*1000)</f>
        <v>37.603492913935298</v>
      </c>
      <c r="T100" s="101">
        <f>IF(TrRoad_act!T16=0,0,T38/TrRoad_act!T16*1000)</f>
        <v>42.554623126920873</v>
      </c>
      <c r="U100" s="101">
        <f>IF(TrRoad_act!U16=0,0,U38/TrRoad_act!U16*1000)</f>
        <v>31.964965222907427</v>
      </c>
      <c r="V100" s="101">
        <f>IF(TrRoad_act!V16=0,0,V38/TrRoad_act!V16*1000)</f>
        <v>43.773407938272072</v>
      </c>
      <c r="W100" s="101">
        <f>IF(TrRoad_act!W16=0,0,W38/TrRoad_act!W16*1000)</f>
        <v>43.456501082529229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65.354849488561214</v>
      </c>
      <c r="L101" s="101">
        <f>IF(TrRoad_act!L17=0,0,L39/TrRoad_act!L17*1000)</f>
        <v>121.28645019032828</v>
      </c>
      <c r="M101" s="101">
        <f>IF(TrRoad_act!M17=0,0,M39/TrRoad_act!M17*1000)</f>
        <v>32.586842959291893</v>
      </c>
      <c r="N101" s="101">
        <f>IF(TrRoad_act!N17=0,0,N39/TrRoad_act!N17*1000)</f>
        <v>34.246709874304067</v>
      </c>
      <c r="O101" s="101">
        <f>IF(TrRoad_act!O17=0,0,O39/TrRoad_act!O17*1000)</f>
        <v>32.299161735915455</v>
      </c>
      <c r="P101" s="101">
        <f>IF(TrRoad_act!P17=0,0,P39/TrRoad_act!P17*1000)</f>
        <v>32.905281411668462</v>
      </c>
      <c r="Q101" s="101">
        <f>IF(TrRoad_act!Q17=0,0,Q39/TrRoad_act!Q17*1000)</f>
        <v>38.288778275723018</v>
      </c>
      <c r="R101" s="101">
        <f>IF(TrRoad_act!R17=0,0,R39/TrRoad_act!R17*1000)</f>
        <v>40.269109688269516</v>
      </c>
      <c r="S101" s="101">
        <f>IF(TrRoad_act!S17=0,0,S39/TrRoad_act!S17*1000)</f>
        <v>37.756317923234626</v>
      </c>
      <c r="T101" s="101">
        <f>IF(TrRoad_act!T17=0,0,T39/TrRoad_act!T17*1000)</f>
        <v>42.745498596140941</v>
      </c>
      <c r="U101" s="101">
        <f>IF(TrRoad_act!U17=0,0,U39/TrRoad_act!U17*1000)</f>
        <v>32.24761116883257</v>
      </c>
      <c r="V101" s="101">
        <f>IF(TrRoad_act!V17=0,0,V39/TrRoad_act!V17*1000)</f>
        <v>44.892450438227698</v>
      </c>
      <c r="W101" s="101">
        <f>IF(TrRoad_act!W17=0,0,W39/TrRoad_act!W17*1000)</f>
        <v>44.596610530135287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0</v>
      </c>
      <c r="Q102" s="101">
        <f>IF(TrRoad_act!Q18=0,0,Q41/TrRoad_act!Q18*1000)</f>
        <v>30.73534338139504</v>
      </c>
      <c r="R102" s="101">
        <f>IF(TrRoad_act!R18=0,0,R41/TrRoad_act!R18*1000)</f>
        <v>29.713335379939473</v>
      </c>
      <c r="S102" s="101">
        <f>IF(TrRoad_act!S18=0,0,S41/TrRoad_act!S18*1000)</f>
        <v>27.801919885917204</v>
      </c>
      <c r="T102" s="101">
        <f>IF(TrRoad_act!T18=0,0,T41/TrRoad_act!T18*1000)</f>
        <v>31.462508699866415</v>
      </c>
      <c r="U102" s="101">
        <f>IF(TrRoad_act!U18=0,0,U41/TrRoad_act!U18*1000)</f>
        <v>23.719940647554534</v>
      </c>
      <c r="V102" s="101">
        <f>IF(TrRoad_act!V18=0,0,V41/TrRoad_act!V18*1000)</f>
        <v>32.85886184342948</v>
      </c>
      <c r="W102" s="101">
        <f>IF(TrRoad_act!W18=0,0,W41/TrRoad_act!W18*1000)</f>
        <v>34.350179024522433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34.530409350084867</v>
      </c>
      <c r="C103" s="29">
        <f>IF(TrRoad_act!C19=0,0,C42/TrRoad_act!C19*1000)</f>
        <v>29.787831607730507</v>
      </c>
      <c r="D103" s="29">
        <f>IF(TrRoad_act!D19=0,0,D42/TrRoad_act!D19*1000)</f>
        <v>35.769839542741281</v>
      </c>
      <c r="E103" s="29">
        <f>IF(TrRoad_act!E19=0,0,E42/TrRoad_act!E19*1000)</f>
        <v>38.035989132814734</v>
      </c>
      <c r="F103" s="29">
        <f>IF(TrRoad_act!F19=0,0,F42/TrRoad_act!F19*1000)</f>
        <v>37.636052822050367</v>
      </c>
      <c r="G103" s="29">
        <f>IF(TrRoad_act!G19=0,0,G42/TrRoad_act!G19*1000)</f>
        <v>37.9748627249093</v>
      </c>
      <c r="H103" s="29">
        <f>IF(TrRoad_act!H19=0,0,H42/TrRoad_act!H19*1000)</f>
        <v>39.006195805563777</v>
      </c>
      <c r="I103" s="29">
        <f>IF(TrRoad_act!I19=0,0,I42/TrRoad_act!I19*1000)</f>
        <v>39.553302490860553</v>
      </c>
      <c r="J103" s="29">
        <f>IF(TrRoad_act!J19=0,0,J42/TrRoad_act!J19*1000)</f>
        <v>41.883409765461337</v>
      </c>
      <c r="K103" s="29">
        <f>IF(TrRoad_act!K19=0,0,K42/TrRoad_act!K19*1000)</f>
        <v>47.090140383512328</v>
      </c>
      <c r="L103" s="29">
        <f>IF(TrRoad_act!L19=0,0,L42/TrRoad_act!L19*1000)</f>
        <v>49.347895848722018</v>
      </c>
      <c r="M103" s="29">
        <f>IF(TrRoad_act!M19=0,0,M42/TrRoad_act!M19*1000)</f>
        <v>48.677932136054636</v>
      </c>
      <c r="N103" s="29">
        <f>IF(TrRoad_act!N19=0,0,N42/TrRoad_act!N19*1000)</f>
        <v>46.908259889088896</v>
      </c>
      <c r="O103" s="29">
        <f>IF(TrRoad_act!O19=0,0,O42/TrRoad_act!O19*1000)</f>
        <v>50.990544794451139</v>
      </c>
      <c r="P103" s="29">
        <f>IF(TrRoad_act!P19=0,0,P42/TrRoad_act!P19*1000)</f>
        <v>46.785011563273784</v>
      </c>
      <c r="Q103" s="29">
        <f>IF(TrRoad_act!Q19=0,0,Q42/TrRoad_act!Q19*1000)</f>
        <v>45.632098345236713</v>
      </c>
      <c r="R103" s="29">
        <f>IF(TrRoad_act!R19=0,0,R42/TrRoad_act!R19*1000)</f>
        <v>43.505448853551798</v>
      </c>
      <c r="S103" s="29">
        <f>IF(TrRoad_act!S19=0,0,S42/TrRoad_act!S19*1000)</f>
        <v>47.878467182741915</v>
      </c>
      <c r="T103" s="29">
        <f>IF(TrRoad_act!T19=0,0,T42/TrRoad_act!T19*1000)</f>
        <v>45.347828608891263</v>
      </c>
      <c r="U103" s="29">
        <f>IF(TrRoad_act!U19=0,0,U42/TrRoad_act!U19*1000)</f>
        <v>54.476283335282041</v>
      </c>
      <c r="V103" s="29">
        <f>IF(TrRoad_act!V19=0,0,V42/TrRoad_act!V19*1000)</f>
        <v>52.440284929233648</v>
      </c>
      <c r="W103" s="29">
        <f>IF(TrRoad_act!W19=0,0,W42/TrRoad_act!W19*1000)</f>
        <v>53.365517654877635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527.57567212979814</v>
      </c>
      <c r="C104" s="152">
        <f>IF(TrRoad_act!C20=0,0,C43/TrRoad_act!C20*1000)</f>
        <v>476.78927070838949</v>
      </c>
      <c r="D104" s="152">
        <f>IF(TrRoad_act!D20=0,0,D43/TrRoad_act!D20*1000)</f>
        <v>485.87754149410381</v>
      </c>
      <c r="E104" s="152">
        <f>IF(TrRoad_act!E20=0,0,E43/TrRoad_act!E20*1000)</f>
        <v>481.08602044919422</v>
      </c>
      <c r="F104" s="152">
        <f>IF(TrRoad_act!F20=0,0,F43/TrRoad_act!F20*1000)</f>
        <v>475.34257916807582</v>
      </c>
      <c r="G104" s="152">
        <f>IF(TrRoad_act!G20=0,0,G43/TrRoad_act!G20*1000)</f>
        <v>480.58974355335204</v>
      </c>
      <c r="H104" s="152">
        <f>IF(TrRoad_act!H20=0,0,H43/TrRoad_act!H20*1000)</f>
        <v>464.07770101944385</v>
      </c>
      <c r="I104" s="152">
        <f>IF(TrRoad_act!I20=0,0,I43/TrRoad_act!I20*1000)</f>
        <v>462.06041734551764</v>
      </c>
      <c r="J104" s="152">
        <f>IF(TrRoad_act!J20=0,0,J43/TrRoad_act!J20*1000)</f>
        <v>459.98125038924462</v>
      </c>
      <c r="K104" s="152">
        <f>IF(TrRoad_act!K20=0,0,K43/TrRoad_act!K20*1000)</f>
        <v>457.15925338732177</v>
      </c>
      <c r="L104" s="152">
        <f>IF(TrRoad_act!L20=0,0,L43/TrRoad_act!L20*1000)</f>
        <v>453.81480568831512</v>
      </c>
      <c r="M104" s="152">
        <f>IF(TrRoad_act!M20=0,0,M43/TrRoad_act!M20*1000)</f>
        <v>449.19605296100821</v>
      </c>
      <c r="N104" s="152">
        <f>IF(TrRoad_act!N20=0,0,N43/TrRoad_act!N20*1000)</f>
        <v>448.81329987990421</v>
      </c>
      <c r="O104" s="152">
        <f>IF(TrRoad_act!O20=0,0,O43/TrRoad_act!O20*1000)</f>
        <v>440.90814107138402</v>
      </c>
      <c r="P104" s="152">
        <f>IF(TrRoad_act!P20=0,0,P43/TrRoad_act!P20*1000)</f>
        <v>423.52988351789725</v>
      </c>
      <c r="Q104" s="152">
        <f>IF(TrRoad_act!Q20=0,0,Q43/TrRoad_act!Q20*1000)</f>
        <v>409.45890176810906</v>
      </c>
      <c r="R104" s="152">
        <f>IF(TrRoad_act!R20=0,0,R43/TrRoad_act!R20*1000)</f>
        <v>396.539704081975</v>
      </c>
      <c r="S104" s="152">
        <f>IF(TrRoad_act!S20=0,0,S43/TrRoad_act!S20*1000)</f>
        <v>411.85797912127845</v>
      </c>
      <c r="T104" s="152">
        <f>IF(TrRoad_act!T20=0,0,T43/TrRoad_act!T20*1000)</f>
        <v>402.52221374301149</v>
      </c>
      <c r="U104" s="152">
        <f>IF(TrRoad_act!U20=0,0,U43/TrRoad_act!U20*1000)</f>
        <v>406.97101558724728</v>
      </c>
      <c r="V104" s="152">
        <f>IF(TrRoad_act!V20=0,0,V43/TrRoad_act!V20*1000)</f>
        <v>403.18852608104606</v>
      </c>
      <c r="W104" s="152">
        <f>IF(TrRoad_act!W20=0,0,W43/TrRoad_act!W20*1000)</f>
        <v>409.52499881975297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568.55002277707115</v>
      </c>
      <c r="C105" s="87">
        <f>IF(TrRoad_act!C21=0,0,C44/TrRoad_act!C21*1000)</f>
        <v>558.2954888362832</v>
      </c>
      <c r="D105" s="87">
        <f>IF(TrRoad_act!D21=0,0,D44/TrRoad_act!D21*1000)</f>
        <v>556.21658094073166</v>
      </c>
      <c r="E105" s="87">
        <f>IF(TrRoad_act!E21=0,0,E44/TrRoad_act!E21*1000)</f>
        <v>554.45181849523328</v>
      </c>
      <c r="F105" s="87">
        <f>IF(TrRoad_act!F21=0,0,F44/TrRoad_act!F21*1000)</f>
        <v>552.93776807872132</v>
      </c>
      <c r="G105" s="87">
        <f>IF(TrRoad_act!G21=0,0,G44/TrRoad_act!G21*1000)</f>
        <v>551.11431455519698</v>
      </c>
      <c r="H105" s="87">
        <f>IF(TrRoad_act!H21=0,0,H44/TrRoad_act!H21*1000)</f>
        <v>548.13650553321804</v>
      </c>
      <c r="I105" s="87">
        <f>IF(TrRoad_act!I21=0,0,I44/TrRoad_act!I21*1000)</f>
        <v>538.71754133871127</v>
      </c>
      <c r="J105" s="87">
        <f>IF(TrRoad_act!J21=0,0,J44/TrRoad_act!J21*1000)</f>
        <v>532.39683835978303</v>
      </c>
      <c r="K105" s="87">
        <f>IF(TrRoad_act!K21=0,0,K44/TrRoad_act!K21*1000)</f>
        <v>523.19776972432146</v>
      </c>
      <c r="L105" s="87">
        <f>IF(TrRoad_act!L21=0,0,L44/TrRoad_act!L21*1000)</f>
        <v>513.97129258522659</v>
      </c>
      <c r="M105" s="87">
        <f>IF(TrRoad_act!M21=0,0,M44/TrRoad_act!M21*1000)</f>
        <v>514.08863099200244</v>
      </c>
      <c r="N105" s="87">
        <f>IF(TrRoad_act!N21=0,0,N44/TrRoad_act!N21*1000)</f>
        <v>507.75821018500443</v>
      </c>
      <c r="O105" s="87">
        <f>IF(TrRoad_act!O21=0,0,O44/TrRoad_act!O21*1000)</f>
        <v>506.0039711344063</v>
      </c>
      <c r="P105" s="87">
        <f>IF(TrRoad_act!P21=0,0,P44/TrRoad_act!P21*1000)</f>
        <v>502.31989291435633</v>
      </c>
      <c r="Q105" s="87">
        <f>IF(TrRoad_act!Q21=0,0,Q44/TrRoad_act!Q21*1000)</f>
        <v>496.78257864899632</v>
      </c>
      <c r="R105" s="87">
        <f>IF(TrRoad_act!R21=0,0,R44/TrRoad_act!R21*1000)</f>
        <v>493.86864764474791</v>
      </c>
      <c r="S105" s="87">
        <f>IF(TrRoad_act!S21=0,0,S44/TrRoad_act!S21*1000)</f>
        <v>499.50328004655921</v>
      </c>
      <c r="T105" s="87">
        <f>IF(TrRoad_act!T21=0,0,T44/TrRoad_act!T21*1000)</f>
        <v>502.47283116658957</v>
      </c>
      <c r="U105" s="87">
        <f>IF(TrRoad_act!U21=0,0,U44/TrRoad_act!U21*1000)</f>
        <v>499.32544603647443</v>
      </c>
      <c r="V105" s="87">
        <f>IF(TrRoad_act!V21=0,0,V44/TrRoad_act!V21*1000)</f>
        <v>494.09160045735729</v>
      </c>
      <c r="W105" s="87">
        <f>IF(TrRoad_act!W21=0,0,W44/TrRoad_act!W21*1000)</f>
        <v>488.81424922547075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520.3851860189742</v>
      </c>
      <c r="C106" s="87">
        <f>IF(TrRoad_act!C22=0,0,C46/TrRoad_act!C22*1000)</f>
        <v>462.94655681158633</v>
      </c>
      <c r="D106" s="87">
        <f>IF(TrRoad_act!D22=0,0,D46/TrRoad_act!D22*1000)</f>
        <v>475.46428428192331</v>
      </c>
      <c r="E106" s="87">
        <f>IF(TrRoad_act!E22=0,0,E46/TrRoad_act!E22*1000)</f>
        <v>471.86645388227532</v>
      </c>
      <c r="F106" s="87">
        <f>IF(TrRoad_act!F22=0,0,F46/TrRoad_act!F22*1000)</f>
        <v>467.07322504883575</v>
      </c>
      <c r="G106" s="87">
        <f>IF(TrRoad_act!G22=0,0,G46/TrRoad_act!G22*1000)</f>
        <v>474.10396459340535</v>
      </c>
      <c r="H106" s="87">
        <f>IF(TrRoad_act!H22=0,0,H46/TrRoad_act!H22*1000)</f>
        <v>457.0895501448112</v>
      </c>
      <c r="I106" s="87">
        <f>IF(TrRoad_act!I22=0,0,I46/TrRoad_act!I22*1000)</f>
        <v>457.08398977316239</v>
      </c>
      <c r="J106" s="87">
        <f>IF(TrRoad_act!J22=0,0,J46/TrRoad_act!J22*1000)</f>
        <v>455.69214588512932</v>
      </c>
      <c r="K106" s="87">
        <f>IF(TrRoad_act!K22=0,0,K46/TrRoad_act!K22*1000)</f>
        <v>453.6535011822865</v>
      </c>
      <c r="L106" s="87">
        <f>IF(TrRoad_act!L22=0,0,L46/TrRoad_act!L22*1000)</f>
        <v>450.8828955498812</v>
      </c>
      <c r="M106" s="87">
        <f>IF(TrRoad_act!M22=0,0,M46/TrRoad_act!M22*1000)</f>
        <v>446.1786514512757</v>
      </c>
      <c r="N106" s="87">
        <f>IF(TrRoad_act!N22=0,0,N46/TrRoad_act!N22*1000)</f>
        <v>446.75722767235266</v>
      </c>
      <c r="O106" s="87">
        <f>IF(TrRoad_act!O22=0,0,O46/TrRoad_act!O22*1000)</f>
        <v>438.72260274410479</v>
      </c>
      <c r="P106" s="87">
        <f>IF(TrRoad_act!P22=0,0,P46/TrRoad_act!P22*1000)</f>
        <v>420.89873691946713</v>
      </c>
      <c r="Q106" s="87">
        <f>IF(TrRoad_act!Q22=0,0,Q46/TrRoad_act!Q22*1000)</f>
        <v>407.06608430306619</v>
      </c>
      <c r="R106" s="87">
        <f>IF(TrRoad_act!R22=0,0,R46/TrRoad_act!R22*1000)</f>
        <v>394.04269590313316</v>
      </c>
      <c r="S106" s="87">
        <f>IF(TrRoad_act!S22=0,0,S46/TrRoad_act!S22*1000)</f>
        <v>409.61542270718382</v>
      </c>
      <c r="T106" s="87">
        <f>IF(TrRoad_act!T22=0,0,T46/TrRoad_act!T22*1000)</f>
        <v>400.01139450063636</v>
      </c>
      <c r="U106" s="87">
        <f>IF(TrRoad_act!U22=0,0,U46/TrRoad_act!U22*1000)</f>
        <v>404.76537278412303</v>
      </c>
      <c r="V106" s="87">
        <f>IF(TrRoad_act!V22=0,0,V46/TrRoad_act!V22*1000)</f>
        <v>401.22470211028411</v>
      </c>
      <c r="W106" s="87">
        <f>IF(TrRoad_act!W22=0,0,W46/TrRoad_act!W22*1000)</f>
        <v>407.8369256685296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421.19575130462931</v>
      </c>
      <c r="J107" s="87">
        <f>IF(TrRoad_act!J23=0,0,J48/TrRoad_act!J23*1000)</f>
        <v>411.57255696751088</v>
      </c>
      <c r="K107" s="87">
        <f>IF(TrRoad_act!K23=0,0,K48/TrRoad_act!K23*1000)</f>
        <v>408.15418843480205</v>
      </c>
      <c r="L107" s="87">
        <f>IF(TrRoad_act!L23=0,0,L48/TrRoad_act!L23*1000)</f>
        <v>404.52957458661143</v>
      </c>
      <c r="M107" s="87">
        <f>IF(TrRoad_act!M23=0,0,M48/TrRoad_act!M23*1000)</f>
        <v>405.46533844038299</v>
      </c>
      <c r="N107" s="87">
        <f>IF(TrRoad_act!N23=0,0,N48/TrRoad_act!N23*1000)</f>
        <v>406.61083290315622</v>
      </c>
      <c r="O107" s="87">
        <f>IF(TrRoad_act!O23=0,0,O48/TrRoad_act!O23*1000)</f>
        <v>404.20481929955344</v>
      </c>
      <c r="P107" s="87">
        <f>IF(TrRoad_act!P23=0,0,P48/TrRoad_act!P23*1000)</f>
        <v>401.23128301753775</v>
      </c>
      <c r="Q107" s="87">
        <f>IF(TrRoad_act!Q23=0,0,Q48/TrRoad_act!Q23*1000)</f>
        <v>401.34778872721813</v>
      </c>
      <c r="R107" s="87">
        <f>IF(TrRoad_act!R23=0,0,R48/TrRoad_act!R23*1000)</f>
        <v>396.01609811373822</v>
      </c>
      <c r="S107" s="87">
        <f>IF(TrRoad_act!S23=0,0,S48/TrRoad_act!S23*1000)</f>
        <v>414.23712811624631</v>
      </c>
      <c r="T107" s="87">
        <f>IF(TrRoad_act!T23=0,0,T48/TrRoad_act!T23*1000)</f>
        <v>422.65026233337034</v>
      </c>
      <c r="U107" s="87">
        <f>IF(TrRoad_act!U23=0,0,U48/TrRoad_act!U23*1000)</f>
        <v>424.50465223796391</v>
      </c>
      <c r="V107" s="87">
        <f>IF(TrRoad_act!V23=0,0,V48/TrRoad_act!V23*1000)</f>
        <v>428.64150926161903</v>
      </c>
      <c r="W107" s="87">
        <f>IF(TrRoad_act!W23=0,0,W48/TrRoad_act!W23*1000)</f>
        <v>442.03322359993984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794.08176853878604</v>
      </c>
      <c r="L108" s="87">
        <f>IF(TrRoad_act!L24=0,0,L49/TrRoad_act!L24*1000)</f>
        <v>792.64907086445544</v>
      </c>
      <c r="M108" s="87">
        <f>IF(TrRoad_act!M24=0,0,M49/TrRoad_act!M24*1000)</f>
        <v>798.38820090496574</v>
      </c>
      <c r="N108" s="87">
        <f>IF(TrRoad_act!N24=0,0,N49/TrRoad_act!N24*1000)</f>
        <v>793.85952603223961</v>
      </c>
      <c r="O108" s="87">
        <f>IF(TrRoad_act!O24=0,0,O49/TrRoad_act!O24*1000)</f>
        <v>797.36733013237324</v>
      </c>
      <c r="P108" s="87">
        <f>IF(TrRoad_act!P24=0,0,P49/TrRoad_act!P24*1000)</f>
        <v>795.96811629900151</v>
      </c>
      <c r="Q108" s="87">
        <f>IF(TrRoad_act!Q24=0,0,Q49/TrRoad_act!Q24*1000)</f>
        <v>794.25524514242727</v>
      </c>
      <c r="R108" s="87">
        <f>IF(TrRoad_act!R24=0,0,R49/TrRoad_act!R24*1000)</f>
        <v>777.23154993211188</v>
      </c>
      <c r="S108" s="87">
        <f>IF(TrRoad_act!S24=0,0,S49/TrRoad_act!S24*1000)</f>
        <v>803.02990710606889</v>
      </c>
      <c r="T108" s="87">
        <f>IF(TrRoad_act!T24=0,0,T49/TrRoad_act!T24*1000)</f>
        <v>801.3403527090336</v>
      </c>
      <c r="U108" s="87">
        <f>IF(TrRoad_act!U24=0,0,U49/TrRoad_act!U24*1000)</f>
        <v>796.72257676725837</v>
      </c>
      <c r="V108" s="87">
        <f>IF(TrRoad_act!V24=0,0,V49/TrRoad_act!V24*1000)</f>
        <v>786.20632315921512</v>
      </c>
      <c r="W108" s="87">
        <f>IF(TrRoad_act!W24=0,0,W49/TrRoad_act!W24*1000)</f>
        <v>796.74849591736643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91.544834107604757</v>
      </c>
      <c r="F109" s="87">
        <f>IF(TrRoad_act!F25=0,0,F51/TrRoad_act!F25*1000)</f>
        <v>91.566132029874026</v>
      </c>
      <c r="G109" s="87">
        <f>IF(TrRoad_act!G25=0,0,G51/TrRoad_act!G25*1000)</f>
        <v>89.622562297001863</v>
      </c>
      <c r="H109" s="87">
        <f>IF(TrRoad_act!H25=0,0,H51/TrRoad_act!H25*1000)</f>
        <v>89.643298473450542</v>
      </c>
      <c r="I109" s="87">
        <f>IF(TrRoad_act!I25=0,0,I51/TrRoad_act!I25*1000)</f>
        <v>89.653282028350077</v>
      </c>
      <c r="J109" s="87">
        <f>IF(TrRoad_act!J25=0,0,J51/TrRoad_act!J25*1000)</f>
        <v>87.988024445318757</v>
      </c>
      <c r="K109" s="87">
        <f>IF(TrRoad_act!K25=0,0,K51/TrRoad_act!K25*1000)</f>
        <v>87.649111384924879</v>
      </c>
      <c r="L109" s="87">
        <f>IF(TrRoad_act!L25=0,0,L51/TrRoad_act!L25*1000)</f>
        <v>87.668574451968595</v>
      </c>
      <c r="M109" s="87">
        <f>IF(TrRoad_act!M25=0,0,M51/TrRoad_act!M25*1000)</f>
        <v>86.988646034589436</v>
      </c>
      <c r="N109" s="87">
        <f>IF(TrRoad_act!N25=0,0,N51/TrRoad_act!N25*1000)</f>
        <v>87.17603996089565</v>
      </c>
      <c r="O109" s="87">
        <f>IF(TrRoad_act!O25=0,0,O51/TrRoad_act!O25*1000)</f>
        <v>87.177569274169812</v>
      </c>
      <c r="P109" s="87">
        <f>IF(TrRoad_act!P25=0,0,P51/TrRoad_act!P25*1000)</f>
        <v>87.796479136580231</v>
      </c>
      <c r="Q109" s="87">
        <f>IF(TrRoad_act!Q25=0,0,Q51/TrRoad_act!Q25*1000)</f>
        <v>96.072171837815631</v>
      </c>
      <c r="R109" s="87">
        <f>IF(TrRoad_act!R25=0,0,R51/TrRoad_act!R25*1000)</f>
        <v>97.140605518784852</v>
      </c>
      <c r="S109" s="87">
        <f>IF(TrRoad_act!S25=0,0,S51/TrRoad_act!S25*1000)</f>
        <v>93.664726057477523</v>
      </c>
      <c r="T109" s="87">
        <f>IF(TrRoad_act!T25=0,0,T51/TrRoad_act!T25*1000)</f>
        <v>92.453323640236277</v>
      </c>
      <c r="U109" s="87">
        <f>IF(TrRoad_act!U25=0,0,U51/TrRoad_act!U25*1000)</f>
        <v>92.143712337883258</v>
      </c>
      <c r="V109" s="87">
        <f>IF(TrRoad_act!V25=0,0,V51/TrRoad_act!V25*1000)</f>
        <v>102.56133264216898</v>
      </c>
      <c r="W109" s="87">
        <f>IF(TrRoad_act!W25=0,0,W51/TrRoad_act!W25*1000)</f>
        <v>109.65370184785573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22.745118363877523</v>
      </c>
      <c r="C110" s="116">
        <f>IF(TrRoad_act!C26=0,0,C52/TrRoad_act!C26*1000)</f>
        <v>19.172730085248382</v>
      </c>
      <c r="D110" s="116">
        <f>IF(TrRoad_act!D26=0,0,D52/TrRoad_act!D26*1000)</f>
        <v>24.952699855906467</v>
      </c>
      <c r="E110" s="116">
        <f>IF(TrRoad_act!E26=0,0,E52/TrRoad_act!E26*1000)</f>
        <v>26.934410319099836</v>
      </c>
      <c r="F110" s="116">
        <f>IF(TrRoad_act!F26=0,0,F52/TrRoad_act!F26*1000)</f>
        <v>26.949004287177747</v>
      </c>
      <c r="G110" s="116">
        <f>IF(TrRoad_act!G26=0,0,G52/TrRoad_act!G26*1000)</f>
        <v>26.555069080855311</v>
      </c>
      <c r="H110" s="116">
        <f>IF(TrRoad_act!H26=0,0,H52/TrRoad_act!H26*1000)</f>
        <v>27.604864799952736</v>
      </c>
      <c r="I110" s="116">
        <f>IF(TrRoad_act!I26=0,0,I52/TrRoad_act!I26*1000)</f>
        <v>28.525906055464478</v>
      </c>
      <c r="J110" s="116">
        <f>IF(TrRoad_act!J26=0,0,J52/TrRoad_act!J26*1000)</f>
        <v>29.792030126888545</v>
      </c>
      <c r="K110" s="116">
        <f>IF(TrRoad_act!K26=0,0,K52/TrRoad_act!K26*1000)</f>
        <v>33.013982046734242</v>
      </c>
      <c r="L110" s="116">
        <f>IF(TrRoad_act!L26=0,0,L52/TrRoad_act!L26*1000)</f>
        <v>35.405719893531121</v>
      </c>
      <c r="M110" s="116">
        <f>IF(TrRoad_act!M26=0,0,M52/TrRoad_act!M26*1000)</f>
        <v>34.554538135491093</v>
      </c>
      <c r="N110" s="116">
        <f>IF(TrRoad_act!N26=0,0,N52/TrRoad_act!N26*1000)</f>
        <v>32.939645624664266</v>
      </c>
      <c r="O110" s="116">
        <f>IF(TrRoad_act!O26=0,0,O52/TrRoad_act!O26*1000)</f>
        <v>37.928422787203495</v>
      </c>
      <c r="P110" s="116">
        <f>IF(TrRoad_act!P26=0,0,P52/TrRoad_act!P26*1000)</f>
        <v>33.951652051383263</v>
      </c>
      <c r="Q110" s="116">
        <f>IF(TrRoad_act!Q26=0,0,Q52/TrRoad_act!Q26*1000)</f>
        <v>32.346443107182459</v>
      </c>
      <c r="R110" s="116">
        <f>IF(TrRoad_act!R26=0,0,R52/TrRoad_act!R26*1000)</f>
        <v>29.794212086321114</v>
      </c>
      <c r="S110" s="116">
        <f>IF(TrRoad_act!S26=0,0,S52/TrRoad_act!S26*1000)</f>
        <v>34.267768332705124</v>
      </c>
      <c r="T110" s="116">
        <f>IF(TrRoad_act!T26=0,0,T52/TrRoad_act!T26*1000)</f>
        <v>30.574674843329753</v>
      </c>
      <c r="U110" s="116">
        <f>IF(TrRoad_act!U26=0,0,U52/TrRoad_act!U26*1000)</f>
        <v>38.008177946640451</v>
      </c>
      <c r="V110" s="116">
        <f>IF(TrRoad_act!V26=0,0,V52/TrRoad_act!V26*1000)</f>
        <v>35.914860719692498</v>
      </c>
      <c r="W110" s="116">
        <f>IF(TrRoad_act!W26=0,0,W52/TrRoad_act!W26*1000)</f>
        <v>35.261440234738636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32.087216419391105</v>
      </c>
      <c r="C111" s="101">
        <f>IF(TrRoad_act!C27=0,0,C53/TrRoad_act!C27*1000)</f>
        <v>30.109607449571701</v>
      </c>
      <c r="D111" s="101">
        <f>IF(TrRoad_act!D27=0,0,D53/TrRoad_act!D27*1000)</f>
        <v>36.544979149541717</v>
      </c>
      <c r="E111" s="101">
        <f>IF(TrRoad_act!E27=0,0,E53/TrRoad_act!E27*1000)</f>
        <v>38.564107367994808</v>
      </c>
      <c r="F111" s="101">
        <f>IF(TrRoad_act!F27=0,0,F53/TrRoad_act!F27*1000)</f>
        <v>38.558714018087265</v>
      </c>
      <c r="G111" s="101">
        <f>IF(TrRoad_act!G27=0,0,G53/TrRoad_act!G27*1000)</f>
        <v>38.41554029255817</v>
      </c>
      <c r="H111" s="101">
        <f>IF(TrRoad_act!H27=0,0,H53/TrRoad_act!H27*1000)</f>
        <v>38.407885017191013</v>
      </c>
      <c r="I111" s="101">
        <f>IF(TrRoad_act!I27=0,0,I53/TrRoad_act!I27*1000)</f>
        <v>38.798719095019528</v>
      </c>
      <c r="J111" s="101">
        <f>IF(TrRoad_act!J27=0,0,J53/TrRoad_act!J27*1000)</f>
        <v>35.685272544933056</v>
      </c>
      <c r="K111" s="101">
        <f>IF(TrRoad_act!K27=0,0,K53/TrRoad_act!K27*1000)</f>
        <v>38.413069845566632</v>
      </c>
      <c r="L111" s="101">
        <f>IF(TrRoad_act!L27=0,0,L53/TrRoad_act!L27*1000)</f>
        <v>41.49752872571883</v>
      </c>
      <c r="M111" s="101">
        <f>IF(TrRoad_act!M27=0,0,M53/TrRoad_act!M27*1000)</f>
        <v>42.162279707769436</v>
      </c>
      <c r="N111" s="101">
        <f>IF(TrRoad_act!N27=0,0,N53/TrRoad_act!N27*1000)</f>
        <v>40.98845206461214</v>
      </c>
      <c r="O111" s="101">
        <f>IF(TrRoad_act!O27=0,0,O53/TrRoad_act!O27*1000)</f>
        <v>41.921567006280441</v>
      </c>
      <c r="P111" s="101">
        <f>IF(TrRoad_act!P27=0,0,P53/TrRoad_act!P27*1000)</f>
        <v>41.049323001811096</v>
      </c>
      <c r="Q111" s="101">
        <f>IF(TrRoad_act!Q27=0,0,Q53/TrRoad_act!Q27*1000)</f>
        <v>39.68104958847951</v>
      </c>
      <c r="R111" s="101">
        <f>IF(TrRoad_act!R27=0,0,R53/TrRoad_act!R27*1000)</f>
        <v>39.670553872095304</v>
      </c>
      <c r="S111" s="101">
        <f>IF(TrRoad_act!S27=0,0,S53/TrRoad_act!S27*1000)</f>
        <v>41.242532580138949</v>
      </c>
      <c r="T111" s="101">
        <f>IF(TrRoad_act!T27=0,0,T53/TrRoad_act!T27*1000)</f>
        <v>38.884415735180923</v>
      </c>
      <c r="U111" s="101">
        <f>IF(TrRoad_act!U27=0,0,U53/TrRoad_act!U27*1000)</f>
        <v>41.064714768420252</v>
      </c>
      <c r="V111" s="101">
        <f>IF(TrRoad_act!V27=0,0,V53/TrRoad_act!V27*1000)</f>
        <v>39.235442560747231</v>
      </c>
      <c r="W111" s="101">
        <f>IF(TrRoad_act!W27=0,0,W53/TrRoad_act!W27*1000)</f>
        <v>39.228608663951007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18.697319706075053</v>
      </c>
      <c r="C112" s="88">
        <f>IF(TrRoad_act!C28=0,0,C55/TrRoad_act!C28*1000)</f>
        <v>11.715734961112632</v>
      </c>
      <c r="D112" s="88">
        <f>IF(TrRoad_act!D28=0,0,D55/TrRoad_act!D28*1000)</f>
        <v>16.443662410862082</v>
      </c>
      <c r="E112" s="88">
        <f>IF(TrRoad_act!E28=0,0,E55/TrRoad_act!E28*1000)</f>
        <v>17.475940363732278</v>
      </c>
      <c r="F112" s="88">
        <f>IF(TrRoad_act!F28=0,0,F55/TrRoad_act!F28*1000)</f>
        <v>18.323071299080166</v>
      </c>
      <c r="G112" s="88">
        <f>IF(TrRoad_act!G28=0,0,G55/TrRoad_act!G28*1000)</f>
        <v>18.019733020473012</v>
      </c>
      <c r="H112" s="88">
        <f>IF(TrRoad_act!H28=0,0,H55/TrRoad_act!H28*1000)</f>
        <v>17.432346117321202</v>
      </c>
      <c r="I112" s="88">
        <f>IF(TrRoad_act!I28=0,0,I55/TrRoad_act!I28*1000)</f>
        <v>19.624277163254892</v>
      </c>
      <c r="J112" s="88">
        <f>IF(TrRoad_act!J28=0,0,J55/TrRoad_act!J28*1000)</f>
        <v>20.127525737302935</v>
      </c>
      <c r="K112" s="88">
        <f>IF(TrRoad_act!K28=0,0,K55/TrRoad_act!K28*1000)</f>
        <v>24.806943126112913</v>
      </c>
      <c r="L112" s="88">
        <f>IF(TrRoad_act!L28=0,0,L55/TrRoad_act!L28*1000)</f>
        <v>27.208490683424387</v>
      </c>
      <c r="M112" s="88">
        <f>IF(TrRoad_act!M28=0,0,M55/TrRoad_act!M28*1000)</f>
        <v>24.642032035686285</v>
      </c>
      <c r="N112" s="88">
        <f>IF(TrRoad_act!N28=0,0,N55/TrRoad_act!N28*1000)</f>
        <v>22.732001202025224</v>
      </c>
      <c r="O112" s="88">
        <f>IF(TrRoad_act!O28=0,0,O55/TrRoad_act!O28*1000)</f>
        <v>32.915573172549138</v>
      </c>
      <c r="P112" s="88">
        <f>IF(TrRoad_act!P28=0,0,P55/TrRoad_act!P28*1000)</f>
        <v>26.276426987041425</v>
      </c>
      <c r="Q112" s="88">
        <f>IF(TrRoad_act!Q28=0,0,Q55/TrRoad_act!Q28*1000)</f>
        <v>25.20459123107802</v>
      </c>
      <c r="R112" s="88">
        <f>IF(TrRoad_act!R28=0,0,R55/TrRoad_act!R28*1000)</f>
        <v>20.562226765154708</v>
      </c>
      <c r="S112" s="88">
        <f>IF(TrRoad_act!S28=0,0,S55/TrRoad_act!S28*1000)</f>
        <v>28.711345595219807</v>
      </c>
      <c r="T112" s="88">
        <f>IF(TrRoad_act!T28=0,0,T55/TrRoad_act!T28*1000)</f>
        <v>23.917135555212145</v>
      </c>
      <c r="U112" s="88">
        <f>IF(TrRoad_act!U28=0,0,U55/TrRoad_act!U28*1000)</f>
        <v>35.217032928530642</v>
      </c>
      <c r="V112" s="88">
        <f>IF(TrRoad_act!V28=0,0,V55/TrRoad_act!V28*1000)</f>
        <v>32.806923564746199</v>
      </c>
      <c r="W112" s="88">
        <f>IF(TrRoad_act!W28=0,0,W55/TrRoad_act!W28*1000)</f>
        <v>31.028030724276913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72.063246305118568</v>
      </c>
      <c r="C116" s="152">
        <f>IF(C19=0,0,1000000*C19/TrRoad_act!C59)</f>
        <v>71.986874760724575</v>
      </c>
      <c r="D116" s="152">
        <f>IF(D19=0,0,1000000*D19/TrRoad_act!D59)</f>
        <v>70.3092730390036</v>
      </c>
      <c r="E116" s="152">
        <f>IF(E19=0,0,1000000*E19/TrRoad_act!E59)</f>
        <v>66.050593146485724</v>
      </c>
      <c r="F116" s="152">
        <f>IF(F19=0,0,1000000*F19/TrRoad_act!F59)</f>
        <v>62.770472597681497</v>
      </c>
      <c r="G116" s="152">
        <f>IF(G19=0,0,1000000*G19/TrRoad_act!G59)</f>
        <v>59.715918798077624</v>
      </c>
      <c r="H116" s="152">
        <f>IF(H19=0,0,1000000*H19/TrRoad_act!H59)</f>
        <v>57.32044970449688</v>
      </c>
      <c r="I116" s="152">
        <f>IF(I19=0,0,1000000*I19/TrRoad_act!I59)</f>
        <v>54.871639598645878</v>
      </c>
      <c r="J116" s="152">
        <f>IF(J19=0,0,1000000*J19/TrRoad_act!J59)</f>
        <v>52.724055238856742</v>
      </c>
      <c r="K116" s="152">
        <f>IF(K19=0,0,1000000*K19/TrRoad_act!K59)</f>
        <v>51.956883877602245</v>
      </c>
      <c r="L116" s="152">
        <f>IF(L19=0,0,1000000*L19/TrRoad_act!L59)</f>
        <v>51.744592488240094</v>
      </c>
      <c r="M116" s="152">
        <f>IF(M19=0,0,1000000*M19/TrRoad_act!M59)</f>
        <v>51.544191788711984</v>
      </c>
      <c r="N116" s="152">
        <f>IF(N19=0,0,1000000*N19/TrRoad_act!N59)</f>
        <v>51.256569170754219</v>
      </c>
      <c r="O116" s="152">
        <f>IF(O19=0,0,1000000*O19/TrRoad_act!O59)</f>
        <v>51.463457583110404</v>
      </c>
      <c r="P116" s="152">
        <f>IF(P19=0,0,1000000*P19/TrRoad_act!P59)</f>
        <v>51.51429219360238</v>
      </c>
      <c r="Q116" s="152">
        <f>IF(Q19=0,0,1000000*Q19/TrRoad_act!Q59)</f>
        <v>51.951836442289064</v>
      </c>
      <c r="R116" s="152">
        <f>IF(R19=0,0,1000000*R19/TrRoad_act!R59)</f>
        <v>53.603538651947638</v>
      </c>
      <c r="S116" s="152">
        <f>IF(S19=0,0,1000000*S19/TrRoad_act!S59)</f>
        <v>55.287403701662448</v>
      </c>
      <c r="T116" s="152">
        <f>IF(T19=0,0,1000000*T19/TrRoad_act!T59)</f>
        <v>54.846993365981419</v>
      </c>
      <c r="U116" s="152">
        <f>IF(U19=0,0,1000000*U19/TrRoad_act!U59)</f>
        <v>56.215551243746859</v>
      </c>
      <c r="V116" s="152">
        <f>IF(V19=0,0,1000000*V19/TrRoad_act!V59)</f>
        <v>49.522189546195932</v>
      </c>
      <c r="W116" s="152">
        <f>IF(W19=0,0,1000000*W19/TrRoad_act!W59)</f>
        <v>57.214133714853098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870.95424205742006</v>
      </c>
      <c r="C117" s="116">
        <f>IF(C21=0,0,1000000*C21/TrRoad_act!C60)</f>
        <v>833.99352902175588</v>
      </c>
      <c r="D117" s="116">
        <f>IF(D21=0,0,1000000*D21/TrRoad_act!D60)</f>
        <v>819.95881659753741</v>
      </c>
      <c r="E117" s="116">
        <f>IF(E21=0,0,1000000*E21/TrRoad_act!E60)</f>
        <v>850.8239761133533</v>
      </c>
      <c r="F117" s="116">
        <f>IF(F21=0,0,1000000*F21/TrRoad_act!F60)</f>
        <v>831.33100092712209</v>
      </c>
      <c r="G117" s="116">
        <f>IF(G21=0,0,1000000*G21/TrRoad_act!G60)</f>
        <v>840.45460527554076</v>
      </c>
      <c r="H117" s="116">
        <f>IF(H21=0,0,1000000*H21/TrRoad_act!H60)</f>
        <v>869.58978242209866</v>
      </c>
      <c r="I117" s="116">
        <f>IF(I21=0,0,1000000*I21/TrRoad_act!I60)</f>
        <v>905.22398233154843</v>
      </c>
      <c r="J117" s="116">
        <f>IF(J21=0,0,1000000*J21/TrRoad_act!J60)</f>
        <v>865.17955673698521</v>
      </c>
      <c r="K117" s="116">
        <f>IF(K21=0,0,1000000*K21/TrRoad_act!K60)</f>
        <v>885.75396459263811</v>
      </c>
      <c r="L117" s="116">
        <f>IF(L21=0,0,1000000*L21/TrRoad_act!L60)</f>
        <v>853.22781288753242</v>
      </c>
      <c r="M117" s="116">
        <f>IF(M21=0,0,1000000*M21/TrRoad_act!M60)</f>
        <v>844.88328387555134</v>
      </c>
      <c r="N117" s="116">
        <f>IF(N21=0,0,1000000*N21/TrRoad_act!N60)</f>
        <v>887.09902970376902</v>
      </c>
      <c r="O117" s="116">
        <f>IF(O21=0,0,1000000*O21/TrRoad_act!O60)</f>
        <v>866.34898353063659</v>
      </c>
      <c r="P117" s="116">
        <f>IF(P21=0,0,1000000*P21/TrRoad_act!P60)</f>
        <v>859.96753624746611</v>
      </c>
      <c r="Q117" s="116">
        <f>IF(Q21=0,0,1000000*Q21/TrRoad_act!Q60)</f>
        <v>890.03321296107811</v>
      </c>
      <c r="R117" s="116">
        <f>IF(R21=0,0,1000000*R21/TrRoad_act!R60)</f>
        <v>893.8798639655048</v>
      </c>
      <c r="S117" s="116">
        <f>IF(S21=0,0,1000000*S21/TrRoad_act!S60)</f>
        <v>894.96043675761791</v>
      </c>
      <c r="T117" s="116">
        <f>IF(T21=0,0,1000000*T21/TrRoad_act!T60)</f>
        <v>836.82194492290603</v>
      </c>
      <c r="U117" s="116">
        <f>IF(U21=0,0,1000000*U21/TrRoad_act!U60)</f>
        <v>838.47918329847687</v>
      </c>
      <c r="V117" s="116">
        <f>IF(V21=0,0,1000000*V21/TrRoad_act!V60)</f>
        <v>714.82109123538476</v>
      </c>
      <c r="W117" s="116">
        <f>IF(W21=0,0,1000000*W21/TrRoad_act!W60)</f>
        <v>772.77700535683709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891.4757656998288</v>
      </c>
      <c r="C118" s="87">
        <f>IF(C22=0,0,1000000*C22/TrRoad_act!C61)</f>
        <v>834.10512351036368</v>
      </c>
      <c r="D118" s="87">
        <f>IF(D22=0,0,1000000*D22/TrRoad_act!D61)</f>
        <v>832.87301541790987</v>
      </c>
      <c r="E118" s="87">
        <f>IF(E22=0,0,1000000*E22/TrRoad_act!E61)</f>
        <v>819.1282044628324</v>
      </c>
      <c r="F118" s="87">
        <f>IF(F22=0,0,1000000*F22/TrRoad_act!F61)</f>
        <v>781.99621938399866</v>
      </c>
      <c r="G118" s="87">
        <f>IF(G22=0,0,1000000*G22/TrRoad_act!G61)</f>
        <v>767.56632295667657</v>
      </c>
      <c r="H118" s="87">
        <f>IF(H22=0,0,1000000*H22/TrRoad_act!H61)</f>
        <v>767.71119311391681</v>
      </c>
      <c r="I118" s="87">
        <f>IF(I22=0,0,1000000*I22/TrRoad_act!I61)</f>
        <v>774.62581143987074</v>
      </c>
      <c r="J118" s="87">
        <f>IF(J22=0,0,1000000*J22/TrRoad_act!J61)</f>
        <v>739.01256774743638</v>
      </c>
      <c r="K118" s="87">
        <f>IF(K22=0,0,1000000*K22/TrRoad_act!K61)</f>
        <v>764.24220134807308</v>
      </c>
      <c r="L118" s="87">
        <f>IF(L22=0,0,1000000*L22/TrRoad_act!L61)</f>
        <v>729.16691552359725</v>
      </c>
      <c r="M118" s="87">
        <f>IF(M22=0,0,1000000*M22/TrRoad_act!M61)</f>
        <v>723.95511916952273</v>
      </c>
      <c r="N118" s="87">
        <f>IF(N22=0,0,1000000*N22/TrRoad_act!N61)</f>
        <v>729.56387240355957</v>
      </c>
      <c r="O118" s="87">
        <f>IF(O22=0,0,1000000*O22/TrRoad_act!O61)</f>
        <v>723.77408853726672</v>
      </c>
      <c r="P118" s="87">
        <f>IF(P22=0,0,1000000*P22/TrRoad_act!P61)</f>
        <v>682.65959946115936</v>
      </c>
      <c r="Q118" s="87">
        <f>IF(Q22=0,0,1000000*Q22/TrRoad_act!Q61)</f>
        <v>700.07892595379087</v>
      </c>
      <c r="R118" s="87">
        <f>IF(R22=0,0,1000000*R22/TrRoad_act!R61)</f>
        <v>716.07067991065367</v>
      </c>
      <c r="S118" s="87">
        <f>IF(S22=0,0,1000000*S22/TrRoad_act!S61)</f>
        <v>700.86926573653341</v>
      </c>
      <c r="T118" s="87">
        <f>IF(T22=0,0,1000000*T22/TrRoad_act!T61)</f>
        <v>689.69413359973453</v>
      </c>
      <c r="U118" s="87">
        <f>IF(U22=0,0,1000000*U22/TrRoad_act!U61)</f>
        <v>668.9828754528013</v>
      </c>
      <c r="V118" s="87">
        <f>IF(V22=0,0,1000000*V22/TrRoad_act!V61)</f>
        <v>568.9932477785768</v>
      </c>
      <c r="W118" s="87">
        <f>IF(W22=0,0,1000000*W22/TrRoad_act!W61)</f>
        <v>639.65546966206921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791.29741525258214</v>
      </c>
      <c r="C119" s="87">
        <f>IF(C24=0,0,1000000*C24/TrRoad_act!C62)</f>
        <v>829.74587303728845</v>
      </c>
      <c r="D119" s="87">
        <f>IF(D24=0,0,1000000*D24/TrRoad_act!D62)</f>
        <v>772.73074921316129</v>
      </c>
      <c r="E119" s="87">
        <f>IF(E24=0,0,1000000*E24/TrRoad_act!E62)</f>
        <v>939.61036403224557</v>
      </c>
      <c r="F119" s="87">
        <f>IF(F24=0,0,1000000*F24/TrRoad_act!F62)</f>
        <v>952.98004524338558</v>
      </c>
      <c r="G119" s="87">
        <f>IF(G24=0,0,1000000*G24/TrRoad_act!G62)</f>
        <v>1006.7159440769715</v>
      </c>
      <c r="H119" s="87">
        <f>IF(H24=0,0,1000000*H24/TrRoad_act!H62)</f>
        <v>1089.2945239424207</v>
      </c>
      <c r="I119" s="87">
        <f>IF(I24=0,0,1000000*I24/TrRoad_act!I62)</f>
        <v>1171.0900880161246</v>
      </c>
      <c r="J119" s="87">
        <f>IF(J24=0,0,1000000*J24/TrRoad_act!J62)</f>
        <v>1106.7359100894946</v>
      </c>
      <c r="K119" s="87">
        <f>IF(K24=0,0,1000000*K24/TrRoad_act!K62)</f>
        <v>1142.2711455845294</v>
      </c>
      <c r="L119" s="87">
        <f>IF(L24=0,0,1000000*L24/TrRoad_act!L62)</f>
        <v>1095.3318072252312</v>
      </c>
      <c r="M119" s="87">
        <f>IF(M24=0,0,1000000*M24/TrRoad_act!M62)</f>
        <v>1076.0773017235672</v>
      </c>
      <c r="N119" s="87">
        <f>IF(N24=0,0,1000000*N24/TrRoad_act!N62)</f>
        <v>1156.8972937160331</v>
      </c>
      <c r="O119" s="87">
        <f>IF(O24=0,0,1000000*O24/TrRoad_act!O62)</f>
        <v>1094.1696151449944</v>
      </c>
      <c r="P119" s="87">
        <f>IF(P24=0,0,1000000*P24/TrRoad_act!P62)</f>
        <v>1110.4932664719558</v>
      </c>
      <c r="Q119" s="87">
        <f>IF(Q24=0,0,1000000*Q24/TrRoad_act!Q62)</f>
        <v>1134.6162203103606</v>
      </c>
      <c r="R119" s="87">
        <f>IF(R24=0,0,1000000*R24/TrRoad_act!R62)</f>
        <v>1102.5866284479137</v>
      </c>
      <c r="S119" s="87">
        <f>IF(S24=0,0,1000000*S24/TrRoad_act!S62)</f>
        <v>1109.18002605539</v>
      </c>
      <c r="T119" s="87">
        <f>IF(T24=0,0,1000000*T24/TrRoad_act!T62)</f>
        <v>988.47501934751187</v>
      </c>
      <c r="U119" s="87">
        <f>IF(U24=0,0,1000000*U24/TrRoad_act!U62)</f>
        <v>1006.2155651324134</v>
      </c>
      <c r="V119" s="87">
        <f>IF(V24=0,0,1000000*V24/TrRoad_act!V62)</f>
        <v>858.64139393964217</v>
      </c>
      <c r="W119" s="87">
        <f>IF(W24=0,0,1000000*W24/TrRoad_act!W62)</f>
        <v>909.2150200082009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861.4987763740985</v>
      </c>
      <c r="C120" s="87">
        <f>IF(C26=0,0,1000000*C26/TrRoad_act!C63)</f>
        <v>900.52136903215887</v>
      </c>
      <c r="D120" s="87">
        <f>IF(D26=0,0,1000000*D26/TrRoad_act!D63)</f>
        <v>929.35933881810149</v>
      </c>
      <c r="E120" s="87">
        <f>IF(E26=0,0,1000000*E26/TrRoad_act!E63)</f>
        <v>866.83313412254529</v>
      </c>
      <c r="F120" s="87">
        <f>IF(F26=0,0,1000000*F26/TrRoad_act!F63)</f>
        <v>866.08851249562758</v>
      </c>
      <c r="G120" s="87">
        <f>IF(G26=0,0,1000000*G26/TrRoad_act!G63)</f>
        <v>846.63820370762255</v>
      </c>
      <c r="H120" s="87">
        <f>IF(H26=0,0,1000000*H26/TrRoad_act!H63)</f>
        <v>842.82006149766414</v>
      </c>
      <c r="I120" s="87">
        <f>IF(I26=0,0,1000000*I26/TrRoad_act!I63)</f>
        <v>814.59760860249435</v>
      </c>
      <c r="J120" s="87">
        <f>IF(J26=0,0,1000000*J26/TrRoad_act!J63)</f>
        <v>841.0213263530452</v>
      </c>
      <c r="K120" s="87">
        <f>IF(K26=0,0,1000000*K26/TrRoad_act!K63)</f>
        <v>717.5559820100043</v>
      </c>
      <c r="L120" s="87">
        <f>IF(L26=0,0,1000000*L26/TrRoad_act!L63)</f>
        <v>712.2148534635644</v>
      </c>
      <c r="M120" s="87">
        <f>IF(M26=0,0,1000000*M26/TrRoad_act!M63)</f>
        <v>686.04317635331506</v>
      </c>
      <c r="N120" s="87">
        <f>IF(N26=0,0,1000000*N26/TrRoad_act!N63)</f>
        <v>726.98711396472686</v>
      </c>
      <c r="O120" s="87">
        <f>IF(O26=0,0,1000000*O26/TrRoad_act!O63)</f>
        <v>755.25399259840879</v>
      </c>
      <c r="P120" s="87">
        <f>IF(P26=0,0,1000000*P26/TrRoad_act!P63)</f>
        <v>774.02808951066868</v>
      </c>
      <c r="Q120" s="87">
        <f>IF(Q26=0,0,1000000*Q26/TrRoad_act!Q63)</f>
        <v>804.39927052585722</v>
      </c>
      <c r="R120" s="87">
        <f>IF(R26=0,0,1000000*R26/TrRoad_act!R63)</f>
        <v>798.49653595453253</v>
      </c>
      <c r="S120" s="87">
        <f>IF(S26=0,0,1000000*S26/TrRoad_act!S63)</f>
        <v>748.80873862497651</v>
      </c>
      <c r="T120" s="87">
        <f>IF(T26=0,0,1000000*T26/TrRoad_act!T63)</f>
        <v>694.22702822497945</v>
      </c>
      <c r="U120" s="87">
        <f>IF(U26=0,0,1000000*U26/TrRoad_act!U63)</f>
        <v>619.80557645915405</v>
      </c>
      <c r="V120" s="87">
        <f>IF(V26=0,0,1000000*V26/TrRoad_act!V63)</f>
        <v>476.3911850320568</v>
      </c>
      <c r="W120" s="87">
        <f>IF(W26=0,0,1000000*W26/TrRoad_act!W63)</f>
        <v>481.78805843710643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1084.8893362993263</v>
      </c>
      <c r="L121" s="87">
        <f>IF(L27=0,0,1000000*L27/TrRoad_act!L64)</f>
        <v>1094.8920797371691</v>
      </c>
      <c r="M121" s="87">
        <f>IF(M27=0,0,1000000*M27/TrRoad_act!M64)</f>
        <v>1097.9492492757713</v>
      </c>
      <c r="N121" s="87">
        <f>IF(N27=0,0,1000000*N27/TrRoad_act!N64)</f>
        <v>1155.0118814629086</v>
      </c>
      <c r="O121" s="87">
        <f>IF(O27=0,0,1000000*O27/TrRoad_act!O64)</f>
        <v>1161.8642140281695</v>
      </c>
      <c r="P121" s="87">
        <f>IF(P27=0,0,1000000*P27/TrRoad_act!P64)</f>
        <v>1127.7952290864193</v>
      </c>
      <c r="Q121" s="87">
        <f>IF(Q27=0,0,1000000*Q27/TrRoad_act!Q64)</f>
        <v>1118.8664398772346</v>
      </c>
      <c r="R121" s="87">
        <f>IF(R27=0,0,1000000*R27/TrRoad_act!R64)</f>
        <v>1174.7059915914215</v>
      </c>
      <c r="S121" s="87">
        <f>IF(S27=0,0,1000000*S27/TrRoad_act!S64)</f>
        <v>1160.2307279472238</v>
      </c>
      <c r="T121" s="87">
        <f>IF(T27=0,0,1000000*T27/TrRoad_act!T64)</f>
        <v>1170.248156818742</v>
      </c>
      <c r="U121" s="87">
        <f>IF(U27=0,0,1000000*U27/TrRoad_act!U64)</f>
        <v>1098.4662450251674</v>
      </c>
      <c r="V121" s="87">
        <f>IF(V27=0,0,1000000*V27/TrRoad_act!V64)</f>
        <v>880.10601181768789</v>
      </c>
      <c r="W121" s="87">
        <f>IF(W27=0,0,1000000*W27/TrRoad_act!W64)</f>
        <v>1028.9880691374458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0</v>
      </c>
      <c r="P122" s="87">
        <f>IF(P29=0,0,1000000*P29/TrRoad_act!P65)</f>
        <v>446.33258404304678</v>
      </c>
      <c r="Q122" s="87">
        <f>IF(Q29=0,0,1000000*Q29/TrRoad_act!Q65)</f>
        <v>470.70976355330475</v>
      </c>
      <c r="R122" s="87">
        <f>IF(R29=0,0,1000000*R29/TrRoad_act!R65)</f>
        <v>494.32975603641023</v>
      </c>
      <c r="S122" s="87">
        <f>IF(S29=0,0,1000000*S29/TrRoad_act!S65)</f>
        <v>482.42372291098724</v>
      </c>
      <c r="T122" s="87">
        <f>IF(T29=0,0,1000000*T29/TrRoad_act!T65)</f>
        <v>490.1067161111215</v>
      </c>
      <c r="U122" s="87">
        <f>IF(U29=0,0,1000000*U29/TrRoad_act!U65)</f>
        <v>498.42802699259033</v>
      </c>
      <c r="V122" s="87">
        <f>IF(V29=0,0,1000000*V29/TrRoad_act!V65)</f>
        <v>388.37029509480351</v>
      </c>
      <c r="W122" s="87">
        <f>IF(W29=0,0,1000000*W29/TrRoad_act!W65)</f>
        <v>452.62457800174684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157.7448513775509</v>
      </c>
      <c r="O123" s="87">
        <f>IF(O32=0,0,1000000*O32/TrRoad_act!O66)</f>
        <v>158.85432298184733</v>
      </c>
      <c r="P123" s="87">
        <f>IF(P32=0,0,1000000*P32/TrRoad_act!P66)</f>
        <v>162.7075019507372</v>
      </c>
      <c r="Q123" s="87">
        <f>IF(Q32=0,0,1000000*Q32/TrRoad_act!Q66)</f>
        <v>159.58334201224591</v>
      </c>
      <c r="R123" s="87">
        <f>IF(R32=0,0,1000000*R32/TrRoad_act!R66)</f>
        <v>157.45592058397358</v>
      </c>
      <c r="S123" s="87">
        <f>IF(S32=0,0,1000000*S32/TrRoad_act!S66)</f>
        <v>158.46247336974275</v>
      </c>
      <c r="T123" s="87">
        <f>IF(T32=0,0,1000000*T32/TrRoad_act!T66)</f>
        <v>173.38092382930682</v>
      </c>
      <c r="U123" s="87">
        <f>IF(U32=0,0,1000000*U32/TrRoad_act!U66)</f>
        <v>197.27161571172184</v>
      </c>
      <c r="V123" s="87">
        <f>IF(V32=0,0,1000000*V32/TrRoad_act!V66)</f>
        <v>180.16719341055278</v>
      </c>
      <c r="W123" s="87">
        <f>IF(W32=0,0,1000000*W32/TrRoad_act!W66)</f>
        <v>207.51799798425478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20492.279801160119</v>
      </c>
      <c r="C124" s="116">
        <f>IF(C33=0,0,1000000*C33/TrRoad_act!C67)</f>
        <v>19640.930219315851</v>
      </c>
      <c r="D124" s="116">
        <f>IF(D33=0,0,1000000*D33/TrRoad_act!D67)</f>
        <v>19369.685998555247</v>
      </c>
      <c r="E124" s="116">
        <f>IF(E33=0,0,1000000*E33/TrRoad_act!E67)</f>
        <v>19342.27914307846</v>
      </c>
      <c r="F124" s="116">
        <f>IF(F33=0,0,1000000*F33/TrRoad_act!F67)</f>
        <v>18785.479787507713</v>
      </c>
      <c r="G124" s="116">
        <f>IF(G33=0,0,1000000*G33/TrRoad_act!G67)</f>
        <v>18503.100582099229</v>
      </c>
      <c r="H124" s="116">
        <f>IF(H33=0,0,1000000*H33/TrRoad_act!H67)</f>
        <v>18326.428180252675</v>
      </c>
      <c r="I124" s="116">
        <f>IF(I33=0,0,1000000*I33/TrRoad_act!I67)</f>
        <v>18531.24798589206</v>
      </c>
      <c r="J124" s="116">
        <f>IF(J33=0,0,1000000*J33/TrRoad_act!J67)</f>
        <v>18316.407317638525</v>
      </c>
      <c r="K124" s="116">
        <f>IF(K33=0,0,1000000*K33/TrRoad_act!K67)</f>
        <v>18787.273254846255</v>
      </c>
      <c r="L124" s="116">
        <f>IF(L33=0,0,1000000*L33/TrRoad_act!L67)</f>
        <v>19192.08733847662</v>
      </c>
      <c r="M124" s="116">
        <f>IF(M33=0,0,1000000*M33/TrRoad_act!M67)</f>
        <v>18458.822376046555</v>
      </c>
      <c r="N124" s="116">
        <f>IF(N33=0,0,1000000*N33/TrRoad_act!N67)</f>
        <v>18458.093987694596</v>
      </c>
      <c r="O124" s="116">
        <f>IF(O33=0,0,1000000*O33/TrRoad_act!O67)</f>
        <v>18195.659676100542</v>
      </c>
      <c r="P124" s="116">
        <f>IF(P33=0,0,1000000*P33/TrRoad_act!P67)</f>
        <v>17614.002158659445</v>
      </c>
      <c r="Q124" s="116">
        <f>IF(Q33=0,0,1000000*Q33/TrRoad_act!Q67)</f>
        <v>18322.839921737428</v>
      </c>
      <c r="R124" s="116">
        <f>IF(R33=0,0,1000000*R33/TrRoad_act!R67)</f>
        <v>18703.534703926431</v>
      </c>
      <c r="S124" s="116">
        <f>IF(S33=0,0,1000000*S33/TrRoad_act!S67)</f>
        <v>19419.957663965604</v>
      </c>
      <c r="T124" s="116">
        <f>IF(T33=0,0,1000000*T33/TrRoad_act!T67)</f>
        <v>19428.959720903971</v>
      </c>
      <c r="U124" s="116">
        <f>IF(U33=0,0,1000000*U33/TrRoad_act!U67)</f>
        <v>16196.551679635357</v>
      </c>
      <c r="V124" s="116">
        <f>IF(V33=0,0,1000000*V33/TrRoad_act!V67)</f>
        <v>12116.395433686015</v>
      </c>
      <c r="W124" s="116">
        <f>IF(W33=0,0,1000000*W33/TrRoad_act!W67)</f>
        <v>13361.999004510728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4553.9472136328595</v>
      </c>
      <c r="C125" s="101">
        <f>IF(C34=0,0,1000000*C34/TrRoad_act!C68)</f>
        <v>4468.4859684751009</v>
      </c>
      <c r="D125" s="101">
        <f>IF(D34=0,0,1000000*D34/TrRoad_act!D68)</f>
        <v>4321.1389638183509</v>
      </c>
      <c r="E125" s="101">
        <f>IF(E34=0,0,1000000*E34/TrRoad_act!E68)</f>
        <v>4218.1643031791364</v>
      </c>
      <c r="F125" s="101">
        <f>IF(F34=0,0,1000000*F34/TrRoad_act!F68)</f>
        <v>4114.3244407991833</v>
      </c>
      <c r="G125" s="101">
        <f>IF(G34=0,0,1000000*G34/TrRoad_act!G68)</f>
        <v>3996.942332322747</v>
      </c>
      <c r="H125" s="101">
        <f>IF(H34=0,0,1000000*H34/TrRoad_act!H68)</f>
        <v>3880.0386462302258</v>
      </c>
      <c r="I125" s="101">
        <f>IF(I34=0,0,1000000*I34/TrRoad_act!I68)</f>
        <v>3793.8654030244229</v>
      </c>
      <c r="J125" s="101">
        <f>IF(J34=0,0,1000000*J34/TrRoad_act!J68)</f>
        <v>3686.1132901280002</v>
      </c>
      <c r="K125" s="101">
        <f>IF(K34=0,0,1000000*K34/TrRoad_act!K68)</f>
        <v>3614.8019719695808</v>
      </c>
      <c r="L125" s="101">
        <f>IF(L34=0,0,1000000*L34/TrRoad_act!L68)</f>
        <v>3673.76411100119</v>
      </c>
      <c r="M125" s="101">
        <f>IF(M34=0,0,1000000*M34/TrRoad_act!M68)</f>
        <v>3582.4420775822882</v>
      </c>
      <c r="N125" s="101">
        <f>IF(N34=0,0,1000000*N34/TrRoad_act!N68)</f>
        <v>3485.130072953214</v>
      </c>
      <c r="O125" s="101">
        <f>IF(O34=0,0,1000000*O34/TrRoad_act!O68)</f>
        <v>3371.08748880544</v>
      </c>
      <c r="P125" s="101">
        <f>IF(P34=0,0,1000000*P34/TrRoad_act!P68)</f>
        <v>3298.8896063050365</v>
      </c>
      <c r="Q125" s="101">
        <f>IF(Q34=0,0,1000000*Q34/TrRoad_act!Q68)</f>
        <v>3321.4251662552615</v>
      </c>
      <c r="R125" s="101">
        <f>IF(R34=0,0,1000000*R34/TrRoad_act!R68)</f>
        <v>3505.4597608607519</v>
      </c>
      <c r="S125" s="101">
        <f>IF(S34=0,0,1000000*S34/TrRoad_act!S68)</f>
        <v>3514.7819533802617</v>
      </c>
      <c r="T125" s="101">
        <f>IF(T34=0,0,1000000*T34/TrRoad_act!T68)</f>
        <v>3624.5639576544736</v>
      </c>
      <c r="U125" s="101">
        <f>IF(U34=0,0,1000000*U34/TrRoad_act!U68)</f>
        <v>2780.1362451322184</v>
      </c>
      <c r="V125" s="101">
        <f>IF(V34=0,0,1000000*V34/TrRoad_act!V68)</f>
        <v>2017.9622442155126</v>
      </c>
      <c r="W125" s="101">
        <f>IF(W34=0,0,1000000*W34/TrRoad_act!W68)</f>
        <v>2263.924887505907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20566.437449584115</v>
      </c>
      <c r="C126" s="101">
        <f>IF(C36=0,0,1000000*C36/TrRoad_act!C69)</f>
        <v>19714.480849340704</v>
      </c>
      <c r="D126" s="101">
        <f>IF(D36=0,0,1000000*D36/TrRoad_act!D69)</f>
        <v>19444.158034749707</v>
      </c>
      <c r="E126" s="101">
        <f>IF(E36=0,0,1000000*E36/TrRoad_act!E69)</f>
        <v>19414.933017409443</v>
      </c>
      <c r="F126" s="101">
        <f>IF(F36=0,0,1000000*F36/TrRoad_act!F69)</f>
        <v>18852.349228468098</v>
      </c>
      <c r="G126" s="101">
        <f>IF(G36=0,0,1000000*G36/TrRoad_act!G69)</f>
        <v>18570.70914049878</v>
      </c>
      <c r="H126" s="101">
        <f>IF(H36=0,0,1000000*H36/TrRoad_act!H69)</f>
        <v>18395.150386666646</v>
      </c>
      <c r="I126" s="101">
        <f>IF(I36=0,0,1000000*I36/TrRoad_act!I69)</f>
        <v>18595.924801876557</v>
      </c>
      <c r="J126" s="101">
        <f>IF(J36=0,0,1000000*J36/TrRoad_act!J69)</f>
        <v>18388.267710987115</v>
      </c>
      <c r="K126" s="101">
        <f>IF(K36=0,0,1000000*K36/TrRoad_act!K69)</f>
        <v>18863.116700019309</v>
      </c>
      <c r="L126" s="101">
        <f>IF(L36=0,0,1000000*L36/TrRoad_act!L69)</f>
        <v>19171.069469820235</v>
      </c>
      <c r="M126" s="101">
        <f>IF(M36=0,0,1000000*M36/TrRoad_act!M69)</f>
        <v>18594.250968067179</v>
      </c>
      <c r="N126" s="101">
        <f>IF(N36=0,0,1000000*N36/TrRoad_act!N69)</f>
        <v>18599.907195858414</v>
      </c>
      <c r="O126" s="101">
        <f>IF(O36=0,0,1000000*O36/TrRoad_act!O69)</f>
        <v>18434.683624788169</v>
      </c>
      <c r="P126" s="101">
        <f>IF(P36=0,0,1000000*P36/TrRoad_act!P69)</f>
        <v>17994.405274972985</v>
      </c>
      <c r="Q126" s="101">
        <f>IF(Q36=0,0,1000000*Q36/TrRoad_act!Q69)</f>
        <v>18699.696160555788</v>
      </c>
      <c r="R126" s="101">
        <f>IF(R36=0,0,1000000*R36/TrRoad_act!R69)</f>
        <v>19039.372162195366</v>
      </c>
      <c r="S126" s="101">
        <f>IF(S36=0,0,1000000*S36/TrRoad_act!S69)</f>
        <v>19732.772072293788</v>
      </c>
      <c r="T126" s="101">
        <f>IF(T36=0,0,1000000*T36/TrRoad_act!T69)</f>
        <v>19724.223418404203</v>
      </c>
      <c r="U126" s="101">
        <f>IF(U36=0,0,1000000*U36/TrRoad_act!U69)</f>
        <v>16381.799128026711</v>
      </c>
      <c r="V126" s="101">
        <f>IF(V36=0,0,1000000*V36/TrRoad_act!V69)</f>
        <v>12266.148147776272</v>
      </c>
      <c r="W126" s="101">
        <f>IF(W36=0,0,1000000*W36/TrRoad_act!W69)</f>
        <v>13442.301130755923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9774.9349055973198</v>
      </c>
      <c r="J127" s="101">
        <f>IF(J38=0,0,1000000*J38/TrRoad_act!J70)</f>
        <v>9772.5541029498381</v>
      </c>
      <c r="K127" s="101">
        <f>IF(K38=0,0,1000000*K38/TrRoad_act!K70)</f>
        <v>9806.9066970246695</v>
      </c>
      <c r="L127" s="101">
        <f>IF(L38=0,0,1000000*L38/TrRoad_act!L70)</f>
        <v>10209.97541120636</v>
      </c>
      <c r="M127" s="101">
        <f>IF(M38=0,0,1000000*M38/TrRoad_act!M70)</f>
        <v>10407.616640065353</v>
      </c>
      <c r="N127" s="101">
        <f>IF(N38=0,0,1000000*N38/TrRoad_act!N70)</f>
        <v>10390.962369872508</v>
      </c>
      <c r="O127" s="101">
        <f>IF(O38=0,0,1000000*O38/TrRoad_act!O70)</f>
        <v>10727.035981932318</v>
      </c>
      <c r="P127" s="101">
        <f>IF(P38=0,0,1000000*P38/TrRoad_act!P70)</f>
        <v>10775.782438257511</v>
      </c>
      <c r="Q127" s="101">
        <f>IF(Q38=0,0,1000000*Q38/TrRoad_act!Q70)</f>
        <v>11135.224732499495</v>
      </c>
      <c r="R127" s="101">
        <f>IF(R38=0,0,1000000*R38/TrRoad_act!R70)</f>
        <v>11519.681516398783</v>
      </c>
      <c r="S127" s="101">
        <f>IF(S38=0,0,1000000*S38/TrRoad_act!S70)</f>
        <v>11354.301428332325</v>
      </c>
      <c r="T127" s="101">
        <f>IF(T38=0,0,1000000*T38/TrRoad_act!T70)</f>
        <v>11475.748965087345</v>
      </c>
      <c r="U127" s="101">
        <f>IF(U38=0,0,1000000*U38/TrRoad_act!U70)</f>
        <v>8594.7209977218408</v>
      </c>
      <c r="V127" s="101">
        <f>IF(V38=0,0,1000000*V38/TrRoad_act!V70)</f>
        <v>6044.2583623477449</v>
      </c>
      <c r="W127" s="101">
        <f>IF(W38=0,0,1000000*W38/TrRoad_act!W70)</f>
        <v>6648.5068486892369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17898.664334126377</v>
      </c>
      <c r="L128" s="101">
        <f>IF(L39=0,0,1000000*L39/TrRoad_act!L71)</f>
        <v>32084.040355502137</v>
      </c>
      <c r="M128" s="101">
        <f>IF(M39=0,0,1000000*M39/TrRoad_act!M71)</f>
        <v>8379.8823590938537</v>
      </c>
      <c r="N128" s="101">
        <f>IF(N39=0,0,1000000*N39/TrRoad_act!N71)</f>
        <v>9273.1948840438108</v>
      </c>
      <c r="O128" s="101">
        <f>IF(O39=0,0,1000000*O39/TrRoad_act!O71)</f>
        <v>9226.8738292664584</v>
      </c>
      <c r="P128" s="101">
        <f>IF(P39=0,0,1000000*P39/TrRoad_act!P71)</f>
        <v>9327.3619159259961</v>
      </c>
      <c r="Q128" s="101">
        <f>IF(Q39=0,0,1000000*Q39/TrRoad_act!Q71)</f>
        <v>9743.8076264311367</v>
      </c>
      <c r="R128" s="101">
        <f>IF(R39=0,0,1000000*R39/TrRoad_act!R71)</f>
        <v>10927.666347414444</v>
      </c>
      <c r="S128" s="101">
        <f>IF(S39=0,0,1000000*S39/TrRoad_act!S71)</f>
        <v>12331.917559372147</v>
      </c>
      <c r="T128" s="101">
        <f>IF(T39=0,0,1000000*T39/TrRoad_act!T71)</f>
        <v>12501.007695669494</v>
      </c>
      <c r="U128" s="101">
        <f>IF(U39=0,0,1000000*U39/TrRoad_act!U71)</f>
        <v>12061.96892875181</v>
      </c>
      <c r="V128" s="101">
        <f>IF(V39=0,0,1000000*V39/TrRoad_act!V71)</f>
        <v>8959.321173696615</v>
      </c>
      <c r="W128" s="101">
        <f>IF(W39=0,0,1000000*W39/TrRoad_act!W71)</f>
        <v>12191.778304929177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0</v>
      </c>
      <c r="Q129" s="101">
        <f>IF(Q41=0,0,1000000*Q41/TrRoad_act!Q72)</f>
        <v>14921.112303599615</v>
      </c>
      <c r="R129" s="101">
        <f>IF(R41=0,0,1000000*R41/TrRoad_act!R72)</f>
        <v>15013.319693572683</v>
      </c>
      <c r="S129" s="101">
        <f>IF(S41=0,0,1000000*S41/TrRoad_act!S72)</f>
        <v>15011.362614978405</v>
      </c>
      <c r="T129" s="101">
        <f>IF(T41=0,0,1000000*T41/TrRoad_act!T72)</f>
        <v>14989.332053232953</v>
      </c>
      <c r="U129" s="101">
        <f>IF(U41=0,0,1000000*U41/TrRoad_act!U72)</f>
        <v>14801.215989086006</v>
      </c>
      <c r="V129" s="101">
        <f>IF(V41=0,0,1000000*V41/TrRoad_act!V72)</f>
        <v>11774.206563260823</v>
      </c>
      <c r="W129" s="101">
        <f>IF(W41=0,0,1000000*W41/TrRoad_act!W72)</f>
        <v>15434.531080762927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1303.5213415906728</v>
      </c>
      <c r="C131" s="152">
        <f>IF(C43=0,0,1000000*C43/TrRoad_act!C74)</f>
        <v>1205.6777009883447</v>
      </c>
      <c r="D131" s="152">
        <f>IF(D43=0,0,1000000*D43/TrRoad_act!D74)</f>
        <v>1256.4341755202881</v>
      </c>
      <c r="E131" s="152">
        <f>IF(E43=0,0,1000000*E43/TrRoad_act!E74)</f>
        <v>1273.3052068547536</v>
      </c>
      <c r="F131" s="152">
        <f>IF(F43=0,0,1000000*F43/TrRoad_act!F74)</f>
        <v>1286.5826485262921</v>
      </c>
      <c r="G131" s="152">
        <f>IF(G43=0,0,1000000*G43/TrRoad_act!G74)</f>
        <v>1328.9040741696599</v>
      </c>
      <c r="H131" s="152">
        <f>IF(H43=0,0,1000000*H43/TrRoad_act!H74)</f>
        <v>1309.3023883844498</v>
      </c>
      <c r="I131" s="152">
        <f>IF(I43=0,0,1000000*I43/TrRoad_act!I74)</f>
        <v>1320.6562930925259</v>
      </c>
      <c r="J131" s="152">
        <f>IF(J43=0,0,1000000*J43/TrRoad_act!J74)</f>
        <v>1312.4590980433125</v>
      </c>
      <c r="K131" s="152">
        <f>IF(K43=0,0,1000000*K43/TrRoad_act!K74)</f>
        <v>1283.9458700404114</v>
      </c>
      <c r="L131" s="152">
        <f>IF(L43=0,0,1000000*L43/TrRoad_act!L74)</f>
        <v>1252.7038632077233</v>
      </c>
      <c r="M131" s="152">
        <f>IF(M43=0,0,1000000*M43/TrRoad_act!M74)</f>
        <v>1259.9920044894325</v>
      </c>
      <c r="N131" s="152">
        <f>IF(N43=0,0,1000000*N43/TrRoad_act!N74)</f>
        <v>1281.0967681226994</v>
      </c>
      <c r="O131" s="152">
        <f>IF(O43=0,0,1000000*O43/TrRoad_act!O74)</f>
        <v>1260.0490223573272</v>
      </c>
      <c r="P131" s="152">
        <f>IF(P43=0,0,1000000*P43/TrRoad_act!P74)</f>
        <v>1191.6526392720709</v>
      </c>
      <c r="Q131" s="152">
        <f>IF(Q43=0,0,1000000*Q43/TrRoad_act!Q74)</f>
        <v>1144.4939629055398</v>
      </c>
      <c r="R131" s="152">
        <f>IF(R43=0,0,1000000*R43/TrRoad_act!R74)</f>
        <v>1095.3416054441943</v>
      </c>
      <c r="S131" s="152">
        <f>IF(S43=0,0,1000000*S43/TrRoad_act!S74)</f>
        <v>1159.9824170438872</v>
      </c>
      <c r="T131" s="152">
        <f>IF(T43=0,0,1000000*T43/TrRoad_act!T74)</f>
        <v>1156.6167011521818</v>
      </c>
      <c r="U131" s="152">
        <f>IF(U43=0,0,1000000*U43/TrRoad_act!U74)</f>
        <v>1164.5003084992907</v>
      </c>
      <c r="V131" s="152">
        <f>IF(V43=0,0,1000000*V43/TrRoad_act!V74)</f>
        <v>1138.2841585696544</v>
      </c>
      <c r="W131" s="152">
        <f>IF(W43=0,0,1000000*W43/TrRoad_act!W74)</f>
        <v>1178.1925986083327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1121.8906909800587</v>
      </c>
      <c r="C132" s="87">
        <f>IF(C44=0,0,1000000*C44/TrRoad_act!C75)</f>
        <v>1115.357136399527</v>
      </c>
      <c r="D132" s="87">
        <f>IF(D44=0,0,1000000*D44/TrRoad_act!D75)</f>
        <v>1119.4002786929589</v>
      </c>
      <c r="E132" s="87">
        <f>IF(E44=0,0,1000000*E44/TrRoad_act!E75)</f>
        <v>1124.1580805169806</v>
      </c>
      <c r="F132" s="87">
        <f>IF(F44=0,0,1000000*F44/TrRoad_act!F75)</f>
        <v>1128.6236610447193</v>
      </c>
      <c r="G132" s="87">
        <f>IF(G44=0,0,1000000*G44/TrRoad_act!G75)</f>
        <v>1132.2010830419822</v>
      </c>
      <c r="H132" s="87">
        <f>IF(H44=0,0,1000000*H44/TrRoad_act!H75)</f>
        <v>1133.5365651242303</v>
      </c>
      <c r="I132" s="87">
        <f>IF(I44=0,0,1000000*I44/TrRoad_act!I75)</f>
        <v>1110.7191447216178</v>
      </c>
      <c r="J132" s="87">
        <f>IF(J44=0,0,1000000*J44/TrRoad_act!J75)</f>
        <v>1083.6461824618852</v>
      </c>
      <c r="K132" s="87">
        <f>IF(K44=0,0,1000000*K44/TrRoad_act!K75)</f>
        <v>1035.2538365564587</v>
      </c>
      <c r="L132" s="87">
        <f>IF(L44=0,0,1000000*L44/TrRoad_act!L75)</f>
        <v>987.26288832811906</v>
      </c>
      <c r="M132" s="87">
        <f>IF(M44=0,0,1000000*M44/TrRoad_act!M75)</f>
        <v>990.98139931927437</v>
      </c>
      <c r="N132" s="87">
        <f>IF(N44=0,0,1000000*N44/TrRoad_act!N75)</f>
        <v>980.03848120292173</v>
      </c>
      <c r="O132" s="87">
        <f>IF(O44=0,0,1000000*O44/TrRoad_act!O75)</f>
        <v>966.4441466852528</v>
      </c>
      <c r="P132" s="87">
        <f>IF(P44=0,0,1000000*P44/TrRoad_act!P75)</f>
        <v>933.7153940213193</v>
      </c>
      <c r="Q132" s="87">
        <f>IF(Q44=0,0,1000000*Q44/TrRoad_act!Q75)</f>
        <v>903.87510980266677</v>
      </c>
      <c r="R132" s="87">
        <f>IF(R44=0,0,1000000*R44/TrRoad_act!R75)</f>
        <v>897.52921178463248</v>
      </c>
      <c r="S132" s="87">
        <f>IF(S44=0,0,1000000*S44/TrRoad_act!S75)</f>
        <v>936.32728016763838</v>
      </c>
      <c r="T132" s="87">
        <f>IF(T44=0,0,1000000*T44/TrRoad_act!T75)</f>
        <v>971.434608533703</v>
      </c>
      <c r="U132" s="87">
        <f>IF(U44=0,0,1000000*U44/TrRoad_act!U75)</f>
        <v>971.85580607675877</v>
      </c>
      <c r="V132" s="87">
        <f>IF(V44=0,0,1000000*V44/TrRoad_act!V75)</f>
        <v>959.46221459129845</v>
      </c>
      <c r="W132" s="87">
        <f>IF(W44=0,0,1000000*W44/TrRoad_act!W75)</f>
        <v>978.24526244123501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1345.279471168086</v>
      </c>
      <c r="C133" s="87">
        <f>IF(C46=0,0,1000000*C46/TrRoad_act!C76)</f>
        <v>1226.0120937765134</v>
      </c>
      <c r="D133" s="87">
        <f>IF(D46=0,0,1000000*D46/TrRoad_act!D76)</f>
        <v>1283.6489705903257</v>
      </c>
      <c r="E133" s="87">
        <f>IF(E46=0,0,1000000*E46/TrRoad_act!E76)</f>
        <v>1298.8003874213475</v>
      </c>
      <c r="F133" s="87">
        <f>IF(F46=0,0,1000000*F46/TrRoad_act!F76)</f>
        <v>1309.7561104933332</v>
      </c>
      <c r="G133" s="87">
        <f>IF(G46=0,0,1000000*G46/TrRoad_act!G76)</f>
        <v>1354.1315625777725</v>
      </c>
      <c r="H133" s="87">
        <f>IF(H46=0,0,1000000*H46/TrRoad_act!H76)</f>
        <v>1329.922498280994</v>
      </c>
      <c r="I133" s="87">
        <f>IF(I46=0,0,1000000*I46/TrRoad_act!I76)</f>
        <v>1341.80750650861</v>
      </c>
      <c r="J133" s="87">
        <f>IF(J46=0,0,1000000*J46/TrRoad_act!J76)</f>
        <v>1336.4338946835267</v>
      </c>
      <c r="K133" s="87">
        <f>IF(K46=0,0,1000000*K46/TrRoad_act!K76)</f>
        <v>1308.8864330697756</v>
      </c>
      <c r="L133" s="87">
        <f>IF(L46=0,0,1000000*L46/TrRoad_act!L76)</f>
        <v>1277.9894782121949</v>
      </c>
      <c r="M133" s="87">
        <f>IF(M46=0,0,1000000*M46/TrRoad_act!M76)</f>
        <v>1284.3361062209881</v>
      </c>
      <c r="N133" s="87">
        <f>IF(N46=0,0,1000000*N46/TrRoad_act!N76)</f>
        <v>1303.0857554828438</v>
      </c>
      <c r="O133" s="87">
        <f>IF(O46=0,0,1000000*O46/TrRoad_act!O76)</f>
        <v>1281.4477834511442</v>
      </c>
      <c r="P133" s="87">
        <f>IF(P46=0,0,1000000*P46/TrRoad_act!P76)</f>
        <v>1210.8007116964113</v>
      </c>
      <c r="Q133" s="87">
        <f>IF(Q46=0,0,1000000*Q46/TrRoad_act!Q76)</f>
        <v>1159.9538929767855</v>
      </c>
      <c r="R133" s="87">
        <f>IF(R46=0,0,1000000*R46/TrRoad_act!R76)</f>
        <v>1108.2591382981666</v>
      </c>
      <c r="S133" s="87">
        <f>IF(S46=0,0,1000000*S46/TrRoad_act!S76)</f>
        <v>1174.2314345069683</v>
      </c>
      <c r="T133" s="87">
        <f>IF(T46=0,0,1000000*T46/TrRoad_act!T76)</f>
        <v>1168.661093294915</v>
      </c>
      <c r="U133" s="87">
        <f>IF(U46=0,0,1000000*U46/TrRoad_act!U76)</f>
        <v>1176.4240358610177</v>
      </c>
      <c r="V133" s="87">
        <f>IF(V46=0,0,1000000*V46/TrRoad_act!V76)</f>
        <v>1149.6817481679459</v>
      </c>
      <c r="W133" s="87">
        <f>IF(W46=0,0,1000000*W46/TrRoad_act!W76)</f>
        <v>1190.1101931160888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622.38801271842499</v>
      </c>
      <c r="J134" s="87">
        <f>IF(J48=0,0,1000000*J48/TrRoad_act!J77)</f>
        <v>607.55341185224552</v>
      </c>
      <c r="K134" s="87">
        <f>IF(K48=0,0,1000000*K48/TrRoad_act!K77)</f>
        <v>592.25558045928244</v>
      </c>
      <c r="L134" s="87">
        <f>IF(L48=0,0,1000000*L48/TrRoad_act!L77)</f>
        <v>576.14963527748273</v>
      </c>
      <c r="M134" s="87">
        <f>IF(M48=0,0,1000000*M48/TrRoad_act!M77)</f>
        <v>586.92208897967498</v>
      </c>
      <c r="N134" s="87">
        <f>IF(N48=0,0,1000000*N48/TrRoad_act!N77)</f>
        <v>596.79303414492006</v>
      </c>
      <c r="O134" s="87">
        <f>IF(O48=0,0,1000000*O48/TrRoad_act!O77)</f>
        <v>594.13653207955929</v>
      </c>
      <c r="P134" s="87">
        <f>IF(P48=0,0,1000000*P48/TrRoad_act!P77)</f>
        <v>580.40735030914436</v>
      </c>
      <c r="Q134" s="87">
        <f>IF(Q48=0,0,1000000*Q48/TrRoad_act!Q77)</f>
        <v>584.18840304975697</v>
      </c>
      <c r="R134" s="87">
        <f>IF(R48=0,0,1000000*R48/TrRoad_act!R77)</f>
        <v>559.4536370163197</v>
      </c>
      <c r="S134" s="87">
        <f>IF(S48=0,0,1000000*S48/TrRoad_act!S77)</f>
        <v>597.02650807833493</v>
      </c>
      <c r="T134" s="87">
        <f>IF(T48=0,0,1000000*T48/TrRoad_act!T77)</f>
        <v>621.40750941037243</v>
      </c>
      <c r="U134" s="87">
        <f>IF(U48=0,0,1000000*U48/TrRoad_act!U77)</f>
        <v>620.73943691948693</v>
      </c>
      <c r="V134" s="87">
        <f>IF(V48=0,0,1000000*V48/TrRoad_act!V77)</f>
        <v>617.50718816794915</v>
      </c>
      <c r="W134" s="87">
        <f>IF(W48=0,0,1000000*W48/TrRoad_act!W77)</f>
        <v>649.09594256271964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738.12739559695967</v>
      </c>
      <c r="L135" s="87">
        <f>IF(L49=0,0,1000000*L49/TrRoad_act!L78)</f>
        <v>734.96439985427821</v>
      </c>
      <c r="M135" s="87">
        <f>IF(M49=0,0,1000000*M49/TrRoad_act!M78)</f>
        <v>764.64579554404645</v>
      </c>
      <c r="N135" s="87">
        <f>IF(N49=0,0,1000000*N49/TrRoad_act!N78)</f>
        <v>783.47848473783358</v>
      </c>
      <c r="O135" s="87">
        <f>IF(O49=0,0,1000000*O49/TrRoad_act!O78)</f>
        <v>800.94180209256933</v>
      </c>
      <c r="P135" s="87">
        <f>IF(P49=0,0,1000000*P49/TrRoad_act!P78)</f>
        <v>799.66977542495908</v>
      </c>
      <c r="Q135" s="87">
        <f>IF(Q49=0,0,1000000*Q49/TrRoad_act!Q78)</f>
        <v>802.91401934840439</v>
      </c>
      <c r="R135" s="87">
        <f>IF(R49=0,0,1000000*R49/TrRoad_act!R78)</f>
        <v>762.56799723800293</v>
      </c>
      <c r="S135" s="87">
        <f>IF(S49=0,0,1000000*S49/TrRoad_act!S78)</f>
        <v>790.92274556415202</v>
      </c>
      <c r="T135" s="87">
        <f>IF(T49=0,0,1000000*T49/TrRoad_act!T78)</f>
        <v>792.22944684310721</v>
      </c>
      <c r="U135" s="87">
        <f>IF(U49=0,0,1000000*U49/TrRoad_act!U78)</f>
        <v>770.82090085556945</v>
      </c>
      <c r="V135" s="87">
        <f>IF(V49=0,0,1000000*V49/TrRoad_act!V78)</f>
        <v>737.36863307090937</v>
      </c>
      <c r="W135" s="87">
        <f>IF(W49=0,0,1000000*W49/TrRoad_act!W78)</f>
        <v>749.47375537857522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188.60448245606088</v>
      </c>
      <c r="F136" s="87">
        <f>IF(F51=0,0,1000000*F51/TrRoad_act!F79)</f>
        <v>188.82397889944048</v>
      </c>
      <c r="G136" s="87">
        <f>IF(G51=0,0,1000000*G51/TrRoad_act!G79)</f>
        <v>184.98594082725148</v>
      </c>
      <c r="H136" s="87">
        <f>IF(H51=0,0,1000000*H51/TrRoad_act!H79)</f>
        <v>185.20004297208314</v>
      </c>
      <c r="I136" s="87">
        <f>IF(I51=0,0,1000000*I51/TrRoad_act!I79)</f>
        <v>185.30319439049185</v>
      </c>
      <c r="J136" s="87">
        <f>IF(J51=0,0,1000000*J51/TrRoad_act!J79)</f>
        <v>181.8700530480823</v>
      </c>
      <c r="K136" s="87">
        <f>IF(K51=0,0,1000000*K51/TrRoad_act!K79)</f>
        <v>181.31763931278786</v>
      </c>
      <c r="L136" s="87">
        <f>IF(L51=0,0,1000000*L51/TrRoad_act!L79)</f>
        <v>181.51904266628546</v>
      </c>
      <c r="M136" s="87">
        <f>IF(M51=0,0,1000000*M51/TrRoad_act!M79)</f>
        <v>180.25035895407711</v>
      </c>
      <c r="N136" s="87">
        <f>IF(N51=0,0,1000000*N51/TrRoad_act!N79)</f>
        <v>180.75789672221782</v>
      </c>
      <c r="O136" s="87">
        <f>IF(O51=0,0,1000000*O51/TrRoad_act!O79)</f>
        <v>180.77375229159614</v>
      </c>
      <c r="P136" s="87">
        <f>IF(P51=0,0,1000000*P51/TrRoad_act!P79)</f>
        <v>182.19586234838985</v>
      </c>
      <c r="Q136" s="87">
        <f>IF(Q51=0,0,1000000*Q51/TrRoad_act!Q79)</f>
        <v>199.46420966633434</v>
      </c>
      <c r="R136" s="87">
        <f>IF(R51=0,0,1000000*R51/TrRoad_act!R79)</f>
        <v>201.55069024743042</v>
      </c>
      <c r="S136" s="87">
        <f>IF(S51=0,0,1000000*S51/TrRoad_act!S79)</f>
        <v>194.15366035205287</v>
      </c>
      <c r="T136" s="87">
        <f>IF(T51=0,0,1000000*T51/TrRoad_act!T79)</f>
        <v>191.46090293253243</v>
      </c>
      <c r="U136" s="87">
        <f>IF(U51=0,0,1000000*U51/TrRoad_act!U79)</f>
        <v>190.7701825943017</v>
      </c>
      <c r="V136" s="87">
        <f>IF(V51=0,0,1000000*V51/TrRoad_act!V79)</f>
        <v>210.08764970882521</v>
      </c>
      <c r="W136" s="87">
        <f>IF(W51=0,0,1000000*W51/TrRoad_act!W79)</f>
        <v>226.97659840167668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4162.5070673100299</v>
      </c>
      <c r="C137" s="116">
        <f>IF(C52=0,0,1000000*C52/TrRoad_act!C80)</f>
        <v>3272.2000072340193</v>
      </c>
      <c r="D137" s="116">
        <f>IF(D52=0,0,1000000*D52/TrRoad_act!D80)</f>
        <v>4252.1231773345498</v>
      </c>
      <c r="E137" s="116">
        <f>IF(E52=0,0,1000000*E52/TrRoad_act!E80)</f>
        <v>4466.8892363440227</v>
      </c>
      <c r="F137" s="116">
        <f>IF(F52=0,0,1000000*F52/TrRoad_act!F80)</f>
        <v>4775.4529478230679</v>
      </c>
      <c r="G137" s="116">
        <f>IF(G52=0,0,1000000*G52/TrRoad_act!G80)</f>
        <v>4858.8532304818445</v>
      </c>
      <c r="H137" s="116">
        <f>IF(H52=0,0,1000000*H52/TrRoad_act!H80)</f>
        <v>4559.6196871876591</v>
      </c>
      <c r="I137" s="116">
        <f>IF(I52=0,0,1000000*I52/TrRoad_act!I80)</f>
        <v>4795.3093720853385</v>
      </c>
      <c r="J137" s="116">
        <f>IF(J52=0,0,1000000*J52/TrRoad_act!J80)</f>
        <v>4450.3366939944699</v>
      </c>
      <c r="K137" s="116">
        <f>IF(K52=0,0,1000000*K52/TrRoad_act!K80)</f>
        <v>4673.8282806661491</v>
      </c>
      <c r="L137" s="116">
        <f>IF(L52=0,0,1000000*L52/TrRoad_act!L80)</f>
        <v>4609.9405281633381</v>
      </c>
      <c r="M137" s="116">
        <f>IF(M52=0,0,1000000*M52/TrRoad_act!M80)</f>
        <v>4337.9786789601103</v>
      </c>
      <c r="N137" s="116">
        <f>IF(N52=0,0,1000000*N52/TrRoad_act!N80)</f>
        <v>4065.4890473022078</v>
      </c>
      <c r="O137" s="116">
        <f>IF(O52=0,0,1000000*O52/TrRoad_act!O80)</f>
        <v>4711.9304714462769</v>
      </c>
      <c r="P137" s="116">
        <f>IF(P52=0,0,1000000*P52/TrRoad_act!P80)</f>
        <v>4046.5138841737935</v>
      </c>
      <c r="Q137" s="116">
        <f>IF(Q52=0,0,1000000*Q52/TrRoad_act!Q80)</f>
        <v>4108.5707103178511</v>
      </c>
      <c r="R137" s="116">
        <f>IF(R52=0,0,1000000*R52/TrRoad_act!R80)</f>
        <v>3905.9369372532146</v>
      </c>
      <c r="S137" s="116">
        <f>IF(S52=0,0,1000000*S52/TrRoad_act!S80)</f>
        <v>4967.3254711985983</v>
      </c>
      <c r="T137" s="116">
        <f>IF(T52=0,0,1000000*T52/TrRoad_act!T80)</f>
        <v>4357.3499660715579</v>
      </c>
      <c r="U137" s="116">
        <f>IF(U52=0,0,1000000*U52/TrRoad_act!U80)</f>
        <v>5040.3810690948694</v>
      </c>
      <c r="V137" s="116">
        <f>IF(V52=0,0,1000000*V52/TrRoad_act!V80)</f>
        <v>4776.8102943460317</v>
      </c>
      <c r="W137" s="116">
        <f>IF(W52=0,0,1000000*W52/TrRoad_act!W80)</f>
        <v>4628.6767010081267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1984.239650099262</v>
      </c>
      <c r="C138" s="101">
        <f>IF(C53=0,0,1000000*C53/TrRoad_act!C81)</f>
        <v>2273.8786869308692</v>
      </c>
      <c r="D138" s="101">
        <f>IF(D53=0,0,1000000*D53/TrRoad_act!D81)</f>
        <v>2867.3319330157074</v>
      </c>
      <c r="E138" s="101">
        <f>IF(E53=0,0,1000000*E53/TrRoad_act!E81)</f>
        <v>3102.7640865756994</v>
      </c>
      <c r="F138" s="101">
        <f>IF(F53=0,0,1000000*F53/TrRoad_act!F81)</f>
        <v>3184.8227636955203</v>
      </c>
      <c r="G138" s="101">
        <f>IF(G53=0,0,1000000*G53/TrRoad_act!G81)</f>
        <v>3230.3809711223444</v>
      </c>
      <c r="H138" s="101">
        <f>IF(H53=0,0,1000000*H53/TrRoad_act!H81)</f>
        <v>3311.9203315888076</v>
      </c>
      <c r="I138" s="101">
        <f>IF(I53=0,0,1000000*I53/TrRoad_act!I81)</f>
        <v>3273.6519101340918</v>
      </c>
      <c r="J138" s="101">
        <f>IF(J53=0,0,1000000*J53/TrRoad_act!J81)</f>
        <v>3477.8179908377847</v>
      </c>
      <c r="K138" s="101">
        <f>IF(K53=0,0,1000000*K53/TrRoad_act!K81)</f>
        <v>3446.1285024336835</v>
      </c>
      <c r="L138" s="101">
        <f>IF(L53=0,0,1000000*L53/TrRoad_act!L81)</f>
        <v>3249.2855834382653</v>
      </c>
      <c r="M138" s="101">
        <f>IF(M53=0,0,1000000*M53/TrRoad_act!M81)</f>
        <v>3137.0210323207307</v>
      </c>
      <c r="N138" s="101">
        <f>IF(N53=0,0,1000000*N53/TrRoad_act!N81)</f>
        <v>2963.2359607188855</v>
      </c>
      <c r="O138" s="101">
        <f>IF(O53=0,0,1000000*O53/TrRoad_act!O81)</f>
        <v>3038.4217276279528</v>
      </c>
      <c r="P138" s="101">
        <f>IF(P53=0,0,1000000*P53/TrRoad_act!P81)</f>
        <v>2669.0411313658979</v>
      </c>
      <c r="Q138" s="101">
        <f>IF(Q53=0,0,1000000*Q53/TrRoad_act!Q81)</f>
        <v>2628.6353565628938</v>
      </c>
      <c r="R138" s="101">
        <f>IF(R53=0,0,1000000*R53/TrRoad_act!R81)</f>
        <v>2665.1637042047478</v>
      </c>
      <c r="S138" s="101">
        <f>IF(S53=0,0,1000000*S53/TrRoad_act!S81)</f>
        <v>2842.9351441189106</v>
      </c>
      <c r="T138" s="101">
        <f>IF(T53=0,0,1000000*T53/TrRoad_act!T81)</f>
        <v>2638.4385015940529</v>
      </c>
      <c r="U138" s="101">
        <f>IF(U53=0,0,1000000*U53/TrRoad_act!U81)</f>
        <v>2758.8035971804211</v>
      </c>
      <c r="V138" s="101">
        <f>IF(V53=0,0,1000000*V53/TrRoad_act!V81)</f>
        <v>2678.8209006538873</v>
      </c>
      <c r="W138" s="101">
        <f>IF(W53=0,0,1000000*W53/TrRoad_act!W81)</f>
        <v>2807.7234067294571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22657.977682536006</v>
      </c>
      <c r="C139" s="88">
        <f>IF(C55=0,0,1000000*C55/TrRoad_act!C82)</f>
        <v>14185.247430743148</v>
      </c>
      <c r="D139" s="88">
        <f>IF(D55=0,0,1000000*D55/TrRoad_act!D82)</f>
        <v>20043.614147600678</v>
      </c>
      <c r="E139" s="88">
        <f>IF(E55=0,0,1000000*E55/TrRoad_act!E82)</f>
        <v>21174.407229575798</v>
      </c>
      <c r="F139" s="88">
        <f>IF(F55=0,0,1000000*F55/TrRoad_act!F82)</f>
        <v>21795.324505714925</v>
      </c>
      <c r="G139" s="88">
        <f>IF(G55=0,0,1000000*G55/TrRoad_act!G82)</f>
        <v>21442.378073500615</v>
      </c>
      <c r="H139" s="88">
        <f>IF(H55=0,0,1000000*H55/TrRoad_act!H82)</f>
        <v>20876.240480067008</v>
      </c>
      <c r="I139" s="88">
        <f>IF(I55=0,0,1000000*I55/TrRoad_act!I82)</f>
        <v>23543.475848186499</v>
      </c>
      <c r="J139" s="88">
        <f>IF(J55=0,0,1000000*J55/TrRoad_act!J82)</f>
        <v>23804.424674269754</v>
      </c>
      <c r="K139" s="88">
        <f>IF(K55=0,0,1000000*K55/TrRoad_act!K82)</f>
        <v>28950.327149162535</v>
      </c>
      <c r="L139" s="88">
        <f>IF(L55=0,0,1000000*L55/TrRoad_act!L82)</f>
        <v>32789.182074215285</v>
      </c>
      <c r="M139" s="88">
        <f>IF(M55=0,0,1000000*M55/TrRoad_act!M82)</f>
        <v>29603.635416005596</v>
      </c>
      <c r="N139" s="88">
        <f>IF(N55=0,0,1000000*N55/TrRoad_act!N82)</f>
        <v>27214.822644098833</v>
      </c>
      <c r="O139" s="88">
        <f>IF(O55=0,0,1000000*O55/TrRoad_act!O82)</f>
        <v>39468.108026214271</v>
      </c>
      <c r="P139" s="88">
        <f>IF(P55=0,0,1000000*P55/TrRoad_act!P82)</f>
        <v>31576.843698805118</v>
      </c>
      <c r="Q139" s="88">
        <f>IF(Q55=0,0,1000000*Q55/TrRoad_act!Q82)</f>
        <v>30006.593240164111</v>
      </c>
      <c r="R139" s="88">
        <f>IF(R55=0,0,1000000*R55/TrRoad_act!R82)</f>
        <v>24349.235101651597</v>
      </c>
      <c r="S139" s="88">
        <f>IF(S55=0,0,1000000*S55/TrRoad_act!S82)</f>
        <v>34284.778297220168</v>
      </c>
      <c r="T139" s="88">
        <f>IF(T55=0,0,1000000*T55/TrRoad_act!T82)</f>
        <v>28778.961653733531</v>
      </c>
      <c r="U139" s="88">
        <f>IF(U55=0,0,1000000*U55/TrRoad_act!U82)</f>
        <v>42217.52462262546</v>
      </c>
      <c r="V139" s="88">
        <f>IF(V55=0,0,1000000*V55/TrRoad_act!V82)</f>
        <v>38728.488443583672</v>
      </c>
      <c r="W139" s="88">
        <f>IF(W55=0,0,1000000*W55/TrRoad_act!W82)</f>
        <v>37026.28964710849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0.83982499727789195</v>
      </c>
      <c r="C142" s="46">
        <f t="shared" si="41"/>
        <v>0.8282019017257316</v>
      </c>
      <c r="D142" s="46">
        <f t="shared" si="41"/>
        <v>0.78854919250168298</v>
      </c>
      <c r="E142" s="46">
        <f t="shared" si="41"/>
        <v>0.779487040854839</v>
      </c>
      <c r="F142" s="46">
        <f t="shared" si="41"/>
        <v>0.76359370795394232</v>
      </c>
      <c r="G142" s="46">
        <f t="shared" si="41"/>
        <v>0.76454300693072241</v>
      </c>
      <c r="H142" s="46">
        <f t="shared" si="41"/>
        <v>0.76351938958821441</v>
      </c>
      <c r="I142" s="46">
        <f t="shared" si="41"/>
        <v>0.77507588338127187</v>
      </c>
      <c r="J142" s="46">
        <f t="shared" si="41"/>
        <v>0.77237994117827302</v>
      </c>
      <c r="K142" s="46">
        <f t="shared" si="41"/>
        <v>0.78863282990322392</v>
      </c>
      <c r="L142" s="46">
        <f t="shared" ref="L142" si="42">IF(L18=0,0,L18/L$17)</f>
        <v>0.78494483816384975</v>
      </c>
      <c r="M142" s="46">
        <f t="shared" ref="M142:V142" si="43">IF(M18=0,0,M18/M$17)</f>
        <v>0.78865835113100458</v>
      </c>
      <c r="N142" s="46">
        <f t="shared" si="43"/>
        <v>0.80120776347880818</v>
      </c>
      <c r="O142" s="46">
        <f t="shared" si="43"/>
        <v>0.77835288497530641</v>
      </c>
      <c r="P142" s="46">
        <f t="shared" si="43"/>
        <v>0.79729704225490827</v>
      </c>
      <c r="Q142" s="46">
        <f t="shared" si="43"/>
        <v>0.79599741192598206</v>
      </c>
      <c r="R142" s="46">
        <f t="shared" si="43"/>
        <v>0.80892058603445482</v>
      </c>
      <c r="S142" s="46">
        <f t="shared" si="43"/>
        <v>0.77602553574850952</v>
      </c>
      <c r="T142" s="46">
        <f t="shared" si="43"/>
        <v>0.78055915810801424</v>
      </c>
      <c r="U142" s="46">
        <f t="shared" si="43"/>
        <v>0.75889346403637858</v>
      </c>
      <c r="V142" s="46">
        <f t="shared" si="43"/>
        <v>0.72982814365274717</v>
      </c>
      <c r="W142" s="46">
        <f t="shared" ref="W142" si="44">IF(W18=0,0,W18/W$17)</f>
        <v>0.74609491492524338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4.2223424958573999E-3</v>
      </c>
      <c r="C143" s="154">
        <f t="shared" si="45"/>
        <v>4.1518748069737429E-3</v>
      </c>
      <c r="D143" s="154">
        <f t="shared" si="45"/>
        <v>3.9970220421280062E-3</v>
      </c>
      <c r="E143" s="154">
        <f t="shared" si="45"/>
        <v>4.0277936256612121E-3</v>
      </c>
      <c r="F143" s="154">
        <f t="shared" si="45"/>
        <v>4.2360830831471227E-3</v>
      </c>
      <c r="G143" s="154">
        <f t="shared" si="45"/>
        <v>4.4203709685088771E-3</v>
      </c>
      <c r="H143" s="154">
        <f t="shared" si="45"/>
        <v>4.4510598951966775E-3</v>
      </c>
      <c r="I143" s="154">
        <f t="shared" si="45"/>
        <v>4.1230756366340019E-3</v>
      </c>
      <c r="J143" s="154">
        <f t="shared" si="45"/>
        <v>4.1714000341307195E-3</v>
      </c>
      <c r="K143" s="154">
        <f t="shared" si="45"/>
        <v>4.1667805325255212E-3</v>
      </c>
      <c r="L143" s="154">
        <f t="shared" ref="L143" si="46">IF(L19=0,0,L19/L$17)</f>
        <v>4.3103902121087142E-3</v>
      </c>
      <c r="M143" s="154">
        <f t="shared" ref="M143:V143" si="47">IF(M19=0,0,M19/M$17)</f>
        <v>4.3698024878980873E-3</v>
      </c>
      <c r="N143" s="154">
        <f t="shared" si="47"/>
        <v>4.445221555806976E-3</v>
      </c>
      <c r="O143" s="154">
        <f t="shared" si="47"/>
        <v>4.3529638453615582E-3</v>
      </c>
      <c r="P143" s="154">
        <f t="shared" si="47"/>
        <v>4.3661437560670886E-3</v>
      </c>
      <c r="Q143" s="154">
        <f t="shared" si="47"/>
        <v>4.1240175958998293E-3</v>
      </c>
      <c r="R143" s="154">
        <f t="shared" si="47"/>
        <v>4.199346421639878E-3</v>
      </c>
      <c r="S143" s="154">
        <f t="shared" si="47"/>
        <v>4.0614072078374959E-3</v>
      </c>
      <c r="T143" s="154">
        <f t="shared" si="47"/>
        <v>4.212320693656511E-3</v>
      </c>
      <c r="U143" s="154">
        <f t="shared" si="47"/>
        <v>4.1937595599495746E-3</v>
      </c>
      <c r="V143" s="154">
        <f t="shared" si="47"/>
        <v>4.1720618145106043E-3</v>
      </c>
      <c r="W143" s="154">
        <f t="shared" ref="W143" si="48">IF(W19=0,0,W19/W$17)</f>
        <v>4.4973670469655056E-3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0.70842636601475895</v>
      </c>
      <c r="C144" s="156">
        <f t="shared" si="49"/>
        <v>0.70250215846381314</v>
      </c>
      <c r="D144" s="156">
        <f t="shared" si="49"/>
        <v>0.67171972470265295</v>
      </c>
      <c r="E144" s="156">
        <f t="shared" si="49"/>
        <v>0.6709381095604785</v>
      </c>
      <c r="F144" s="156">
        <f t="shared" si="49"/>
        <v>0.66036973284636447</v>
      </c>
      <c r="G144" s="156">
        <f t="shared" si="49"/>
        <v>0.6658332149500934</v>
      </c>
      <c r="H144" s="156">
        <f t="shared" si="49"/>
        <v>0.67108614757588525</v>
      </c>
      <c r="I144" s="156">
        <f t="shared" si="49"/>
        <v>0.68660000290644485</v>
      </c>
      <c r="J144" s="156">
        <f t="shared" si="49"/>
        <v>0.68314817874144129</v>
      </c>
      <c r="K144" s="156">
        <f t="shared" si="49"/>
        <v>0.69714614864772395</v>
      </c>
      <c r="L144" s="156">
        <f t="shared" ref="L144" si="50">IF(L21=0,0,L21/L$17)</f>
        <v>0.68975756457622883</v>
      </c>
      <c r="M144" s="156">
        <f t="shared" ref="M144:V144" si="51">IF(M21=0,0,M21/M$17)</f>
        <v>0.69556226994901282</v>
      </c>
      <c r="N144" s="156">
        <f t="shared" si="51"/>
        <v>0.70816871701647321</v>
      </c>
      <c r="O144" s="156">
        <f t="shared" si="51"/>
        <v>0.685672995885381</v>
      </c>
      <c r="P144" s="156">
        <f t="shared" si="51"/>
        <v>0.70218865481651038</v>
      </c>
      <c r="Q144" s="156">
        <f t="shared" si="51"/>
        <v>0.70046565177682374</v>
      </c>
      <c r="R144" s="156">
        <f t="shared" si="51"/>
        <v>0.71134652898750272</v>
      </c>
      <c r="S144" s="156">
        <f t="shared" si="51"/>
        <v>0.68019286540826407</v>
      </c>
      <c r="T144" s="156">
        <f t="shared" si="51"/>
        <v>0.68060121656746864</v>
      </c>
      <c r="U144" s="156">
        <f t="shared" si="51"/>
        <v>0.67693604523457551</v>
      </c>
      <c r="V144" s="156">
        <f t="shared" si="51"/>
        <v>0.66175691150019278</v>
      </c>
      <c r="W144" s="156">
        <f t="shared" ref="W144" si="52">IF(W21=0,0,W21/W$17)</f>
        <v>0.6753554965527595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0.57074247773407327</v>
      </c>
      <c r="C145" s="103">
        <f t="shared" si="53"/>
        <v>0.54094745898716212</v>
      </c>
      <c r="D145" s="103">
        <f t="shared" si="53"/>
        <v>0.51277339626915153</v>
      </c>
      <c r="E145" s="103">
        <f t="shared" si="53"/>
        <v>0.47090046528515911</v>
      </c>
      <c r="F145" s="103">
        <f t="shared" si="53"/>
        <v>0.43681891852242732</v>
      </c>
      <c r="G145" s="103">
        <f t="shared" si="53"/>
        <v>0.41413379653172494</v>
      </c>
      <c r="H145" s="103">
        <f t="shared" si="53"/>
        <v>0.38911318200727185</v>
      </c>
      <c r="I145" s="103">
        <f t="shared" si="53"/>
        <v>0.36952724200162124</v>
      </c>
      <c r="J145" s="103">
        <f t="shared" si="53"/>
        <v>0.35844057502017013</v>
      </c>
      <c r="K145" s="103">
        <f t="shared" si="53"/>
        <v>0.36048390576658451</v>
      </c>
      <c r="L145" s="103">
        <f t="shared" ref="L145" si="54">IF(L22=0,0,L22/L$17)</f>
        <v>0.35235234996960507</v>
      </c>
      <c r="M145" s="103">
        <f t="shared" ref="M145:V145" si="55">IF(M22=0,0,M22/M$17)</f>
        <v>0.35181262029993088</v>
      </c>
      <c r="N145" s="103">
        <f t="shared" si="55"/>
        <v>0.33353647056231356</v>
      </c>
      <c r="O145" s="103">
        <f t="shared" si="55"/>
        <v>0.32251152728000265</v>
      </c>
      <c r="P145" s="103">
        <f t="shared" si="55"/>
        <v>0.30031938416329079</v>
      </c>
      <c r="Q145" s="103">
        <f t="shared" si="55"/>
        <v>0.28413763288993282</v>
      </c>
      <c r="R145" s="103">
        <f t="shared" si="55"/>
        <v>0.27895072822702938</v>
      </c>
      <c r="S145" s="103">
        <f t="shared" si="55"/>
        <v>0.24835353392573972</v>
      </c>
      <c r="T145" s="103">
        <f t="shared" si="55"/>
        <v>0.24700577768198259</v>
      </c>
      <c r="U145" s="103">
        <f t="shared" si="55"/>
        <v>0.22571059149254821</v>
      </c>
      <c r="V145" s="103">
        <f t="shared" si="55"/>
        <v>0.21161878761513073</v>
      </c>
      <c r="W145" s="103">
        <f t="shared" ref="W145" si="56">IF(W22=0,0,W22/W$17)</f>
        <v>0.21755415321609531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0.12963657390272673</v>
      </c>
      <c r="C146" s="103">
        <f t="shared" si="57"/>
        <v>0.15200156491778638</v>
      </c>
      <c r="D146" s="103">
        <f t="shared" si="57"/>
        <v>0.14908422295859017</v>
      </c>
      <c r="E146" s="103">
        <f t="shared" si="57"/>
        <v>0.19108201545504447</v>
      </c>
      <c r="F146" s="103">
        <f t="shared" si="57"/>
        <v>0.21237179544620169</v>
      </c>
      <c r="G146" s="103">
        <f t="shared" si="57"/>
        <v>0.23749298173247405</v>
      </c>
      <c r="H146" s="103">
        <f t="shared" si="57"/>
        <v>0.25954736606404116</v>
      </c>
      <c r="I146" s="103">
        <f t="shared" si="57"/>
        <v>0.28844901382444244</v>
      </c>
      <c r="J146" s="103">
        <f t="shared" si="57"/>
        <v>0.28552945090365567</v>
      </c>
      <c r="K146" s="103">
        <f t="shared" si="57"/>
        <v>0.29678475869338028</v>
      </c>
      <c r="L146" s="103">
        <f t="shared" ref="L146" si="58">IF(L24=0,0,L24/L$17)</f>
        <v>0.3024528967286762</v>
      </c>
      <c r="M146" s="103">
        <f t="shared" ref="M146:V146" si="59">IF(M24=0,0,M24/M$17)</f>
        <v>0.30990488265482874</v>
      </c>
      <c r="N146" s="103">
        <f t="shared" si="59"/>
        <v>0.34076425980599845</v>
      </c>
      <c r="O146" s="103">
        <f t="shared" si="59"/>
        <v>0.32913112962606889</v>
      </c>
      <c r="P146" s="103">
        <f t="shared" si="59"/>
        <v>0.36430021417446001</v>
      </c>
      <c r="Q146" s="103">
        <f t="shared" si="59"/>
        <v>0.37721199695741314</v>
      </c>
      <c r="R146" s="103">
        <f t="shared" si="59"/>
        <v>0.39189852082001275</v>
      </c>
      <c r="S146" s="103">
        <f t="shared" si="59"/>
        <v>0.39437977231856119</v>
      </c>
      <c r="T146" s="103">
        <f t="shared" si="59"/>
        <v>0.39537447637727452</v>
      </c>
      <c r="U146" s="103">
        <f t="shared" si="59"/>
        <v>0.41683907721979629</v>
      </c>
      <c r="V146" s="103">
        <f t="shared" si="59"/>
        <v>0.41892402721504457</v>
      </c>
      <c r="W146" s="103">
        <f t="shared" ref="W146" si="60">IF(W24=0,0,W24/W$17)</f>
        <v>0.42753754009762807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8.0473143779589678E-3</v>
      </c>
      <c r="C147" s="103">
        <f t="shared" si="61"/>
        <v>9.5531345588646052E-3</v>
      </c>
      <c r="D147" s="103">
        <f t="shared" si="61"/>
        <v>9.8621054749111758E-3</v>
      </c>
      <c r="E147" s="103">
        <f t="shared" si="61"/>
        <v>8.9556288202749332E-3</v>
      </c>
      <c r="F147" s="103">
        <f t="shared" si="61"/>
        <v>1.1179018877735458E-2</v>
      </c>
      <c r="G147" s="103">
        <f t="shared" si="61"/>
        <v>1.4206436685894426E-2</v>
      </c>
      <c r="H147" s="103">
        <f t="shared" si="61"/>
        <v>2.2425599504572201E-2</v>
      </c>
      <c r="I147" s="103">
        <f t="shared" si="61"/>
        <v>2.8623747080381082E-2</v>
      </c>
      <c r="J147" s="103">
        <f t="shared" si="61"/>
        <v>3.9178152817615566E-2</v>
      </c>
      <c r="K147" s="103">
        <f t="shared" si="61"/>
        <v>3.9842021348524076E-2</v>
      </c>
      <c r="L147" s="103">
        <f t="shared" ref="L147" si="62">IF(L26=0,0,L26/L$17)</f>
        <v>3.4909836711948666E-2</v>
      </c>
      <c r="M147" s="103">
        <f t="shared" ref="M147:V147" si="63">IF(M26=0,0,M26/M$17)</f>
        <v>3.380248960683168E-2</v>
      </c>
      <c r="N147" s="103">
        <f t="shared" si="63"/>
        <v>3.3813425355493885E-2</v>
      </c>
      <c r="O147" s="103">
        <f t="shared" si="63"/>
        <v>3.3973706710661446E-2</v>
      </c>
      <c r="P147" s="103">
        <f t="shared" si="63"/>
        <v>3.7500206330644832E-2</v>
      </c>
      <c r="Q147" s="103">
        <f t="shared" si="63"/>
        <v>3.903650138729816E-2</v>
      </c>
      <c r="R147" s="103">
        <f t="shared" si="63"/>
        <v>4.0402702707252304E-2</v>
      </c>
      <c r="S147" s="103">
        <f t="shared" si="63"/>
        <v>3.7347307279413301E-2</v>
      </c>
      <c r="T147" s="103">
        <f t="shared" si="63"/>
        <v>3.8081828860662865E-2</v>
      </c>
      <c r="U147" s="103">
        <f t="shared" si="63"/>
        <v>3.4206496968040311E-2</v>
      </c>
      <c r="V147" s="103">
        <f t="shared" si="63"/>
        <v>3.0910771826733904E-2</v>
      </c>
      <c r="W147" s="103">
        <f t="shared" ref="W147" si="64">IF(W26=0,0,W26/W$17)</f>
        <v>2.9689393971290039E-2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3.5462839235074982E-5</v>
      </c>
      <c r="L148" s="103">
        <f t="shared" ref="L148" si="66">IF(L27=0,0,L27/L$17)</f>
        <v>4.2481165998933947E-5</v>
      </c>
      <c r="M148" s="103">
        <f t="shared" ref="M148:V148" si="67">IF(M27=0,0,M27/M$17)</f>
        <v>4.2277387421582488E-5</v>
      </c>
      <c r="N148" s="103">
        <f t="shared" si="67"/>
        <v>5.1685444721525086E-5</v>
      </c>
      <c r="O148" s="103">
        <f t="shared" si="67"/>
        <v>5.3333527182899676E-5</v>
      </c>
      <c r="P148" s="103">
        <f t="shared" si="67"/>
        <v>5.9955624820619944E-5</v>
      </c>
      <c r="Q148" s="103">
        <f t="shared" si="67"/>
        <v>5.4014800585519721E-5</v>
      </c>
      <c r="R148" s="103">
        <f t="shared" si="67"/>
        <v>5.7790688797772156E-5</v>
      </c>
      <c r="S148" s="103">
        <f t="shared" si="67"/>
        <v>6.9612396204822596E-5</v>
      </c>
      <c r="T148" s="103">
        <f t="shared" si="67"/>
        <v>7.5963789589952372E-5</v>
      </c>
      <c r="U148" s="103">
        <f t="shared" si="67"/>
        <v>6.8380109139257655E-5</v>
      </c>
      <c r="V148" s="103">
        <f t="shared" si="67"/>
        <v>6.2054407409020093E-5</v>
      </c>
      <c r="W148" s="103">
        <f t="shared" ref="W148" si="68">IF(W27=0,0,W27/W$17)</f>
        <v>6.6613658252258034E-5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0</v>
      </c>
      <c r="O149" s="103">
        <f t="shared" si="71"/>
        <v>0</v>
      </c>
      <c r="P149" s="103">
        <f t="shared" si="71"/>
        <v>1.2358251942200626E-6</v>
      </c>
      <c r="Q149" s="103">
        <f t="shared" si="71"/>
        <v>1.1856080686734412E-5</v>
      </c>
      <c r="R149" s="103">
        <f t="shared" si="71"/>
        <v>1.798591580426782E-5</v>
      </c>
      <c r="S149" s="103">
        <f t="shared" si="71"/>
        <v>2.1134314122840252E-5</v>
      </c>
      <c r="T149" s="103">
        <f t="shared" si="71"/>
        <v>2.4159561252659396E-5</v>
      </c>
      <c r="U149" s="103">
        <f t="shared" si="71"/>
        <v>4.4558160654720155E-5</v>
      </c>
      <c r="V149" s="103">
        <f t="shared" si="71"/>
        <v>1.1385631941868478E-4</v>
      </c>
      <c r="W149" s="103">
        <f t="shared" ref="W149" si="72">IF(W29=0,0,W29/W$17)</f>
        <v>2.0709389242648852E-4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0</v>
      </c>
      <c r="N150" s="103">
        <f t="shared" si="75"/>
        <v>2.8758479456532541E-6</v>
      </c>
      <c r="O150" s="103">
        <f t="shared" si="75"/>
        <v>3.2987414651023214E-6</v>
      </c>
      <c r="P150" s="103">
        <f t="shared" si="75"/>
        <v>7.6586981000225272E-6</v>
      </c>
      <c r="Q150" s="103">
        <f t="shared" si="75"/>
        <v>1.3649660907566998E-5</v>
      </c>
      <c r="R150" s="103">
        <f t="shared" si="75"/>
        <v>1.8800628606185106E-5</v>
      </c>
      <c r="S150" s="103">
        <f t="shared" si="75"/>
        <v>2.1505174222177539E-5</v>
      </c>
      <c r="T150" s="103">
        <f t="shared" si="75"/>
        <v>3.9010296706058906E-5</v>
      </c>
      <c r="U150" s="103">
        <f t="shared" si="75"/>
        <v>6.694128439673386E-5</v>
      </c>
      <c r="V150" s="103">
        <f t="shared" si="75"/>
        <v>1.2741411645581053E-4</v>
      </c>
      <c r="W150" s="103">
        <f t="shared" ref="W150" si="76">IF(W32=0,0,W32/W$17)</f>
        <v>3.0070171706727866E-4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0.12717628876727563</v>
      </c>
      <c r="C151" s="156">
        <f t="shared" si="77"/>
        <v>0.12154786845494464</v>
      </c>
      <c r="D151" s="156">
        <f t="shared" si="77"/>
        <v>0.11283244575690216</v>
      </c>
      <c r="E151" s="156">
        <f t="shared" si="77"/>
        <v>0.10452113766869919</v>
      </c>
      <c r="F151" s="156">
        <f t="shared" si="77"/>
        <v>9.8987892024430771E-2</v>
      </c>
      <c r="G151" s="156">
        <f t="shared" si="77"/>
        <v>9.428942101212015E-2</v>
      </c>
      <c r="H151" s="156">
        <f t="shared" si="77"/>
        <v>8.7982182117132518E-2</v>
      </c>
      <c r="I151" s="156">
        <f t="shared" si="77"/>
        <v>8.435280483819306E-2</v>
      </c>
      <c r="J151" s="156">
        <f t="shared" si="77"/>
        <v>8.5060362402700984E-2</v>
      </c>
      <c r="K151" s="156">
        <f t="shared" si="77"/>
        <v>8.7319900722974478E-2</v>
      </c>
      <c r="L151" s="156">
        <f t="shared" ref="L151" si="78">IF(L33=0,0,L33/L$17)</f>
        <v>9.0876883375512252E-2</v>
      </c>
      <c r="M151" s="156">
        <f t="shared" ref="M151:V151" si="79">IF(M33=0,0,M33/M$17)</f>
        <v>8.8726278694093594E-2</v>
      </c>
      <c r="N151" s="156">
        <f t="shared" si="79"/>
        <v>8.8593824906527965E-2</v>
      </c>
      <c r="O151" s="156">
        <f t="shared" si="79"/>
        <v>8.8326925244563856E-2</v>
      </c>
      <c r="P151" s="156">
        <f t="shared" si="79"/>
        <v>9.0742243682330789E-2</v>
      </c>
      <c r="Q151" s="156">
        <f t="shared" si="79"/>
        <v>9.1407742553258453E-2</v>
      </c>
      <c r="R151" s="156">
        <f t="shared" si="79"/>
        <v>9.3374710625312177E-2</v>
      </c>
      <c r="S151" s="156">
        <f t="shared" si="79"/>
        <v>9.1771263132408021E-2</v>
      </c>
      <c r="T151" s="156">
        <f t="shared" si="79"/>
        <v>9.5745620846889062E-2</v>
      </c>
      <c r="U151" s="156">
        <f t="shared" si="79"/>
        <v>7.776365924185355E-2</v>
      </c>
      <c r="V151" s="156">
        <f t="shared" si="79"/>
        <v>6.3899170338043779E-2</v>
      </c>
      <c r="W151" s="156">
        <f t="shared" ref="W151" si="80">IF(W33=0,0,W33/W$17)</f>
        <v>6.6242051325518442E-2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1.3088833230125922E-4</v>
      </c>
      <c r="C152" s="103">
        <f t="shared" si="81"/>
        <v>1.3340629427256563E-4</v>
      </c>
      <c r="D152" s="103">
        <f t="shared" si="81"/>
        <v>1.2395509517829022E-4</v>
      </c>
      <c r="E152" s="103">
        <f t="shared" si="81"/>
        <v>1.0897515570545129E-4</v>
      </c>
      <c r="F152" s="103">
        <f t="shared" si="81"/>
        <v>9.8366389208162105E-5</v>
      </c>
      <c r="G152" s="103">
        <f t="shared" si="81"/>
        <v>9.4487900925130321E-5</v>
      </c>
      <c r="H152" s="103">
        <f t="shared" si="81"/>
        <v>8.8192095589689103E-5</v>
      </c>
      <c r="I152" s="103">
        <f t="shared" si="81"/>
        <v>7.4321989818164805E-5</v>
      </c>
      <c r="J152" s="103">
        <f t="shared" si="81"/>
        <v>8.2569227866377895E-5</v>
      </c>
      <c r="K152" s="103">
        <f t="shared" si="81"/>
        <v>7.5696614468047707E-5</v>
      </c>
      <c r="L152" s="103">
        <f t="shared" ref="L152" si="82">IF(L34=0,0,L34/L$17)</f>
        <v>7.6151441462131685E-5</v>
      </c>
      <c r="M152" s="103">
        <f t="shared" ref="M152:V152" si="83">IF(M34=0,0,M34/M$17)</f>
        <v>6.9943797009143515E-5</v>
      </c>
      <c r="N152" s="103">
        <f t="shared" si="83"/>
        <v>6.9313571814535736E-5</v>
      </c>
      <c r="O152" s="103">
        <f t="shared" si="83"/>
        <v>7.7372202383616434E-5</v>
      </c>
      <c r="P152" s="103">
        <f t="shared" si="83"/>
        <v>7.3072879447748737E-5</v>
      </c>
      <c r="Q152" s="103">
        <f t="shared" si="83"/>
        <v>6.4487107606830409E-5</v>
      </c>
      <c r="R152" s="103">
        <f t="shared" si="83"/>
        <v>6.4670309714657596E-5</v>
      </c>
      <c r="S152" s="103">
        <f t="shared" si="83"/>
        <v>5.8578481182589549E-5</v>
      </c>
      <c r="T152" s="103">
        <f t="shared" si="83"/>
        <v>6.0146685544804738E-5</v>
      </c>
      <c r="U152" s="103">
        <f t="shared" si="83"/>
        <v>4.1639690304712005E-5</v>
      </c>
      <c r="V152" s="103">
        <f t="shared" si="83"/>
        <v>3.3163528681164237E-5</v>
      </c>
      <c r="W152" s="103">
        <f t="shared" ref="W152" si="84">IF(W34=0,0,W34/W$17)</f>
        <v>3.1956655144852767E-5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0.12704540043497436</v>
      </c>
      <c r="C153" s="103">
        <f t="shared" si="85"/>
        <v>0.12141446216067209</v>
      </c>
      <c r="D153" s="103">
        <f t="shared" si="85"/>
        <v>0.11270849066172386</v>
      </c>
      <c r="E153" s="103">
        <f t="shared" si="85"/>
        <v>0.10441216251299375</v>
      </c>
      <c r="F153" s="103">
        <f t="shared" si="85"/>
        <v>9.8889525635222617E-2</v>
      </c>
      <c r="G153" s="103">
        <f t="shared" si="85"/>
        <v>9.419493311119502E-2</v>
      </c>
      <c r="H153" s="103">
        <f t="shared" si="85"/>
        <v>8.7893990021542828E-2</v>
      </c>
      <c r="I153" s="103">
        <f t="shared" si="85"/>
        <v>8.4273572812375477E-2</v>
      </c>
      <c r="J153" s="103">
        <f t="shared" si="85"/>
        <v>8.4972818038898418E-2</v>
      </c>
      <c r="K153" s="103">
        <f t="shared" si="85"/>
        <v>8.6708974501025077E-2</v>
      </c>
      <c r="L153" s="103">
        <f t="shared" ref="L153" si="86">IF(L36=0,0,L36/L$17)</f>
        <v>8.9738042433047685E-2</v>
      </c>
      <c r="M153" s="103">
        <f t="shared" ref="M153:V153" si="87">IF(M36=0,0,M36/M$17)</f>
        <v>8.8358729819681972E-2</v>
      </c>
      <c r="N153" s="103">
        <f t="shared" si="87"/>
        <v>8.8144172715739003E-2</v>
      </c>
      <c r="O153" s="103">
        <f t="shared" si="87"/>
        <v>8.7411974639403103E-2</v>
      </c>
      <c r="P153" s="103">
        <f t="shared" si="87"/>
        <v>8.8885475309024464E-2</v>
      </c>
      <c r="Q153" s="103">
        <f t="shared" si="87"/>
        <v>8.9588451448175233E-2</v>
      </c>
      <c r="R153" s="103">
        <f t="shared" si="87"/>
        <v>9.1412022089624997E-2</v>
      </c>
      <c r="S153" s="103">
        <f t="shared" si="87"/>
        <v>8.9707075157035382E-2</v>
      </c>
      <c r="T153" s="103">
        <f t="shared" si="87"/>
        <v>9.3638801078079287E-2</v>
      </c>
      <c r="U153" s="103">
        <f t="shared" si="87"/>
        <v>7.5885115474459724E-2</v>
      </c>
      <c r="V153" s="103">
        <f t="shared" si="87"/>
        <v>6.2263422947304511E-2</v>
      </c>
      <c r="W153" s="103">
        <f t="shared" ref="W153" si="88">IF(W36=0,0,W36/W$17)</f>
        <v>6.4258507707910195E-2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4.9100359994245442E-6</v>
      </c>
      <c r="J154" s="103">
        <f t="shared" si="89"/>
        <v>4.9751359361980354E-6</v>
      </c>
      <c r="K154" s="103">
        <f t="shared" si="89"/>
        <v>5.0088742918512127E-6</v>
      </c>
      <c r="L154" s="103">
        <f t="shared" ref="L154" si="90">IF(L38=0,0,L38/L$17)</f>
        <v>5.4265892529054624E-6</v>
      </c>
      <c r="M154" s="103">
        <f t="shared" ref="M154:V154" si="91">IF(M38=0,0,M38/M$17)</f>
        <v>1.1288826787504804E-5</v>
      </c>
      <c r="N154" s="103">
        <f t="shared" si="91"/>
        <v>1.1481075014415733E-5</v>
      </c>
      <c r="O154" s="103">
        <f t="shared" si="91"/>
        <v>7.6205924239476178E-5</v>
      </c>
      <c r="P154" s="103">
        <f t="shared" si="91"/>
        <v>8.9509374180140716E-5</v>
      </c>
      <c r="Q154" s="103">
        <f t="shared" si="91"/>
        <v>8.7646978241457966E-5</v>
      </c>
      <c r="R154" s="103">
        <f t="shared" si="91"/>
        <v>8.8550126362597128E-5</v>
      </c>
      <c r="S154" s="103">
        <f t="shared" si="91"/>
        <v>7.5693768931680422E-5</v>
      </c>
      <c r="T154" s="103">
        <f t="shared" si="91"/>
        <v>7.8412642624161262E-5</v>
      </c>
      <c r="U154" s="103">
        <f t="shared" si="91"/>
        <v>6.0341273948437818E-5</v>
      </c>
      <c r="V154" s="103">
        <f t="shared" si="91"/>
        <v>5.4472580017874702E-5</v>
      </c>
      <c r="W154" s="103">
        <f t="shared" ref="W154" si="92">IF(W38=0,0,W38/W$17)</f>
        <v>5.5014142276311079E-5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5.3022073318949911E-4</v>
      </c>
      <c r="L155" s="103">
        <f t="shared" ref="L155" si="94">IF(L39=0,0,L39/L$17)</f>
        <v>1.0572629117495248E-3</v>
      </c>
      <c r="M155" s="103">
        <f t="shared" ref="M155:V155" si="95">IF(M39=0,0,M39/M$17)</f>
        <v>2.8631625061497598E-4</v>
      </c>
      <c r="N155" s="103">
        <f t="shared" si="95"/>
        <v>3.6885754396001543E-4</v>
      </c>
      <c r="O155" s="103">
        <f t="shared" si="95"/>
        <v>7.6137247853765239E-4</v>
      </c>
      <c r="P155" s="103">
        <f t="shared" si="95"/>
        <v>1.694186119678438E-3</v>
      </c>
      <c r="Q155" s="103">
        <f t="shared" si="95"/>
        <v>1.6514975190233302E-3</v>
      </c>
      <c r="R155" s="103">
        <f t="shared" si="95"/>
        <v>1.7863870560221146E-3</v>
      </c>
      <c r="S155" s="103">
        <f t="shared" si="95"/>
        <v>1.9084713674218242E-3</v>
      </c>
      <c r="T155" s="103">
        <f t="shared" si="95"/>
        <v>1.9463131684091005E-3</v>
      </c>
      <c r="U155" s="103">
        <f t="shared" si="95"/>
        <v>1.7557797148006512E-3</v>
      </c>
      <c r="V155" s="103">
        <f t="shared" si="95"/>
        <v>1.5293855454705369E-3</v>
      </c>
      <c r="W155" s="103">
        <f t="shared" ref="W155" si="96">IF(W39=0,0,W39/W$17)</f>
        <v>1.8514967553961135E-3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0</v>
      </c>
      <c r="P156" s="103">
        <f t="shared" si="99"/>
        <v>0</v>
      </c>
      <c r="Q156" s="103">
        <f t="shared" si="99"/>
        <v>1.5659500211612281E-5</v>
      </c>
      <c r="R156" s="103">
        <f t="shared" si="99"/>
        <v>2.3081043587800996E-5</v>
      </c>
      <c r="S156" s="103">
        <f t="shared" si="99"/>
        <v>2.144435783654117E-5</v>
      </c>
      <c r="T156" s="103">
        <f t="shared" si="99"/>
        <v>2.1947272231720051E-5</v>
      </c>
      <c r="U156" s="103">
        <f t="shared" si="99"/>
        <v>2.0783088340021104E-5</v>
      </c>
      <c r="V156" s="103">
        <f t="shared" si="99"/>
        <v>1.8725736569696293E-5</v>
      </c>
      <c r="W156" s="103">
        <f t="shared" ref="W156" si="100">IF(W41=0,0,W41/W$17)</f>
        <v>4.507606479097988E-5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0.16017500272210805</v>
      </c>
      <c r="C157" s="46">
        <f t="shared" si="101"/>
        <v>0.17179809827426848</v>
      </c>
      <c r="D157" s="46">
        <f t="shared" si="101"/>
        <v>0.21145080749831696</v>
      </c>
      <c r="E157" s="46">
        <f t="shared" si="101"/>
        <v>0.22051295914516106</v>
      </c>
      <c r="F157" s="46">
        <f t="shared" si="101"/>
        <v>0.23640629204605768</v>
      </c>
      <c r="G157" s="46">
        <f t="shared" si="101"/>
        <v>0.23545699306927748</v>
      </c>
      <c r="H157" s="46">
        <f t="shared" si="101"/>
        <v>0.23648061041178564</v>
      </c>
      <c r="I157" s="46">
        <f t="shared" si="101"/>
        <v>0.22492411661872819</v>
      </c>
      <c r="J157" s="46">
        <f t="shared" si="101"/>
        <v>0.22762005882172701</v>
      </c>
      <c r="K157" s="46">
        <f t="shared" si="101"/>
        <v>0.21136717009677608</v>
      </c>
      <c r="L157" s="46">
        <f t="shared" ref="L157" si="102">IF(L42=0,0,L42/L$17)</f>
        <v>0.21505516183615025</v>
      </c>
      <c r="M157" s="46">
        <f t="shared" ref="M157:V157" si="103">IF(M42=0,0,M42/M$17)</f>
        <v>0.21134164886899542</v>
      </c>
      <c r="N157" s="46">
        <f t="shared" si="103"/>
        <v>0.19879223652119182</v>
      </c>
      <c r="O157" s="46">
        <f t="shared" si="103"/>
        <v>0.22164711502469359</v>
      </c>
      <c r="P157" s="46">
        <f t="shared" si="103"/>
        <v>0.20270295774509178</v>
      </c>
      <c r="Q157" s="46">
        <f t="shared" si="103"/>
        <v>0.20400258807401789</v>
      </c>
      <c r="R157" s="46">
        <f t="shared" si="103"/>
        <v>0.19107941396554526</v>
      </c>
      <c r="S157" s="46">
        <f t="shared" si="103"/>
        <v>0.22397446425149048</v>
      </c>
      <c r="T157" s="46">
        <f t="shared" si="103"/>
        <v>0.21944084189198582</v>
      </c>
      <c r="U157" s="46">
        <f t="shared" si="103"/>
        <v>0.24110653596362142</v>
      </c>
      <c r="V157" s="46">
        <f t="shared" si="103"/>
        <v>0.27017185634725288</v>
      </c>
      <c r="W157" s="46">
        <f t="shared" ref="W157" si="104">IF(W42=0,0,W42/W$17)</f>
        <v>0.25390508507475673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5.7131082413634578E-2</v>
      </c>
      <c r="C158" s="154">
        <f t="shared" si="105"/>
        <v>6.3786441452149442E-2</v>
      </c>
      <c r="D158" s="154">
        <f t="shared" si="105"/>
        <v>6.7406457575527171E-2</v>
      </c>
      <c r="E158" s="154">
        <f t="shared" si="105"/>
        <v>6.817827801887269E-2</v>
      </c>
      <c r="F158" s="154">
        <f t="shared" si="105"/>
        <v>7.1163955761633826E-2</v>
      </c>
      <c r="G158" s="154">
        <f t="shared" si="105"/>
        <v>7.4947838838802114E-2</v>
      </c>
      <c r="H158" s="154">
        <f t="shared" si="105"/>
        <v>7.3493846158549508E-2</v>
      </c>
      <c r="I158" s="154">
        <f t="shared" si="105"/>
        <v>6.6834599768793745E-2</v>
      </c>
      <c r="J158" s="154">
        <f t="shared" si="105"/>
        <v>7.0262720870432921E-2</v>
      </c>
      <c r="K158" s="154">
        <f t="shared" si="105"/>
        <v>6.8099602404638124E-2</v>
      </c>
      <c r="L158" s="154">
        <f t="shared" ref="L158" si="106">IF(L43=0,0,L43/L$17)</f>
        <v>6.59005963962353E-2</v>
      </c>
      <c r="M158" s="154">
        <f t="shared" ref="M158:V158" si="107">IF(M43=0,0,M43/M$17)</f>
        <v>6.6428614487425097E-2</v>
      </c>
      <c r="N158" s="154">
        <f t="shared" si="107"/>
        <v>6.3886299248363268E-2</v>
      </c>
      <c r="O158" s="154">
        <f t="shared" si="107"/>
        <v>6.2122810537110294E-2</v>
      </c>
      <c r="P158" s="154">
        <f t="shared" si="107"/>
        <v>6.0448159525859482E-2</v>
      </c>
      <c r="Q158" s="154">
        <f t="shared" si="107"/>
        <v>6.4489298450719518E-2</v>
      </c>
      <c r="R158" s="154">
        <f t="shared" si="107"/>
        <v>6.5113159798193848E-2</v>
      </c>
      <c r="S158" s="154">
        <f t="shared" si="107"/>
        <v>6.944891272608722E-2</v>
      </c>
      <c r="T158" s="154">
        <f t="shared" si="107"/>
        <v>7.7364610876403214E-2</v>
      </c>
      <c r="U158" s="154">
        <f t="shared" si="107"/>
        <v>8.0394438315397831E-2</v>
      </c>
      <c r="V158" s="154">
        <f t="shared" si="107"/>
        <v>9.3464364212637957E-2</v>
      </c>
      <c r="W158" s="154">
        <f t="shared" ref="W158" si="108">IF(W43=0,0,W43/W$17)</f>
        <v>9.4251863479649395E-2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9.1914606390865287E-3</v>
      </c>
      <c r="C159" s="103">
        <f t="shared" si="109"/>
        <v>1.0843548567100564E-2</v>
      </c>
      <c r="D159" s="103">
        <f t="shared" si="109"/>
        <v>9.9506241577001966E-3</v>
      </c>
      <c r="E159" s="103">
        <f t="shared" si="109"/>
        <v>8.7783887072146634E-3</v>
      </c>
      <c r="F159" s="103">
        <f t="shared" si="109"/>
        <v>7.9783291698271464E-3</v>
      </c>
      <c r="G159" s="103">
        <f t="shared" si="109"/>
        <v>7.2481699509837462E-3</v>
      </c>
      <c r="H159" s="103">
        <f t="shared" si="109"/>
        <v>6.670052351226881E-3</v>
      </c>
      <c r="I159" s="103">
        <f t="shared" si="109"/>
        <v>4.7925673388864729E-3</v>
      </c>
      <c r="J159" s="103">
        <f t="shared" si="109"/>
        <v>4.67821552331695E-3</v>
      </c>
      <c r="K159" s="103">
        <f t="shared" si="109"/>
        <v>4.056612566366532E-3</v>
      </c>
      <c r="L159" s="103">
        <f t="shared" ref="L159" si="110">IF(L44=0,0,L44/L$17)</f>
        <v>3.6090860566423376E-3</v>
      </c>
      <c r="M159" s="103">
        <f t="shared" ref="M159:V159" si="111">IF(M44=0,0,M44/M$17)</f>
        <v>3.4745739479082201E-3</v>
      </c>
      <c r="N159" s="103">
        <f t="shared" si="111"/>
        <v>2.5165527303622416E-3</v>
      </c>
      <c r="O159" s="103">
        <f t="shared" si="111"/>
        <v>2.3750091799498796E-3</v>
      </c>
      <c r="P159" s="103">
        <f t="shared" si="111"/>
        <v>2.3174737222798141E-3</v>
      </c>
      <c r="Q159" s="103">
        <f t="shared" si="111"/>
        <v>2.0888268429240719E-3</v>
      </c>
      <c r="R159" s="103">
        <f t="shared" si="111"/>
        <v>2.0334175202381725E-3</v>
      </c>
      <c r="S159" s="103">
        <f t="shared" si="111"/>
        <v>2.1022339666442172E-3</v>
      </c>
      <c r="T159" s="103">
        <f t="shared" si="111"/>
        <v>2.3085025661450289E-3</v>
      </c>
      <c r="U159" s="103">
        <f t="shared" si="111"/>
        <v>2.2530020883123796E-3</v>
      </c>
      <c r="V159" s="103">
        <f t="shared" si="111"/>
        <v>2.5010022848409013E-3</v>
      </c>
      <c r="W159" s="103">
        <f t="shared" ref="W159" si="112">IF(W44=0,0,W44/W$17)</f>
        <v>2.3774457942872312E-3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4.7939621774548045E-2</v>
      </c>
      <c r="C160" s="103">
        <f t="shared" si="113"/>
        <v>5.294289288504888E-2</v>
      </c>
      <c r="D160" s="103">
        <f t="shared" si="113"/>
        <v>5.7455833417826972E-2</v>
      </c>
      <c r="E160" s="103">
        <f t="shared" si="113"/>
        <v>5.9399657285621466E-2</v>
      </c>
      <c r="F160" s="103">
        <f t="shared" si="113"/>
        <v>6.3185400869051125E-2</v>
      </c>
      <c r="G160" s="103">
        <f t="shared" si="113"/>
        <v>6.7699348906635509E-2</v>
      </c>
      <c r="H160" s="103">
        <f t="shared" si="113"/>
        <v>6.6823493125857059E-2</v>
      </c>
      <c r="I160" s="103">
        <f t="shared" si="113"/>
        <v>6.1979852256182195E-2</v>
      </c>
      <c r="J160" s="103">
        <f t="shared" si="113"/>
        <v>6.5426298890620224E-2</v>
      </c>
      <c r="K160" s="103">
        <f t="shared" si="113"/>
        <v>6.3832324392240264E-2</v>
      </c>
      <c r="L160" s="103">
        <f t="shared" ref="L160" si="114">IF(L46=0,0,L46/L$17)</f>
        <v>6.2066452369856424E-2</v>
      </c>
      <c r="M160" s="103">
        <f t="shared" ref="M160:V160" si="115">IF(M46=0,0,M46/M$17)</f>
        <v>6.2732504740478423E-2</v>
      </c>
      <c r="N160" s="103">
        <f t="shared" si="115"/>
        <v>6.1133571656301768E-2</v>
      </c>
      <c r="O160" s="103">
        <f t="shared" si="115"/>
        <v>5.9492980564693029E-2</v>
      </c>
      <c r="P160" s="103">
        <f t="shared" si="115"/>
        <v>5.7856414741319369E-2</v>
      </c>
      <c r="Q160" s="103">
        <f t="shared" si="115"/>
        <v>6.2114347386357155E-2</v>
      </c>
      <c r="R160" s="103">
        <f t="shared" si="115"/>
        <v>6.2787506405030044E-2</v>
      </c>
      <c r="S160" s="103">
        <f t="shared" si="115"/>
        <v>6.7024854928842137E-2</v>
      </c>
      <c r="T160" s="103">
        <f t="shared" si="115"/>
        <v>7.4690916337545724E-2</v>
      </c>
      <c r="U160" s="103">
        <f t="shared" si="115"/>
        <v>7.7770166854203487E-2</v>
      </c>
      <c r="V160" s="103">
        <f t="shared" si="115"/>
        <v>9.0522669713907031E-2</v>
      </c>
      <c r="W160" s="103">
        <f t="shared" ref="W160" si="116">IF(W46=0,0,W46/W$17)</f>
        <v>9.1418482308995241E-2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6.1900935439371431E-5</v>
      </c>
      <c r="J161" s="103">
        <f t="shared" si="117"/>
        <v>1.5774351291565186E-4</v>
      </c>
      <c r="K161" s="103">
        <f t="shared" si="117"/>
        <v>1.9389887079027153E-4</v>
      </c>
      <c r="L161" s="103">
        <f t="shared" ref="L161" si="118">IF(L48=0,0,L48/L$17)</f>
        <v>2.0455684090165438E-4</v>
      </c>
      <c r="M161" s="103">
        <f t="shared" ref="M161:V161" si="119">IF(M48=0,0,M48/M$17)</f>
        <v>1.9989762087029313E-4</v>
      </c>
      <c r="N161" s="103">
        <f t="shared" si="119"/>
        <v>2.0474444723479616E-4</v>
      </c>
      <c r="O161" s="103">
        <f t="shared" si="119"/>
        <v>2.2305329286538919E-4</v>
      </c>
      <c r="P161" s="103">
        <f t="shared" si="119"/>
        <v>2.4202282567122133E-4</v>
      </c>
      <c r="Q161" s="103">
        <f t="shared" si="119"/>
        <v>2.5075692603423587E-4</v>
      </c>
      <c r="R161" s="103">
        <f t="shared" si="119"/>
        <v>2.5745296159907627E-4</v>
      </c>
      <c r="S161" s="103">
        <f t="shared" si="119"/>
        <v>2.8116520911632131E-4</v>
      </c>
      <c r="T161" s="103">
        <f t="shared" si="119"/>
        <v>3.2087743718045542E-4</v>
      </c>
      <c r="U161" s="103">
        <f t="shared" si="119"/>
        <v>3.2975898081999991E-4</v>
      </c>
      <c r="V161" s="103">
        <f t="shared" si="119"/>
        <v>3.8334068680129034E-4</v>
      </c>
      <c r="W161" s="103">
        <f t="shared" ref="W161" si="120">IF(W48=0,0,W48/W$17)</f>
        <v>4.0124896003171156E-4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1.6210927701866586E-5</v>
      </c>
      <c r="L162" s="103">
        <f t="shared" ref="L162" si="122">IF(L49=0,0,L49/L$17)</f>
        <v>1.9922265960222412E-5</v>
      </c>
      <c r="M162" s="103">
        <f t="shared" ref="M162:V162" si="123">IF(M49=0,0,M49/M$17)</f>
        <v>2.1149397895263647E-5</v>
      </c>
      <c r="N162" s="103">
        <f t="shared" si="123"/>
        <v>3.0731390433531162E-5</v>
      </c>
      <c r="O162" s="103">
        <f t="shared" si="123"/>
        <v>3.1075988658106699E-5</v>
      </c>
      <c r="P162" s="103">
        <f t="shared" si="123"/>
        <v>3.144108158395701E-5</v>
      </c>
      <c r="Q162" s="103">
        <f t="shared" si="123"/>
        <v>3.1599266864457216E-5</v>
      </c>
      <c r="R162" s="103">
        <f t="shared" si="123"/>
        <v>2.9308749733823894E-5</v>
      </c>
      <c r="S162" s="103">
        <f t="shared" si="123"/>
        <v>3.4649228381201035E-5</v>
      </c>
      <c r="T162" s="103">
        <f t="shared" si="123"/>
        <v>3.7119253139449691E-5</v>
      </c>
      <c r="U162" s="103">
        <f t="shared" si="123"/>
        <v>3.463507622860969E-5</v>
      </c>
      <c r="V162" s="103">
        <f t="shared" si="123"/>
        <v>3.7526831426864679E-5</v>
      </c>
      <c r="W162" s="103">
        <f t="shared" ref="W162" si="124">IF(W49=0,0,W49/W$17)</f>
        <v>3.5021034204209861E-5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2.3202603657195713E-7</v>
      </c>
      <c r="F163" s="103">
        <f t="shared" si="125"/>
        <v>2.2572275555216389E-7</v>
      </c>
      <c r="G163" s="103">
        <f t="shared" si="125"/>
        <v>3.1998118286102904E-7</v>
      </c>
      <c r="H163" s="103">
        <f t="shared" si="125"/>
        <v>3.0068146557688665E-7</v>
      </c>
      <c r="I163" s="103">
        <f t="shared" si="125"/>
        <v>2.7923828569273147E-7</v>
      </c>
      <c r="J163" s="103">
        <f t="shared" si="125"/>
        <v>4.6294358010493664E-7</v>
      </c>
      <c r="K163" s="103">
        <f t="shared" si="125"/>
        <v>5.5564753919103557E-7</v>
      </c>
      <c r="L163" s="103">
        <f t="shared" ref="L163" si="126">IF(L51=0,0,L51/L$17)</f>
        <v>5.7886287466435714E-7</v>
      </c>
      <c r="M163" s="103">
        <f t="shared" ref="M163:V163" si="127">IF(M51=0,0,M51/M$17)</f>
        <v>4.8878027289765851E-7</v>
      </c>
      <c r="N163" s="103">
        <f t="shared" si="127"/>
        <v>6.9902403092759926E-7</v>
      </c>
      <c r="O163" s="103">
        <f t="shared" si="127"/>
        <v>6.9151094389165153E-7</v>
      </c>
      <c r="P163" s="103">
        <f t="shared" si="127"/>
        <v>8.0715500511546692E-7</v>
      </c>
      <c r="Q163" s="103">
        <f t="shared" si="127"/>
        <v>3.7680285396055401E-6</v>
      </c>
      <c r="R163" s="103">
        <f t="shared" si="127"/>
        <v>5.4741615927316735E-6</v>
      </c>
      <c r="S163" s="103">
        <f t="shared" si="127"/>
        <v>6.009393103352855E-6</v>
      </c>
      <c r="T163" s="103">
        <f t="shared" si="127"/>
        <v>7.1952823925496999E-6</v>
      </c>
      <c r="U163" s="103">
        <f t="shared" si="127"/>
        <v>6.875315833342337E-6</v>
      </c>
      <c r="V163" s="103">
        <f t="shared" si="127"/>
        <v>1.9824695661842654E-5</v>
      </c>
      <c r="W163" s="103">
        <f t="shared" ref="W163" si="128">IF(W51=0,0,W51/W$17)</f>
        <v>1.9665382130989841E-5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0.10304392030847348</v>
      </c>
      <c r="C164" s="156">
        <f t="shared" si="129"/>
        <v>0.10801165682211904</v>
      </c>
      <c r="D164" s="156">
        <f t="shared" si="129"/>
        <v>0.14404434992278978</v>
      </c>
      <c r="E164" s="156">
        <f t="shared" si="129"/>
        <v>0.15233468112628834</v>
      </c>
      <c r="F164" s="156">
        <f t="shared" si="129"/>
        <v>0.16524233628442384</v>
      </c>
      <c r="G164" s="156">
        <f t="shared" si="129"/>
        <v>0.16050915423047538</v>
      </c>
      <c r="H164" s="156">
        <f t="shared" si="129"/>
        <v>0.16298676425323613</v>
      </c>
      <c r="I164" s="156">
        <f t="shared" si="129"/>
        <v>0.15808951684993444</v>
      </c>
      <c r="J164" s="156">
        <f t="shared" si="129"/>
        <v>0.15735733795129406</v>
      </c>
      <c r="K164" s="156">
        <f t="shared" si="129"/>
        <v>0.14326756769213794</v>
      </c>
      <c r="L164" s="156">
        <f t="shared" ref="L164" si="130">IF(L52=0,0,L52/L$17)</f>
        <v>0.14915456543991493</v>
      </c>
      <c r="M164" s="156">
        <f t="shared" ref="M164:V164" si="131">IF(M52=0,0,M52/M$17)</f>
        <v>0.14491303438157033</v>
      </c>
      <c r="N164" s="156">
        <f t="shared" si="131"/>
        <v>0.13490593727282857</v>
      </c>
      <c r="O164" s="156">
        <f t="shared" si="131"/>
        <v>0.15952430448758328</v>
      </c>
      <c r="P164" s="156">
        <f t="shared" si="131"/>
        <v>0.14225479821923231</v>
      </c>
      <c r="Q164" s="156">
        <f t="shared" si="131"/>
        <v>0.13951328962329834</v>
      </c>
      <c r="R164" s="156">
        <f t="shared" si="131"/>
        <v>0.12596625416735141</v>
      </c>
      <c r="S164" s="156">
        <f t="shared" si="131"/>
        <v>0.15452555152540326</v>
      </c>
      <c r="T164" s="156">
        <f t="shared" si="131"/>
        <v>0.14207623101558262</v>
      </c>
      <c r="U164" s="156">
        <f t="shared" si="131"/>
        <v>0.16071209764822358</v>
      </c>
      <c r="V164" s="156">
        <f t="shared" si="131"/>
        <v>0.1767074921346149</v>
      </c>
      <c r="W164" s="156">
        <f t="shared" ref="W164" si="132">IF(W52=0,0,W52/W$17)</f>
        <v>0.15965322159510731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4.394484028944818E-2</v>
      </c>
      <c r="C165" s="104">
        <f t="shared" si="133"/>
        <v>6.8767375635580566E-2</v>
      </c>
      <c r="D165" s="104">
        <f t="shared" si="133"/>
        <v>8.9302235691993387E-2</v>
      </c>
      <c r="E165" s="104">
        <f t="shared" si="133"/>
        <v>9.7826531511656101E-2</v>
      </c>
      <c r="F165" s="104">
        <f t="shared" si="133"/>
        <v>0.10078368216350998</v>
      </c>
      <c r="G165" s="104">
        <f t="shared" si="133"/>
        <v>9.717153027954599E-2</v>
      </c>
      <c r="H165" s="104">
        <f t="shared" si="133"/>
        <v>0.10997715352796741</v>
      </c>
      <c r="I165" s="104">
        <f t="shared" si="133"/>
        <v>9.9822344187207132E-2</v>
      </c>
      <c r="J165" s="104">
        <f t="shared" si="133"/>
        <v>0.1170870348067404</v>
      </c>
      <c r="K165" s="104">
        <f t="shared" si="133"/>
        <v>0.10054974522745848</v>
      </c>
      <c r="L165" s="104">
        <f t="shared" ref="L165" si="134">IF(L53=0,0,L53/L$17)</f>
        <v>0.1002881090427723</v>
      </c>
      <c r="M165" s="104">
        <f t="shared" ref="M165:V165" si="135">IF(M53=0,0,M53/M$17)</f>
        <v>0.10003907544756217</v>
      </c>
      <c r="N165" s="104">
        <f t="shared" si="135"/>
        <v>9.3860494752504367E-2</v>
      </c>
      <c r="O165" s="104">
        <f t="shared" si="135"/>
        <v>9.8141482740146613E-2</v>
      </c>
      <c r="P165" s="104">
        <f t="shared" si="135"/>
        <v>8.9358833332951249E-2</v>
      </c>
      <c r="Q165" s="104">
        <f t="shared" si="135"/>
        <v>8.4434650838558237E-2</v>
      </c>
      <c r="R165" s="104">
        <f t="shared" si="135"/>
        <v>8.1033204244086429E-2</v>
      </c>
      <c r="S165" s="104">
        <f t="shared" si="135"/>
        <v>8.2463711165685294E-2</v>
      </c>
      <c r="T165" s="104">
        <f t="shared" si="135"/>
        <v>8.0372228052422043E-2</v>
      </c>
      <c r="U165" s="104">
        <f t="shared" si="135"/>
        <v>8.2877949104907103E-2</v>
      </c>
      <c r="V165" s="104">
        <f t="shared" si="135"/>
        <v>9.3329863209408795E-2</v>
      </c>
      <c r="W165" s="104">
        <f t="shared" ref="W165" si="136">IF(W53=0,0,W53/W$17)</f>
        <v>9.1690927375789488E-2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5.9099080019025294E-2</v>
      </c>
      <c r="C166" s="105">
        <f t="shared" si="137"/>
        <v>3.9244281186538471E-2</v>
      </c>
      <c r="D166" s="105">
        <f t="shared" si="137"/>
        <v>5.4742114230796411E-2</v>
      </c>
      <c r="E166" s="105">
        <f t="shared" si="137"/>
        <v>5.4508149614632247E-2</v>
      </c>
      <c r="F166" s="105">
        <f t="shared" si="137"/>
        <v>6.4458654120913866E-2</v>
      </c>
      <c r="G166" s="105">
        <f t="shared" si="137"/>
        <v>6.3337623950929386E-2</v>
      </c>
      <c r="H166" s="105">
        <f t="shared" si="137"/>
        <v>5.3009610725268719E-2</v>
      </c>
      <c r="I166" s="105">
        <f t="shared" si="137"/>
        <v>5.8267172662727303E-2</v>
      </c>
      <c r="J166" s="105">
        <f t="shared" si="137"/>
        <v>4.0270303144553654E-2</v>
      </c>
      <c r="K166" s="105">
        <f t="shared" si="137"/>
        <v>4.271782246467945E-2</v>
      </c>
      <c r="L166" s="105">
        <f t="shared" ref="L166" si="138">IF(L55=0,0,L55/L$17)</f>
        <v>4.886645639714262E-2</v>
      </c>
      <c r="M166" s="105">
        <f t="shared" ref="M166:V166" si="139">IF(M55=0,0,M55/M$17)</f>
        <v>4.4873958934008147E-2</v>
      </c>
      <c r="N166" s="105">
        <f t="shared" si="139"/>
        <v>4.1045442520324216E-2</v>
      </c>
      <c r="O166" s="105">
        <f t="shared" si="139"/>
        <v>6.1382821747436672E-2</v>
      </c>
      <c r="P166" s="105">
        <f t="shared" si="139"/>
        <v>5.2895964886281066E-2</v>
      </c>
      <c r="Q166" s="105">
        <f t="shared" si="139"/>
        <v>5.5078638784740112E-2</v>
      </c>
      <c r="R166" s="105">
        <f t="shared" si="139"/>
        <v>4.493304992326496E-2</v>
      </c>
      <c r="S166" s="105">
        <f t="shared" si="139"/>
        <v>7.2061840359717966E-2</v>
      </c>
      <c r="T166" s="105">
        <f t="shared" si="139"/>
        <v>6.1704002963160587E-2</v>
      </c>
      <c r="U166" s="105">
        <f t="shared" si="139"/>
        <v>7.7834148543316467E-2</v>
      </c>
      <c r="V166" s="105">
        <f t="shared" si="139"/>
        <v>8.3377628925206101E-2</v>
      </c>
      <c r="W166" s="105">
        <f t="shared" ref="W166" si="140">IF(W55=0,0,W55/W$17)</f>
        <v>6.796229421931782E-2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4149.0756259199998</v>
      </c>
      <c r="C4" s="146">
        <f t="shared" si="0"/>
        <v>4201.0894317599996</v>
      </c>
      <c r="D4" s="146">
        <f t="shared" si="0"/>
        <v>4485.01297428</v>
      </c>
      <c r="E4" s="146">
        <f t="shared" si="0"/>
        <v>4878.8827606799996</v>
      </c>
      <c r="F4" s="146">
        <f t="shared" si="0"/>
        <v>5030.9101425600002</v>
      </c>
      <c r="G4" s="146">
        <f t="shared" si="0"/>
        <v>5220.8717385599994</v>
      </c>
      <c r="H4" s="146">
        <f t="shared" si="0"/>
        <v>5564.9146798799993</v>
      </c>
      <c r="I4" s="146">
        <f t="shared" si="0"/>
        <v>5990.3463967199987</v>
      </c>
      <c r="J4" s="146">
        <f t="shared" si="0"/>
        <v>5902.4345295599996</v>
      </c>
      <c r="K4" s="146">
        <f t="shared" si="0"/>
        <v>5868.3732656400007</v>
      </c>
      <c r="L4" s="146">
        <f t="shared" ref="L4" si="1">L5+L9+L10+L15</f>
        <v>5660.6363344800011</v>
      </c>
      <c r="M4" s="146">
        <f t="shared" ref="M4:V4" si="2">M5+M9+M10+M15</f>
        <v>5545.8468431999991</v>
      </c>
      <c r="N4" s="146">
        <f t="shared" si="2"/>
        <v>5348.4575569199997</v>
      </c>
      <c r="O4" s="146">
        <f t="shared" si="2"/>
        <v>5424.7263422399992</v>
      </c>
      <c r="P4" s="146">
        <f t="shared" si="2"/>
        <v>5364.4591047599997</v>
      </c>
      <c r="Q4" s="146">
        <f t="shared" si="2"/>
        <v>5688.4181047200009</v>
      </c>
      <c r="R4" s="146">
        <f t="shared" si="2"/>
        <v>5899.7898205199999</v>
      </c>
      <c r="S4" s="146">
        <f t="shared" si="2"/>
        <v>6365.9629857600021</v>
      </c>
      <c r="T4" s="146">
        <f t="shared" si="2"/>
        <v>6128.4775881599999</v>
      </c>
      <c r="U4" s="146">
        <f t="shared" si="2"/>
        <v>6296.9670248399998</v>
      </c>
      <c r="V4" s="146">
        <f t="shared" si="2"/>
        <v>5535.3389072400023</v>
      </c>
      <c r="W4" s="146">
        <f t="shared" ref="W4" si="3">W5+W9+W10+W15</f>
        <v>5963.8610484000001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4149.0756259199998</v>
      </c>
      <c r="C5" s="101">
        <f t="shared" si="4"/>
        <v>4201.0894317599996</v>
      </c>
      <c r="D5" s="101">
        <f t="shared" si="4"/>
        <v>4485.01297428</v>
      </c>
      <c r="E5" s="101">
        <f t="shared" si="4"/>
        <v>4878.8827606799996</v>
      </c>
      <c r="F5" s="101">
        <f t="shared" si="4"/>
        <v>5030.9101425600002</v>
      </c>
      <c r="G5" s="101">
        <f t="shared" si="4"/>
        <v>5220.8717385599994</v>
      </c>
      <c r="H5" s="101">
        <f t="shared" si="4"/>
        <v>5564.9146798799993</v>
      </c>
      <c r="I5" s="101">
        <f t="shared" si="4"/>
        <v>5990.3463967199987</v>
      </c>
      <c r="J5" s="101">
        <f t="shared" si="4"/>
        <v>5902.4345295599996</v>
      </c>
      <c r="K5" s="101">
        <f t="shared" si="4"/>
        <v>5865.6972956400004</v>
      </c>
      <c r="L5" s="101">
        <f t="shared" ref="L5" si="5">SUM(L6:L8)</f>
        <v>5655.6883144800013</v>
      </c>
      <c r="M5" s="101">
        <f t="shared" ref="M5:V5" si="6">SUM(M6:M8)</f>
        <v>5544.3321431999993</v>
      </c>
      <c r="N5" s="101">
        <f t="shared" si="6"/>
        <v>5346.5389369199993</v>
      </c>
      <c r="O5" s="101">
        <f t="shared" si="6"/>
        <v>5421.0910622399988</v>
      </c>
      <c r="P5" s="101">
        <f t="shared" si="6"/>
        <v>5356.8856047599993</v>
      </c>
      <c r="Q5" s="101">
        <f t="shared" si="6"/>
        <v>5680.642644720001</v>
      </c>
      <c r="R5" s="101">
        <f t="shared" si="6"/>
        <v>5891.2028852399999</v>
      </c>
      <c r="S5" s="101">
        <f t="shared" si="6"/>
        <v>6356.0350360800021</v>
      </c>
      <c r="T5" s="101">
        <f t="shared" si="6"/>
        <v>6118.5668050799995</v>
      </c>
      <c r="U5" s="101">
        <f t="shared" si="6"/>
        <v>6287.6390983199999</v>
      </c>
      <c r="V5" s="101">
        <f t="shared" si="6"/>
        <v>5528.1216646800021</v>
      </c>
      <c r="W5" s="101">
        <f t="shared" ref="W5" si="7">SUM(W6:W8)</f>
        <v>5954.4361810800001</v>
      </c>
      <c r="DA5" s="175"/>
    </row>
    <row r="6" spans="1:105" ht="11.45" customHeight="1" x14ac:dyDescent="0.25">
      <c r="A6" s="128" t="s">
        <v>52</v>
      </c>
      <c r="B6" s="101">
        <v>29.587589999999992</v>
      </c>
      <c r="C6" s="101">
        <v>35.505108</v>
      </c>
      <c r="D6" s="101">
        <v>39.055618800000019</v>
      </c>
      <c r="E6" s="101">
        <v>38.463867000000008</v>
      </c>
      <c r="F6" s="101">
        <v>49.411388880000011</v>
      </c>
      <c r="G6" s="101">
        <v>65.092698000000027</v>
      </c>
      <c r="H6" s="101">
        <v>109.47408300000001</v>
      </c>
      <c r="I6" s="101">
        <v>150.89670899999999</v>
      </c>
      <c r="J6" s="101">
        <v>204.15437100000003</v>
      </c>
      <c r="K6" s="101">
        <v>207.11313000000004</v>
      </c>
      <c r="L6" s="101">
        <v>174.56678100000005</v>
      </c>
      <c r="M6" s="101">
        <v>165.69050400000003</v>
      </c>
      <c r="N6" s="101">
        <v>162.73174500000002</v>
      </c>
      <c r="O6" s="101">
        <v>165.69050400000003</v>
      </c>
      <c r="P6" s="101">
        <v>180.48429900000002</v>
      </c>
      <c r="Q6" s="101">
        <v>198.236853</v>
      </c>
      <c r="R6" s="101">
        <v>210.07188900000003</v>
      </c>
      <c r="S6" s="101">
        <v>209.18437488000001</v>
      </c>
      <c r="T6" s="101">
        <v>208.29663360000001</v>
      </c>
      <c r="U6" s="101">
        <v>195.27809400000001</v>
      </c>
      <c r="V6" s="101">
        <v>156.22247520000002</v>
      </c>
      <c r="W6" s="101">
        <v>163.61948627999999</v>
      </c>
      <c r="DA6" s="175" t="s">
        <v>740</v>
      </c>
    </row>
    <row r="7" spans="1:105" ht="11.45" customHeight="1" x14ac:dyDescent="0.25">
      <c r="A7" s="128" t="s">
        <v>53</v>
      </c>
      <c r="B7" s="101">
        <v>2359.3308631199998</v>
      </c>
      <c r="C7" s="101">
        <v>2269.7770233599999</v>
      </c>
      <c r="D7" s="101">
        <v>2291.3984570399998</v>
      </c>
      <c r="E7" s="101">
        <v>2282.1312729599999</v>
      </c>
      <c r="F7" s="101">
        <v>2180.2231835999996</v>
      </c>
      <c r="G7" s="101">
        <v>2143.1639275199996</v>
      </c>
      <c r="H7" s="101">
        <v>2146.2539867999999</v>
      </c>
      <c r="I7" s="101">
        <v>2186.4033021600003</v>
      </c>
      <c r="J7" s="101">
        <v>2093.7534155999997</v>
      </c>
      <c r="K7" s="101">
        <v>2087.5792845599999</v>
      </c>
      <c r="L7" s="101">
        <v>1967.1400702800001</v>
      </c>
      <c r="M7" s="101">
        <v>1920.81662388</v>
      </c>
      <c r="N7" s="101">
        <v>1784.9393377200001</v>
      </c>
      <c r="O7" s="101">
        <v>1744.7960098800002</v>
      </c>
      <c r="P7" s="101">
        <v>1608.9187237199999</v>
      </c>
      <c r="Q7" s="101">
        <v>1605.8286644400002</v>
      </c>
      <c r="R7" s="101">
        <v>1615.0958485199999</v>
      </c>
      <c r="S7" s="101">
        <v>1550.4944993999998</v>
      </c>
      <c r="T7" s="101">
        <v>1506.4483064399999</v>
      </c>
      <c r="U7" s="101">
        <v>1436.81319936</v>
      </c>
      <c r="V7" s="101">
        <v>1193.0827154400001</v>
      </c>
      <c r="W7" s="101">
        <v>1336.34510856</v>
      </c>
      <c r="DA7" s="175" t="s">
        <v>741</v>
      </c>
    </row>
    <row r="8" spans="1:105" ht="11.45" customHeight="1" x14ac:dyDescent="0.25">
      <c r="A8" s="128" t="s">
        <v>54</v>
      </c>
      <c r="B8" s="101">
        <v>1760.1571727999999</v>
      </c>
      <c r="C8" s="101">
        <v>1895.8073004000003</v>
      </c>
      <c r="D8" s="101">
        <v>2154.5588984400001</v>
      </c>
      <c r="E8" s="101">
        <v>2558.2876207199997</v>
      </c>
      <c r="F8" s="101">
        <v>2801.2755700799999</v>
      </c>
      <c r="G8" s="101">
        <v>3012.6151130399994</v>
      </c>
      <c r="H8" s="101">
        <v>3309.1866100799989</v>
      </c>
      <c r="I8" s="101">
        <v>3653.0463855599987</v>
      </c>
      <c r="J8" s="101">
        <v>3604.5267429599994</v>
      </c>
      <c r="K8" s="101">
        <v>3571.0048810800004</v>
      </c>
      <c r="L8" s="101">
        <v>3513.9814632000007</v>
      </c>
      <c r="M8" s="101">
        <v>3457.8250153199997</v>
      </c>
      <c r="N8" s="101">
        <v>3398.8678541999993</v>
      </c>
      <c r="O8" s="101">
        <v>3510.6045483599992</v>
      </c>
      <c r="P8" s="101">
        <v>3567.4825820399997</v>
      </c>
      <c r="Q8" s="101">
        <v>3876.5771272800002</v>
      </c>
      <c r="R8" s="101">
        <v>4066.0351477200002</v>
      </c>
      <c r="S8" s="101">
        <v>4596.3561618000022</v>
      </c>
      <c r="T8" s="101">
        <v>4403.8218650399995</v>
      </c>
      <c r="U8" s="101">
        <v>4655.5478049599997</v>
      </c>
      <c r="V8" s="101">
        <v>4178.8164740400016</v>
      </c>
      <c r="W8" s="101">
        <v>4454.4715862399999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2.6759700000000013</v>
      </c>
      <c r="L9" s="101">
        <v>4.9480199999999996</v>
      </c>
      <c r="M9" s="101">
        <v>1.5146999999999999</v>
      </c>
      <c r="N9" s="101">
        <v>1.9186200000000002</v>
      </c>
      <c r="O9" s="101">
        <v>3.6352800000000012</v>
      </c>
      <c r="P9" s="101">
        <v>7.5735000000000001</v>
      </c>
      <c r="Q9" s="101">
        <v>7.7754599999999989</v>
      </c>
      <c r="R9" s="101">
        <v>8.5869352800000023</v>
      </c>
      <c r="S9" s="101">
        <v>9.9279496799999993</v>
      </c>
      <c r="T9" s="101">
        <v>9.9107830800000016</v>
      </c>
      <c r="U9" s="101">
        <v>9.3279265199999983</v>
      </c>
      <c r="V9" s="101">
        <v>7.2172425599999999</v>
      </c>
      <c r="W9" s="101">
        <v>9.4248673200000006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4149.0756259199998</v>
      </c>
      <c r="C17" s="79">
        <f t="shared" si="12"/>
        <v>4201.0894317600005</v>
      </c>
      <c r="D17" s="79">
        <f t="shared" si="12"/>
        <v>4485.01297428</v>
      </c>
      <c r="E17" s="79">
        <f t="shared" si="12"/>
        <v>4878.8827606799996</v>
      </c>
      <c r="F17" s="79">
        <f t="shared" si="12"/>
        <v>5030.9101425600002</v>
      </c>
      <c r="G17" s="79">
        <f t="shared" si="12"/>
        <v>5220.8717385599975</v>
      </c>
      <c r="H17" s="79">
        <f t="shared" si="12"/>
        <v>5564.9146798799993</v>
      </c>
      <c r="I17" s="79">
        <f t="shared" si="12"/>
        <v>5990.3463967199987</v>
      </c>
      <c r="J17" s="79">
        <f t="shared" si="12"/>
        <v>5902.4345295599996</v>
      </c>
      <c r="K17" s="79">
        <f t="shared" si="12"/>
        <v>5868.3732656399998</v>
      </c>
      <c r="L17" s="79">
        <f t="shared" ref="L17" si="13">SUM(L18,L33)</f>
        <v>5660.6363344800002</v>
      </c>
      <c r="M17" s="79">
        <f t="shared" ref="M17:V17" si="14">SUM(M18,M33)</f>
        <v>5545.8468431999991</v>
      </c>
      <c r="N17" s="79">
        <f t="shared" si="14"/>
        <v>5348.4575569199997</v>
      </c>
      <c r="O17" s="79">
        <f t="shared" si="14"/>
        <v>5424.7263422399983</v>
      </c>
      <c r="P17" s="79">
        <f t="shared" si="14"/>
        <v>5364.4591047599988</v>
      </c>
      <c r="Q17" s="79">
        <f t="shared" si="14"/>
        <v>5688.4181047200009</v>
      </c>
      <c r="R17" s="79">
        <f t="shared" si="14"/>
        <v>5899.789820519999</v>
      </c>
      <c r="S17" s="79">
        <f t="shared" si="14"/>
        <v>6365.9629857600021</v>
      </c>
      <c r="T17" s="79">
        <f t="shared" si="14"/>
        <v>6128.4775881599999</v>
      </c>
      <c r="U17" s="79">
        <f t="shared" si="14"/>
        <v>6296.9670248399998</v>
      </c>
      <c r="V17" s="79">
        <f t="shared" si="14"/>
        <v>5535.3389072400023</v>
      </c>
      <c r="W17" s="79">
        <f t="shared" ref="W17" si="15">SUM(W18,W33)</f>
        <v>5963.8610484000001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3460.0666857165647</v>
      </c>
      <c r="C18" s="32">
        <f t="shared" si="16"/>
        <v>3454.343540888779</v>
      </c>
      <c r="D18" s="32">
        <f t="shared" si="16"/>
        <v>3504.6516361483864</v>
      </c>
      <c r="E18" s="32">
        <f t="shared" si="16"/>
        <v>3769.5598111339591</v>
      </c>
      <c r="F18" s="32">
        <f t="shared" si="16"/>
        <v>3806.5184538128265</v>
      </c>
      <c r="G18" s="32">
        <f t="shared" si="16"/>
        <v>3956.4845504658301</v>
      </c>
      <c r="H18" s="32">
        <f t="shared" si="16"/>
        <v>4211.7306227217068</v>
      </c>
      <c r="I18" s="32">
        <f t="shared" si="16"/>
        <v>4606.1730000390999</v>
      </c>
      <c r="J18" s="32">
        <f t="shared" si="16"/>
        <v>4521.4247382093345</v>
      </c>
      <c r="K18" s="32">
        <f t="shared" si="16"/>
        <v>4592.1097287564698</v>
      </c>
      <c r="L18" s="32">
        <f t="shared" ref="L18" si="17">SUM(L19,L20,L27)</f>
        <v>4409.7797434964396</v>
      </c>
      <c r="M18" s="32">
        <f t="shared" ref="M18:V18" si="18">SUM(M19,M20,M27)</f>
        <v>4341.2291414237307</v>
      </c>
      <c r="N18" s="32">
        <f t="shared" si="18"/>
        <v>4267.9697421654091</v>
      </c>
      <c r="O18" s="32">
        <f t="shared" si="18"/>
        <v>4201.1592310495262</v>
      </c>
      <c r="P18" s="32">
        <f t="shared" si="18"/>
        <v>4258.2740938770585</v>
      </c>
      <c r="Q18" s="32">
        <f t="shared" si="18"/>
        <v>4506.1164289054796</v>
      </c>
      <c r="R18" s="32">
        <f t="shared" si="18"/>
        <v>4744.8421414522936</v>
      </c>
      <c r="S18" s="32">
        <f t="shared" si="18"/>
        <v>4908.3016092240669</v>
      </c>
      <c r="T18" s="32">
        <f t="shared" si="18"/>
        <v>4760.2982469035132</v>
      </c>
      <c r="U18" s="32">
        <f t="shared" si="18"/>
        <v>4762.5901066937759</v>
      </c>
      <c r="V18" s="32">
        <f t="shared" si="18"/>
        <v>4027.5102231773694</v>
      </c>
      <c r="W18" s="32">
        <f t="shared" ref="W18" si="19">SUM(W19,W20,W27)</f>
        <v>4441.8612200455163</v>
      </c>
      <c r="DA18" s="173" t="s">
        <v>402</v>
      </c>
    </row>
    <row r="19" spans="1:105" ht="11.45" customHeight="1" x14ac:dyDescent="0.25">
      <c r="A19" s="136" t="s">
        <v>180</v>
      </c>
      <c r="B19" s="141">
        <v>17.049669221312438</v>
      </c>
      <c r="C19" s="141">
        <v>16.94700930967824</v>
      </c>
      <c r="D19" s="141">
        <v>17.384183550061419</v>
      </c>
      <c r="E19" s="141">
        <v>18.998877591948027</v>
      </c>
      <c r="F19" s="141">
        <v>20.563248160479329</v>
      </c>
      <c r="G19" s="141">
        <v>22.243837103345076</v>
      </c>
      <c r="H19" s="141">
        <v>23.863523462472418</v>
      </c>
      <c r="I19" s="141">
        <v>23.8158425061477</v>
      </c>
      <c r="J19" s="141">
        <v>23.77389949630329</v>
      </c>
      <c r="K19" s="141">
        <v>23.587000565705882</v>
      </c>
      <c r="L19" s="141">
        <v>23.530425671809304</v>
      </c>
      <c r="M19" s="141">
        <v>23.333223943127916</v>
      </c>
      <c r="N19" s="141">
        <v>23.297729403952207</v>
      </c>
      <c r="O19" s="141">
        <v>23.062996714087941</v>
      </c>
      <c r="P19" s="141">
        <v>22.876260520208749</v>
      </c>
      <c r="Q19" s="141">
        <v>22.802856671219729</v>
      </c>
      <c r="R19" s="141">
        <v>23.77604965742298</v>
      </c>
      <c r="S19" s="141">
        <v>24.734693418248717</v>
      </c>
      <c r="T19" s="141">
        <v>25.022041943930052</v>
      </c>
      <c r="U19" s="141">
        <v>25.947091482124929</v>
      </c>
      <c r="V19" s="141">
        <v>22.791888275897698</v>
      </c>
      <c r="W19" s="141">
        <v>26.761824044295601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2893.9508723024528</v>
      </c>
      <c r="C20" s="130">
        <f t="shared" si="20"/>
        <v>2906.9394387762732</v>
      </c>
      <c r="D20" s="130">
        <f t="shared" si="20"/>
        <v>2962.5737833329363</v>
      </c>
      <c r="E20" s="130">
        <f t="shared" si="20"/>
        <v>3223.4275711437667</v>
      </c>
      <c r="F20" s="130">
        <f t="shared" si="20"/>
        <v>3272.1880466745438</v>
      </c>
      <c r="G20" s="130">
        <f t="shared" si="20"/>
        <v>3426.9338501911775</v>
      </c>
      <c r="H20" s="130">
        <f t="shared" si="20"/>
        <v>3683.5280080972852</v>
      </c>
      <c r="I20" s="130">
        <f t="shared" si="20"/>
        <v>4062.5709793854789</v>
      </c>
      <c r="J20" s="130">
        <f t="shared" si="20"/>
        <v>3980.8994713919105</v>
      </c>
      <c r="K20" s="130">
        <f t="shared" si="20"/>
        <v>4041.347029867155</v>
      </c>
      <c r="L20" s="130">
        <f t="shared" ref="L20" si="21">SUM(L21:L26)</f>
        <v>3858.5431217139535</v>
      </c>
      <c r="M20" s="130">
        <f t="shared" ref="M20:V20" si="22">SUM(M21:M26)</f>
        <v>3811.9785403634169</v>
      </c>
      <c r="N20" s="130">
        <f t="shared" si="22"/>
        <v>3763.3010502435491</v>
      </c>
      <c r="O20" s="130">
        <f t="shared" si="22"/>
        <v>3691.2134374994389</v>
      </c>
      <c r="P20" s="130">
        <f t="shared" si="22"/>
        <v>3742.0218979223769</v>
      </c>
      <c r="Q20" s="130">
        <f t="shared" si="22"/>
        <v>3955.5514565966023</v>
      </c>
      <c r="R20" s="130">
        <f t="shared" si="22"/>
        <v>4159.0067064138948</v>
      </c>
      <c r="S20" s="130">
        <f t="shared" si="22"/>
        <v>4289.0456156449009</v>
      </c>
      <c r="T20" s="130">
        <f t="shared" si="22"/>
        <v>4140.8546854356237</v>
      </c>
      <c r="U20" s="130">
        <f t="shared" si="22"/>
        <v>4244.0778321855196</v>
      </c>
      <c r="V20" s="130">
        <f t="shared" si="22"/>
        <v>3649.8396168296222</v>
      </c>
      <c r="W20" s="130">
        <f t="shared" ref="W20" si="23">SUM(W21:W26)</f>
        <v>4020.361738630429</v>
      </c>
      <c r="DA20" s="176" t="s">
        <v>404</v>
      </c>
    </row>
    <row r="21" spans="1:105" ht="11.45" customHeight="1" x14ac:dyDescent="0.25">
      <c r="A21" s="111" t="s">
        <v>110</v>
      </c>
      <c r="B21" s="96">
        <v>2304.6378794390607</v>
      </c>
      <c r="C21" s="96">
        <v>2208.0245791862581</v>
      </c>
      <c r="D21" s="96">
        <v>2230.1970683117461</v>
      </c>
      <c r="E21" s="96">
        <v>2221.2111963594998</v>
      </c>
      <c r="F21" s="96">
        <v>2120.4531748927711</v>
      </c>
      <c r="G21" s="96">
        <v>2083.9709550777816</v>
      </c>
      <c r="H21" s="96">
        <v>2086.1574022871091</v>
      </c>
      <c r="I21" s="96">
        <v>2134.475176503523</v>
      </c>
      <c r="J21" s="96">
        <v>2042.8465589976652</v>
      </c>
      <c r="K21" s="96">
        <v>2040.6004162860761</v>
      </c>
      <c r="L21" s="96">
        <v>1923.491928400384</v>
      </c>
      <c r="M21" s="96">
        <v>1878.5569091992254</v>
      </c>
      <c r="N21" s="96">
        <v>1748.0888949975824</v>
      </c>
      <c r="O21" s="96">
        <v>1708.7397364533758</v>
      </c>
      <c r="P21" s="96">
        <v>1573.5131171165519</v>
      </c>
      <c r="Q21" s="96">
        <v>1571.0771273455455</v>
      </c>
      <c r="R21" s="96">
        <v>1579.3758600439944</v>
      </c>
      <c r="S21" s="96">
        <v>1512.5172647395354</v>
      </c>
      <c r="T21" s="96">
        <v>1467.2645743376584</v>
      </c>
      <c r="U21" s="96">
        <v>1396.4876341198956</v>
      </c>
      <c r="V21" s="96">
        <v>1156.0691041608543</v>
      </c>
      <c r="W21" s="96">
        <v>1294.5676676319372</v>
      </c>
      <c r="DA21" s="171" t="s">
        <v>750</v>
      </c>
    </row>
    <row r="22" spans="1:105" ht="11.45" customHeight="1" x14ac:dyDescent="0.25">
      <c r="A22" s="111" t="s">
        <v>111</v>
      </c>
      <c r="B22" s="96">
        <v>559.72540286339199</v>
      </c>
      <c r="C22" s="96">
        <v>663.40975159001516</v>
      </c>
      <c r="D22" s="96">
        <v>693.32109622119003</v>
      </c>
      <c r="E22" s="96">
        <v>963.75250778426687</v>
      </c>
      <c r="F22" s="96">
        <v>1102.3234829017724</v>
      </c>
      <c r="G22" s="96">
        <v>1277.8701971133962</v>
      </c>
      <c r="H22" s="96">
        <v>1487.8965228101761</v>
      </c>
      <c r="I22" s="96">
        <v>1777.5504832030354</v>
      </c>
      <c r="J22" s="96">
        <v>1734.7429488048599</v>
      </c>
      <c r="K22" s="96">
        <v>1794.4992572920748</v>
      </c>
      <c r="L22" s="96">
        <v>1761.340424757143</v>
      </c>
      <c r="M22" s="96">
        <v>1768.5767788620421</v>
      </c>
      <c r="N22" s="96">
        <v>1853.2946693543458</v>
      </c>
      <c r="O22" s="96">
        <v>1818.0007125876361</v>
      </c>
      <c r="P22" s="96">
        <v>1989.3476669471261</v>
      </c>
      <c r="Q22" s="96">
        <v>2187.6570291511757</v>
      </c>
      <c r="R22" s="96">
        <v>2371.0129398894383</v>
      </c>
      <c r="S22" s="96">
        <v>2568.8976687247437</v>
      </c>
      <c r="T22" s="96">
        <v>2466.9978122749108</v>
      </c>
      <c r="U22" s="96">
        <v>2653.9894880197694</v>
      </c>
      <c r="V22" s="96">
        <v>2339.0772721045773</v>
      </c>
      <c r="W22" s="96">
        <v>2563.6512286781949</v>
      </c>
      <c r="DA22" s="171" t="s">
        <v>751</v>
      </c>
    </row>
    <row r="23" spans="1:105" ht="11.45" customHeight="1" x14ac:dyDescent="0.25">
      <c r="A23" s="111" t="s">
        <v>112</v>
      </c>
      <c r="B23" s="96">
        <v>29.587589999999992</v>
      </c>
      <c r="C23" s="96">
        <v>35.505108</v>
      </c>
      <c r="D23" s="96">
        <v>39.055618800000019</v>
      </c>
      <c r="E23" s="96">
        <v>38.463867000000008</v>
      </c>
      <c r="F23" s="96">
        <v>49.411388880000011</v>
      </c>
      <c r="G23" s="96">
        <v>65.092698000000027</v>
      </c>
      <c r="H23" s="96">
        <v>109.47408300000001</v>
      </c>
      <c r="I23" s="96">
        <v>150.54531967892095</v>
      </c>
      <c r="J23" s="96">
        <v>203.30996358938546</v>
      </c>
      <c r="K23" s="96">
        <v>206.08427261337715</v>
      </c>
      <c r="L23" s="96">
        <v>173.52303614831516</v>
      </c>
      <c r="M23" s="96">
        <v>164.6617534205468</v>
      </c>
      <c r="N23" s="96">
        <v>161.69774213363019</v>
      </c>
      <c r="O23" s="96">
        <v>164.24375408599332</v>
      </c>
      <c r="P23" s="96">
        <v>178.90265461858024</v>
      </c>
      <c r="Q23" s="96">
        <v>196.53312509183706</v>
      </c>
      <c r="R23" s="96">
        <v>208.2881385502746</v>
      </c>
      <c r="S23" s="96">
        <v>207.20450555379483</v>
      </c>
      <c r="T23" s="96">
        <v>206.13529365606939</v>
      </c>
      <c r="U23" s="96">
        <v>193.07620016259477</v>
      </c>
      <c r="V23" s="96">
        <v>154.04067745653651</v>
      </c>
      <c r="W23" s="96">
        <v>161.14305877251869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0.16308367562721976</v>
      </c>
      <c r="L24" s="96">
        <v>0.18773240811169292</v>
      </c>
      <c r="M24" s="96">
        <v>0.18309888160276133</v>
      </c>
      <c r="N24" s="96">
        <v>0.21974375799058202</v>
      </c>
      <c r="O24" s="96">
        <v>0.22923437243409794</v>
      </c>
      <c r="P24" s="96">
        <v>0.25430011867612712</v>
      </c>
      <c r="Q24" s="96">
        <v>0.24177486618079083</v>
      </c>
      <c r="R24" s="96">
        <v>0.26487775915956246</v>
      </c>
      <c r="S24" s="96">
        <v>0.34336813147593448</v>
      </c>
      <c r="T24" s="96">
        <v>0.36557348046424437</v>
      </c>
      <c r="U24" s="96">
        <v>0.343149549970655</v>
      </c>
      <c r="V24" s="96">
        <v>0.27493606039281449</v>
      </c>
      <c r="W24" s="96">
        <v>0.3214452828649258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4.1591214430181378E-3</v>
      </c>
      <c r="Q25" s="96">
        <v>4.2400141863207542E-2</v>
      </c>
      <c r="R25" s="96">
        <v>6.4890171028038762E-2</v>
      </c>
      <c r="S25" s="96">
        <v>8.2808495350665229E-2</v>
      </c>
      <c r="T25" s="96">
        <v>9.1431686520690877E-2</v>
      </c>
      <c r="U25" s="96">
        <v>0.18136033328895371</v>
      </c>
      <c r="V25" s="96">
        <v>0.37762704726099494</v>
      </c>
      <c r="W25" s="96">
        <v>0.67833826491353255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549.0661441927997</v>
      </c>
      <c r="C27" s="130">
        <f t="shared" si="24"/>
        <v>530.45709280282745</v>
      </c>
      <c r="D27" s="130">
        <f t="shared" si="24"/>
        <v>524.69366926538851</v>
      </c>
      <c r="E27" s="130">
        <f t="shared" si="24"/>
        <v>527.13336239824469</v>
      </c>
      <c r="F27" s="130">
        <f t="shared" si="24"/>
        <v>513.76715897780321</v>
      </c>
      <c r="G27" s="130">
        <f t="shared" si="24"/>
        <v>507.30686317130767</v>
      </c>
      <c r="H27" s="130">
        <f t="shared" si="24"/>
        <v>504.339091161949</v>
      </c>
      <c r="I27" s="130">
        <f t="shared" si="24"/>
        <v>519.78617814747327</v>
      </c>
      <c r="J27" s="130">
        <f t="shared" si="24"/>
        <v>516.75136732112014</v>
      </c>
      <c r="K27" s="130">
        <f t="shared" si="24"/>
        <v>527.17569832360948</v>
      </c>
      <c r="L27" s="130">
        <f t="shared" ref="L27" si="25">SUM(L28:L32)</f>
        <v>527.70619611067707</v>
      </c>
      <c r="M27" s="130">
        <f t="shared" ref="M27:V27" si="26">SUM(M28:M32)</f>
        <v>505.91737711718599</v>
      </c>
      <c r="N27" s="130">
        <f t="shared" si="26"/>
        <v>481.37096251790717</v>
      </c>
      <c r="O27" s="130">
        <f t="shared" si="26"/>
        <v>486.8827968359995</v>
      </c>
      <c r="P27" s="130">
        <f t="shared" si="26"/>
        <v>493.37593543447275</v>
      </c>
      <c r="Q27" s="130">
        <f t="shared" si="26"/>
        <v>527.76211563765742</v>
      </c>
      <c r="R27" s="130">
        <f t="shared" si="26"/>
        <v>562.05938538097621</v>
      </c>
      <c r="S27" s="130">
        <f t="shared" si="26"/>
        <v>594.52130016091758</v>
      </c>
      <c r="T27" s="130">
        <f t="shared" si="26"/>
        <v>594.42151952395955</v>
      </c>
      <c r="U27" s="130">
        <f t="shared" si="26"/>
        <v>492.56518302613102</v>
      </c>
      <c r="V27" s="130">
        <f t="shared" si="26"/>
        <v>354.87871807184951</v>
      </c>
      <c r="W27" s="130">
        <f t="shared" ref="W27" si="27">SUM(W28:W32)</f>
        <v>394.73765737079179</v>
      </c>
      <c r="DA27" s="176" t="s">
        <v>405</v>
      </c>
    </row>
    <row r="28" spans="1:105" ht="11.45" customHeight="1" x14ac:dyDescent="0.25">
      <c r="A28" s="111" t="s">
        <v>110</v>
      </c>
      <c r="B28" s="97">
        <v>0.52852244289873485</v>
      </c>
      <c r="C28" s="97">
        <v>0.54453417217913302</v>
      </c>
      <c r="D28" s="97">
        <v>0.53911589774408353</v>
      </c>
      <c r="E28" s="97">
        <v>0.51402972352424414</v>
      </c>
      <c r="F28" s="97">
        <v>0.47750066092541793</v>
      </c>
      <c r="G28" s="97">
        <v>0.47547445483395667</v>
      </c>
      <c r="H28" s="97">
        <v>0.4728253925722925</v>
      </c>
      <c r="I28" s="97">
        <v>0.4293010752764051</v>
      </c>
      <c r="J28" s="97">
        <v>0.47058361910180646</v>
      </c>
      <c r="K28" s="97">
        <v>0.42849775128369466</v>
      </c>
      <c r="L28" s="97">
        <v>0.41571081617903249</v>
      </c>
      <c r="M28" s="97">
        <v>0.37347552516773802</v>
      </c>
      <c r="N28" s="97">
        <v>0.36327746994903287</v>
      </c>
      <c r="O28" s="97">
        <v>0.40993560082897434</v>
      </c>
      <c r="P28" s="97">
        <v>0.38286284662195219</v>
      </c>
      <c r="Q28" s="97">
        <v>0.35656740974191398</v>
      </c>
      <c r="R28" s="97">
        <v>0.36615328690510279</v>
      </c>
      <c r="S28" s="97">
        <v>0.35675338591066436</v>
      </c>
      <c r="T28" s="97">
        <v>0.35728354936434442</v>
      </c>
      <c r="U28" s="97">
        <v>0.25762775337475569</v>
      </c>
      <c r="V28" s="97">
        <v>0.18117167821116972</v>
      </c>
      <c r="W28" s="97">
        <v>0.19015979196268229</v>
      </c>
      <c r="DA28" s="175" t="s">
        <v>756</v>
      </c>
    </row>
    <row r="29" spans="1:105" ht="11.45" customHeight="1" x14ac:dyDescent="0.25">
      <c r="A29" s="111" t="s">
        <v>111</v>
      </c>
      <c r="B29" s="97">
        <v>548.53762174990095</v>
      </c>
      <c r="C29" s="97">
        <v>529.91255863064828</v>
      </c>
      <c r="D29" s="97">
        <v>524.15455336764444</v>
      </c>
      <c r="E29" s="97">
        <v>526.61933267472045</v>
      </c>
      <c r="F29" s="97">
        <v>513.28965831687776</v>
      </c>
      <c r="G29" s="97">
        <v>506.83138871647373</v>
      </c>
      <c r="H29" s="97">
        <v>503.8662657693767</v>
      </c>
      <c r="I29" s="97">
        <v>519.33105295709788</v>
      </c>
      <c r="J29" s="97">
        <v>516.25496587669227</v>
      </c>
      <c r="K29" s="97">
        <v>524.28295518841799</v>
      </c>
      <c r="L29" s="97">
        <v>522.59126457529078</v>
      </c>
      <c r="M29" s="97">
        <v>504.24890511611221</v>
      </c>
      <c r="N29" s="97">
        <v>479.3845619893624</v>
      </c>
      <c r="O29" s="97">
        <v>482.83197145062866</v>
      </c>
      <c r="P29" s="97">
        <v>485.38020580689187</v>
      </c>
      <c r="Q29" s="97">
        <v>519.57203673852484</v>
      </c>
      <c r="R29" s="97">
        <v>553.04900560087049</v>
      </c>
      <c r="S29" s="97">
        <v>584.33092266425456</v>
      </c>
      <c r="T29" s="97">
        <v>584.27321743256823</v>
      </c>
      <c r="U29" s="97">
        <v>483.15599417802792</v>
      </c>
      <c r="V29" s="97">
        <v>347.65004640021357</v>
      </c>
      <c r="W29" s="97">
        <v>385.31447367357197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2.5824115098998315E-2</v>
      </c>
      <c r="J30" s="97">
        <v>2.5817825326003376E-2</v>
      </c>
      <c r="K30" s="97">
        <v>2.5908580441193926E-2</v>
      </c>
      <c r="L30" s="97">
        <v>2.6973435907584081E-2</v>
      </c>
      <c r="M30" s="97">
        <v>5.4991156997965543E-2</v>
      </c>
      <c r="N30" s="97">
        <v>5.4903160137729966E-2</v>
      </c>
      <c r="O30" s="97">
        <v>0.36841276070581225</v>
      </c>
      <c r="P30" s="97">
        <v>0.42702337456177986</v>
      </c>
      <c r="Q30" s="97">
        <v>0.44126737608342348</v>
      </c>
      <c r="R30" s="97">
        <v>0.45650265335210505</v>
      </c>
      <c r="S30" s="97">
        <v>0.41995236357073246</v>
      </c>
      <c r="T30" s="97">
        <v>0.42444424538592274</v>
      </c>
      <c r="U30" s="97">
        <v>0.34059213657042303</v>
      </c>
      <c r="V30" s="97">
        <v>0.27145854447741957</v>
      </c>
      <c r="W30" s="97">
        <v>0.29859643382158602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2.4383368034666071</v>
      </c>
      <c r="L31" s="97">
        <v>4.672247283299602</v>
      </c>
      <c r="M31" s="97">
        <v>1.2400053189080369</v>
      </c>
      <c r="N31" s="97">
        <v>1.5682198984580669</v>
      </c>
      <c r="O31" s="97">
        <v>3.2724770238360095</v>
      </c>
      <c r="P31" s="97">
        <v>7.1858434063971668</v>
      </c>
      <c r="Q31" s="97">
        <v>7.3922441133072612</v>
      </c>
      <c r="R31" s="97">
        <v>8.1877238398485126</v>
      </c>
      <c r="S31" s="97">
        <v>9.4136717471816471</v>
      </c>
      <c r="T31" s="97">
        <v>9.3665742966411685</v>
      </c>
      <c r="U31" s="97">
        <v>8.8109689581578987</v>
      </c>
      <c r="V31" s="97">
        <v>6.77604144894734</v>
      </c>
      <c r="W31" s="97">
        <v>8.9344274714355869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689.00894020343469</v>
      </c>
      <c r="C33" s="32">
        <f t="shared" si="28"/>
        <v>746.74589087122126</v>
      </c>
      <c r="D33" s="32">
        <f t="shared" si="28"/>
        <v>980.36133813161382</v>
      </c>
      <c r="E33" s="32">
        <f t="shared" si="28"/>
        <v>1109.3229495460407</v>
      </c>
      <c r="F33" s="32">
        <f t="shared" si="28"/>
        <v>1224.3916887471732</v>
      </c>
      <c r="G33" s="32">
        <f t="shared" si="28"/>
        <v>1264.3871880941679</v>
      </c>
      <c r="H33" s="32">
        <f t="shared" si="28"/>
        <v>1353.1840571582925</v>
      </c>
      <c r="I33" s="32">
        <f t="shared" si="28"/>
        <v>1384.1733966808988</v>
      </c>
      <c r="J33" s="32">
        <f t="shared" si="28"/>
        <v>1381.0097913506647</v>
      </c>
      <c r="K33" s="32">
        <f t="shared" si="28"/>
        <v>1276.2635368835299</v>
      </c>
      <c r="L33" s="32">
        <f t="shared" ref="L33" si="29">L34+L40</f>
        <v>1250.8565909835606</v>
      </c>
      <c r="M33" s="32">
        <f t="shared" ref="M33:V33" si="30">M34+M40</f>
        <v>1204.6177017762686</v>
      </c>
      <c r="N33" s="32">
        <f t="shared" si="30"/>
        <v>1080.4878147545908</v>
      </c>
      <c r="O33" s="32">
        <f t="shared" si="30"/>
        <v>1223.5671111904724</v>
      </c>
      <c r="P33" s="32">
        <f t="shared" si="30"/>
        <v>1106.1850108829408</v>
      </c>
      <c r="Q33" s="32">
        <f t="shared" si="30"/>
        <v>1182.3016758145213</v>
      </c>
      <c r="R33" s="32">
        <f t="shared" si="30"/>
        <v>1154.9476790677056</v>
      </c>
      <c r="S33" s="32">
        <f t="shared" si="30"/>
        <v>1457.6613765359352</v>
      </c>
      <c r="T33" s="32">
        <f t="shared" si="30"/>
        <v>1368.1793412564869</v>
      </c>
      <c r="U33" s="32">
        <f t="shared" si="30"/>
        <v>1534.3769181462242</v>
      </c>
      <c r="V33" s="32">
        <f t="shared" si="30"/>
        <v>1507.8286840626324</v>
      </c>
      <c r="W33" s="32">
        <f t="shared" ref="W33" si="31">W34+W40</f>
        <v>1521.9998283544835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244.10131829604609</v>
      </c>
      <c r="C34" s="141">
        <f t="shared" si="32"/>
        <v>275.32978104403117</v>
      </c>
      <c r="D34" s="141">
        <f t="shared" si="32"/>
        <v>310.47833769717442</v>
      </c>
      <c r="E34" s="141">
        <f t="shared" si="32"/>
        <v>340.99877938091362</v>
      </c>
      <c r="F34" s="141">
        <f t="shared" si="32"/>
        <v>366.69536766476915</v>
      </c>
      <c r="G34" s="141">
        <f t="shared" si="32"/>
        <v>400.74118449962896</v>
      </c>
      <c r="H34" s="141">
        <f t="shared" si="32"/>
        <v>418.8365294833817</v>
      </c>
      <c r="I34" s="141">
        <f t="shared" si="32"/>
        <v>409.9558275511024</v>
      </c>
      <c r="J34" s="141">
        <f t="shared" si="32"/>
        <v>424.98045150572273</v>
      </c>
      <c r="K34" s="141">
        <f t="shared" si="32"/>
        <v>410.00091292177609</v>
      </c>
      <c r="L34" s="141">
        <f t="shared" ref="L34" si="33">SUM(L35:L39)</f>
        <v>382.25202978446629</v>
      </c>
      <c r="M34" s="141">
        <f t="shared" ref="M34:V34" si="34">SUM(M35:M39)</f>
        <v>377.62257550993945</v>
      </c>
      <c r="N34" s="141">
        <f t="shared" si="34"/>
        <v>346.78277610316394</v>
      </c>
      <c r="O34" s="141">
        <f t="shared" si="34"/>
        <v>342.4128443091704</v>
      </c>
      <c r="P34" s="141">
        <f t="shared" si="34"/>
        <v>329.36896757987358</v>
      </c>
      <c r="Q34" s="141">
        <f t="shared" si="34"/>
        <v>373.18841545639424</v>
      </c>
      <c r="R34" s="141">
        <f t="shared" si="34"/>
        <v>392.84319856276102</v>
      </c>
      <c r="S34" s="141">
        <f t="shared" si="34"/>
        <v>451.1180471499444</v>
      </c>
      <c r="T34" s="141">
        <f t="shared" si="34"/>
        <v>481.67358017834619</v>
      </c>
      <c r="U34" s="141">
        <f t="shared" si="34"/>
        <v>511.13259901755765</v>
      </c>
      <c r="V34" s="141">
        <f t="shared" si="34"/>
        <v>521.17608881652154</v>
      </c>
      <c r="W34" s="141">
        <f t="shared" ref="W34" si="35">SUM(W35:W39)</f>
        <v>564.66827423816767</v>
      </c>
      <c r="DA34" s="174" t="s">
        <v>411</v>
      </c>
    </row>
    <row r="35" spans="1:105" ht="11.45" customHeight="1" x14ac:dyDescent="0.25">
      <c r="A35" s="111" t="s">
        <v>110</v>
      </c>
      <c r="B35" s="96">
        <v>37.114792016727705</v>
      </c>
      <c r="C35" s="96">
        <v>44.260900691884366</v>
      </c>
      <c r="D35" s="96">
        <v>43.27808928044827</v>
      </c>
      <c r="E35" s="96">
        <v>41.407169285027933</v>
      </c>
      <c r="F35" s="96">
        <v>38.729259885823794</v>
      </c>
      <c r="G35" s="96">
        <v>36.473660884038843</v>
      </c>
      <c r="H35" s="96">
        <v>35.76023565784633</v>
      </c>
      <c r="I35" s="96">
        <v>27.682982075053197</v>
      </c>
      <c r="J35" s="96">
        <v>26.662373486929344</v>
      </c>
      <c r="K35" s="96">
        <v>22.963369956934716</v>
      </c>
      <c r="L35" s="96">
        <v>19.702005391627864</v>
      </c>
      <c r="M35" s="96">
        <v>18.553015212478719</v>
      </c>
      <c r="N35" s="96">
        <v>13.189435848515998</v>
      </c>
      <c r="O35" s="96">
        <v>12.58334111170711</v>
      </c>
      <c r="P35" s="96">
        <v>12.14232411517426</v>
      </c>
      <c r="Q35" s="96">
        <v>11.549712871630279</v>
      </c>
      <c r="R35" s="96">
        <v>11.51289536064923</v>
      </c>
      <c r="S35" s="96">
        <v>12.802979360954081</v>
      </c>
      <c r="T35" s="96">
        <v>13.712974922526479</v>
      </c>
      <c r="U35" s="96">
        <v>13.939485671315577</v>
      </c>
      <c r="V35" s="96">
        <v>13.662924277775895</v>
      </c>
      <c r="W35" s="96">
        <v>14.147118826891132</v>
      </c>
      <c r="DA35" s="171" t="s">
        <v>761</v>
      </c>
    </row>
    <row r="36" spans="1:105" ht="11.45" customHeight="1" x14ac:dyDescent="0.25">
      <c r="A36" s="111" t="s">
        <v>111</v>
      </c>
      <c r="B36" s="96">
        <v>206.98652627931838</v>
      </c>
      <c r="C36" s="96">
        <v>231.06888035214681</v>
      </c>
      <c r="D36" s="96">
        <v>267.20024841672614</v>
      </c>
      <c r="E36" s="96">
        <v>299.5916100958857</v>
      </c>
      <c r="F36" s="96">
        <v>327.96610777894534</v>
      </c>
      <c r="G36" s="96">
        <v>364.26752361559011</v>
      </c>
      <c r="H36" s="96">
        <v>383.07629382553534</v>
      </c>
      <c r="I36" s="96">
        <v>381.9472802700692</v>
      </c>
      <c r="J36" s="96">
        <v>397.49948843350484</v>
      </c>
      <c r="K36" s="96">
        <v>385.96004463775347</v>
      </c>
      <c r="L36" s="96">
        <v>361.44521266847238</v>
      </c>
      <c r="M36" s="96">
        <v>358.00420507551627</v>
      </c>
      <c r="N36" s="96">
        <v>332.48358420486448</v>
      </c>
      <c r="O36" s="96">
        <v>328.61759744043252</v>
      </c>
      <c r="P36" s="96">
        <v>315.93866598291464</v>
      </c>
      <c r="Q36" s="96">
        <v>360.23480103217253</v>
      </c>
      <c r="R36" s="96">
        <v>379.86872172474654</v>
      </c>
      <c r="S36" s="96">
        <v>436.58424102501351</v>
      </c>
      <c r="T36" s="96">
        <v>466.04507425438044</v>
      </c>
      <c r="U36" s="96">
        <v>495.15800363353571</v>
      </c>
      <c r="V36" s="96">
        <v>505.4365602890997</v>
      </c>
      <c r="W36" s="96">
        <v>548.17432977191731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0.32556520598002547</v>
      </c>
      <c r="J37" s="96">
        <v>0.81858958528853909</v>
      </c>
      <c r="K37" s="96">
        <v>1.0029488061817069</v>
      </c>
      <c r="L37" s="96">
        <v>1.0167714157773149</v>
      </c>
      <c r="M37" s="96">
        <v>0.97375942245525449</v>
      </c>
      <c r="N37" s="96">
        <v>0.97909970623208864</v>
      </c>
      <c r="O37" s="96">
        <v>1.0783371533008907</v>
      </c>
      <c r="P37" s="96">
        <v>1.1546210068579861</v>
      </c>
      <c r="Q37" s="96">
        <v>1.2624605320795113</v>
      </c>
      <c r="R37" s="96">
        <v>1.3272477963733185</v>
      </c>
      <c r="S37" s="96">
        <v>1.559916962634418</v>
      </c>
      <c r="T37" s="96">
        <v>1.736895698544684</v>
      </c>
      <c r="U37" s="96">
        <v>1.8613017008348496</v>
      </c>
      <c r="V37" s="96">
        <v>1.9103391989860934</v>
      </c>
      <c r="W37" s="96">
        <v>2.1778310736597564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7.4549520906174324E-2</v>
      </c>
      <c r="L38" s="96">
        <v>8.8040308588705332E-2</v>
      </c>
      <c r="M38" s="96">
        <v>9.1595799489201699E-2</v>
      </c>
      <c r="N38" s="96">
        <v>0.13065634355135133</v>
      </c>
      <c r="O38" s="96">
        <v>0.1335686037298936</v>
      </c>
      <c r="P38" s="96">
        <v>0.13335647492670713</v>
      </c>
      <c r="Q38" s="96">
        <v>0.14144102051194737</v>
      </c>
      <c r="R38" s="96">
        <v>0.13433368099192772</v>
      </c>
      <c r="S38" s="96">
        <v>0.17090980134241793</v>
      </c>
      <c r="T38" s="96">
        <v>0.17863530289458879</v>
      </c>
      <c r="U38" s="96">
        <v>0.17380801187144421</v>
      </c>
      <c r="V38" s="96">
        <v>0.16626505065984579</v>
      </c>
      <c r="W38" s="96">
        <v>0.16899456569948829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444.9076219073886</v>
      </c>
      <c r="C40" s="130">
        <f t="shared" si="36"/>
        <v>471.4161098271901</v>
      </c>
      <c r="D40" s="130">
        <f t="shared" si="36"/>
        <v>669.8830004344394</v>
      </c>
      <c r="E40" s="130">
        <f t="shared" si="36"/>
        <v>768.32417016512704</v>
      </c>
      <c r="F40" s="130">
        <f t="shared" si="36"/>
        <v>857.69632108240398</v>
      </c>
      <c r="G40" s="130">
        <f t="shared" si="36"/>
        <v>863.64600359453902</v>
      </c>
      <c r="H40" s="130">
        <f t="shared" si="36"/>
        <v>934.34752767491091</v>
      </c>
      <c r="I40" s="130">
        <f t="shared" si="36"/>
        <v>974.21756912979629</v>
      </c>
      <c r="J40" s="130">
        <f t="shared" si="36"/>
        <v>956.02933984494211</v>
      </c>
      <c r="K40" s="130">
        <f t="shared" si="36"/>
        <v>866.26262396175389</v>
      </c>
      <c r="L40" s="130">
        <f t="shared" ref="L40" si="37">SUM(L41:L42)</f>
        <v>868.60456119909441</v>
      </c>
      <c r="M40" s="130">
        <f t="shared" ref="M40:V40" si="38">SUM(M41:M42)</f>
        <v>826.99512626632918</v>
      </c>
      <c r="N40" s="130">
        <f t="shared" si="38"/>
        <v>733.70503865142689</v>
      </c>
      <c r="O40" s="130">
        <f t="shared" si="38"/>
        <v>881.15426688130196</v>
      </c>
      <c r="P40" s="130">
        <f t="shared" si="38"/>
        <v>776.8160433030672</v>
      </c>
      <c r="Q40" s="130">
        <f t="shared" si="38"/>
        <v>809.11326035812704</v>
      </c>
      <c r="R40" s="130">
        <f t="shared" si="38"/>
        <v>762.1044805049446</v>
      </c>
      <c r="S40" s="130">
        <f t="shared" si="38"/>
        <v>1006.5433293859908</v>
      </c>
      <c r="T40" s="130">
        <f t="shared" si="38"/>
        <v>886.50576107814072</v>
      </c>
      <c r="U40" s="130">
        <f t="shared" si="38"/>
        <v>1023.2443191286666</v>
      </c>
      <c r="V40" s="130">
        <f t="shared" si="38"/>
        <v>986.65259524611088</v>
      </c>
      <c r="W40" s="130">
        <f t="shared" ref="W40" si="39">SUM(W41:W42)</f>
        <v>957.33155411631583</v>
      </c>
      <c r="DA40" s="176" t="s">
        <v>412</v>
      </c>
    </row>
    <row r="41" spans="1:105" ht="11.45" customHeight="1" x14ac:dyDescent="0.25">
      <c r="A41" s="128" t="s">
        <v>27</v>
      </c>
      <c r="B41" s="97">
        <v>189.73845647321167</v>
      </c>
      <c r="C41" s="97">
        <v>300.13472303770635</v>
      </c>
      <c r="D41" s="97">
        <v>415.30299260555267</v>
      </c>
      <c r="E41" s="97">
        <v>493.40365626599953</v>
      </c>
      <c r="F41" s="97">
        <v>523.12134626317936</v>
      </c>
      <c r="G41" s="97">
        <v>522.84746120207058</v>
      </c>
      <c r="H41" s="97">
        <v>630.46150999062002</v>
      </c>
      <c r="I41" s="97">
        <v>615.14946364983541</v>
      </c>
      <c r="J41" s="97">
        <v>711.3658762156839</v>
      </c>
      <c r="K41" s="97">
        <v>607.97071900177127</v>
      </c>
      <c r="L41" s="97">
        <v>584.02978609243871</v>
      </c>
      <c r="M41" s="97">
        <v>570.90673854418401</v>
      </c>
      <c r="N41" s="97">
        <v>510.47358865278466</v>
      </c>
      <c r="O41" s="97">
        <v>542.09787375232793</v>
      </c>
      <c r="P41" s="97">
        <v>487.96508949317621</v>
      </c>
      <c r="Q41" s="97">
        <v>489.68235077568647</v>
      </c>
      <c r="R41" s="97">
        <v>490.25644552425496</v>
      </c>
      <c r="S41" s="97">
        <v>537.14934242825359</v>
      </c>
      <c r="T41" s="97">
        <v>501.49446314734865</v>
      </c>
      <c r="U41" s="97">
        <v>527.67894790506671</v>
      </c>
      <c r="V41" s="97">
        <v>521.11062545881452</v>
      </c>
      <c r="W41" s="97">
        <v>549.80799714548846</v>
      </c>
      <c r="DA41" s="175" t="s">
        <v>766</v>
      </c>
    </row>
    <row r="42" spans="1:105" ht="11.45" customHeight="1" x14ac:dyDescent="0.25">
      <c r="A42" s="138" t="s">
        <v>116</v>
      </c>
      <c r="B42" s="98">
        <v>255.1691654341769</v>
      </c>
      <c r="C42" s="98">
        <v>171.28138678948375</v>
      </c>
      <c r="D42" s="98">
        <v>254.58000782888669</v>
      </c>
      <c r="E42" s="98">
        <v>274.92051389912751</v>
      </c>
      <c r="F42" s="98">
        <v>334.57497481922468</v>
      </c>
      <c r="G42" s="98">
        <v>340.79854239246851</v>
      </c>
      <c r="H42" s="98">
        <v>303.88601768429089</v>
      </c>
      <c r="I42" s="98">
        <v>359.06810547996088</v>
      </c>
      <c r="J42" s="98">
        <v>244.66346362925822</v>
      </c>
      <c r="K42" s="98">
        <v>258.29190495998267</v>
      </c>
      <c r="L42" s="98">
        <v>284.57477510665564</v>
      </c>
      <c r="M42" s="98">
        <v>256.08838772214517</v>
      </c>
      <c r="N42" s="98">
        <v>223.23144999864223</v>
      </c>
      <c r="O42" s="98">
        <v>339.05639312897409</v>
      </c>
      <c r="P42" s="98">
        <v>288.850953809891</v>
      </c>
      <c r="Q42" s="98">
        <v>319.43090958244056</v>
      </c>
      <c r="R42" s="98">
        <v>271.8480349806897</v>
      </c>
      <c r="S42" s="98">
        <v>469.39398695773724</v>
      </c>
      <c r="T42" s="98">
        <v>385.01129793079207</v>
      </c>
      <c r="U42" s="98">
        <v>495.56537122359987</v>
      </c>
      <c r="V42" s="98">
        <v>465.54196978729641</v>
      </c>
      <c r="W42" s="98">
        <v>407.52355697082731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2.9812905364972799</v>
      </c>
      <c r="C47" s="145">
        <f>IF(C4=0,0,C4/TrRoad_ene!C4)</f>
        <v>2.9862664731287252</v>
      </c>
      <c r="D47" s="145">
        <f>IF(D4=0,0,D4/TrRoad_ene!D4)</f>
        <v>2.9919986845292632</v>
      </c>
      <c r="E47" s="145">
        <f>IF(E4=0,0,E4/TrRoad_ene!E4)</f>
        <v>3.0010628992435451</v>
      </c>
      <c r="F47" s="145">
        <f>IF(F4=0,0,F4/TrRoad_ene!F4)</f>
        <v>3.0070092446223144</v>
      </c>
      <c r="G47" s="145">
        <f>IF(G4=0,0,G4/TrRoad_ene!G4)</f>
        <v>3.0102841095190986</v>
      </c>
      <c r="H47" s="145">
        <f>IF(H4=0,0,H4/TrRoad_ene!H4)</f>
        <v>3.0116384332388719</v>
      </c>
      <c r="I47" s="145">
        <f>IF(I4=0,0,I4/TrRoad_ene!I4)</f>
        <v>3.0090038185395929</v>
      </c>
      <c r="J47" s="145">
        <f>IF(J4=0,0,J4/TrRoad_ene!J4)</f>
        <v>3.0048863203741352</v>
      </c>
      <c r="K47" s="145">
        <f>IF(K4=0,0,K4/TrRoad_ene!K4)</f>
        <v>2.9972696685458433</v>
      </c>
      <c r="L47" s="145">
        <f>IF(L4=0,0,L4/TrRoad_ene!L4)</f>
        <v>3.0086211827287701</v>
      </c>
      <c r="M47" s="145">
        <f>IF(M4=0,0,M4/TrRoad_ene!M4)</f>
        <v>3.0077061140927066</v>
      </c>
      <c r="N47" s="145">
        <f>IF(N4=0,0,N4/TrRoad_ene!N4)</f>
        <v>2.9547812915027736</v>
      </c>
      <c r="O47" s="145">
        <f>IF(O4=0,0,O4/TrRoad_ene!O4)</f>
        <v>2.9644455614688874</v>
      </c>
      <c r="P47" s="145">
        <f>IF(P4=0,0,P4/TrRoad_ene!P4)</f>
        <v>2.9706698332319017</v>
      </c>
      <c r="Q47" s="145">
        <f>IF(Q4=0,0,Q4/TrRoad_ene!Q4)</f>
        <v>2.9849579140662521</v>
      </c>
      <c r="R47" s="145">
        <f>IF(R4=0,0,R4/TrRoad_ene!R4)</f>
        <v>3.0233887593513287</v>
      </c>
      <c r="S47" s="145">
        <f>IF(S4=0,0,S4/TrRoad_ene!S4)</f>
        <v>3.0313479138484785</v>
      </c>
      <c r="T47" s="145">
        <f>IF(T4=0,0,T4/TrRoad_ene!T4)</f>
        <v>2.9910909420039271</v>
      </c>
      <c r="U47" s="145">
        <f>IF(U4=0,0,U4/TrRoad_ene!U4)</f>
        <v>2.9472898723985401</v>
      </c>
      <c r="V47" s="145">
        <f>IF(V4=0,0,V4/TrRoad_ene!V4)</f>
        <v>2.9344736916823275</v>
      </c>
      <c r="W47" s="145">
        <f>IF(W4=0,0,W4/TrRoad_ene!W4)</f>
        <v>2.9028782454896094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2.9014523999999997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2.9014523999999997</v>
      </c>
      <c r="G48" s="97">
        <f>IF(G7=0,0,(G7+G12)/(TrRoad_ene!G7+TrRoad_ene!G12))</f>
        <v>2.9014523999999997</v>
      </c>
      <c r="H48" s="97">
        <f>IF(H7=0,0,(H7+H12)/(TrRoad_ene!H7+TrRoad_ene!H12))</f>
        <v>2.9014524000000002</v>
      </c>
      <c r="I48" s="97">
        <f>IF(I7=0,0,(I7+I12)/(TrRoad_ene!I7+TrRoad_ene!I12))</f>
        <v>2.9014524000000006</v>
      </c>
      <c r="J48" s="97">
        <f>IF(J7=0,0,(J7+J12)/(TrRoad_ene!J7+TrRoad_ene!J12))</f>
        <v>2.9014524000000002</v>
      </c>
      <c r="K48" s="97">
        <f>IF(K7=0,0,(K7+K12)/(TrRoad_ene!K7+TrRoad_ene!K12))</f>
        <v>2.8912136118376326</v>
      </c>
      <c r="L48" s="97">
        <f>IF(L7=0,0,(L7+L12)/(TrRoad_ene!L7+TrRoad_ene!L12))</f>
        <v>2.9014524000000002</v>
      </c>
      <c r="M48" s="97">
        <f>IF(M7=0,0,(M7+M12)/(TrRoad_ene!M7+TrRoad_ene!M12))</f>
        <v>2.8958793802884539</v>
      </c>
      <c r="N48" s="97">
        <f>IF(N7=0,0,(N7+N12)/(TrRoad_ene!N7+TrRoad_ene!N12))</f>
        <v>2.8954560147497386</v>
      </c>
      <c r="O48" s="97">
        <f>IF(O7=0,0,(O7+O12)/(TrRoad_ene!O7+TrRoad_ene!O12))</f>
        <v>2.8953183448132771</v>
      </c>
      <c r="P48" s="97">
        <f>IF(P7=0,0,(P7+P12)/(TrRoad_ene!P7+TrRoad_ene!P12))</f>
        <v>2.9014524000000002</v>
      </c>
      <c r="Q48" s="97">
        <f>IF(Q7=0,0,(Q7+Q12)/(TrRoad_ene!Q7+TrRoad_ene!Q12))</f>
        <v>2.9014524000000002</v>
      </c>
      <c r="R48" s="97">
        <f>IF(R7=0,0,(R7+R12)/(TrRoad_ene!R7+TrRoad_ene!R12))</f>
        <v>2.9014524000000002</v>
      </c>
      <c r="S48" s="97">
        <f>IF(S7=0,0,(S7+S12)/(TrRoad_ene!S7+TrRoad_ene!S12))</f>
        <v>2.9000245302155934</v>
      </c>
      <c r="T48" s="97">
        <f>IF(T7=0,0,(T7+T12)/(TrRoad_ene!T7+TrRoad_ene!T12))</f>
        <v>2.8992010652742777</v>
      </c>
      <c r="U48" s="97">
        <f>IF(U7=0,0,(U7+U12)/(TrRoad_ene!U7+TrRoad_ene!U12))</f>
        <v>2.8958535061213264</v>
      </c>
      <c r="V48" s="97">
        <f>IF(V7=0,0,(V7+V12)/(TrRoad_ene!V7+TrRoad_ene!V12))</f>
        <v>2.8961134931953332</v>
      </c>
      <c r="W48" s="97">
        <f>IF(W7=0,0,(W7+W12)/(TrRoad_ene!W7+TrRoad_ene!W12))</f>
        <v>2.8964009547302729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3.1024187999999997</v>
      </c>
      <c r="G49" s="97">
        <f>IF(G8=0,0,(G8+G13+G14)/(TrRoad_ene!G8+TrRoad_ene!G13+TrRoad_ene!G14))</f>
        <v>3.1024187999999997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3.0954492459188088</v>
      </c>
      <c r="J49" s="97">
        <f>IF(J8=0,0,(J8+J13+J14)/(TrRoad_ene!J8+TrRoad_ene!J13+TrRoad_ene!J14))</f>
        <v>3.0930083241092818</v>
      </c>
      <c r="K49" s="97">
        <f>IF(K8=0,0,(K8+K13+K14)/(TrRoad_ene!K8+TrRoad_ene!K13+TrRoad_ene!K14))</f>
        <v>3.0882309967123494</v>
      </c>
      <c r="L49" s="97">
        <f>IF(L8=0,0,(L8+L13+L14)/(TrRoad_ene!L8+TrRoad_ene!L13+TrRoad_ene!L14))</f>
        <v>3.0951935284938847</v>
      </c>
      <c r="M49" s="97">
        <f>IF(M8=0,0,(M8+M13+M14)/(TrRoad_ene!M8+TrRoad_ene!M13+TrRoad_ene!M14))</f>
        <v>3.0950169135672394</v>
      </c>
      <c r="N49" s="97">
        <f>IF(N8=0,0,(N8+N13+N14)/(TrRoad_ene!N8+TrRoad_ene!N13+TrRoad_ene!N14))</f>
        <v>3.0046038871392464</v>
      </c>
      <c r="O49" s="97">
        <f>IF(O8=0,0,(O8+O13+O14)/(TrRoad_ene!O8+TrRoad_ene!O13+TrRoad_ene!O14))</f>
        <v>3.0184968969445984</v>
      </c>
      <c r="P49" s="97">
        <f>IF(P8=0,0,(P8+P13+P14)/(TrRoad_ene!P8+TrRoad_ene!P13+TrRoad_ene!P14))</f>
        <v>3.0239855359088121</v>
      </c>
      <c r="Q49" s="97">
        <f>IF(Q8=0,0,(Q8+Q13+Q14)/(TrRoad_ene!Q8+TrRoad_ene!Q13+TrRoad_ene!Q14))</f>
        <v>3.0432696987271681</v>
      </c>
      <c r="R49" s="97">
        <f>IF(R8=0,0,(R8+R13+R14)/(TrRoad_ene!R8+TrRoad_ene!R13+TrRoad_ene!R14))</f>
        <v>3.1004001822412355</v>
      </c>
      <c r="S49" s="97">
        <f>IF(S8=0,0,(S8+S13+S14)/(TrRoad_ene!S8+TrRoad_ene!S13+TrRoad_ene!S14))</f>
        <v>3.1017289790451361</v>
      </c>
      <c r="T49" s="97">
        <f>IF(T8=0,0,(T8+T13+T14)/(TrRoad_ene!T8+TrRoad_ene!T13+TrRoad_ene!T14))</f>
        <v>3.0453495583916235</v>
      </c>
      <c r="U49" s="97">
        <f>IF(U8=0,0,(U8+U13+U14)/(TrRoad_ene!U8+TrRoad_ene!U13+TrRoad_ene!U14))</f>
        <v>2.9800407670390361</v>
      </c>
      <c r="V49" s="97">
        <f>IF(V8=0,0,(V8+V13+V14)/(TrRoad_ene!V8+TrRoad_ene!V13+TrRoad_ene!V14))</f>
        <v>2.9600244839155696</v>
      </c>
      <c r="W49" s="97">
        <f>IF(W8=0,0,(W8+W13+W14)/(TrRoad_ene!W8+TrRoad_ene!W13+TrRoad_ene!W14))</f>
        <v>2.9186767037427606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2.6418708000000009</v>
      </c>
      <c r="H50" s="97">
        <f>IF(H6=0,0,H6/TrRoad_ene!H6)</f>
        <v>2.6418708000000004</v>
      </c>
      <c r="I50" s="97">
        <f>IF(I6=0,0,I6/TrRoad_ene!I6)</f>
        <v>2.6418708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2.3487948000000007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265.56126223245207</v>
      </c>
      <c r="C54" s="62">
        <f>IF(TrRoad_act!C30=0,0,C17/TrRoad_act!C30*1000
)</f>
        <v>247.4036420903854</v>
      </c>
      <c r="D54" s="62">
        <f>IF(TrRoad_act!D30=0,0,D17/TrRoad_act!D30*1000
)</f>
        <v>248.74809347468496</v>
      </c>
      <c r="E54" s="62">
        <f>IF(TrRoad_act!E30=0,0,E17/TrRoad_act!E30*1000
)</f>
        <v>260.56559731198848</v>
      </c>
      <c r="F54" s="62">
        <f>IF(TrRoad_act!F30=0,0,F17/TrRoad_act!F30*1000
)</f>
        <v>254.49879479622817</v>
      </c>
      <c r="G54" s="62">
        <f>IF(TrRoad_act!G30=0,0,G17/TrRoad_act!G30*1000
)</f>
        <v>256.16470911110173</v>
      </c>
      <c r="H54" s="62">
        <f>IF(TrRoad_act!H30=0,0,H17/TrRoad_act!H30*1000
)</f>
        <v>263.47071778586638</v>
      </c>
      <c r="I54" s="62">
        <f>IF(TrRoad_act!I30=0,0,I17/TrRoad_act!I30*1000
)</f>
        <v>271.67678310785874</v>
      </c>
      <c r="J54" s="62">
        <f>IF(TrRoad_act!J30=0,0,J17/TrRoad_act!J30*1000
)</f>
        <v>245.87453816571173</v>
      </c>
      <c r="K54" s="62">
        <f>IF(TrRoad_act!K30=0,0,K17/TrRoad_act!K30*1000
)</f>
        <v>251.71196184538664</v>
      </c>
      <c r="L54" s="62">
        <f>IF(TrRoad_act!L30=0,0,L17/TrRoad_act!L30*1000
)</f>
        <v>245.0879365382321</v>
      </c>
      <c r="M54" s="62">
        <f>IF(TrRoad_act!M30=0,0,M17/TrRoad_act!M30*1000
)</f>
        <v>243.83468073412178</v>
      </c>
      <c r="N54" s="62">
        <f>IF(TrRoad_act!N30=0,0,N17/TrRoad_act!N30*1000
)</f>
        <v>242.46770008836626</v>
      </c>
      <c r="O54" s="62">
        <f>IF(TrRoad_act!O30=0,0,O17/TrRoad_act!O30*1000
)</f>
        <v>245.67940053582475</v>
      </c>
      <c r="P54" s="62">
        <f>IF(TrRoad_act!P30=0,0,P17/TrRoad_act!P30*1000
)</f>
        <v>239.94984825033526</v>
      </c>
      <c r="Q54" s="62">
        <f>IF(TrRoad_act!Q30=0,0,Q17/TrRoad_act!Q30*1000
)</f>
        <v>245.41656671989759</v>
      </c>
      <c r="R54" s="62">
        <f>IF(TrRoad_act!R30=0,0,R17/TrRoad_act!R30*1000
)</f>
        <v>233.3415023695101</v>
      </c>
      <c r="S54" s="62">
        <f>IF(TrRoad_act!S30=0,0,S17/TrRoad_act!S30*1000
)</f>
        <v>242.62534547593864</v>
      </c>
      <c r="T54" s="62">
        <f>IF(TrRoad_act!T30=0,0,T17/TrRoad_act!T30*1000
)</f>
        <v>224.40983128980864</v>
      </c>
      <c r="U54" s="62">
        <f>IF(TrRoad_act!U30=0,0,U17/TrRoad_act!U30*1000
)</f>
        <v>237.65083713298253</v>
      </c>
      <c r="V54" s="62">
        <f>IF(TrRoad_act!V30=0,0,V17/TrRoad_act!V30*1000
)</f>
        <v>247.9294149577016</v>
      </c>
      <c r="W54" s="62">
        <f>IF(TrRoad_act!W30=0,0,W17/TrRoad_act!W30*1000
)</f>
        <v>232.2508481568087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241.0330694465361</v>
      </c>
      <c r="C55" s="29">
        <f>IF(TrRoad_act!C31=0,0,C18/TrRoad_act!C31*1000
)</f>
        <v>224.80159874300713</v>
      </c>
      <c r="D55" s="29">
        <f>IF(TrRoad_act!D31=0,0,D18/TrRoad_act!D31*1000
)</f>
        <v>216.42438833247749</v>
      </c>
      <c r="E55" s="29">
        <f>IF(TrRoad_act!E31=0,0,E18/TrRoad_act!E31*1000
)</f>
        <v>225.86211202447038</v>
      </c>
      <c r="F55" s="29">
        <f>IF(TrRoad_act!F31=0,0,F18/TrRoad_act!F31*1000
)</f>
        <v>217.07164894845889</v>
      </c>
      <c r="G55" s="29">
        <f>IF(TrRoad_act!G31=0,0,G18/TrRoad_act!G31*1000
)</f>
        <v>219.45419486408755</v>
      </c>
      <c r="H55" s="29">
        <f>IF(TrRoad_act!H31=0,0,H18/TrRoad_act!H31*1000
)</f>
        <v>226.6819820821064</v>
      </c>
      <c r="I55" s="29">
        <f>IF(TrRoad_act!I31=0,0,I18/TrRoad_act!I31*1000
)</f>
        <v>235.78495532188373</v>
      </c>
      <c r="J55" s="29">
        <f>IF(TrRoad_act!J31=0,0,J18/TrRoad_act!J31*1000
)</f>
        <v>210.51264829337237</v>
      </c>
      <c r="K55" s="29">
        <f>IF(TrRoad_act!K31=0,0,K18/TrRoad_act!K31*1000
)</f>
        <v>218.83617936866523</v>
      </c>
      <c r="L55" s="29">
        <f>IF(TrRoad_act!L31=0,0,L18/TrRoad_act!L31*1000
)</f>
        <v>210.90838038987263</v>
      </c>
      <c r="M55" s="29">
        <f>IF(TrRoad_act!M31=0,0,M18/TrRoad_act!M31*1000
)</f>
        <v>211.14045621976501</v>
      </c>
      <c r="N55" s="29">
        <f>IF(TrRoad_act!N31=0,0,N18/TrRoad_act!N31*1000
)</f>
        <v>213.45869047856345</v>
      </c>
      <c r="O55" s="29">
        <f>IF(TrRoad_act!O31=0,0,O18/TrRoad_act!O31*1000
)</f>
        <v>210.06073566000413</v>
      </c>
      <c r="P55" s="29">
        <f>IF(TrRoad_act!P31=0,0,P18/TrRoad_act!P31*1000
)</f>
        <v>209.74135877116984</v>
      </c>
      <c r="Q55" s="29">
        <f>IF(TrRoad_act!Q31=0,0,Q18/TrRoad_act!Q31*1000
)</f>
        <v>215.91580438441707</v>
      </c>
      <c r="R55" s="29">
        <f>IF(TrRoad_act!R31=0,0,R18/TrRoad_act!R31*1000
)</f>
        <v>207.54274085610598</v>
      </c>
      <c r="S55" s="29">
        <f>IF(TrRoad_act!S31=0,0,S18/TrRoad_act!S31*1000
)</f>
        <v>208.48241979459144</v>
      </c>
      <c r="T55" s="29">
        <f>IF(TrRoad_act!T31=0,0,T18/TrRoad_act!T31*1000
)</f>
        <v>194.9903021711184</v>
      </c>
      <c r="U55" s="29">
        <f>IF(TrRoad_act!U31=0,0,U18/TrRoad_act!U31*1000
)</f>
        <v>202.74968525729147</v>
      </c>
      <c r="V55" s="29">
        <f>IF(TrRoad_act!V31=0,0,V18/TrRoad_act!V31*1000
)</f>
        <v>209.43318670349223</v>
      </c>
      <c r="W55" s="29">
        <f>IF(TrRoad_act!W31=0,0,W18/TrRoad_act!W31*1000
)</f>
        <v>198.58463553414771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125.95298009580341</v>
      </c>
      <c r="C56" s="152">
        <f>IF(TrRoad_act!C32=0,0,C19/TrRoad_act!C32*1000
)</f>
        <v>125.69426632385996</v>
      </c>
      <c r="D56" s="152">
        <f>IF(TrRoad_act!D32=0,0,D19/TrRoad_act!D32*1000
)</f>
        <v>123.97529316853371</v>
      </c>
      <c r="E56" s="152">
        <f>IF(TrRoad_act!E32=0,0,E19/TrRoad_act!E32*1000
)</f>
        <v>120.04419528316211</v>
      </c>
      <c r="F56" s="152">
        <f>IF(TrRoad_act!F32=0,0,F19/TrRoad_act!F32*1000
)</f>
        <v>117.08920579430077</v>
      </c>
      <c r="G56" s="152">
        <f>IF(TrRoad_act!G32=0,0,G19/TrRoad_act!G32*1000
)</f>
        <v>114.29000043595518</v>
      </c>
      <c r="H56" s="152">
        <f>IF(TrRoad_act!H32=0,0,H19/TrRoad_act!H32*1000
)</f>
        <v>112.17311568900982</v>
      </c>
      <c r="I56" s="152">
        <f>IF(TrRoad_act!I32=0,0,I19/TrRoad_act!I32*1000
)</f>
        <v>111.0200856340843</v>
      </c>
      <c r="J56" s="152">
        <f>IF(TrRoad_act!J32=0,0,J19/TrRoad_act!J32*1000
)</f>
        <v>109.98192326721269</v>
      </c>
      <c r="K56" s="152">
        <f>IF(TrRoad_act!K32=0,0,K19/TrRoad_act!K32*1000
)</f>
        <v>108.89274605157399</v>
      </c>
      <c r="L56" s="152">
        <f>IF(TrRoad_act!L32=0,0,L19/TrRoad_act!L32*1000
)</f>
        <v>108.67159265539001</v>
      </c>
      <c r="M56" s="152">
        <f>IF(TrRoad_act!M32=0,0,M19/TrRoad_act!M32*1000
)</f>
        <v>107.81717807117421</v>
      </c>
      <c r="N56" s="152">
        <f>IF(TrRoad_act!N32=0,0,N19/TrRoad_act!N32*1000
)</f>
        <v>107.56235426619803</v>
      </c>
      <c r="O56" s="152">
        <f>IF(TrRoad_act!O32=0,0,O19/TrRoad_act!O32*1000
)</f>
        <v>106.77947151502524</v>
      </c>
      <c r="P56" s="152">
        <f>IF(TrRoad_act!P32=0,0,P19/TrRoad_act!P32*1000
)</f>
        <v>106.1531253573053</v>
      </c>
      <c r="Q56" s="152">
        <f>IF(TrRoad_act!Q32=0,0,Q19/TrRoad_act!Q32*1000
)</f>
        <v>106.05979847078943</v>
      </c>
      <c r="R56" s="152">
        <f>IF(TrRoad_act!R32=0,0,R19/TrRoad_act!R32*1000
)</f>
        <v>105.67133181076881</v>
      </c>
      <c r="S56" s="152">
        <f>IF(TrRoad_act!S32=0,0,S19/TrRoad_act!S32*1000
)</f>
        <v>105.25401454573922</v>
      </c>
      <c r="T56" s="152">
        <f>IF(TrRoad_act!T32=0,0,T19/TrRoad_act!T32*1000
)</f>
        <v>104.25850809970855</v>
      </c>
      <c r="U56" s="152">
        <f>IF(TrRoad_act!U32=0,0,U19/TrRoad_act!U32*1000
)</f>
        <v>103.78836592849972</v>
      </c>
      <c r="V56" s="152">
        <f>IF(TrRoad_act!V32=0,0,V19/TrRoad_act!V32*1000
)</f>
        <v>103.59949216317135</v>
      </c>
      <c r="W56" s="152">
        <f>IF(TrRoad_act!W32=0,0,W19/TrRoad_act!W32*1000
)</f>
        <v>99.117866830724452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208.39070839358953</v>
      </c>
      <c r="C57" s="116">
        <f>IF(TrRoad_act!C33=0,0,C20/TrRoad_act!C33*1000
)</f>
        <v>195.14016218980711</v>
      </c>
      <c r="D57" s="116">
        <f>IF(TrRoad_act!D33=0,0,D20/TrRoad_act!D33*1000
)</f>
        <v>188.41038383855425</v>
      </c>
      <c r="E57" s="116">
        <f>IF(TrRoad_act!E33=0,0,E20/TrRoad_act!E33*1000
)</f>
        <v>198.89561422265518</v>
      </c>
      <c r="F57" s="116">
        <f>IF(TrRoad_act!F33=0,0,F20/TrRoad_act!F33*1000
)</f>
        <v>192.02325849669359</v>
      </c>
      <c r="G57" s="116">
        <f>IF(TrRoad_act!G33=0,0,G20/TrRoad_act!G33*1000
)</f>
        <v>195.60124715703066</v>
      </c>
      <c r="H57" s="116">
        <f>IF(TrRoad_act!H33=0,0,H20/TrRoad_act!H33*1000
)</f>
        <v>203.9831658044792</v>
      </c>
      <c r="I57" s="116">
        <f>IF(TrRoad_act!I33=0,0,I20/TrRoad_act!I33*1000
)</f>
        <v>213.69580660593758</v>
      </c>
      <c r="J57" s="116">
        <f>IF(TrRoad_act!J33=0,0,J20/TrRoad_act!J33*1000
)</f>
        <v>189.96466269287609</v>
      </c>
      <c r="K57" s="116">
        <f>IF(TrRoad_act!K33=0,0,K20/TrRoad_act!K33*1000
)</f>
        <v>197.46842288934727</v>
      </c>
      <c r="L57" s="116">
        <f>IF(TrRoad_act!L33=0,0,L20/TrRoad_act!L33*1000
)</f>
        <v>189.22991501833502</v>
      </c>
      <c r="M57" s="116">
        <f>IF(TrRoad_act!M33=0,0,M20/TrRoad_act!M33*1000
)</f>
        <v>190.11662728570471</v>
      </c>
      <c r="N57" s="116">
        <f>IF(TrRoad_act!N33=0,0,N20/TrRoad_act!N33*1000
)</f>
        <v>193.03156521529502</v>
      </c>
      <c r="O57" s="116">
        <f>IF(TrRoad_act!O33=0,0,O20/TrRoad_act!O33*1000
)</f>
        <v>189.28544695395632</v>
      </c>
      <c r="P57" s="116">
        <f>IF(TrRoad_act!P33=0,0,P20/TrRoad_act!P33*1000
)</f>
        <v>189.03122637147015</v>
      </c>
      <c r="Q57" s="116">
        <f>IF(TrRoad_act!Q33=0,0,Q20/TrRoad_act!Q33*1000
)</f>
        <v>194.36849461204082</v>
      </c>
      <c r="R57" s="116">
        <f>IF(TrRoad_act!R33=0,0,R20/TrRoad_act!R33*1000
)</f>
        <v>186.42730316974743</v>
      </c>
      <c r="S57" s="116">
        <f>IF(TrRoad_act!S33=0,0,S20/TrRoad_act!S33*1000
)</f>
        <v>186.699413034645</v>
      </c>
      <c r="T57" s="116">
        <f>IF(TrRoad_act!T33=0,0,T20/TrRoad_act!T33*1000
)</f>
        <v>173.82481258650088</v>
      </c>
      <c r="U57" s="116">
        <f>IF(TrRoad_act!U33=0,0,U20/TrRoad_act!U33*1000
)</f>
        <v>184.82244620413363</v>
      </c>
      <c r="V57" s="116">
        <f>IF(TrRoad_act!V33=0,0,V20/TrRoad_act!V33*1000
)</f>
        <v>194.01114592770605</v>
      </c>
      <c r="W57" s="116">
        <f>IF(TrRoad_act!W33=0,0,W20/TrRoad_act!W33*1000
)</f>
        <v>183.81895685896859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212.14243991164628</v>
      </c>
      <c r="C58" s="87">
        <f>IF(TrRoad_act!C34=0,0,C21/TrRoad_act!C34*1000
)</f>
        <v>192.89951739959517</v>
      </c>
      <c r="D58" s="87">
        <f>IF(TrRoad_act!D34=0,0,D21/TrRoad_act!D34*1000
)</f>
        <v>190.36997488444698</v>
      </c>
      <c r="E58" s="87">
        <f>IF(TrRoad_act!E34=0,0,E21/TrRoad_act!E34*1000
)</f>
        <v>201.44236894081808</v>
      </c>
      <c r="F58" s="87">
        <f>IF(TrRoad_act!F34=0,0,F21/TrRoad_act!F34*1000
)</f>
        <v>195.15974693871826</v>
      </c>
      <c r="G58" s="87">
        <f>IF(TrRoad_act!G34=0,0,G21/TrRoad_act!G34*1000
)</f>
        <v>199.64310256358922</v>
      </c>
      <c r="H58" s="87">
        <f>IF(TrRoad_act!H34=0,0,H21/TrRoad_act!H34*1000
)</f>
        <v>211.95932044572254</v>
      </c>
      <c r="I58" s="87">
        <f>IF(TrRoad_act!I34=0,0,I21/TrRoad_act!I34*1000
)</f>
        <v>221.76614632103542</v>
      </c>
      <c r="J58" s="87">
        <f>IF(TrRoad_act!J34=0,0,J21/TrRoad_act!J34*1000
)</f>
        <v>179.67937495756499</v>
      </c>
      <c r="K58" s="87">
        <f>IF(TrRoad_act!K34=0,0,K21/TrRoad_act!K34*1000
)</f>
        <v>184.91579243844893</v>
      </c>
      <c r="L58" s="87">
        <f>IF(TrRoad_act!L34=0,0,L21/TrRoad_act!L34*1000
)</f>
        <v>175.36512721251657</v>
      </c>
      <c r="M58" s="87">
        <f>IF(TrRoad_act!M34=0,0,M21/TrRoad_act!M34*1000
)</f>
        <v>178.7232703686114</v>
      </c>
      <c r="N58" s="87">
        <f>IF(TrRoad_act!N34=0,0,N21/TrRoad_act!N34*1000
)</f>
        <v>177.16651368505543</v>
      </c>
      <c r="O58" s="87">
        <f>IF(TrRoad_act!O34=0,0,O21/TrRoad_act!O34*1000
)</f>
        <v>179.64450339368659</v>
      </c>
      <c r="P58" s="87">
        <f>IF(TrRoad_act!P34=0,0,P21/TrRoad_act!P34*1000
)</f>
        <v>181.25609151519208</v>
      </c>
      <c r="Q58" s="87">
        <f>IF(TrRoad_act!Q34=0,0,Q21/TrRoad_act!Q34*1000
)</f>
        <v>181.83553784446596</v>
      </c>
      <c r="R58" s="87">
        <f>IF(TrRoad_act!R34=0,0,R21/TrRoad_act!R34*1000
)</f>
        <v>176.91010627652423</v>
      </c>
      <c r="S58" s="87">
        <f>IF(TrRoad_act!S34=0,0,S21/TrRoad_act!S34*1000
)</f>
        <v>170.87821226107312</v>
      </c>
      <c r="T58" s="87">
        <f>IF(TrRoad_act!T34=0,0,T21/TrRoad_act!T34*1000
)</f>
        <v>161.32153691918967</v>
      </c>
      <c r="U58" s="87">
        <f>IF(TrRoad_act!U34=0,0,U21/TrRoad_act!U34*1000
)</f>
        <v>168.15287389921005</v>
      </c>
      <c r="V58" s="87">
        <f>IF(TrRoad_act!V34=0,0,V21/TrRoad_act!V34*1000
)</f>
        <v>177.0602850229246</v>
      </c>
      <c r="W58" s="87">
        <f>IF(TrRoad_act!W34=0,0,W21/TrRoad_act!W34*1000
)</f>
        <v>171.7101721438994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197.34296047580153</v>
      </c>
      <c r="C59" s="87">
        <f>IF(TrRoad_act!C35=0,0,C22/TrRoad_act!C35*1000
)</f>
        <v>205.75337751342224</v>
      </c>
      <c r="D59" s="87">
        <f>IF(TrRoad_act!D35=0,0,D22/TrRoad_act!D35*1000
)</f>
        <v>184.27483293300975</v>
      </c>
      <c r="E59" s="87">
        <f>IF(TrRoad_act!E35=0,0,E22/TrRoad_act!E35*1000
)</f>
        <v>195.37638857326249</v>
      </c>
      <c r="F59" s="87">
        <f>IF(TrRoad_act!F35=0,0,F22/TrRoad_act!F35*1000
)</f>
        <v>188.49796862607758</v>
      </c>
      <c r="G59" s="87">
        <f>IF(TrRoad_act!G35=0,0,G22/TrRoad_act!G35*1000
)</f>
        <v>192.19639446549647</v>
      </c>
      <c r="H59" s="87">
        <f>IF(TrRoad_act!H35=0,0,H22/TrRoad_act!H35*1000
)</f>
        <v>199.20283098038468</v>
      </c>
      <c r="I59" s="87">
        <f>IF(TrRoad_act!I35=0,0,I22/TrRoad_act!I35*1000
)</f>
        <v>213.04346250028823</v>
      </c>
      <c r="J59" s="87">
        <f>IF(TrRoad_act!J35=0,0,J22/TrRoad_act!J35*1000
)</f>
        <v>210.97930189956267</v>
      </c>
      <c r="K59" s="87">
        <f>IF(TrRoad_act!K35=0,0,K22/TrRoad_act!K35*1000
)</f>
        <v>224.72669304096314</v>
      </c>
      <c r="L59" s="87">
        <f>IF(TrRoad_act!L35=0,0,L22/TrRoad_act!L35*1000
)</f>
        <v>215.10970294250498</v>
      </c>
      <c r="M59" s="87">
        <f>IF(TrRoad_act!M35=0,0,M22/TrRoad_act!M35*1000
)</f>
        <v>211.27637981678865</v>
      </c>
      <c r="N59" s="87">
        <f>IF(TrRoad_act!N35=0,0,N22/TrRoad_act!N35*1000
)</f>
        <v>218.50661152264476</v>
      </c>
      <c r="O59" s="87">
        <f>IF(TrRoad_act!O35=0,0,O22/TrRoad_act!O35*1000
)</f>
        <v>205.98550806103677</v>
      </c>
      <c r="P59" s="87">
        <f>IF(TrRoad_act!P35=0,0,P22/TrRoad_act!P35*1000
)</f>
        <v>201.98558303711454</v>
      </c>
      <c r="Q59" s="87">
        <f>IF(TrRoad_act!Q35=0,0,Q22/TrRoad_act!Q35*1000
)</f>
        <v>211.84863752531709</v>
      </c>
      <c r="R59" s="87">
        <f>IF(TrRoad_act!R35=0,0,R22/TrRoad_act!R35*1000
)</f>
        <v>197.91350383388979</v>
      </c>
      <c r="S59" s="87">
        <f>IF(TrRoad_act!S35=0,0,S22/TrRoad_act!S35*1000
)</f>
        <v>201.81581428665413</v>
      </c>
      <c r="T59" s="87">
        <f>IF(TrRoad_act!T35=0,0,T22/TrRoad_act!T35*1000
)</f>
        <v>184.96680283008922</v>
      </c>
      <c r="U59" s="87">
        <f>IF(TrRoad_act!U35=0,0,U22/TrRoad_act!U35*1000
)</f>
        <v>198.80506766887845</v>
      </c>
      <c r="V59" s="87">
        <f>IF(TrRoad_act!V35=0,0,V22/TrRoad_act!V35*1000
)</f>
        <v>208.38364130628941</v>
      </c>
      <c r="W59" s="87">
        <f>IF(TrRoad_act!W35=0,0,W22/TrRoad_act!W35*1000
)</f>
        <v>194.69381832768258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158.05549860883565</v>
      </c>
      <c r="C60" s="87">
        <f>IF(TrRoad_act!C36=0,0,C23/TrRoad_act!C36*1000
)</f>
        <v>157.18766966762635</v>
      </c>
      <c r="D60" s="87">
        <f>IF(TrRoad_act!D36=0,0,D23/TrRoad_act!D36*1000
)</f>
        <v>158.40830709740746</v>
      </c>
      <c r="E60" s="87">
        <f>IF(TrRoad_act!E36=0,0,E23/TrRoad_act!E36*1000
)</f>
        <v>155.53769558122309</v>
      </c>
      <c r="F60" s="87">
        <f>IF(TrRoad_act!F36=0,0,F23/TrRoad_act!F36*1000
)</f>
        <v>150.90628098715584</v>
      </c>
      <c r="G60" s="87">
        <f>IF(TrRoad_act!G36=0,0,G23/TrRoad_act!G36*1000
)</f>
        <v>150.41817726246822</v>
      </c>
      <c r="H60" s="87">
        <f>IF(TrRoad_act!H36=0,0,H23/TrRoad_act!H36*1000
)</f>
        <v>146.65130006882472</v>
      </c>
      <c r="I60" s="87">
        <f>IF(TrRoad_act!I36=0,0,I23/TrRoad_act!I36*1000
)</f>
        <v>144.40753529619479</v>
      </c>
      <c r="J60" s="87">
        <f>IF(TrRoad_act!J36=0,0,J23/TrRoad_act!J36*1000
)</f>
        <v>149.02542891313249</v>
      </c>
      <c r="K60" s="87">
        <f>IF(TrRoad_act!K36=0,0,K23/TrRoad_act!K36*1000
)</f>
        <v>142.69474357062145</v>
      </c>
      <c r="L60" s="87">
        <f>IF(TrRoad_act!L36=0,0,L23/TrRoad_act!L36*1000
)</f>
        <v>140.73238262456016</v>
      </c>
      <c r="M60" s="87">
        <f>IF(TrRoad_act!M36=0,0,M23/TrRoad_act!M36*1000
)</f>
        <v>141.0134461879328</v>
      </c>
      <c r="N60" s="87">
        <f>IF(TrRoad_act!N36=0,0,N23/TrRoad_act!N36*1000
)</f>
        <v>141.17317125274243</v>
      </c>
      <c r="O60" s="87">
        <f>IF(TrRoad_act!O36=0,0,O23/TrRoad_act!O36*1000
)</f>
        <v>141.4488841508022</v>
      </c>
      <c r="P60" s="87">
        <f>IF(TrRoad_act!P36=0,0,P23/TrRoad_act!P36*1000
)</f>
        <v>141.67035983986506</v>
      </c>
      <c r="Q60" s="87">
        <f>IF(TrRoad_act!Q36=0,0,Q23/TrRoad_act!Q36*1000
)</f>
        <v>142.4412757357602</v>
      </c>
      <c r="R60" s="87">
        <f>IF(TrRoad_act!R36=0,0,R23/TrRoad_act!R36*1000
)</f>
        <v>149.24982879625873</v>
      </c>
      <c r="S60" s="87">
        <f>IF(TrRoad_act!S36=0,0,S23/TrRoad_act!S36*1000
)</f>
        <v>149.57335892126628</v>
      </c>
      <c r="T60" s="87">
        <f>IF(TrRoad_act!T36=0,0,T23/TrRoad_act!T36*1000
)</f>
        <v>149.46081634040041</v>
      </c>
      <c r="U60" s="87">
        <f>IF(TrRoad_act!U36=0,0,U23/TrRoad_act!U36*1000
)</f>
        <v>149.21904258401403</v>
      </c>
      <c r="V60" s="87">
        <f>IF(TrRoad_act!V36=0,0,V23/TrRoad_act!V36*1000
)</f>
        <v>148.78950726766445</v>
      </c>
      <c r="W60" s="87">
        <f>IF(TrRoad_act!W36=0,0,W23/TrRoad_act!W36*1000
)</f>
        <v>145.10939090966119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161.53065883149628</v>
      </c>
      <c r="L61" s="87">
        <f>IF(TrRoad_act!L37=0,0,L24/TrRoad_act!L37*1000
)</f>
        <v>160.92256566035303</v>
      </c>
      <c r="M61" s="87">
        <f>IF(TrRoad_act!M37=0,0,M24/TrRoad_act!M37*1000
)</f>
        <v>160.90554406202267</v>
      </c>
      <c r="N61" s="87">
        <f>IF(TrRoad_act!N37=0,0,N24/TrRoad_act!N37*1000
)</f>
        <v>159.86143883353191</v>
      </c>
      <c r="O61" s="87">
        <f>IF(TrRoad_act!O37=0,0,O24/TrRoad_act!O37*1000
)</f>
        <v>157.89114731646794</v>
      </c>
      <c r="P61" s="87">
        <f>IF(TrRoad_act!P37=0,0,P24/TrRoad_act!P37*1000
)</f>
        <v>156.57964119169785</v>
      </c>
      <c r="Q61" s="87">
        <f>IF(TrRoad_act!Q37=0,0,Q24/TrRoad_act!Q37*1000
)</f>
        <v>156.37554599959253</v>
      </c>
      <c r="R61" s="87">
        <f>IF(TrRoad_act!R37=0,0,R24/TrRoad_act!R37*1000
)</f>
        <v>155.47012231983149</v>
      </c>
      <c r="S61" s="87">
        <f>IF(TrRoad_act!S37=0,0,S24/TrRoad_act!S37*1000
)</f>
        <v>149.9152825372293</v>
      </c>
      <c r="T61" s="87">
        <f>IF(TrRoad_act!T37=0,0,T24/TrRoad_act!T37*1000
)</f>
        <v>148.92216062181589</v>
      </c>
      <c r="U61" s="87">
        <f>IF(TrRoad_act!U37=0,0,U24/TrRoad_act!U37*1000
)</f>
        <v>148.0788592656796</v>
      </c>
      <c r="V61" s="87">
        <f>IF(TrRoad_act!V37=0,0,V24/TrRoad_act!V37*1000
)</f>
        <v>147.65780995322947</v>
      </c>
      <c r="W61" s="87">
        <f>IF(TrRoad_act!W37=0,0,W24/TrRoad_act!W37*1000
)</f>
        <v>146.89432270843116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0</v>
      </c>
      <c r="P62" s="87">
        <f>IF(TrRoad_act!P38=0,0,P25/TrRoad_act!P38*1000
)</f>
        <v>64.66139051024669</v>
      </c>
      <c r="Q62" s="87">
        <f>IF(TrRoad_act!Q38=0,0,Q25/TrRoad_act!Q38*1000
)</f>
        <v>66.897750919373351</v>
      </c>
      <c r="R62" s="87">
        <f>IF(TrRoad_act!R38=0,0,R25/TrRoad_act!R38*1000
)</f>
        <v>70.373596445008857</v>
      </c>
      <c r="S62" s="87">
        <f>IF(TrRoad_act!S38=0,0,S25/TrRoad_act!S38*1000
)</f>
        <v>72.650163609087997</v>
      </c>
      <c r="T62" s="87">
        <f>IF(TrRoad_act!T38=0,0,T25/TrRoad_act!T38*1000
)</f>
        <v>74.194514170420092</v>
      </c>
      <c r="U62" s="87">
        <f>IF(TrRoad_act!U38=0,0,U25/TrRoad_act!U38*1000
)</f>
        <v>80.083165343641511</v>
      </c>
      <c r="V62" s="87">
        <f>IF(TrRoad_act!V38=0,0,V25/TrRoad_act!V38*1000
)</f>
        <v>69.629971548887525</v>
      </c>
      <c r="W62" s="87">
        <f>IF(TrRoad_act!W38=0,0,W25/TrRoad_act!W38*1000
)</f>
        <v>61.587054789507235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1650.5901514456614</v>
      </c>
      <c r="C64" s="116">
        <f>IF(TrRoad_act!C40=0,0,C27/TrRoad_act!C40*1000
)</f>
        <v>1584.9392016315915</v>
      </c>
      <c r="D64" s="116">
        <f>IF(TrRoad_act!D40=0,0,D27/TrRoad_act!D40*1000
)</f>
        <v>1594.0741716098398</v>
      </c>
      <c r="E64" s="116">
        <f>IF(TrRoad_act!E40=0,0,E27/TrRoad_act!E40*1000
)</f>
        <v>1623.1697318657455</v>
      </c>
      <c r="F64" s="116">
        <f>IF(TrRoad_act!F40=0,0,F27/TrRoad_act!F40*1000
)</f>
        <v>1607.6949109492846</v>
      </c>
      <c r="G64" s="116">
        <f>IF(TrRoad_act!G40=0,0,G27/TrRoad_act!G40*1000
)</f>
        <v>1614.9968151382175</v>
      </c>
      <c r="H64" s="116">
        <f>IF(TrRoad_act!H40=0,0,H27/TrRoad_act!H40*1000
)</f>
        <v>1631.2638972039792</v>
      </c>
      <c r="I64" s="116">
        <f>IF(TrRoad_act!I40=0,0,I27/TrRoad_act!I40*1000
)</f>
        <v>1676.9203656856771</v>
      </c>
      <c r="J64" s="116">
        <f>IF(TrRoad_act!J40=0,0,J27/TrRoad_act!J40*1000
)</f>
        <v>1688.7299585657518</v>
      </c>
      <c r="K64" s="116">
        <f>IF(TrRoad_act!K40=0,0,K27/TrRoad_act!K40*1000
)</f>
        <v>1746.5505772899849</v>
      </c>
      <c r="L64" s="116">
        <f>IF(TrRoad_act!L40=0,0,L27/TrRoad_act!L40*1000
)</f>
        <v>1751.9314496193233</v>
      </c>
      <c r="M64" s="116">
        <f>IF(TrRoad_act!M40=0,0,M27/TrRoad_act!M40*1000
)</f>
        <v>1722.5240883730062</v>
      </c>
      <c r="N64" s="116">
        <f>IF(TrRoad_act!N40=0,0,N27/TrRoad_act!N40*1000
)</f>
        <v>1707.1031037055907</v>
      </c>
      <c r="O64" s="116">
        <f>IF(TrRoad_act!O40=0,0,O27/TrRoad_act!O40*1000
)</f>
        <v>1720.6107109681973</v>
      </c>
      <c r="P64" s="116">
        <f>IF(TrRoad_act!P40=0,0,P27/TrRoad_act!P40*1000
)</f>
        <v>1694.2199840336591</v>
      </c>
      <c r="Q64" s="116">
        <f>IF(TrRoad_act!Q40=0,0,Q27/TrRoad_act!Q40*1000
)</f>
        <v>1736.0595909133467</v>
      </c>
      <c r="R64" s="116">
        <f>IF(TrRoad_act!R40=0,0,R27/TrRoad_act!R40*1000
)</f>
        <v>1713.5956871371222</v>
      </c>
      <c r="S64" s="116">
        <f>IF(TrRoad_act!S40=0,0,S27/TrRoad_act!S40*1000
)</f>
        <v>1774.6904482415453</v>
      </c>
      <c r="T64" s="116">
        <f>IF(TrRoad_act!T40=0,0,T27/TrRoad_act!T40*1000
)</f>
        <v>1693.5086026323636</v>
      </c>
      <c r="U64" s="116">
        <f>IF(TrRoad_act!U40=0,0,U27/TrRoad_act!U40*1000
)</f>
        <v>1778.2136571340466</v>
      </c>
      <c r="V64" s="116">
        <f>IF(TrRoad_act!V40=0,0,V27/TrRoad_act!V40*1000
)</f>
        <v>1792.3167579386336</v>
      </c>
      <c r="W64" s="116">
        <f>IF(TrRoad_act!W40=0,0,W27/TrRoad_act!W40*1000
)</f>
        <v>1744.4214656537517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536.67430783619511</v>
      </c>
      <c r="C65" s="101">
        <f>IF(TrRoad_act!C41=0,0,C28/TrRoad_act!C41*1000
)</f>
        <v>527.62685534964646</v>
      </c>
      <c r="D65" s="101">
        <f>IF(TrRoad_act!D41=0,0,D28/TrRoad_act!D41*1000
)</f>
        <v>520.86708769122549</v>
      </c>
      <c r="E65" s="101">
        <f>IF(TrRoad_act!E41=0,0,E28/TrRoad_act!E41*1000
)</f>
        <v>518.97254561199986</v>
      </c>
      <c r="F65" s="101">
        <f>IF(TrRoad_act!F41=0,0,F28/TrRoad_act!F41*1000
)</f>
        <v>516.73668194652021</v>
      </c>
      <c r="G65" s="101">
        <f>IF(TrRoad_act!G41=0,0,G28/TrRoad_act!G41*1000
)</f>
        <v>512.47418382414492</v>
      </c>
      <c r="H65" s="101">
        <f>IF(TrRoad_act!H41=0,0,H28/TrRoad_act!H41*1000
)</f>
        <v>507.83820055407358</v>
      </c>
      <c r="I65" s="101">
        <f>IF(TrRoad_act!I41=0,0,I28/TrRoad_act!I41*1000
)</f>
        <v>506.42567050249897</v>
      </c>
      <c r="J65" s="101">
        <f>IF(TrRoad_act!J41=0,0,J28/TrRoad_act!J41*1000
)</f>
        <v>502.20633446863769</v>
      </c>
      <c r="K65" s="101">
        <f>IF(TrRoad_act!K41=0,0,K28/TrRoad_act!K41*1000
)</f>
        <v>499.01397934305862</v>
      </c>
      <c r="L65" s="101">
        <f>IF(TrRoad_act!L41=0,0,L28/TrRoad_act!L41*1000
)</f>
        <v>498.83395831796656</v>
      </c>
      <c r="M65" s="101">
        <f>IF(TrRoad_act!M41=0,0,M28/TrRoad_act!M41*1000
)</f>
        <v>495.84090506299123</v>
      </c>
      <c r="N65" s="101">
        <f>IF(TrRoad_act!N41=0,0,N28/TrRoad_act!N41*1000
)</f>
        <v>492.93324379932989</v>
      </c>
      <c r="O65" s="101">
        <f>IF(TrRoad_act!O41=0,0,O28/TrRoad_act!O41*1000
)</f>
        <v>486.22518019961012</v>
      </c>
      <c r="P65" s="101">
        <f>IF(TrRoad_act!P41=0,0,P28/TrRoad_act!P41*1000
)</f>
        <v>485.65349489619609</v>
      </c>
      <c r="Q65" s="101">
        <f>IF(TrRoad_act!Q41=0,0,Q28/TrRoad_act!Q41*1000
)</f>
        <v>482.84413451935228</v>
      </c>
      <c r="R65" s="101">
        <f>IF(TrRoad_act!R41=0,0,R28/TrRoad_act!R41*1000
)</f>
        <v>482.73864168407749</v>
      </c>
      <c r="S65" s="101">
        <f>IF(TrRoad_act!S41=0,0,S28/TrRoad_act!S41*1000
)</f>
        <v>482.46158300390692</v>
      </c>
      <c r="T65" s="101">
        <f>IF(TrRoad_act!T41=0,0,T28/TrRoad_act!T41*1000
)</f>
        <v>482.28331464534779</v>
      </c>
      <c r="U65" s="101">
        <f>IF(TrRoad_act!U41=0,0,U28/TrRoad_act!U41*1000
)</f>
        <v>481.71855184795214</v>
      </c>
      <c r="V65" s="101">
        <f>IF(TrRoad_act!V41=0,0,V28/TrRoad_act!V41*1000
)</f>
        <v>481.71632142474516</v>
      </c>
      <c r="W65" s="101">
        <f>IF(TrRoad_act!W41=0,0,W28/TrRoad_act!W41*1000
)</f>
        <v>481.53562069752928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1653.8977076743738</v>
      </c>
      <c r="C66" s="101">
        <f>IF(TrRoad_act!C42=0,0,C29/TrRoad_act!C42*1000
)</f>
        <v>1588.2096339372997</v>
      </c>
      <c r="D66" s="101">
        <f>IF(TrRoad_act!D42=0,0,D29/TrRoad_act!D42*1000
)</f>
        <v>1597.4595659557067</v>
      </c>
      <c r="E66" s="101">
        <f>IF(TrRoad_act!E42=0,0,E29/TrRoad_act!E42*1000
)</f>
        <v>1626.5477385206336</v>
      </c>
      <c r="F66" s="101">
        <f>IF(TrRoad_act!F42=0,0,F29/TrRoad_act!F42*1000
)</f>
        <v>1610.8587016158046</v>
      </c>
      <c r="G66" s="101">
        <f>IF(TrRoad_act!G42=0,0,G29/TrRoad_act!G42*1000
)</f>
        <v>1618.2629061729162</v>
      </c>
      <c r="H66" s="101">
        <f>IF(TrRoad_act!H42=0,0,H29/TrRoad_act!H42*1000
)</f>
        <v>1634.6572671226672</v>
      </c>
      <c r="I66" s="101">
        <f>IF(TrRoad_act!I42=0,0,I29/TrRoad_act!I42*1000
)</f>
        <v>1680.1673485604049</v>
      </c>
      <c r="J66" s="101">
        <f>IF(TrRoad_act!J42=0,0,J29/TrRoad_act!J42*1000
)</f>
        <v>1692.4129359392623</v>
      </c>
      <c r="K66" s="101">
        <f>IF(TrRoad_act!K42=0,0,K29/TrRoad_act!K42*1000
)</f>
        <v>1750.1509722637481</v>
      </c>
      <c r="L66" s="101">
        <f>IF(TrRoad_act!L42=0,0,L29/TrRoad_act!L42*1000
)</f>
        <v>1748.7424900220642</v>
      </c>
      <c r="M66" s="101">
        <f>IF(TrRoad_act!M42=0,0,M29/TrRoad_act!M42*1000
)</f>
        <v>1730.4588680561571</v>
      </c>
      <c r="N66" s="101">
        <f>IF(TrRoad_act!N42=0,0,N29/TrRoad_act!N42*1000
)</f>
        <v>1715.1019055804195</v>
      </c>
      <c r="O66" s="101">
        <f>IF(TrRoad_act!O42=0,0,O29/TrRoad_act!O42*1000
)</f>
        <v>1734.6124702346629</v>
      </c>
      <c r="P66" s="101">
        <f>IF(TrRoad_act!P42=0,0,P29/TrRoad_act!P42*1000
)</f>
        <v>1717.1693967969918</v>
      </c>
      <c r="Q66" s="101">
        <f>IF(TrRoad_act!Q42=0,0,Q29/TrRoad_act!Q42*1000
)</f>
        <v>1758.7390366751395</v>
      </c>
      <c r="R66" s="101">
        <f>IF(TrRoad_act!R42=0,0,R29/TrRoad_act!R42*1000
)</f>
        <v>1732.1818983442456</v>
      </c>
      <c r="S66" s="101">
        <f>IF(TrRoad_act!S42=0,0,S29/TrRoad_act!S42*1000
)</f>
        <v>1796.6738161606711</v>
      </c>
      <c r="T66" s="101">
        <f>IF(TrRoad_act!T42=0,0,T29/TrRoad_act!T42*1000
)</f>
        <v>1712.0513660868041</v>
      </c>
      <c r="U66" s="101">
        <f>IF(TrRoad_act!U42=0,0,U29/TrRoad_act!U42*1000
)</f>
        <v>1802.4454408144684</v>
      </c>
      <c r="V66" s="101">
        <f>IF(TrRoad_act!V42=0,0,V29/TrRoad_act!V42*1000
)</f>
        <v>1818.5083657759999</v>
      </c>
      <c r="W66" s="101">
        <f>IF(TrRoad_act!W42=0,0,W29/TrRoad_act!W42*1000
)</f>
        <v>1773.032029879691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1163.7345806015844</v>
      </c>
      <c r="J67" s="101">
        <f>IF(TrRoad_act!J43=0,0,J30/TrRoad_act!J43*1000
)</f>
        <v>1163.7345806015844</v>
      </c>
      <c r="K67" s="101">
        <f>IF(TrRoad_act!K43=0,0,K30/TrRoad_act!K43*1000
)</f>
        <v>1163.7345806015846</v>
      </c>
      <c r="L67" s="101">
        <f>IF(TrRoad_act!L43=0,0,L30/TrRoad_act!L43*1000
)</f>
        <v>1163.7345806015846</v>
      </c>
      <c r="M67" s="101">
        <f>IF(TrRoad_act!M43=0,0,M30/TrRoad_act!M43*1000
)</f>
        <v>1187.2987716299176</v>
      </c>
      <c r="N67" s="101">
        <f>IF(TrRoad_act!N43=0,0,N30/TrRoad_act!N43*1000
)</f>
        <v>1187.2987716299176</v>
      </c>
      <c r="O67" s="101">
        <f>IF(TrRoad_act!O43=0,0,O30/TrRoad_act!O43*1000
)</f>
        <v>1224.9800470834862</v>
      </c>
      <c r="P67" s="101">
        <f>IF(TrRoad_act!P43=0,0,P30/TrRoad_act!P43*1000
)</f>
        <v>1228.2770948760804</v>
      </c>
      <c r="Q67" s="101">
        <f>IF(TrRoad_act!Q43=0,0,Q30/TrRoad_act!Q43*1000
)</f>
        <v>1228.2770948760804</v>
      </c>
      <c r="R67" s="101">
        <f>IF(TrRoad_act!R43=0,0,R30/TrRoad_act!R43*1000
)</f>
        <v>1228.2770948760804</v>
      </c>
      <c r="S67" s="101">
        <f>IF(TrRoad_act!S43=0,0,S30/TrRoad_act!S43*1000
)</f>
        <v>1231.9732412345325</v>
      </c>
      <c r="T67" s="101">
        <f>IF(TrRoad_act!T43=0,0,T30/TrRoad_act!T43*1000
)</f>
        <v>1231.9732412345322</v>
      </c>
      <c r="U67" s="101">
        <f>IF(TrRoad_act!U43=0,0,U30/TrRoad_act!U43*1000
)</f>
        <v>1227.463292122638</v>
      </c>
      <c r="V67" s="101">
        <f>IF(TrRoad_act!V43=0,0,V30/TrRoad_act!V43*1000
)</f>
        <v>1213.4048264750095</v>
      </c>
      <c r="W67" s="101">
        <f>IF(TrRoad_act!W43=0,0,W30/TrRoad_act!W43*1000
)</f>
        <v>1213.4048264750095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1750.6221039773802</v>
      </c>
      <c r="L68" s="101">
        <f>IF(TrRoad_act!L44=0,0,L31/TrRoad_act!L44*1000
)</f>
        <v>3075.6868067364949</v>
      </c>
      <c r="M68" s="101">
        <f>IF(TrRoad_act!M44=0,0,M31/TrRoad_act!M44*1000
)</f>
        <v>820.43539844628071</v>
      </c>
      <c r="N68" s="101">
        <f>IF(TrRoad_act!N44=0,0,N31/TrRoad_act!N44*1000
)</f>
        <v>927.90880180792408</v>
      </c>
      <c r="O68" s="101">
        <f>IF(TrRoad_act!O44=0,0,O31/TrRoad_act!O44*1000
)</f>
        <v>941.56313155336193</v>
      </c>
      <c r="P68" s="101">
        <f>IF(TrRoad_act!P44=0,0,P31/TrRoad_act!P44*1000
)</f>
        <v>969.45103045372161</v>
      </c>
      <c r="Q68" s="101">
        <f>IF(TrRoad_act!Q44=0,0,Q31/TrRoad_act!Q44*1000
)</f>
        <v>1000.0449050128526</v>
      </c>
      <c r="R68" s="101">
        <f>IF(TrRoad_act!R44=0,0,R31/TrRoad_act!R44*1000
)</f>
        <v>1097.4936089144526</v>
      </c>
      <c r="S68" s="101">
        <f>IF(TrRoad_act!S44=0,0,S31/TrRoad_act!S44*1000
)</f>
        <v>1099.7557055189786</v>
      </c>
      <c r="T68" s="101">
        <f>IF(TrRoad_act!T44=0,0,T31/TrRoad_act!T44*1000
)</f>
        <v>1100.2171629390632</v>
      </c>
      <c r="U68" s="101">
        <f>IF(TrRoad_act!U44=0,0,U31/TrRoad_act!U44*1000
)</f>
        <v>1100.9442499269546</v>
      </c>
      <c r="V68" s="101">
        <f>IF(TrRoad_act!V44=0,0,V31/TrRoad_act!V44*1000
)</f>
        <v>1106.3745380341436</v>
      </c>
      <c r="W68" s="101">
        <f>IF(TrRoad_act!W44=0,0,W31/TrRoad_act!W44*1000
)</f>
        <v>1107.0986378759758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543.10617605716277</v>
      </c>
      <c r="C70" s="29">
        <f>IF(TrRoad_act!C46=0,0,C33/TrRoad_act!C46*1000
)</f>
        <v>462.5182164413697</v>
      </c>
      <c r="D70" s="29">
        <f>IF(TrRoad_act!D46=0,0,D33/TrRoad_act!D46*1000
)</f>
        <v>533.69894829050918</v>
      </c>
      <c r="E70" s="29">
        <f>IF(TrRoad_act!E46=0,0,E33/TrRoad_act!E46*1000
)</f>
        <v>545.24225006333927</v>
      </c>
      <c r="F70" s="29">
        <f>IF(TrRoad_act!F46=0,0,F33/TrRoad_act!F46*1000
)</f>
        <v>548.52727374091353</v>
      </c>
      <c r="G70" s="29">
        <f>IF(TrRoad_act!G46=0,0,G33/TrRoad_act!G46*1000
)</f>
        <v>537.54108639720516</v>
      </c>
      <c r="H70" s="29">
        <f>IF(TrRoad_act!H46=0,0,H33/TrRoad_act!H46*1000
)</f>
        <v>532.40191407969803</v>
      </c>
      <c r="I70" s="29">
        <f>IF(TrRoad_act!I46=0,0,I33/TrRoad_act!I46*1000
)</f>
        <v>550.5749761458535</v>
      </c>
      <c r="J70" s="29">
        <f>IF(TrRoad_act!J46=0,0,J33/TrRoad_act!J46*1000
)</f>
        <v>546.34655161241653</v>
      </c>
      <c r="K70" s="29">
        <f>IF(TrRoad_act!K46=0,0,K33/TrRoad_act!K46*1000
)</f>
        <v>547.84456953123356</v>
      </c>
      <c r="L70" s="29">
        <f>IF(TrRoad_act!L46=0,0,L33/TrRoad_act!L46*1000
)</f>
        <v>571.7314558617129</v>
      </c>
      <c r="M70" s="29">
        <f>IF(TrRoad_act!M46=0,0,M33/TrRoad_act!M46*1000
)</f>
        <v>551.70845127883661</v>
      </c>
      <c r="N70" s="29">
        <f>IF(TrRoad_act!N46=0,0,N33/TrRoad_act!N46*1000
)</f>
        <v>523.47341173090649</v>
      </c>
      <c r="O70" s="29">
        <f>IF(TrRoad_act!O46=0,0,O33/TrRoad_act!O46*1000
)</f>
        <v>588.03470281692478</v>
      </c>
      <c r="P70" s="29">
        <f>IF(TrRoad_act!P46=0,0,P33/TrRoad_act!P46*1000
)</f>
        <v>538.52960310274716</v>
      </c>
      <c r="Q70" s="29">
        <f>IF(TrRoad_act!Q46=0,0,Q33/TrRoad_act!Q46*1000
)</f>
        <v>512.07648674868801</v>
      </c>
      <c r="R70" s="29">
        <f>IF(TrRoad_act!R46=0,0,R33/TrRoad_act!R46*1000
)</f>
        <v>476.87112308437435</v>
      </c>
      <c r="S70" s="29">
        <f>IF(TrRoad_act!S46=0,0,S33/TrRoad_act!S46*1000
)</f>
        <v>540.90998164046835</v>
      </c>
      <c r="T70" s="29">
        <f>IF(TrRoad_act!T46=0,0,T33/TrRoad_act!T46*1000
)</f>
        <v>472.38709630042234</v>
      </c>
      <c r="U70" s="29">
        <f>IF(TrRoad_act!U46=0,0,U33/TrRoad_act!U46*1000
)</f>
        <v>510.316339705318</v>
      </c>
      <c r="V70" s="29">
        <f>IF(TrRoad_act!V46=0,0,V33/TrRoad_act!V46*1000
)</f>
        <v>487.06504996691513</v>
      </c>
      <c r="W70" s="29">
        <f>IF(TrRoad_act!W46=0,0,W33/TrRoad_act!W46*1000
)</f>
        <v>459.68878617649671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317.12516114917986</v>
      </c>
      <c r="C71" s="152">
        <f>IF(TrRoad_act!C47=0,0,C34/TrRoad_act!C47*1000
)</f>
        <v>285.20872827594275</v>
      </c>
      <c r="D71" s="152">
        <f>IF(TrRoad_act!D47=0,0,D34/TrRoad_act!D47*1000
)</f>
        <v>291.21611576466904</v>
      </c>
      <c r="E71" s="152">
        <f>IF(TrRoad_act!E47=0,0,E34/TrRoad_act!E47*1000
)</f>
        <v>288.89539754304519</v>
      </c>
      <c r="F71" s="152">
        <f>IF(TrRoad_act!F47=0,0,F34/TrRoad_act!F47*1000
)</f>
        <v>285.81668447367588</v>
      </c>
      <c r="G71" s="152">
        <f>IF(TrRoad_act!G47=0,0,G34/TrRoad_act!G47*1000
)</f>
        <v>289.03797549707878</v>
      </c>
      <c r="H71" s="152">
        <f>IF(TrRoad_act!H47=0,0,H34/TrRoad_act!H47*1000
)</f>
        <v>278.60774880180071</v>
      </c>
      <c r="I71" s="152">
        <f>IF(TrRoad_act!I47=0,0,I34/TrRoad_act!I47*1000
)</f>
        <v>277.71114552119701</v>
      </c>
      <c r="J71" s="152">
        <f>IF(TrRoad_act!J47=0,0,J34/TrRoad_act!J47*1000
)</f>
        <v>276.62697129829041</v>
      </c>
      <c r="K71" s="152">
        <f>IF(TrRoad_act!K47=0,0,K34/TrRoad_act!K47*1000
)</f>
        <v>276.07978508822953</v>
      </c>
      <c r="L71" s="152">
        <f>IF(TrRoad_act!L47=0,0,L34/TrRoad_act!L47*1000
)</f>
        <v>276.29040346667909</v>
      </c>
      <c r="M71" s="152">
        <f>IF(TrRoad_act!M47=0,0,M34/TrRoad_act!M47*1000
)</f>
        <v>272.68086709677539</v>
      </c>
      <c r="N71" s="152">
        <f>IF(TrRoad_act!N47=0,0,N34/TrRoad_act!N47*1000
)</f>
        <v>264.91145388081787</v>
      </c>
      <c r="O71" s="152">
        <f>IF(TrRoad_act!O47=0,0,O34/TrRoad_act!O47*1000
)</f>
        <v>261.41636916037504</v>
      </c>
      <c r="P71" s="152">
        <f>IF(TrRoad_act!P47=0,0,P34/TrRoad_act!P47*1000
)</f>
        <v>252.59025595329442</v>
      </c>
      <c r="Q71" s="152">
        <f>IF(TrRoad_act!Q47=0,0,Q34/TrRoad_act!Q47*1000
)</f>
        <v>246.73681129191428</v>
      </c>
      <c r="R71" s="152">
        <f>IF(TrRoad_act!R47=0,0,R34/TrRoad_act!R47*1000
)</f>
        <v>244.1787555706911</v>
      </c>
      <c r="S71" s="152">
        <f>IF(TrRoad_act!S47=0,0,S34/TrRoad_act!S47*1000
)</f>
        <v>252.49045587499296</v>
      </c>
      <c r="T71" s="152">
        <f>IF(TrRoad_act!T47=0,0,T34/TrRoad_act!T47*1000
)</f>
        <v>241.33171222687824</v>
      </c>
      <c r="U71" s="152">
        <f>IF(TrRoad_act!U47=0,0,U34/TrRoad_act!U47*1000
)</f>
        <v>239.30864557019297</v>
      </c>
      <c r="V71" s="152">
        <f>IF(TrRoad_act!V47=0,0,V34/TrRoad_act!V47*1000
)</f>
        <v>236.41209552155112</v>
      </c>
      <c r="W71" s="152">
        <f>IF(TrRoad_act!W47=0,0,W34/TrRoad_act!W47*1000
)</f>
        <v>235.8247590796403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257.29895904824093</v>
      </c>
      <c r="C72" s="87">
        <f>IF(TrRoad_act!C48=0,0,C35/TrRoad_act!C48*1000
)</f>
        <v>251.87871815201223</v>
      </c>
      <c r="D72" s="87">
        <f>IF(TrRoad_act!D48=0,0,D35/TrRoad_act!D48*1000
)</f>
        <v>250.48018476499755</v>
      </c>
      <c r="E72" s="87">
        <f>IF(TrRoad_act!E48=0,0,E35/TrRoad_act!E48*1000
)</f>
        <v>249.22277783019322</v>
      </c>
      <c r="F72" s="87">
        <f>IF(TrRoad_act!F48=0,0,F35/TrRoad_act!F48*1000
)</f>
        <v>248.12632598645081</v>
      </c>
      <c r="G72" s="87">
        <f>IF(TrRoad_act!G48=0,0,G35/TrRoad_act!G48*1000
)</f>
        <v>246.90849742426877</v>
      </c>
      <c r="H72" s="87">
        <f>IF(TrRoad_act!H48=0,0,H35/TrRoad_act!H48*1000
)</f>
        <v>245.16972429970622</v>
      </c>
      <c r="I72" s="87">
        <f>IF(TrRoad_act!I48=0,0,I35/TrRoad_act!I48*1000
)</f>
        <v>241.13771737117702</v>
      </c>
      <c r="J72" s="87">
        <f>IF(TrRoad_act!J48=0,0,J35/TrRoad_act!J48*1000
)</f>
        <v>239.0767107185896</v>
      </c>
      <c r="K72" s="87">
        <f>IF(TrRoad_act!K48=0,0,K35/TrRoad_act!K48*1000
)</f>
        <v>235.77632076747577</v>
      </c>
      <c r="L72" s="87">
        <f>IF(TrRoad_act!L48=0,0,L35/TrRoad_act!L48*1000
)</f>
        <v>234.16942465006053</v>
      </c>
      <c r="M72" s="87">
        <f>IF(TrRoad_act!M48=0,0,M35/TrRoad_act!M48*1000
)</f>
        <v>233.56671679422891</v>
      </c>
      <c r="N72" s="87">
        <f>IF(TrRoad_act!N48=0,0,N35/TrRoad_act!N48*1000
)</f>
        <v>230.58271390087125</v>
      </c>
      <c r="O72" s="87">
        <f>IF(TrRoad_act!O48=0,0,O35/TrRoad_act!O48*1000
)</f>
        <v>230.37953754206839</v>
      </c>
      <c r="P72" s="87">
        <f>IF(TrRoad_act!P48=0,0,P35/TrRoad_act!P48*1000
)</f>
        <v>230.74731476897693</v>
      </c>
      <c r="Q72" s="87">
        <f>IF(TrRoad_act!Q48=0,0,Q35/TrRoad_act!Q48*1000
)</f>
        <v>229.42759557419319</v>
      </c>
      <c r="R72" s="87">
        <f>IF(TrRoad_act!R48=0,0,R35/TrRoad_act!R48*1000
)</f>
        <v>228.14816832400186</v>
      </c>
      <c r="S72" s="87">
        <f>IF(TrRoad_act!S48=0,0,S35/TrRoad_act!S48*1000
)</f>
        <v>228.85849959459668</v>
      </c>
      <c r="T72" s="87">
        <f>IF(TrRoad_act!T48=0,0,T35/TrRoad_act!T48*1000
)</f>
        <v>228.38366427094226</v>
      </c>
      <c r="U72" s="87">
        <f>IF(TrRoad_act!U48=0,0,U35/TrRoad_act!U48*1000
)</f>
        <v>226.3107149964099</v>
      </c>
      <c r="V72" s="87">
        <f>IF(TrRoad_act!V48=0,0,V35/TrRoad_act!V48*1000
)</f>
        <v>224.08733428330726</v>
      </c>
      <c r="W72" s="87">
        <f>IF(TrRoad_act!W48=0,0,W35/TrRoad_act!W48*1000
)</f>
        <v>220.05230848536652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330.92214614012937</v>
      </c>
      <c r="C73" s="87">
        <f>IF(TrRoad_act!C49=0,0,C36/TrRoad_act!C49*1000
)</f>
        <v>292.62585070799815</v>
      </c>
      <c r="D73" s="87">
        <f>IF(TrRoad_act!D49=0,0,D36/TrRoad_act!D49*1000
)</f>
        <v>299.09462597473754</v>
      </c>
      <c r="E73" s="87">
        <f>IF(TrRoad_act!E49=0,0,E36/TrRoad_act!E49*1000
)</f>
        <v>295.40040183867563</v>
      </c>
      <c r="F73" s="87">
        <f>IF(TrRoad_act!F49=0,0,F36/TrRoad_act!F49*1000
)</f>
        <v>291.04249961654631</v>
      </c>
      <c r="G73" s="87">
        <f>IF(TrRoad_act!G49=0,0,G36/TrRoad_act!G49*1000
)</f>
        <v>294.06922258805071</v>
      </c>
      <c r="H73" s="87">
        <f>IF(TrRoad_act!H49=0,0,H36/TrRoad_act!H49*1000
)</f>
        <v>282.20703604148304</v>
      </c>
      <c r="I73" s="87">
        <f>IF(TrRoad_act!I49=0,0,I36/TrRoad_act!I49*1000
)</f>
        <v>280.94320118397673</v>
      </c>
      <c r="J73" s="87">
        <f>IF(TrRoad_act!J49=0,0,J36/TrRoad_act!J49*1000
)</f>
        <v>279.93424434889693</v>
      </c>
      <c r="K73" s="87">
        <f>IF(TrRoad_act!K49=0,0,K36/TrRoad_act!K49*1000
)</f>
        <v>279.39073571673867</v>
      </c>
      <c r="L73" s="87">
        <f>IF(TrRoad_act!L49=0,0,L36/TrRoad_act!L49*1000
)</f>
        <v>279.54908242109241</v>
      </c>
      <c r="M73" s="87">
        <f>IF(TrRoad_act!M49=0,0,M36/TrRoad_act!M49*1000
)</f>
        <v>275.55082665741014</v>
      </c>
      <c r="N73" s="87">
        <f>IF(TrRoad_act!N49=0,0,N36/TrRoad_act!N49*1000
)</f>
        <v>266.9659302320174</v>
      </c>
      <c r="O73" s="87">
        <f>IF(TrRoad_act!O49=0,0,O36/TrRoad_act!O49*1000
)</f>
        <v>263.28456447378329</v>
      </c>
      <c r="P73" s="87">
        <f>IF(TrRoad_act!P49=0,0,P36/TrRoad_act!P49*1000
)</f>
        <v>254.01300492886469</v>
      </c>
      <c r="Q73" s="87">
        <f>IF(TrRoad_act!Q49=0,0,Q36/TrRoad_act!Q49*1000
)</f>
        <v>247.81853827711697</v>
      </c>
      <c r="R73" s="87">
        <f>IF(TrRoad_act!R49=0,0,R36/TrRoad_act!R49*1000
)</f>
        <v>245.19347404147601</v>
      </c>
      <c r="S73" s="87">
        <f>IF(TrRoad_act!S49=0,0,S36/TrRoad_act!S49*1000
)</f>
        <v>253.78045907561892</v>
      </c>
      <c r="T73" s="87">
        <f>IF(TrRoad_act!T49=0,0,T36/TrRoad_act!T49*1000
)</f>
        <v>242.17418015710234</v>
      </c>
      <c r="U73" s="87">
        <f>IF(TrRoad_act!U49=0,0,U36/TrRoad_act!U49*1000
)</f>
        <v>240.10864915574498</v>
      </c>
      <c r="V73" s="87">
        <f>IF(TrRoad_act!V49=0,0,V36/TrRoad_act!V49*1000
)</f>
        <v>237.25089239966348</v>
      </c>
      <c r="W73" s="87">
        <f>IF(TrRoad_act!W49=0,0,W36/TrRoad_act!W49*1000
)</f>
        <v>236.71171928983017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176.45058695608995</v>
      </c>
      <c r="J74" s="87">
        <f>IF(TrRoad_act!J50=0,0,J37/TrRoad_act!J50*1000
)</f>
        <v>172.46275930207253</v>
      </c>
      <c r="K74" s="87">
        <f>IF(TrRoad_act!K50=0,0,K37/TrRoad_act!K50*1000
)</f>
        <v>171.76570910913992</v>
      </c>
      <c r="L74" s="87">
        <f>IF(TrRoad_act!L50=0,0,L37/TrRoad_act!L50*1000
)</f>
        <v>171.03597176003026</v>
      </c>
      <c r="M74" s="87">
        <f>IF(TrRoad_act!M50=0,0,M37/TrRoad_act!M50*1000
)</f>
        <v>170.73811762757433</v>
      </c>
      <c r="N74" s="87">
        <f>IF(TrRoad_act!N50=0,0,N37/TrRoad_act!N50*1000
)</f>
        <v>170.62834559316923</v>
      </c>
      <c r="O74" s="87">
        <f>IF(TrRoad_act!O50=0,0,O37/TrRoad_act!O50*1000
)</f>
        <v>169.55622151293483</v>
      </c>
      <c r="P74" s="87">
        <f>IF(TrRoad_act!P50=0,0,P37/TrRoad_act!P50*1000
)</f>
        <v>168.98326316772898</v>
      </c>
      <c r="Q74" s="87">
        <f>IF(TrRoad_act!Q50=0,0,Q37/TrRoad_act!Q50*1000
)</f>
        <v>168.77040610080567</v>
      </c>
      <c r="R74" s="87">
        <f>IF(TrRoad_act!R50=0,0,R37/TrRoad_act!R50*1000
)</f>
        <v>167.77740010176908</v>
      </c>
      <c r="S74" s="87">
        <f>IF(TrRoad_act!S50=0,0,S37/TrRoad_act!S50*1000
)</f>
        <v>174.62093496807398</v>
      </c>
      <c r="T74" s="87">
        <f>IF(TrRoad_act!T50=0,0,T37/TrRoad_act!T50*1000
)</f>
        <v>177.2824477371143</v>
      </c>
      <c r="U74" s="87">
        <f>IF(TrRoad_act!U50=0,0,U37/TrRoad_act!U50*1000
)</f>
        <v>178.30321263291063</v>
      </c>
      <c r="V74" s="87">
        <f>IF(TrRoad_act!V50=0,0,V37/TrRoad_act!V50*1000
)</f>
        <v>180.71354796732732</v>
      </c>
      <c r="W74" s="87">
        <f>IF(TrRoad_act!W50=0,0,W37/TrRoad_act!W50*1000
)</f>
        <v>185.47050401102942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212.14194454150197</v>
      </c>
      <c r="L75" s="87">
        <f>IF(TrRoad_act!L51=0,0,L38/TrRoad_act!L51*1000
)</f>
        <v>211.89097673957434</v>
      </c>
      <c r="M75" s="87">
        <f>IF(TrRoad_act!M51=0,0,M38/TrRoad_act!M51*1000
)</f>
        <v>211.70465450877705</v>
      </c>
      <c r="N75" s="87">
        <f>IF(TrRoad_act!N51=0,0,N38/TrRoad_act!N51*1000
)</f>
        <v>208.92992680102512</v>
      </c>
      <c r="O75" s="87">
        <f>IF(TrRoad_act!O51=0,0,O38/TrRoad_act!O51*1000
)</f>
        <v>208.92992680102506</v>
      </c>
      <c r="P75" s="87">
        <f>IF(TrRoad_act!P51=0,0,P38/TrRoad_act!P51*1000
)</f>
        <v>208.55459572630849</v>
      </c>
      <c r="Q75" s="87">
        <f>IF(TrRoad_act!Q51=0,0,Q38/TrRoad_act!Q51*1000
)</f>
        <v>207.78332863667583</v>
      </c>
      <c r="R75" s="87">
        <f>IF(TrRoad_act!R51=0,0,R38/TrRoad_act!R51*1000
)</f>
        <v>204.85483947881383</v>
      </c>
      <c r="S75" s="87">
        <f>IF(TrRoad_act!S51=0,0,S38/TrRoad_act!S51*1000
)</f>
        <v>211.45062770994963</v>
      </c>
      <c r="T75" s="87">
        <f>IF(TrRoad_act!T51=0,0,T38/TrRoad_act!T51*1000
)</f>
        <v>210.8076495230259</v>
      </c>
      <c r="U75" s="87">
        <f>IF(TrRoad_act!U51=0,0,U38/TrRoad_act!U51*1000
)</f>
        <v>210.72855035542733</v>
      </c>
      <c r="V75" s="87">
        <f>IF(TrRoad_act!V51=0,0,V38/TrRoad_act!V51*1000
)</f>
        <v>209.56914703488005</v>
      </c>
      <c r="W75" s="87">
        <f>IF(TrRoad_act!W51=0,0,W38/TrRoad_act!W51*1000
)</f>
        <v>212.22195115838042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891.75352542081498</v>
      </c>
      <c r="C77" s="116">
        <f>IF(TrRoad_act!C53=0,0,C40/TrRoad_act!C53*1000
)</f>
        <v>726.1943286432105</v>
      </c>
      <c r="D77" s="116">
        <f>IF(TrRoad_act!D53=0,0,D40/TrRoad_act!D53*1000
)</f>
        <v>869.10411131287867</v>
      </c>
      <c r="E77" s="116">
        <f>IF(TrRoad_act!E53=0,0,E40/TrRoad_act!E53*1000
)</f>
        <v>899.46972775629524</v>
      </c>
      <c r="F77" s="116">
        <f>IF(TrRoad_act!F53=0,0,F40/TrRoad_act!F53*1000
)</f>
        <v>903.62799602296013</v>
      </c>
      <c r="G77" s="116">
        <f>IF(TrRoad_act!G53=0,0,G40/TrRoad_act!G53*1000
)</f>
        <v>894.31849301584407</v>
      </c>
      <c r="H77" s="116">
        <f>IF(TrRoad_act!H53=0,0,H40/TrRoad_act!H53*1000
)</f>
        <v>899.84812020156653</v>
      </c>
      <c r="I77" s="116">
        <f>IF(TrRoad_act!I53=0,0,I40/TrRoad_act!I53*1000
)</f>
        <v>938.68315215594657</v>
      </c>
      <c r="J77" s="116">
        <f>IF(TrRoad_act!J53=0,0,J40/TrRoad_act!J53*1000
)</f>
        <v>964.29989861799697</v>
      </c>
      <c r="K77" s="116">
        <f>IF(TrRoad_act!K53=0,0,K40/TrRoad_act!K53*1000
)</f>
        <v>1025.7363583198094</v>
      </c>
      <c r="L77" s="116">
        <f>IF(TrRoad_act!L53=0,0,L40/TrRoad_act!L53*1000
)</f>
        <v>1079.9187827911283</v>
      </c>
      <c r="M77" s="116">
        <f>IF(TrRoad_act!M53=0,0,M40/TrRoad_act!M53*1000
)</f>
        <v>1035.5821753373054</v>
      </c>
      <c r="N77" s="116">
        <f>IF(TrRoad_act!N53=0,0,N40/TrRoad_act!N53*1000
)</f>
        <v>971.7660961798955</v>
      </c>
      <c r="O77" s="116">
        <f>IF(TrRoad_act!O53=0,0,O40/TrRoad_act!O53*1000
)</f>
        <v>1142.9659294616847</v>
      </c>
      <c r="P77" s="116">
        <f>IF(TrRoad_act!P53=0,0,P40/TrRoad_act!P53*1000
)</f>
        <v>1035.5911142830823</v>
      </c>
      <c r="Q77" s="116">
        <f>IF(TrRoad_act!Q53=0,0,Q40/TrRoad_act!Q53*1000
)</f>
        <v>1016.037218339939</v>
      </c>
      <c r="R77" s="116">
        <f>IF(TrRoad_act!R53=0,0,R40/TrRoad_act!R53*1000
)</f>
        <v>937.2896836667968</v>
      </c>
      <c r="S77" s="116">
        <f>IF(TrRoad_act!S53=0,0,S40/TrRoad_act!S53*1000
)</f>
        <v>1108.3349628751466</v>
      </c>
      <c r="T77" s="116">
        <f>IF(TrRoad_act!T53=0,0,T40/TrRoad_act!T53*1000
)</f>
        <v>984.55643941613016</v>
      </c>
      <c r="U77" s="116">
        <f>IF(TrRoad_act!U53=0,0,U40/TrRoad_act!U53*1000
)</f>
        <v>1175.0011775596945</v>
      </c>
      <c r="V77" s="116">
        <f>IF(TrRoad_act!V53=0,0,V40/TrRoad_act!V53*1000
)</f>
        <v>1107.0806452982897</v>
      </c>
      <c r="W77" s="116">
        <f>IF(TrRoad_act!W53=0,0,W40/TrRoad_act!W53*1000
)</f>
        <v>1044.5571567609254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996.65058262835987</v>
      </c>
      <c r="C78" s="101">
        <f>IF(TrRoad_act!C54=0,0,C41/TrRoad_act!C54*1000
)</f>
        <v>942.77706104416677</v>
      </c>
      <c r="D78" s="101">
        <f>IF(TrRoad_act!D54=0,0,D41/TrRoad_act!D54*1000
)</f>
        <v>982.40122681164348</v>
      </c>
      <c r="E78" s="101">
        <f>IF(TrRoad_act!E54=0,0,E41/TrRoad_act!E54*1000
)</f>
        <v>989.84950632895232</v>
      </c>
      <c r="F78" s="101">
        <f>IF(TrRoad_act!F54=0,0,F41/TrRoad_act!F54*1000
)</f>
        <v>989.71107178170598</v>
      </c>
      <c r="G78" s="101">
        <f>IF(TrRoad_act!G54=0,0,G41/TrRoad_act!G54*1000
)</f>
        <v>986.03614057736377</v>
      </c>
      <c r="H78" s="101">
        <f>IF(TrRoad_act!H54=0,0,H41/TrRoad_act!H54*1000
)</f>
        <v>985.83964774866467</v>
      </c>
      <c r="I78" s="101">
        <f>IF(TrRoad_act!I54=0,0,I41/TrRoad_act!I54*1000
)</f>
        <v>993.63421932903623</v>
      </c>
      <c r="J78" s="101">
        <f>IF(TrRoad_act!J54=0,0,J41/TrRoad_act!J54*1000
)</f>
        <v>1003.3369199092861</v>
      </c>
      <c r="K78" s="101">
        <f>IF(TrRoad_act!K54=0,0,K41/TrRoad_act!K54*1000
)</f>
        <v>1014.9761586006199</v>
      </c>
      <c r="L78" s="101">
        <f>IF(TrRoad_act!L54=0,0,L41/TrRoad_act!L54*1000
)</f>
        <v>1031.854745746358</v>
      </c>
      <c r="M78" s="101">
        <f>IF(TrRoad_act!M54=0,0,M41/TrRoad_act!M54*1000
)</f>
        <v>1017.6590704887416</v>
      </c>
      <c r="N78" s="101">
        <f>IF(TrRoad_act!N54=0,0,N41/TrRoad_act!N54*1000
)</f>
        <v>976.04892667836452</v>
      </c>
      <c r="O78" s="101">
        <f>IF(TrRoad_act!O54=0,0,O41/TrRoad_act!O54*1000
)</f>
        <v>1024.7596857321889</v>
      </c>
      <c r="P78" s="101">
        <f>IF(TrRoad_act!P54=0,0,P41/TrRoad_act!P54*1000
)</f>
        <v>989.7871997833189</v>
      </c>
      <c r="Q78" s="101">
        <f>IF(TrRoad_act!Q54=0,0,Q41/TrRoad_act!Q54*1000
)</f>
        <v>981.32735626390081</v>
      </c>
      <c r="R78" s="101">
        <f>IF(TrRoad_act!R54=0,0,R41/TrRoad_act!R54*1000
)</f>
        <v>966.97523772042393</v>
      </c>
      <c r="S78" s="101">
        <f>IF(TrRoad_act!S54=0,0,S41/TrRoad_act!S54*1000
)</f>
        <v>1007.7848826046035</v>
      </c>
      <c r="T78" s="101">
        <f>IF(TrRoad_act!T54=0,0,T41/TrRoad_act!T54*1000
)</f>
        <v>951.60239686403929</v>
      </c>
      <c r="U78" s="101">
        <f>IF(TrRoad_act!U54=0,0,U41/TrRoad_act!U54*1000
)</f>
        <v>984.47564907661695</v>
      </c>
      <c r="V78" s="101">
        <f>IF(TrRoad_act!V54=0,0,V41/TrRoad_act!V54*1000
)</f>
        <v>954.41506494288376</v>
      </c>
      <c r="W78" s="101">
        <f>IF(TrRoad_act!W54=0,0,W41/TrRoad_act!W54*1000
)</f>
        <v>922.49663950585318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827.02908107273834</v>
      </c>
      <c r="C79" s="88">
        <f>IF(TrRoad_act!C55=0,0,C42/TrRoad_act!C55*1000
)</f>
        <v>517.76679533452</v>
      </c>
      <c r="D79" s="88">
        <f>IF(TrRoad_act!D55=0,0,D42/TrRoad_act!D55*1000
)</f>
        <v>731.48569402730857</v>
      </c>
      <c r="E79" s="88">
        <f>IF(TrRoad_act!E55=0,0,E42/TrRoad_act!E55*1000
)</f>
        <v>772.82716315929929</v>
      </c>
      <c r="F79" s="88">
        <f>IF(TrRoad_act!F55=0,0,F42/TrRoad_act!F55*1000
)</f>
        <v>795.45169064435686</v>
      </c>
      <c r="G79" s="88">
        <f>IF(TrRoad_act!G55=0,0,G42/TrRoad_act!G55*1000
)</f>
        <v>782.6332837057289</v>
      </c>
      <c r="H79" s="88">
        <f>IF(TrRoad_act!H55=0,0,H42/TrRoad_act!H55*1000
)</f>
        <v>761.95931026204926</v>
      </c>
      <c r="I79" s="88">
        <f>IF(TrRoad_act!I55=0,0,I42/TrRoad_act!I55*1000
)</f>
        <v>857.44506037009273</v>
      </c>
      <c r="J79" s="88">
        <f>IF(TrRoad_act!J55=0,0,J42/TrRoad_act!J55*1000
)</f>
        <v>866.3007145683124</v>
      </c>
      <c r="K79" s="88">
        <f>IF(TrRoad_act!K55=0,0,K42/TrRoad_act!K55*1000
)</f>
        <v>1051.9874220704089</v>
      </c>
      <c r="L79" s="88">
        <f>IF(TrRoad_act!L55=0,0,L42/TrRoad_act!L55*1000
)</f>
        <v>1194.0669531196374</v>
      </c>
      <c r="M79" s="88">
        <f>IF(TrRoad_act!M55=0,0,M42/TrRoad_act!M55*1000
)</f>
        <v>1077.9041948187512</v>
      </c>
      <c r="N79" s="88">
        <f>IF(TrRoad_act!N55=0,0,N42/TrRoad_act!N55*1000
)</f>
        <v>962.11219355101423</v>
      </c>
      <c r="O79" s="88">
        <f>IF(TrRoad_act!O55=0,0,O42/TrRoad_act!O55*1000
)</f>
        <v>1401.4266298674004</v>
      </c>
      <c r="P79" s="88">
        <f>IF(TrRoad_act!P55=0,0,P42/TrRoad_act!P55*1000
)</f>
        <v>1123.4157192521479</v>
      </c>
      <c r="Q79" s="88">
        <f>IF(TrRoad_act!Q55=0,0,Q42/TrRoad_act!Q55*1000
)</f>
        <v>1074.2873565176367</v>
      </c>
      <c r="R79" s="88">
        <f>IF(TrRoad_act!R55=0,0,R42/TrRoad_act!R55*1000
)</f>
        <v>888.11987595800656</v>
      </c>
      <c r="S79" s="88">
        <f>IF(TrRoad_act!S55=0,0,S42/TrRoad_act!S55*1000
)</f>
        <v>1251.1899313292129</v>
      </c>
      <c r="T79" s="88">
        <f>IF(TrRoad_act!T55=0,0,T42/TrRoad_act!T55*1000
)</f>
        <v>1031.0648862585092</v>
      </c>
      <c r="U79" s="88">
        <f>IF(TrRoad_act!U55=0,0,U42/TrRoad_act!U55*1000
)</f>
        <v>1479.9828096610975</v>
      </c>
      <c r="V79" s="88">
        <f>IF(TrRoad_act!V55=0,0,V42/TrRoad_act!V55*1000
)</f>
        <v>1348.5364330889618</v>
      </c>
      <c r="W79" s="88">
        <f>IF(TrRoad_act!W55=0,0,W42/TrRoad_act!W55*1000
)</f>
        <v>1271.5436534864957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147.23010383728035</v>
      </c>
      <c r="C82" s="29">
        <f>IF(TrRoad_act!C4=0,0,C18/TrRoad_act!C4*1000)</f>
        <v>140.15262485375089</v>
      </c>
      <c r="D82" s="29">
        <f>IF(TrRoad_act!D4=0,0,D18/TrRoad_act!D4*1000)</f>
        <v>136.18922868546207</v>
      </c>
      <c r="E82" s="29">
        <f>IF(TrRoad_act!E4=0,0,E18/TrRoad_act!E4*1000)</f>
        <v>142.70214992353664</v>
      </c>
      <c r="F82" s="29">
        <f>IF(TrRoad_act!F4=0,0,F18/TrRoad_act!F4*1000)</f>
        <v>140.4059679533471</v>
      </c>
      <c r="G82" s="29">
        <f>IF(TrRoad_act!G4=0,0,G18/TrRoad_act!G4*1000)</f>
        <v>143.10374886065298</v>
      </c>
      <c r="H82" s="29">
        <f>IF(TrRoad_act!H4=0,0,H18/TrRoad_act!H4*1000)</f>
        <v>146.22007505035367</v>
      </c>
      <c r="I82" s="29">
        <f>IF(TrRoad_act!I4=0,0,I18/TrRoad_act!I4*1000)</f>
        <v>153.14275673717614</v>
      </c>
      <c r="J82" s="29">
        <f>IF(TrRoad_act!J4=0,0,J18/TrRoad_act!J4*1000)</f>
        <v>144.15344640831066</v>
      </c>
      <c r="K82" s="29">
        <f>IF(TrRoad_act!K4=0,0,K18/TrRoad_act!K4*1000)</f>
        <v>150.50887224771679</v>
      </c>
      <c r="L82" s="29">
        <f>IF(TrRoad_act!L4=0,0,L18/TrRoad_act!L4*1000)</f>
        <v>150.9143596411422</v>
      </c>
      <c r="M82" s="29">
        <f>IF(TrRoad_act!M4=0,0,M18/TrRoad_act!M4*1000)</f>
        <v>151.4806689619752</v>
      </c>
      <c r="N82" s="29">
        <f>IF(TrRoad_act!N4=0,0,N18/TrRoad_act!N4*1000)</f>
        <v>143.86620236823339</v>
      </c>
      <c r="O82" s="29">
        <f>IF(TrRoad_act!O4=0,0,O18/TrRoad_act!O4*1000)</f>
        <v>140.4071377213956</v>
      </c>
      <c r="P82" s="29">
        <f>IF(TrRoad_act!P4=0,0,P18/TrRoad_act!P4*1000)</f>
        <v>142.06443468051782</v>
      </c>
      <c r="Q82" s="29">
        <f>IF(TrRoad_act!Q4=0,0,Q18/TrRoad_act!Q4*1000)</f>
        <v>150.00846523055037</v>
      </c>
      <c r="R82" s="29">
        <f>IF(TrRoad_act!R4=0,0,R18/TrRoad_act!R4*1000)</f>
        <v>156.77762416543419</v>
      </c>
      <c r="S82" s="29">
        <f>IF(TrRoad_act!S4=0,0,S18/TrRoad_act!S4*1000)</f>
        <v>160.23463659432656</v>
      </c>
      <c r="T82" s="29">
        <f>IF(TrRoad_act!T4=0,0,T18/TrRoad_act!T4*1000)</f>
        <v>160.08859656313876</v>
      </c>
      <c r="U82" s="29">
        <f>IF(TrRoad_act!U4=0,0,U18/TrRoad_act!U4*1000)</f>
        <v>160.3321193438498</v>
      </c>
      <c r="V82" s="29">
        <f>IF(TrRoad_act!V4=0,0,V18/TrRoad_act!V4*1000)</f>
        <v>178.49701832711963</v>
      </c>
      <c r="W82" s="29">
        <f>IF(TrRoad_act!W4=0,0,W18/TrRoad_act!W4*1000)</f>
        <v>171.77513073580425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100.33076387195126</v>
      </c>
      <c r="C83" s="152">
        <f>IF(TrRoad_act!C5=0,0,C19/TrRoad_act!C5*1000)</f>
        <v>100.12659987506585</v>
      </c>
      <c r="D83" s="152">
        <f>IF(TrRoad_act!D5=0,0,D19/TrRoad_act!D5*1000)</f>
        <v>98.774449084930936</v>
      </c>
      <c r="E83" s="152">
        <f>IF(TrRoad_act!E5=0,0,E19/TrRoad_act!E5*1000)</f>
        <v>95.602287665823425</v>
      </c>
      <c r="F83" s="152">
        <f>IF(TrRoad_act!F5=0,0,F19/TrRoad_act!F5*1000)</f>
        <v>93.236470363409026</v>
      </c>
      <c r="G83" s="152">
        <f>IF(TrRoad_act!G5=0,0,G19/TrRoad_act!G5*1000)</f>
        <v>91.089987328876305</v>
      </c>
      <c r="H83" s="152">
        <f>IF(TrRoad_act!H5=0,0,H19/TrRoad_act!H5*1000)</f>
        <v>89.377882810871597</v>
      </c>
      <c r="I83" s="152">
        <f>IF(TrRoad_act!I5=0,0,I19/TrRoad_act!I5*1000)</f>
        <v>88.317410030081462</v>
      </c>
      <c r="J83" s="152">
        <f>IF(TrRoad_act!J5=0,0,J19/TrRoad_act!J5*1000)</f>
        <v>87.445522682160302</v>
      </c>
      <c r="K83" s="152">
        <f>IF(TrRoad_act!K5=0,0,K19/TrRoad_act!K5*1000)</f>
        <v>86.538000028472723</v>
      </c>
      <c r="L83" s="152">
        <f>IF(TrRoad_act!L5=0,0,L19/TrRoad_act!L5*1000)</f>
        <v>86.510872465229838</v>
      </c>
      <c r="M83" s="152">
        <f>IF(TrRoad_act!M5=0,0,M19/TrRoad_act!M5*1000)</f>
        <v>85.90594711791249</v>
      </c>
      <c r="N83" s="152">
        <f>IF(TrRoad_act!N5=0,0,N19/TrRoad_act!N5*1000)</f>
        <v>86.235135877233887</v>
      </c>
      <c r="O83" s="152">
        <f>IF(TrRoad_act!O5=0,0,O19/TrRoad_act!O5*1000)</f>
        <v>85.651543725239975</v>
      </c>
      <c r="P83" s="152">
        <f>IF(TrRoad_act!P5=0,0,P19/TrRoad_act!P5*1000)</f>
        <v>84.964647758044649</v>
      </c>
      <c r="Q83" s="152">
        <f>IF(TrRoad_act!Q5=0,0,Q19/TrRoad_act!Q5*1000)</f>
        <v>84.743484919237162</v>
      </c>
      <c r="R83" s="152">
        <f>IF(TrRoad_act!R5=0,0,R19/TrRoad_act!R5*1000)</f>
        <v>84.374550832353052</v>
      </c>
      <c r="S83" s="152">
        <f>IF(TrRoad_act!S5=0,0,S19/TrRoad_act!S5*1000)</f>
        <v>84.429141272123744</v>
      </c>
      <c r="T83" s="152">
        <f>IF(TrRoad_act!T5=0,0,T19/TrRoad_act!T5*1000)</f>
        <v>83.85439191898665</v>
      </c>
      <c r="U83" s="152">
        <f>IF(TrRoad_act!U5=0,0,U19/TrRoad_act!U5*1000)</f>
        <v>83.557677687496977</v>
      </c>
      <c r="V83" s="152">
        <f>IF(TrRoad_act!V5=0,0,V19/TrRoad_act!V5*1000)</f>
        <v>83.652425351516371</v>
      </c>
      <c r="W83" s="152">
        <f>IF(TrRoad_act!W5=0,0,W19/TrRoad_act!W5*1000)</f>
        <v>80.225740929465189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144.69754361512264</v>
      </c>
      <c r="C84" s="116">
        <f>IF(TrRoad_act!C6=0,0,C20/TrRoad_act!C6*1000)</f>
        <v>138.42568756077489</v>
      </c>
      <c r="D84" s="116">
        <f>IF(TrRoad_act!D6=0,0,D20/TrRoad_act!D6*1000)</f>
        <v>134.66244469695164</v>
      </c>
      <c r="E84" s="116">
        <f>IF(TrRoad_act!E6=0,0,E20/TrRoad_act!E6*1000)</f>
        <v>143.26344760638963</v>
      </c>
      <c r="F84" s="116">
        <f>IF(TrRoad_act!F6=0,0,F20/TrRoad_act!F6*1000)</f>
        <v>139.24204453934232</v>
      </c>
      <c r="G84" s="116">
        <f>IF(TrRoad_act!G6=0,0,G20/TrRoad_act!G6*1000)</f>
        <v>142.78891042463241</v>
      </c>
      <c r="H84" s="116">
        <f>IF(TrRoad_act!H6=0,0,H20/TrRoad_act!H6*1000)</f>
        <v>147.34112032389137</v>
      </c>
      <c r="I84" s="116">
        <f>IF(TrRoad_act!I6=0,0,I20/TrRoad_act!I6*1000)</f>
        <v>156.25272997636458</v>
      </c>
      <c r="J84" s="116">
        <f>IF(TrRoad_act!J6=0,0,J20/TrRoad_act!J6*1000)</f>
        <v>147.44072116266335</v>
      </c>
      <c r="K84" s="116">
        <f>IF(TrRoad_act!K6=0,0,K20/TrRoad_act!K6*1000)</f>
        <v>150.79653096519232</v>
      </c>
      <c r="L84" s="116">
        <f>IF(TrRoad_act!L6=0,0,L20/TrRoad_act!L6*1000)</f>
        <v>150.1378646581305</v>
      </c>
      <c r="M84" s="116">
        <f>IF(TrRoad_act!M6=0,0,M20/TrRoad_act!M6*1000)</f>
        <v>151.01729420661664</v>
      </c>
      <c r="N84" s="116">
        <f>IF(TrRoad_act!N6=0,0,N20/TrRoad_act!N6*1000)</f>
        <v>143.92859793641904</v>
      </c>
      <c r="O84" s="116">
        <f>IF(TrRoad_act!O6=0,0,O20/TrRoad_act!O6*1000)</f>
        <v>141.1823842990797</v>
      </c>
      <c r="P84" s="116">
        <f>IF(TrRoad_act!P6=0,0,P20/TrRoad_act!P6*1000)</f>
        <v>143.6090838516474</v>
      </c>
      <c r="Q84" s="116">
        <f>IF(TrRoad_act!Q6=0,0,Q20/TrRoad_act!Q6*1000)</f>
        <v>149.87123315260115</v>
      </c>
      <c r="R84" s="116">
        <f>IF(TrRoad_act!R6=0,0,R20/TrRoad_act!R6*1000)</f>
        <v>158.8559148395361</v>
      </c>
      <c r="S84" s="116">
        <f>IF(TrRoad_act!S6=0,0,S20/TrRoad_act!S6*1000)</f>
        <v>163.77279070009928</v>
      </c>
      <c r="T84" s="116">
        <f>IF(TrRoad_act!T6=0,0,T20/TrRoad_act!T6*1000)</f>
        <v>161.79005569413235</v>
      </c>
      <c r="U84" s="116">
        <f>IF(TrRoad_act!U6=0,0,U20/TrRoad_act!U6*1000)</f>
        <v>167.27407505066682</v>
      </c>
      <c r="V84" s="116">
        <f>IF(TrRoad_act!V6=0,0,V20/TrRoad_act!V6*1000)</f>
        <v>180.55105697895732</v>
      </c>
      <c r="W84" s="116">
        <f>IF(TrRoad_act!W6=0,0,W20/TrRoad_act!W6*1000)</f>
        <v>173.77833320209334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149.00416816805077</v>
      </c>
      <c r="C85" s="87">
        <f>IF(TrRoad_act!C7=0,0,C21/TrRoad_act!C7*1000)</f>
        <v>138.51050307650669</v>
      </c>
      <c r="D85" s="87">
        <f>IF(TrRoad_act!D7=0,0,D21/TrRoad_act!D7*1000)</f>
        <v>137.90887218636067</v>
      </c>
      <c r="E85" s="87">
        <f>IF(TrRoad_act!E7=0,0,E21/TrRoad_act!E7*1000)</f>
        <v>147.62141208585675</v>
      </c>
      <c r="F85" s="87">
        <f>IF(TrRoad_act!F7=0,0,F21/TrRoad_act!F7*1000)</f>
        <v>144.29364096798258</v>
      </c>
      <c r="G85" s="87">
        <f>IF(TrRoad_act!G7=0,0,G21/TrRoad_act!G7*1000)</f>
        <v>148.90404486370161</v>
      </c>
      <c r="H85" s="87">
        <f>IF(TrRoad_act!H7=0,0,H21/TrRoad_act!H7*1000)</f>
        <v>156.71783540171194</v>
      </c>
      <c r="I85" s="87">
        <f>IF(TrRoad_act!I7=0,0,I21/TrRoad_act!I7*1000)</f>
        <v>166.21643656709156</v>
      </c>
      <c r="J85" s="87">
        <f>IF(TrRoad_act!J7=0,0,J21/TrRoad_act!J7*1000)</f>
        <v>142.54294044724588</v>
      </c>
      <c r="K85" s="87">
        <f>IF(TrRoad_act!K7=0,0,K21/TrRoad_act!K7*1000)</f>
        <v>144.30917207992064</v>
      </c>
      <c r="L85" s="87">
        <f>IF(TrRoad_act!L7=0,0,L21/TrRoad_act!L7*1000)</f>
        <v>142.30054460026449</v>
      </c>
      <c r="M85" s="87">
        <f>IF(TrRoad_act!M7=0,0,M21/TrRoad_act!M7*1000)</f>
        <v>145.33580903924536</v>
      </c>
      <c r="N85" s="87">
        <f>IF(TrRoad_act!N7=0,0,N21/TrRoad_act!N7*1000)</f>
        <v>135.37531353469825</v>
      </c>
      <c r="O85" s="87">
        <f>IF(TrRoad_act!O7=0,0,O21/TrRoad_act!O7*1000)</f>
        <v>137.45796025286077</v>
      </c>
      <c r="P85" s="87">
        <f>IF(TrRoad_act!P7=0,0,P21/TrRoad_act!P7*1000)</f>
        <v>141.64257640598896</v>
      </c>
      <c r="Q85" s="87">
        <f>IF(TrRoad_act!Q7=0,0,Q21/TrRoad_act!Q7*1000)</f>
        <v>144.30332606482676</v>
      </c>
      <c r="R85" s="87">
        <f>IF(TrRoad_act!R7=0,0,R21/TrRoad_act!R7*1000)</f>
        <v>155.61717225052749</v>
      </c>
      <c r="S85" s="87">
        <f>IF(TrRoad_act!S7=0,0,S21/TrRoad_act!S7*1000)</f>
        <v>154.90765808864526</v>
      </c>
      <c r="T85" s="87">
        <f>IF(TrRoad_act!T7=0,0,T21/TrRoad_act!T7*1000)</f>
        <v>155.25931304526975</v>
      </c>
      <c r="U85" s="87">
        <f>IF(TrRoad_act!U7=0,0,U21/TrRoad_act!U7*1000)</f>
        <v>157.53668627403351</v>
      </c>
      <c r="V85" s="87">
        <f>IF(TrRoad_act!V7=0,0,V21/TrRoad_act!V7*1000)</f>
        <v>170.73792465568218</v>
      </c>
      <c r="W85" s="87">
        <f>IF(TrRoad_act!W7=0,0,W21/TrRoad_act!W7*1000)</f>
        <v>168.24906676080246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131.0355444368804</v>
      </c>
      <c r="C86" s="87">
        <f>IF(TrRoad_act!C8=0,0,C22/TrRoad_act!C8*1000)</f>
        <v>139.6674355737957</v>
      </c>
      <c r="D86" s="87">
        <f>IF(TrRoad_act!D8=0,0,D22/TrRoad_act!D8*1000)</f>
        <v>126.19914162482904</v>
      </c>
      <c r="E86" s="87">
        <f>IF(TrRoad_act!E8=0,0,E22/TrRoad_act!E8*1000)</f>
        <v>135.35279662354887</v>
      </c>
      <c r="F86" s="87">
        <f>IF(TrRoad_act!F8=0,0,F22/TrRoad_act!F8*1000)</f>
        <v>131.75291745869171</v>
      </c>
      <c r="G86" s="87">
        <f>IF(TrRoad_act!G8=0,0,G22/TrRoad_act!G8*1000)</f>
        <v>135.51708195259067</v>
      </c>
      <c r="H86" s="87">
        <f>IF(TrRoad_act!H8=0,0,H22/TrRoad_act!H8*1000)</f>
        <v>139.23808216264854</v>
      </c>
      <c r="I86" s="87">
        <f>IF(TrRoad_act!I8=0,0,I22/TrRoad_act!I8*1000)</f>
        <v>150.9536262434097</v>
      </c>
      <c r="J86" s="87">
        <f>IF(TrRoad_act!J8=0,0,J22/TrRoad_act!J8*1000)</f>
        <v>158.22822521830423</v>
      </c>
      <c r="K86" s="87">
        <f>IF(TrRoad_act!K8=0,0,K22/TrRoad_act!K8*1000)</f>
        <v>165.79491777870055</v>
      </c>
      <c r="L86" s="87">
        <f>IF(TrRoad_act!L8=0,0,L22/TrRoad_act!L8*1000)</f>
        <v>165.01367962247394</v>
      </c>
      <c r="M86" s="87">
        <f>IF(TrRoad_act!M8=0,0,M22/TrRoad_act!M8*1000)</f>
        <v>162.41984700500632</v>
      </c>
      <c r="N86" s="87">
        <f>IF(TrRoad_act!N8=0,0,N22/TrRoad_act!N8*1000)</f>
        <v>157.84071488130161</v>
      </c>
      <c r="O86" s="87">
        <f>IF(TrRoad_act!O8=0,0,O22/TrRoad_act!O8*1000)</f>
        <v>149.00102264244831</v>
      </c>
      <c r="P86" s="87">
        <f>IF(TrRoad_act!P8=0,0,P22/TrRoad_act!P8*1000)</f>
        <v>149.21696406457733</v>
      </c>
      <c r="Q86" s="87">
        <f>IF(TrRoad_act!Q8=0,0,Q22/TrRoad_act!Q8*1000)</f>
        <v>158.93511909248474</v>
      </c>
      <c r="R86" s="87">
        <f>IF(TrRoad_act!R8=0,0,R22/TrRoad_act!R8*1000)</f>
        <v>164.579949283567</v>
      </c>
      <c r="S86" s="87">
        <f>IF(TrRoad_act!S8=0,0,S22/TrRoad_act!S8*1000)</f>
        <v>172.9569474225616</v>
      </c>
      <c r="T86" s="87">
        <f>IF(TrRoad_act!T8=0,0,T22/TrRoad_act!T8*1000)</f>
        <v>168.28899611274332</v>
      </c>
      <c r="U86" s="87">
        <f>IF(TrRoad_act!U8=0,0,U22/TrRoad_act!U8*1000)</f>
        <v>176.07653493235262</v>
      </c>
      <c r="V86" s="87">
        <f>IF(TrRoad_act!V8=0,0,V22/TrRoad_act!V8*1000)</f>
        <v>189.96302749917695</v>
      </c>
      <c r="W86" s="87">
        <f>IF(TrRoad_act!W8=0,0,W22/TrRoad_act!W8*1000)</f>
        <v>180.34554704463588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113.14117443123718</v>
      </c>
      <c r="C87" s="87">
        <f>IF(TrRoad_act!C9=0,0,C23/TrRoad_act!C9*1000)</f>
        <v>114.95206278065147</v>
      </c>
      <c r="D87" s="87">
        <f>IF(TrRoad_act!D9=0,0,D23/TrRoad_act!D9*1000)</f>
        <v>116.72069869666372</v>
      </c>
      <c r="E87" s="87">
        <f>IF(TrRoad_act!E9=0,0,E23/TrRoad_act!E9*1000)</f>
        <v>115.4979078404601</v>
      </c>
      <c r="F87" s="87">
        <f>IF(TrRoad_act!F9=0,0,F23/TrRoad_act!F9*1000)</f>
        <v>112.81117909470127</v>
      </c>
      <c r="G87" s="87">
        <f>IF(TrRoad_act!G9=0,0,G23/TrRoad_act!G9*1000)</f>
        <v>113.20130866144518</v>
      </c>
      <c r="H87" s="87">
        <f>IF(TrRoad_act!H9=0,0,H23/TrRoad_act!H9*1000)</f>
        <v>109.20532687186959</v>
      </c>
      <c r="I87" s="87">
        <f>IF(TrRoad_act!I9=0,0,I23/TrRoad_act!I9*1000)</f>
        <v>108.855339156065</v>
      </c>
      <c r="J87" s="87">
        <f>IF(TrRoad_act!J9=0,0,J23/TrRoad_act!J9*1000)</f>
        <v>119.24310379166107</v>
      </c>
      <c r="K87" s="87">
        <f>IF(TrRoad_act!K9=0,0,K23/TrRoad_act!K9*1000)</f>
        <v>112.33451020052192</v>
      </c>
      <c r="L87" s="87">
        <f>IF(TrRoad_act!L9=0,0,L23/TrRoad_act!L9*1000)</f>
        <v>115.10823866640386</v>
      </c>
      <c r="M87" s="87">
        <f>IF(TrRoad_act!M9=0,0,M23/TrRoad_act!M9*1000)</f>
        <v>115.47272284974449</v>
      </c>
      <c r="N87" s="87">
        <f>IF(TrRoad_act!N9=0,0,N23/TrRoad_act!N9*1000)</f>
        <v>108.51300965604119</v>
      </c>
      <c r="O87" s="87">
        <f>IF(TrRoad_act!O9=0,0,O23/TrRoad_act!O9*1000)</f>
        <v>108.76114141162168</v>
      </c>
      <c r="P87" s="87">
        <f>IF(TrRoad_act!P9=0,0,P23/TrRoad_act!P9*1000)</f>
        <v>110.95282281746829</v>
      </c>
      <c r="Q87" s="87">
        <f>IF(TrRoad_act!Q9=0,0,Q23/TrRoad_act!Q9*1000)</f>
        <v>113.22433436633351</v>
      </c>
      <c r="R87" s="87">
        <f>IF(TrRoad_act!R9=0,0,R23/TrRoad_act!R9*1000)</f>
        <v>128.66101906757453</v>
      </c>
      <c r="S87" s="87">
        <f>IF(TrRoad_act!S9=0,0,S23/TrRoad_act!S9*1000)</f>
        <v>132.4747616863724</v>
      </c>
      <c r="T87" s="87">
        <f>IF(TrRoad_act!T9=0,0,T23/TrRoad_act!T9*1000)</f>
        <v>139.86827408062337</v>
      </c>
      <c r="U87" s="87">
        <f>IF(TrRoad_act!U9=0,0,U23/TrRoad_act!U9*1000)</f>
        <v>136.05880210690935</v>
      </c>
      <c r="V87" s="87">
        <f>IF(TrRoad_act!V9=0,0,V23/TrRoad_act!V9*1000)</f>
        <v>139.22022770691396</v>
      </c>
      <c r="W87" s="87">
        <f>IF(TrRoad_act!W9=0,0,W23/TrRoad_act!W9*1000)</f>
        <v>137.77018116722331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120.21950399770425</v>
      </c>
      <c r="L88" s="87">
        <f>IF(TrRoad_act!L10=0,0,L24/TrRoad_act!L10*1000)</f>
        <v>124.43543289762212</v>
      </c>
      <c r="M88" s="87">
        <f>IF(TrRoad_act!M10=0,0,M24/TrRoad_act!M10*1000)</f>
        <v>124.56746748862416</v>
      </c>
      <c r="N88" s="87">
        <f>IF(TrRoad_act!N10=0,0,N24/TrRoad_act!N10*1000)</f>
        <v>116.16842535535852</v>
      </c>
      <c r="O88" s="87">
        <f>IF(TrRoad_act!O10=0,0,O24/TrRoad_act!O10*1000)</f>
        <v>114.77485643172534</v>
      </c>
      <c r="P88" s="87">
        <f>IF(TrRoad_act!P10=0,0,P24/TrRoad_act!P10*1000)</f>
        <v>115.93362060614153</v>
      </c>
      <c r="Q88" s="87">
        <f>IF(TrRoad_act!Q10=0,0,Q24/TrRoad_act!Q10*1000)</f>
        <v>117.51343125094769</v>
      </c>
      <c r="R88" s="87">
        <f>IF(TrRoad_act!R10=0,0,R24/TrRoad_act!R10*1000)</f>
        <v>131.16455382392149</v>
      </c>
      <c r="S88" s="87">
        <f>IF(TrRoad_act!S10=0,0,S24/TrRoad_act!S10*1000)</f>
        <v>130.42206803147124</v>
      </c>
      <c r="T88" s="87">
        <f>IF(TrRoad_act!T10=0,0,T24/TrRoad_act!T10*1000)</f>
        <v>137.9652232957412</v>
      </c>
      <c r="U88" s="87">
        <f>IF(TrRoad_act!U10=0,0,U24/TrRoad_act!U10*1000)</f>
        <v>133.16369429410943</v>
      </c>
      <c r="V88" s="87">
        <f>IF(TrRoad_act!V10=0,0,V24/TrRoad_act!V10*1000)</f>
        <v>136.77157287524389</v>
      </c>
      <c r="W88" s="87">
        <f>IF(TrRoad_act!W10=0,0,W24/TrRoad_act!W10*1000)</f>
        <v>138.3592483732107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0</v>
      </c>
      <c r="P89" s="87">
        <f>IF(TrRoad_act!P11=0,0,P25/TrRoad_act!P11*1000)</f>
        <v>50.735796269685707</v>
      </c>
      <c r="Q89" s="87">
        <f>IF(TrRoad_act!Q11=0,0,Q25/TrRoad_act!Q11*1000)</f>
        <v>53.192701593360198</v>
      </c>
      <c r="R89" s="87">
        <f>IF(TrRoad_act!R11=0,0,R25/TrRoad_act!R11*1000)</f>
        <v>61.161712939986586</v>
      </c>
      <c r="S89" s="87">
        <f>IF(TrRoad_act!S11=0,0,S25/TrRoad_act!S11*1000)</f>
        <v>64.780499895843235</v>
      </c>
      <c r="T89" s="87">
        <f>IF(TrRoad_act!T11=0,0,T25/TrRoad_act!T11*1000)</f>
        <v>69.695632087207372</v>
      </c>
      <c r="U89" s="87">
        <f>IF(TrRoad_act!U11=0,0,U25/TrRoad_act!U11*1000)</f>
        <v>73.40090854255493</v>
      </c>
      <c r="V89" s="87">
        <f>IF(TrRoad_act!V11=0,0,V25/TrRoad_act!V11*1000)</f>
        <v>65.399069089538685</v>
      </c>
      <c r="W89" s="87">
        <f>IF(TrRoad_act!W11=0,0,W25/TrRoad_act!W11*1000)</f>
        <v>58.646555212421241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164.82795391281132</v>
      </c>
      <c r="C91" s="116">
        <f>IF(TrRoad_act!C13=0,0,C27/TrRoad_act!C13*1000)</f>
        <v>152.52850984206987</v>
      </c>
      <c r="D91" s="116">
        <f>IF(TrRoad_act!D13=0,0,D27/TrRoad_act!D13*1000)</f>
        <v>147.48143509442451</v>
      </c>
      <c r="E91" s="116">
        <f>IF(TrRoad_act!E13=0,0,E27/TrRoad_act!E13*1000)</f>
        <v>141.82260849866006</v>
      </c>
      <c r="F91" s="116">
        <f>IF(TrRoad_act!F13=0,0,F27/TrRoad_act!F13*1000)</f>
        <v>151.54242440838581</v>
      </c>
      <c r="G91" s="116">
        <f>IF(TrRoad_act!G13=0,0,G27/TrRoad_act!G13*1000)</f>
        <v>149.05582015623108</v>
      </c>
      <c r="H91" s="116">
        <f>IF(TrRoad_act!H13=0,0,H27/TrRoad_act!H13*1000)</f>
        <v>142.58725085549932</v>
      </c>
      <c r="I91" s="116">
        <f>IF(TrRoad_act!I13=0,0,I27/TrRoad_act!I13*1000)</f>
        <v>136.49918805967292</v>
      </c>
      <c r="J91" s="116">
        <f>IF(TrRoad_act!J13=0,0,J27/TrRoad_act!J13*1000)</f>
        <v>126.23738999203863</v>
      </c>
      <c r="K91" s="116">
        <f>IF(TrRoad_act!K13=0,0,K27/TrRoad_act!K13*1000)</f>
        <v>153.33807785803398</v>
      </c>
      <c r="L91" s="116">
        <f>IF(TrRoad_act!L13=0,0,L27/TrRoad_act!L13*1000)</f>
        <v>162.45021303005862</v>
      </c>
      <c r="M91" s="116">
        <f>IF(TrRoad_act!M13=0,0,M27/TrRoad_act!M13*1000)</f>
        <v>160.86295675519688</v>
      </c>
      <c r="N91" s="116">
        <f>IF(TrRoad_act!N13=0,0,N27/TrRoad_act!N13*1000)</f>
        <v>148.15617307984209</v>
      </c>
      <c r="O91" s="116">
        <f>IF(TrRoad_act!O13=0,0,O27/TrRoad_act!O13*1000)</f>
        <v>138.83170711035061</v>
      </c>
      <c r="P91" s="116">
        <f>IF(TrRoad_act!P13=0,0,P27/TrRoad_act!P13*1000)</f>
        <v>135.24559633620413</v>
      </c>
      <c r="Q91" s="116">
        <f>IF(TrRoad_act!Q13=0,0,Q27/TrRoad_act!Q13*1000)</f>
        <v>156.28134901914643</v>
      </c>
      <c r="R91" s="116">
        <f>IF(TrRoad_act!R13=0,0,R27/TrRoad_act!R13*1000)</f>
        <v>147.83255796448611</v>
      </c>
      <c r="S91" s="116">
        <f>IF(TrRoad_act!S13=0,0,S27/TrRoad_act!S13*1000)</f>
        <v>143.25814461708859</v>
      </c>
      <c r="T91" s="116">
        <f>IF(TrRoad_act!T13=0,0,T27/TrRoad_act!T13*1000)</f>
        <v>154.67642974862335</v>
      </c>
      <c r="U91" s="116">
        <f>IF(TrRoad_act!U13=0,0,U27/TrRoad_act!U13*1000)</f>
        <v>122.467723278501</v>
      </c>
      <c r="V91" s="116">
        <f>IF(TrRoad_act!V13=0,0,V27/TrRoad_act!V13*1000)</f>
        <v>170.94350581495641</v>
      </c>
      <c r="W91" s="116">
        <f>IF(TrRoad_act!W13=0,0,W27/TrRoad_act!W13*1000)</f>
        <v>165.16219973673296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84.050323847800556</v>
      </c>
      <c r="C92" s="101">
        <f>IF(TrRoad_act!C14=0,0,C28/TrRoad_act!C14*1000)</f>
        <v>82.446105166424715</v>
      </c>
      <c r="D92" s="101">
        <f>IF(TrRoad_act!D14=0,0,D28/TrRoad_act!D14*1000)</f>
        <v>81.186106676593724</v>
      </c>
      <c r="E92" s="101">
        <f>IF(TrRoad_act!E14=0,0,E28/TrRoad_act!E14*1000)</f>
        <v>80.583358814284594</v>
      </c>
      <c r="F92" s="101">
        <f>IF(TrRoad_act!F14=0,0,F28/TrRoad_act!F14*1000)</f>
        <v>80.638883044088161</v>
      </c>
      <c r="G92" s="101">
        <f>IF(TrRoad_act!G14=0,0,G28/TrRoad_act!G14*1000)</f>
        <v>79.865382569709737</v>
      </c>
      <c r="H92" s="101">
        <f>IF(TrRoad_act!H14=0,0,H28/TrRoad_act!H14*1000)</f>
        <v>78.856646281446203</v>
      </c>
      <c r="I92" s="101">
        <f>IF(TrRoad_act!I14=0,0,I28/TrRoad_act!I14*1000)</f>
        <v>78.242573459968042</v>
      </c>
      <c r="J92" s="101">
        <f>IF(TrRoad_act!J14=0,0,J28/TrRoad_act!J14*1000)</f>
        <v>77.090352888342807</v>
      </c>
      <c r="K92" s="101">
        <f>IF(TrRoad_act!K14=0,0,K28/TrRoad_act!K14*1000)</f>
        <v>77.509698093759326</v>
      </c>
      <c r="L92" s="101">
        <f>IF(TrRoad_act!L14=0,0,L28/TrRoad_act!L14*1000)</f>
        <v>77.76315591879667</v>
      </c>
      <c r="M92" s="101">
        <f>IF(TrRoad_act!M14=0,0,M28/TrRoad_act!M14*1000)</f>
        <v>77.331992623450319</v>
      </c>
      <c r="N92" s="101">
        <f>IF(TrRoad_act!N14=0,0,N28/TrRoad_act!N14*1000)</f>
        <v>76.504815600982909</v>
      </c>
      <c r="O92" s="101">
        <f>IF(TrRoad_act!O14=0,0,O28/TrRoad_act!O14*1000)</f>
        <v>75.073293879065005</v>
      </c>
      <c r="P92" s="101">
        <f>IF(TrRoad_act!P14=0,0,P28/TrRoad_act!P14*1000)</f>
        <v>74.925630637224742</v>
      </c>
      <c r="Q92" s="101">
        <f>IF(TrRoad_act!Q14=0,0,Q28/TrRoad_act!Q14*1000)</f>
        <v>75.124506195566227</v>
      </c>
      <c r="R92" s="101">
        <f>IF(TrRoad_act!R14=0,0,R28/TrRoad_act!R14*1000)</f>
        <v>74.891670661848508</v>
      </c>
      <c r="S92" s="101">
        <f>IF(TrRoad_act!S14=0,0,S28/TrRoad_act!S14*1000)</f>
        <v>74.494600034817026</v>
      </c>
      <c r="T92" s="101">
        <f>IF(TrRoad_act!T14=0,0,T28/TrRoad_act!T14*1000)</f>
        <v>75.109089394929001</v>
      </c>
      <c r="U92" s="101">
        <f>IF(TrRoad_act!U14=0,0,U28/TrRoad_act!U14*1000)</f>
        <v>73.449993869012815</v>
      </c>
      <c r="V92" s="101">
        <f>IF(TrRoad_act!V14=0,0,V28/TrRoad_act!V14*1000)</f>
        <v>75.229815031385399</v>
      </c>
      <c r="W92" s="101">
        <f>IF(TrRoad_act!W14=0,0,W28/TrRoad_act!W14*1000)</f>
        <v>75.166820814629816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164.98072527077684</v>
      </c>
      <c r="C93" s="101">
        <f>IF(TrRoad_act!C15=0,0,C29/TrRoad_act!C15*1000)</f>
        <v>152.66185901441364</v>
      </c>
      <c r="D93" s="101">
        <f>IF(TrRoad_act!D15=0,0,D29/TrRoad_act!D15*1000)</f>
        <v>147.6054078505046</v>
      </c>
      <c r="E93" s="101">
        <f>IF(TrRoad_act!E15=0,0,E29/TrRoad_act!E15*1000)</f>
        <v>141.92788796379594</v>
      </c>
      <c r="F93" s="101">
        <f>IF(TrRoad_act!F15=0,0,F29/TrRoad_act!F15*1000)</f>
        <v>151.66648232982644</v>
      </c>
      <c r="G93" s="101">
        <f>IF(TrRoad_act!G15=0,0,G29/TrRoad_act!G15*1000)</f>
        <v>149.17706219668813</v>
      </c>
      <c r="H93" s="101">
        <f>IF(TrRoad_act!H15=0,0,H29/TrRoad_act!H15*1000)</f>
        <v>142.69547033270931</v>
      </c>
      <c r="I93" s="101">
        <f>IF(TrRoad_act!I15=0,0,I29/TrRoad_act!I15*1000)</f>
        <v>136.586263088392</v>
      </c>
      <c r="J93" s="101">
        <f>IF(TrRoad_act!J15=0,0,J29/TrRoad_act!J15*1000)</f>
        <v>126.31365826747154</v>
      </c>
      <c r="K93" s="101">
        <f>IF(TrRoad_act!K15=0,0,K29/TrRoad_act!K15*1000)</f>
        <v>153.46381895632211</v>
      </c>
      <c r="L93" s="101">
        <f>IF(TrRoad_act!L15=0,0,L29/TrRoad_act!L15*1000)</f>
        <v>161.97243634015163</v>
      </c>
      <c r="M93" s="101">
        <f>IF(TrRoad_act!M15=0,0,M29/TrRoad_act!M15*1000)</f>
        <v>161.43743741091291</v>
      </c>
      <c r="N93" s="101">
        <f>IF(TrRoad_act!N15=0,0,N29/TrRoad_act!N15*1000)</f>
        <v>148.67863543535802</v>
      </c>
      <c r="O93" s="101">
        <f>IF(TrRoad_act!O15=0,0,O29/TrRoad_act!O15*1000)</f>
        <v>139.76207746665432</v>
      </c>
      <c r="P93" s="101">
        <f>IF(TrRoad_act!P15=0,0,P29/TrRoad_act!P15*1000)</f>
        <v>136.89826667626056</v>
      </c>
      <c r="Q93" s="101">
        <f>IF(TrRoad_act!Q15=0,0,Q29/TrRoad_act!Q15*1000)</f>
        <v>158.16066685982463</v>
      </c>
      <c r="R93" s="101">
        <f>IF(TrRoad_act!R15=0,0,R29/TrRoad_act!R15*1000)</f>
        <v>149.28239725085635</v>
      </c>
      <c r="S93" s="101">
        <f>IF(TrRoad_act!S15=0,0,S29/TrRoad_act!S15*1000)</f>
        <v>144.87976271105762</v>
      </c>
      <c r="T93" s="101">
        <f>IF(TrRoad_act!T15=0,0,T29/TrRoad_act!T15*1000)</f>
        <v>156.23338376114887</v>
      </c>
      <c r="U93" s="101">
        <f>IF(TrRoad_act!U15=0,0,U29/TrRoad_act!U15*1000)</f>
        <v>124.0050653350161</v>
      </c>
      <c r="V93" s="101">
        <f>IF(TrRoad_act!V15=0,0,V29/TrRoad_act!V15*1000)</f>
        <v>173.31315150625767</v>
      </c>
      <c r="W93" s="101">
        <f>IF(TrRoad_act!W15=0,0,W29/TrRoad_act!W15*1000)</f>
        <v>167.7556645939024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94.6037653495044</v>
      </c>
      <c r="J94" s="101">
        <f>IF(TrRoad_act!J16=0,0,J30/TrRoad_act!J16*1000)</f>
        <v>86.855618393490715</v>
      </c>
      <c r="K94" s="101">
        <f>IF(TrRoad_act!K16=0,0,K30/TrRoad_act!K16*1000)</f>
        <v>102.04328416288153</v>
      </c>
      <c r="L94" s="101">
        <f>IF(TrRoad_act!L16=0,0,L30/TrRoad_act!L16*1000)</f>
        <v>107.78769678716102</v>
      </c>
      <c r="M94" s="101">
        <f>IF(TrRoad_act!M16=0,0,M30/TrRoad_act!M16*1000)</f>
        <v>110.76511246312867</v>
      </c>
      <c r="N94" s="101">
        <f>IF(TrRoad_act!N16=0,0,N30/TrRoad_act!N16*1000)</f>
        <v>102.92447384359565</v>
      </c>
      <c r="O94" s="101">
        <f>IF(TrRoad_act!O16=0,0,O30/TrRoad_act!O16*1000)</f>
        <v>98.699714877771441</v>
      </c>
      <c r="P94" s="101">
        <f>IF(TrRoad_act!P16=0,0,P30/TrRoad_act!P16*1000)</f>
        <v>97.922200104622107</v>
      </c>
      <c r="Q94" s="101">
        <f>IF(TrRoad_act!Q16=0,0,Q30/TrRoad_act!Q16*1000)</f>
        <v>110.45704926269407</v>
      </c>
      <c r="R94" s="101">
        <f>IF(TrRoad_act!R16=0,0,R30/TrRoad_act!R16*1000)</f>
        <v>105.85501983751746</v>
      </c>
      <c r="S94" s="101">
        <f>IF(TrRoad_act!S16=0,0,S30/TrRoad_act!S16*1000)</f>
        <v>99.343569907332594</v>
      </c>
      <c r="T94" s="101">
        <f>IF(TrRoad_act!T16=0,0,T30/TrRoad_act!T16*1000)</f>
        <v>112.42381624401698</v>
      </c>
      <c r="U94" s="101">
        <f>IF(TrRoad_act!U16=0,0,U30/TrRoad_act!U16*1000)</f>
        <v>84.447308245414632</v>
      </c>
      <c r="V94" s="101">
        <f>IF(TrRoad_act!V16=0,0,V30/TrRoad_act!V16*1000)</f>
        <v>115.64368824860921</v>
      </c>
      <c r="W94" s="101">
        <f>IF(TrRoad_act!W16=0,0,W30/TrRoad_act!W16*1000)</f>
        <v>114.80646128010238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153.50513063351525</v>
      </c>
      <c r="L95" s="101">
        <f>IF(TrRoad_act!L17=0,0,L31/TrRoad_act!L17*1000)</f>
        <v>284.87698351750214</v>
      </c>
      <c r="M95" s="101">
        <f>IF(TrRoad_act!M17=0,0,M31/TrRoad_act!M17*1000)</f>
        <v>76.539807291201413</v>
      </c>
      <c r="N95" s="101">
        <f>IF(TrRoad_act!N17=0,0,N31/TrRoad_act!N17*1000)</f>
        <v>80.438494069874054</v>
      </c>
      <c r="O95" s="101">
        <f>IF(TrRoad_act!O17=0,0,O31/TrRoad_act!O17*1000)</f>
        <v>75.86410312967719</v>
      </c>
      <c r="P95" s="101">
        <f>IF(TrRoad_act!P17=0,0,P31/TrRoad_act!P17*1000)</f>
        <v>77.287753872263551</v>
      </c>
      <c r="Q95" s="101">
        <f>IF(TrRoad_act!Q17=0,0,Q31/TrRoad_act!Q17*1000)</f>
        <v>89.93248331237119</v>
      </c>
      <c r="R95" s="101">
        <f>IF(TrRoad_act!R17=0,0,R31/TrRoad_act!R17*1000)</f>
        <v>94.583875436437083</v>
      </c>
      <c r="S95" s="101">
        <f>IF(TrRoad_act!S17=0,0,S31/TrRoad_act!S17*1000)</f>
        <v>88.681843205240312</v>
      </c>
      <c r="T95" s="101">
        <f>IF(TrRoad_act!T17=0,0,T31/TrRoad_act!T17*1000)</f>
        <v>100.40040482602315</v>
      </c>
      <c r="U95" s="101">
        <f>IF(TrRoad_act!U17=0,0,U31/TrRoad_act!U17*1000)</f>
        <v>75.743021425775865</v>
      </c>
      <c r="V95" s="101">
        <f>IF(TrRoad_act!V17=0,0,V31/TrRoad_act!V17*1000)</f>
        <v>105.44315414856696</v>
      </c>
      <c r="W95" s="101">
        <f>IF(TrRoad_act!W17=0,0,W31/TrRoad_act!W17*1000)</f>
        <v>104.74828691080702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106.72957856340159</v>
      </c>
      <c r="C97" s="29">
        <f>IF(TrRoad_act!C19=0,0,C33/TrRoad_act!C19*1000)</f>
        <v>92.036482277007565</v>
      </c>
      <c r="D97" s="29">
        <f>IF(TrRoad_act!D19=0,0,D33/TrRoad_act!D19*1000)</f>
        <v>110.63473869953016</v>
      </c>
      <c r="E97" s="29">
        <f>IF(TrRoad_act!E19=0,0,E33/TrRoad_act!E19*1000)</f>
        <v>117.69914576595365</v>
      </c>
      <c r="F97" s="29">
        <f>IF(TrRoad_act!F19=0,0,F33/TrRoad_act!F19*1000)</f>
        <v>116.50742771242821</v>
      </c>
      <c r="G97" s="29">
        <f>IF(TrRoad_act!G19=0,0,G33/TrRoad_act!G19*1000)</f>
        <v>117.57883904138575</v>
      </c>
      <c r="H97" s="29">
        <f>IF(TrRoad_act!H19=0,0,H33/TrRoad_act!H19*1000)</f>
        <v>120.79230029264193</v>
      </c>
      <c r="I97" s="29">
        <f>IF(TrRoad_act!I19=0,0,I33/TrRoad_act!I19*1000)</f>
        <v>122.26665405399743</v>
      </c>
      <c r="J97" s="29">
        <f>IF(TrRoad_act!J19=0,0,J33/TrRoad_act!J19*1000)</f>
        <v>129.36748204539296</v>
      </c>
      <c r="K97" s="29">
        <f>IF(TrRoad_act!K19=0,0,K33/TrRoad_act!K19*1000)</f>
        <v>145.22483866517371</v>
      </c>
      <c r="L97" s="29">
        <f>IF(TrRoad_act!L19=0,0,L33/TrRoad_act!L19*1000)</f>
        <v>152.55573682523072</v>
      </c>
      <c r="M97" s="29">
        <f>IF(TrRoad_act!M19=0,0,M33/TrRoad_act!M19*1000)</f>
        <v>150.47480777650441</v>
      </c>
      <c r="N97" s="29">
        <f>IF(TrRoad_act!N19=0,0,N33/TrRoad_act!N19*1000)</f>
        <v>140.85314975738959</v>
      </c>
      <c r="O97" s="29">
        <f>IF(TrRoad_act!O19=0,0,O33/TrRoad_act!O19*1000)</f>
        <v>153.82290505639639</v>
      </c>
      <c r="P97" s="29">
        <f>IF(TrRoad_act!P19=0,0,P33/TrRoad_act!P19*1000)</f>
        <v>141.3848488700059</v>
      </c>
      <c r="Q97" s="29">
        <f>IF(TrRoad_act!Q19=0,0,Q33/TrRoad_act!Q19*1000)</f>
        <v>138.7745315838732</v>
      </c>
      <c r="R97" s="29">
        <f>IF(TrRoad_act!R19=0,0,R33/TrRoad_act!R19*1000)</f>
        <v>134.75643631644198</v>
      </c>
      <c r="S97" s="29">
        <f>IF(TrRoad_act!S19=0,0,S33/TrRoad_act!S19*1000)</f>
        <v>148.37818457422028</v>
      </c>
      <c r="T97" s="29">
        <f>IF(TrRoad_act!T19=0,0,T33/TrRoad_act!T19*1000)</f>
        <v>137.99364289409388</v>
      </c>
      <c r="U97" s="29">
        <f>IF(TrRoad_act!U19=0,0,U33/TrRoad_act!U19*1000)</f>
        <v>162.26392464716463</v>
      </c>
      <c r="V97" s="29">
        <f>IF(TrRoad_act!V19=0,0,V33/TrRoad_act!V19*1000)</f>
        <v>155.1539872438496</v>
      </c>
      <c r="W97" s="29">
        <f>IF(TrRoad_act!W19=0,0,W33/TrRoad_act!W19*1000)</f>
        <v>155.70595968954592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1619.7029906636642</v>
      </c>
      <c r="C98" s="152">
        <f>IF(TrRoad_act!C20=0,0,C34/TrRoad_act!C20*1000)</f>
        <v>1462.9110511629644</v>
      </c>
      <c r="D98" s="152">
        <f>IF(TrRoad_act!D20=0,0,D34/TrRoad_act!D20*1000)</f>
        <v>1492.9811353443788</v>
      </c>
      <c r="E98" s="152">
        <f>IF(TrRoad_act!E20=0,0,E34/TrRoad_act!E20*1000)</f>
        <v>1480.0767937197102</v>
      </c>
      <c r="F98" s="152">
        <f>IF(TrRoad_act!F20=0,0,F34/TrRoad_act!F20*1000)</f>
        <v>1463.99725969208</v>
      </c>
      <c r="G98" s="152">
        <f>IF(TrRoad_act!G20=0,0,G34/TrRoad_act!G20*1000)</f>
        <v>1481.643852678242</v>
      </c>
      <c r="H98" s="152">
        <f>IF(TrRoad_act!H20=0,0,H34/TrRoad_act!H20*1000)</f>
        <v>1431.2931671189003</v>
      </c>
      <c r="I98" s="152">
        <f>IF(TrRoad_act!I20=0,0,I34/TrRoad_act!I20*1000)</f>
        <v>1423.656715345496</v>
      </c>
      <c r="J98" s="152">
        <f>IF(TrRoad_act!J20=0,0,J34/TrRoad_act!J20*1000)</f>
        <v>1416.383919922587</v>
      </c>
      <c r="K98" s="152">
        <f>IF(TrRoad_act!K20=0,0,K34/TrRoad_act!K20*1000)</f>
        <v>1405.7751145919651</v>
      </c>
      <c r="L98" s="152">
        <f>IF(TrRoad_act!L20=0,0,L34/TrRoad_act!L20*1000)</f>
        <v>1399.0762043116338</v>
      </c>
      <c r="M98" s="152">
        <f>IF(TrRoad_act!M20=0,0,M34/TrRoad_act!M20*1000)</f>
        <v>1384.8610925342757</v>
      </c>
      <c r="N98" s="152">
        <f>IF(TrRoad_act!N20=0,0,N34/TrRoad_act!N20*1000)</f>
        <v>1345.8984482242211</v>
      </c>
      <c r="O98" s="152">
        <f>IF(TrRoad_act!O20=0,0,O34/TrRoad_act!O20*1000)</f>
        <v>1328.0447652855828</v>
      </c>
      <c r="P98" s="152">
        <f>IF(TrRoad_act!P20=0,0,P34/TrRoad_act!P20*1000)</f>
        <v>1277.9448204487724</v>
      </c>
      <c r="Q98" s="152">
        <f>IF(TrRoad_act!Q20=0,0,Q34/TrRoad_act!Q20*1000)</f>
        <v>1243.361801626138</v>
      </c>
      <c r="R98" s="152">
        <f>IF(TrRoad_act!R20=0,0,R34/TrRoad_act!R20*1000)</f>
        <v>1226.0116563168826</v>
      </c>
      <c r="S98" s="152">
        <f>IF(TrRoad_act!S20=0,0,S34/TrRoad_act!S20*1000)</f>
        <v>1273.9251446471505</v>
      </c>
      <c r="T98" s="152">
        <f>IF(TrRoad_act!T20=0,0,T34/TrRoad_act!T20*1000)</f>
        <v>1223.1433214175056</v>
      </c>
      <c r="U98" s="152">
        <f>IF(TrRoad_act!U20=0,0,U34/TrRoad_act!U20*1000)</f>
        <v>1211.0511533734025</v>
      </c>
      <c r="V98" s="152">
        <f>IF(TrRoad_act!V20=0,0,V34/TrRoad_act!V20*1000)</f>
        <v>1191.8801719241796</v>
      </c>
      <c r="W98" s="152">
        <f>IF(TrRoad_act!W20=0,0,W34/TrRoad_act!W20*1000)</f>
        <v>1194.2222662695572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1649.6208281065876</v>
      </c>
      <c r="C99" s="87">
        <f>IF(TrRoad_act!C21=0,0,C35/TrRoad_act!C21*1000)</f>
        <v>1619.8677859932072</v>
      </c>
      <c r="D99" s="87">
        <f>IF(TrRoad_act!D21=0,0,D35/TrRoad_act!D21*1000)</f>
        <v>1613.8359336902804</v>
      </c>
      <c r="E99" s="87">
        <f>IF(TrRoad_act!E21=0,0,E35/TrRoad_act!E21*1000)</f>
        <v>1608.7155594573587</v>
      </c>
      <c r="F99" s="87">
        <f>IF(TrRoad_act!F21=0,0,F35/TrRoad_act!F21*1000)</f>
        <v>1604.322614242649</v>
      </c>
      <c r="G99" s="87">
        <f>IF(TrRoad_act!G21=0,0,G35/TrRoad_act!G21*1000)</f>
        <v>1599.0319506405312</v>
      </c>
      <c r="H99" s="87">
        <f>IF(TrRoad_act!H21=0,0,H35/TrRoad_act!H21*1000)</f>
        <v>1590.3919795069687</v>
      </c>
      <c r="I99" s="87">
        <f>IF(TrRoad_act!I21=0,0,I35/TrRoad_act!I21*1000)</f>
        <v>1563.0633032393034</v>
      </c>
      <c r="J99" s="87">
        <f>IF(TrRoad_act!J21=0,0,J35/TrRoad_act!J21*1000)</f>
        <v>1544.7240844114046</v>
      </c>
      <c r="K99" s="87">
        <f>IF(TrRoad_act!K21=0,0,K35/TrRoad_act!K21*1000)</f>
        <v>1512.6765135100493</v>
      </c>
      <c r="L99" s="87">
        <f>IF(TrRoad_act!L21=0,0,L35/TrRoad_act!L21*1000)</f>
        <v>1491.263240402508</v>
      </c>
      <c r="M99" s="87">
        <f>IF(TrRoad_act!M21=0,0,M35/TrRoad_act!M21*1000)</f>
        <v>1488.7386661304595</v>
      </c>
      <c r="N99" s="87">
        <f>IF(TrRoad_act!N21=0,0,N35/TrRoad_act!N21*1000)</f>
        <v>1470.1915637187331</v>
      </c>
      <c r="O99" s="87">
        <f>IF(TrRoad_act!O21=0,0,O35/TrRoad_act!O21*1000)</f>
        <v>1465.0425801738145</v>
      </c>
      <c r="P99" s="87">
        <f>IF(TrRoad_act!P21=0,0,P35/TrRoad_act!P21*1000)</f>
        <v>1457.4572588641022</v>
      </c>
      <c r="Q99" s="87">
        <f>IF(TrRoad_act!Q21=0,0,Q35/TrRoad_act!Q21*1000)</f>
        <v>1441.3910050993193</v>
      </c>
      <c r="R99" s="87">
        <f>IF(TrRoad_act!R21=0,0,R35/TrRoad_act!R21*1000)</f>
        <v>1432.9363729936085</v>
      </c>
      <c r="S99" s="87">
        <f>IF(TrRoad_act!S21=0,0,S35/TrRoad_act!S21*1000)</f>
        <v>1448.5717650581707</v>
      </c>
      <c r="T99" s="87">
        <f>IF(TrRoad_act!T21=0,0,T35/TrRoad_act!T21*1000)</f>
        <v>1456.7697673895589</v>
      </c>
      <c r="U99" s="87">
        <f>IF(TrRoad_act!U21=0,0,U35/TrRoad_act!U21*1000)</f>
        <v>1445.9733436003196</v>
      </c>
      <c r="V99" s="87">
        <f>IF(TrRoad_act!V21=0,0,V35/TrRoad_act!V21*1000)</f>
        <v>1430.9453509590298</v>
      </c>
      <c r="W99" s="87">
        <f>IF(TrRoad_act!W21=0,0,W35/TrRoad_act!W21*1000)</f>
        <v>1415.802058142415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1614.4527843467629</v>
      </c>
      <c r="C100" s="87">
        <f>IF(TrRoad_act!C22=0,0,C36/TrRoad_act!C22*1000)</f>
        <v>1436.2541012475333</v>
      </c>
      <c r="D100" s="87">
        <f>IF(TrRoad_act!D22=0,0,D36/TrRoad_act!D22*1000)</f>
        <v>1475.0893342847835</v>
      </c>
      <c r="E100" s="87">
        <f>IF(TrRoad_act!E22=0,0,E36/TrRoad_act!E22*1000)</f>
        <v>1463.9273576137041</v>
      </c>
      <c r="F100" s="87">
        <f>IF(TrRoad_act!F22=0,0,F36/TrRoad_act!F22*1000)</f>
        <v>1449.0567543681389</v>
      </c>
      <c r="G100" s="87">
        <f>IF(TrRoad_act!G22=0,0,G36/TrRoad_act!G22*1000)</f>
        <v>1470.869052909115</v>
      </c>
      <c r="H100" s="87">
        <f>IF(TrRoad_act!H22=0,0,H36/TrRoad_act!H22*1000)</f>
        <v>1418.0832136528049</v>
      </c>
      <c r="I100" s="87">
        <f>IF(TrRoad_act!I22=0,0,I36/TrRoad_act!I22*1000)</f>
        <v>1414.8802914648961</v>
      </c>
      <c r="J100" s="87">
        <f>IF(TrRoad_act!J22=0,0,J36/TrRoad_act!J22*1000)</f>
        <v>1409.459600453926</v>
      </c>
      <c r="K100" s="87">
        <f>IF(TrRoad_act!K22=0,0,K36/TrRoad_act!K22*1000)</f>
        <v>1400.9868041182197</v>
      </c>
      <c r="L100" s="87">
        <f>IF(TrRoad_act!L22=0,0,L36/TrRoad_act!L22*1000)</f>
        <v>1395.5698204145765</v>
      </c>
      <c r="M100" s="87">
        <f>IF(TrRoad_act!M22=0,0,M36/TrRoad_act!M22*1000)</f>
        <v>1380.9304727143201</v>
      </c>
      <c r="N100" s="87">
        <f>IF(TrRoad_act!N22=0,0,N36/TrRoad_act!N22*1000)</f>
        <v>1342.3285028719042</v>
      </c>
      <c r="O100" s="87">
        <f>IF(TrRoad_act!O22=0,0,O36/TrRoad_act!O22*1000)</f>
        <v>1324.282815002538</v>
      </c>
      <c r="P100" s="87">
        <f>IF(TrRoad_act!P22=0,0,P36/TrRoad_act!P22*1000)</f>
        <v>1272.7916925267568</v>
      </c>
      <c r="Q100" s="87">
        <f>IF(TrRoad_act!Q22=0,0,Q36/TrRoad_act!Q22*1000)</f>
        <v>1238.8118797390405</v>
      </c>
      <c r="R100" s="87">
        <f>IF(TrRoad_act!R22=0,0,R36/TrRoad_act!R22*1000)</f>
        <v>1221.6900461889018</v>
      </c>
      <c r="S100" s="87">
        <f>IF(TrRoad_act!S22=0,0,S36/TrRoad_act!S22*1000)</f>
        <v>1270.5160268746954</v>
      </c>
      <c r="T100" s="87">
        <f>IF(TrRoad_act!T22=0,0,T36/TrRoad_act!T22*1000)</f>
        <v>1218.1745235941303</v>
      </c>
      <c r="U100" s="87">
        <f>IF(TrRoad_act!U22=0,0,U36/TrRoad_act!U22*1000)</f>
        <v>1206.2173119824392</v>
      </c>
      <c r="V100" s="87">
        <f>IF(TrRoad_act!V22=0,0,V36/TrRoad_act!V22*1000)</f>
        <v>1187.6349417981717</v>
      </c>
      <c r="W100" s="87">
        <f>IF(TrRoad_act!W22=0,0,W36/TrRoad_act!W22*1000)</f>
        <v>1190.344133874805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1112.7447564557622</v>
      </c>
      <c r="J101" s="87">
        <f>IF(TrRoad_act!J23=0,0,J37/TrRoad_act!J23*1000)</f>
        <v>1087.3215203338038</v>
      </c>
      <c r="K101" s="87">
        <f>IF(TrRoad_act!K23=0,0,K37/TrRoad_act!K23*1000)</f>
        <v>1078.2906323236011</v>
      </c>
      <c r="L101" s="87">
        <f>IF(TrRoad_act!L23=0,0,L37/TrRoad_act!L23*1000)</f>
        <v>1068.7148708367911</v>
      </c>
      <c r="M101" s="87">
        <f>IF(TrRoad_act!M23=0,0,M37/TrRoad_act!M23*1000)</f>
        <v>1071.1870380377657</v>
      </c>
      <c r="N101" s="87">
        <f>IF(TrRoad_act!N23=0,0,N37/TrRoad_act!N23*1000)</f>
        <v>1074.2132864105279</v>
      </c>
      <c r="O101" s="87">
        <f>IF(TrRoad_act!O23=0,0,O37/TrRoad_act!O23*1000)</f>
        <v>1067.856909326767</v>
      </c>
      <c r="P101" s="87">
        <f>IF(TrRoad_act!P23=0,0,P37/TrRoad_act!P23*1000)</f>
        <v>1060.001210650569</v>
      </c>
      <c r="Q101" s="87">
        <f>IF(TrRoad_act!Q23=0,0,Q37/TrRoad_act!Q23*1000)</f>
        <v>1060.3090036830067</v>
      </c>
      <c r="R101" s="87">
        <f>IF(TrRoad_act!R23=0,0,R37/TrRoad_act!R23*1000)</f>
        <v>1046.2233659366202</v>
      </c>
      <c r="S101" s="87">
        <f>IF(TrRoad_act!S23=0,0,S37/TrRoad_act!S23*1000)</f>
        <v>1094.3609730461703</v>
      </c>
      <c r="T101" s="87">
        <f>IF(TrRoad_act!T23=0,0,T37/TrRoad_act!T23*1000)</f>
        <v>1116.5873866708712</v>
      </c>
      <c r="U101" s="87">
        <f>IF(TrRoad_act!U23=0,0,U37/TrRoad_act!U23*1000)</f>
        <v>1121.4864452116315</v>
      </c>
      <c r="V101" s="87">
        <f>IF(TrRoad_act!V23=0,0,V37/TrRoad_act!V23*1000)</f>
        <v>1132.4154869862011</v>
      </c>
      <c r="W101" s="87">
        <f>IF(TrRoad_act!W23=0,0,W37/TrRoad_act!W23*1000)</f>
        <v>1167.7946660585521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1865.1351287187047</v>
      </c>
      <c r="L102" s="87">
        <f>IF(TrRoad_act!L24=0,0,L38/TrRoad_act!L24*1000)</f>
        <v>1861.7700158712648</v>
      </c>
      <c r="M102" s="87">
        <f>IF(TrRoad_act!M24=0,0,M38/TrRoad_act!M24*1000)</f>
        <v>1875.2500546669391</v>
      </c>
      <c r="N102" s="87">
        <f>IF(TrRoad_act!N24=0,0,N38/TrRoad_act!N24*1000)</f>
        <v>1864.6131266749894</v>
      </c>
      <c r="O102" s="87">
        <f>IF(TrRoad_act!O24=0,0,O38/TrRoad_act!O24*1000)</f>
        <v>1872.8522387048019</v>
      </c>
      <c r="P102" s="87">
        <f>IF(TrRoad_act!P24=0,0,P38/TrRoad_act!P24*1000)</f>
        <v>1869.5657725288904</v>
      </c>
      <c r="Q102" s="87">
        <f>IF(TrRoad_act!Q24=0,0,Q38/TrRoad_act!Q24*1000)</f>
        <v>1865.5425896632587</v>
      </c>
      <c r="R102" s="87">
        <f>IF(TrRoad_act!R24=0,0,R38/TrRoad_act!R24*1000)</f>
        <v>1825.5574228764854</v>
      </c>
      <c r="S102" s="87">
        <f>IF(TrRoad_act!S24=0,0,S38/TrRoad_act!S24*1000)</f>
        <v>1886.1524700552181</v>
      </c>
      <c r="T102" s="87">
        <f>IF(TrRoad_act!T24=0,0,T38/TrRoad_act!T24*1000)</f>
        <v>1882.1840534731441</v>
      </c>
      <c r="U102" s="87">
        <f>IF(TrRoad_act!U24=0,0,U38/TrRoad_act!U24*1000)</f>
        <v>1871.3378453535374</v>
      </c>
      <c r="V102" s="87">
        <f>IF(TrRoad_act!V24=0,0,V38/TrRoad_act!V24*1000)</f>
        <v>1846.6373235634844</v>
      </c>
      <c r="W102" s="87">
        <f>IF(TrRoad_act!W24=0,0,W38/TrRoad_act!W24*1000)</f>
        <v>1871.3987241185316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70.564882820318857</v>
      </c>
      <c r="C104" s="116">
        <f>IF(TrRoad_act!C26=0,0,C40/TrRoad_act!C26*1000)</f>
        <v>59.481838263800192</v>
      </c>
      <c r="D104" s="116">
        <f>IF(TrRoad_act!D26=0,0,D40/TrRoad_act!D26*1000)</f>
        <v>77.413725143721521</v>
      </c>
      <c r="E104" s="116">
        <f>IF(TrRoad_act!E26=0,0,E40/TrRoad_act!E26*1000)</f>
        <v>83.561820940889334</v>
      </c>
      <c r="F104" s="116">
        <f>IF(TrRoad_act!F26=0,0,F40/TrRoad_act!F26*1000)</f>
        <v>83.607097541820835</v>
      </c>
      <c r="G104" s="116">
        <f>IF(TrRoad_act!G26=0,0,G40/TrRoad_act!G26*1000)</f>
        <v>82.384945551744238</v>
      </c>
      <c r="H104" s="116">
        <f>IF(TrRoad_act!H26=0,0,H40/TrRoad_act!H26*1000)</f>
        <v>85.641851526831616</v>
      </c>
      <c r="I104" s="116">
        <f>IF(TrRoad_act!I26=0,0,I40/TrRoad_act!I26*1000)</f>
        <v>88.300494388538297</v>
      </c>
      <c r="J104" s="116">
        <f>IF(TrRoad_act!J26=0,0,J40/TrRoad_act!J26*1000)</f>
        <v>92.146997174580761</v>
      </c>
      <c r="K104" s="116">
        <f>IF(TrRoad_act!K26=0,0,K40/TrRoad_act!K26*1000)</f>
        <v>101.95480268162967</v>
      </c>
      <c r="L104" s="116">
        <f>IF(TrRoad_act!L26=0,0,L40/TrRoad_act!L26*1000)</f>
        <v>109.58755508612471</v>
      </c>
      <c r="M104" s="116">
        <f>IF(TrRoad_act!M26=0,0,M40/TrRoad_act!M26*1000)</f>
        <v>106.94687996984909</v>
      </c>
      <c r="N104" s="116">
        <f>IF(TrRoad_act!N26=0,0,N40/TrRoad_act!N26*1000)</f>
        <v>98.97058728485554</v>
      </c>
      <c r="O104" s="116">
        <f>IF(TrRoad_act!O26=0,0,O40/TrRoad_act!O26*1000)</f>
        <v>114.48682648917656</v>
      </c>
      <c r="P104" s="116">
        <f>IF(TrRoad_act!P26=0,0,P40/TrRoad_act!P26*1000)</f>
        <v>102.66930472359174</v>
      </c>
      <c r="Q104" s="116">
        <f>IF(TrRoad_act!Q26=0,0,Q40/TrRoad_act!Q26*1000)</f>
        <v>98.438950169690642</v>
      </c>
      <c r="R104" s="116">
        <f>IF(TrRoad_act!R26=0,0,R40/TrRoad_act!R26*1000)</f>
        <v>92.373980582163995</v>
      </c>
      <c r="S104" s="116">
        <f>IF(TrRoad_act!S26=0,0,S40/TrRoad_act!S26*1000)</f>
        <v>106.28933008475671</v>
      </c>
      <c r="T104" s="116">
        <f>IF(TrRoad_act!T26=0,0,T40/TrRoad_act!T26*1000)</f>
        <v>93.110572532101742</v>
      </c>
      <c r="U104" s="116">
        <f>IF(TrRoad_act!U26=0,0,U40/TrRoad_act!U26*1000)</f>
        <v>113.26591976186258</v>
      </c>
      <c r="V104" s="116">
        <f>IF(TrRoad_act!V26=0,0,V40/TrRoad_act!V26*1000)</f>
        <v>106.30886706670735</v>
      </c>
      <c r="W104" s="116">
        <f>IF(TrRoad_act!W26=0,0,W40/TrRoad_act!W26*1000)</f>
        <v>102.91674415354933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99.547983459187648</v>
      </c>
      <c r="C105" s="101">
        <f>IF(TrRoad_act!C27=0,0,C41/TrRoad_act!C27*1000)</f>
        <v>93.412612212171297</v>
      </c>
      <c r="D105" s="101">
        <f>IF(TrRoad_act!D27=0,0,D41/TrRoad_act!D27*1000)</f>
        <v>113.37783035914624</v>
      </c>
      <c r="E105" s="101">
        <f>IF(TrRoad_act!E27=0,0,E41/TrRoad_act!E27*1000)</f>
        <v>119.64201170368563</v>
      </c>
      <c r="F105" s="101">
        <f>IF(TrRoad_act!F27=0,0,F41/TrRoad_act!F27*1000)</f>
        <v>119.62527927353747</v>
      </c>
      <c r="G105" s="101">
        <f>IF(TrRoad_act!G27=0,0,G41/TrRoad_act!G27*1000)</f>
        <v>119.18109441578996</v>
      </c>
      <c r="H105" s="101">
        <f>IF(TrRoad_act!H27=0,0,H41/TrRoad_act!H27*1000)</f>
        <v>119.15734454557173</v>
      </c>
      <c r="I105" s="101">
        <f>IF(TrRoad_act!I27=0,0,I41/TrRoad_act!I27*1000)</f>
        <v>120.09946576529391</v>
      </c>
      <c r="J105" s="101">
        <f>IF(TrRoad_act!J27=0,0,J41/TrRoad_act!J27*1000)</f>
        <v>110.37484502958634</v>
      </c>
      <c r="K105" s="101">
        <f>IF(TrRoad_act!K27=0,0,K41/TrRoad_act!K27*1000)</f>
        <v>118.62843297595535</v>
      </c>
      <c r="L105" s="101">
        <f>IF(TrRoad_act!L27=0,0,L41/TrRoad_act!L27*1000)</f>
        <v>128.44288236033398</v>
      </c>
      <c r="M105" s="101">
        <f>IF(TrRoad_act!M27=0,0,M41/TrRoad_act!M27*1000)</f>
        <v>130.4929688100992</v>
      </c>
      <c r="N105" s="101">
        <f>IF(TrRoad_act!N27=0,0,N41/TrRoad_act!N27*1000)</f>
        <v>123.15406240115432</v>
      </c>
      <c r="O105" s="101">
        <f>IF(TrRoad_act!O27=0,0,O41/TrRoad_act!O27*1000)</f>
        <v>126.54011992351258</v>
      </c>
      <c r="P105" s="101">
        <f>IF(TrRoad_act!P27=0,0,P41/TrRoad_act!P27*1000)</f>
        <v>124.13255901632567</v>
      </c>
      <c r="Q105" s="101">
        <f>IF(TrRoad_act!Q27=0,0,Q41/TrRoad_act!Q27*1000)</f>
        <v>120.76013582630988</v>
      </c>
      <c r="R105" s="101">
        <f>IF(TrRoad_act!R27=0,0,R41/TrRoad_act!R27*1000)</f>
        <v>122.99459245465503</v>
      </c>
      <c r="S105" s="101">
        <f>IF(TrRoad_act!S27=0,0,S41/TrRoad_act!S27*1000)</f>
        <v>127.92315847303016</v>
      </c>
      <c r="T105" s="101">
        <f>IF(TrRoad_act!T27=0,0,T41/TrRoad_act!T27*1000)</f>
        <v>118.4166382874495</v>
      </c>
      <c r="U105" s="101">
        <f>IF(TrRoad_act!U27=0,0,U41/TrRoad_act!U27*1000)</f>
        <v>122.37452409672234</v>
      </c>
      <c r="V105" s="101">
        <f>IF(TrRoad_act!V27=0,0,V41/TrRoad_act!V27*1000)</f>
        <v>116.13787061707477</v>
      </c>
      <c r="W105" s="101">
        <f>IF(TrRoad_act!W27=0,0,W41/TrRoad_act!W27*1000)</f>
        <v>114.49562622771521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58.006916165737714</v>
      </c>
      <c r="C106" s="88">
        <f>IF(TrRoad_act!C28=0,0,C42/TrRoad_act!C28*1000)</f>
        <v>36.347116399173103</v>
      </c>
      <c r="D106" s="88">
        <f>IF(TrRoad_act!D28=0,0,D42/TrRoad_act!D28*1000)</f>
        <v>51.015127404311848</v>
      </c>
      <c r="E106" s="88">
        <f>IF(TrRoad_act!E28=0,0,E42/TrRoad_act!E28*1000)</f>
        <v>54.217685932121867</v>
      </c>
      <c r="F106" s="88">
        <f>IF(TrRoad_act!F28=0,0,F42/TrRoad_act!F28*1000)</f>
        <v>56.845840872006725</v>
      </c>
      <c r="G106" s="88">
        <f>IF(TrRoad_act!G28=0,0,G42/TrRoad_act!G28*1000)</f>
        <v>55.904758493696249</v>
      </c>
      <c r="H106" s="88">
        <f>IF(TrRoad_act!H28=0,0,H42/TrRoad_act!H28*1000)</f>
        <v>54.082438322484315</v>
      </c>
      <c r="I106" s="88">
        <f>IF(TrRoad_act!I28=0,0,I42/TrRoad_act!I28*1000)</f>
        <v>60.745953946699068</v>
      </c>
      <c r="J106" s="88">
        <f>IF(TrRoad_act!J28=0,0,J42/TrRoad_act!J28*1000)</f>
        <v>62.254604649201788</v>
      </c>
      <c r="K106" s="88">
        <f>IF(TrRoad_act!K28=0,0,K42/TrRoad_act!K28*1000)</f>
        <v>76.609570695742249</v>
      </c>
      <c r="L106" s="88">
        <f>IF(TrRoad_act!L28=0,0,L42/TrRoad_act!L28*1000)</f>
        <v>84.215544283421323</v>
      </c>
      <c r="M106" s="88">
        <f>IF(TrRoad_act!M28=0,0,M42/TrRoad_act!M28*1000)</f>
        <v>76.267505935114784</v>
      </c>
      <c r="N106" s="88">
        <f>IF(TrRoad_act!N28=0,0,N42/TrRoad_act!N28*1000)</f>
        <v>68.300659174059021</v>
      </c>
      <c r="O106" s="88">
        <f>IF(TrRoad_act!O28=0,0,O42/TrRoad_act!O28*1000)</f>
        <v>99.355555482492463</v>
      </c>
      <c r="P106" s="88">
        <f>IF(TrRoad_act!P28=0,0,P42/TrRoad_act!P28*1000)</f>
        <v>79.459535144177252</v>
      </c>
      <c r="Q106" s="88">
        <f>IF(TrRoad_act!Q28=0,0,Q42/TrRoad_act!Q28*1000)</f>
        <v>76.704368762344245</v>
      </c>
      <c r="R106" s="88">
        <f>IF(TrRoad_act!R28=0,0,R42/TrRoad_act!R28*1000)</f>
        <v>63.751131609971281</v>
      </c>
      <c r="S106" s="88">
        <f>IF(TrRoad_act!S28=0,0,S42/TrRoad_act!S28*1000)</f>
        <v>89.054812660073196</v>
      </c>
      <c r="T106" s="88">
        <f>IF(TrRoad_act!T28=0,0,T42/TrRoad_act!T28*1000)</f>
        <v>72.836038201057903</v>
      </c>
      <c r="U106" s="88">
        <f>IF(TrRoad_act!U28=0,0,U42/TrRoad_act!U28*1000)</f>
        <v>104.94819382117744</v>
      </c>
      <c r="V106" s="88">
        <f>IF(TrRoad_act!V28=0,0,V42/TrRoad_act!V28*1000)</f>
        <v>97.109296993595407</v>
      </c>
      <c r="W106" s="88">
        <f>IF(TrRoad_act!W28=0,0,W42/TrRoad_act!W28*1000)</f>
        <v>90.560790437961629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209.08807894377736</v>
      </c>
      <c r="C110" s="152">
        <f>IF(C19=0,0,1000000*C19/TrRoad_act!C59)</f>
        <v>208.86649054300378</v>
      </c>
      <c r="D110" s="152">
        <f>IF(D19=0,0,1000000*D19/TrRoad_act!D59)</f>
        <v>203.99900900127227</v>
      </c>
      <c r="E110" s="152">
        <f>IF(E19=0,0,1000000*E19/TrRoad_act!E59)</f>
        <v>191.64265200629461</v>
      </c>
      <c r="F110" s="152">
        <f>IF(F19=0,0,1000000*F19/TrRoad_act!F59)</f>
        <v>182.12553836767719</v>
      </c>
      <c r="G110" s="152">
        <f>IF(G19=0,0,1000000*G19/TrRoad_act!G59)</f>
        <v>173.26289591488742</v>
      </c>
      <c r="H110" s="152">
        <f>IF(H19=0,0,1000000*H19/TrRoad_act!H59)</f>
        <v>166.31255636419178</v>
      </c>
      <c r="I110" s="152">
        <f>IF(I19=0,0,1000000*I19/TrRoad_act!I59)</f>
        <v>159.20745040542619</v>
      </c>
      <c r="J110" s="152">
        <f>IF(J19=0,0,1000000*J19/TrRoad_act!J59)</f>
        <v>152.97633661051347</v>
      </c>
      <c r="K110" s="152">
        <f>IF(K19=0,0,1000000*K19/TrRoad_act!K59)</f>
        <v>150.21844989559082</v>
      </c>
      <c r="L110" s="152">
        <f>IF(L19=0,0,1000000*L19/TrRoad_act!L59)</f>
        <v>150.13447206202619</v>
      </c>
      <c r="M110" s="152">
        <f>IF(M19=0,0,1000000*M19/TrRoad_act!M59)</f>
        <v>149.26576217456446</v>
      </c>
      <c r="N110" s="152">
        <f>IF(N19=0,0,1000000*N19/TrRoad_act!N59)</f>
        <v>148.41114150089632</v>
      </c>
      <c r="O110" s="152">
        <f>IF(O19=0,0,1000000*O19/TrRoad_act!O59)</f>
        <v>149.00309282789951</v>
      </c>
      <c r="P110" s="152">
        <f>IF(P19=0,0,1000000*P19/TrRoad_act!P59)</f>
        <v>149.46626671942889</v>
      </c>
      <c r="Q110" s="152">
        <f>IF(Q19=0,0,1000000*Q19/TrRoad_act!Q59)</f>
        <v>150.73578052988708</v>
      </c>
      <c r="R110" s="152">
        <f>IF(R19=0,0,1000000*R19/TrRoad_act!R59)</f>
        <v>155.52811587018624</v>
      </c>
      <c r="S110" s="152">
        <f>IF(S19=0,0,1000000*S19/TrRoad_act!S59)</f>
        <v>160.33482694675351</v>
      </c>
      <c r="T110" s="152">
        <f>IF(T19=0,0,1000000*T19/TrRoad_act!T59)</f>
        <v>159.01246159374458</v>
      </c>
      <c r="U110" s="152">
        <f>IF(U19=0,0,1000000*U19/TrRoad_act!U59)</f>
        <v>162.79200116774743</v>
      </c>
      <c r="V110" s="152">
        <f>IF(V19=0,0,1000000*V19/TrRoad_act!V59)</f>
        <v>143.4218813573149</v>
      </c>
      <c r="W110" s="152">
        <f>IF(W19=0,0,1000000*W19/TrRoad_act!W59)</f>
        <v>165.71507151576603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2556.4937034473965</v>
      </c>
      <c r="C111" s="116">
        <f>IF(C20=0,0,1000000*C20/TrRoad_act!C60)</f>
        <v>2453.1134504441125</v>
      </c>
      <c r="D111" s="116">
        <f>IF(D20=0,0,1000000*D20/TrRoad_act!D60)</f>
        <v>2412.5193675349642</v>
      </c>
      <c r="E111" s="116">
        <f>IF(E20=0,0,1000000*E20/TrRoad_act!E60)</f>
        <v>2514.3740804553563</v>
      </c>
      <c r="F111" s="116">
        <f>IF(F20=0,0,1000000*F20/TrRoad_act!F60)</f>
        <v>2462.1429997551122</v>
      </c>
      <c r="G111" s="116">
        <f>IF(G20=0,0,1000000*G20/TrRoad_act!G60)</f>
        <v>2494.1294397315701</v>
      </c>
      <c r="H111" s="116">
        <f>IF(H20=0,0,1000000*H20/TrRoad_act!H60)</f>
        <v>2583.1192202645761</v>
      </c>
      <c r="I111" s="116">
        <f>IF(I20=0,0,1000000*I20/TrRoad_act!I60)</f>
        <v>2690.4443572089262</v>
      </c>
      <c r="J111" s="116">
        <f>IF(J20=0,0,1000000*J20/TrRoad_act!J60)</f>
        <v>2566.6663258490721</v>
      </c>
      <c r="K111" s="116">
        <f>IF(K20=0,0,1000000*K20/TrRoad_act!K60)</f>
        <v>2622.548364612041</v>
      </c>
      <c r="L111" s="116">
        <f>IF(L20=0,0,1000000*L20/TrRoad_act!L60)</f>
        <v>2536.8462338684772</v>
      </c>
      <c r="M111" s="116">
        <f>IF(M20=0,0,1000000*M20/TrRoad_act!M60)</f>
        <v>2511.1848091985617</v>
      </c>
      <c r="N111" s="116">
        <f>IF(N20=0,0,1000000*N20/TrRoad_act!N60)</f>
        <v>2604.3605884038402</v>
      </c>
      <c r="O111" s="116">
        <f>IF(O20=0,0,1000000*O20/TrRoad_act!O60)</f>
        <v>2548.6525150172192</v>
      </c>
      <c r="P111" s="116">
        <f>IF(P20=0,0,1000000*P20/TrRoad_act!P60)</f>
        <v>2537.8328837482504</v>
      </c>
      <c r="Q111" s="116">
        <f>IF(Q20=0,0,1000000*Q20/TrRoad_act!Q60)</f>
        <v>2637.382438879667</v>
      </c>
      <c r="R111" s="116">
        <f>IF(R20=0,0,1000000*R20/TrRoad_act!R60)</f>
        <v>2678.2123726990817</v>
      </c>
      <c r="S111" s="116">
        <f>IF(S20=0,0,1000000*S20/TrRoad_act!S60)</f>
        <v>2687.2254555327504</v>
      </c>
      <c r="T111" s="116">
        <f>IF(T20=0,0,1000000*T20/TrRoad_act!T60)</f>
        <v>2484.8910116733509</v>
      </c>
      <c r="U111" s="116">
        <f>IF(U20=0,0,1000000*U20/TrRoad_act!U60)</f>
        <v>2460.4776115632903</v>
      </c>
      <c r="V111" s="116">
        <f>IF(V20=0,0,1000000*V20/TrRoad_act!V60)</f>
        <v>2090.0595360033572</v>
      </c>
      <c r="W111" s="116">
        <f>IF(W20=0,0,1000000*W20/TrRoad_act!W60)</f>
        <v>2239.1757782136824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2586.5744999316057</v>
      </c>
      <c r="C112" s="87">
        <f>IF(C21=0,0,1000000*C21/TrRoad_act!C61)</f>
        <v>2420.1163124614413</v>
      </c>
      <c r="D112" s="87">
        <f>IF(D21=0,0,1000000*D21/TrRoad_act!D61)</f>
        <v>2416.5414094795319</v>
      </c>
      <c r="E112" s="87">
        <f>IF(E21=0,0,1000000*E21/TrRoad_act!E61)</f>
        <v>2376.6614947463763</v>
      </c>
      <c r="F112" s="87">
        <f>IF(F21=0,0,1000000*F21/TrRoad_act!F61)</f>
        <v>2268.9248075226296</v>
      </c>
      <c r="G112" s="87">
        <f>IF(G21=0,0,1000000*G21/TrRoad_act!G61)</f>
        <v>2227.0571499018238</v>
      </c>
      <c r="H112" s="87">
        <f>IF(H21=0,0,1000000*H21/TrRoad_act!H61)</f>
        <v>2227.4774837672376</v>
      </c>
      <c r="I112" s="87">
        <f>IF(I21=0,0,1000000*I21/TrRoad_act!I61)</f>
        <v>2247.5399197041606</v>
      </c>
      <c r="J112" s="87">
        <f>IF(J21=0,0,1000000*J21/TrRoad_act!J61)</f>
        <v>2144.2097883209622</v>
      </c>
      <c r="K112" s="87">
        <f>IF(K21=0,0,1000000*K21/TrRoad_act!K61)</f>
        <v>2209.5874552783057</v>
      </c>
      <c r="L112" s="87">
        <f>IF(L21=0,0,1000000*L21/TrRoad_act!L61)</f>
        <v>2115.643097046539</v>
      </c>
      <c r="M112" s="87">
        <f>IF(M21=0,0,1000000*M21/TrRoad_act!M61)</f>
        <v>2096.4867018572909</v>
      </c>
      <c r="N112" s="87">
        <f>IF(N21=0,0,1000000*N21/TrRoad_act!N61)</f>
        <v>2112.4201024949971</v>
      </c>
      <c r="O112" s="87">
        <f>IF(O21=0,0,1000000*O21/TrRoad_act!O61)</f>
        <v>2095.556396042457</v>
      </c>
      <c r="P112" s="87">
        <f>IF(P21=0,0,1000000*P21/TrRoad_act!P61)</f>
        <v>1980.7043332396197</v>
      </c>
      <c r="Q112" s="87">
        <f>IF(Q21=0,0,1000000*Q21/TrRoad_act!Q61)</f>
        <v>2031.245679898049</v>
      </c>
      <c r="R112" s="87">
        <f>IF(R21=0,0,1000000*R21/TrRoad_act!R61)</f>
        <v>2077.6449927963977</v>
      </c>
      <c r="S112" s="87">
        <f>IF(S21=0,0,1000000*S21/TrRoad_act!S61)</f>
        <v>2032.538063110138</v>
      </c>
      <c r="T112" s="87">
        <f>IF(T21=0,0,1000000*T21/TrRoad_act!T61)</f>
        <v>1999.5619668457705</v>
      </c>
      <c r="U112" s="87">
        <f>IF(U21=0,0,1000000*U21/TrRoad_act!U61)</f>
        <v>1937.2764054151212</v>
      </c>
      <c r="V112" s="87">
        <f>IF(V21=0,0,1000000*V21/TrRoad_act!V61)</f>
        <v>1647.869022428572</v>
      </c>
      <c r="W112" s="87">
        <f>IF(W21=0,0,1000000*W21/TrRoad_act!W61)</f>
        <v>1852.6987130276584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2454.9359774710174</v>
      </c>
      <c r="C113" s="87">
        <f>IF(C22=0,0,1000000*C22/TrRoad_act!C62)</f>
        <v>2574.2191957332971</v>
      </c>
      <c r="D113" s="87">
        <f>IF(D22=0,0,1000000*D22/TrRoad_act!D62)</f>
        <v>2397.334403696997</v>
      </c>
      <c r="E113" s="87">
        <f>IF(E22=0,0,1000000*E22/TrRoad_act!E62)</f>
        <v>2915.0648580484826</v>
      </c>
      <c r="F113" s="87">
        <f>IF(F22=0,0,1000000*F22/TrRoad_act!F62)</f>
        <v>2956.5432083879296</v>
      </c>
      <c r="G113" s="87">
        <f>IF(G22=0,0,1000000*G22/TrRoad_act!G62)</f>
        <v>3123.2544711641444</v>
      </c>
      <c r="H113" s="87">
        <f>IF(H22=0,0,1000000*H22/TrRoad_act!H62)</f>
        <v>3379.4478098160166</v>
      </c>
      <c r="I113" s="87">
        <f>IF(I22=0,0,1000000*I22/TrRoad_act!I62)</f>
        <v>3625.0499298525046</v>
      </c>
      <c r="J113" s="87">
        <f>IF(J22=0,0,1000000*J22/TrRoad_act!J62)</f>
        <v>3423.1433824974688</v>
      </c>
      <c r="K113" s="87">
        <f>IF(K22=0,0,1000000*K22/TrRoad_act!K62)</f>
        <v>3527.5971584442691</v>
      </c>
      <c r="L113" s="87">
        <f>IF(L22=0,0,1000000*L22/TrRoad_act!L62)</f>
        <v>3390.2639212770473</v>
      </c>
      <c r="M113" s="87">
        <f>IF(M22=0,0,1000000*M22/TrRoad_act!M62)</f>
        <v>3330.4774491402377</v>
      </c>
      <c r="N113" s="87">
        <f>IF(N22=0,0,1000000*N22/TrRoad_act!N62)</f>
        <v>3476.018105720068</v>
      </c>
      <c r="O113" s="87">
        <f>IF(O22=0,0,1000000*O22/TrRoad_act!O62)</f>
        <v>3302.7475880462316</v>
      </c>
      <c r="P113" s="87">
        <f>IF(P22=0,0,1000000*P22/TrRoad_act!P62)</f>
        <v>3358.1155755353243</v>
      </c>
      <c r="Q113" s="87">
        <f>IF(Q22=0,0,1000000*Q22/TrRoad_act!Q62)</f>
        <v>3452.9431629548685</v>
      </c>
      <c r="R113" s="87">
        <f>IF(R22=0,0,1000000*R22/TrRoad_act!R62)</f>
        <v>3418.459783776661</v>
      </c>
      <c r="S113" s="87">
        <f>IF(S22=0,0,1000000*S22/TrRoad_act!S62)</f>
        <v>3440.3758297940431</v>
      </c>
      <c r="T113" s="87">
        <f>IF(T22=0,0,1000000*T22/TrRoad_act!T62)</f>
        <v>3010.251963651097</v>
      </c>
      <c r="U113" s="87">
        <f>IF(U22=0,0,1000000*U22/TrRoad_act!U62)</f>
        <v>2998.5634045238144</v>
      </c>
      <c r="V113" s="87">
        <f>IF(V22=0,0,1000000*V22/TrRoad_act!V62)</f>
        <v>2541.5995489647344</v>
      </c>
      <c r="W113" s="87">
        <f>IF(W22=0,0,1000000*W22/TrRoad_act!W62)</f>
        <v>2653.7046975909439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2275.9684615384608</v>
      </c>
      <c r="C114" s="87">
        <f>IF(C23=0,0,1000000*C23/TrRoad_act!C63)</f>
        <v>2379.061109622085</v>
      </c>
      <c r="D114" s="87">
        <f>IF(D23=0,0,1000000*D23/TrRoad_act!D63)</f>
        <v>2455.2472999308493</v>
      </c>
      <c r="E114" s="87">
        <f>IF(E23=0,0,1000000*E23/TrRoad_act!E63)</f>
        <v>2290.0611455108365</v>
      </c>
      <c r="F114" s="87">
        <f>IF(F23=0,0,1000000*F23/TrRoad_act!F63)</f>
        <v>2288.0939513776343</v>
      </c>
      <c r="G114" s="87">
        <f>IF(G23=0,0,1000000*G23/TrRoad_act!G63)</f>
        <v>2236.7087485396205</v>
      </c>
      <c r="H114" s="87">
        <f>IF(H23=0,0,1000000*H23/TrRoad_act!H63)</f>
        <v>2226.6217101248831</v>
      </c>
      <c r="I114" s="87">
        <f>IF(I23=0,0,1000000*I23/TrRoad_act!I63)</f>
        <v>2152.0616359167589</v>
      </c>
      <c r="J114" s="87">
        <f>IF(J23=0,0,1000000*J23/TrRoad_act!J63)</f>
        <v>2221.8696842693812</v>
      </c>
      <c r="K114" s="87">
        <f>IF(K23=0,0,1000000*K23/TrRoad_act!K63)</f>
        <v>1895.6901962375557</v>
      </c>
      <c r="L114" s="87">
        <f>IF(L23=0,0,1000000*L23/TrRoad_act!L63)</f>
        <v>1881.5796246916698</v>
      </c>
      <c r="M114" s="87">
        <f>IF(M23=0,0,1000000*M23/TrRoad_act!M63)</f>
        <v>1812.4374351470738</v>
      </c>
      <c r="N114" s="87">
        <f>IF(N23=0,0,1000000*N23/TrRoad_act!N63)</f>
        <v>1920.6060283596844</v>
      </c>
      <c r="O114" s="87">
        <f>IF(O23=0,0,1000000*O23/TrRoad_act!O63)</f>
        <v>1995.2834696291525</v>
      </c>
      <c r="P114" s="87">
        <f>IF(P23=0,0,1000000*P23/TrRoad_act!P63)</f>
        <v>2044.8822080580223</v>
      </c>
      <c r="Q114" s="87">
        <f>IF(Q23=0,0,1000000*Q23/TrRoad_act!Q63)</f>
        <v>2125.1189443435633</v>
      </c>
      <c r="R114" s="87">
        <f>IF(R23=0,0,1000000*R23/TrRoad_act!R63)</f>
        <v>2109.5246822394301</v>
      </c>
      <c r="S114" s="87">
        <f>IF(S23=0,0,1000000*S23/TrRoad_act!S63)</f>
        <v>1978.255941358158</v>
      </c>
      <c r="T114" s="87">
        <f>IF(T23=0,0,1000000*T23/TrRoad_act!T63)</f>
        <v>1834.0581144383493</v>
      </c>
      <c r="U114" s="87">
        <f>IF(U23=0,0,1000000*U23/TrRoad_act!U63)</f>
        <v>1637.4462541246069</v>
      </c>
      <c r="V114" s="87">
        <f>IF(V23=0,0,1000000*V23/TrRoad_act!V63)</f>
        <v>1258.563961113588</v>
      </c>
      <c r="W114" s="87">
        <f>IF(W23=0,0,1000000*W23/TrRoad_act!W63)</f>
        <v>1272.8218033736855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2548.1824316753086</v>
      </c>
      <c r="L115" s="87">
        <f>IF(L24=0,0,1000000*L24/TrRoad_act!L64)</f>
        <v>2571.6768234478482</v>
      </c>
      <c r="M115" s="87">
        <f>IF(M24=0,0,1000000*M24/TrRoad_act!M64)</f>
        <v>2578.8574873628359</v>
      </c>
      <c r="N115" s="87">
        <f>IF(N24=0,0,1000000*N24/TrRoad_act!N64)</f>
        <v>2712.8859011182967</v>
      </c>
      <c r="O115" s="87">
        <f>IF(O24=0,0,1000000*O24/TrRoad_act!O64)</f>
        <v>2728.9806242154518</v>
      </c>
      <c r="P115" s="87">
        <f>IF(P24=0,0,1000000*P24/TrRoad_act!P64)</f>
        <v>2648.9595695429907</v>
      </c>
      <c r="Q115" s="87">
        <f>IF(Q24=0,0,1000000*Q24/TrRoad_act!Q64)</f>
        <v>2627.9876758781611</v>
      </c>
      <c r="R115" s="87">
        <f>IF(R24=0,0,1000000*R24/TrRoad_act!R64)</f>
        <v>2759.1433245787757</v>
      </c>
      <c r="S115" s="87">
        <f>IF(S24=0,0,1000000*S24/TrRoad_act!S64)</f>
        <v>2725.1439006026544</v>
      </c>
      <c r="T115" s="87">
        <f>IF(T24=0,0,1000000*T24/TrRoad_act!T64)</f>
        <v>2748.6727854454466</v>
      </c>
      <c r="U115" s="87">
        <f>IF(U24=0,0,1000000*U24/TrRoad_act!U64)</f>
        <v>2580.0718042906392</v>
      </c>
      <c r="V115" s="87">
        <f>IF(V24=0,0,1000000*V24/TrRoad_act!V64)</f>
        <v>2067.188424006124</v>
      </c>
      <c r="W115" s="87">
        <f>IF(W24=0,0,1000000*W24/TrRoad_act!W64)</f>
        <v>2416.8818260520738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0</v>
      </c>
      <c r="P116" s="87">
        <f>IF(P25=0,0,1000000*P25/TrRoad_act!P65)</f>
        <v>831.82428860362756</v>
      </c>
      <c r="Q116" s="87">
        <f>IF(Q25=0,0,1000000*Q25/TrRoad_act!Q65)</f>
        <v>883.33628881682387</v>
      </c>
      <c r="R116" s="87">
        <f>IF(R25=0,0,1000000*R25/TrRoad_act!R65)</f>
        <v>913.94607081744732</v>
      </c>
      <c r="S116" s="87">
        <f>IF(S25=0,0,1000000*S25/TrRoad_act!S65)</f>
        <v>900.09234076810026</v>
      </c>
      <c r="T116" s="87">
        <f>IF(T25=0,0,1000000*T25/TrRoad_act!T65)</f>
        <v>905.26422297713748</v>
      </c>
      <c r="U116" s="87">
        <f>IF(U25=0,0,1000000*U25/TrRoad_act!U65)</f>
        <v>949.53054077986224</v>
      </c>
      <c r="V116" s="87">
        <f>IF(V25=0,0,1000000*V25/TrRoad_act!V65)</f>
        <v>682.86988654791128</v>
      </c>
      <c r="W116" s="87">
        <f>IF(W25=0,0,1000000*W25/TrRoad_act!W65)</f>
        <v>721.63645203567296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63571.395645802906</v>
      </c>
      <c r="C118" s="116">
        <f>IF(C27=0,0,1000000*C27/TrRoad_act!C67)</f>
        <v>60930.058902231496</v>
      </c>
      <c r="D118" s="116">
        <f>IF(D27=0,0,1000000*D27/TrRoad_act!D67)</f>
        <v>60088.601610786587</v>
      </c>
      <c r="E118" s="116">
        <f>IF(E27=0,0,1000000*E27/TrRoad_act!E67)</f>
        <v>60003.797654894101</v>
      </c>
      <c r="F118" s="116">
        <f>IF(F27=0,0,1000000*F27/TrRoad_act!F67)</f>
        <v>58276.674112727225</v>
      </c>
      <c r="G118" s="116">
        <f>IF(G27=0,0,1000000*G27/TrRoad_act!G67)</f>
        <v>57400.640775210195</v>
      </c>
      <c r="H118" s="116">
        <f>IF(H27=0,0,1000000*H27/TrRoad_act!H67)</f>
        <v>56852.563539843191</v>
      </c>
      <c r="I118" s="116">
        <f>IF(I27=0,0,1000000*I27/TrRoad_act!I67)</f>
        <v>57358.880837284625</v>
      </c>
      <c r="J118" s="116">
        <f>IF(J27=0,0,1000000*J27/TrRoad_act!J67)</f>
        <v>56648.911129261141</v>
      </c>
      <c r="K118" s="116">
        <f>IF(K27=0,0,1000000*K27/TrRoad_act!K67)</f>
        <v>57931.395420176865</v>
      </c>
      <c r="L118" s="116">
        <f>IF(L27=0,0,1000000*L27/TrRoad_act!L67)</f>
        <v>59232.932552551021</v>
      </c>
      <c r="M118" s="116">
        <f>IF(M27=0,0,1000000*M27/TrRoad_act!M67)</f>
        <v>57081.956122891344</v>
      </c>
      <c r="N118" s="116">
        <f>IF(N27=0,0,1000000*N27/TrRoad_act!N67)</f>
        <v>55406.418337696501</v>
      </c>
      <c r="O118" s="116">
        <f>IF(O27=0,0,1000000*O27/TrRoad_act!O67)</f>
        <v>54810.626684228242</v>
      </c>
      <c r="P118" s="116">
        <f>IF(P27=0,0,1000000*P27/TrRoad_act!P67)</f>
        <v>53034.068089269349</v>
      </c>
      <c r="Q118" s="116">
        <f>IF(Q27=0,0,1000000*Q27/TrRoad_act!Q67)</f>
        <v>55513.002591528071</v>
      </c>
      <c r="R118" s="116">
        <f>IF(R27=0,0,1000000*R27/TrRoad_act!R67)</f>
        <v>57694.455489732725</v>
      </c>
      <c r="S118" s="116">
        <f>IF(S27=0,0,1000000*S27/TrRoad_act!S67)</f>
        <v>59907.426457166213</v>
      </c>
      <c r="T118" s="116">
        <f>IF(T27=0,0,1000000*T27/TrRoad_act!T67)</f>
        <v>58871.102260469401</v>
      </c>
      <c r="U118" s="116">
        <f>IF(U27=0,0,1000000*U27/TrRoad_act!U67)</f>
        <v>48017.662607343635</v>
      </c>
      <c r="V118" s="116">
        <f>IF(V27=0,0,1000000*V27/TrRoad_act!V67)</f>
        <v>35673.373348597663</v>
      </c>
      <c r="W118" s="116">
        <f>IF(W27=0,0,1000000*W27/TrRoad_act!W67)</f>
        <v>38756.765573960904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13213.06107246837</v>
      </c>
      <c r="C119" s="101">
        <f>IF(C28=0,0,1000000*C28/TrRoad_act!C68)</f>
        <v>12965.099337598405</v>
      </c>
      <c r="D119" s="101">
        <f>IF(D28=0,0,1000000*D28/TrRoad_act!D68)</f>
        <v>12537.579017304268</v>
      </c>
      <c r="E119" s="101">
        <f>IF(E28=0,0,1000000*E28/TrRoad_act!E68)</f>
        <v>12238.802941053433</v>
      </c>
      <c r="F119" s="101">
        <f>IF(F28=0,0,1000000*F28/TrRoad_act!F68)</f>
        <v>11937.516523135448</v>
      </c>
      <c r="G119" s="101">
        <f>IF(G28=0,0,1000000*G28/TrRoad_act!G68)</f>
        <v>11596.937922779431</v>
      </c>
      <c r="H119" s="101">
        <f>IF(H28=0,0,1000000*H28/TrRoad_act!H68)</f>
        <v>11257.74744219744</v>
      </c>
      <c r="I119" s="101">
        <f>IF(I28=0,0,1000000*I28/TrRoad_act!I68)</f>
        <v>11007.719878882182</v>
      </c>
      <c r="J119" s="101">
        <f>IF(J28=0,0,1000000*J28/TrRoad_act!J68)</f>
        <v>10695.082252313783</v>
      </c>
      <c r="K119" s="101">
        <f>IF(K28=0,0,1000000*K28/TrRoad_act!K68)</f>
        <v>10451.164665455966</v>
      </c>
      <c r="L119" s="101">
        <f>IF(L28=0,0,1000000*L28/TrRoad_act!L68)</f>
        <v>10659.251696898269</v>
      </c>
      <c r="M119" s="101">
        <f>IF(M28=0,0,1000000*M28/TrRoad_act!M68)</f>
        <v>10374.320143548279</v>
      </c>
      <c r="N119" s="101">
        <f>IF(N28=0,0,1000000*N28/TrRoad_act!N68)</f>
        <v>10091.04083191758</v>
      </c>
      <c r="O119" s="101">
        <f>IF(O28=0,0,1000000*O28/TrRoad_act!O68)</f>
        <v>9760.3714483089134</v>
      </c>
      <c r="P119" s="101">
        <f>IF(P28=0,0,1000000*P28/TrRoad_act!P68)</f>
        <v>9571.5711655488049</v>
      </c>
      <c r="Q119" s="101">
        <f>IF(Q28=0,0,1000000*Q28/TrRoad_act!Q68)</f>
        <v>9636.9570200517283</v>
      </c>
      <c r="R119" s="101">
        <f>IF(R28=0,0,1000000*R28/TrRoad_act!R68)</f>
        <v>10170.924636252856</v>
      </c>
      <c r="S119" s="101">
        <f>IF(S28=0,0,1000000*S28/TrRoad_act!S68)</f>
        <v>10192.953883161837</v>
      </c>
      <c r="T119" s="101">
        <f>IF(T28=0,0,1000000*T28/TrRoad_act!T68)</f>
        <v>10508.339687186601</v>
      </c>
      <c r="U119" s="101">
        <f>IF(U28=0,0,1000000*U28/TrRoad_act!U68)</f>
        <v>8050.8672929611148</v>
      </c>
      <c r="V119" s="101">
        <f>IF(V28=0,0,1000000*V28/TrRoad_act!V68)</f>
        <v>5844.2476842312817</v>
      </c>
      <c r="W119" s="101">
        <f>IF(W28=0,0,1000000*W28/TrRoad_act!W68)</f>
        <v>6557.2342056097341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63805.702192613811</v>
      </c>
      <c r="C120" s="101">
        <f>IF(C29=0,0,1000000*C29/TrRoad_act!C69)</f>
        <v>61162.576019234562</v>
      </c>
      <c r="D120" s="101">
        <f>IF(D29=0,0,1000000*D29/TrRoad_act!D69)</f>
        <v>60323.921437178549</v>
      </c>
      <c r="E120" s="101">
        <f>IF(E29=0,0,1000000*E29/TrRoad_act!E69)</f>
        <v>60233.253193951787</v>
      </c>
      <c r="F120" s="101">
        <f>IF(F29=0,0,1000000*F29/TrRoad_act!F69)</f>
        <v>58487.882670564926</v>
      </c>
      <c r="G120" s="101">
        <f>IF(G29=0,0,1000000*G29/TrRoad_act!G69)</f>
        <v>57614.117166815246</v>
      </c>
      <c r="H120" s="101">
        <f>IF(H29=0,0,1000000*H29/TrRoad_act!H69)</f>
        <v>57069.460388421874</v>
      </c>
      <c r="I120" s="101">
        <f>IF(I29=0,0,1000000*I29/TrRoad_act!I69)</f>
        <v>57562.741405131666</v>
      </c>
      <c r="J120" s="101">
        <f>IF(J29=0,0,1000000*J29/TrRoad_act!J69)</f>
        <v>56875.065096033082</v>
      </c>
      <c r="K120" s="101">
        <f>IF(K29=0,0,1000000*K29/TrRoad_act!K69)</f>
        <v>58253.661687601998</v>
      </c>
      <c r="L120" s="101">
        <f>IF(L29=0,0,1000000*L29/TrRoad_act!L69)</f>
        <v>59338.170157294291</v>
      </c>
      <c r="M120" s="101">
        <f>IF(M29=0,0,1000000*M29/TrRoad_act!M69)</f>
        <v>57549.521241281924</v>
      </c>
      <c r="N120" s="101">
        <f>IF(N29=0,0,1000000*N29/TrRoad_act!N69)</f>
        <v>55885.353461105435</v>
      </c>
      <c r="O120" s="101">
        <f>IF(O29=0,0,1000000*O29/TrRoad_act!O69)</f>
        <v>55645.035317578499</v>
      </c>
      <c r="P120" s="101">
        <f>IF(P29=0,0,1000000*P29/TrRoad_act!P69)</f>
        <v>54414.821278799536</v>
      </c>
      <c r="Q120" s="101">
        <f>IF(Q29=0,0,1000000*Q29/TrRoad_act!Q69)</f>
        <v>56908.218700824189</v>
      </c>
      <c r="R120" s="101">
        <f>IF(R29=0,0,1000000*R29/TrRoad_act!R69)</f>
        <v>59029.672921429235</v>
      </c>
      <c r="S120" s="101">
        <f>IF(S29=0,0,1000000*S29/TrRoad_act!S69)</f>
        <v>61205.710973526191</v>
      </c>
      <c r="T120" s="101">
        <f>IF(T29=0,0,1000000*T29/TrRoad_act!T69)</f>
        <v>60067.155076854957</v>
      </c>
      <c r="U120" s="101">
        <f>IF(U29=0,0,1000000*U29/TrRoad_act!U69)</f>
        <v>48818.429238964127</v>
      </c>
      <c r="V120" s="101">
        <f>IF(V29=0,0,1000000*V29/TrRoad_act!V69)</f>
        <v>36308.098840753373</v>
      </c>
      <c r="W120" s="101">
        <f>IF(W29=0,0,1000000*W29/TrRoad_act!W69)</f>
        <v>39233.73115503227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25824.115098998314</v>
      </c>
      <c r="J121" s="101">
        <f>IF(J30=0,0,1000000*J30/TrRoad_act!J70)</f>
        <v>25817.825326003378</v>
      </c>
      <c r="K121" s="101">
        <f>IF(K30=0,0,1000000*K30/TrRoad_act!K70)</f>
        <v>25908.580441193924</v>
      </c>
      <c r="L121" s="101">
        <f>IF(L30=0,0,1000000*L30/TrRoad_act!L70)</f>
        <v>26973.43590758408</v>
      </c>
      <c r="M121" s="101">
        <f>IF(M30=0,0,1000000*M30/TrRoad_act!M70)</f>
        <v>27495.57849898277</v>
      </c>
      <c r="N121" s="101">
        <f>IF(N30=0,0,1000000*N30/TrRoad_act!N70)</f>
        <v>27451.580068864983</v>
      </c>
      <c r="O121" s="101">
        <f>IF(O30=0,0,1000000*O30/TrRoad_act!O70)</f>
        <v>28339.443131216329</v>
      </c>
      <c r="P121" s="101">
        <f>IF(P30=0,0,1000000*P30/TrRoad_act!P70)</f>
        <v>28468.224970785323</v>
      </c>
      <c r="Q121" s="101">
        <f>IF(Q30=0,0,1000000*Q30/TrRoad_act!Q70)</f>
        <v>29417.825072228232</v>
      </c>
      <c r="R121" s="101">
        <f>IF(R30=0,0,1000000*R30/TrRoad_act!R70)</f>
        <v>30433.51022347367</v>
      </c>
      <c r="S121" s="101">
        <f>IF(S30=0,0,1000000*S30/TrRoad_act!S70)</f>
        <v>29996.597397909463</v>
      </c>
      <c r="T121" s="101">
        <f>IF(T30=0,0,1000000*T30/TrRoad_act!T70)</f>
        <v>30317.446098994482</v>
      </c>
      <c r="U121" s="101">
        <f>IF(U30=0,0,1000000*U30/TrRoad_act!U70)</f>
        <v>22706.142438028201</v>
      </c>
      <c r="V121" s="101">
        <f>IF(V30=0,0,1000000*V30/TrRoad_act!V70)</f>
        <v>15968.149675142327</v>
      </c>
      <c r="W121" s="101">
        <f>IF(W30=0,0,1000000*W30/TrRoad_act!W70)</f>
        <v>17564.496107152117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42040.2897149415</v>
      </c>
      <c r="L122" s="101">
        <f>IF(L31=0,0,1000000*L31/TrRoad_act!L71)</f>
        <v>75358.82714999358</v>
      </c>
      <c r="M122" s="101">
        <f>IF(M31=0,0,1000000*M31/TrRoad_act!M71)</f>
        <v>19682.62410965138</v>
      </c>
      <c r="N122" s="101">
        <f>IF(N31=0,0,1000000*N31/TrRoad_act!N71)</f>
        <v>21780.831923028705</v>
      </c>
      <c r="O122" s="101">
        <f>IF(O31=0,0,1000000*O31/TrRoad_act!O71)</f>
        <v>21672.03327043715</v>
      </c>
      <c r="P122" s="101">
        <f>IF(P31=0,0,1000000*P31/TrRoad_act!P71)</f>
        <v>21908.059165845021</v>
      </c>
      <c r="Q122" s="101">
        <f>IF(Q31=0,0,1000000*Q31/TrRoad_act!Q71)</f>
        <v>22886.2046851618</v>
      </c>
      <c r="R122" s="101">
        <f>IF(R31=0,0,1000000*R31/TrRoad_act!R71)</f>
        <v>25666.845892942045</v>
      </c>
      <c r="S122" s="101">
        <f>IF(S31=0,0,1000000*S31/TrRoad_act!S71)</f>
        <v>28965.143837481988</v>
      </c>
      <c r="T122" s="101">
        <f>IF(T31=0,0,1000000*T31/TrRoad_act!T71)</f>
        <v>29362.301870348492</v>
      </c>
      <c r="U122" s="101">
        <f>IF(U31=0,0,1000000*U31/TrRoad_act!U71)</f>
        <v>28331.089897613823</v>
      </c>
      <c r="V122" s="101">
        <f>IF(V31=0,0,1000000*V31/TrRoad_act!V71)</f>
        <v>21043.60698430851</v>
      </c>
      <c r="W122" s="101">
        <f>IF(W31=0,0,1000000*W31/TrRoad_act!W71)</f>
        <v>28635.985485370467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4001.9233768779277</v>
      </c>
      <c r="C125" s="152">
        <f>IF(C34=0,0,1000000*C34/TrRoad_act!C74)</f>
        <v>3699.3266024968243</v>
      </c>
      <c r="D125" s="152">
        <f>IF(D34=0,0,1000000*D34/TrRoad_act!D74)</f>
        <v>3860.7104911362153</v>
      </c>
      <c r="E125" s="152">
        <f>IF(E34=0,0,1000000*E34/TrRoad_act!E74)</f>
        <v>3917.364895010955</v>
      </c>
      <c r="F125" s="152">
        <f>IF(F34=0,0,1000000*F34/TrRoad_act!F74)</f>
        <v>3962.5178857454443</v>
      </c>
      <c r="G125" s="152">
        <f>IF(G34=0,0,1000000*G34/TrRoad_act!G74)</f>
        <v>4096.9716451594759</v>
      </c>
      <c r="H125" s="152">
        <f>IF(H34=0,0,1000000*H34/TrRoad_act!H74)</f>
        <v>4038.1073214043608</v>
      </c>
      <c r="I125" s="152">
        <f>IF(I34=0,0,1000000*I34/TrRoad_act!I74)</f>
        <v>4069.080859870593</v>
      </c>
      <c r="J125" s="152">
        <f>IF(J34=0,0,1000000*J34/TrRoad_act!J74)</f>
        <v>4041.3515995523185</v>
      </c>
      <c r="K125" s="152">
        <f>IF(K34=0,0,1000000*K34/TrRoad_act!K74)</f>
        <v>3948.1627883767896</v>
      </c>
      <c r="L125" s="152">
        <f>IF(L34=0,0,1000000*L34/TrRoad_act!L74)</f>
        <v>3861.9898339476072</v>
      </c>
      <c r="M125" s="152">
        <f>IF(M34=0,0,1000000*M34/TrRoad_act!M74)</f>
        <v>3884.5263497298629</v>
      </c>
      <c r="N125" s="152">
        <f>IF(N34=0,0,1000000*N34/TrRoad_act!N74)</f>
        <v>3841.7447805196134</v>
      </c>
      <c r="O125" s="152">
        <f>IF(O34=0,0,1000000*O34/TrRoad_act!O74)</f>
        <v>3795.3518029369693</v>
      </c>
      <c r="P125" s="152">
        <f>IF(P34=0,0,1000000*P34/TrRoad_act!P74)</f>
        <v>3595.652579418283</v>
      </c>
      <c r="Q125" s="152">
        <f>IF(Q34=0,0,1000000*Q34/TrRoad_act!Q74)</f>
        <v>3475.3672945529866</v>
      </c>
      <c r="R125" s="152">
        <f>IF(R34=0,0,1000000*R34/TrRoad_act!R74)</f>
        <v>3386.550103557392</v>
      </c>
      <c r="S125" s="152">
        <f>IF(S34=0,0,1000000*S34/TrRoad_act!S74)</f>
        <v>3587.961975566443</v>
      </c>
      <c r="T125" s="152">
        <f>IF(T34=0,0,1000000*T34/TrRoad_act!T74)</f>
        <v>3514.6084989919382</v>
      </c>
      <c r="U125" s="152">
        <f>IF(U34=0,0,1000000*U34/TrRoad_act!U74)</f>
        <v>3465.2822626121701</v>
      </c>
      <c r="V125" s="152">
        <f>IF(V34=0,0,1000000*V34/TrRoad_act!V74)</f>
        <v>3364.922935187536</v>
      </c>
      <c r="W125" s="152">
        <f>IF(W34=0,0,1000000*W34/TrRoad_act!W74)</f>
        <v>3435.7458989490033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3255.1124378817494</v>
      </c>
      <c r="C126" s="87">
        <f>IF(C35=0,0,1000000*C35/TrRoad_act!C75)</f>
        <v>3236.1556402635351</v>
      </c>
      <c r="D126" s="87">
        <f>IF(D35=0,0,1000000*D35/TrRoad_act!D75)</f>
        <v>3247.8866251743543</v>
      </c>
      <c r="E126" s="87">
        <f>IF(E35=0,0,1000000*E35/TrRoad_act!E75)</f>
        <v>3261.6911606953868</v>
      </c>
      <c r="F126" s="87">
        <f>IF(F35=0,0,1000000*F35/TrRoad_act!F75)</f>
        <v>3274.6478300349872</v>
      </c>
      <c r="G126" s="87">
        <f>IF(G35=0,0,1000000*G35/TrRoad_act!G75)</f>
        <v>3285.0275496747586</v>
      </c>
      <c r="H126" s="87">
        <f>IF(H35=0,0,1000000*H35/TrRoad_act!H75)</f>
        <v>3288.9023873674546</v>
      </c>
      <c r="I126" s="87">
        <f>IF(I35=0,0,1000000*I35/TrRoad_act!I75)</f>
        <v>3222.6987281784864</v>
      </c>
      <c r="J126" s="87">
        <f>IF(J35=0,0,1000000*J35/TrRoad_act!J75)</f>
        <v>3144.1478168548751</v>
      </c>
      <c r="K126" s="87">
        <f>IF(K35=0,0,1000000*K35/TrRoad_act!K75)</f>
        <v>2993.1399839591654</v>
      </c>
      <c r="L126" s="87">
        <f>IF(L35=0,0,1000000*L35/TrRoad_act!L75)</f>
        <v>2864.4962767705529</v>
      </c>
      <c r="M126" s="87">
        <f>IF(M35=0,0,1000000*M35/TrRoad_act!M75)</f>
        <v>2869.7626005380848</v>
      </c>
      <c r="N126" s="87">
        <f>IF(N35=0,0,1000000*N35/TrRoad_act!N75)</f>
        <v>2837.6583150851975</v>
      </c>
      <c r="O126" s="87">
        <f>IF(O35=0,0,1000000*O35/TrRoad_act!O75)</f>
        <v>2798.1634671352258</v>
      </c>
      <c r="P126" s="87">
        <f>IF(P35=0,0,1000000*P35/TrRoad_act!P75)</f>
        <v>2709.1307709001026</v>
      </c>
      <c r="Q126" s="87">
        <f>IF(Q35=0,0,1000000*Q35/TrRoad_act!Q75)</f>
        <v>2622.5506066372113</v>
      </c>
      <c r="R126" s="87">
        <f>IF(R35=0,0,1000000*R35/TrRoad_act!R75)</f>
        <v>2604.1382856026307</v>
      </c>
      <c r="S126" s="87">
        <f>IF(S35=0,0,1000000*S35/TrRoad_act!S75)</f>
        <v>2715.3720807961995</v>
      </c>
      <c r="T126" s="87">
        <f>IF(T35=0,0,1000000*T35/TrRoad_act!T75)</f>
        <v>2816.3842519052123</v>
      </c>
      <c r="U126" s="87">
        <f>IF(U35=0,0,1000000*U35/TrRoad_act!U75)</f>
        <v>2814.3520434717498</v>
      </c>
      <c r="V126" s="87">
        <f>IF(V35=0,0,1000000*V35/TrRoad_act!V75)</f>
        <v>2778.7114658889354</v>
      </c>
      <c r="W126" s="87">
        <f>IF(W35=0,0,1000000*W35/TrRoad_act!W75)</f>
        <v>2833.3905120951595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4173.6203226059279</v>
      </c>
      <c r="C127" s="87">
        <f>IF(C36=0,0,1000000*C36/TrRoad_act!C76)</f>
        <v>3803.6029687596183</v>
      </c>
      <c r="D127" s="87">
        <f>IF(D36=0,0,1000000*D36/TrRoad_act!D76)</f>
        <v>3982.4166989600735</v>
      </c>
      <c r="E127" s="87">
        <f>IF(E36=0,0,1000000*E36/TrRoad_act!E76)</f>
        <v>4029.4227393832725</v>
      </c>
      <c r="F127" s="87">
        <f>IF(F36=0,0,1000000*F36/TrRoad_act!F76)</f>
        <v>4063.4119806093931</v>
      </c>
      <c r="G127" s="87">
        <f>IF(G36=0,0,1000000*G36/TrRoad_act!G76)</f>
        <v>4201.0832174146572</v>
      </c>
      <c r="H127" s="87">
        <f>IF(H36=0,0,1000000*H36/TrRoad_act!H76)</f>
        <v>4125.9765612099236</v>
      </c>
      <c r="I127" s="87">
        <f>IF(I36=0,0,1000000*I36/TrRoad_act!I76)</f>
        <v>4153.4970341902736</v>
      </c>
      <c r="J127" s="87">
        <f>IF(J36=0,0,1000000*J36/TrRoad_act!J76)</f>
        <v>4133.6011608779345</v>
      </c>
      <c r="K127" s="87">
        <f>IF(K36=0,0,1000000*K36/TrRoad_act!K76)</f>
        <v>4042.1436537823456</v>
      </c>
      <c r="L127" s="87">
        <f>IF(L36=0,0,1000000*L36/TrRoad_act!L76)</f>
        <v>3955.6247624456619</v>
      </c>
      <c r="M127" s="87">
        <f>IF(M36=0,0,1000000*M36/TrRoad_act!M76)</f>
        <v>3975.0419714590485</v>
      </c>
      <c r="N127" s="87">
        <f>IF(N36=0,0,1000000*N36/TrRoad_act!N76)</f>
        <v>3915.2565261995351</v>
      </c>
      <c r="O127" s="87">
        <f>IF(O36=0,0,1000000*O36/TrRoad_act!O76)</f>
        <v>3868.0461579438133</v>
      </c>
      <c r="P127" s="87">
        <f>IF(P36=0,0,1000000*P36/TrRoad_act!P76)</f>
        <v>3661.4438390380428</v>
      </c>
      <c r="Q127" s="87">
        <f>IF(Q36=0,0,1000000*Q36/TrRoad_act!Q76)</f>
        <v>3530.0525344168677</v>
      </c>
      <c r="R127" s="87">
        <f>IF(R36=0,0,1000000*R36/TrRoad_act!R76)</f>
        <v>3436.0468343501502</v>
      </c>
      <c r="S127" s="87">
        <f>IF(S36=0,0,1000000*S36/TrRoad_act!S76)</f>
        <v>3642.1476685160051</v>
      </c>
      <c r="T127" s="87">
        <f>IF(T36=0,0,1000000*T36/TrRoad_act!T76)</f>
        <v>3558.9815443751418</v>
      </c>
      <c r="U127" s="87">
        <f>IF(U36=0,0,1000000*U36/TrRoad_act!U76)</f>
        <v>3505.7915861904257</v>
      </c>
      <c r="V127" s="87">
        <f>IF(V36=0,0,1000000*V36/TrRoad_act!V76)</f>
        <v>3403.0861232879734</v>
      </c>
      <c r="W127" s="87">
        <f>IF(W36=0,0,1000000*W36/TrRoad_act!W76)</f>
        <v>3473.5468955347264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1644.2687170708357</v>
      </c>
      <c r="J128" s="87">
        <f>IF(J37=0,0,1000000*J37/TrRoad_act!J77)</f>
        <v>1605.0776182128218</v>
      </c>
      <c r="K128" s="87">
        <f>IF(K37=0,0,1000000*K37/TrRoad_act!K77)</f>
        <v>1564.6627241524288</v>
      </c>
      <c r="L128" s="87">
        <f>IF(L37=0,0,1000000*L37/TrRoad_act!L77)</f>
        <v>1522.112897870232</v>
      </c>
      <c r="M128" s="87">
        <f>IF(M37=0,0,1000000*M37/TrRoad_act!M77)</f>
        <v>1550.5723287504052</v>
      </c>
      <c r="N128" s="87">
        <f>IF(N37=0,0,1000000*N37/TrRoad_act!N77)</f>
        <v>1576.6500905508674</v>
      </c>
      <c r="O128" s="87">
        <f>IF(O37=0,0,1000000*O37/TrRoad_act!O77)</f>
        <v>1569.6319553142514</v>
      </c>
      <c r="P128" s="87">
        <f>IF(P37=0,0,1000000*P37/TrRoad_act!P77)</f>
        <v>1533.3612308870997</v>
      </c>
      <c r="Q128" s="87">
        <f>IF(Q37=0,0,1000000*Q37/TrRoad_act!Q77)</f>
        <v>1543.3502837157839</v>
      </c>
      <c r="R128" s="87">
        <f>IF(R37=0,0,1000000*R37/TrRoad_act!R77)</f>
        <v>1478.0042275872142</v>
      </c>
      <c r="S128" s="87">
        <f>IF(S37=0,0,1000000*S37/TrRoad_act!S77)</f>
        <v>1577.2668985181172</v>
      </c>
      <c r="T128" s="87">
        <f>IF(T37=0,0,1000000*T37/TrRoad_act!T77)</f>
        <v>1641.6783540119886</v>
      </c>
      <c r="U128" s="87">
        <f>IF(U37=0,0,1000000*U37/TrRoad_act!U77)</f>
        <v>1639.9133928060348</v>
      </c>
      <c r="V128" s="87">
        <f>IF(V37=0,0,1000000*V37/TrRoad_act!V77)</f>
        <v>1631.3742092110106</v>
      </c>
      <c r="W128" s="87">
        <f>IF(W37=0,0,1000000*W37/TrRoad_act!W77)</f>
        <v>1714.8276170549261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1733.709788515682</v>
      </c>
      <c r="L129" s="87">
        <f>IF(L38=0,0,1000000*L38/TrRoad_act!L78)</f>
        <v>1726.2805605628496</v>
      </c>
      <c r="M129" s="87">
        <f>IF(M38=0,0,1000000*M38/TrRoad_act!M78)</f>
        <v>1795.9960684157197</v>
      </c>
      <c r="N129" s="87">
        <f>IF(N38=0,0,1000000*N38/TrRoad_act!N78)</f>
        <v>1840.2301908641034</v>
      </c>
      <c r="O129" s="87">
        <f>IF(O38=0,0,1000000*O38/TrRoad_act!O78)</f>
        <v>1881.2479398576563</v>
      </c>
      <c r="P129" s="87">
        <f>IF(P38=0,0,1000000*P38/TrRoad_act!P78)</f>
        <v>1878.2602102353117</v>
      </c>
      <c r="Q129" s="87">
        <f>IF(Q38=0,0,1000000*Q38/TrRoad_act!Q78)</f>
        <v>1885.8802734926317</v>
      </c>
      <c r="R129" s="87">
        <f>IF(R38=0,0,1000000*R38/TrRoad_act!R78)</f>
        <v>1791.1157465590361</v>
      </c>
      <c r="S129" s="87">
        <f>IF(S38=0,0,1000000*S38/TrRoad_act!S78)</f>
        <v>1857.7152319828035</v>
      </c>
      <c r="T129" s="87">
        <f>IF(T38=0,0,1000000*T38/TrRoad_act!T78)</f>
        <v>1860.7844051519667</v>
      </c>
      <c r="U129" s="87">
        <f>IF(U38=0,0,1000000*U38/TrRoad_act!U78)</f>
        <v>1810.5001236608771</v>
      </c>
      <c r="V129" s="87">
        <f>IF(V38=0,0,1000000*V38/TrRoad_act!V78)</f>
        <v>1731.9276110400604</v>
      </c>
      <c r="W129" s="87">
        <f>IF(W38=0,0,1000000*W38/TrRoad_act!W78)</f>
        <v>1760.3600593696694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12913.840180755504</v>
      </c>
      <c r="C131" s="116">
        <f>IF(C40=0,0,1000000*C40/TrRoad_act!C80)</f>
        <v>10151.734819802958</v>
      </c>
      <c r="D131" s="116">
        <f>IF(D40=0,0,1000000*D40/TrRoad_act!D80)</f>
        <v>13191.866885278445</v>
      </c>
      <c r="E131" s="116">
        <f>IF(E40=0,0,1000000*E40/TrRoad_act!E80)</f>
        <v>13858.161144351341</v>
      </c>
      <c r="F131" s="116">
        <f>IF(F40=0,0,1000000*F40/TrRoad_act!F80)</f>
        <v>14815.455003841706</v>
      </c>
      <c r="G131" s="116">
        <f>IF(G40=0,0,1000000*G40/TrRoad_act!G80)</f>
        <v>15074.197608687607</v>
      </c>
      <c r="H131" s="116">
        <f>IF(H40=0,0,1000000*H40/TrRoad_act!H80)</f>
        <v>14145.849838381113</v>
      </c>
      <c r="I131" s="116">
        <f>IF(I40=0,0,1000000*I40/TrRoad_act!I80)</f>
        <v>14843.636779768958</v>
      </c>
      <c r="J131" s="116">
        <f>IF(J40=0,0,1000000*J40/TrRoad_act!J80)</f>
        <v>13764.928439613876</v>
      </c>
      <c r="K131" s="116">
        <f>IF(K40=0,0,1000000*K40/TrRoad_act!K80)</f>
        <v>14433.861369663988</v>
      </c>
      <c r="L131" s="116">
        <f>IF(L40=0,0,1000000*L40/TrRoad_act!L80)</f>
        <v>14268.658089512845</v>
      </c>
      <c r="M131" s="116">
        <f>IF(M40=0,0,1000000*M40/TrRoad_act!M80)</f>
        <v>13426.117382075608</v>
      </c>
      <c r="N131" s="116">
        <f>IF(N40=0,0,1000000*N40/TrRoad_act!N80)</f>
        <v>12215.184194646248</v>
      </c>
      <c r="O131" s="116">
        <f>IF(O40=0,0,1000000*O40/TrRoad_act!O80)</f>
        <v>14222.947506679289</v>
      </c>
      <c r="P131" s="116">
        <f>IF(P40=0,0,1000000*P40/TrRoad_act!P80)</f>
        <v>12236.599456595737</v>
      </c>
      <c r="Q131" s="116">
        <f>IF(Q40=0,0,1000000*Q40/TrRoad_act!Q80)</f>
        <v>12503.488747788275</v>
      </c>
      <c r="R131" s="116">
        <f>IF(R40=0,0,1000000*R40/TrRoad_act!R80)</f>
        <v>12109.967592082638</v>
      </c>
      <c r="S131" s="116">
        <f>IF(S40=0,0,1000000*S40/TrRoad_act!S80)</f>
        <v>15407.297362365729</v>
      </c>
      <c r="T131" s="116">
        <f>IF(T40=0,0,1000000*T40/TrRoad_act!T80)</f>
        <v>13269.653794933776</v>
      </c>
      <c r="U131" s="116">
        <f>IF(U40=0,0,1000000*U40/TrRoad_act!U80)</f>
        <v>15020.541067314512</v>
      </c>
      <c r="V131" s="116">
        <f>IF(V40=0,0,1000000*V40/TrRoad_act!V80)</f>
        <v>14139.475426284193</v>
      </c>
      <c r="W131" s="116">
        <f>IF(W40=0,0,1000000*W40/TrRoad_act!W80)</f>
        <v>13509.610856389312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6155.9423941733721</v>
      </c>
      <c r="C132" s="101">
        <f>IF(C41=0,0,1000000*C41/TrRoad_act!C81)</f>
        <v>7054.523987253644</v>
      </c>
      <c r="D132" s="101">
        <f>IF(D41=0,0,1000000*D41/TrRoad_act!D81)</f>
        <v>8895.6644948282719</v>
      </c>
      <c r="E132" s="101">
        <f>IF(E41=0,0,1000000*E41/TrRoad_act!E81)</f>
        <v>9626.0736341572774</v>
      </c>
      <c r="F132" s="101">
        <f>IF(F41=0,0,1000000*F41/TrRoad_act!F81)</f>
        <v>9880.6540167569383</v>
      </c>
      <c r="G132" s="101">
        <f>IF(G41=0,0,1000000*G41/TrRoad_act!G81)</f>
        <v>10021.994655972218</v>
      </c>
      <c r="H132" s="101">
        <f>IF(H41=0,0,1000000*H41/TrRoad_act!H81)</f>
        <v>10274.963900823352</v>
      </c>
      <c r="I132" s="101">
        <f>IF(I41=0,0,1000000*I41/TrRoad_act!I81)</f>
        <v>10133.423336625245</v>
      </c>
      <c r="J132" s="101">
        <f>IF(J41=0,0,1000000*J41/TrRoad_act!J81)</f>
        <v>10756.919995398284</v>
      </c>
      <c r="K132" s="101">
        <f>IF(K41=0,0,1000000*K41/TrRoad_act!K81)</f>
        <v>10642.440859869612</v>
      </c>
      <c r="L132" s="101">
        <f>IF(L41=0,0,1000000*L41/TrRoad_act!L81)</f>
        <v>10057.167710086596</v>
      </c>
      <c r="M132" s="101">
        <f>IF(M41=0,0,1000000*M41/TrRoad_act!M81)</f>
        <v>9709.1331532488221</v>
      </c>
      <c r="N132" s="101">
        <f>IF(N41=0,0,1000000*N41/TrRoad_act!N81)</f>
        <v>8903.3502860867648</v>
      </c>
      <c r="O132" s="101">
        <f>IF(O41=0,0,1000000*O41/TrRoad_act!O81)</f>
        <v>9171.4665564540228</v>
      </c>
      <c r="P132" s="101">
        <f>IF(P41=0,0,1000000*P41/TrRoad_act!P81)</f>
        <v>8071.141775996166</v>
      </c>
      <c r="Q132" s="101">
        <f>IF(Q41=0,0,1000000*Q41/TrRoad_act!Q81)</f>
        <v>7999.6463296307402</v>
      </c>
      <c r="R132" s="101">
        <f>IF(R41=0,0,1000000*R41/TrRoad_act!R81)</f>
        <v>8263.0740342191257</v>
      </c>
      <c r="S132" s="101">
        <f>IF(S41=0,0,1000000*S41/TrRoad_act!S81)</f>
        <v>8818.0143220594855</v>
      </c>
      <c r="T132" s="101">
        <f>IF(T41=0,0,1000000*T41/TrRoad_act!T81)</f>
        <v>8034.9675256729042</v>
      </c>
      <c r="U132" s="101">
        <f>IF(U41=0,0,1000000*U41/TrRoad_act!U81)</f>
        <v>8221.3471878515938</v>
      </c>
      <c r="V132" s="101">
        <f>IF(V41=0,0,1000000*V41/TrRoad_act!V81)</f>
        <v>7929.3754539602623</v>
      </c>
      <c r="W132" s="101">
        <f>IF(W41=0,0,1000000*W41/TrRoad_act!W81)</f>
        <v>8194.8368977745267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70294.535932280138</v>
      </c>
      <c r="C133" s="88">
        <f>IF(C42=0,0,1000000*C42/TrRoad_act!C82)</f>
        <v>44008.57831178925</v>
      </c>
      <c r="D133" s="88">
        <f>IF(D42=0,0,1000000*D42/TrRoad_act!D82)</f>
        <v>62183.685351462307</v>
      </c>
      <c r="E133" s="88">
        <f>IF(E42=0,0,1000000*E42/TrRoad_act!E82)</f>
        <v>65691.879067891889</v>
      </c>
      <c r="F133" s="88">
        <f>IF(F42=0,0,1000000*F42/TrRoad_act!F82)</f>
        <v>67618.224498630691</v>
      </c>
      <c r="G133" s="88">
        <f>IF(G42=0,0,1000000*G42/TrRoad_act!G82)</f>
        <v>66523.236851936075</v>
      </c>
      <c r="H133" s="88">
        <f>IF(H42=0,0,1000000*H42/TrRoad_act!H82)</f>
        <v>64766.840938680922</v>
      </c>
      <c r="I133" s="88">
        <f>IF(I42=0,0,1000000*I42/TrRoad_act!I82)</f>
        <v>72877.634560576596</v>
      </c>
      <c r="J133" s="88">
        <f>IF(J42=0,0,1000000*J42/TrRoad_act!J82)</f>
        <v>73627.283668148724</v>
      </c>
      <c r="K133" s="88">
        <f>IF(K42=0,0,1000000*K42/TrRoad_act!K82)</f>
        <v>89405.297667006802</v>
      </c>
      <c r="L133" s="88">
        <f>IF(L42=0,0,1000000*L42/TrRoad_act!L82)</f>
        <v>101488.86416071885</v>
      </c>
      <c r="M133" s="88">
        <f>IF(M42=0,0,1000000*M42/TrRoad_act!M82)</f>
        <v>91623.752315615449</v>
      </c>
      <c r="N133" s="88">
        <f>IF(N42=0,0,1000000*N42/TrRoad_act!N82)</f>
        <v>81769.761904264553</v>
      </c>
      <c r="O133" s="88">
        <f>IF(O42=0,0,1000000*O42/TrRoad_act!O82)</f>
        <v>119134.36160540199</v>
      </c>
      <c r="P133" s="88">
        <f>IF(P42=0,0,1000000*P42/TrRoad_act!P82)</f>
        <v>95487.918614839989</v>
      </c>
      <c r="Q133" s="88">
        <f>IF(Q42=0,0,1000000*Q42/TrRoad_act!Q82)</f>
        <v>91318.15596982291</v>
      </c>
      <c r="R133" s="88">
        <f>IF(R42=0,0,1000000*R42/TrRoad_act!R82)</f>
        <v>75492.372946595307</v>
      </c>
      <c r="S133" s="88">
        <f>IF(S42=0,0,1000000*S42/TrRoad_act!S82)</f>
        <v>106342.09038462557</v>
      </c>
      <c r="T133" s="88">
        <f>IF(T42=0,0,1000000*T42/TrRoad_act!T82)</f>
        <v>87641.998163166878</v>
      </c>
      <c r="U133" s="88">
        <f>IF(U42=0,0,1000000*U42/TrRoad_act!U82)</f>
        <v>125809.94445889816</v>
      </c>
      <c r="V133" s="88">
        <f>IF(V42=0,0,1000000*V42/TrRoad_act!V82)</f>
        <v>114637.27401804886</v>
      </c>
      <c r="W133" s="88">
        <f>IF(W42=0,0,1000000*W42/TrRoad_act!W82)</f>
        <v>108067.76901904729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0.83393676029931196</v>
      </c>
      <c r="C136" s="46">
        <f t="shared" si="40"/>
        <v>0.822249465763365</v>
      </c>
      <c r="D136" s="46">
        <f t="shared" si="40"/>
        <v>0.78141393486403554</v>
      </c>
      <c r="E136" s="46">
        <f t="shared" si="40"/>
        <v>0.77262766826734997</v>
      </c>
      <c r="F136" s="46">
        <f t="shared" si="40"/>
        <v>0.75662620598424424</v>
      </c>
      <c r="G136" s="46">
        <f t="shared" si="40"/>
        <v>0.75782067604616044</v>
      </c>
      <c r="H136" s="46">
        <f t="shared" si="40"/>
        <v>0.75683651322620593</v>
      </c>
      <c r="I136" s="46">
        <f t="shared" si="40"/>
        <v>0.76893266181755371</v>
      </c>
      <c r="J136" s="46">
        <f t="shared" si="40"/>
        <v>0.7660270885793945</v>
      </c>
      <c r="K136" s="46">
        <f t="shared" si="40"/>
        <v>0.78251834382175389</v>
      </c>
      <c r="L136" s="46">
        <f t="shared" si="41"/>
        <v>0.77902544571458199</v>
      </c>
      <c r="M136" s="46">
        <f t="shared" si="40"/>
        <v>0.78278922302852594</v>
      </c>
      <c r="N136" s="46">
        <f t="shared" si="40"/>
        <v>0.79798141739825124</v>
      </c>
      <c r="O136" s="46">
        <f t="shared" si="40"/>
        <v>0.77444629756471139</v>
      </c>
      <c r="P136" s="46">
        <f t="shared" si="40"/>
        <v>0.79379374708973016</v>
      </c>
      <c r="Q136" s="46">
        <f t="shared" si="40"/>
        <v>0.79215633343943215</v>
      </c>
      <c r="R136" s="46">
        <f t="shared" si="40"/>
        <v>0.80423918237719361</v>
      </c>
      <c r="S136" s="46">
        <f t="shared" si="40"/>
        <v>0.77102264342463622</v>
      </c>
      <c r="T136" s="46">
        <f t="shared" si="40"/>
        <v>0.77675053525532012</v>
      </c>
      <c r="U136" s="46">
        <f t="shared" si="40"/>
        <v>0.75633079987659435</v>
      </c>
      <c r="V136" s="46">
        <f t="shared" si="40"/>
        <v>0.72759957261325892</v>
      </c>
      <c r="W136" s="46">
        <f t="shared" si="42"/>
        <v>0.74479622915379462</v>
      </c>
      <c r="DA136" s="211"/>
    </row>
    <row r="137" spans="1:105" ht="11.45" customHeight="1" x14ac:dyDescent="0.25">
      <c r="A137" s="153" t="s">
        <v>180</v>
      </c>
      <c r="B137" s="154">
        <f t="shared" si="40"/>
        <v>4.1092693309324564E-3</v>
      </c>
      <c r="C137" s="154">
        <f t="shared" si="40"/>
        <v>4.0339558547741929E-3</v>
      </c>
      <c r="D137" s="154">
        <f t="shared" si="40"/>
        <v>3.8760609277506456E-3</v>
      </c>
      <c r="E137" s="154">
        <f t="shared" si="40"/>
        <v>3.8941041471757024E-3</v>
      </c>
      <c r="F137" s="154">
        <f t="shared" si="40"/>
        <v>4.0873813242101823E-3</v>
      </c>
      <c r="G137" s="154">
        <f t="shared" si="40"/>
        <v>4.2605599633980459E-3</v>
      </c>
      <c r="H137" s="154">
        <f t="shared" si="40"/>
        <v>4.2882101227447759E-3</v>
      </c>
      <c r="I137" s="154">
        <f t="shared" si="40"/>
        <v>3.9757037287840337E-3</v>
      </c>
      <c r="J137" s="154">
        <f t="shared" si="40"/>
        <v>4.0278124860582791E-3</v>
      </c>
      <c r="K137" s="154">
        <f t="shared" si="40"/>
        <v>4.0193422432431968E-3</v>
      </c>
      <c r="L137" s="154">
        <f t="shared" si="41"/>
        <v>4.1568516826422956E-3</v>
      </c>
      <c r="M137" s="154">
        <f t="shared" si="40"/>
        <v>4.2073329110661941E-3</v>
      </c>
      <c r="N137" s="154">
        <f t="shared" si="40"/>
        <v>4.3559716340665139E-3</v>
      </c>
      <c r="O137" s="154">
        <f t="shared" si="40"/>
        <v>4.2514580937486855E-3</v>
      </c>
      <c r="P137" s="154">
        <f t="shared" si="40"/>
        <v>4.2644113923638932E-3</v>
      </c>
      <c r="Q137" s="154">
        <f t="shared" si="40"/>
        <v>4.0086463848884304E-3</v>
      </c>
      <c r="R137" s="154">
        <f t="shared" si="40"/>
        <v>4.0299824876350249E-3</v>
      </c>
      <c r="S137" s="154">
        <f t="shared" si="40"/>
        <v>3.8854598233727805E-3</v>
      </c>
      <c r="T137" s="154">
        <f t="shared" si="40"/>
        <v>4.0829131842256786E-3</v>
      </c>
      <c r="U137" s="154">
        <f t="shared" si="40"/>
        <v>4.1205696932777288E-3</v>
      </c>
      <c r="V137" s="154">
        <f t="shared" si="40"/>
        <v>4.1175235442380623E-3</v>
      </c>
      <c r="W137" s="154">
        <f t="shared" si="42"/>
        <v>4.4873319192229224E-3</v>
      </c>
      <c r="DA137" s="212"/>
    </row>
    <row r="138" spans="1:105" ht="11.45" customHeight="1" x14ac:dyDescent="0.25">
      <c r="A138" s="155" t="s">
        <v>20</v>
      </c>
      <c r="B138" s="156">
        <f t="shared" si="40"/>
        <v>0.69749291968153981</v>
      </c>
      <c r="C138" s="156">
        <f t="shared" si="40"/>
        <v>0.69194895419268487</v>
      </c>
      <c r="D138" s="156">
        <f t="shared" si="40"/>
        <v>0.66054965734152238</v>
      </c>
      <c r="E138" s="156">
        <f t="shared" si="40"/>
        <v>0.66068969664983257</v>
      </c>
      <c r="F138" s="156">
        <f t="shared" si="40"/>
        <v>0.65041671466019801</v>
      </c>
      <c r="G138" s="156">
        <f t="shared" si="40"/>
        <v>0.65639112044847558</v>
      </c>
      <c r="H138" s="156">
        <f t="shared" si="40"/>
        <v>0.6619199430703071</v>
      </c>
      <c r="I138" s="156">
        <f t="shared" si="40"/>
        <v>0.67818632017840086</v>
      </c>
      <c r="J138" s="156">
        <f t="shared" si="40"/>
        <v>0.67445042405047551</v>
      </c>
      <c r="K138" s="156">
        <f t="shared" si="40"/>
        <v>0.68866563985111628</v>
      </c>
      <c r="L138" s="156">
        <f t="shared" si="41"/>
        <v>0.68164476460196566</v>
      </c>
      <c r="M138" s="156">
        <f t="shared" si="40"/>
        <v>0.68735734111327784</v>
      </c>
      <c r="N138" s="156">
        <f t="shared" si="40"/>
        <v>0.70362361675180052</v>
      </c>
      <c r="O138" s="156">
        <f t="shared" si="40"/>
        <v>0.68044233102738405</v>
      </c>
      <c r="P138" s="156">
        <f t="shared" si="40"/>
        <v>0.69755809949264058</v>
      </c>
      <c r="Q138" s="156">
        <f t="shared" si="40"/>
        <v>0.69536932478898805</v>
      </c>
      <c r="R138" s="156">
        <f t="shared" si="40"/>
        <v>0.70494150350042906</v>
      </c>
      <c r="S138" s="156">
        <f t="shared" si="40"/>
        <v>0.67374655260155458</v>
      </c>
      <c r="T138" s="156">
        <f t="shared" si="40"/>
        <v>0.67567428058080969</v>
      </c>
      <c r="U138" s="156">
        <f t="shared" si="40"/>
        <v>0.6739876222066381</v>
      </c>
      <c r="V138" s="156">
        <f t="shared" si="40"/>
        <v>0.65937057838604562</v>
      </c>
      <c r="W138" s="156">
        <f t="shared" si="42"/>
        <v>0.67412062521292682</v>
      </c>
      <c r="DA138" s="213"/>
    </row>
    <row r="139" spans="1:105" ht="11.45" customHeight="1" x14ac:dyDescent="0.25">
      <c r="A139" s="157" t="s">
        <v>110</v>
      </c>
      <c r="B139" s="103">
        <f t="shared" si="40"/>
        <v>0.55545815194150372</v>
      </c>
      <c r="C139" s="103">
        <f t="shared" si="40"/>
        <v>0.52558380749853029</v>
      </c>
      <c r="D139" s="103">
        <f t="shared" si="40"/>
        <v>0.49725543294995039</v>
      </c>
      <c r="E139" s="103">
        <f t="shared" si="40"/>
        <v>0.45527045951190598</v>
      </c>
      <c r="F139" s="103">
        <f t="shared" si="40"/>
        <v>0.42148500267463918</v>
      </c>
      <c r="G139" s="103">
        <f t="shared" si="40"/>
        <v>0.39916149245462507</v>
      </c>
      <c r="H139" s="103">
        <f t="shared" si="40"/>
        <v>0.37487679906928861</v>
      </c>
      <c r="I139" s="103">
        <f t="shared" si="40"/>
        <v>0.35631915671391728</v>
      </c>
      <c r="J139" s="103">
        <f t="shared" si="40"/>
        <v>0.34610236653483906</v>
      </c>
      <c r="K139" s="103">
        <f t="shared" si="40"/>
        <v>0.34772846305364147</v>
      </c>
      <c r="L139" s="103">
        <f t="shared" si="41"/>
        <v>0.33980136061453603</v>
      </c>
      <c r="M139" s="103">
        <f t="shared" si="40"/>
        <v>0.33873220128727582</v>
      </c>
      <c r="N139" s="103">
        <f t="shared" si="40"/>
        <v>0.32683981809593887</v>
      </c>
      <c r="O139" s="103">
        <f t="shared" si="40"/>
        <v>0.31499095597655469</v>
      </c>
      <c r="P139" s="103">
        <f t="shared" si="40"/>
        <v>0.29332185899606172</v>
      </c>
      <c r="Q139" s="103">
        <f t="shared" si="40"/>
        <v>0.27618875730001885</v>
      </c>
      <c r="R139" s="103">
        <f t="shared" si="40"/>
        <v>0.26770036019771132</v>
      </c>
      <c r="S139" s="103">
        <f t="shared" si="40"/>
        <v>0.23759441707764864</v>
      </c>
      <c r="T139" s="103">
        <f t="shared" si="40"/>
        <v>0.23941746595799929</v>
      </c>
      <c r="U139" s="103">
        <f t="shared" si="40"/>
        <v>0.22177147007616402</v>
      </c>
      <c r="V139" s="103">
        <f t="shared" si="40"/>
        <v>0.20885245213238202</v>
      </c>
      <c r="W139" s="103">
        <f t="shared" si="42"/>
        <v>0.21706871724974999</v>
      </c>
      <c r="DA139" s="191"/>
    </row>
    <row r="140" spans="1:105" ht="11.45" customHeight="1" x14ac:dyDescent="0.25">
      <c r="A140" s="157" t="s">
        <v>111</v>
      </c>
      <c r="B140" s="103">
        <f t="shared" si="40"/>
        <v>0.13490363958822291</v>
      </c>
      <c r="C140" s="103">
        <f t="shared" si="40"/>
        <v>0.15791374174866993</v>
      </c>
      <c r="D140" s="103">
        <f t="shared" si="40"/>
        <v>0.15458619633814819</v>
      </c>
      <c r="E140" s="103">
        <f t="shared" si="40"/>
        <v>0.19753549225477654</v>
      </c>
      <c r="F140" s="103">
        <f t="shared" si="40"/>
        <v>0.21911015137727155</v>
      </c>
      <c r="G140" s="103">
        <f t="shared" si="40"/>
        <v>0.24476184459299777</v>
      </c>
      <c r="H140" s="103">
        <f t="shared" si="40"/>
        <v>0.26737094967325908</v>
      </c>
      <c r="I140" s="103">
        <f t="shared" si="40"/>
        <v>0.29673584221712607</v>
      </c>
      <c r="J140" s="103">
        <f t="shared" si="40"/>
        <v>0.29390295480908574</v>
      </c>
      <c r="K140" s="103">
        <f t="shared" si="40"/>
        <v>0.30579160119194776</v>
      </c>
      <c r="L140" s="103">
        <f t="shared" si="41"/>
        <v>0.31115590556992456</v>
      </c>
      <c r="M140" s="103">
        <f t="shared" si="40"/>
        <v>0.31890112166198209</v>
      </c>
      <c r="N140" s="103">
        <f t="shared" si="40"/>
        <v>0.3465101199048492</v>
      </c>
      <c r="O140" s="103">
        <f t="shared" si="40"/>
        <v>0.33513224407868297</v>
      </c>
      <c r="P140" s="103">
        <f t="shared" si="40"/>
        <v>0.370838443932201</v>
      </c>
      <c r="Q140" s="103">
        <f t="shared" si="40"/>
        <v>0.38458091316036586</v>
      </c>
      <c r="R140" s="103">
        <f t="shared" si="40"/>
        <v>0.40188091644262347</v>
      </c>
      <c r="S140" s="103">
        <f t="shared" si="40"/>
        <v>0.40353638160810879</v>
      </c>
      <c r="T140" s="103">
        <f t="shared" si="40"/>
        <v>0.40254659934484588</v>
      </c>
      <c r="U140" s="103">
        <f t="shared" si="40"/>
        <v>0.42147107925933674</v>
      </c>
      <c r="V140" s="103">
        <f t="shared" si="40"/>
        <v>0.4225716458020588</v>
      </c>
      <c r="W140" s="103">
        <f t="shared" si="42"/>
        <v>0.42986434591161005</v>
      </c>
      <c r="DA140" s="191"/>
    </row>
    <row r="141" spans="1:105" ht="11.45" customHeight="1" x14ac:dyDescent="0.25">
      <c r="A141" s="157" t="s">
        <v>112</v>
      </c>
      <c r="B141" s="103">
        <f t="shared" si="40"/>
        <v>7.1311281518131779E-3</v>
      </c>
      <c r="C141" s="103">
        <f t="shared" si="40"/>
        <v>8.4514049454847053E-3</v>
      </c>
      <c r="D141" s="103">
        <f t="shared" si="40"/>
        <v>8.7080280534238136E-3</v>
      </c>
      <c r="E141" s="103">
        <f t="shared" si="40"/>
        <v>7.8837448831500651E-3</v>
      </c>
      <c r="F141" s="103">
        <f t="shared" si="40"/>
        <v>9.8215606082872348E-3</v>
      </c>
      <c r="G141" s="103">
        <f t="shared" si="40"/>
        <v>1.2467783400852837E-2</v>
      </c>
      <c r="H141" s="103">
        <f t="shared" si="40"/>
        <v>1.9672194327759341E-2</v>
      </c>
      <c r="I141" s="103">
        <f t="shared" si="40"/>
        <v>2.5131321247357535E-2</v>
      </c>
      <c r="J141" s="103">
        <f t="shared" si="40"/>
        <v>3.4445102706550698E-2</v>
      </c>
      <c r="K141" s="103">
        <f t="shared" si="40"/>
        <v>3.5117785335848396E-2</v>
      </c>
      <c r="L141" s="103">
        <f t="shared" si="41"/>
        <v>3.0654333876096881E-2</v>
      </c>
      <c r="M141" s="103">
        <f t="shared" si="40"/>
        <v>2.96910026685006E-2</v>
      </c>
      <c r="N141" s="103">
        <f t="shared" si="40"/>
        <v>3.023259330616182E-2</v>
      </c>
      <c r="O141" s="103">
        <f t="shared" si="40"/>
        <v>3.0276873656666922E-2</v>
      </c>
      <c r="P141" s="103">
        <f t="shared" si="40"/>
        <v>3.3349616638858541E-2</v>
      </c>
      <c r="Q141" s="103">
        <f t="shared" si="40"/>
        <v>3.4549697556296444E-2</v>
      </c>
      <c r="R141" s="103">
        <f t="shared" si="40"/>
        <v>3.5304331999392542E-2</v>
      </c>
      <c r="S141" s="103">
        <f t="shared" si="40"/>
        <v>3.254880777932416E-2</v>
      </c>
      <c r="T141" s="103">
        <f t="shared" si="40"/>
        <v>3.3635644528473993E-2</v>
      </c>
      <c r="U141" s="103">
        <f t="shared" si="40"/>
        <v>3.0661777233540567E-2</v>
      </c>
      <c r="V141" s="103">
        <f t="shared" si="40"/>
        <v>2.7828590089589177E-2</v>
      </c>
      <c r="W141" s="103">
        <f t="shared" si="42"/>
        <v>2.7019921736062338E-2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2.7790269678667753E-5</v>
      </c>
      <c r="L142" s="103">
        <f t="shared" si="41"/>
        <v>3.3164541408212278E-5</v>
      </c>
      <c r="M142" s="103">
        <f t="shared" si="40"/>
        <v>3.3015495519366304E-5</v>
      </c>
      <c r="N142" s="103">
        <f t="shared" si="40"/>
        <v>4.1085444850594496E-5</v>
      </c>
      <c r="O142" s="103">
        <f t="shared" si="40"/>
        <v>4.2257315479519955E-5</v>
      </c>
      <c r="P142" s="103">
        <f t="shared" si="40"/>
        <v>4.740461502455694E-5</v>
      </c>
      <c r="Q142" s="103">
        <f t="shared" si="40"/>
        <v>4.2503005533326851E-5</v>
      </c>
      <c r="R142" s="103">
        <f t="shared" si="40"/>
        <v>4.4896134814547768E-5</v>
      </c>
      <c r="S142" s="103">
        <f t="shared" si="40"/>
        <v>5.3938128802195883E-5</v>
      </c>
      <c r="T142" s="103">
        <f t="shared" si="40"/>
        <v>5.965159784063163E-5</v>
      </c>
      <c r="U142" s="103">
        <f t="shared" si="40"/>
        <v>5.4494417489723812E-5</v>
      </c>
      <c r="V142" s="103">
        <f t="shared" si="40"/>
        <v>4.96692370603016E-5</v>
      </c>
      <c r="W142" s="103">
        <f t="shared" si="42"/>
        <v>5.3898855163831151E-5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0</v>
      </c>
      <c r="P143" s="103">
        <f t="shared" si="40"/>
        <v>7.7531049483211846E-7</v>
      </c>
      <c r="Q143" s="103">
        <f t="shared" si="40"/>
        <v>7.453766773582581E-6</v>
      </c>
      <c r="R143" s="103">
        <f t="shared" si="40"/>
        <v>1.0998725887207866E-5</v>
      </c>
      <c r="S143" s="103">
        <f t="shared" si="40"/>
        <v>1.3008007670779618E-5</v>
      </c>
      <c r="T143" s="103">
        <f t="shared" si="40"/>
        <v>1.4919151649886692E-5</v>
      </c>
      <c r="U143" s="103">
        <f t="shared" si="40"/>
        <v>2.8801220107002531E-5</v>
      </c>
      <c r="V143" s="103">
        <f t="shared" si="40"/>
        <v>6.822112495534354E-5</v>
      </c>
      <c r="W143" s="103">
        <f t="shared" si="42"/>
        <v>1.1374146034061589E-4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0.13233457128683981</v>
      </c>
      <c r="C145" s="156">
        <f t="shared" si="40"/>
        <v>0.12626655571590586</v>
      </c>
      <c r="D145" s="156">
        <f t="shared" si="40"/>
        <v>0.11698821659476248</v>
      </c>
      <c r="E145" s="156">
        <f t="shared" si="40"/>
        <v>0.1080438674703417</v>
      </c>
      <c r="F145" s="156">
        <f t="shared" si="40"/>
        <v>0.10212210999983605</v>
      </c>
      <c r="G145" s="156">
        <f t="shared" si="40"/>
        <v>9.7168995634286784E-2</v>
      </c>
      <c r="H145" s="156">
        <f t="shared" si="40"/>
        <v>9.0628360033154082E-2</v>
      </c>
      <c r="I145" s="156">
        <f t="shared" si="40"/>
        <v>8.6770637910368764E-2</v>
      </c>
      <c r="J145" s="156">
        <f t="shared" si="40"/>
        <v>8.7548852042860642E-2</v>
      </c>
      <c r="K145" s="156">
        <f t="shared" si="40"/>
        <v>8.9833361727394506E-2</v>
      </c>
      <c r="L145" s="156">
        <f t="shared" si="41"/>
        <v>9.3223829429974051E-2</v>
      </c>
      <c r="M145" s="156">
        <f t="shared" si="40"/>
        <v>9.1224549004181935E-2</v>
      </c>
      <c r="N145" s="156">
        <f t="shared" si="40"/>
        <v>9.0001829012384058E-2</v>
      </c>
      <c r="O145" s="156">
        <f t="shared" si="40"/>
        <v>8.9752508443578752E-2</v>
      </c>
      <c r="P145" s="156">
        <f t="shared" si="40"/>
        <v>9.1971236204725609E-2</v>
      </c>
      <c r="Q145" s="156">
        <f t="shared" si="40"/>
        <v>9.2778362265555595E-2</v>
      </c>
      <c r="R145" s="156">
        <f t="shared" si="40"/>
        <v>9.5267696389129519E-2</v>
      </c>
      <c r="S145" s="156">
        <f t="shared" si="40"/>
        <v>9.3390630999708915E-2</v>
      </c>
      <c r="T145" s="156">
        <f t="shared" si="40"/>
        <v>9.6993341490284754E-2</v>
      </c>
      <c r="U145" s="156">
        <f t="shared" si="40"/>
        <v>7.8222607976678529E-2</v>
      </c>
      <c r="V145" s="156">
        <f t="shared" si="40"/>
        <v>6.4111470682975222E-2</v>
      </c>
      <c r="W145" s="156">
        <f t="shared" si="42"/>
        <v>6.6188272021644942E-2</v>
      </c>
      <c r="DA145" s="213"/>
    </row>
    <row r="146" spans="1:105" ht="11.45" customHeight="1" x14ac:dyDescent="0.25">
      <c r="A146" s="157" t="s">
        <v>110</v>
      </c>
      <c r="B146" s="103">
        <f t="shared" si="40"/>
        <v>1.273831789415847E-4</v>
      </c>
      <c r="C146" s="103">
        <f t="shared" si="40"/>
        <v>1.2961737211840461E-4</v>
      </c>
      <c r="D146" s="103">
        <f t="shared" si="40"/>
        <v>1.2020386581615861E-4</v>
      </c>
      <c r="E146" s="103">
        <f t="shared" si="40"/>
        <v>1.0535808067923336E-4</v>
      </c>
      <c r="F146" s="103">
        <f t="shared" si="40"/>
        <v>9.4913374994696229E-5</v>
      </c>
      <c r="G146" s="103">
        <f t="shared" si="40"/>
        <v>9.1071851338968231E-5</v>
      </c>
      <c r="H146" s="103">
        <f t="shared" si="40"/>
        <v>8.496543429170569E-5</v>
      </c>
      <c r="I146" s="103">
        <f t="shared" si="40"/>
        <v>7.166548423835189E-5</v>
      </c>
      <c r="J146" s="103">
        <f t="shared" si="40"/>
        <v>7.9727037503774965E-5</v>
      </c>
      <c r="K146" s="103">
        <f t="shared" si="40"/>
        <v>7.3018148622651225E-5</v>
      </c>
      <c r="L146" s="103">
        <f t="shared" si="41"/>
        <v>7.3438884184603013E-5</v>
      </c>
      <c r="M146" s="103">
        <f t="shared" si="40"/>
        <v>6.7343281509057976E-5</v>
      </c>
      <c r="N146" s="103">
        <f t="shared" si="40"/>
        <v>6.7921913202622925E-5</v>
      </c>
      <c r="O146" s="103">
        <f t="shared" si="40"/>
        <v>7.5567977989411762E-5</v>
      </c>
      <c r="P146" s="103">
        <f t="shared" si="40"/>
        <v>7.1370261035680162E-5</v>
      </c>
      <c r="Q146" s="103">
        <f t="shared" si="40"/>
        <v>6.2683052331552404E-5</v>
      </c>
      <c r="R146" s="103">
        <f t="shared" si="40"/>
        <v>6.2062090014052489E-5</v>
      </c>
      <c r="S146" s="103">
        <f t="shared" si="40"/>
        <v>5.6040757181385536E-5</v>
      </c>
      <c r="T146" s="103">
        <f t="shared" si="40"/>
        <v>5.8298907718060923E-5</v>
      </c>
      <c r="U146" s="103">
        <f t="shared" si="40"/>
        <v>4.0912990707824416E-5</v>
      </c>
      <c r="V146" s="103">
        <f t="shared" si="40"/>
        <v>3.2730006463417156E-5</v>
      </c>
      <c r="W146" s="103">
        <f t="shared" si="42"/>
        <v>3.1885349175547753E-5</v>
      </c>
      <c r="DA146" s="191"/>
    </row>
    <row r="147" spans="1:105" ht="11.45" customHeight="1" x14ac:dyDescent="0.25">
      <c r="A147" s="157" t="s">
        <v>111</v>
      </c>
      <c r="B147" s="103">
        <f t="shared" si="40"/>
        <v>0.13220718810789822</v>
      </c>
      <c r="C147" s="103">
        <f t="shared" si="40"/>
        <v>0.12613693834378745</v>
      </c>
      <c r="D147" s="103">
        <f t="shared" si="40"/>
        <v>0.11686801272894633</v>
      </c>
      <c r="E147" s="103">
        <f t="shared" si="40"/>
        <v>0.10793850938966246</v>
      </c>
      <c r="F147" s="103">
        <f t="shared" si="40"/>
        <v>0.10202719662484135</v>
      </c>
      <c r="G147" s="103">
        <f t="shared" si="40"/>
        <v>9.7077923782947828E-2</v>
      </c>
      <c r="H147" s="103">
        <f t="shared" si="40"/>
        <v>9.0543394598862376E-2</v>
      </c>
      <c r="I147" s="103">
        <f t="shared" si="40"/>
        <v>8.6694661470905335E-2</v>
      </c>
      <c r="J147" s="103">
        <f t="shared" si="40"/>
        <v>8.7464750907652475E-2</v>
      </c>
      <c r="K147" s="103">
        <f t="shared" si="40"/>
        <v>8.9340423905574479E-2</v>
      </c>
      <c r="L147" s="103">
        <f t="shared" si="41"/>
        <v>9.2320232867122931E-2</v>
      </c>
      <c r="M147" s="103">
        <f t="shared" si="40"/>
        <v>9.0923698286834845E-2</v>
      </c>
      <c r="N147" s="103">
        <f t="shared" si="40"/>
        <v>8.9630432117596193E-2</v>
      </c>
      <c r="O147" s="103">
        <f t="shared" si="40"/>
        <v>8.9005774851908179E-2</v>
      </c>
      <c r="P147" s="103">
        <f t="shared" si="40"/>
        <v>9.0480735583612457E-2</v>
      </c>
      <c r="Q147" s="103">
        <f t="shared" si="40"/>
        <v>9.133858080991035E-2</v>
      </c>
      <c r="R147" s="103">
        <f t="shared" ref="R147:V147" si="43">IF(R29=0,0,R29/R$17)</f>
        <v>9.3740458969795229E-2</v>
      </c>
      <c r="S147" s="103">
        <f t="shared" si="43"/>
        <v>9.1789871221579847E-2</v>
      </c>
      <c r="T147" s="103">
        <f t="shared" si="43"/>
        <v>9.5337416026675739E-2</v>
      </c>
      <c r="U147" s="103">
        <f t="shared" si="43"/>
        <v>7.672836657268417E-2</v>
      </c>
      <c r="V147" s="103">
        <f t="shared" si="43"/>
        <v>6.2805557568571133E-2</v>
      </c>
      <c r="W147" s="103">
        <f t="shared" ref="W147" si="44">IF(W29=0,0,W29/W$17)</f>
        <v>6.4608224528796679E-2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4.3109552250831858E-6</v>
      </c>
      <c r="J148" s="103">
        <f t="shared" si="45"/>
        <v>4.3740977043802944E-6</v>
      </c>
      <c r="K148" s="103">
        <f t="shared" si="45"/>
        <v>4.4149510040357598E-6</v>
      </c>
      <c r="L148" s="103">
        <f t="shared" ref="L148:L150" si="46">IF(L30=0,0,L30/L$17)</f>
        <v>4.765088995963901E-6</v>
      </c>
      <c r="M148" s="103">
        <f t="shared" ref="M148:V148" si="47">IF(M30=0,0,M30/M$17)</f>
        <v>9.9157366859837752E-6</v>
      </c>
      <c r="N148" s="103">
        <f t="shared" si="47"/>
        <v>1.0265232462524557E-5</v>
      </c>
      <c r="O148" s="103">
        <f t="shared" si="47"/>
        <v>6.7913612127701512E-5</v>
      </c>
      <c r="P148" s="103">
        <f t="shared" si="47"/>
        <v>7.9602317069184643E-5</v>
      </c>
      <c r="Q148" s="103">
        <f t="shared" si="47"/>
        <v>7.757295050398617E-5</v>
      </c>
      <c r="R148" s="103">
        <f t="shared" si="47"/>
        <v>7.7376087494565967E-5</v>
      </c>
      <c r="S148" s="103">
        <f t="shared" si="47"/>
        <v>6.5968395435242442E-5</v>
      </c>
      <c r="T148" s="103">
        <f t="shared" si="47"/>
        <v>6.9257697247018387E-5</v>
      </c>
      <c r="U148" s="103">
        <f t="shared" si="47"/>
        <v>5.4088283331780219E-5</v>
      </c>
      <c r="V148" s="103">
        <f t="shared" si="47"/>
        <v>4.9040998035795539E-5</v>
      </c>
      <c r="W148" s="103">
        <f t="shared" ref="W148" si="48">IF(W30=0,0,W30/W$17)</f>
        <v>5.0067637625744861E-5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4.1550472219334606E-4</v>
      </c>
      <c r="L149" s="103">
        <f t="shared" si="46"/>
        <v>8.2539258967054025E-4</v>
      </c>
      <c r="M149" s="103">
        <f t="shared" ref="M149:V149" si="50">IF(M31=0,0,M31/M$17)</f>
        <v>2.2359169915203494E-4</v>
      </c>
      <c r="N149" s="103">
        <f t="shared" si="50"/>
        <v>2.9320974912272707E-4</v>
      </c>
      <c r="O149" s="103">
        <f t="shared" si="50"/>
        <v>6.0325200155345092E-4</v>
      </c>
      <c r="P149" s="103">
        <f t="shared" si="50"/>
        <v>1.3395280430082905E-3</v>
      </c>
      <c r="Q149" s="103">
        <f t="shared" si="50"/>
        <v>1.2995254528097187E-3</v>
      </c>
      <c r="R149" s="103">
        <f t="shared" si="50"/>
        <v>1.3877992418256789E-3</v>
      </c>
      <c r="S149" s="103">
        <f t="shared" si="50"/>
        <v>1.4787506255124407E-3</v>
      </c>
      <c r="T149" s="103">
        <f t="shared" si="50"/>
        <v>1.5283688586439569E-3</v>
      </c>
      <c r="U149" s="103">
        <f t="shared" si="50"/>
        <v>1.3992401299547502E-3</v>
      </c>
      <c r="V149" s="103">
        <f t="shared" si="50"/>
        <v>1.2241421099048783E-3</v>
      </c>
      <c r="W149" s="103">
        <f t="shared" ref="W149" si="51">IF(W31=0,0,W31/W$17)</f>
        <v>1.498094506046974E-3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0.16606323970068793</v>
      </c>
      <c r="C151" s="46">
        <f t="shared" si="55"/>
        <v>0.17775053423663495</v>
      </c>
      <c r="D151" s="46">
        <f t="shared" si="55"/>
        <v>0.21858606513596446</v>
      </c>
      <c r="E151" s="46">
        <f t="shared" si="55"/>
        <v>0.22737233173265012</v>
      </c>
      <c r="F151" s="46">
        <f t="shared" si="55"/>
        <v>0.24337379401575562</v>
      </c>
      <c r="G151" s="46">
        <f t="shared" si="55"/>
        <v>0.24217932395383968</v>
      </c>
      <c r="H151" s="46">
        <f t="shared" si="55"/>
        <v>0.24316348677379404</v>
      </c>
      <c r="I151" s="46">
        <f t="shared" si="55"/>
        <v>0.23106733818244635</v>
      </c>
      <c r="J151" s="46">
        <f t="shared" si="55"/>
        <v>0.23397291142060544</v>
      </c>
      <c r="K151" s="46">
        <f t="shared" si="55"/>
        <v>0.21748165617824614</v>
      </c>
      <c r="L151" s="46">
        <f t="shared" ref="L151" si="56">IF(L33=0,0,L33/L$17)</f>
        <v>0.22097455428541804</v>
      </c>
      <c r="M151" s="46">
        <f t="shared" ref="M151:V151" si="57">IF(M33=0,0,M33/M$17)</f>
        <v>0.21721077697147409</v>
      </c>
      <c r="N151" s="46">
        <f t="shared" si="57"/>
        <v>0.20201858260174885</v>
      </c>
      <c r="O151" s="46">
        <f t="shared" si="57"/>
        <v>0.22555370243528863</v>
      </c>
      <c r="P151" s="46">
        <f t="shared" si="57"/>
        <v>0.20620625291026998</v>
      </c>
      <c r="Q151" s="46">
        <f t="shared" si="57"/>
        <v>0.20784366656056788</v>
      </c>
      <c r="R151" s="46">
        <f t="shared" si="57"/>
        <v>0.19576081762280648</v>
      </c>
      <c r="S151" s="46">
        <f t="shared" si="57"/>
        <v>0.22897735657536375</v>
      </c>
      <c r="T151" s="46">
        <f t="shared" si="57"/>
        <v>0.22324946474467991</v>
      </c>
      <c r="U151" s="46">
        <f t="shared" si="57"/>
        <v>0.24366920012340565</v>
      </c>
      <c r="V151" s="46">
        <f t="shared" si="57"/>
        <v>0.27240042738674097</v>
      </c>
      <c r="W151" s="46">
        <f t="shared" ref="W151" si="58">IF(W33=0,0,W33/W$17)</f>
        <v>0.25520377084620532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5.8832699209217236E-2</v>
      </c>
      <c r="C152" s="154">
        <f t="shared" si="59"/>
        <v>6.5537710043150579E-2</v>
      </c>
      <c r="D152" s="154">
        <f t="shared" si="59"/>
        <v>6.9225739028551406E-2</v>
      </c>
      <c r="E152" s="154">
        <f t="shared" si="59"/>
        <v>6.9892800484795112E-2</v>
      </c>
      <c r="F152" s="154">
        <f t="shared" si="59"/>
        <v>7.2888474902907854E-2</v>
      </c>
      <c r="G152" s="154">
        <f t="shared" si="59"/>
        <v>7.6757523372937717E-2</v>
      </c>
      <c r="H152" s="154">
        <f t="shared" si="59"/>
        <v>7.5263782749031005E-2</v>
      </c>
      <c r="I152" s="154">
        <f t="shared" si="59"/>
        <v>6.8436080386865911E-2</v>
      </c>
      <c r="J152" s="154">
        <f t="shared" si="59"/>
        <v>7.2000875126590036E-2</v>
      </c>
      <c r="K152" s="154">
        <f t="shared" si="59"/>
        <v>6.9866195342818183E-2</v>
      </c>
      <c r="L152" s="154">
        <f t="shared" ref="L152" si="60">IF(L34=0,0,L34/L$17)</f>
        <v>6.7528102354164191E-2</v>
      </c>
      <c r="M152" s="154">
        <f t="shared" ref="M152:V152" si="61">IF(M34=0,0,M34/M$17)</f>
        <v>6.8091057359969953E-2</v>
      </c>
      <c r="N152" s="154">
        <f t="shared" si="61"/>
        <v>6.4837903715714393E-2</v>
      </c>
      <c r="O152" s="154">
        <f t="shared" si="61"/>
        <v>6.3120759040497521E-2</v>
      </c>
      <c r="P152" s="154">
        <f t="shared" si="61"/>
        <v>6.1398355574678064E-2</v>
      </c>
      <c r="Q152" s="154">
        <f t="shared" si="61"/>
        <v>6.5604955294467332E-2</v>
      </c>
      <c r="R152" s="154">
        <f t="shared" si="61"/>
        <v>6.6585965011230916E-2</v>
      </c>
      <c r="S152" s="154">
        <f t="shared" si="61"/>
        <v>7.0864070080056796E-2</v>
      </c>
      <c r="T152" s="154">
        <f t="shared" si="61"/>
        <v>7.8595960130281362E-2</v>
      </c>
      <c r="U152" s="154">
        <f t="shared" si="61"/>
        <v>8.1171236406553215E-2</v>
      </c>
      <c r="V152" s="154">
        <f t="shared" si="61"/>
        <v>9.4154323258300227E-2</v>
      </c>
      <c r="W152" s="154">
        <f t="shared" ref="W152" si="62">IF(W34=0,0,W34/W$17)</f>
        <v>9.468166170465328E-2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8.9453158638191886E-3</v>
      </c>
      <c r="C153" s="103">
        <f t="shared" si="63"/>
        <v>1.0535576880909614E-2</v>
      </c>
      <c r="D153" s="103">
        <f t="shared" si="63"/>
        <v>9.649490320013155E-3</v>
      </c>
      <c r="E153" s="103">
        <f t="shared" si="63"/>
        <v>8.4870187123038728E-3</v>
      </c>
      <c r="F153" s="103">
        <f t="shared" si="63"/>
        <v>7.6982611075053402E-3</v>
      </c>
      <c r="G153" s="103">
        <f t="shared" si="63"/>
        <v>6.9861246762018478E-3</v>
      </c>
      <c r="H153" s="103">
        <f t="shared" si="63"/>
        <v>6.4260168780552549E-3</v>
      </c>
      <c r="I153" s="103">
        <f t="shared" si="63"/>
        <v>4.6212656567257869E-3</v>
      </c>
      <c r="J153" s="103">
        <f t="shared" si="63"/>
        <v>4.517182419118998E-3</v>
      </c>
      <c r="K153" s="103">
        <f t="shared" si="63"/>
        <v>3.9130724849061474E-3</v>
      </c>
      <c r="L153" s="103">
        <f t="shared" ref="L153" si="64">IF(L35=0,0,L35/L$17)</f>
        <v>3.4805283765747758E-3</v>
      </c>
      <c r="M153" s="103">
        <f t="shared" ref="M153:V153" si="65">IF(M35=0,0,M35/M$17)</f>
        <v>3.3453890338185897E-3</v>
      </c>
      <c r="N153" s="103">
        <f t="shared" si="65"/>
        <v>2.4660260847449559E-3</v>
      </c>
      <c r="O153" s="103">
        <f t="shared" si="65"/>
        <v>2.3196268931993994E-3</v>
      </c>
      <c r="P153" s="103">
        <f t="shared" si="65"/>
        <v>2.2634759400812876E-3</v>
      </c>
      <c r="Q153" s="103">
        <f t="shared" si="65"/>
        <v>2.0303909907829791E-3</v>
      </c>
      <c r="R153" s="103">
        <f t="shared" si="65"/>
        <v>1.9514077129673918E-3</v>
      </c>
      <c r="S153" s="103">
        <f t="shared" si="65"/>
        <v>2.0111614518640805E-3</v>
      </c>
      <c r="T153" s="103">
        <f t="shared" si="65"/>
        <v>2.2375826174218958E-3</v>
      </c>
      <c r="U153" s="103">
        <f t="shared" si="65"/>
        <v>2.2136824944973834E-3</v>
      </c>
      <c r="V153" s="103">
        <f t="shared" si="65"/>
        <v>2.4683085366110709E-3</v>
      </c>
      <c r="W153" s="103">
        <f t="shared" ref="W153" si="66">IF(W35=0,0,W35/W$17)</f>
        <v>2.3721409187906143E-3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4.9887383345398051E-2</v>
      </c>
      <c r="C154" s="103">
        <f t="shared" si="67"/>
        <v>5.5002133162240972E-2</v>
      </c>
      <c r="D154" s="103">
        <f t="shared" si="67"/>
        <v>5.9576248708538247E-2</v>
      </c>
      <c r="E154" s="103">
        <f t="shared" si="67"/>
        <v>6.1405781772491251E-2</v>
      </c>
      <c r="F154" s="103">
        <f t="shared" si="67"/>
        <v>6.5190213795402518E-2</v>
      </c>
      <c r="G154" s="103">
        <f t="shared" si="67"/>
        <v>6.9771398696735862E-2</v>
      </c>
      <c r="H154" s="103">
        <f t="shared" si="67"/>
        <v>6.8837765870975745E-2</v>
      </c>
      <c r="I154" s="103">
        <f t="shared" si="67"/>
        <v>6.3760466419638701E-2</v>
      </c>
      <c r="J154" s="103">
        <f t="shared" si="67"/>
        <v>6.734500593658202E-2</v>
      </c>
      <c r="K154" s="103">
        <f t="shared" si="67"/>
        <v>6.5769511782352685E-2</v>
      </c>
      <c r="L154" s="103">
        <f t="shared" ref="L154" si="68">IF(L36=0,0,L36/L$17)</f>
        <v>6.3852399502656906E-2</v>
      </c>
      <c r="M154" s="103">
        <f t="shared" ref="M154:V154" si="69">IF(M36=0,0,M36/M$17)</f>
        <v>6.45535686789621E-2</v>
      </c>
      <c r="N154" s="103">
        <f t="shared" si="69"/>
        <v>6.2164386772535371E-2</v>
      </c>
      <c r="O154" s="103">
        <f t="shared" si="69"/>
        <v>6.0577728111670698E-2</v>
      </c>
      <c r="P154" s="103">
        <f t="shared" si="69"/>
        <v>5.8894785068372604E-2</v>
      </c>
      <c r="Q154" s="103">
        <f t="shared" si="69"/>
        <v>6.3327764309952086E-2</v>
      </c>
      <c r="R154" s="103">
        <f t="shared" si="69"/>
        <v>6.4386822798929044E-2</v>
      </c>
      <c r="S154" s="103">
        <f t="shared" si="69"/>
        <v>6.8581020970685358E-2</v>
      </c>
      <c r="T154" s="103">
        <f t="shared" si="69"/>
        <v>7.604581522085728E-2</v>
      </c>
      <c r="U154" s="103">
        <f t="shared" si="69"/>
        <v>7.8634365033238715E-2</v>
      </c>
      <c r="V154" s="103">
        <f t="shared" si="69"/>
        <v>9.1310860772771993E-2</v>
      </c>
      <c r="W154" s="103">
        <f t="shared" ref="W154" si="70">IF(W36=0,0,W36/W$17)</f>
        <v>9.1916013019616369E-2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5.4348310501424094E-5</v>
      </c>
      <c r="J155" s="103">
        <f t="shared" si="71"/>
        <v>1.3868677088902184E-4</v>
      </c>
      <c r="K155" s="103">
        <f t="shared" si="71"/>
        <v>1.7090746630826764E-4</v>
      </c>
      <c r="L155" s="103">
        <f t="shared" ref="L155" si="72">IF(L37=0,0,L37/L$17)</f>
        <v>1.7962139867279037E-4</v>
      </c>
      <c r="M155" s="103">
        <f t="shared" ref="M155:V155" si="73">IF(M37=0,0,M37/M$17)</f>
        <v>1.7558354025755738E-4</v>
      </c>
      <c r="N155" s="103">
        <f t="shared" si="73"/>
        <v>1.830620689819814E-4</v>
      </c>
      <c r="O155" s="103">
        <f t="shared" si="73"/>
        <v>1.9878185281059168E-4</v>
      </c>
      <c r="P155" s="103">
        <f t="shared" si="73"/>
        <v>2.1523530784929766E-4</v>
      </c>
      <c r="Q155" s="103">
        <f t="shared" si="73"/>
        <v>2.2193525666335543E-4</v>
      </c>
      <c r="R155" s="103">
        <f t="shared" si="73"/>
        <v>2.2496526770445811E-4</v>
      </c>
      <c r="S155" s="103">
        <f t="shared" si="73"/>
        <v>2.4504021875775749E-4</v>
      </c>
      <c r="T155" s="103">
        <f t="shared" si="73"/>
        <v>2.8341389416195378E-4</v>
      </c>
      <c r="U155" s="103">
        <f t="shared" si="73"/>
        <v>2.9558701728823864E-4</v>
      </c>
      <c r="V155" s="103">
        <f t="shared" si="73"/>
        <v>3.4511693520471637E-4</v>
      </c>
      <c r="W155" s="103">
        <f t="shared" ref="W155" si="74">IF(W37=0,0,W37/W$17)</f>
        <v>3.6517133044942929E-4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1.270360925107991E-5</v>
      </c>
      <c r="L156" s="103">
        <f t="shared" ref="L156" si="76">IF(L38=0,0,L38/L$17)</f>
        <v>1.5553076259719295E-5</v>
      </c>
      <c r="M156" s="103">
        <f t="shared" ref="M156:V156" si="77">IF(M38=0,0,M38/M$17)</f>
        <v>1.6516106931714357E-5</v>
      </c>
      <c r="N156" s="103">
        <f t="shared" si="77"/>
        <v>2.4428789452073734E-5</v>
      </c>
      <c r="O156" s="103">
        <f t="shared" si="77"/>
        <v>2.4622182816827576E-5</v>
      </c>
      <c r="P156" s="103">
        <f t="shared" si="77"/>
        <v>2.485925837488016E-5</v>
      </c>
      <c r="Q156" s="103">
        <f t="shared" si="77"/>
        <v>2.4864737068920056E-5</v>
      </c>
      <c r="R156" s="103">
        <f t="shared" si="77"/>
        <v>2.2769231630032498E-5</v>
      </c>
      <c r="S156" s="103">
        <f t="shared" si="77"/>
        <v>2.6847438749600869E-5</v>
      </c>
      <c r="T156" s="103">
        <f t="shared" si="77"/>
        <v>2.9148397840224759E-5</v>
      </c>
      <c r="U156" s="103">
        <f t="shared" si="77"/>
        <v>2.7601861528862064E-5</v>
      </c>
      <c r="V156" s="103">
        <f t="shared" si="77"/>
        <v>3.0037013712453584E-5</v>
      </c>
      <c r="W156" s="103">
        <f t="shared" ref="W156" si="78">IF(W38=0,0,W38/W$17)</f>
        <v>2.8336435796878027E-5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0.10723054049147068</v>
      </c>
      <c r="C158" s="156">
        <f t="shared" si="83"/>
        <v>0.11221282419348437</v>
      </c>
      <c r="D158" s="156">
        <f t="shared" si="83"/>
        <v>0.14936032610741307</v>
      </c>
      <c r="E158" s="156">
        <f t="shared" si="83"/>
        <v>0.15747953124785499</v>
      </c>
      <c r="F158" s="156">
        <f t="shared" si="83"/>
        <v>0.17048531911284776</v>
      </c>
      <c r="G158" s="156">
        <f t="shared" si="83"/>
        <v>0.165421800580902</v>
      </c>
      <c r="H158" s="156">
        <f t="shared" si="83"/>
        <v>0.16789970402476306</v>
      </c>
      <c r="I158" s="156">
        <f t="shared" si="83"/>
        <v>0.16263125779558041</v>
      </c>
      <c r="J158" s="156">
        <f t="shared" si="83"/>
        <v>0.16197203629401544</v>
      </c>
      <c r="K158" s="156">
        <f t="shared" si="83"/>
        <v>0.14761546083542795</v>
      </c>
      <c r="L158" s="156">
        <f t="shared" ref="L158" si="84">IF(L40=0,0,L40/L$17)</f>
        <v>0.15344645193125386</v>
      </c>
      <c r="M158" s="156">
        <f t="shared" ref="M158:V158" si="85">IF(M40=0,0,M40/M$17)</f>
        <v>0.14911971961150414</v>
      </c>
      <c r="N158" s="156">
        <f t="shared" si="85"/>
        <v>0.13718067888603447</v>
      </c>
      <c r="O158" s="156">
        <f t="shared" si="85"/>
        <v>0.16243294339479114</v>
      </c>
      <c r="P158" s="156">
        <f t="shared" si="85"/>
        <v>0.14480789733559191</v>
      </c>
      <c r="Q158" s="156">
        <f t="shared" si="85"/>
        <v>0.14223871126610052</v>
      </c>
      <c r="R158" s="156">
        <f t="shared" si="85"/>
        <v>0.12917485261157555</v>
      </c>
      <c r="S158" s="156">
        <f t="shared" si="85"/>
        <v>0.15811328649530693</v>
      </c>
      <c r="T158" s="156">
        <f t="shared" si="85"/>
        <v>0.14465350461439858</v>
      </c>
      <c r="U158" s="156">
        <f t="shared" si="85"/>
        <v>0.16249796371685243</v>
      </c>
      <c r="V158" s="156">
        <f t="shared" si="85"/>
        <v>0.17824610412844075</v>
      </c>
      <c r="W158" s="156">
        <f t="shared" ref="W158" si="86">IF(W40=0,0,W40/W$17)</f>
        <v>0.16052210914155204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4.5730295993614195E-2</v>
      </c>
      <c r="C159" s="103">
        <f t="shared" si="87"/>
        <v>7.1442117077704814E-2</v>
      </c>
      <c r="D159" s="103">
        <f t="shared" si="87"/>
        <v>9.2597946758944033E-2</v>
      </c>
      <c r="E159" s="103">
        <f t="shared" si="87"/>
        <v>0.10113045967049039</v>
      </c>
      <c r="F159" s="103">
        <f t="shared" si="87"/>
        <v>0.10398145294580571</v>
      </c>
      <c r="G159" s="103">
        <f t="shared" si="87"/>
        <v>0.10014562459760418</v>
      </c>
      <c r="H159" s="103">
        <f t="shared" si="87"/>
        <v>0.11329221493189455</v>
      </c>
      <c r="I159" s="103">
        <f t="shared" si="87"/>
        <v>0.10269013224121049</v>
      </c>
      <c r="J159" s="103">
        <f t="shared" si="87"/>
        <v>0.12052075675775654</v>
      </c>
      <c r="K159" s="103">
        <f t="shared" si="87"/>
        <v>0.10360123521138469</v>
      </c>
      <c r="L159" s="103">
        <f t="shared" ref="L159" si="88">IF(L41=0,0,L41/L$17)</f>
        <v>0.10317387508803622</v>
      </c>
      <c r="M159" s="103">
        <f t="shared" ref="M159:V159" si="89">IF(M41=0,0,M41/M$17)</f>
        <v>0.10294311305120106</v>
      </c>
      <c r="N159" s="103">
        <f t="shared" si="89"/>
        <v>9.5443140984136282E-2</v>
      </c>
      <c r="O159" s="103">
        <f t="shared" si="89"/>
        <v>9.9930916243875054E-2</v>
      </c>
      <c r="P159" s="103">
        <f t="shared" si="89"/>
        <v>9.0962589137867492E-2</v>
      </c>
      <c r="Q159" s="103">
        <f t="shared" si="89"/>
        <v>8.6084099614507845E-2</v>
      </c>
      <c r="R159" s="103">
        <f t="shared" si="89"/>
        <v>8.3097273028116869E-2</v>
      </c>
      <c r="S159" s="103">
        <f t="shared" si="89"/>
        <v>8.4378332646576945E-2</v>
      </c>
      <c r="T159" s="103">
        <f t="shared" si="89"/>
        <v>8.1830186360837484E-2</v>
      </c>
      <c r="U159" s="103">
        <f t="shared" si="89"/>
        <v>8.37989060167382E-2</v>
      </c>
      <c r="V159" s="103">
        <f t="shared" si="89"/>
        <v>9.4142496817534088E-2</v>
      </c>
      <c r="W159" s="103">
        <f t="shared" ref="W159" si="90">IF(W41=0,0,W41/W$17)</f>
        <v>9.2189940825833344E-2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6.1500244497856481E-2</v>
      </c>
      <c r="C160" s="105">
        <f t="shared" si="91"/>
        <v>4.0770707115779556E-2</v>
      </c>
      <c r="D160" s="105">
        <f t="shared" si="91"/>
        <v>5.6762379348469019E-2</v>
      </c>
      <c r="E160" s="105">
        <f t="shared" si="91"/>
        <v>5.6349071577364601E-2</v>
      </c>
      <c r="F160" s="105">
        <f t="shared" si="91"/>
        <v>6.6503866167042042E-2</v>
      </c>
      <c r="G160" s="105">
        <f t="shared" si="91"/>
        <v>6.5276175983297838E-2</v>
      </c>
      <c r="H160" s="105">
        <f t="shared" si="91"/>
        <v>5.4607489092868507E-2</v>
      </c>
      <c r="I160" s="105">
        <f t="shared" si="91"/>
        <v>5.9941125554369916E-2</v>
      </c>
      <c r="J160" s="105">
        <f t="shared" si="91"/>
        <v>4.1451279536258878E-2</v>
      </c>
      <c r="K160" s="105">
        <f t="shared" si="91"/>
        <v>4.4014225624043286E-2</v>
      </c>
      <c r="L160" s="105">
        <f t="shared" ref="L160" si="92">IF(L42=0,0,L42/L$17)</f>
        <v>5.0272576843217641E-2</v>
      </c>
      <c r="M160" s="105">
        <f t="shared" ref="M160:V160" si="93">IF(M42=0,0,M42/M$17)</f>
        <v>4.6176606560303077E-2</v>
      </c>
      <c r="N160" s="105">
        <f t="shared" si="93"/>
        <v>4.1737537901898179E-2</v>
      </c>
      <c r="O160" s="105">
        <f t="shared" si="93"/>
        <v>6.2502027150916087E-2</v>
      </c>
      <c r="P160" s="105">
        <f t="shared" si="93"/>
        <v>5.3845308197724429E-2</v>
      </c>
      <c r="Q160" s="105">
        <f t="shared" si="93"/>
        <v>5.615461165159269E-2</v>
      </c>
      <c r="R160" s="105">
        <f t="shared" si="93"/>
        <v>4.6077579583458685E-2</v>
      </c>
      <c r="S160" s="105">
        <f t="shared" si="93"/>
        <v>7.3734953848730009E-2</v>
      </c>
      <c r="T160" s="105">
        <f t="shared" si="93"/>
        <v>6.2823318253561078E-2</v>
      </c>
      <c r="U160" s="105">
        <f t="shared" si="93"/>
        <v>7.8699057700114247E-2</v>
      </c>
      <c r="V160" s="105">
        <f t="shared" si="93"/>
        <v>8.4103607310906672E-2</v>
      </c>
      <c r="W160" s="105">
        <f t="shared" ref="W160" si="94">IF(W42=0,0,W42/W$17)</f>
        <v>6.8332168315718686E-2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1317628</v>
      </c>
      <c r="C3" s="54">
        <f>TrRoad_act!C57</f>
        <v>1395708</v>
      </c>
      <c r="D3" s="54">
        <f>TrRoad_act!D57</f>
        <v>1453149</v>
      </c>
      <c r="E3" s="54">
        <f>TrRoad_act!E57</f>
        <v>1532412</v>
      </c>
      <c r="F3" s="54">
        <f>TrRoad_act!F57</f>
        <v>1601156</v>
      </c>
      <c r="G3" s="54">
        <f>TrRoad_act!G57</f>
        <v>1666327</v>
      </c>
      <c r="H3" s="54">
        <f>TrRoad_act!H57</f>
        <v>1748129</v>
      </c>
      <c r="I3" s="54">
        <f>TrRoad_act!I57</f>
        <v>1835033</v>
      </c>
      <c r="J3" s="54">
        <f>TrRoad_act!J57</f>
        <v>1890143</v>
      </c>
      <c r="K3" s="54">
        <f>TrRoad_act!K57</f>
        <v>1870980</v>
      </c>
      <c r="L3" s="54">
        <f>TrRoad_act!L57</f>
        <v>1846491</v>
      </c>
      <c r="M3" s="54">
        <f>TrRoad_act!M57</f>
        <v>1841991</v>
      </c>
      <c r="N3" s="54">
        <f>TrRoad_act!N57</f>
        <v>1761001</v>
      </c>
      <c r="O3" s="54">
        <f>TrRoad_act!O57</f>
        <v>1764137</v>
      </c>
      <c r="P3" s="54">
        <f>TrRoad_act!P57</f>
        <v>1791936</v>
      </c>
      <c r="Q3" s="54">
        <f>TrRoad_act!Q57</f>
        <v>1832678</v>
      </c>
      <c r="R3" s="54">
        <f>TrRoad_act!R57</f>
        <v>1894452</v>
      </c>
      <c r="S3" s="54">
        <f>TrRoad_act!S57</f>
        <v>1951340</v>
      </c>
      <c r="T3" s="54">
        <f>TrRoad_act!T57</f>
        <v>2037725</v>
      </c>
      <c r="U3" s="54">
        <f>TrRoad_act!U57</f>
        <v>2110170</v>
      </c>
      <c r="V3" s="54">
        <f>TrRoad_act!V57</f>
        <v>2139813</v>
      </c>
      <c r="W3" s="54">
        <f>TrRoad_act!W57</f>
        <v>2202357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1222180</v>
      </c>
      <c r="C4" s="28">
        <f>TrRoad_act!C58</f>
        <v>1274844</v>
      </c>
      <c r="D4" s="28">
        <f>TrRoad_act!D58</f>
        <v>1321949</v>
      </c>
      <c r="E4" s="28">
        <f>TrRoad_act!E58</f>
        <v>1389922</v>
      </c>
      <c r="F4" s="28">
        <f>TrRoad_act!F58</f>
        <v>1450723</v>
      </c>
      <c r="G4" s="28">
        <f>TrRoad_act!G58</f>
        <v>1511220</v>
      </c>
      <c r="H4" s="28">
        <f>TrRoad_act!H58</f>
        <v>1578357</v>
      </c>
      <c r="I4" s="28">
        <f>TrRoad_act!I58</f>
        <v>1668652</v>
      </c>
      <c r="J4" s="28">
        <f>TrRoad_act!J58</f>
        <v>1715531</v>
      </c>
      <c r="K4" s="28">
        <f>TrRoad_act!K58</f>
        <v>1707118</v>
      </c>
      <c r="L4" s="28">
        <f>TrRoad_act!L58</f>
        <v>1686638</v>
      </c>
      <c r="M4" s="28">
        <f>TrRoad_act!M58</f>
        <v>1683183</v>
      </c>
      <c r="N4" s="28">
        <f>TrRoad_act!N58</f>
        <v>1610669</v>
      </c>
      <c r="O4" s="28">
        <f>TrRoad_act!O58</f>
        <v>1611965</v>
      </c>
      <c r="P4" s="28">
        <f>TrRoad_act!P58</f>
        <v>1636851</v>
      </c>
      <c r="Q4" s="28">
        <f>TrRoad_act!Q58</f>
        <v>1660586</v>
      </c>
      <c r="R4" s="28">
        <f>TrRoad_act!R58</f>
        <v>1715519</v>
      </c>
      <c r="S4" s="28">
        <f>TrRoad_act!S58</f>
        <v>1760280</v>
      </c>
      <c r="T4" s="28">
        <f>TrRoad_act!T58</f>
        <v>1833869</v>
      </c>
      <c r="U4" s="28">
        <f>TrRoad_act!U58</f>
        <v>1894546</v>
      </c>
      <c r="V4" s="28">
        <f>TrRoad_act!V58</f>
        <v>1915148</v>
      </c>
      <c r="W4" s="28">
        <f>TrRoad_act!W58</f>
        <v>1967143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81543</v>
      </c>
      <c r="C5" s="137">
        <f>TrRoad_act!C59</f>
        <v>81138</v>
      </c>
      <c r="D5" s="137">
        <f>TrRoad_act!D59</f>
        <v>85217</v>
      </c>
      <c r="E5" s="137">
        <f>TrRoad_act!E59</f>
        <v>99137</v>
      </c>
      <c r="F5" s="137">
        <f>TrRoad_act!F59</f>
        <v>112907</v>
      </c>
      <c r="G5" s="137">
        <f>TrRoad_act!G59</f>
        <v>128382</v>
      </c>
      <c r="H5" s="137">
        <f>TrRoad_act!H59</f>
        <v>143486</v>
      </c>
      <c r="I5" s="137">
        <f>TrRoad_act!I59</f>
        <v>149590</v>
      </c>
      <c r="J5" s="137">
        <f>TrRoad_act!J59</f>
        <v>155409</v>
      </c>
      <c r="K5" s="137">
        <f>TrRoad_act!K59</f>
        <v>157018</v>
      </c>
      <c r="L5" s="137">
        <f>TrRoad_act!L59</f>
        <v>156729</v>
      </c>
      <c r="M5" s="137">
        <f>TrRoad_act!M59</f>
        <v>156320</v>
      </c>
      <c r="N5" s="137">
        <f>TrRoad_act!N59</f>
        <v>156981</v>
      </c>
      <c r="O5" s="137">
        <f>TrRoad_act!O59</f>
        <v>154782</v>
      </c>
      <c r="P5" s="137">
        <f>TrRoad_act!P59</f>
        <v>153053</v>
      </c>
      <c r="Q5" s="137">
        <f>TrRoad_act!Q59</f>
        <v>151277</v>
      </c>
      <c r="R5" s="137">
        <f>TrRoad_act!R59</f>
        <v>152873</v>
      </c>
      <c r="S5" s="137">
        <f>TrRoad_act!S59</f>
        <v>154269</v>
      </c>
      <c r="T5" s="137">
        <f>TrRoad_act!T59</f>
        <v>157359</v>
      </c>
      <c r="U5" s="137">
        <f>TrRoad_act!U59</f>
        <v>159388</v>
      </c>
      <c r="V5" s="137">
        <f>TrRoad_act!V59</f>
        <v>158915</v>
      </c>
      <c r="W5" s="137">
        <f>TrRoad_act!W59</f>
        <v>161493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1132000</v>
      </c>
      <c r="C6" s="110">
        <f>TrRoad_act!C60</f>
        <v>1185000</v>
      </c>
      <c r="D6" s="110">
        <f>TrRoad_act!D60</f>
        <v>1228000</v>
      </c>
      <c r="E6" s="110">
        <f>TrRoad_act!E60</f>
        <v>1282000</v>
      </c>
      <c r="F6" s="110">
        <f>TrRoad_act!F60</f>
        <v>1329000</v>
      </c>
      <c r="G6" s="110">
        <f>TrRoad_act!G60</f>
        <v>1374000</v>
      </c>
      <c r="H6" s="110">
        <f>TrRoad_act!H60</f>
        <v>1426000</v>
      </c>
      <c r="I6" s="110">
        <f>TrRoad_act!I60</f>
        <v>1510000</v>
      </c>
      <c r="J6" s="110">
        <f>TrRoad_act!J60</f>
        <v>1551000</v>
      </c>
      <c r="K6" s="110">
        <f>TrRoad_act!K60</f>
        <v>1541000</v>
      </c>
      <c r="L6" s="110">
        <f>TrRoad_act!L60</f>
        <v>1521000</v>
      </c>
      <c r="M6" s="110">
        <f>TrRoad_act!M60</f>
        <v>1518000</v>
      </c>
      <c r="N6" s="110">
        <f>TrRoad_act!N60</f>
        <v>1445000</v>
      </c>
      <c r="O6" s="110">
        <f>TrRoad_act!O60</f>
        <v>1448300</v>
      </c>
      <c r="P6" s="110">
        <f>TrRoad_act!P60</f>
        <v>1474495</v>
      </c>
      <c r="Q6" s="110">
        <f>TrRoad_act!Q60</f>
        <v>1499802</v>
      </c>
      <c r="R6" s="110">
        <f>TrRoad_act!R60</f>
        <v>1552904</v>
      </c>
      <c r="S6" s="110">
        <f>TrRoad_act!S60</f>
        <v>1596087</v>
      </c>
      <c r="T6" s="110">
        <f>TrRoad_act!T60</f>
        <v>1666413</v>
      </c>
      <c r="U6" s="110">
        <f>TrRoad_act!U60</f>
        <v>1724900</v>
      </c>
      <c r="V6" s="110">
        <f>TrRoad_act!V60</f>
        <v>1746285</v>
      </c>
      <c r="W6" s="110">
        <f>TrRoad_act!W60</f>
        <v>1795465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891000</v>
      </c>
      <c r="C7" s="84">
        <f>TrRoad_act!C61</f>
        <v>912363</v>
      </c>
      <c r="D7" s="84">
        <f>TrRoad_act!D61</f>
        <v>922888</v>
      </c>
      <c r="E7" s="84">
        <f>TrRoad_act!E61</f>
        <v>934593</v>
      </c>
      <c r="F7" s="84">
        <f>TrRoad_act!F61</f>
        <v>934563</v>
      </c>
      <c r="G7" s="84">
        <f>TrRoad_act!G61</f>
        <v>935751</v>
      </c>
      <c r="H7" s="84">
        <f>TrRoad_act!H61</f>
        <v>936556</v>
      </c>
      <c r="I7" s="84">
        <f>TrRoad_act!I61</f>
        <v>949694</v>
      </c>
      <c r="J7" s="84">
        <f>TrRoad_act!J61</f>
        <v>952727</v>
      </c>
      <c r="K7" s="84">
        <f>TrRoad_act!K61</f>
        <v>923521</v>
      </c>
      <c r="L7" s="84">
        <f>TrRoad_act!L61</f>
        <v>909176</v>
      </c>
      <c r="M7" s="84">
        <f>TrRoad_act!M61</f>
        <v>896050</v>
      </c>
      <c r="N7" s="84">
        <f>TrRoad_act!N61</f>
        <v>827529</v>
      </c>
      <c r="O7" s="84">
        <f>TrRoad_act!O61</f>
        <v>815411</v>
      </c>
      <c r="P7" s="84">
        <f>TrRoad_act!P61</f>
        <v>794421</v>
      </c>
      <c r="Q7" s="84">
        <f>TrRoad_act!Q61</f>
        <v>773455</v>
      </c>
      <c r="R7" s="84">
        <f>TrRoad_act!R61</f>
        <v>760176</v>
      </c>
      <c r="S7" s="84">
        <f>TrRoad_act!S61</f>
        <v>744152</v>
      </c>
      <c r="T7" s="84">
        <f>TrRoad_act!T61</f>
        <v>733793</v>
      </c>
      <c r="U7" s="84">
        <f>TrRoad_act!U61</f>
        <v>720851</v>
      </c>
      <c r="V7" s="84">
        <f>TrRoad_act!V61</f>
        <v>701554</v>
      </c>
      <c r="W7" s="84">
        <f>TrRoad_act!W61</f>
        <v>698747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228000</v>
      </c>
      <c r="C8" s="84">
        <f>TrRoad_act!C62</f>
        <v>257713</v>
      </c>
      <c r="D8" s="84">
        <f>TrRoad_act!D62</f>
        <v>289205</v>
      </c>
      <c r="E8" s="84">
        <f>TrRoad_act!E62</f>
        <v>330611</v>
      </c>
      <c r="F8" s="84">
        <f>TrRoad_act!F62</f>
        <v>372842</v>
      </c>
      <c r="G8" s="84">
        <f>TrRoad_act!G62</f>
        <v>409147</v>
      </c>
      <c r="H8" s="84">
        <f>TrRoad_act!H62</f>
        <v>440278</v>
      </c>
      <c r="I8" s="84">
        <f>TrRoad_act!I62</f>
        <v>490352</v>
      </c>
      <c r="J8" s="84">
        <f>TrRoad_act!J62</f>
        <v>506769</v>
      </c>
      <c r="K8" s="84">
        <f>TrRoad_act!K62</f>
        <v>508703</v>
      </c>
      <c r="L8" s="84">
        <f>TrRoad_act!L62</f>
        <v>519529</v>
      </c>
      <c r="M8" s="84">
        <f>TrRoad_act!M62</f>
        <v>531028</v>
      </c>
      <c r="N8" s="84">
        <f>TrRoad_act!N62</f>
        <v>533166</v>
      </c>
      <c r="O8" s="84">
        <f>TrRoad_act!O62</f>
        <v>550451</v>
      </c>
      <c r="P8" s="84">
        <f>TrRoad_act!P62</f>
        <v>592400</v>
      </c>
      <c r="Q8" s="84">
        <f>TrRoad_act!Q62</f>
        <v>633563</v>
      </c>
      <c r="R8" s="84">
        <f>TrRoad_act!R62</f>
        <v>693591</v>
      </c>
      <c r="S8" s="84">
        <f>TrRoad_act!S62</f>
        <v>746691</v>
      </c>
      <c r="T8" s="84">
        <f>TrRoad_act!T62</f>
        <v>819532</v>
      </c>
      <c r="U8" s="84">
        <f>TrRoad_act!U62</f>
        <v>885087</v>
      </c>
      <c r="V8" s="84">
        <f>TrRoad_act!V62</f>
        <v>920317</v>
      </c>
      <c r="W8" s="84">
        <f>TrRoad_act!W62</f>
        <v>966065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13000</v>
      </c>
      <c r="C9" s="84">
        <f>TrRoad_act!C63</f>
        <v>14924</v>
      </c>
      <c r="D9" s="84">
        <f>TrRoad_act!D63</f>
        <v>15907</v>
      </c>
      <c r="E9" s="84">
        <f>TrRoad_act!E63</f>
        <v>16796</v>
      </c>
      <c r="F9" s="84">
        <f>TrRoad_act!F63</f>
        <v>21595</v>
      </c>
      <c r="G9" s="84">
        <f>TrRoad_act!G63</f>
        <v>29102</v>
      </c>
      <c r="H9" s="84">
        <f>TrRoad_act!H63</f>
        <v>49166</v>
      </c>
      <c r="I9" s="84">
        <f>TrRoad_act!I63</f>
        <v>69954</v>
      </c>
      <c r="J9" s="84">
        <f>TrRoad_act!J63</f>
        <v>91504</v>
      </c>
      <c r="K9" s="84">
        <f>TrRoad_act!K63</f>
        <v>108712</v>
      </c>
      <c r="L9" s="84">
        <f>TrRoad_act!L63</f>
        <v>92222</v>
      </c>
      <c r="M9" s="84">
        <f>TrRoad_act!M63</f>
        <v>90851</v>
      </c>
      <c r="N9" s="84">
        <f>TrRoad_act!N63</f>
        <v>84191</v>
      </c>
      <c r="O9" s="84">
        <f>TrRoad_act!O63</f>
        <v>82316</v>
      </c>
      <c r="P9" s="84">
        <f>TrRoad_act!P63</f>
        <v>87488</v>
      </c>
      <c r="Q9" s="84">
        <f>TrRoad_act!Q63</f>
        <v>92481</v>
      </c>
      <c r="R9" s="84">
        <f>TrRoad_act!R63</f>
        <v>98737</v>
      </c>
      <c r="S9" s="84">
        <f>TrRoad_act!S63</f>
        <v>104741</v>
      </c>
      <c r="T9" s="84">
        <f>TrRoad_act!T63</f>
        <v>112393</v>
      </c>
      <c r="U9" s="84">
        <f>TrRoad_act!U63</f>
        <v>117913</v>
      </c>
      <c r="V9" s="84">
        <f>TrRoad_act!V63</f>
        <v>122394</v>
      </c>
      <c r="W9" s="84">
        <f>TrRoad_act!W63</f>
        <v>126603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64</v>
      </c>
      <c r="L10" s="84">
        <f>TrRoad_act!L64</f>
        <v>73</v>
      </c>
      <c r="M10" s="84">
        <f>TrRoad_act!M64</f>
        <v>71</v>
      </c>
      <c r="N10" s="84">
        <f>TrRoad_act!N64</f>
        <v>81</v>
      </c>
      <c r="O10" s="84">
        <f>TrRoad_act!O64</f>
        <v>84</v>
      </c>
      <c r="P10" s="84">
        <f>TrRoad_act!P64</f>
        <v>96</v>
      </c>
      <c r="Q10" s="84">
        <f>TrRoad_act!Q64</f>
        <v>92</v>
      </c>
      <c r="R10" s="84">
        <f>TrRoad_act!R64</f>
        <v>96</v>
      </c>
      <c r="S10" s="84">
        <f>TrRoad_act!S64</f>
        <v>126</v>
      </c>
      <c r="T10" s="84">
        <f>TrRoad_act!T64</f>
        <v>133</v>
      </c>
      <c r="U10" s="84">
        <f>TrRoad_act!U64</f>
        <v>133</v>
      </c>
      <c r="V10" s="84">
        <f>TrRoad_act!V64</f>
        <v>133</v>
      </c>
      <c r="W10" s="84">
        <f>TrRoad_act!W64</f>
        <v>133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0</v>
      </c>
      <c r="P11" s="84">
        <f>TrRoad_act!P65</f>
        <v>5</v>
      </c>
      <c r="Q11" s="84">
        <f>TrRoad_act!Q65</f>
        <v>48</v>
      </c>
      <c r="R11" s="84">
        <f>TrRoad_act!R65</f>
        <v>71</v>
      </c>
      <c r="S11" s="84">
        <f>TrRoad_act!S65</f>
        <v>92</v>
      </c>
      <c r="T11" s="84">
        <f>TrRoad_act!T65</f>
        <v>101</v>
      </c>
      <c r="U11" s="84">
        <f>TrRoad_act!U65</f>
        <v>191</v>
      </c>
      <c r="V11" s="84">
        <f>TrRoad_act!V65</f>
        <v>553</v>
      </c>
      <c r="W11" s="84">
        <f>TrRoad_act!W65</f>
        <v>940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33</v>
      </c>
      <c r="O12" s="84">
        <f>TrRoad_act!O66</f>
        <v>38</v>
      </c>
      <c r="P12" s="84">
        <f>TrRoad_act!P66</f>
        <v>85</v>
      </c>
      <c r="Q12" s="84">
        <f>TrRoad_act!Q66</f>
        <v>163</v>
      </c>
      <c r="R12" s="84">
        <f>TrRoad_act!R66</f>
        <v>233</v>
      </c>
      <c r="S12" s="84">
        <f>TrRoad_act!S66</f>
        <v>285</v>
      </c>
      <c r="T12" s="84">
        <f>TrRoad_act!T66</f>
        <v>461</v>
      </c>
      <c r="U12" s="84">
        <f>TrRoad_act!U66</f>
        <v>725</v>
      </c>
      <c r="V12" s="84">
        <f>TrRoad_act!V66</f>
        <v>1334</v>
      </c>
      <c r="W12" s="84">
        <f>TrRoad_act!W66</f>
        <v>2977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8637</v>
      </c>
      <c r="C13" s="110">
        <f>TrRoad_act!C67</f>
        <v>8706</v>
      </c>
      <c r="D13" s="110">
        <f>TrRoad_act!D67</f>
        <v>8732</v>
      </c>
      <c r="E13" s="110">
        <f>TrRoad_act!E67</f>
        <v>8785</v>
      </c>
      <c r="F13" s="110">
        <f>TrRoad_act!F67</f>
        <v>8816</v>
      </c>
      <c r="G13" s="110">
        <f>TrRoad_act!G67</f>
        <v>8838</v>
      </c>
      <c r="H13" s="110">
        <f>TrRoad_act!H67</f>
        <v>8871</v>
      </c>
      <c r="I13" s="110">
        <f>TrRoad_act!I67</f>
        <v>9062</v>
      </c>
      <c r="J13" s="110">
        <f>TrRoad_act!J67</f>
        <v>9122</v>
      </c>
      <c r="K13" s="110">
        <f>TrRoad_act!K67</f>
        <v>9100</v>
      </c>
      <c r="L13" s="110">
        <f>TrRoad_act!L67</f>
        <v>8909</v>
      </c>
      <c r="M13" s="110">
        <f>TrRoad_act!M67</f>
        <v>8863</v>
      </c>
      <c r="N13" s="110">
        <f>TrRoad_act!N67</f>
        <v>8688</v>
      </c>
      <c r="O13" s="110">
        <f>TrRoad_act!O67</f>
        <v>8883</v>
      </c>
      <c r="P13" s="110">
        <f>TrRoad_act!P67</f>
        <v>9303</v>
      </c>
      <c r="Q13" s="110">
        <f>TrRoad_act!Q67</f>
        <v>9507</v>
      </c>
      <c r="R13" s="110">
        <f>TrRoad_act!R67</f>
        <v>9742</v>
      </c>
      <c r="S13" s="110">
        <f>TrRoad_act!S67</f>
        <v>9924</v>
      </c>
      <c r="T13" s="110">
        <f>TrRoad_act!T67</f>
        <v>10097</v>
      </c>
      <c r="U13" s="110">
        <f>TrRoad_act!U67</f>
        <v>10258</v>
      </c>
      <c r="V13" s="110">
        <f>TrRoad_act!V67</f>
        <v>9948</v>
      </c>
      <c r="W13" s="110">
        <f>TrRoad_act!W67</f>
        <v>10185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40</v>
      </c>
      <c r="C14" s="102">
        <f>TrRoad_act!C68</f>
        <v>42</v>
      </c>
      <c r="D14" s="102">
        <f>TrRoad_act!D68</f>
        <v>43</v>
      </c>
      <c r="E14" s="102">
        <f>TrRoad_act!E68</f>
        <v>42</v>
      </c>
      <c r="F14" s="102">
        <f>TrRoad_act!F68</f>
        <v>40</v>
      </c>
      <c r="G14" s="102">
        <f>TrRoad_act!G68</f>
        <v>41</v>
      </c>
      <c r="H14" s="102">
        <f>TrRoad_act!H68</f>
        <v>42</v>
      </c>
      <c r="I14" s="102">
        <f>TrRoad_act!I68</f>
        <v>39</v>
      </c>
      <c r="J14" s="102">
        <f>TrRoad_act!J68</f>
        <v>44</v>
      </c>
      <c r="K14" s="102">
        <f>TrRoad_act!K68</f>
        <v>41</v>
      </c>
      <c r="L14" s="102">
        <f>TrRoad_act!L68</f>
        <v>39</v>
      </c>
      <c r="M14" s="102">
        <f>TrRoad_act!M68</f>
        <v>36</v>
      </c>
      <c r="N14" s="102">
        <f>TrRoad_act!N68</f>
        <v>36</v>
      </c>
      <c r="O14" s="102">
        <f>TrRoad_act!O68</f>
        <v>42</v>
      </c>
      <c r="P14" s="102">
        <f>TrRoad_act!P68</f>
        <v>40</v>
      </c>
      <c r="Q14" s="102">
        <f>TrRoad_act!Q68</f>
        <v>37</v>
      </c>
      <c r="R14" s="102">
        <f>TrRoad_act!R68</f>
        <v>36</v>
      </c>
      <c r="S14" s="102">
        <f>TrRoad_act!S68</f>
        <v>35</v>
      </c>
      <c r="T14" s="102">
        <f>TrRoad_act!T68</f>
        <v>34</v>
      </c>
      <c r="U14" s="102">
        <f>TrRoad_act!U68</f>
        <v>32</v>
      </c>
      <c r="V14" s="102">
        <f>TrRoad_act!V68</f>
        <v>31</v>
      </c>
      <c r="W14" s="102">
        <f>TrRoad_act!W68</f>
        <v>29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8597</v>
      </c>
      <c r="C15" s="102">
        <f>TrRoad_act!C69</f>
        <v>8664</v>
      </c>
      <c r="D15" s="102">
        <f>TrRoad_act!D69</f>
        <v>8689</v>
      </c>
      <c r="E15" s="102">
        <f>TrRoad_act!E69</f>
        <v>8743</v>
      </c>
      <c r="F15" s="102">
        <f>TrRoad_act!F69</f>
        <v>8776</v>
      </c>
      <c r="G15" s="102">
        <f>TrRoad_act!G69</f>
        <v>8797</v>
      </c>
      <c r="H15" s="102">
        <f>TrRoad_act!H69</f>
        <v>8829</v>
      </c>
      <c r="I15" s="102">
        <f>TrRoad_act!I69</f>
        <v>9022</v>
      </c>
      <c r="J15" s="102">
        <f>TrRoad_act!J69</f>
        <v>9077</v>
      </c>
      <c r="K15" s="102">
        <f>TrRoad_act!K69</f>
        <v>9000</v>
      </c>
      <c r="L15" s="102">
        <f>TrRoad_act!L69</f>
        <v>8807</v>
      </c>
      <c r="M15" s="102">
        <f>TrRoad_act!M69</f>
        <v>8762</v>
      </c>
      <c r="N15" s="102">
        <f>TrRoad_act!N69</f>
        <v>8578</v>
      </c>
      <c r="O15" s="102">
        <f>TrRoad_act!O69</f>
        <v>8677</v>
      </c>
      <c r="P15" s="102">
        <f>TrRoad_act!P69</f>
        <v>8920</v>
      </c>
      <c r="Q15" s="102">
        <f>TrRoad_act!Q69</f>
        <v>9130</v>
      </c>
      <c r="R15" s="102">
        <f>TrRoad_act!R69</f>
        <v>9369</v>
      </c>
      <c r="S15" s="102">
        <f>TrRoad_act!S69</f>
        <v>9547</v>
      </c>
      <c r="T15" s="102">
        <f>TrRoad_act!T69</f>
        <v>9727</v>
      </c>
      <c r="U15" s="102">
        <f>TrRoad_act!U69</f>
        <v>9897</v>
      </c>
      <c r="V15" s="102">
        <f>TrRoad_act!V69</f>
        <v>9575</v>
      </c>
      <c r="W15" s="102">
        <f>TrRoad_act!W69</f>
        <v>9821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1</v>
      </c>
      <c r="J16" s="102">
        <f>TrRoad_act!J70</f>
        <v>1</v>
      </c>
      <c r="K16" s="102">
        <f>TrRoad_act!K70</f>
        <v>1</v>
      </c>
      <c r="L16" s="102">
        <f>TrRoad_act!L70</f>
        <v>1</v>
      </c>
      <c r="M16" s="102">
        <f>TrRoad_act!M70</f>
        <v>2</v>
      </c>
      <c r="N16" s="102">
        <f>TrRoad_act!N70</f>
        <v>2</v>
      </c>
      <c r="O16" s="102">
        <f>TrRoad_act!O70</f>
        <v>13</v>
      </c>
      <c r="P16" s="102">
        <f>TrRoad_act!P70</f>
        <v>15</v>
      </c>
      <c r="Q16" s="102">
        <f>TrRoad_act!Q70</f>
        <v>15</v>
      </c>
      <c r="R16" s="102">
        <f>TrRoad_act!R70</f>
        <v>15</v>
      </c>
      <c r="S16" s="102">
        <f>TrRoad_act!S70</f>
        <v>14</v>
      </c>
      <c r="T16" s="102">
        <f>TrRoad_act!T70</f>
        <v>14</v>
      </c>
      <c r="U16" s="102">
        <f>TrRoad_act!U70</f>
        <v>15</v>
      </c>
      <c r="V16" s="102">
        <f>TrRoad_act!V70</f>
        <v>17</v>
      </c>
      <c r="W16" s="102">
        <f>TrRoad_act!W70</f>
        <v>17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58</v>
      </c>
      <c r="L17" s="102">
        <f>TrRoad_act!L71</f>
        <v>62</v>
      </c>
      <c r="M17" s="102">
        <f>TrRoad_act!M71</f>
        <v>63</v>
      </c>
      <c r="N17" s="102">
        <f>TrRoad_act!N71</f>
        <v>72</v>
      </c>
      <c r="O17" s="102">
        <f>TrRoad_act!O71</f>
        <v>151</v>
      </c>
      <c r="P17" s="102">
        <f>TrRoad_act!P71</f>
        <v>328</v>
      </c>
      <c r="Q17" s="102">
        <f>TrRoad_act!Q71</f>
        <v>323</v>
      </c>
      <c r="R17" s="102">
        <f>TrRoad_act!R71</f>
        <v>319</v>
      </c>
      <c r="S17" s="102">
        <f>TrRoad_act!S71</f>
        <v>325</v>
      </c>
      <c r="T17" s="102">
        <f>TrRoad_act!T71</f>
        <v>319</v>
      </c>
      <c r="U17" s="102">
        <f>TrRoad_act!U71</f>
        <v>311</v>
      </c>
      <c r="V17" s="102">
        <f>TrRoad_act!V71</f>
        <v>322</v>
      </c>
      <c r="W17" s="102">
        <f>TrRoad_act!W71</f>
        <v>312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0</v>
      </c>
      <c r="Q18" s="102">
        <f>TrRoad_act!Q72</f>
        <v>2</v>
      </c>
      <c r="R18" s="102">
        <f>TrRoad_act!R72</f>
        <v>3</v>
      </c>
      <c r="S18" s="102">
        <f>TrRoad_act!S72</f>
        <v>3</v>
      </c>
      <c r="T18" s="102">
        <f>TrRoad_act!T72</f>
        <v>3</v>
      </c>
      <c r="U18" s="102">
        <f>TrRoad_act!U72</f>
        <v>3</v>
      </c>
      <c r="V18" s="102">
        <f>TrRoad_act!V72</f>
        <v>3</v>
      </c>
      <c r="W18" s="102">
        <f>TrRoad_act!W72</f>
        <v>6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95448</v>
      </c>
      <c r="C19" s="28">
        <f>TrRoad_act!C73</f>
        <v>120864.00000000001</v>
      </c>
      <c r="D19" s="28">
        <f>TrRoad_act!D73</f>
        <v>131200</v>
      </c>
      <c r="E19" s="28">
        <f>TrRoad_act!E73</f>
        <v>142490</v>
      </c>
      <c r="F19" s="28">
        <f>TrRoad_act!F73</f>
        <v>150433</v>
      </c>
      <c r="G19" s="28">
        <f>TrRoad_act!G73</f>
        <v>155107</v>
      </c>
      <c r="H19" s="28">
        <f>TrRoad_act!H73</f>
        <v>169772</v>
      </c>
      <c r="I19" s="28">
        <f>TrRoad_act!I73</f>
        <v>166381</v>
      </c>
      <c r="J19" s="28">
        <f>TrRoad_act!J73</f>
        <v>174612</v>
      </c>
      <c r="K19" s="28">
        <f>TrRoad_act!K73</f>
        <v>163862</v>
      </c>
      <c r="L19" s="28">
        <f>TrRoad_act!L73</f>
        <v>159853</v>
      </c>
      <c r="M19" s="28">
        <f>TrRoad_act!M73</f>
        <v>158808</v>
      </c>
      <c r="N19" s="28">
        <f>TrRoad_act!N73</f>
        <v>150332</v>
      </c>
      <c r="O19" s="28">
        <f>TrRoad_act!O73</f>
        <v>152172</v>
      </c>
      <c r="P19" s="28">
        <f>TrRoad_act!P73</f>
        <v>155085</v>
      </c>
      <c r="Q19" s="28">
        <f>TrRoad_act!Q73</f>
        <v>172092</v>
      </c>
      <c r="R19" s="28">
        <f>TrRoad_act!R73</f>
        <v>178933</v>
      </c>
      <c r="S19" s="28">
        <f>TrRoad_act!S73</f>
        <v>191060</v>
      </c>
      <c r="T19" s="28">
        <f>TrRoad_act!T73</f>
        <v>203856</v>
      </c>
      <c r="U19" s="28">
        <f>TrRoad_act!U73</f>
        <v>215624</v>
      </c>
      <c r="V19" s="28">
        <f>TrRoad_act!V73</f>
        <v>224665</v>
      </c>
      <c r="W19" s="28">
        <f>TrRoad_act!W73</f>
        <v>235214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60996</v>
      </c>
      <c r="C20" s="137">
        <f>TrRoad_act!C74</f>
        <v>74427</v>
      </c>
      <c r="D20" s="137">
        <f>TrRoad_act!D74</f>
        <v>80420</v>
      </c>
      <c r="E20" s="137">
        <f>TrRoad_act!E74</f>
        <v>87048</v>
      </c>
      <c r="F20" s="137">
        <f>TrRoad_act!F74</f>
        <v>92541</v>
      </c>
      <c r="G20" s="137">
        <f>TrRoad_act!G74</f>
        <v>97814</v>
      </c>
      <c r="H20" s="137">
        <f>TrRoad_act!H74</f>
        <v>103721</v>
      </c>
      <c r="I20" s="137">
        <f>TrRoad_act!I74</f>
        <v>100749</v>
      </c>
      <c r="J20" s="137">
        <f>TrRoad_act!J74</f>
        <v>105158</v>
      </c>
      <c r="K20" s="137">
        <f>TrRoad_act!K74</f>
        <v>103846</v>
      </c>
      <c r="L20" s="137">
        <f>TrRoad_act!L74</f>
        <v>98978</v>
      </c>
      <c r="M20" s="137">
        <f>TrRoad_act!M74</f>
        <v>97212</v>
      </c>
      <c r="N20" s="137">
        <f>TrRoad_act!N74</f>
        <v>90267</v>
      </c>
      <c r="O20" s="137">
        <f>TrRoad_act!O74</f>
        <v>90219</v>
      </c>
      <c r="P20" s="137">
        <f>TrRoad_act!P74</f>
        <v>91602</v>
      </c>
      <c r="Q20" s="137">
        <f>TrRoad_act!Q74</f>
        <v>107381</v>
      </c>
      <c r="R20" s="137">
        <f>TrRoad_act!R74</f>
        <v>116001</v>
      </c>
      <c r="S20" s="137">
        <f>TrRoad_act!S74</f>
        <v>125731</v>
      </c>
      <c r="T20" s="137">
        <f>TrRoad_act!T74</f>
        <v>137049</v>
      </c>
      <c r="U20" s="137">
        <f>TrRoad_act!U74</f>
        <v>147501</v>
      </c>
      <c r="V20" s="137">
        <f>TrRoad_act!V74</f>
        <v>154885</v>
      </c>
      <c r="W20" s="137">
        <f>TrRoad_act!W74</f>
        <v>164351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11402</v>
      </c>
      <c r="C21" s="84">
        <f>TrRoad_act!C75</f>
        <v>13677</v>
      </c>
      <c r="D21" s="84">
        <f>TrRoad_act!D75</f>
        <v>13325</v>
      </c>
      <c r="E21" s="84">
        <f>TrRoad_act!E75</f>
        <v>12695</v>
      </c>
      <c r="F21" s="84">
        <f>TrRoad_act!F75</f>
        <v>11827</v>
      </c>
      <c r="G21" s="84">
        <f>TrRoad_act!G75</f>
        <v>11103</v>
      </c>
      <c r="H21" s="84">
        <f>TrRoad_act!H75</f>
        <v>10873</v>
      </c>
      <c r="I21" s="84">
        <f>TrRoad_act!I75</f>
        <v>8590</v>
      </c>
      <c r="J21" s="84">
        <f>TrRoad_act!J75</f>
        <v>8480</v>
      </c>
      <c r="K21" s="84">
        <f>TrRoad_act!K75</f>
        <v>7672</v>
      </c>
      <c r="L21" s="84">
        <f>TrRoad_act!L75</f>
        <v>6878</v>
      </c>
      <c r="M21" s="84">
        <f>TrRoad_act!M75</f>
        <v>6465</v>
      </c>
      <c r="N21" s="84">
        <f>TrRoad_act!N75</f>
        <v>4648</v>
      </c>
      <c r="O21" s="84">
        <f>TrRoad_act!O75</f>
        <v>4497</v>
      </c>
      <c r="P21" s="84">
        <f>TrRoad_act!P75</f>
        <v>4482</v>
      </c>
      <c r="Q21" s="84">
        <f>TrRoad_act!Q75</f>
        <v>4404</v>
      </c>
      <c r="R21" s="84">
        <f>TrRoad_act!R75</f>
        <v>4421</v>
      </c>
      <c r="S21" s="84">
        <f>TrRoad_act!S75</f>
        <v>4715</v>
      </c>
      <c r="T21" s="84">
        <f>TrRoad_act!T75</f>
        <v>4869</v>
      </c>
      <c r="U21" s="84">
        <f>TrRoad_act!U75</f>
        <v>4953</v>
      </c>
      <c r="V21" s="84">
        <f>TrRoad_act!V75</f>
        <v>4917</v>
      </c>
      <c r="W21" s="84">
        <f>TrRoad_act!W75</f>
        <v>4993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49594</v>
      </c>
      <c r="C22" s="84">
        <f>TrRoad_act!C76</f>
        <v>60750</v>
      </c>
      <c r="D22" s="84">
        <f>TrRoad_act!D76</f>
        <v>67095</v>
      </c>
      <c r="E22" s="84">
        <f>TrRoad_act!E76</f>
        <v>74351</v>
      </c>
      <c r="F22" s="84">
        <f>TrRoad_act!F76</f>
        <v>80712</v>
      </c>
      <c r="G22" s="84">
        <f>TrRoad_act!G76</f>
        <v>86708</v>
      </c>
      <c r="H22" s="84">
        <f>TrRoad_act!H76</f>
        <v>92845</v>
      </c>
      <c r="I22" s="84">
        <f>TrRoad_act!I76</f>
        <v>91958</v>
      </c>
      <c r="J22" s="84">
        <f>TrRoad_act!J76</f>
        <v>96163</v>
      </c>
      <c r="K22" s="84">
        <f>TrRoad_act!K76</f>
        <v>95484</v>
      </c>
      <c r="L22" s="84">
        <f>TrRoad_act!L76</f>
        <v>91375</v>
      </c>
      <c r="M22" s="84">
        <f>TrRoad_act!M76</f>
        <v>90063</v>
      </c>
      <c r="N22" s="84">
        <f>TrRoad_act!N76</f>
        <v>84920</v>
      </c>
      <c r="O22" s="84">
        <f>TrRoad_act!O76</f>
        <v>84957</v>
      </c>
      <c r="P22" s="84">
        <f>TrRoad_act!P76</f>
        <v>86288</v>
      </c>
      <c r="Q22" s="84">
        <f>TrRoad_act!Q76</f>
        <v>102048</v>
      </c>
      <c r="R22" s="84">
        <f>TrRoad_act!R76</f>
        <v>110554</v>
      </c>
      <c r="S22" s="84">
        <f>TrRoad_act!S76</f>
        <v>119870</v>
      </c>
      <c r="T22" s="84">
        <f>TrRoad_act!T76</f>
        <v>130949</v>
      </c>
      <c r="U22" s="84">
        <f>TrRoad_act!U76</f>
        <v>141240</v>
      </c>
      <c r="V22" s="84">
        <f>TrRoad_act!V76</f>
        <v>148523</v>
      </c>
      <c r="W22" s="84">
        <f>TrRoad_act!W76</f>
        <v>157814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198</v>
      </c>
      <c r="J23" s="84">
        <f>TrRoad_act!J77</f>
        <v>510</v>
      </c>
      <c r="K23" s="84">
        <f>TrRoad_act!K77</f>
        <v>641</v>
      </c>
      <c r="L23" s="84">
        <f>TrRoad_act!L77</f>
        <v>668</v>
      </c>
      <c r="M23" s="84">
        <f>TrRoad_act!M77</f>
        <v>628</v>
      </c>
      <c r="N23" s="84">
        <f>TrRoad_act!N77</f>
        <v>621</v>
      </c>
      <c r="O23" s="84">
        <f>TrRoad_act!O77</f>
        <v>687</v>
      </c>
      <c r="P23" s="84">
        <f>TrRoad_act!P77</f>
        <v>753</v>
      </c>
      <c r="Q23" s="84">
        <f>TrRoad_act!Q77</f>
        <v>818</v>
      </c>
      <c r="R23" s="84">
        <f>TrRoad_act!R77</f>
        <v>898</v>
      </c>
      <c r="S23" s="84">
        <f>TrRoad_act!S77</f>
        <v>989</v>
      </c>
      <c r="T23" s="84">
        <f>TrRoad_act!T77</f>
        <v>1058</v>
      </c>
      <c r="U23" s="84">
        <f>TrRoad_act!U77</f>
        <v>1135</v>
      </c>
      <c r="V23" s="84">
        <f>TrRoad_act!V77</f>
        <v>1171</v>
      </c>
      <c r="W23" s="84">
        <f>TrRoad_act!W77</f>
        <v>1270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43</v>
      </c>
      <c r="L24" s="84">
        <f>TrRoad_act!L78</f>
        <v>51</v>
      </c>
      <c r="M24" s="84">
        <f>TrRoad_act!M78</f>
        <v>51</v>
      </c>
      <c r="N24" s="84">
        <f>TrRoad_act!N78</f>
        <v>71</v>
      </c>
      <c r="O24" s="84">
        <f>TrRoad_act!O78</f>
        <v>71</v>
      </c>
      <c r="P24" s="84">
        <f>TrRoad_act!P78</f>
        <v>71</v>
      </c>
      <c r="Q24" s="84">
        <f>TrRoad_act!Q78</f>
        <v>75</v>
      </c>
      <c r="R24" s="84">
        <f>TrRoad_act!R78</f>
        <v>75</v>
      </c>
      <c r="S24" s="84">
        <f>TrRoad_act!S78</f>
        <v>92</v>
      </c>
      <c r="T24" s="84">
        <f>TrRoad_act!T78</f>
        <v>96</v>
      </c>
      <c r="U24" s="84">
        <f>TrRoad_act!U78</f>
        <v>96</v>
      </c>
      <c r="V24" s="84">
        <f>TrRoad_act!V78</f>
        <v>96</v>
      </c>
      <c r="W24" s="84">
        <f>TrRoad_act!W78</f>
        <v>96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2</v>
      </c>
      <c r="F25" s="84">
        <f>TrRoad_act!F79</f>
        <v>2</v>
      </c>
      <c r="G25" s="84">
        <f>TrRoad_act!G79</f>
        <v>3</v>
      </c>
      <c r="H25" s="84">
        <f>TrRoad_act!H79</f>
        <v>3</v>
      </c>
      <c r="I25" s="84">
        <f>TrRoad_act!I79</f>
        <v>3</v>
      </c>
      <c r="J25" s="84">
        <f>TrRoad_act!J79</f>
        <v>5</v>
      </c>
      <c r="K25" s="84">
        <f>TrRoad_act!K79</f>
        <v>6</v>
      </c>
      <c r="L25" s="84">
        <f>TrRoad_act!L79</f>
        <v>6</v>
      </c>
      <c r="M25" s="84">
        <f>TrRoad_act!M79</f>
        <v>5</v>
      </c>
      <c r="N25" s="84">
        <f>TrRoad_act!N79</f>
        <v>7</v>
      </c>
      <c r="O25" s="84">
        <f>TrRoad_act!O79</f>
        <v>7</v>
      </c>
      <c r="P25" s="84">
        <f>TrRoad_act!P79</f>
        <v>8</v>
      </c>
      <c r="Q25" s="84">
        <f>TrRoad_act!Q79</f>
        <v>36</v>
      </c>
      <c r="R25" s="84">
        <f>TrRoad_act!R79</f>
        <v>53</v>
      </c>
      <c r="S25" s="84">
        <f>TrRoad_act!S79</f>
        <v>65</v>
      </c>
      <c r="T25" s="84">
        <f>TrRoad_act!T79</f>
        <v>77</v>
      </c>
      <c r="U25" s="84">
        <f>TrRoad_act!U79</f>
        <v>77</v>
      </c>
      <c r="V25" s="84">
        <f>TrRoad_act!V79</f>
        <v>178</v>
      </c>
      <c r="W25" s="84">
        <f>TrRoad_act!W79</f>
        <v>178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34452</v>
      </c>
      <c r="C26" s="110">
        <f>TrRoad_act!C80</f>
        <v>46437.000000000015</v>
      </c>
      <c r="D26" s="110">
        <f>TrRoad_act!D80</f>
        <v>50780</v>
      </c>
      <c r="E26" s="110">
        <f>TrRoad_act!E80</f>
        <v>55442</v>
      </c>
      <c r="F26" s="110">
        <f>TrRoad_act!F80</f>
        <v>57892</v>
      </c>
      <c r="G26" s="110">
        <f>TrRoad_act!G80</f>
        <v>57293</v>
      </c>
      <c r="H26" s="110">
        <f>TrRoad_act!H80</f>
        <v>66051</v>
      </c>
      <c r="I26" s="110">
        <f>TrRoad_act!I80</f>
        <v>65632</v>
      </c>
      <c r="J26" s="110">
        <f>TrRoad_act!J80</f>
        <v>69454</v>
      </c>
      <c r="K26" s="110">
        <f>TrRoad_act!K80</f>
        <v>60016</v>
      </c>
      <c r="L26" s="110">
        <f>TrRoad_act!L80</f>
        <v>60875</v>
      </c>
      <c r="M26" s="110">
        <f>TrRoad_act!M80</f>
        <v>61596</v>
      </c>
      <c r="N26" s="110">
        <f>TrRoad_act!N80</f>
        <v>60065</v>
      </c>
      <c r="O26" s="110">
        <f>TrRoad_act!O80</f>
        <v>61953</v>
      </c>
      <c r="P26" s="110">
        <f>TrRoad_act!P80</f>
        <v>63483</v>
      </c>
      <c r="Q26" s="110">
        <f>TrRoad_act!Q80</f>
        <v>64711</v>
      </c>
      <c r="R26" s="110">
        <f>TrRoad_act!R80</f>
        <v>62932</v>
      </c>
      <c r="S26" s="110">
        <f>TrRoad_act!S80</f>
        <v>65329</v>
      </c>
      <c r="T26" s="110">
        <f>TrRoad_act!T80</f>
        <v>66807</v>
      </c>
      <c r="U26" s="110">
        <f>TrRoad_act!U80</f>
        <v>68123</v>
      </c>
      <c r="V26" s="110">
        <f>TrRoad_act!V80</f>
        <v>69780</v>
      </c>
      <c r="W26" s="110">
        <f>TrRoad_act!W80</f>
        <v>70863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30822</v>
      </c>
      <c r="C27" s="102">
        <f>TrRoad_act!C81</f>
        <v>42545.000000000015</v>
      </c>
      <c r="D27" s="102">
        <f>TrRoad_act!D81</f>
        <v>46686</v>
      </c>
      <c r="E27" s="102">
        <f>TrRoad_act!E81</f>
        <v>51257</v>
      </c>
      <c r="F27" s="102">
        <f>TrRoad_act!F81</f>
        <v>52944</v>
      </c>
      <c r="G27" s="102">
        <f>TrRoad_act!G81</f>
        <v>52170</v>
      </c>
      <c r="H27" s="102">
        <f>TrRoad_act!H81</f>
        <v>61359</v>
      </c>
      <c r="I27" s="102">
        <f>TrRoad_act!I81</f>
        <v>60705</v>
      </c>
      <c r="J27" s="102">
        <f>TrRoad_act!J81</f>
        <v>66131</v>
      </c>
      <c r="K27" s="102">
        <f>TrRoad_act!K81</f>
        <v>57127</v>
      </c>
      <c r="L27" s="102">
        <f>TrRoad_act!L81</f>
        <v>58071</v>
      </c>
      <c r="M27" s="102">
        <f>TrRoad_act!M81</f>
        <v>58801</v>
      </c>
      <c r="N27" s="102">
        <f>TrRoad_act!N81</f>
        <v>57335</v>
      </c>
      <c r="O27" s="102">
        <f>TrRoad_act!O81</f>
        <v>59107</v>
      </c>
      <c r="P27" s="102">
        <f>TrRoad_act!P81</f>
        <v>60458</v>
      </c>
      <c r="Q27" s="102">
        <f>TrRoad_act!Q81</f>
        <v>61213</v>
      </c>
      <c r="R27" s="102">
        <f>TrRoad_act!R81</f>
        <v>59331</v>
      </c>
      <c r="S27" s="102">
        <f>TrRoad_act!S81</f>
        <v>60915</v>
      </c>
      <c r="T27" s="102">
        <f>TrRoad_act!T81</f>
        <v>62414</v>
      </c>
      <c r="U27" s="102">
        <f>TrRoad_act!U81</f>
        <v>64184</v>
      </c>
      <c r="V27" s="102">
        <f>TrRoad_act!V81</f>
        <v>65719</v>
      </c>
      <c r="W27" s="102">
        <f>TrRoad_act!W81</f>
        <v>67092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3630</v>
      </c>
      <c r="C28" s="86">
        <f>TrRoad_act!C82</f>
        <v>3892</v>
      </c>
      <c r="D28" s="86">
        <f>TrRoad_act!D82</f>
        <v>4094</v>
      </c>
      <c r="E28" s="86">
        <f>TrRoad_act!E82</f>
        <v>4185</v>
      </c>
      <c r="F28" s="86">
        <f>TrRoad_act!F82</f>
        <v>4948</v>
      </c>
      <c r="G28" s="86">
        <f>TrRoad_act!G82</f>
        <v>5123</v>
      </c>
      <c r="H28" s="86">
        <f>TrRoad_act!H82</f>
        <v>4692</v>
      </c>
      <c r="I28" s="86">
        <f>TrRoad_act!I82</f>
        <v>4927</v>
      </c>
      <c r="J28" s="86">
        <f>TrRoad_act!J82</f>
        <v>3323</v>
      </c>
      <c r="K28" s="86">
        <f>TrRoad_act!K82</f>
        <v>2889</v>
      </c>
      <c r="L28" s="86">
        <f>TrRoad_act!L82</f>
        <v>2804</v>
      </c>
      <c r="M28" s="86">
        <f>TrRoad_act!M82</f>
        <v>2795</v>
      </c>
      <c r="N28" s="86">
        <f>TrRoad_act!N82</f>
        <v>2730</v>
      </c>
      <c r="O28" s="86">
        <f>TrRoad_act!O82</f>
        <v>2846</v>
      </c>
      <c r="P28" s="86">
        <f>TrRoad_act!P82</f>
        <v>3025</v>
      </c>
      <c r="Q28" s="86">
        <f>TrRoad_act!Q82</f>
        <v>3498</v>
      </c>
      <c r="R28" s="86">
        <f>TrRoad_act!R82</f>
        <v>3601</v>
      </c>
      <c r="S28" s="86">
        <f>TrRoad_act!S82</f>
        <v>4414</v>
      </c>
      <c r="T28" s="86">
        <f>TrRoad_act!T82</f>
        <v>4393</v>
      </c>
      <c r="U28" s="86">
        <f>TrRoad_act!U82</f>
        <v>3939</v>
      </c>
      <c r="V28" s="86">
        <f>TrRoad_act!V82</f>
        <v>4061</v>
      </c>
      <c r="W28" s="86">
        <f>TrRoad_act!W82</f>
        <v>3771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120024</v>
      </c>
      <c r="C30" s="54">
        <f>TrRoad_act!C111</f>
        <v>176661</v>
      </c>
      <c r="D30" s="54">
        <f>TrRoad_act!D111</f>
        <v>144697</v>
      </c>
      <c r="E30" s="54">
        <f>TrRoad_act!E111</f>
        <v>170610</v>
      </c>
      <c r="F30" s="54">
        <f>TrRoad_act!F111</f>
        <v>168829</v>
      </c>
      <c r="G30" s="54">
        <f>TrRoad_act!G111</f>
        <v>175037</v>
      </c>
      <c r="H30" s="54">
        <f>TrRoad_act!H111</f>
        <v>210394</v>
      </c>
      <c r="I30" s="54">
        <f>TrRoad_act!I111</f>
        <v>187510</v>
      </c>
      <c r="J30" s="54">
        <f>TrRoad_act!J111</f>
        <v>174690</v>
      </c>
      <c r="K30" s="54">
        <f>TrRoad_act!K111</f>
        <v>114180</v>
      </c>
      <c r="L30" s="54">
        <f>TrRoad_act!L111</f>
        <v>84532</v>
      </c>
      <c r="M30" s="54">
        <f>TrRoad_act!M111</f>
        <v>89260</v>
      </c>
      <c r="N30" s="54">
        <f>TrRoad_act!N111</f>
        <v>79851</v>
      </c>
      <c r="O30" s="54">
        <f>TrRoad_act!O111</f>
        <v>88157</v>
      </c>
      <c r="P30" s="54">
        <f>TrRoad_act!P111</f>
        <v>115961</v>
      </c>
      <c r="Q30" s="54">
        <f>TrRoad_act!Q111</f>
        <v>143023</v>
      </c>
      <c r="R30" s="54">
        <f>TrRoad_act!R111</f>
        <v>157165</v>
      </c>
      <c r="S30" s="54">
        <f>TrRoad_act!S111</f>
        <v>161304</v>
      </c>
      <c r="T30" s="54">
        <f>TrRoad_act!T111</f>
        <v>216532</v>
      </c>
      <c r="U30" s="54">
        <f>TrRoad_act!U111</f>
        <v>221292</v>
      </c>
      <c r="V30" s="54">
        <f>TrRoad_act!V111</f>
        <v>160605</v>
      </c>
      <c r="W30" s="54">
        <f>TrRoad_act!W111</f>
        <v>154011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115590</v>
      </c>
      <c r="C31" s="28">
        <f>TrRoad_act!C112</f>
        <v>146649</v>
      </c>
      <c r="D31" s="28">
        <f>TrRoad_act!D112</f>
        <v>129167</v>
      </c>
      <c r="E31" s="28">
        <f>TrRoad_act!E112</f>
        <v>153362</v>
      </c>
      <c r="F31" s="28">
        <f>TrRoad_act!F112</f>
        <v>153834</v>
      </c>
      <c r="G31" s="28">
        <f>TrRoad_act!G112</f>
        <v>162271</v>
      </c>
      <c r="H31" s="28">
        <f>TrRoad_act!H112</f>
        <v>188578</v>
      </c>
      <c r="I31" s="28">
        <f>TrRoad_act!I112</f>
        <v>174557</v>
      </c>
      <c r="J31" s="28">
        <f>TrRoad_act!J112</f>
        <v>158955</v>
      </c>
      <c r="K31" s="28">
        <f>TrRoad_act!K112</f>
        <v>108814</v>
      </c>
      <c r="L31" s="28">
        <f>TrRoad_act!L112</f>
        <v>80274</v>
      </c>
      <c r="M31" s="28">
        <f>TrRoad_act!M112</f>
        <v>82581</v>
      </c>
      <c r="N31" s="28">
        <f>TrRoad_act!N112</f>
        <v>73311</v>
      </c>
      <c r="O31" s="28">
        <f>TrRoad_act!O112</f>
        <v>77994</v>
      </c>
      <c r="P31" s="28">
        <f>TrRoad_act!P112</f>
        <v>105605</v>
      </c>
      <c r="Q31" s="28">
        <f>TrRoad_act!Q112</f>
        <v>109960</v>
      </c>
      <c r="R31" s="28">
        <f>TrRoad_act!R112</f>
        <v>137032</v>
      </c>
      <c r="S31" s="28">
        <f>TrRoad_act!S112</f>
        <v>137521</v>
      </c>
      <c r="T31" s="28">
        <f>TrRoad_act!T112</f>
        <v>191515</v>
      </c>
      <c r="U31" s="28">
        <f>TrRoad_act!U112</f>
        <v>197261</v>
      </c>
      <c r="V31" s="28">
        <f>TrRoad_act!V112</f>
        <v>140052</v>
      </c>
      <c r="W31" s="28">
        <f>TrRoad_act!W112</f>
        <v>130570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0</v>
      </c>
      <c r="C32" s="137">
        <f>TrRoad_act!C113</f>
        <v>1144</v>
      </c>
      <c r="D32" s="137">
        <f>TrRoad_act!D113</f>
        <v>7414</v>
      </c>
      <c r="E32" s="137">
        <f>TrRoad_act!E113</f>
        <v>21277</v>
      </c>
      <c r="F32" s="137">
        <f>TrRoad_act!F113</f>
        <v>21360</v>
      </c>
      <c r="G32" s="137">
        <f>TrRoad_act!G113</f>
        <v>24037</v>
      </c>
      <c r="H32" s="137">
        <f>TrRoad_act!H113</f>
        <v>23842</v>
      </c>
      <c r="I32" s="137">
        <f>TrRoad_act!I113</f>
        <v>12564</v>
      </c>
      <c r="J32" s="137">
        <f>TrRoad_act!J113</f>
        <v>12335</v>
      </c>
      <c r="K32" s="137">
        <f>TrRoad_act!K113</f>
        <v>6604</v>
      </c>
      <c r="L32" s="137">
        <f>TrRoad_act!L113</f>
        <v>3991</v>
      </c>
      <c r="M32" s="137">
        <f>TrRoad_act!M113</f>
        <v>3816</v>
      </c>
      <c r="N32" s="137">
        <f>TrRoad_act!N113</f>
        <v>4207</v>
      </c>
      <c r="O32" s="137">
        <f>TrRoad_act!O113</f>
        <v>2839</v>
      </c>
      <c r="P32" s="137">
        <f>TrRoad_act!P113</f>
        <v>3437</v>
      </c>
      <c r="Q32" s="137">
        <f>TrRoad_act!Q113</f>
        <v>2115</v>
      </c>
      <c r="R32" s="137">
        <f>TrRoad_act!R113</f>
        <v>5411</v>
      </c>
      <c r="S32" s="137">
        <f>TrRoad_act!S113</f>
        <v>5165</v>
      </c>
      <c r="T32" s="137">
        <f>TrRoad_act!T113</f>
        <v>7566</v>
      </c>
      <c r="U32" s="137">
        <f>TrRoad_act!U113</f>
        <v>6145</v>
      </c>
      <c r="V32" s="137">
        <f>TrRoad_act!V113</f>
        <v>3766</v>
      </c>
      <c r="W32" s="137">
        <f>TrRoad_act!W113</f>
        <v>6947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115139</v>
      </c>
      <c r="C33" s="110">
        <f>TrRoad_act!C114</f>
        <v>144974</v>
      </c>
      <c r="D33" s="110">
        <f>TrRoad_act!D114</f>
        <v>121235</v>
      </c>
      <c r="E33" s="110">
        <f>TrRoad_act!E114</f>
        <v>131515</v>
      </c>
      <c r="F33" s="110">
        <f>TrRoad_act!F114</f>
        <v>131905</v>
      </c>
      <c r="G33" s="110">
        <f>TrRoad_act!G114</f>
        <v>137657</v>
      </c>
      <c r="H33" s="110">
        <f>TrRoad_act!H114</f>
        <v>164135</v>
      </c>
      <c r="I33" s="110">
        <f>TrRoad_act!I114</f>
        <v>161225</v>
      </c>
      <c r="J33" s="110">
        <f>TrRoad_act!J114</f>
        <v>145979</v>
      </c>
      <c r="K33" s="110">
        <f>TrRoad_act!K114</f>
        <v>101649</v>
      </c>
      <c r="L33" s="110">
        <f>TrRoad_act!L114</f>
        <v>75894</v>
      </c>
      <c r="M33" s="110">
        <f>TrRoad_act!M114</f>
        <v>78238</v>
      </c>
      <c r="N33" s="110">
        <f>TrRoad_act!N114</f>
        <v>68715</v>
      </c>
      <c r="O33" s="110">
        <f>TrRoad_act!O114</f>
        <v>74407</v>
      </c>
      <c r="P33" s="110">
        <f>TrRoad_act!P114</f>
        <v>101208</v>
      </c>
      <c r="Q33" s="110">
        <f>TrRoad_act!Q114</f>
        <v>107107</v>
      </c>
      <c r="R33" s="110">
        <f>TrRoad_act!R114</f>
        <v>131122</v>
      </c>
      <c r="S33" s="110">
        <f>TrRoad_act!S114</f>
        <v>131879</v>
      </c>
      <c r="T33" s="110">
        <f>TrRoad_act!T114</f>
        <v>183452</v>
      </c>
      <c r="U33" s="110">
        <f>TrRoad_act!U114</f>
        <v>190600</v>
      </c>
      <c r="V33" s="110">
        <f>TrRoad_act!V114</f>
        <v>136214</v>
      </c>
      <c r="W33" s="110">
        <f>TrRoad_act!W114</f>
        <v>122979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90999</v>
      </c>
      <c r="C34" s="84">
        <f>TrRoad_act!C115</f>
        <v>93314</v>
      </c>
      <c r="D34" s="84">
        <f>TrRoad_act!D115</f>
        <v>78930</v>
      </c>
      <c r="E34" s="84">
        <f>TrRoad_act!E115</f>
        <v>77042</v>
      </c>
      <c r="F34" s="84">
        <f>TrRoad_act!F115</f>
        <v>69126</v>
      </c>
      <c r="G34" s="84">
        <f>TrRoad_act!G115</f>
        <v>72674</v>
      </c>
      <c r="H34" s="84">
        <f>TrRoad_act!H115</f>
        <v>84163</v>
      </c>
      <c r="I34" s="84">
        <f>TrRoad_act!I115</f>
        <v>79200</v>
      </c>
      <c r="J34" s="84">
        <f>TrRoad_act!J115</f>
        <v>78088</v>
      </c>
      <c r="K34" s="84">
        <f>TrRoad_act!K115</f>
        <v>51703</v>
      </c>
      <c r="L34" s="84">
        <f>TrRoad_act!L115</f>
        <v>45263</v>
      </c>
      <c r="M34" s="84">
        <f>TrRoad_act!M115</f>
        <v>42610</v>
      </c>
      <c r="N34" s="84">
        <f>TrRoad_act!N115</f>
        <v>34405</v>
      </c>
      <c r="O34" s="84">
        <f>TrRoad_act!O115</f>
        <v>31925</v>
      </c>
      <c r="P34" s="84">
        <f>TrRoad_act!P115</f>
        <v>32970</v>
      </c>
      <c r="Q34" s="84">
        <f>TrRoad_act!Q115</f>
        <v>32182</v>
      </c>
      <c r="R34" s="84">
        <f>TrRoad_act!R115</f>
        <v>36097</v>
      </c>
      <c r="S34" s="84">
        <f>TrRoad_act!S115</f>
        <v>36589</v>
      </c>
      <c r="T34" s="84">
        <f>TrRoad_act!T115</f>
        <v>56088</v>
      </c>
      <c r="U34" s="84">
        <f>TrRoad_act!U115</f>
        <v>62331</v>
      </c>
      <c r="V34" s="84">
        <f>TrRoad_act!V115</f>
        <v>42581</v>
      </c>
      <c r="W34" s="84">
        <f>TrRoad_act!W115</f>
        <v>43894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24140</v>
      </c>
      <c r="C35" s="84">
        <f>TrRoad_act!C116</f>
        <v>48570</v>
      </c>
      <c r="D35" s="84">
        <f>TrRoad_act!D116</f>
        <v>40814</v>
      </c>
      <c r="E35" s="84">
        <f>TrRoad_act!E116</f>
        <v>52997</v>
      </c>
      <c r="F35" s="84">
        <f>TrRoad_act!F116</f>
        <v>57313</v>
      </c>
      <c r="G35" s="84">
        <f>TrRoad_act!G116</f>
        <v>56719</v>
      </c>
      <c r="H35" s="84">
        <f>TrRoad_act!H116</f>
        <v>59037</v>
      </c>
      <c r="I35" s="84">
        <f>TrRoad_act!I116</f>
        <v>60194</v>
      </c>
      <c r="J35" s="84">
        <f>TrRoad_act!J116</f>
        <v>45032</v>
      </c>
      <c r="K35" s="84">
        <f>TrRoad_act!K116</f>
        <v>31002</v>
      </c>
      <c r="L35" s="84">
        <f>TrRoad_act!L116</f>
        <v>30480</v>
      </c>
      <c r="M35" s="84">
        <f>TrRoad_act!M116</f>
        <v>35519</v>
      </c>
      <c r="N35" s="84">
        <f>TrRoad_act!N116</f>
        <v>34166</v>
      </c>
      <c r="O35" s="84">
        <f>TrRoad_act!O116</f>
        <v>42306</v>
      </c>
      <c r="P35" s="84">
        <f>TrRoad_act!P116</f>
        <v>63001</v>
      </c>
      <c r="Q35" s="84">
        <f>TrRoad_act!Q116</f>
        <v>69807</v>
      </c>
      <c r="R35" s="84">
        <f>TrRoad_act!R116</f>
        <v>88660</v>
      </c>
      <c r="S35" s="84">
        <f>TrRoad_act!S116</f>
        <v>86746</v>
      </c>
      <c r="T35" s="84">
        <f>TrRoad_act!T116</f>
        <v>114175</v>
      </c>
      <c r="U35" s="84">
        <f>TrRoad_act!U116</f>
        <v>116613</v>
      </c>
      <c r="V35" s="84">
        <f>TrRoad_act!V116</f>
        <v>82006</v>
      </c>
      <c r="W35" s="84">
        <f>TrRoad_act!W116</f>
        <v>65661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3090</v>
      </c>
      <c r="D36" s="84">
        <f>TrRoad_act!D117</f>
        <v>1491</v>
      </c>
      <c r="E36" s="84">
        <f>TrRoad_act!E117</f>
        <v>1476</v>
      </c>
      <c r="F36" s="84">
        <f>TrRoad_act!F117</f>
        <v>5466</v>
      </c>
      <c r="G36" s="84">
        <f>TrRoad_act!G117</f>
        <v>8264</v>
      </c>
      <c r="H36" s="84">
        <f>TrRoad_act!H117</f>
        <v>20935</v>
      </c>
      <c r="I36" s="84">
        <f>TrRoad_act!I117</f>
        <v>21831</v>
      </c>
      <c r="J36" s="84">
        <f>TrRoad_act!J117</f>
        <v>22859</v>
      </c>
      <c r="K36" s="84">
        <f>TrRoad_act!K117</f>
        <v>18880</v>
      </c>
      <c r="L36" s="84">
        <f>TrRoad_act!L117</f>
        <v>139</v>
      </c>
      <c r="M36" s="84">
        <f>TrRoad_act!M117</f>
        <v>109</v>
      </c>
      <c r="N36" s="84">
        <f>TrRoad_act!N117</f>
        <v>101</v>
      </c>
      <c r="O36" s="84">
        <f>TrRoad_act!O117</f>
        <v>166</v>
      </c>
      <c r="P36" s="84">
        <f>TrRoad_act!P117</f>
        <v>5172</v>
      </c>
      <c r="Q36" s="84">
        <f>TrRoad_act!Q117</f>
        <v>4993</v>
      </c>
      <c r="R36" s="84">
        <f>TrRoad_act!R117</f>
        <v>6256</v>
      </c>
      <c r="S36" s="84">
        <f>TrRoad_act!S117</f>
        <v>8437</v>
      </c>
      <c r="T36" s="84">
        <f>TrRoad_act!T117</f>
        <v>12969</v>
      </c>
      <c r="U36" s="84">
        <f>TrRoad_act!U117</f>
        <v>11258</v>
      </c>
      <c r="V36" s="84">
        <f>TrRoad_act!V117</f>
        <v>10624</v>
      </c>
      <c r="W36" s="84">
        <f>TrRoad_act!W117</f>
        <v>11223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64</v>
      </c>
      <c r="L37" s="84">
        <f>TrRoad_act!L118</f>
        <v>12</v>
      </c>
      <c r="M37" s="84">
        <f>TrRoad_act!M118</f>
        <v>0</v>
      </c>
      <c r="N37" s="84">
        <f>TrRoad_act!N118</f>
        <v>10</v>
      </c>
      <c r="O37" s="84">
        <f>TrRoad_act!O118</f>
        <v>5</v>
      </c>
      <c r="P37" s="84">
        <f>TrRoad_act!P118</f>
        <v>13</v>
      </c>
      <c r="Q37" s="84">
        <f>TrRoad_act!Q118</f>
        <v>0</v>
      </c>
      <c r="R37" s="84">
        <f>TrRoad_act!R118</f>
        <v>10</v>
      </c>
      <c r="S37" s="84">
        <f>TrRoad_act!S118</f>
        <v>31</v>
      </c>
      <c r="T37" s="84">
        <f>TrRoad_act!T118</f>
        <v>8</v>
      </c>
      <c r="U37" s="84">
        <f>TrRoad_act!U118</f>
        <v>3</v>
      </c>
      <c r="V37" s="84">
        <f>TrRoad_act!V118</f>
        <v>1</v>
      </c>
      <c r="W37" s="84">
        <f>TrRoad_act!W118</f>
        <v>2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0</v>
      </c>
      <c r="P38" s="84">
        <f>TrRoad_act!P119</f>
        <v>5</v>
      </c>
      <c r="Q38" s="84">
        <f>TrRoad_act!Q119</f>
        <v>43</v>
      </c>
      <c r="R38" s="84">
        <f>TrRoad_act!R119</f>
        <v>29</v>
      </c>
      <c r="S38" s="84">
        <f>TrRoad_act!S119</f>
        <v>21</v>
      </c>
      <c r="T38" s="84">
        <f>TrRoad_act!T119</f>
        <v>30</v>
      </c>
      <c r="U38" s="84">
        <f>TrRoad_act!U119</f>
        <v>116</v>
      </c>
      <c r="V38" s="84">
        <f>TrRoad_act!V119</f>
        <v>363</v>
      </c>
      <c r="W38" s="84">
        <f>TrRoad_act!W119</f>
        <v>556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33</v>
      </c>
      <c r="O39" s="84">
        <f>TrRoad_act!O120</f>
        <v>5</v>
      </c>
      <c r="P39" s="84">
        <f>TrRoad_act!P120</f>
        <v>47</v>
      </c>
      <c r="Q39" s="84">
        <f>TrRoad_act!Q120</f>
        <v>82</v>
      </c>
      <c r="R39" s="84">
        <f>TrRoad_act!R120</f>
        <v>70</v>
      </c>
      <c r="S39" s="84">
        <f>TrRoad_act!S120</f>
        <v>55</v>
      </c>
      <c r="T39" s="84">
        <f>TrRoad_act!T120</f>
        <v>182</v>
      </c>
      <c r="U39" s="84">
        <f>TrRoad_act!U120</f>
        <v>279</v>
      </c>
      <c r="V39" s="84">
        <f>TrRoad_act!V120</f>
        <v>639</v>
      </c>
      <c r="W39" s="84">
        <f>TrRoad_act!W120</f>
        <v>1643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451</v>
      </c>
      <c r="C40" s="110">
        <f>TrRoad_act!C121</f>
        <v>531</v>
      </c>
      <c r="D40" s="110">
        <f>TrRoad_act!D121</f>
        <v>518</v>
      </c>
      <c r="E40" s="110">
        <f>TrRoad_act!E121</f>
        <v>570</v>
      </c>
      <c r="F40" s="110">
        <f>TrRoad_act!F121</f>
        <v>569</v>
      </c>
      <c r="G40" s="110">
        <f>TrRoad_act!G121</f>
        <v>577</v>
      </c>
      <c r="H40" s="110">
        <f>TrRoad_act!H121</f>
        <v>601</v>
      </c>
      <c r="I40" s="110">
        <f>TrRoad_act!I121</f>
        <v>768</v>
      </c>
      <c r="J40" s="110">
        <f>TrRoad_act!J121</f>
        <v>641</v>
      </c>
      <c r="K40" s="110">
        <f>TrRoad_act!K121</f>
        <v>561</v>
      </c>
      <c r="L40" s="110">
        <f>TrRoad_act!L121</f>
        <v>389</v>
      </c>
      <c r="M40" s="110">
        <f>TrRoad_act!M121</f>
        <v>527</v>
      </c>
      <c r="N40" s="110">
        <f>TrRoad_act!N121</f>
        <v>389</v>
      </c>
      <c r="O40" s="110">
        <f>TrRoad_act!O121</f>
        <v>748</v>
      </c>
      <c r="P40" s="110">
        <f>TrRoad_act!P121</f>
        <v>960</v>
      </c>
      <c r="Q40" s="110">
        <f>TrRoad_act!Q121</f>
        <v>738</v>
      </c>
      <c r="R40" s="110">
        <f>TrRoad_act!R121</f>
        <v>499</v>
      </c>
      <c r="S40" s="110">
        <f>TrRoad_act!S121</f>
        <v>477</v>
      </c>
      <c r="T40" s="110">
        <f>TrRoad_act!T121</f>
        <v>497</v>
      </c>
      <c r="U40" s="110">
        <f>TrRoad_act!U121</f>
        <v>516</v>
      </c>
      <c r="V40" s="110">
        <f>TrRoad_act!V121</f>
        <v>72</v>
      </c>
      <c r="W40" s="110">
        <f>TrRoad_act!W121</f>
        <v>644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1</v>
      </c>
      <c r="C41" s="102">
        <f>TrRoad_act!C122</f>
        <v>4</v>
      </c>
      <c r="D41" s="102">
        <f>TrRoad_act!D122</f>
        <v>4</v>
      </c>
      <c r="E41" s="102">
        <f>TrRoad_act!E122</f>
        <v>1</v>
      </c>
      <c r="F41" s="102">
        <f>TrRoad_act!F122</f>
        <v>1</v>
      </c>
      <c r="G41" s="102">
        <f>TrRoad_act!G122</f>
        <v>3</v>
      </c>
      <c r="H41" s="102">
        <f>TrRoad_act!H122</f>
        <v>4</v>
      </c>
      <c r="I41" s="102">
        <f>TrRoad_act!I122</f>
        <v>0</v>
      </c>
      <c r="J41" s="102">
        <f>TrRoad_act!J122</f>
        <v>7</v>
      </c>
      <c r="K41" s="102">
        <f>TrRoad_act!K122</f>
        <v>0</v>
      </c>
      <c r="L41" s="102">
        <f>TrRoad_act!L122</f>
        <v>1</v>
      </c>
      <c r="M41" s="102">
        <f>TrRoad_act!M122</f>
        <v>0</v>
      </c>
      <c r="N41" s="102">
        <f>TrRoad_act!N122</f>
        <v>2</v>
      </c>
      <c r="O41" s="102">
        <f>TrRoad_act!O122</f>
        <v>9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450</v>
      </c>
      <c r="C42" s="102">
        <f>TrRoad_act!C123</f>
        <v>527</v>
      </c>
      <c r="D42" s="102">
        <f>TrRoad_act!D123</f>
        <v>514</v>
      </c>
      <c r="E42" s="102">
        <f>TrRoad_act!E123</f>
        <v>569</v>
      </c>
      <c r="F42" s="102">
        <f>TrRoad_act!F123</f>
        <v>568</v>
      </c>
      <c r="G42" s="102">
        <f>TrRoad_act!G123</f>
        <v>574</v>
      </c>
      <c r="H42" s="102">
        <f>TrRoad_act!H123</f>
        <v>597</v>
      </c>
      <c r="I42" s="102">
        <f>TrRoad_act!I123</f>
        <v>767</v>
      </c>
      <c r="J42" s="102">
        <f>TrRoad_act!J123</f>
        <v>634</v>
      </c>
      <c r="K42" s="102">
        <f>TrRoad_act!K123</f>
        <v>503</v>
      </c>
      <c r="L42" s="102">
        <f>TrRoad_act!L123</f>
        <v>384</v>
      </c>
      <c r="M42" s="102">
        <f>TrRoad_act!M123</f>
        <v>525</v>
      </c>
      <c r="N42" s="102">
        <f>TrRoad_act!N123</f>
        <v>378</v>
      </c>
      <c r="O42" s="102">
        <f>TrRoad_act!O123</f>
        <v>649</v>
      </c>
      <c r="P42" s="102">
        <f>TrRoad_act!P123</f>
        <v>781</v>
      </c>
      <c r="Q42" s="102">
        <f>TrRoad_act!Q123</f>
        <v>736</v>
      </c>
      <c r="R42" s="102">
        <f>TrRoad_act!R123</f>
        <v>498</v>
      </c>
      <c r="S42" s="102">
        <f>TrRoad_act!S123</f>
        <v>467</v>
      </c>
      <c r="T42" s="102">
        <f>TrRoad_act!T123</f>
        <v>497</v>
      </c>
      <c r="U42" s="102">
        <f>TrRoad_act!U123</f>
        <v>515</v>
      </c>
      <c r="V42" s="102">
        <f>TrRoad_act!V123</f>
        <v>49</v>
      </c>
      <c r="W42" s="102">
        <f>TrRoad_act!W123</f>
        <v>641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1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1</v>
      </c>
      <c r="N43" s="102">
        <f>TrRoad_act!N124</f>
        <v>0</v>
      </c>
      <c r="O43" s="102">
        <f>TrRoad_act!O124</f>
        <v>11</v>
      </c>
      <c r="P43" s="102">
        <f>TrRoad_act!P124</f>
        <v>2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1</v>
      </c>
      <c r="V43" s="102">
        <f>TrRoad_act!V124</f>
        <v>3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58</v>
      </c>
      <c r="L44" s="102">
        <f>TrRoad_act!L125</f>
        <v>4</v>
      </c>
      <c r="M44" s="102">
        <f>TrRoad_act!M125</f>
        <v>1</v>
      </c>
      <c r="N44" s="102">
        <f>TrRoad_act!N125</f>
        <v>9</v>
      </c>
      <c r="O44" s="102">
        <f>TrRoad_act!O125</f>
        <v>79</v>
      </c>
      <c r="P44" s="102">
        <f>TrRoad_act!P125</f>
        <v>177</v>
      </c>
      <c r="Q44" s="102">
        <f>TrRoad_act!Q125</f>
        <v>0</v>
      </c>
      <c r="R44" s="102">
        <f>TrRoad_act!R125</f>
        <v>0</v>
      </c>
      <c r="S44" s="102">
        <f>TrRoad_act!S125</f>
        <v>10</v>
      </c>
      <c r="T44" s="102">
        <f>TrRoad_act!T125</f>
        <v>0</v>
      </c>
      <c r="U44" s="102">
        <f>TrRoad_act!U125</f>
        <v>0</v>
      </c>
      <c r="V44" s="102">
        <f>TrRoad_act!V125</f>
        <v>20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2</v>
      </c>
      <c r="R45" s="102">
        <f>TrRoad_act!R126</f>
        <v>1</v>
      </c>
      <c r="S45" s="102">
        <f>TrRoad_act!S126</f>
        <v>0</v>
      </c>
      <c r="T45" s="102">
        <f>TrRoad_act!T126</f>
        <v>0</v>
      </c>
      <c r="U45" s="102">
        <f>TrRoad_act!U126</f>
        <v>0</v>
      </c>
      <c r="V45" s="102">
        <f>TrRoad_act!V126</f>
        <v>0</v>
      </c>
      <c r="W45" s="102">
        <f>TrRoad_act!W126</f>
        <v>3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4434</v>
      </c>
      <c r="C46" s="28">
        <f>TrRoad_act!C127</f>
        <v>30012</v>
      </c>
      <c r="D46" s="28">
        <f>TrRoad_act!D127</f>
        <v>15530</v>
      </c>
      <c r="E46" s="28">
        <f>TrRoad_act!E127</f>
        <v>17248</v>
      </c>
      <c r="F46" s="28">
        <f>TrRoad_act!F127</f>
        <v>14995</v>
      </c>
      <c r="G46" s="28">
        <f>TrRoad_act!G127</f>
        <v>12766</v>
      </c>
      <c r="H46" s="28">
        <f>TrRoad_act!H127</f>
        <v>21816</v>
      </c>
      <c r="I46" s="28">
        <f>TrRoad_act!I127</f>
        <v>12953</v>
      </c>
      <c r="J46" s="28">
        <f>TrRoad_act!J127</f>
        <v>15735</v>
      </c>
      <c r="K46" s="28">
        <f>TrRoad_act!K127</f>
        <v>5366</v>
      </c>
      <c r="L46" s="28">
        <f>TrRoad_act!L127</f>
        <v>4258</v>
      </c>
      <c r="M46" s="28">
        <f>TrRoad_act!M127</f>
        <v>6679</v>
      </c>
      <c r="N46" s="28">
        <f>TrRoad_act!N127</f>
        <v>6540</v>
      </c>
      <c r="O46" s="28">
        <f>TrRoad_act!O127</f>
        <v>10163</v>
      </c>
      <c r="P46" s="28">
        <f>TrRoad_act!P127</f>
        <v>10356</v>
      </c>
      <c r="Q46" s="28">
        <f>TrRoad_act!Q127</f>
        <v>33063</v>
      </c>
      <c r="R46" s="28">
        <f>TrRoad_act!R127</f>
        <v>20133</v>
      </c>
      <c r="S46" s="28">
        <f>TrRoad_act!S127</f>
        <v>23783</v>
      </c>
      <c r="T46" s="28">
        <f>TrRoad_act!T127</f>
        <v>25017</v>
      </c>
      <c r="U46" s="28">
        <f>TrRoad_act!U127</f>
        <v>24031</v>
      </c>
      <c r="V46" s="28">
        <f>TrRoad_act!V127</f>
        <v>20553</v>
      </c>
      <c r="W46" s="28">
        <f>TrRoad_act!W127</f>
        <v>23441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4071</v>
      </c>
      <c r="C47" s="137">
        <f>TrRoad_act!C128</f>
        <v>14997</v>
      </c>
      <c r="D47" s="137">
        <f>TrRoad_act!D128</f>
        <v>9782</v>
      </c>
      <c r="E47" s="137">
        <f>TrRoad_act!E128</f>
        <v>10679</v>
      </c>
      <c r="F47" s="137">
        <f>TrRoad_act!F128</f>
        <v>10106</v>
      </c>
      <c r="G47" s="137">
        <f>TrRoad_act!G128</f>
        <v>10180</v>
      </c>
      <c r="H47" s="137">
        <f>TrRoad_act!H128</f>
        <v>11006</v>
      </c>
      <c r="I47" s="137">
        <f>TrRoad_act!I128</f>
        <v>9493</v>
      </c>
      <c r="J47" s="137">
        <f>TrRoad_act!J128</f>
        <v>8688</v>
      </c>
      <c r="K47" s="137">
        <f>TrRoad_act!K128</f>
        <v>4705</v>
      </c>
      <c r="L47" s="137">
        <f>TrRoad_act!L128</f>
        <v>3098</v>
      </c>
      <c r="M47" s="137">
        <f>TrRoad_act!M128</f>
        <v>3355</v>
      </c>
      <c r="N47" s="137">
        <f>TrRoad_act!N128</f>
        <v>3540</v>
      </c>
      <c r="O47" s="137">
        <f>TrRoad_act!O128</f>
        <v>3723</v>
      </c>
      <c r="P47" s="137">
        <f>TrRoad_act!P128</f>
        <v>3956</v>
      </c>
      <c r="Q47" s="137">
        <f>TrRoad_act!Q128</f>
        <v>25773</v>
      </c>
      <c r="R47" s="137">
        <f>TrRoad_act!R128</f>
        <v>16306</v>
      </c>
      <c r="S47" s="137">
        <f>TrRoad_act!S128</f>
        <v>16837</v>
      </c>
      <c r="T47" s="137">
        <f>TrRoad_act!T128</f>
        <v>18581</v>
      </c>
      <c r="U47" s="137">
        <f>TrRoad_act!U128</f>
        <v>18114</v>
      </c>
      <c r="V47" s="137">
        <f>TrRoad_act!V128</f>
        <v>15045</v>
      </c>
      <c r="W47" s="137">
        <f>TrRoad_act!W128</f>
        <v>17457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501</v>
      </c>
      <c r="C48" s="84">
        <f>TrRoad_act!C129</f>
        <v>2275</v>
      </c>
      <c r="D48" s="84">
        <f>TrRoad_act!D129</f>
        <v>642</v>
      </c>
      <c r="E48" s="84">
        <f>TrRoad_act!E129</f>
        <v>467</v>
      </c>
      <c r="F48" s="84">
        <f>TrRoad_act!F129</f>
        <v>291</v>
      </c>
      <c r="G48" s="84">
        <f>TrRoad_act!G129</f>
        <v>316</v>
      </c>
      <c r="H48" s="84">
        <f>TrRoad_act!H129</f>
        <v>589</v>
      </c>
      <c r="I48" s="84">
        <f>TrRoad_act!I129</f>
        <v>535</v>
      </c>
      <c r="J48" s="84">
        <f>TrRoad_act!J129</f>
        <v>613</v>
      </c>
      <c r="K48" s="84">
        <f>TrRoad_act!K129</f>
        <v>406</v>
      </c>
      <c r="L48" s="84">
        <f>TrRoad_act!L129</f>
        <v>249</v>
      </c>
      <c r="M48" s="84">
        <f>TrRoad_act!M129</f>
        <v>181</v>
      </c>
      <c r="N48" s="84">
        <f>TrRoad_act!N129</f>
        <v>131</v>
      </c>
      <c r="O48" s="84">
        <f>TrRoad_act!O129</f>
        <v>118</v>
      </c>
      <c r="P48" s="84">
        <f>TrRoad_act!P129</f>
        <v>124</v>
      </c>
      <c r="Q48" s="84">
        <f>TrRoad_act!Q129</f>
        <v>291</v>
      </c>
      <c r="R48" s="84">
        <f>TrRoad_act!R129</f>
        <v>346</v>
      </c>
      <c r="S48" s="84">
        <f>TrRoad_act!S129</f>
        <v>453</v>
      </c>
      <c r="T48" s="84">
        <f>TrRoad_act!T129</f>
        <v>382</v>
      </c>
      <c r="U48" s="84">
        <f>TrRoad_act!U129</f>
        <v>350</v>
      </c>
      <c r="V48" s="84">
        <f>TrRoad_act!V129</f>
        <v>242</v>
      </c>
      <c r="W48" s="84">
        <f>TrRoad_act!W129</f>
        <v>435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3570</v>
      </c>
      <c r="C49" s="84">
        <f>TrRoad_act!C130</f>
        <v>12722</v>
      </c>
      <c r="D49" s="84">
        <f>TrRoad_act!D130</f>
        <v>9140</v>
      </c>
      <c r="E49" s="84">
        <f>TrRoad_act!E130</f>
        <v>10210</v>
      </c>
      <c r="F49" s="84">
        <f>TrRoad_act!F130</f>
        <v>9815</v>
      </c>
      <c r="G49" s="84">
        <f>TrRoad_act!G130</f>
        <v>9863</v>
      </c>
      <c r="H49" s="84">
        <f>TrRoad_act!H130</f>
        <v>10417</v>
      </c>
      <c r="I49" s="84">
        <f>TrRoad_act!I130</f>
        <v>8760</v>
      </c>
      <c r="J49" s="84">
        <f>TrRoad_act!J130</f>
        <v>7761</v>
      </c>
      <c r="K49" s="84">
        <f>TrRoad_act!K130</f>
        <v>4124</v>
      </c>
      <c r="L49" s="84">
        <f>TrRoad_act!L130</f>
        <v>2814</v>
      </c>
      <c r="M49" s="84">
        <f>TrRoad_act!M130</f>
        <v>3166</v>
      </c>
      <c r="N49" s="84">
        <f>TrRoad_act!N130</f>
        <v>3382</v>
      </c>
      <c r="O49" s="84">
        <f>TrRoad_act!O130</f>
        <v>3539</v>
      </c>
      <c r="P49" s="84">
        <f>TrRoad_act!P130</f>
        <v>3760</v>
      </c>
      <c r="Q49" s="84">
        <f>TrRoad_act!Q130</f>
        <v>25385</v>
      </c>
      <c r="R49" s="84">
        <f>TrRoad_act!R130</f>
        <v>15856</v>
      </c>
      <c r="S49" s="84">
        <f>TrRoad_act!S130</f>
        <v>16263</v>
      </c>
      <c r="T49" s="84">
        <f>TrRoad_act!T130</f>
        <v>18113</v>
      </c>
      <c r="U49" s="84">
        <f>TrRoad_act!U130</f>
        <v>17660</v>
      </c>
      <c r="V49" s="84">
        <f>TrRoad_act!V130</f>
        <v>14662</v>
      </c>
      <c r="W49" s="84">
        <f>TrRoad_act!W130</f>
        <v>16857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198</v>
      </c>
      <c r="J50" s="84">
        <f>TrRoad_act!J131</f>
        <v>312</v>
      </c>
      <c r="K50" s="84">
        <f>TrRoad_act!K131</f>
        <v>131</v>
      </c>
      <c r="L50" s="84">
        <f>TrRoad_act!L131</f>
        <v>27</v>
      </c>
      <c r="M50" s="84">
        <f>TrRoad_act!M131</f>
        <v>5</v>
      </c>
      <c r="N50" s="84">
        <f>TrRoad_act!N131</f>
        <v>4</v>
      </c>
      <c r="O50" s="84">
        <f>TrRoad_act!O131</f>
        <v>66</v>
      </c>
      <c r="P50" s="84">
        <f>TrRoad_act!P131</f>
        <v>66</v>
      </c>
      <c r="Q50" s="84">
        <f>TrRoad_act!Q131</f>
        <v>65</v>
      </c>
      <c r="R50" s="84">
        <f>TrRoad_act!R131</f>
        <v>80</v>
      </c>
      <c r="S50" s="84">
        <f>TrRoad_act!S131</f>
        <v>91</v>
      </c>
      <c r="T50" s="84">
        <f>TrRoad_act!T131</f>
        <v>69</v>
      </c>
      <c r="U50" s="84">
        <f>TrRoad_act!U131</f>
        <v>77</v>
      </c>
      <c r="V50" s="84">
        <f>TrRoad_act!V131</f>
        <v>36</v>
      </c>
      <c r="W50" s="84">
        <f>TrRoad_act!W131</f>
        <v>99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43</v>
      </c>
      <c r="L51" s="84">
        <f>TrRoad_act!L132</f>
        <v>8</v>
      </c>
      <c r="M51" s="84">
        <f>TrRoad_act!M132</f>
        <v>3</v>
      </c>
      <c r="N51" s="84">
        <f>TrRoad_act!N132</f>
        <v>21</v>
      </c>
      <c r="O51" s="84">
        <f>TrRoad_act!O132</f>
        <v>0</v>
      </c>
      <c r="P51" s="84">
        <f>TrRoad_act!P132</f>
        <v>5</v>
      </c>
      <c r="Q51" s="84">
        <f>TrRoad_act!Q132</f>
        <v>4</v>
      </c>
      <c r="R51" s="84">
        <f>TrRoad_act!R132</f>
        <v>7</v>
      </c>
      <c r="S51" s="84">
        <f>TrRoad_act!S132</f>
        <v>18</v>
      </c>
      <c r="T51" s="84">
        <f>TrRoad_act!T132</f>
        <v>5</v>
      </c>
      <c r="U51" s="84">
        <f>TrRoad_act!U132</f>
        <v>1</v>
      </c>
      <c r="V51" s="84">
        <f>TrRoad_act!V132</f>
        <v>3</v>
      </c>
      <c r="W51" s="84">
        <f>TrRoad_act!W132</f>
        <v>4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2</v>
      </c>
      <c r="F52" s="84">
        <f>TrRoad_act!F133</f>
        <v>0</v>
      </c>
      <c r="G52" s="84">
        <f>TrRoad_act!G133</f>
        <v>1</v>
      </c>
      <c r="H52" s="84">
        <f>TrRoad_act!H133</f>
        <v>0</v>
      </c>
      <c r="I52" s="84">
        <f>TrRoad_act!I133</f>
        <v>0</v>
      </c>
      <c r="J52" s="84">
        <f>TrRoad_act!J133</f>
        <v>2</v>
      </c>
      <c r="K52" s="84">
        <f>TrRoad_act!K133</f>
        <v>1</v>
      </c>
      <c r="L52" s="84">
        <f>TrRoad_act!L133</f>
        <v>0</v>
      </c>
      <c r="M52" s="84">
        <f>TrRoad_act!M133</f>
        <v>0</v>
      </c>
      <c r="N52" s="84">
        <f>TrRoad_act!N133</f>
        <v>2</v>
      </c>
      <c r="O52" s="84">
        <f>TrRoad_act!O133</f>
        <v>0</v>
      </c>
      <c r="P52" s="84">
        <f>TrRoad_act!P133</f>
        <v>1</v>
      </c>
      <c r="Q52" s="84">
        <f>TrRoad_act!Q133</f>
        <v>28</v>
      </c>
      <c r="R52" s="84">
        <f>TrRoad_act!R133</f>
        <v>17</v>
      </c>
      <c r="S52" s="84">
        <f>TrRoad_act!S133</f>
        <v>12</v>
      </c>
      <c r="T52" s="84">
        <f>TrRoad_act!T133</f>
        <v>12</v>
      </c>
      <c r="U52" s="84">
        <f>TrRoad_act!U133</f>
        <v>26</v>
      </c>
      <c r="V52" s="84">
        <f>TrRoad_act!V133</f>
        <v>102</v>
      </c>
      <c r="W52" s="84">
        <f>TrRoad_act!W133</f>
        <v>62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363</v>
      </c>
      <c r="C53" s="110">
        <f>TrRoad_act!C134</f>
        <v>15015</v>
      </c>
      <c r="D53" s="110">
        <f>TrRoad_act!D134</f>
        <v>5748</v>
      </c>
      <c r="E53" s="110">
        <f>TrRoad_act!E134</f>
        <v>6569</v>
      </c>
      <c r="F53" s="110">
        <f>TrRoad_act!F134</f>
        <v>4889</v>
      </c>
      <c r="G53" s="110">
        <f>TrRoad_act!G134</f>
        <v>2586</v>
      </c>
      <c r="H53" s="110">
        <f>TrRoad_act!H134</f>
        <v>10810</v>
      </c>
      <c r="I53" s="110">
        <f>TrRoad_act!I134</f>
        <v>3460</v>
      </c>
      <c r="J53" s="110">
        <f>TrRoad_act!J134</f>
        <v>7047</v>
      </c>
      <c r="K53" s="110">
        <f>TrRoad_act!K134</f>
        <v>661</v>
      </c>
      <c r="L53" s="110">
        <f>TrRoad_act!L134</f>
        <v>1160</v>
      </c>
      <c r="M53" s="110">
        <f>TrRoad_act!M134</f>
        <v>3324</v>
      </c>
      <c r="N53" s="110">
        <f>TrRoad_act!N134</f>
        <v>3000</v>
      </c>
      <c r="O53" s="110">
        <f>TrRoad_act!O134</f>
        <v>6440</v>
      </c>
      <c r="P53" s="110">
        <f>TrRoad_act!P134</f>
        <v>6400</v>
      </c>
      <c r="Q53" s="110">
        <f>TrRoad_act!Q134</f>
        <v>7290</v>
      </c>
      <c r="R53" s="110">
        <f>TrRoad_act!R134</f>
        <v>3827</v>
      </c>
      <c r="S53" s="110">
        <f>TrRoad_act!S134</f>
        <v>6946</v>
      </c>
      <c r="T53" s="110">
        <f>TrRoad_act!T134</f>
        <v>6436</v>
      </c>
      <c r="U53" s="110">
        <f>TrRoad_act!U134</f>
        <v>5917</v>
      </c>
      <c r="V53" s="110">
        <f>TrRoad_act!V134</f>
        <v>5508</v>
      </c>
      <c r="W53" s="110">
        <f>TrRoad_act!W134</f>
        <v>5984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14479</v>
      </c>
      <c r="D54" s="102">
        <f>TrRoad_act!D135</f>
        <v>5220</v>
      </c>
      <c r="E54" s="102">
        <f>TrRoad_act!E135</f>
        <v>6102</v>
      </c>
      <c r="F54" s="102">
        <f>TrRoad_act!F135</f>
        <v>3708</v>
      </c>
      <c r="G54" s="102">
        <f>TrRoad_act!G135</f>
        <v>1946</v>
      </c>
      <c r="H54" s="102">
        <f>TrRoad_act!H135</f>
        <v>10738</v>
      </c>
      <c r="I54" s="102">
        <f>TrRoad_act!I135</f>
        <v>2700</v>
      </c>
      <c r="J54" s="102">
        <f>TrRoad_act!J135</f>
        <v>7047</v>
      </c>
      <c r="K54" s="102">
        <f>TrRoad_act!K135</f>
        <v>661</v>
      </c>
      <c r="L54" s="102">
        <f>TrRoad_act!L135</f>
        <v>944</v>
      </c>
      <c r="M54" s="102">
        <f>TrRoad_act!M135</f>
        <v>3016</v>
      </c>
      <c r="N54" s="102">
        <f>TrRoad_act!N135</f>
        <v>2738</v>
      </c>
      <c r="O54" s="102">
        <f>TrRoad_act!O135</f>
        <v>5994</v>
      </c>
      <c r="P54" s="102">
        <f>TrRoad_act!P135</f>
        <v>5887</v>
      </c>
      <c r="Q54" s="102">
        <f>TrRoad_act!Q135</f>
        <v>6476</v>
      </c>
      <c r="R54" s="102">
        <f>TrRoad_act!R135</f>
        <v>3373</v>
      </c>
      <c r="S54" s="102">
        <f>TrRoad_act!S135</f>
        <v>5778</v>
      </c>
      <c r="T54" s="102">
        <f>TrRoad_act!T135</f>
        <v>6091</v>
      </c>
      <c r="U54" s="102">
        <f>TrRoad_act!U135</f>
        <v>5917</v>
      </c>
      <c r="V54" s="102">
        <f>TrRoad_act!V135</f>
        <v>5015</v>
      </c>
      <c r="W54" s="102">
        <f>TrRoad_act!W135</f>
        <v>5895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363</v>
      </c>
      <c r="C55" s="86">
        <f>TrRoad_act!C136</f>
        <v>536</v>
      </c>
      <c r="D55" s="86">
        <f>TrRoad_act!D136</f>
        <v>528</v>
      </c>
      <c r="E55" s="86">
        <f>TrRoad_act!E136</f>
        <v>467</v>
      </c>
      <c r="F55" s="86">
        <f>TrRoad_act!F136</f>
        <v>1181</v>
      </c>
      <c r="G55" s="86">
        <f>TrRoad_act!G136</f>
        <v>640</v>
      </c>
      <c r="H55" s="86">
        <f>TrRoad_act!H136</f>
        <v>72</v>
      </c>
      <c r="I55" s="86">
        <f>TrRoad_act!I136</f>
        <v>760</v>
      </c>
      <c r="J55" s="86">
        <f>TrRoad_act!J136</f>
        <v>0</v>
      </c>
      <c r="K55" s="86">
        <f>TrRoad_act!K136</f>
        <v>0</v>
      </c>
      <c r="L55" s="86">
        <f>TrRoad_act!L136</f>
        <v>216</v>
      </c>
      <c r="M55" s="86">
        <f>TrRoad_act!M136</f>
        <v>308</v>
      </c>
      <c r="N55" s="86">
        <f>TrRoad_act!N136</f>
        <v>262</v>
      </c>
      <c r="O55" s="86">
        <f>TrRoad_act!O136</f>
        <v>446</v>
      </c>
      <c r="P55" s="86">
        <f>TrRoad_act!P136</f>
        <v>513</v>
      </c>
      <c r="Q55" s="86">
        <f>TrRoad_act!Q136</f>
        <v>814</v>
      </c>
      <c r="R55" s="86">
        <f>TrRoad_act!R136</f>
        <v>454</v>
      </c>
      <c r="S55" s="86">
        <f>TrRoad_act!S136</f>
        <v>1168</v>
      </c>
      <c r="T55" s="86">
        <f>TrRoad_act!T136</f>
        <v>345</v>
      </c>
      <c r="U55" s="86">
        <f>TrRoad_act!U136</f>
        <v>0</v>
      </c>
      <c r="V55" s="86">
        <f>TrRoad_act!V136</f>
        <v>493</v>
      </c>
      <c r="W55" s="86">
        <f>TrRoad_act!W136</f>
        <v>89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18150</v>
      </c>
      <c r="C59" s="54">
        <f t="shared" si="0"/>
        <v>15819</v>
      </c>
      <c r="D59" s="54">
        <f t="shared" si="0"/>
        <v>22074</v>
      </c>
      <c r="E59" s="54">
        <f t="shared" si="0"/>
        <v>37808</v>
      </c>
      <c r="F59" s="54">
        <f t="shared" si="0"/>
        <v>59011</v>
      </c>
      <c r="G59" s="54">
        <f t="shared" si="0"/>
        <v>73991</v>
      </c>
      <c r="H59" s="54">
        <f t="shared" si="0"/>
        <v>105996</v>
      </c>
      <c r="I59" s="54">
        <f t="shared" si="0"/>
        <v>107503</v>
      </c>
      <c r="J59" s="54">
        <f t="shared" si="0"/>
        <v>110915</v>
      </c>
      <c r="K59" s="54">
        <f t="shared" si="0"/>
        <v>79368</v>
      </c>
      <c r="L59" s="54">
        <f t="shared" ref="L59" si="1">L60+L75</f>
        <v>61719</v>
      </c>
      <c r="M59" s="54">
        <f t="shared" ref="M59:V59" si="2">M60+M75</f>
        <v>70236</v>
      </c>
      <c r="N59" s="54">
        <f t="shared" si="2"/>
        <v>66820</v>
      </c>
      <c r="O59" s="54">
        <f t="shared" si="2"/>
        <v>77591</v>
      </c>
      <c r="P59" s="54">
        <f t="shared" si="2"/>
        <v>106596</v>
      </c>
      <c r="Q59" s="54">
        <f t="shared" si="2"/>
        <v>133827</v>
      </c>
      <c r="R59" s="54">
        <f t="shared" si="2"/>
        <v>151088</v>
      </c>
      <c r="S59" s="54">
        <f t="shared" si="2"/>
        <v>157398</v>
      </c>
      <c r="T59" s="54">
        <f t="shared" si="2"/>
        <v>213777</v>
      </c>
      <c r="U59" s="54">
        <f t="shared" si="2"/>
        <v>219989</v>
      </c>
      <c r="V59" s="54">
        <f t="shared" si="2"/>
        <v>158670</v>
      </c>
      <c r="W59" s="54">
        <f t="shared" ref="W59" si="3">W60+W75</f>
        <v>154011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17264</v>
      </c>
      <c r="C60" s="28">
        <f t="shared" si="4"/>
        <v>13807</v>
      </c>
      <c r="D60" s="28">
        <f t="shared" si="4"/>
        <v>20386</v>
      </c>
      <c r="E60" s="28">
        <f t="shared" si="4"/>
        <v>35497</v>
      </c>
      <c r="F60" s="28">
        <f t="shared" si="4"/>
        <v>56322</v>
      </c>
      <c r="G60" s="28">
        <f t="shared" si="4"/>
        <v>70126</v>
      </c>
      <c r="H60" s="28">
        <f t="shared" si="4"/>
        <v>96314</v>
      </c>
      <c r="I60" s="28">
        <f t="shared" si="4"/>
        <v>101651</v>
      </c>
      <c r="J60" s="28">
        <f t="shared" si="4"/>
        <v>101838</v>
      </c>
      <c r="K60" s="28">
        <f t="shared" si="4"/>
        <v>76151</v>
      </c>
      <c r="L60" s="28">
        <f t="shared" ref="L60" si="5">L61+L62+L69</f>
        <v>59018</v>
      </c>
      <c r="M60" s="28">
        <f t="shared" ref="M60:V60" si="6">M61+M62+M69</f>
        <v>65336</v>
      </c>
      <c r="N60" s="28">
        <f t="shared" si="6"/>
        <v>61634</v>
      </c>
      <c r="O60" s="28">
        <f t="shared" si="6"/>
        <v>68896</v>
      </c>
      <c r="P60" s="28">
        <f t="shared" si="6"/>
        <v>97369</v>
      </c>
      <c r="Q60" s="28">
        <f t="shared" si="6"/>
        <v>104051</v>
      </c>
      <c r="R60" s="28">
        <f t="shared" si="6"/>
        <v>132337</v>
      </c>
      <c r="S60" s="28">
        <f t="shared" si="6"/>
        <v>134652</v>
      </c>
      <c r="T60" s="28">
        <f t="shared" si="6"/>
        <v>189292</v>
      </c>
      <c r="U60" s="28">
        <f t="shared" si="6"/>
        <v>196156</v>
      </c>
      <c r="V60" s="28">
        <f t="shared" si="6"/>
        <v>138476</v>
      </c>
      <c r="W60" s="28">
        <f t="shared" ref="W60" si="7">W61+W62+W69</f>
        <v>130570</v>
      </c>
      <c r="DA60" s="173" t="s">
        <v>837</v>
      </c>
    </row>
    <row r="61" spans="1:105" ht="11.45" customHeight="1" x14ac:dyDescent="0.25">
      <c r="A61" s="136" t="s">
        <v>180</v>
      </c>
      <c r="B61" s="137">
        <v>5429</v>
      </c>
      <c r="C61" s="137">
        <v>757</v>
      </c>
      <c r="D61" s="137">
        <v>5140</v>
      </c>
      <c r="E61" s="137">
        <v>15399</v>
      </c>
      <c r="F61" s="137">
        <v>16085</v>
      </c>
      <c r="G61" s="137">
        <v>18774</v>
      </c>
      <c r="H61" s="137">
        <v>19257</v>
      </c>
      <c r="I61" s="137">
        <v>10464</v>
      </c>
      <c r="J61" s="137">
        <v>10564</v>
      </c>
      <c r="K61" s="137">
        <v>5800</v>
      </c>
      <c r="L61" s="137">
        <v>3586</v>
      </c>
      <c r="M61" s="137">
        <v>3498</v>
      </c>
      <c r="N61" s="137">
        <v>3926</v>
      </c>
      <c r="O61" s="137">
        <v>2691</v>
      </c>
      <c r="P61" s="137">
        <v>3302</v>
      </c>
      <c r="Q61" s="137">
        <v>2055</v>
      </c>
      <c r="R61" s="137">
        <v>5307</v>
      </c>
      <c r="S61" s="137">
        <v>5103</v>
      </c>
      <c r="T61" s="137">
        <v>7517</v>
      </c>
      <c r="U61" s="137">
        <v>6128</v>
      </c>
      <c r="V61" s="137">
        <v>3764</v>
      </c>
      <c r="W61" s="137">
        <v>6947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11529</v>
      </c>
      <c r="C62" s="110">
        <f t="shared" si="8"/>
        <v>12792</v>
      </c>
      <c r="D62" s="110">
        <f t="shared" si="8"/>
        <v>14967</v>
      </c>
      <c r="E62" s="110">
        <f t="shared" si="8"/>
        <v>19761</v>
      </c>
      <c r="F62" s="110">
        <f t="shared" si="8"/>
        <v>39873</v>
      </c>
      <c r="G62" s="110">
        <f t="shared" si="8"/>
        <v>50955</v>
      </c>
      <c r="H62" s="110">
        <f t="shared" si="8"/>
        <v>76616</v>
      </c>
      <c r="I62" s="110">
        <f t="shared" si="8"/>
        <v>90593</v>
      </c>
      <c r="J62" s="110">
        <f t="shared" si="8"/>
        <v>90753</v>
      </c>
      <c r="K62" s="110">
        <f t="shared" si="8"/>
        <v>69900</v>
      </c>
      <c r="L62" s="110">
        <f t="shared" ref="L62" si="9">SUM(L63:L68)</f>
        <v>55089</v>
      </c>
      <c r="M62" s="110">
        <f t="shared" ref="M62:V62" si="10">SUM(M63:M68)</f>
        <v>61360</v>
      </c>
      <c r="N62" s="110">
        <f t="shared" si="10"/>
        <v>57346</v>
      </c>
      <c r="O62" s="110">
        <f t="shared" si="10"/>
        <v>65497</v>
      </c>
      <c r="P62" s="110">
        <f t="shared" si="10"/>
        <v>93140</v>
      </c>
      <c r="Q62" s="110">
        <f t="shared" si="10"/>
        <v>101273</v>
      </c>
      <c r="R62" s="110">
        <f t="shared" si="10"/>
        <v>126537</v>
      </c>
      <c r="S62" s="110">
        <f t="shared" si="10"/>
        <v>129074</v>
      </c>
      <c r="T62" s="110">
        <f t="shared" si="10"/>
        <v>181279</v>
      </c>
      <c r="U62" s="110">
        <f t="shared" si="10"/>
        <v>189512</v>
      </c>
      <c r="V62" s="110">
        <f t="shared" si="10"/>
        <v>134640</v>
      </c>
      <c r="W62" s="110">
        <f t="shared" ref="W62" si="11">SUM(W63:W68)</f>
        <v>122979</v>
      </c>
      <c r="DA62" s="176" t="s">
        <v>839</v>
      </c>
    </row>
    <row r="63" spans="1:105" ht="11.45" customHeight="1" x14ac:dyDescent="0.25">
      <c r="A63" s="111" t="s">
        <v>110</v>
      </c>
      <c r="B63" s="84">
        <v>11529</v>
      </c>
      <c r="C63" s="84">
        <v>12792</v>
      </c>
      <c r="D63" s="84">
        <v>14967</v>
      </c>
      <c r="E63" s="84">
        <v>18741</v>
      </c>
      <c r="F63" s="84">
        <v>20621</v>
      </c>
      <c r="G63" s="84">
        <v>26005</v>
      </c>
      <c r="H63" s="84">
        <v>35399</v>
      </c>
      <c r="I63" s="84">
        <v>38431</v>
      </c>
      <c r="J63" s="84">
        <v>42968</v>
      </c>
      <c r="K63" s="84">
        <v>31757</v>
      </c>
      <c r="L63" s="84">
        <v>30588</v>
      </c>
      <c r="M63" s="84">
        <v>31263</v>
      </c>
      <c r="N63" s="84">
        <v>27077</v>
      </c>
      <c r="O63" s="84">
        <v>26654</v>
      </c>
      <c r="P63" s="84">
        <v>28908</v>
      </c>
      <c r="Q63" s="84">
        <v>29361</v>
      </c>
      <c r="R63" s="84">
        <v>33982</v>
      </c>
      <c r="S63" s="84">
        <v>35272</v>
      </c>
      <c r="T63" s="84">
        <v>54990</v>
      </c>
      <c r="U63" s="84">
        <v>61799</v>
      </c>
      <c r="V63" s="84">
        <v>41749</v>
      </c>
      <c r="W63" s="84">
        <v>43894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1020</v>
      </c>
      <c r="F64" s="84">
        <v>19252</v>
      </c>
      <c r="G64" s="84">
        <v>24950</v>
      </c>
      <c r="H64" s="84">
        <v>31810</v>
      </c>
      <c r="I64" s="84">
        <v>37645</v>
      </c>
      <c r="J64" s="84">
        <v>31057</v>
      </c>
      <c r="K64" s="84">
        <v>23188</v>
      </c>
      <c r="L64" s="84">
        <v>24375</v>
      </c>
      <c r="M64" s="84">
        <v>30001</v>
      </c>
      <c r="N64" s="84">
        <v>30160</v>
      </c>
      <c r="O64" s="84">
        <v>38678</v>
      </c>
      <c r="P64" s="84">
        <v>59190</v>
      </c>
      <c r="Q64" s="84">
        <v>66942</v>
      </c>
      <c r="R64" s="84">
        <v>86278</v>
      </c>
      <c r="S64" s="84">
        <v>85304</v>
      </c>
      <c r="T64" s="84">
        <v>113137</v>
      </c>
      <c r="U64" s="84">
        <v>116152</v>
      </c>
      <c r="V64" s="84">
        <v>81265</v>
      </c>
      <c r="W64" s="84">
        <v>65661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9407</v>
      </c>
      <c r="I65" s="84">
        <v>14517</v>
      </c>
      <c r="J65" s="84">
        <v>16728</v>
      </c>
      <c r="K65" s="84">
        <v>14915</v>
      </c>
      <c r="L65" s="84">
        <v>116</v>
      </c>
      <c r="M65" s="84">
        <v>96</v>
      </c>
      <c r="N65" s="84">
        <v>93</v>
      </c>
      <c r="O65" s="84">
        <v>157</v>
      </c>
      <c r="P65" s="84">
        <v>4994</v>
      </c>
      <c r="Q65" s="84">
        <v>4899</v>
      </c>
      <c r="R65" s="84">
        <v>6201</v>
      </c>
      <c r="S65" s="84">
        <v>8413</v>
      </c>
      <c r="T65" s="84">
        <v>12963</v>
      </c>
      <c r="U65" s="84">
        <v>11257</v>
      </c>
      <c r="V65" s="84">
        <v>10624</v>
      </c>
      <c r="W65" s="84">
        <v>11223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40</v>
      </c>
      <c r="L66" s="84">
        <v>10</v>
      </c>
      <c r="M66" s="84">
        <v>0</v>
      </c>
      <c r="N66" s="84">
        <v>10</v>
      </c>
      <c r="O66" s="84">
        <v>5</v>
      </c>
      <c r="P66" s="84">
        <v>13</v>
      </c>
      <c r="Q66" s="84">
        <v>0</v>
      </c>
      <c r="R66" s="84">
        <v>10</v>
      </c>
      <c r="S66" s="84">
        <v>31</v>
      </c>
      <c r="T66" s="84">
        <v>8</v>
      </c>
      <c r="U66" s="84">
        <v>3</v>
      </c>
      <c r="V66" s="84">
        <v>1</v>
      </c>
      <c r="W66" s="84">
        <v>2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22</v>
      </c>
      <c r="V67" s="84">
        <v>362</v>
      </c>
      <c r="W67" s="84">
        <v>556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6</v>
      </c>
      <c r="O68" s="84">
        <v>3</v>
      </c>
      <c r="P68" s="84">
        <v>35</v>
      </c>
      <c r="Q68" s="84">
        <v>71</v>
      </c>
      <c r="R68" s="84">
        <v>66</v>
      </c>
      <c r="S68" s="84">
        <v>54</v>
      </c>
      <c r="T68" s="84">
        <v>181</v>
      </c>
      <c r="U68" s="84">
        <v>279</v>
      </c>
      <c r="V68" s="84">
        <v>639</v>
      </c>
      <c r="W68" s="84">
        <v>1643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306</v>
      </c>
      <c r="C69" s="110">
        <f t="shared" si="12"/>
        <v>258</v>
      </c>
      <c r="D69" s="110">
        <f t="shared" si="12"/>
        <v>279</v>
      </c>
      <c r="E69" s="110">
        <f t="shared" si="12"/>
        <v>337</v>
      </c>
      <c r="F69" s="110">
        <f t="shared" si="12"/>
        <v>364</v>
      </c>
      <c r="G69" s="110">
        <f t="shared" si="12"/>
        <v>397</v>
      </c>
      <c r="H69" s="110">
        <f t="shared" si="12"/>
        <v>441</v>
      </c>
      <c r="I69" s="110">
        <f t="shared" si="12"/>
        <v>594</v>
      </c>
      <c r="J69" s="110">
        <f t="shared" si="12"/>
        <v>521</v>
      </c>
      <c r="K69" s="110">
        <f t="shared" si="12"/>
        <v>451</v>
      </c>
      <c r="L69" s="110">
        <f t="shared" ref="L69" si="13">SUM(L70:L74)</f>
        <v>343</v>
      </c>
      <c r="M69" s="110">
        <f t="shared" ref="M69:V69" si="14">SUM(M70:M74)</f>
        <v>478</v>
      </c>
      <c r="N69" s="110">
        <f t="shared" si="14"/>
        <v>362</v>
      </c>
      <c r="O69" s="110">
        <f t="shared" si="14"/>
        <v>708</v>
      </c>
      <c r="P69" s="110">
        <f t="shared" si="14"/>
        <v>927</v>
      </c>
      <c r="Q69" s="110">
        <f t="shared" si="14"/>
        <v>723</v>
      </c>
      <c r="R69" s="110">
        <f t="shared" si="14"/>
        <v>493</v>
      </c>
      <c r="S69" s="110">
        <f t="shared" si="14"/>
        <v>475</v>
      </c>
      <c r="T69" s="110">
        <f t="shared" si="14"/>
        <v>496</v>
      </c>
      <c r="U69" s="110">
        <f t="shared" si="14"/>
        <v>516</v>
      </c>
      <c r="V69" s="110">
        <f t="shared" si="14"/>
        <v>72</v>
      </c>
      <c r="W69" s="110">
        <f t="shared" ref="W69" si="15">SUM(W70:W74)</f>
        <v>644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2</v>
      </c>
      <c r="E70" s="102">
        <v>1</v>
      </c>
      <c r="F70" s="102">
        <v>1</v>
      </c>
      <c r="G70" s="102">
        <v>3</v>
      </c>
      <c r="H70" s="102">
        <v>4</v>
      </c>
      <c r="I70" s="102">
        <v>0</v>
      </c>
      <c r="J70" s="102">
        <v>6</v>
      </c>
      <c r="K70" s="102">
        <v>0</v>
      </c>
      <c r="L70" s="102">
        <v>1</v>
      </c>
      <c r="M70" s="102">
        <v>0</v>
      </c>
      <c r="N70" s="102">
        <v>2</v>
      </c>
      <c r="O70" s="102">
        <v>9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306</v>
      </c>
      <c r="C71" s="102">
        <v>258</v>
      </c>
      <c r="D71" s="102">
        <v>277</v>
      </c>
      <c r="E71" s="102">
        <v>336</v>
      </c>
      <c r="F71" s="102">
        <v>363</v>
      </c>
      <c r="G71" s="102">
        <v>394</v>
      </c>
      <c r="H71" s="102">
        <v>437</v>
      </c>
      <c r="I71" s="102">
        <v>594</v>
      </c>
      <c r="J71" s="102">
        <v>515</v>
      </c>
      <c r="K71" s="102">
        <v>426</v>
      </c>
      <c r="L71" s="102">
        <v>338</v>
      </c>
      <c r="M71" s="102">
        <v>476</v>
      </c>
      <c r="N71" s="102">
        <v>351</v>
      </c>
      <c r="O71" s="102">
        <v>616</v>
      </c>
      <c r="P71" s="102">
        <v>755</v>
      </c>
      <c r="Q71" s="102">
        <v>721</v>
      </c>
      <c r="R71" s="102">
        <v>492</v>
      </c>
      <c r="S71" s="102">
        <v>465</v>
      </c>
      <c r="T71" s="102">
        <v>496</v>
      </c>
      <c r="U71" s="102">
        <v>515</v>
      </c>
      <c r="V71" s="102">
        <v>49</v>
      </c>
      <c r="W71" s="102">
        <v>641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1</v>
      </c>
      <c r="N72" s="102">
        <v>0</v>
      </c>
      <c r="O72" s="102">
        <v>10</v>
      </c>
      <c r="P72" s="102">
        <v>2</v>
      </c>
      <c r="Q72" s="102">
        <v>0</v>
      </c>
      <c r="R72" s="102">
        <v>0</v>
      </c>
      <c r="S72" s="102">
        <v>0</v>
      </c>
      <c r="T72" s="102">
        <v>0</v>
      </c>
      <c r="U72" s="102">
        <v>1</v>
      </c>
      <c r="V72" s="102">
        <v>3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25</v>
      </c>
      <c r="L73" s="102">
        <v>4</v>
      </c>
      <c r="M73" s="102">
        <v>1</v>
      </c>
      <c r="N73" s="102">
        <v>9</v>
      </c>
      <c r="O73" s="102">
        <v>73</v>
      </c>
      <c r="P73" s="102">
        <v>170</v>
      </c>
      <c r="Q73" s="102">
        <v>0</v>
      </c>
      <c r="R73" s="102">
        <v>0</v>
      </c>
      <c r="S73" s="102">
        <v>10</v>
      </c>
      <c r="T73" s="102">
        <v>0</v>
      </c>
      <c r="U73" s="102">
        <v>0</v>
      </c>
      <c r="V73" s="102">
        <v>20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2</v>
      </c>
      <c r="R74" s="102">
        <v>1</v>
      </c>
      <c r="S74" s="102">
        <v>0</v>
      </c>
      <c r="T74" s="102">
        <v>0</v>
      </c>
      <c r="U74" s="102">
        <v>0</v>
      </c>
      <c r="V74" s="102">
        <v>0</v>
      </c>
      <c r="W74" s="102">
        <v>3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886</v>
      </c>
      <c r="C75" s="28">
        <f t="shared" si="16"/>
        <v>2012</v>
      </c>
      <c r="D75" s="28">
        <f t="shared" si="16"/>
        <v>1688</v>
      </c>
      <c r="E75" s="28">
        <f t="shared" si="16"/>
        <v>2311</v>
      </c>
      <c r="F75" s="28">
        <f t="shared" si="16"/>
        <v>2689</v>
      </c>
      <c r="G75" s="28">
        <f t="shared" si="16"/>
        <v>3865</v>
      </c>
      <c r="H75" s="28">
        <f t="shared" si="16"/>
        <v>9682</v>
      </c>
      <c r="I75" s="28">
        <f t="shared" si="16"/>
        <v>5852</v>
      </c>
      <c r="J75" s="28">
        <f t="shared" si="16"/>
        <v>9077</v>
      </c>
      <c r="K75" s="28">
        <f t="shared" si="16"/>
        <v>3217</v>
      </c>
      <c r="L75" s="28">
        <f t="shared" ref="L75" si="17">L76+L82</f>
        <v>2701</v>
      </c>
      <c r="M75" s="28">
        <f t="shared" ref="M75:V75" si="18">M76+M82</f>
        <v>4900</v>
      </c>
      <c r="N75" s="28">
        <f t="shared" si="18"/>
        <v>5186</v>
      </c>
      <c r="O75" s="28">
        <f t="shared" si="18"/>
        <v>8695</v>
      </c>
      <c r="P75" s="28">
        <f t="shared" si="18"/>
        <v>9227</v>
      </c>
      <c r="Q75" s="28">
        <f t="shared" si="18"/>
        <v>29776</v>
      </c>
      <c r="R75" s="28">
        <f t="shared" si="18"/>
        <v>18751</v>
      </c>
      <c r="S75" s="28">
        <f t="shared" si="18"/>
        <v>22746</v>
      </c>
      <c r="T75" s="28">
        <f t="shared" si="18"/>
        <v>24485</v>
      </c>
      <c r="U75" s="28">
        <f t="shared" si="18"/>
        <v>23833</v>
      </c>
      <c r="V75" s="28">
        <f t="shared" si="18"/>
        <v>20194</v>
      </c>
      <c r="W75" s="28">
        <f t="shared" ref="W75" si="19">W76+W82</f>
        <v>23441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886</v>
      </c>
      <c r="C76" s="137">
        <f t="shared" si="20"/>
        <v>2012</v>
      </c>
      <c r="D76" s="137">
        <f t="shared" si="20"/>
        <v>1688</v>
      </c>
      <c r="E76" s="137">
        <f t="shared" si="20"/>
        <v>2311</v>
      </c>
      <c r="F76" s="137">
        <f t="shared" si="20"/>
        <v>2689</v>
      </c>
      <c r="G76" s="137">
        <f t="shared" si="20"/>
        <v>3272</v>
      </c>
      <c r="H76" s="137">
        <f t="shared" si="20"/>
        <v>4206</v>
      </c>
      <c r="I76" s="137">
        <f t="shared" si="20"/>
        <v>4296</v>
      </c>
      <c r="J76" s="137">
        <f t="shared" si="20"/>
        <v>4557</v>
      </c>
      <c r="K76" s="137">
        <f t="shared" si="20"/>
        <v>2752</v>
      </c>
      <c r="L76" s="137">
        <f t="shared" ref="L76" si="21">SUM(L77:L81)</f>
        <v>1983</v>
      </c>
      <c r="M76" s="137">
        <f t="shared" ref="M76:V76" si="22">SUM(M77:M81)</f>
        <v>2336</v>
      </c>
      <c r="N76" s="137">
        <f t="shared" si="22"/>
        <v>2663</v>
      </c>
      <c r="O76" s="137">
        <f t="shared" si="22"/>
        <v>3006</v>
      </c>
      <c r="P76" s="137">
        <f t="shared" si="22"/>
        <v>3376</v>
      </c>
      <c r="Q76" s="137">
        <f t="shared" si="22"/>
        <v>22962</v>
      </c>
      <c r="R76" s="137">
        <f t="shared" si="22"/>
        <v>15097</v>
      </c>
      <c r="S76" s="137">
        <f t="shared" si="22"/>
        <v>16063</v>
      </c>
      <c r="T76" s="137">
        <f t="shared" si="22"/>
        <v>18113</v>
      </c>
      <c r="U76" s="137">
        <f t="shared" si="22"/>
        <v>17916</v>
      </c>
      <c r="V76" s="137">
        <f t="shared" si="22"/>
        <v>14710</v>
      </c>
      <c r="W76" s="137">
        <f t="shared" ref="W76" si="23">SUM(W77:W81)</f>
        <v>17457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345</v>
      </c>
      <c r="D77" s="84">
        <v>138</v>
      </c>
      <c r="E77" s="84">
        <v>124</v>
      </c>
      <c r="F77" s="84">
        <v>93</v>
      </c>
      <c r="G77" s="84">
        <v>119</v>
      </c>
      <c r="H77" s="84">
        <v>259</v>
      </c>
      <c r="I77" s="84">
        <v>268</v>
      </c>
      <c r="J77" s="84">
        <v>346</v>
      </c>
      <c r="K77" s="84">
        <v>254</v>
      </c>
      <c r="L77" s="84">
        <v>171</v>
      </c>
      <c r="M77" s="84">
        <v>134</v>
      </c>
      <c r="N77" s="84">
        <v>104</v>
      </c>
      <c r="O77" s="84">
        <v>99</v>
      </c>
      <c r="P77" s="84">
        <v>109</v>
      </c>
      <c r="Q77" s="84">
        <v>267</v>
      </c>
      <c r="R77" s="84">
        <v>327</v>
      </c>
      <c r="S77" s="84">
        <v>439</v>
      </c>
      <c r="T77" s="84">
        <v>375</v>
      </c>
      <c r="U77" s="84">
        <v>348</v>
      </c>
      <c r="V77" s="84">
        <v>239</v>
      </c>
      <c r="W77" s="84">
        <v>435</v>
      </c>
      <c r="DA77" s="171" t="s">
        <v>854</v>
      </c>
    </row>
    <row r="78" spans="1:105" ht="11.45" customHeight="1" x14ac:dyDescent="0.25">
      <c r="A78" s="111" t="s">
        <v>111</v>
      </c>
      <c r="B78" s="84">
        <v>886</v>
      </c>
      <c r="C78" s="84">
        <v>1667</v>
      </c>
      <c r="D78" s="84">
        <v>1550</v>
      </c>
      <c r="E78" s="84">
        <v>2187</v>
      </c>
      <c r="F78" s="84">
        <v>2596</v>
      </c>
      <c r="G78" s="84">
        <v>3153</v>
      </c>
      <c r="H78" s="84">
        <v>3947</v>
      </c>
      <c r="I78" s="84">
        <v>3864</v>
      </c>
      <c r="J78" s="84">
        <v>3919</v>
      </c>
      <c r="K78" s="84">
        <v>2347</v>
      </c>
      <c r="L78" s="84">
        <v>1779</v>
      </c>
      <c r="M78" s="84">
        <v>2194</v>
      </c>
      <c r="N78" s="84">
        <v>2537</v>
      </c>
      <c r="O78" s="84">
        <v>2841</v>
      </c>
      <c r="P78" s="84">
        <v>3196</v>
      </c>
      <c r="Q78" s="84">
        <v>22626</v>
      </c>
      <c r="R78" s="84">
        <v>14683</v>
      </c>
      <c r="S78" s="84">
        <v>15515</v>
      </c>
      <c r="T78" s="84">
        <v>17664</v>
      </c>
      <c r="U78" s="84">
        <v>17476</v>
      </c>
      <c r="V78" s="84">
        <v>14330</v>
      </c>
      <c r="W78" s="84">
        <v>16857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164</v>
      </c>
      <c r="J79" s="84">
        <v>292</v>
      </c>
      <c r="K79" s="84">
        <v>129</v>
      </c>
      <c r="L79" s="84">
        <v>27</v>
      </c>
      <c r="M79" s="84">
        <v>5</v>
      </c>
      <c r="N79" s="84">
        <v>4</v>
      </c>
      <c r="O79" s="84">
        <v>66</v>
      </c>
      <c r="P79" s="84">
        <v>66</v>
      </c>
      <c r="Q79" s="84">
        <v>65</v>
      </c>
      <c r="R79" s="84">
        <v>80</v>
      </c>
      <c r="S79" s="84">
        <v>91</v>
      </c>
      <c r="T79" s="84">
        <v>69</v>
      </c>
      <c r="U79" s="84">
        <v>77</v>
      </c>
      <c r="V79" s="84">
        <v>36</v>
      </c>
      <c r="W79" s="84">
        <v>99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22</v>
      </c>
      <c r="L80" s="84">
        <v>6</v>
      </c>
      <c r="M80" s="84">
        <v>3</v>
      </c>
      <c r="N80" s="84">
        <v>18</v>
      </c>
      <c r="O80" s="84">
        <v>0</v>
      </c>
      <c r="P80" s="84">
        <v>5</v>
      </c>
      <c r="Q80" s="84">
        <v>4</v>
      </c>
      <c r="R80" s="84">
        <v>7</v>
      </c>
      <c r="S80" s="84">
        <v>18</v>
      </c>
      <c r="T80" s="84">
        <v>5</v>
      </c>
      <c r="U80" s="84">
        <v>1</v>
      </c>
      <c r="V80" s="84">
        <v>3</v>
      </c>
      <c r="W80" s="84">
        <v>4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14</v>
      </c>
      <c r="V81" s="84">
        <v>102</v>
      </c>
      <c r="W81" s="84">
        <v>62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593</v>
      </c>
      <c r="H82" s="110">
        <f t="shared" si="24"/>
        <v>5476</v>
      </c>
      <c r="I82" s="110">
        <f t="shared" si="24"/>
        <v>1556</v>
      </c>
      <c r="J82" s="110">
        <f t="shared" si="24"/>
        <v>4520</v>
      </c>
      <c r="K82" s="110">
        <f t="shared" si="24"/>
        <v>465</v>
      </c>
      <c r="L82" s="110">
        <f t="shared" ref="L82" si="25">SUM(L83:L84)</f>
        <v>718</v>
      </c>
      <c r="M82" s="110">
        <f t="shared" ref="M82:V82" si="26">SUM(M83:M84)</f>
        <v>2564</v>
      </c>
      <c r="N82" s="110">
        <f t="shared" si="26"/>
        <v>2523</v>
      </c>
      <c r="O82" s="110">
        <f t="shared" si="26"/>
        <v>5689</v>
      </c>
      <c r="P82" s="110">
        <f t="shared" si="26"/>
        <v>5851</v>
      </c>
      <c r="Q82" s="110">
        <f t="shared" si="26"/>
        <v>6814</v>
      </c>
      <c r="R82" s="110">
        <f t="shared" si="26"/>
        <v>3654</v>
      </c>
      <c r="S82" s="110">
        <f t="shared" si="26"/>
        <v>6683</v>
      </c>
      <c r="T82" s="110">
        <f t="shared" si="26"/>
        <v>6372</v>
      </c>
      <c r="U82" s="110">
        <f t="shared" si="26"/>
        <v>5917</v>
      </c>
      <c r="V82" s="110">
        <f t="shared" si="26"/>
        <v>5484</v>
      </c>
      <c r="W82" s="110">
        <f t="shared" ref="W82" si="27">SUM(W83:W84)</f>
        <v>5984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593</v>
      </c>
      <c r="H83" s="102">
        <v>5476</v>
      </c>
      <c r="I83" s="102">
        <v>1556</v>
      </c>
      <c r="J83" s="102">
        <v>4520</v>
      </c>
      <c r="K83" s="102">
        <v>465</v>
      </c>
      <c r="L83" s="102">
        <v>718</v>
      </c>
      <c r="M83" s="102">
        <v>2450</v>
      </c>
      <c r="N83" s="102">
        <v>2350</v>
      </c>
      <c r="O83" s="102">
        <v>5380</v>
      </c>
      <c r="P83" s="102">
        <v>5477</v>
      </c>
      <c r="Q83" s="102">
        <v>6194</v>
      </c>
      <c r="R83" s="102">
        <v>3293</v>
      </c>
      <c r="S83" s="102">
        <v>5718</v>
      </c>
      <c r="T83" s="102">
        <v>6075</v>
      </c>
      <c r="U83" s="102">
        <v>5917</v>
      </c>
      <c r="V83" s="102">
        <v>5015</v>
      </c>
      <c r="W83" s="102">
        <v>5895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114</v>
      </c>
      <c r="N84" s="86">
        <v>173</v>
      </c>
      <c r="O84" s="86">
        <v>309</v>
      </c>
      <c r="P84" s="86">
        <v>374</v>
      </c>
      <c r="Q84" s="86">
        <v>620</v>
      </c>
      <c r="R84" s="86">
        <v>361</v>
      </c>
      <c r="S84" s="86">
        <v>965</v>
      </c>
      <c r="T84" s="86">
        <v>297</v>
      </c>
      <c r="U84" s="86">
        <v>0</v>
      </c>
      <c r="V84" s="86">
        <v>469</v>
      </c>
      <c r="W84" s="86">
        <v>89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3.8501393361813592</v>
      </c>
      <c r="C90" s="141">
        <v>3.8420629253776455</v>
      </c>
      <c r="D90" s="141">
        <v>3.7871523180579381</v>
      </c>
      <c r="E90" s="141">
        <v>3.6573394551716571</v>
      </c>
      <c r="F90" s="141">
        <v>3.5553436448783584</v>
      </c>
      <c r="G90" s="141">
        <v>3.4549295277206813</v>
      </c>
      <c r="H90" s="141">
        <v>3.373628846351223</v>
      </c>
      <c r="I90" s="141">
        <v>3.3275296803581722</v>
      </c>
      <c r="J90" s="141">
        <v>3.283082441310802</v>
      </c>
      <c r="K90" s="141">
        <v>3.2528273842909483</v>
      </c>
      <c r="L90" s="141">
        <v>3.2274930183072161</v>
      </c>
      <c r="M90" s="141">
        <v>3.2003091922113489</v>
      </c>
      <c r="N90" s="141">
        <v>3.1864572486887397</v>
      </c>
      <c r="O90" s="141">
        <v>3.1546338990099336</v>
      </c>
      <c r="P90" s="141">
        <v>3.1184466224513758</v>
      </c>
      <c r="Q90" s="141">
        <v>3.110098071839396</v>
      </c>
      <c r="R90" s="141">
        <v>3.085521373620844</v>
      </c>
      <c r="S90" s="141">
        <v>3.0614390282663533</v>
      </c>
      <c r="T90" s="141">
        <v>3.0092975546480751</v>
      </c>
      <c r="U90" s="141">
        <v>2.981107863591248</v>
      </c>
      <c r="V90" s="141">
        <v>2.962420367493932</v>
      </c>
      <c r="W90" s="141">
        <v>2.8316891969418809</v>
      </c>
      <c r="DA90" s="174" t="s">
        <v>862</v>
      </c>
    </row>
    <row r="91" spans="1:105" ht="11.45" customHeight="1" x14ac:dyDescent="0.25">
      <c r="A91" s="109" t="s">
        <v>20</v>
      </c>
      <c r="B91" s="130">
        <v>6.4694292876734414</v>
      </c>
      <c r="C91" s="130">
        <v>6.362511231405847</v>
      </c>
      <c r="D91" s="130">
        <v>6.3103737215660987</v>
      </c>
      <c r="E91" s="130">
        <v>6.2541051159363334</v>
      </c>
      <c r="F91" s="130">
        <v>6.1964945807155383</v>
      </c>
      <c r="G91" s="130">
        <v>6.1319545635802015</v>
      </c>
      <c r="H91" s="130">
        <v>6.0540673136036416</v>
      </c>
      <c r="I91" s="130">
        <v>5.993965828343085</v>
      </c>
      <c r="J91" s="130">
        <v>5.9261234714240363</v>
      </c>
      <c r="K91" s="130">
        <v>5.867062579836082</v>
      </c>
      <c r="L91" s="130">
        <v>5.8292959140964884</v>
      </c>
      <c r="M91" s="130">
        <v>5.8112676178219624</v>
      </c>
      <c r="N91" s="130">
        <v>5.7508398785495194</v>
      </c>
      <c r="O91" s="130">
        <v>5.7283813588739214</v>
      </c>
      <c r="P91" s="130">
        <v>5.6759939674892355</v>
      </c>
      <c r="Q91" s="130">
        <v>5.6435464682361278</v>
      </c>
      <c r="R91" s="130">
        <v>5.6026843601686807</v>
      </c>
      <c r="S91" s="130">
        <v>5.5535737354134165</v>
      </c>
      <c r="T91" s="130">
        <v>5.4858616534636777</v>
      </c>
      <c r="U91" s="130">
        <v>5.3816032095084614</v>
      </c>
      <c r="V91" s="130">
        <v>5.2972901731982152</v>
      </c>
      <c r="W91" s="130">
        <v>5.2359070214376189</v>
      </c>
      <c r="DA91" s="176" t="s">
        <v>863</v>
      </c>
    </row>
    <row r="92" spans="1:105" ht="11.45" customHeight="1" x14ac:dyDescent="0.25">
      <c r="A92" s="111" t="s">
        <v>110</v>
      </c>
      <c r="B92" s="96">
        <v>6.5017645414036869</v>
      </c>
      <c r="C92" s="96">
        <v>6.3754452912868187</v>
      </c>
      <c r="D92" s="96">
        <v>6.3215363597270038</v>
      </c>
      <c r="E92" s="96">
        <v>6.2688702670186647</v>
      </c>
      <c r="F92" s="96">
        <v>6.2179015595599916</v>
      </c>
      <c r="G92" s="96">
        <v>6.1620387972311477</v>
      </c>
      <c r="H92" s="96">
        <v>6.0953886373827384</v>
      </c>
      <c r="I92" s="96">
        <v>6.0395129558901708</v>
      </c>
      <c r="J92" s="96">
        <v>5.9766607255081565</v>
      </c>
      <c r="K92" s="96">
        <v>5.9238970457463038</v>
      </c>
      <c r="L92" s="96">
        <v>5.8807111153885812</v>
      </c>
      <c r="M92" s="96">
        <v>5.8594255038533305</v>
      </c>
      <c r="N92" s="96">
        <v>5.8002061390746364</v>
      </c>
      <c r="O92" s="96">
        <v>5.7835806629341633</v>
      </c>
      <c r="P92" s="96">
        <v>5.7473632506355292</v>
      </c>
      <c r="Q92" s="96">
        <v>5.7206941952554784</v>
      </c>
      <c r="R92" s="96">
        <v>5.6786407227814975</v>
      </c>
      <c r="S92" s="96">
        <v>5.6273533809426564</v>
      </c>
      <c r="T92" s="96">
        <v>5.5475730247865549</v>
      </c>
      <c r="U92" s="96">
        <v>5.4457068694615778</v>
      </c>
      <c r="V92" s="96">
        <v>5.3635025109434249</v>
      </c>
      <c r="W92" s="96">
        <v>5.2904874468241028</v>
      </c>
      <c r="DA92" s="171" t="s">
        <v>864</v>
      </c>
    </row>
    <row r="93" spans="1:105" ht="11.45" customHeight="1" x14ac:dyDescent="0.25">
      <c r="A93" s="111" t="s">
        <v>111</v>
      </c>
      <c r="B93" s="96">
        <v>6.3681920316203939</v>
      </c>
      <c r="C93" s="96">
        <v>6.2248264131173059</v>
      </c>
      <c r="D93" s="96">
        <v>6.1607602587117425</v>
      </c>
      <c r="E93" s="96">
        <v>6.0887023280982682</v>
      </c>
      <c r="F93" s="96">
        <v>6.020516923459561</v>
      </c>
      <c r="G93" s="96">
        <v>5.955938337457944</v>
      </c>
      <c r="H93" s="96">
        <v>5.8860799508752484</v>
      </c>
      <c r="I93" s="96">
        <v>5.833684596835738</v>
      </c>
      <c r="J93" s="96">
        <v>5.7783535443002902</v>
      </c>
      <c r="K93" s="96">
        <v>5.7347288354107686</v>
      </c>
      <c r="L93" s="96">
        <v>5.7040344239176672</v>
      </c>
      <c r="M93" s="96">
        <v>5.6844029664355391</v>
      </c>
      <c r="N93" s="96">
        <v>5.6473354690991986</v>
      </c>
      <c r="O93" s="96">
        <v>5.6118283748498072</v>
      </c>
      <c r="P93" s="96">
        <v>5.5269884532211</v>
      </c>
      <c r="Q93" s="96">
        <v>5.4966226570323116</v>
      </c>
      <c r="R93" s="96">
        <v>5.4561092954998385</v>
      </c>
      <c r="S93" s="96">
        <v>5.4073356077105865</v>
      </c>
      <c r="T93" s="96">
        <v>5.3480627538264134</v>
      </c>
      <c r="U93" s="96">
        <v>5.2300549696214214</v>
      </c>
      <c r="V93" s="96">
        <v>5.1432282713228936</v>
      </c>
      <c r="W93" s="96">
        <v>5.0878753937705223</v>
      </c>
      <c r="DA93" s="171" t="s">
        <v>865</v>
      </c>
    </row>
    <row r="94" spans="1:105" ht="11.45" customHeight="1" x14ac:dyDescent="0.25">
      <c r="A94" s="111" t="s">
        <v>112</v>
      </c>
      <c r="B94" s="96">
        <v>6.0287664650923283</v>
      </c>
      <c r="C94" s="96">
        <v>5.7632532500544569</v>
      </c>
      <c r="D94" s="96">
        <v>5.6781169498069879</v>
      </c>
      <c r="E94" s="96">
        <v>5.6154190137984425</v>
      </c>
      <c r="F94" s="96">
        <v>5.5110394675903356</v>
      </c>
      <c r="G94" s="96">
        <v>5.4745691514650128</v>
      </c>
      <c r="H94" s="96">
        <v>5.5126511376165341</v>
      </c>
      <c r="I94" s="96">
        <v>5.4997012437928019</v>
      </c>
      <c r="J94" s="96">
        <v>5.4774148205961106</v>
      </c>
      <c r="K94" s="96">
        <v>5.4631303399313929</v>
      </c>
      <c r="L94" s="96">
        <v>5.470068051882091</v>
      </c>
      <c r="M94" s="96">
        <v>5.4706473533140674</v>
      </c>
      <c r="N94" s="96">
        <v>5.4713008438529451</v>
      </c>
      <c r="O94" s="96">
        <v>5.471123309236714</v>
      </c>
      <c r="P94" s="96">
        <v>5.4467130028276403</v>
      </c>
      <c r="Q94" s="96">
        <v>5.4471274642741996</v>
      </c>
      <c r="R94" s="96">
        <v>5.4458793836278341</v>
      </c>
      <c r="S94" s="96">
        <v>5.4412673311890067</v>
      </c>
      <c r="T94" s="96">
        <v>5.411821983809431</v>
      </c>
      <c r="U94" s="96">
        <v>5.379924596422172</v>
      </c>
      <c r="V94" s="96">
        <v>5.3418021415118551</v>
      </c>
      <c r="W94" s="96">
        <v>5.2506000915209512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6.5427640797623141</v>
      </c>
      <c r="L95" s="96">
        <v>6.5135676804216436</v>
      </c>
      <c r="M95" s="96">
        <v>6.5127504218075822</v>
      </c>
      <c r="N95" s="96">
        <v>6.4597253487129862</v>
      </c>
      <c r="O95" s="96">
        <v>6.3739521485957624</v>
      </c>
      <c r="P95" s="96">
        <v>6.3013627364893114</v>
      </c>
      <c r="Q95" s="96">
        <v>6.2914114785633153</v>
      </c>
      <c r="R95" s="96">
        <v>6.2317244066157489</v>
      </c>
      <c r="S95" s="96">
        <v>5.9658371249018769</v>
      </c>
      <c r="T95" s="96">
        <v>5.9167391733017345</v>
      </c>
      <c r="U95" s="96">
        <v>5.8776475932243128</v>
      </c>
      <c r="V95" s="96">
        <v>5.8591069012350987</v>
      </c>
      <c r="W95" s="96">
        <v>5.8251165363086788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0</v>
      </c>
      <c r="P96" s="96">
        <v>3.1212081755279706</v>
      </c>
      <c r="Q96" s="96">
        <v>3.1773322611796679</v>
      </c>
      <c r="R96" s="96">
        <v>3.4335122646060956</v>
      </c>
      <c r="S96" s="96">
        <v>3.5695785209586846</v>
      </c>
      <c r="T96" s="96">
        <v>3.7860607110086173</v>
      </c>
      <c r="U96" s="96">
        <v>3.8074381876898746</v>
      </c>
      <c r="V96" s="96">
        <v>3.4508215553124981</v>
      </c>
      <c r="W96" s="96">
        <v>3.4121370583640429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1.0783737209331548</v>
      </c>
      <c r="O97" s="96">
        <v>1.0844216568301708</v>
      </c>
      <c r="P97" s="96">
        <v>1.1015568330992611</v>
      </c>
      <c r="Q97" s="96">
        <v>1.0734912918010791</v>
      </c>
      <c r="R97" s="96">
        <v>1.0605103652972785</v>
      </c>
      <c r="S97" s="96">
        <v>1.0658529645577755</v>
      </c>
      <c r="T97" s="96">
        <v>1.1609683533411168</v>
      </c>
      <c r="U97" s="96">
        <v>1.3181594724098886</v>
      </c>
      <c r="V97" s="96">
        <v>1.3842625220851084</v>
      </c>
      <c r="W97" s="96">
        <v>1.3812431388114128</v>
      </c>
      <c r="DA97" s="171" t="s">
        <v>869</v>
      </c>
    </row>
    <row r="98" spans="1:105" ht="11.45" customHeight="1" x14ac:dyDescent="0.25">
      <c r="A98" s="109" t="s">
        <v>21</v>
      </c>
      <c r="B98" s="130">
        <v>50.778310351261382</v>
      </c>
      <c r="C98" s="130">
        <v>50.243704183214057</v>
      </c>
      <c r="D98" s="130">
        <v>49.953223456990919</v>
      </c>
      <c r="E98" s="130">
        <v>49.644702265707416</v>
      </c>
      <c r="F98" s="130">
        <v>49.337879643690229</v>
      </c>
      <c r="G98" s="130">
        <v>49.006893886001059</v>
      </c>
      <c r="H98" s="130">
        <v>48.665367731826187</v>
      </c>
      <c r="I98" s="130">
        <v>48.283173053316681</v>
      </c>
      <c r="J98" s="130">
        <v>47.915774527202473</v>
      </c>
      <c r="K98" s="130">
        <v>47.541786713097778</v>
      </c>
      <c r="L98" s="130">
        <v>47.358461699366487</v>
      </c>
      <c r="M98" s="130">
        <v>47.007952798458348</v>
      </c>
      <c r="N98" s="130">
        <v>46.656513949685042</v>
      </c>
      <c r="O98" s="130">
        <v>46.128975604987751</v>
      </c>
      <c r="P98" s="130">
        <v>45.612499273763419</v>
      </c>
      <c r="Q98" s="130">
        <v>45.301596299510528</v>
      </c>
      <c r="R98" s="130">
        <v>45.226945811448445</v>
      </c>
      <c r="S98" s="130">
        <v>45.143162930765378</v>
      </c>
      <c r="T98" s="130">
        <v>44.964538834141287</v>
      </c>
      <c r="U98" s="130">
        <v>44.882318541700357</v>
      </c>
      <c r="V98" s="130">
        <v>44.736974416935873</v>
      </c>
      <c r="W98" s="130">
        <v>44.541379838738308</v>
      </c>
      <c r="DA98" s="176" t="s">
        <v>870</v>
      </c>
    </row>
    <row r="99" spans="1:105" ht="11.45" customHeight="1" x14ac:dyDescent="0.25">
      <c r="A99" s="111" t="s">
        <v>110</v>
      </c>
      <c r="B99" s="97">
        <v>16.815224485280403</v>
      </c>
      <c r="C99" s="97">
        <v>16.52396080841082</v>
      </c>
      <c r="D99" s="97">
        <v>16.295667468888762</v>
      </c>
      <c r="E99" s="97">
        <v>16.228673148565356</v>
      </c>
      <c r="F99" s="97">
        <v>16.146023582012347</v>
      </c>
      <c r="G99" s="97">
        <v>15.968120348991324</v>
      </c>
      <c r="H99" s="97">
        <v>15.751669560458632</v>
      </c>
      <c r="I99" s="97">
        <v>15.699571568239607</v>
      </c>
      <c r="J99" s="97">
        <v>15.402406431423175</v>
      </c>
      <c r="K99" s="97">
        <v>15.34398955297295</v>
      </c>
      <c r="L99" s="97">
        <v>15.236287422339885</v>
      </c>
      <c r="M99" s="97">
        <v>15.151214854602514</v>
      </c>
      <c r="N99" s="97">
        <v>14.952559010041069</v>
      </c>
      <c r="O99" s="97">
        <v>14.356688502666293</v>
      </c>
      <c r="P99" s="97">
        <v>14.277000502321222</v>
      </c>
      <c r="Q99" s="97">
        <v>14.137238207791214</v>
      </c>
      <c r="R99" s="97">
        <v>14.113189090206191</v>
      </c>
      <c r="S99" s="97">
        <v>14.090712802691426</v>
      </c>
      <c r="T99" s="97">
        <v>14.0672163734727</v>
      </c>
      <c r="U99" s="97">
        <v>14.020236268484579</v>
      </c>
      <c r="V99" s="97">
        <v>13.993282501421804</v>
      </c>
      <c r="W99" s="97">
        <v>13.95203970509826</v>
      </c>
      <c r="DA99" s="175" t="s">
        <v>871</v>
      </c>
    </row>
    <row r="100" spans="1:105" ht="11.45" customHeight="1" x14ac:dyDescent="0.25">
      <c r="A100" s="111" t="s">
        <v>111</v>
      </c>
      <c r="B100" s="97">
        <v>50.936333316788811</v>
      </c>
      <c r="C100" s="97">
        <v>50.147944575580659</v>
      </c>
      <c r="D100" s="97">
        <v>49.746275468896627</v>
      </c>
      <c r="E100" s="97">
        <v>49.330093331897288</v>
      </c>
      <c r="F100" s="97">
        <v>48.937457174471014</v>
      </c>
      <c r="G100" s="97">
        <v>48.553933532858288</v>
      </c>
      <c r="H100" s="97">
        <v>48.184895090855655</v>
      </c>
      <c r="I100" s="97">
        <v>47.779633546949626</v>
      </c>
      <c r="J100" s="97">
        <v>47.453727811440494</v>
      </c>
      <c r="K100" s="97">
        <v>47.17792164527453</v>
      </c>
      <c r="L100" s="97">
        <v>46.985291258496019</v>
      </c>
      <c r="M100" s="97">
        <v>46.69123267870485</v>
      </c>
      <c r="N100" s="97">
        <v>46.435834132215092</v>
      </c>
      <c r="O100" s="97">
        <v>46.108406442368931</v>
      </c>
      <c r="P100" s="97">
        <v>45.780585278635094</v>
      </c>
      <c r="Q100" s="97">
        <v>45.48809813597552</v>
      </c>
      <c r="R100" s="97">
        <v>45.377328315663171</v>
      </c>
      <c r="S100" s="97">
        <v>45.265886243115737</v>
      </c>
      <c r="T100" s="97">
        <v>45.08954842144658</v>
      </c>
      <c r="U100" s="97">
        <v>44.966096414387906</v>
      </c>
      <c r="V100" s="97">
        <v>44.880849199510983</v>
      </c>
      <c r="W100" s="97">
        <v>44.669053172193607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38.105225042166893</v>
      </c>
      <c r="J101" s="97">
        <v>38.105225042166893</v>
      </c>
      <c r="K101" s="97">
        <v>38.105225042166893</v>
      </c>
      <c r="L101" s="97">
        <v>38.105225042166893</v>
      </c>
      <c r="M101" s="97">
        <v>37.807510667348886</v>
      </c>
      <c r="N101" s="97">
        <v>37.807510667348886</v>
      </c>
      <c r="O101" s="97">
        <v>37.192593153036867</v>
      </c>
      <c r="P101" s="97">
        <v>37.165284031639409</v>
      </c>
      <c r="Q101" s="97">
        <v>37.165284031639409</v>
      </c>
      <c r="R101" s="97">
        <v>37.165284031639402</v>
      </c>
      <c r="S101" s="97">
        <v>37.11145657260294</v>
      </c>
      <c r="T101" s="97">
        <v>37.111456572602947</v>
      </c>
      <c r="U101" s="97">
        <v>36.779480308327031</v>
      </c>
      <c r="V101" s="97">
        <v>35.849884600563932</v>
      </c>
      <c r="W101" s="97">
        <v>35.849884600563925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37.949690061183311</v>
      </c>
      <c r="L102" s="97">
        <v>37.936363657611295</v>
      </c>
      <c r="M102" s="97">
        <v>37.92979535409448</v>
      </c>
      <c r="N102" s="97">
        <v>37.844019098949467</v>
      </c>
      <c r="O102" s="97">
        <v>37.428504433127891</v>
      </c>
      <c r="P102" s="97">
        <v>37.185764484857685</v>
      </c>
      <c r="Q102" s="97">
        <v>37.175511412044457</v>
      </c>
      <c r="R102" s="97">
        <v>37.167108641378618</v>
      </c>
      <c r="S102" s="97">
        <v>37.144353827295483</v>
      </c>
      <c r="T102" s="97">
        <v>37.136310435114176</v>
      </c>
      <c r="U102" s="97">
        <v>37.123462542348619</v>
      </c>
      <c r="V102" s="97">
        <v>37.071705126074754</v>
      </c>
      <c r="W102" s="97">
        <v>37.060488156256199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0</v>
      </c>
      <c r="Q103" s="97">
        <v>26.290426585445477</v>
      </c>
      <c r="R103" s="97">
        <v>26.400477932025201</v>
      </c>
      <c r="S103" s="97">
        <v>26.400477932025197</v>
      </c>
      <c r="T103" s="97">
        <v>26.400477932025201</v>
      </c>
      <c r="U103" s="97">
        <v>26.400477932025197</v>
      </c>
      <c r="V103" s="97">
        <v>26.400477932025201</v>
      </c>
      <c r="W103" s="97">
        <v>27.191956081073993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8.6002828745294249</v>
      </c>
      <c r="C105" s="141">
        <v>8.3147076166927878</v>
      </c>
      <c r="D105" s="141">
        <v>8.1948637133264324</v>
      </c>
      <c r="E105" s="141">
        <v>8.0755887200475502</v>
      </c>
      <c r="F105" s="141">
        <v>7.9676858071253465</v>
      </c>
      <c r="G105" s="141">
        <v>7.8625524280188461</v>
      </c>
      <c r="H105" s="141">
        <v>7.7554524450631286</v>
      </c>
      <c r="I105" s="141">
        <v>7.6120414141864865</v>
      </c>
      <c r="J105" s="141">
        <v>7.5306394742359322</v>
      </c>
      <c r="K105" s="141">
        <v>7.4677938664270753</v>
      </c>
      <c r="L105" s="141">
        <v>7.4077506290849247</v>
      </c>
      <c r="M105" s="141">
        <v>7.3717770035451586</v>
      </c>
      <c r="N105" s="141">
        <v>7.2691370542076124</v>
      </c>
      <c r="O105" s="141">
        <v>7.2507807056777835</v>
      </c>
      <c r="P105" s="141">
        <v>7.1916912888642424</v>
      </c>
      <c r="Q105" s="141">
        <v>6.9280079970284101</v>
      </c>
      <c r="R105" s="141">
        <v>6.7663423980494573</v>
      </c>
      <c r="S105" s="141">
        <v>6.6787136719625586</v>
      </c>
      <c r="T105" s="141">
        <v>6.5753512375975802</v>
      </c>
      <c r="U105" s="141">
        <v>6.448576052496434</v>
      </c>
      <c r="V105" s="141">
        <v>6.3717079573881898</v>
      </c>
      <c r="W105" s="141">
        <v>6.2989894660910499</v>
      </c>
      <c r="DA105" s="174" t="s">
        <v>876</v>
      </c>
    </row>
    <row r="106" spans="1:105" ht="11.45" customHeight="1" x14ac:dyDescent="0.25">
      <c r="A106" s="111" t="s">
        <v>110</v>
      </c>
      <c r="B106" s="96">
        <v>8.0617605371667906</v>
      </c>
      <c r="C106" s="96">
        <v>7.8907462966888451</v>
      </c>
      <c r="D106" s="96">
        <v>7.846133331560293</v>
      </c>
      <c r="E106" s="96">
        <v>7.8056499544457871</v>
      </c>
      <c r="F106" s="96">
        <v>7.7701150841629758</v>
      </c>
      <c r="G106" s="96">
        <v>7.7301400301052707</v>
      </c>
      <c r="H106" s="96">
        <v>7.6699984309982243</v>
      </c>
      <c r="I106" s="96">
        <v>7.5322015602893035</v>
      </c>
      <c r="J106" s="96">
        <v>7.4523496327150447</v>
      </c>
      <c r="K106" s="96">
        <v>7.357810360699653</v>
      </c>
      <c r="L106" s="96">
        <v>7.2676622534519737</v>
      </c>
      <c r="M106" s="96">
        <v>7.2518341112861249</v>
      </c>
      <c r="N106" s="96">
        <v>7.1249824438690235</v>
      </c>
      <c r="O106" s="96">
        <v>7.1032338628544629</v>
      </c>
      <c r="P106" s="96">
        <v>7.0680426149284932</v>
      </c>
      <c r="Q106" s="96">
        <v>6.9673133702343728</v>
      </c>
      <c r="R106" s="96">
        <v>6.8576032917861571</v>
      </c>
      <c r="S106" s="96">
        <v>6.8095879781773263</v>
      </c>
      <c r="T106" s="96">
        <v>6.730178103104719</v>
      </c>
      <c r="U106" s="96">
        <v>6.609656779224732</v>
      </c>
      <c r="V106" s="96">
        <v>6.4888971598287979</v>
      </c>
      <c r="W106" s="96">
        <v>6.2819588776370203</v>
      </c>
      <c r="DA106" s="171" t="s">
        <v>877</v>
      </c>
    </row>
    <row r="107" spans="1:105" ht="11.45" customHeight="1" x14ac:dyDescent="0.25">
      <c r="A107" s="111" t="s">
        <v>111</v>
      </c>
      <c r="B107" s="96">
        <v>8.7240928453042912</v>
      </c>
      <c r="C107" s="96">
        <v>8.3187684069035495</v>
      </c>
      <c r="D107" s="96">
        <v>8.1534543087262321</v>
      </c>
      <c r="E107" s="96">
        <v>8.0008970707229974</v>
      </c>
      <c r="F107" s="96">
        <v>7.8733527273993298</v>
      </c>
      <c r="G107" s="96">
        <v>7.7575913666419529</v>
      </c>
      <c r="H107" s="96">
        <v>7.6465940618418822</v>
      </c>
      <c r="I107" s="96">
        <v>7.5220416817384397</v>
      </c>
      <c r="J107" s="96">
        <v>7.4491995353791225</v>
      </c>
      <c r="K107" s="96">
        <v>7.3973115783187051</v>
      </c>
      <c r="L107" s="96">
        <v>7.3500149671365973</v>
      </c>
      <c r="M107" s="96">
        <v>7.3156132637249431</v>
      </c>
      <c r="N107" s="96">
        <v>7.2374070705520994</v>
      </c>
      <c r="O107" s="96">
        <v>7.2161253510567738</v>
      </c>
      <c r="P107" s="96">
        <v>7.139966991653325</v>
      </c>
      <c r="Q107" s="96">
        <v>6.8256102348486074</v>
      </c>
      <c r="R107" s="96">
        <v>6.6553203374589129</v>
      </c>
      <c r="S107" s="96">
        <v>6.578224889810742</v>
      </c>
      <c r="T107" s="96">
        <v>6.4818426645623113</v>
      </c>
      <c r="U107" s="96">
        <v>6.3551384159719362</v>
      </c>
      <c r="V107" s="96">
        <v>6.2911005945946368</v>
      </c>
      <c r="W107" s="96">
        <v>6.2285059572973323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5.9756828822173054</v>
      </c>
      <c r="J108" s="96">
        <v>5.8148645958236607</v>
      </c>
      <c r="K108" s="96">
        <v>5.7783806698969489</v>
      </c>
      <c r="L108" s="96">
        <v>5.7521974559000446</v>
      </c>
      <c r="M108" s="96">
        <v>5.7397501649024214</v>
      </c>
      <c r="N108" s="96">
        <v>5.7346682406601994</v>
      </c>
      <c r="O108" s="96">
        <v>5.6760997521285708</v>
      </c>
      <c r="P108" s="96">
        <v>5.6083159434607346</v>
      </c>
      <c r="Q108" s="96">
        <v>5.5652593036826312</v>
      </c>
      <c r="R108" s="96">
        <v>5.4944021855225476</v>
      </c>
      <c r="S108" s="96">
        <v>5.6548427138795958</v>
      </c>
      <c r="T108" s="96">
        <v>5.6869784490152968</v>
      </c>
      <c r="U108" s="96">
        <v>5.6677076933226918</v>
      </c>
      <c r="V108" s="96">
        <v>5.718495175657865</v>
      </c>
      <c r="W108" s="96">
        <v>5.795749964065033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7.6283351634440626</v>
      </c>
      <c r="L109" s="96">
        <v>7.6029752883007635</v>
      </c>
      <c r="M109" s="96">
        <v>7.5834431786761209</v>
      </c>
      <c r="N109" s="96">
        <v>7.3951874015351988</v>
      </c>
      <c r="O109" s="96">
        <v>7.3951874015351988</v>
      </c>
      <c r="P109" s="96">
        <v>7.339705269035214</v>
      </c>
      <c r="Q109" s="96">
        <v>7.2826686203660715</v>
      </c>
      <c r="R109" s="96">
        <v>7.109174985063853</v>
      </c>
      <c r="S109" s="96">
        <v>7.1936111232832118</v>
      </c>
      <c r="T109" s="96">
        <v>7.1395696569736646</v>
      </c>
      <c r="U109" s="96">
        <v>7.1268384578288533</v>
      </c>
      <c r="V109" s="96">
        <v>7.0621849389643767</v>
      </c>
      <c r="W109" s="96">
        <v>7.1048415263788076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1.659735323495487</v>
      </c>
      <c r="F110" s="96">
        <v>1.659735323495487</v>
      </c>
      <c r="G110" s="96">
        <v>1.6157960422610307</v>
      </c>
      <c r="H110" s="96">
        <v>1.6157960422610311</v>
      </c>
      <c r="I110" s="96">
        <v>1.6157960422610309</v>
      </c>
      <c r="J110" s="96">
        <v>1.5581501826352311</v>
      </c>
      <c r="K110" s="96">
        <v>1.5417239893342376</v>
      </c>
      <c r="L110" s="96">
        <v>1.5417239893342374</v>
      </c>
      <c r="M110" s="96">
        <v>1.5211181551742128</v>
      </c>
      <c r="N110" s="96">
        <v>1.4915072377106104</v>
      </c>
      <c r="O110" s="96">
        <v>1.4915072377106104</v>
      </c>
      <c r="P110" s="96">
        <v>1.4841407324797706</v>
      </c>
      <c r="Q110" s="96">
        <v>1.5148620187694442</v>
      </c>
      <c r="R110" s="96">
        <v>1.5172544781094657</v>
      </c>
      <c r="S110" s="96">
        <v>1.4563854654464092</v>
      </c>
      <c r="T110" s="96">
        <v>1.4308439449253199</v>
      </c>
      <c r="U110" s="96">
        <v>1.3990526552796367</v>
      </c>
      <c r="V110" s="96">
        <v>1.5446990849552433</v>
      </c>
      <c r="W110" s="96">
        <v>1.6359872595824845</v>
      </c>
      <c r="DA110" s="171" t="s">
        <v>881</v>
      </c>
    </row>
    <row r="111" spans="1:105" ht="11.45" customHeight="1" x14ac:dyDescent="0.25">
      <c r="A111" s="109" t="s">
        <v>158</v>
      </c>
      <c r="B111" s="130">
        <v>32.101740934409683</v>
      </c>
      <c r="C111" s="130">
        <v>31.467311860736</v>
      </c>
      <c r="D111" s="130">
        <v>31.282780233695529</v>
      </c>
      <c r="E111" s="130">
        <v>31.072967836743494</v>
      </c>
      <c r="F111" s="130">
        <v>30.946892077436825</v>
      </c>
      <c r="G111" s="130">
        <v>30.838770015938408</v>
      </c>
      <c r="H111" s="130">
        <v>30.447665458836603</v>
      </c>
      <c r="I111" s="130">
        <v>30.294707947625415</v>
      </c>
      <c r="J111" s="130">
        <v>29.918954973969576</v>
      </c>
      <c r="K111" s="130">
        <v>29.622542852944537</v>
      </c>
      <c r="L111" s="130">
        <v>29.567639798579147</v>
      </c>
      <c r="M111" s="130">
        <v>29.39076943409604</v>
      </c>
      <c r="N111" s="130">
        <v>29.167442773019161</v>
      </c>
      <c r="O111" s="130">
        <v>28.710672868225224</v>
      </c>
      <c r="P111" s="130">
        <v>28.224315620701312</v>
      </c>
      <c r="Q111" s="130">
        <v>27.576010609955663</v>
      </c>
      <c r="R111" s="130">
        <v>27.119658911824562</v>
      </c>
      <c r="S111" s="130">
        <v>26.511790556669904</v>
      </c>
      <c r="T111" s="130">
        <v>25.842794252010059</v>
      </c>
      <c r="U111" s="130">
        <v>25.31261423291539</v>
      </c>
      <c r="V111" s="130">
        <v>24.752772290035566</v>
      </c>
      <c r="W111" s="130">
        <v>24.056068317997386</v>
      </c>
      <c r="DA111" s="176" t="s">
        <v>882</v>
      </c>
    </row>
    <row r="112" spans="1:105" ht="11.45" customHeight="1" x14ac:dyDescent="0.25">
      <c r="A112" s="128" t="s">
        <v>27</v>
      </c>
      <c r="B112" s="97">
        <v>31.555212046033915</v>
      </c>
      <c r="C112" s="97">
        <v>31.028044238050654</v>
      </c>
      <c r="D112" s="97">
        <v>30.88287712889144</v>
      </c>
      <c r="E112" s="97">
        <v>30.713915895208789</v>
      </c>
      <c r="F112" s="97">
        <v>30.59112490649348</v>
      </c>
      <c r="G112" s="97">
        <v>30.492713808510167</v>
      </c>
      <c r="H112" s="97">
        <v>30.16152404945861</v>
      </c>
      <c r="I112" s="97">
        <v>30.021516693122184</v>
      </c>
      <c r="J112" s="97">
        <v>29.770587730947817</v>
      </c>
      <c r="K112" s="97">
        <v>29.465549288498693</v>
      </c>
      <c r="L112" s="97">
        <v>29.424942718465285</v>
      </c>
      <c r="M112" s="97">
        <v>29.256972183481196</v>
      </c>
      <c r="N112" s="97">
        <v>29.037809371192399</v>
      </c>
      <c r="O112" s="97">
        <v>28.582866947212768</v>
      </c>
      <c r="P112" s="97">
        <v>28.096712153574597</v>
      </c>
      <c r="Q112" s="97">
        <v>27.438268839323936</v>
      </c>
      <c r="R112" s="97">
        <v>26.976678948983789</v>
      </c>
      <c r="S112" s="97">
        <v>26.364549892902073</v>
      </c>
      <c r="T112" s="97">
        <v>25.678974418937042</v>
      </c>
      <c r="U112" s="97">
        <v>25.150318008825561</v>
      </c>
      <c r="V112" s="97">
        <v>24.589771097604892</v>
      </c>
      <c r="W112" s="97">
        <v>23.88086264054197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36.269120958153273</v>
      </c>
      <c r="D113" s="98">
        <v>35.843082224629498</v>
      </c>
      <c r="E113" s="98">
        <v>35.470560517088643</v>
      </c>
      <c r="F113" s="98">
        <v>34.753629567013299</v>
      </c>
      <c r="G113" s="98">
        <v>34.362828642042494</v>
      </c>
      <c r="H113" s="98">
        <v>34.189641319455625</v>
      </c>
      <c r="I113" s="98">
        <v>33.660665955463578</v>
      </c>
      <c r="J113" s="98">
        <v>32.871610450428165</v>
      </c>
      <c r="K113" s="98">
        <v>32.7269289228988</v>
      </c>
      <c r="L113" s="98">
        <v>32.522904470223956</v>
      </c>
      <c r="M113" s="98">
        <v>32.205585939785905</v>
      </c>
      <c r="N113" s="98">
        <v>31.88998163519398</v>
      </c>
      <c r="O113" s="98">
        <v>31.365003357783564</v>
      </c>
      <c r="P113" s="98">
        <v>30.77461327873332</v>
      </c>
      <c r="Q113" s="98">
        <v>29.986412841425064</v>
      </c>
      <c r="R113" s="98">
        <v>29.475433467588452</v>
      </c>
      <c r="S113" s="98">
        <v>28.543771760434598</v>
      </c>
      <c r="T113" s="98">
        <v>28.170281404620845</v>
      </c>
      <c r="U113" s="98">
        <v>27.957148593662183</v>
      </c>
      <c r="V113" s="98">
        <v>27.390614044616076</v>
      </c>
      <c r="W113" s="98">
        <v>27.173251906392686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1.1275493105892327</v>
      </c>
      <c r="D117" s="150">
        <f>IF(TrRoad_act!D59=0,0,TrRoad_ene!D62/TrRoad_tech!D90)</f>
        <v>1.1282541020725361</v>
      </c>
      <c r="E117" s="150">
        <f>IF(TrRoad_act!E59=0,0,TrRoad_ene!E62/TrRoad_tech!E90)</f>
        <v>1.1312548219787459</v>
      </c>
      <c r="F117" s="150">
        <f>IF(TrRoad_act!F59=0,0,TrRoad_ene!F62/TrRoad_tech!F90)</f>
        <v>1.1350626310610583</v>
      </c>
      <c r="G117" s="150">
        <f>IF(TrRoad_act!G59=0,0,TrRoad_ene!G62/TrRoad_tech!G90)</f>
        <v>1.1401279462923295</v>
      </c>
      <c r="H117" s="150">
        <f>IF(TrRoad_act!H59=0,0,TrRoad_ene!H62/TrRoad_tech!H90)</f>
        <v>1.1459773429352396</v>
      </c>
      <c r="I117" s="150">
        <f>IF(TrRoad_act!I59=0,0,TrRoad_ene!I62/TrRoad_tech!I90)</f>
        <v>1.1499108451763564</v>
      </c>
      <c r="J117" s="150">
        <f>IF(TrRoad_act!J59=0,0,TrRoad_ene!J62/TrRoad_tech!J90)</f>
        <v>1.1545801095611745</v>
      </c>
      <c r="K117" s="150">
        <f>IF(TrRoad_act!K59=0,0,TrRoad_ene!K62/TrRoad_tech!K90)</f>
        <v>1.1578645370604741</v>
      </c>
      <c r="L117" s="150">
        <f>IF(TrRoad_act!L59=0,0,TrRoad_ene!L62/TrRoad_tech!L90)</f>
        <v>1.1604736144475194</v>
      </c>
      <c r="M117" s="150">
        <f>IF(TrRoad_act!M59=0,0,TrRoad_ene!M62/TrRoad_tech!M90)</f>
        <v>1.1633638196295268</v>
      </c>
      <c r="N117" s="150">
        <f>IF(TrRoad_act!N59=0,0,TrRoad_ene!N62/TrRoad_tech!N90)</f>
        <v>1.1658300121659482</v>
      </c>
      <c r="O117" s="150">
        <f>IF(TrRoad_act!O59=0,0,TrRoad_ene!O62/TrRoad_tech!O90)</f>
        <v>1.1690752845403862</v>
      </c>
      <c r="P117" s="150">
        <f>IF(TrRoad_act!P59=0,0,TrRoad_ene!P62/TrRoad_tech!P90)</f>
        <v>1.1732188180594278</v>
      </c>
      <c r="Q117" s="150">
        <f>IF(TrRoad_act!Q59=0,0,TrRoad_ene!Q62/TrRoad_tech!Q90)</f>
        <v>1.1753339022046096</v>
      </c>
      <c r="R117" s="150">
        <f>IF(TrRoad_act!R59=0,0,TrRoad_ene!R62/TrRoad_tech!R90)</f>
        <v>1.180356434251203</v>
      </c>
      <c r="S117" s="150">
        <f>IF(TrRoad_act!S59=0,0,TrRoad_ene!S62/TrRoad_tech!S90)</f>
        <v>1.185526820488046</v>
      </c>
      <c r="T117" s="150">
        <f>IF(TrRoad_act!T59=0,0,TrRoad_ene!T62/TrRoad_tech!T90)</f>
        <v>1.195000365858746</v>
      </c>
      <c r="U117" s="150">
        <f>IF(TrRoad_act!U59=0,0,TrRoad_ene!U62/TrRoad_tech!U90)</f>
        <v>1.2022489210899452</v>
      </c>
      <c r="V117" s="150">
        <f>IF(TrRoad_act!V59=0,0,TrRoad_ene!V62/TrRoad_tech!V90)</f>
        <v>1.207522869120456</v>
      </c>
      <c r="W117" s="150">
        <f>IF(TrRoad_act!W59=0,0,TrRoad_ene!W62/TrRoad_tech!W90)</f>
        <v>1.2085028553629669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1.0973950377441795</v>
      </c>
      <c r="C118" s="151">
        <f>IF(TrRoad_act!C60=0,0,TrRoad_ene!C63/TrRoad_tech!C91)</f>
        <v>1.0427090594275958</v>
      </c>
      <c r="D118" s="151">
        <f>IF(TrRoad_act!D60=0,0,TrRoad_ene!D63/TrRoad_tech!D91)</f>
        <v>1.0147778647045662</v>
      </c>
      <c r="E118" s="151">
        <f>IF(TrRoad_act!E60=0,0,TrRoad_ene!E63/TrRoad_tech!E91)</f>
        <v>1.0761426877514266</v>
      </c>
      <c r="F118" s="151">
        <f>IF(TrRoad_act!F60=0,0,TrRoad_ene!F63/TrRoad_tech!F91)</f>
        <v>1.0463294856460768</v>
      </c>
      <c r="G118" s="151">
        <f>IF(TrRoad_act!G60=0,0,TrRoad_ene!G63/TrRoad_tech!G91)</f>
        <v>1.0748997551823196</v>
      </c>
      <c r="H118" s="151">
        <f>IF(TrRoad_act!H60=0,0,TrRoad_ene!H63/TrRoad_tech!H91)</f>
        <v>1.1342716032926707</v>
      </c>
      <c r="I118" s="151">
        <f>IF(TrRoad_act!I60=0,0,TrRoad_ene!I63/TrRoad_tech!I91)</f>
        <v>1.1995373470041384</v>
      </c>
      <c r="J118" s="151">
        <f>IF(TrRoad_act!J60=0,0,TrRoad_ene!J63/TrRoad_tech!J91)</f>
        <v>1.0805353044510264</v>
      </c>
      <c r="K118" s="151">
        <f>IF(TrRoad_act!K60=0,0,TrRoad_ene!K63/TrRoad_tech!K91)</f>
        <v>1.1367541171659263</v>
      </c>
      <c r="L118" s="151">
        <f>IF(TrRoad_act!L60=0,0,TrRoad_ene!L63/TrRoad_tech!L91)</f>
        <v>1.0918036754465021</v>
      </c>
      <c r="M118" s="151">
        <f>IF(TrRoad_act!M60=0,0,TrRoad_ene!M63/TrRoad_tech!M91)</f>
        <v>1.1006956939234518</v>
      </c>
      <c r="N118" s="151">
        <f>IF(TrRoad_act!N60=0,0,TrRoad_ene!N63/TrRoad_tech!N91)</f>
        <v>1.1433206464961778</v>
      </c>
      <c r="O118" s="151">
        <f>IF(TrRoad_act!O60=0,0,TrRoad_ene!O63/TrRoad_tech!O91)</f>
        <v>1.1232270267401223</v>
      </c>
      <c r="P118" s="151">
        <f>IF(TrRoad_act!P60=0,0,TrRoad_ene!P63/TrRoad_tech!P91)</f>
        <v>1.1285236457970473</v>
      </c>
      <c r="Q118" s="151">
        <f>IF(TrRoad_act!Q60=0,0,TrRoad_ene!Q63/TrRoad_tech!Q91)</f>
        <v>1.1622695740208913</v>
      </c>
      <c r="R118" s="151">
        <f>IF(TrRoad_act!R60=0,0,TrRoad_ene!R63/TrRoad_tech!R91)</f>
        <v>1.1105740033548286</v>
      </c>
      <c r="S118" s="151">
        <f>IF(TrRoad_act!S60=0,0,TrRoad_ene!S63/TrRoad_tech!S91)</f>
        <v>1.1196186970178463</v>
      </c>
      <c r="T118" s="151">
        <f>IF(TrRoad_act!T60=0,0,TrRoad_ene!T63/TrRoad_tech!T91)</f>
        <v>1.0670693221463285</v>
      </c>
      <c r="U118" s="151">
        <f>IF(TrRoad_act!U60=0,0,TrRoad_ene!U63/TrRoad_tech!U91)</f>
        <v>1.1703503993287179</v>
      </c>
      <c r="V118" s="151">
        <f>IF(TrRoad_act!V60=0,0,TrRoad_ene!V63/TrRoad_tech!V91)</f>
        <v>1.2525977246179338</v>
      </c>
      <c r="W118" s="151">
        <f>IF(TrRoad_act!W60=0,0,TrRoad_ene!W63/TrRoad_tech!W91)</f>
        <v>1.2116142559138168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1.1245554424174571</v>
      </c>
      <c r="C119" s="91">
        <f>IF(TrRoad_act!C61=0,0,TrRoad_ene!C64/TrRoad_tech!C92)</f>
        <v>1.0428099531518875</v>
      </c>
      <c r="D119" s="91">
        <f>IF(TrRoad_act!D61=0,0,TrRoad_ene!D64/TrRoad_tech!D92)</f>
        <v>1.0379115916313333</v>
      </c>
      <c r="E119" s="91">
        <f>IF(TrRoad_act!E61=0,0,TrRoad_ene!E64/TrRoad_tech!E92)</f>
        <v>1.1075059997974197</v>
      </c>
      <c r="F119" s="91">
        <f>IF(TrRoad_act!F61=0,0,TrRoad_ene!F64/TrRoad_tech!F92)</f>
        <v>1.081760088397675</v>
      </c>
      <c r="G119" s="91">
        <f>IF(TrRoad_act!G61=0,0,TrRoad_ene!G64/TrRoad_tech!G92)</f>
        <v>1.1166432163998057</v>
      </c>
      <c r="H119" s="91">
        <f>IF(TrRoad_act!H61=0,0,TrRoad_ene!H64/TrRoad_tech!H92)</f>
        <v>1.198493456525819</v>
      </c>
      <c r="I119" s="91">
        <f>IF(TrRoad_act!I61=0,0,TrRoad_ene!I64/TrRoad_tech!I92)</f>
        <v>1.2655458451557653</v>
      </c>
      <c r="J119" s="91">
        <f>IF(TrRoad_act!J61=0,0,TrRoad_ene!J64/TrRoad_tech!J92)</f>
        <v>1.0361536827432274</v>
      </c>
      <c r="K119" s="91">
        <f>IF(TrRoad_act!K61=0,0,TrRoad_ene!K64/TrRoad_tech!K92)</f>
        <v>1.0796582830729777</v>
      </c>
      <c r="L119" s="91">
        <f>IF(TrRoad_act!L61=0,0,TrRoad_ene!L64/TrRoad_tech!L92)</f>
        <v>1.0277747381956688</v>
      </c>
      <c r="M119" s="91">
        <f>IF(TrRoad_act!M61=0,0,TrRoad_ene!M64/TrRoad_tech!M92)</f>
        <v>1.0532842670149793</v>
      </c>
      <c r="N119" s="91">
        <f>IF(TrRoad_act!N61=0,0,TrRoad_ene!N64/TrRoad_tech!N92)</f>
        <v>1.0549241597176742</v>
      </c>
      <c r="O119" s="91">
        <f>IF(TrRoad_act!O61=0,0,TrRoad_ene!O64/TrRoad_tech!O92)</f>
        <v>1.0728050631309505</v>
      </c>
      <c r="P119" s="91">
        <f>IF(TrRoad_act!P61=0,0,TrRoad_ene!P64/TrRoad_tech!P92)</f>
        <v>1.086947365104872</v>
      </c>
      <c r="Q119" s="91">
        <f>IF(TrRoad_act!Q61=0,0,TrRoad_ene!Q64/TrRoad_tech!Q92)</f>
        <v>1.0955055511797673</v>
      </c>
      <c r="R119" s="91">
        <f>IF(TrRoad_act!R61=0,0,TrRoad_ene!R64/TrRoad_tech!R92)</f>
        <v>1.0737243464613613</v>
      </c>
      <c r="S119" s="91">
        <f>IF(TrRoad_act!S61=0,0,TrRoad_ene!S64/TrRoad_tech!S92)</f>
        <v>1.0470823328245071</v>
      </c>
      <c r="T119" s="91">
        <f>IF(TrRoad_act!T61=0,0,TrRoad_ene!T64/TrRoad_tech!T92)</f>
        <v>1.0030232212648746</v>
      </c>
      <c r="U119" s="91">
        <f>IF(TrRoad_act!U61=0,0,TrRoad_ene!U64/TrRoad_tech!U92)</f>
        <v>1.0662853577407405</v>
      </c>
      <c r="V119" s="91">
        <f>IF(TrRoad_act!V61=0,0,TrRoad_ene!V64/TrRoad_tech!V92)</f>
        <v>1.1398746455732691</v>
      </c>
      <c r="W119" s="91">
        <f>IF(TrRoad_act!W61=0,0,TrRoad_ene!W64/TrRoad_tech!W92)</f>
        <v>1.1205768687772606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0.99886101824022255</v>
      </c>
      <c r="C120" s="91">
        <f>IF(TrRoad_act!C62=0,0,TrRoad_ene!C65/TrRoad_tech!C93)</f>
        <v>1.065416220534011</v>
      </c>
      <c r="D120" s="91">
        <f>IF(TrRoad_act!D62=0,0,TrRoad_ene!D65/TrRoad_tech!D93)</f>
        <v>0.96412044772732386</v>
      </c>
      <c r="E120" s="91">
        <f>IF(TrRoad_act!E62=0,0,TrRoad_ene!E65/TrRoad_tech!E93)</f>
        <v>1.0343009222097252</v>
      </c>
      <c r="F120" s="91">
        <f>IF(TrRoad_act!F62=0,0,TrRoad_ene!F65/TrRoad_tech!F93)</f>
        <v>1.0091889098617601</v>
      </c>
      <c r="G120" s="91">
        <f>IF(TrRoad_act!G62=0,0,TrRoad_ene!G65/TrRoad_tech!G93)</f>
        <v>1.0401467583682558</v>
      </c>
      <c r="H120" s="91">
        <f>IF(TrRoad_act!H62=0,0,TrRoad_ene!H65/TrRoad_tech!H93)</f>
        <v>1.0908597704487433</v>
      </c>
      <c r="I120" s="91">
        <f>IF(TrRoad_act!I62=0,0,TrRoad_ene!I65/TrRoad_tech!I93)</f>
        <v>1.1797814935710009</v>
      </c>
      <c r="J120" s="91">
        <f>IF(TrRoad_act!J62=0,0,TrRoad_ene!J65/TrRoad_tech!J93)</f>
        <v>1.1804691772084308</v>
      </c>
      <c r="K120" s="91">
        <f>IF(TrRoad_act!K62=0,0,TrRoad_ene!K65/TrRoad_tech!K93)</f>
        <v>1.2689134361894472</v>
      </c>
      <c r="L120" s="91">
        <f>IF(TrRoad_act!L62=0,0,TrRoad_ene!L65/TrRoad_tech!L93)</f>
        <v>1.2184004592433542</v>
      </c>
      <c r="M120" s="91">
        <f>IF(TrRoad_act!M62=0,0,TrRoad_ene!M65/TrRoad_tech!M93)</f>
        <v>1.2008895415499585</v>
      </c>
      <c r="N120" s="91">
        <f>IF(TrRoad_act!N62=0,0,TrRoad_ene!N65/TrRoad_tech!N93)</f>
        <v>1.2877565590413744</v>
      </c>
      <c r="O120" s="91">
        <f>IF(TrRoad_act!O62=0,0,TrRoad_ene!O65/TrRoad_tech!O93)</f>
        <v>1.2160223373474681</v>
      </c>
      <c r="P120" s="91">
        <f>IF(TrRoad_act!P62=0,0,TrRoad_ene!P65/TrRoad_tech!P93)</f>
        <v>1.2085151676136543</v>
      </c>
      <c r="Q120" s="91">
        <f>IF(TrRoad_act!Q62=0,0,TrRoad_ene!Q65/TrRoad_tech!Q93)</f>
        <v>1.2664536783591587</v>
      </c>
      <c r="R120" s="91">
        <f>IF(TrRoad_act!R62=0,0,TrRoad_ene!R65/TrRoad_tech!R93)</f>
        <v>1.16996969436048</v>
      </c>
      <c r="S120" s="91">
        <f>IF(TrRoad_act!S62=0,0,TrRoad_ene!S65/TrRoad_tech!S93)</f>
        <v>1.2032836674201073</v>
      </c>
      <c r="T120" s="91">
        <f>IF(TrRoad_act!T62=0,0,TrRoad_ene!T65/TrRoad_tech!T93)</f>
        <v>1.1356908980665132</v>
      </c>
      <c r="U120" s="91">
        <f>IF(TrRoad_act!U62=0,0,TrRoad_ene!U65/TrRoad_tech!U93)</f>
        <v>1.2755544197208173</v>
      </c>
      <c r="V120" s="91">
        <f>IF(TrRoad_act!V62=0,0,TrRoad_ene!V65/TrRoad_tech!V93)</f>
        <v>1.3687764336240484</v>
      </c>
      <c r="W120" s="91">
        <f>IF(TrRoad_act!W62=0,0,TrRoad_ene!W65/TrRoad_tech!W93)</f>
        <v>1.3110815453430749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0.99236073794788182</v>
      </c>
      <c r="C121" s="91">
        <f>IF(TrRoad_act!C63=0,0,TrRoad_ene!C66/TrRoad_tech!C94)</f>
        <v>1.0323790834276685</v>
      </c>
      <c r="D121" s="91">
        <f>IF(TrRoad_act!D63=0,0,TrRoad_ene!D66/TrRoad_tech!D94)</f>
        <v>1.0559954445528583</v>
      </c>
      <c r="E121" s="91">
        <f>IF(TrRoad_act!E63=0,0,TrRoad_ene!E66/TrRoad_tech!E94)</f>
        <v>1.048435981834325</v>
      </c>
      <c r="F121" s="91">
        <f>IF(TrRoad_act!F63=0,0,TrRoad_ene!F66/TrRoad_tech!F94)</f>
        <v>1.0364830880764546</v>
      </c>
      <c r="G121" s="91">
        <f>IF(TrRoad_act!G63=0,0,TrRoad_ene!G66/TrRoad_tech!G94)</f>
        <v>1.040013079284513</v>
      </c>
      <c r="H121" s="91">
        <f>IF(TrRoad_act!H63=0,0,TrRoad_ene!H66/TrRoad_tech!H94)</f>
        <v>1.0069637421648927</v>
      </c>
      <c r="I121" s="91">
        <f>IF(TrRoad_act!I63=0,0,TrRoad_ene!I66/TrRoad_tech!I94)</f>
        <v>0.99389197189726186</v>
      </c>
      <c r="J121" s="91">
        <f>IF(TrRoad_act!J63=0,0,TrRoad_ene!J66/TrRoad_tech!J94)</f>
        <v>1.0298481025289832</v>
      </c>
      <c r="K121" s="91">
        <f>IF(TrRoad_act!K63=0,0,TrRoad_ene!K66/TrRoad_tech!K94)</f>
        <v>0.98867792752367312</v>
      </c>
      <c r="L121" s="91">
        <f>IF(TrRoad_act!L63=0,0,TrRoad_ene!L66/TrRoad_tech!L94)</f>
        <v>0.97384477024540961</v>
      </c>
      <c r="M121" s="91">
        <f>IF(TrRoad_act!M63=0,0,TrRoad_ene!M66/TrRoad_tech!M94)</f>
        <v>0.97568635456452479</v>
      </c>
      <c r="N121" s="91">
        <f>IF(TrRoad_act!N63=0,0,TrRoad_ene!N66/TrRoad_tech!N94)</f>
        <v>0.97667484082248657</v>
      </c>
      <c r="O121" s="91">
        <f>IF(TrRoad_act!O63=0,0,TrRoad_ene!O66/TrRoad_tech!O94)</f>
        <v>0.97861405290939452</v>
      </c>
      <c r="P121" s="91">
        <f>IF(TrRoad_act!P63=0,0,TrRoad_ene!P66/TrRoad_tech!P94)</f>
        <v>0.98453901330536375</v>
      </c>
      <c r="Q121" s="91">
        <f>IF(TrRoad_act!Q63=0,0,TrRoad_ene!Q66/TrRoad_tech!Q94)</f>
        <v>0.98982117861657481</v>
      </c>
      <c r="R121" s="91">
        <f>IF(TrRoad_act!R63=0,0,TrRoad_ene!R66/TrRoad_tech!R94)</f>
        <v>1.0373713478068289</v>
      </c>
      <c r="S121" s="91">
        <f>IF(TrRoad_act!S63=0,0,TrRoad_ene!S66/TrRoad_tech!S94)</f>
        <v>1.0405012550245647</v>
      </c>
      <c r="T121" s="91">
        <f>IF(TrRoad_act!T63=0,0,TrRoad_ene!T66/TrRoad_tech!T94)</f>
        <v>1.0453753922735434</v>
      </c>
      <c r="U121" s="91">
        <f>IF(TrRoad_act!U63=0,0,TrRoad_ene!U66/TrRoad_tech!U94)</f>
        <v>1.049872320018691</v>
      </c>
      <c r="V121" s="91">
        <f>IF(TrRoad_act!V63=0,0,TrRoad_ene!V66/TrRoad_tech!V94)</f>
        <v>1.0543211846458187</v>
      </c>
      <c r="W121" s="91">
        <f>IF(TrRoad_act!W63=0,0,TrRoad_ene!W66/TrRoad_tech!W94)</f>
        <v>1.0461043370536687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1.0511111111157001</v>
      </c>
      <c r="L122" s="91">
        <f>IF(TrRoad_act!L64=0,0,TrRoad_ene!L67/TrRoad_tech!L95)</f>
        <v>1.0518478927585679</v>
      </c>
      <c r="M122" s="91">
        <f>IF(TrRoad_act!M64=0,0,TrRoad_ene!M67/TrRoad_tech!M95)</f>
        <v>1.0518686116174976</v>
      </c>
      <c r="N122" s="91">
        <f>IF(TrRoad_act!N64=0,0,TrRoad_ene!N67/TrRoad_tech!N95)</f>
        <v>1.0536214110034052</v>
      </c>
      <c r="O122" s="91">
        <f>IF(TrRoad_act!O64=0,0,TrRoad_ene!O67/TrRoad_tech!O95)</f>
        <v>1.0546391888508724</v>
      </c>
      <c r="P122" s="91">
        <f>IF(TrRoad_act!P64=0,0,TrRoad_ene!P67/TrRoad_tech!P95)</f>
        <v>1.0579270857755274</v>
      </c>
      <c r="Q122" s="91">
        <f>IF(TrRoad_act!Q64=0,0,TrRoad_ene!Q67/TrRoad_tech!Q95)</f>
        <v>1.0582192852549974</v>
      </c>
      <c r="R122" s="91">
        <f>IF(TrRoad_act!R64=0,0,TrRoad_ene!R67/TrRoad_tech!R95)</f>
        <v>1.0621690064202134</v>
      </c>
      <c r="S122" s="91">
        <f>IF(TrRoad_act!S64=0,0,TrRoad_ene!S67/TrRoad_tech!S95)</f>
        <v>1.0698661292122609</v>
      </c>
      <c r="T122" s="91">
        <f>IF(TrRoad_act!T64=0,0,TrRoad_ene!T67/TrRoad_tech!T95)</f>
        <v>1.0715978337246324</v>
      </c>
      <c r="U122" s="91">
        <f>IF(TrRoad_act!U64=0,0,TrRoad_ene!U67/TrRoad_tech!U95)</f>
        <v>1.0726164172913013</v>
      </c>
      <c r="V122" s="91">
        <f>IF(TrRoad_act!V64=0,0,TrRoad_ene!V67/TrRoad_tech!V95)</f>
        <v>1.072951086920338</v>
      </c>
      <c r="W122" s="91">
        <f>IF(TrRoad_act!W64=0,0,TrRoad_ene!W67/TrRoad_tech!W95)</f>
        <v>1.0736316758090758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0</v>
      </c>
      <c r="P123" s="91">
        <f>IF(TrRoad_act!P65=0,0,TrRoad_ene!P68/TrRoad_tech!P96)</f>
        <v>1.1116019495766827</v>
      </c>
      <c r="Q123" s="91">
        <f>IF(TrRoad_act!Q65=0,0,TrRoad_ene!Q68/TrRoad_tech!Q96)</f>
        <v>1.1219565003190823</v>
      </c>
      <c r="R123" s="91">
        <f>IF(TrRoad_act!R65=0,0,TrRoad_ene!R68/TrRoad_tech!R96)</f>
        <v>1.1085807335970097</v>
      </c>
      <c r="S123" s="91">
        <f>IF(TrRoad_act!S65=0,0,TrRoad_ene!S68/TrRoad_tech!S96)</f>
        <v>1.090840482213904</v>
      </c>
      <c r="T123" s="91">
        <f>IF(TrRoad_act!T65=0,0,TrRoad_ene!T68/TrRoad_tech!T96)</f>
        <v>1.0609612409751117</v>
      </c>
      <c r="U123" s="91">
        <f>IF(TrRoad_act!U65=0,0,TrRoad_ene!U68/TrRoad_tech!U96)</f>
        <v>1.1040834151183776</v>
      </c>
      <c r="V123" s="91">
        <f>IF(TrRoad_act!V65=0,0,TrRoad_ene!V68/TrRoad_tech!V96)</f>
        <v>1.1475767984034972</v>
      </c>
      <c r="W123" s="91">
        <f>IF(TrRoad_act!W65=0,0,TrRoad_ene!W68/TrRoad_tech!W96)</f>
        <v>1.1320943907002101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1.0655555555606795</v>
      </c>
      <c r="O124" s="91">
        <f>IF(TrRoad_act!O66=0,0,TrRoad_ene!O69/TrRoad_tech!O97)</f>
        <v>1.0663369922246597</v>
      </c>
      <c r="P124" s="91">
        <f>IF(TrRoad_act!P66=0,0,TrRoad_ene!P69/TrRoad_tech!P97)</f>
        <v>1.0725059253552494</v>
      </c>
      <c r="Q124" s="91">
        <f>IF(TrRoad_act!Q66=0,0,TrRoad_ene!Q69/TrRoad_tech!Q97)</f>
        <v>1.0781451046294888</v>
      </c>
      <c r="R124" s="91">
        <f>IF(TrRoad_act!R66=0,0,TrRoad_ene!R69/TrRoad_tech!R97)</f>
        <v>1.0812832903071317</v>
      </c>
      <c r="S124" s="91">
        <f>IF(TrRoad_act!S66=0,0,TrRoad_ene!S69/TrRoad_tech!S97)</f>
        <v>1.0835658935409125</v>
      </c>
      <c r="T124" s="91">
        <f>IF(TrRoad_act!T66=0,0,TrRoad_ene!T69/TrRoad_tech!T97)</f>
        <v>1.0887937090745148</v>
      </c>
      <c r="U124" s="91">
        <f>IF(TrRoad_act!U66=0,0,TrRoad_ene!U69/TrRoad_tech!U97)</f>
        <v>1.0926551352435154</v>
      </c>
      <c r="V124" s="91">
        <f>IF(TrRoad_act!V66=0,0,TrRoad_ene!V69/TrRoad_tech!V97)</f>
        <v>1.0956281690937584</v>
      </c>
      <c r="W124" s="91">
        <f>IF(TrRoad_act!W66=0,0,TrRoad_ene!W69/TrRoad_tech!W97)</f>
        <v>1.0975600689957592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1.0478268791938021</v>
      </c>
      <c r="C125" s="151">
        <f>IF(TrRoad_act!C67=0,0,TrRoad_ene!C70/TrRoad_tech!C98)</f>
        <v>1.0168605809458662</v>
      </c>
      <c r="D125" s="151">
        <f>IF(TrRoad_act!D67=0,0,TrRoad_ene!D70/TrRoad_tech!D98)</f>
        <v>1.0286686161435192</v>
      </c>
      <c r="E125" s="151">
        <f>IF(TrRoad_act!E67=0,0,TrRoad_ene!E70/TrRoad_tech!E98)</f>
        <v>1.0539498197410166</v>
      </c>
      <c r="F125" s="151">
        <f>IF(TrRoad_act!F67=0,0,TrRoad_ene!F70/TrRoad_tech!F98)</f>
        <v>1.0503902673839149</v>
      </c>
      <c r="G125" s="151">
        <f>IF(TrRoad_act!G67=0,0,TrRoad_ene!G70/TrRoad_tech!G98)</f>
        <v>1.062287966886019</v>
      </c>
      <c r="H125" s="151">
        <f>IF(TrRoad_act!H67=0,0,TrRoad_ene!H70/TrRoad_tech!H98)</f>
        <v>1.0805179654780042</v>
      </c>
      <c r="I125" s="151">
        <f>IF(TrRoad_act!I67=0,0,TrRoad_ene!I70/TrRoad_tech!I98)</f>
        <v>1.1220717666181474</v>
      </c>
      <c r="J125" s="151">
        <f>IF(TrRoad_act!J67=0,0,TrRoad_ene!J70/TrRoad_tech!J98)</f>
        <v>1.1395422229571939</v>
      </c>
      <c r="K125" s="151">
        <f>IF(TrRoad_act!K67=0,0,TrRoad_ene!K70/TrRoad_tech!K98)</f>
        <v>1.1913940578708138</v>
      </c>
      <c r="L125" s="151">
        <f>IF(TrRoad_act!L67=0,0,TrRoad_ene!L70/TrRoad_tech!L98)</f>
        <v>1.1986116608711346</v>
      </c>
      <c r="M125" s="151">
        <f>IF(TrRoad_act!M67=0,0,TrRoad_ene!M70/TrRoad_tech!M98)</f>
        <v>1.184947500647469</v>
      </c>
      <c r="N125" s="151">
        <f>IF(TrRoad_act!N67=0,0,TrRoad_ene!N70/TrRoad_tech!N98)</f>
        <v>1.2189173024925375</v>
      </c>
      <c r="O125" s="151">
        <f>IF(TrRoad_act!O67=0,0,TrRoad_ene!O70/TrRoad_tech!O98)</f>
        <v>1.2382600159424086</v>
      </c>
      <c r="P125" s="151">
        <f>IF(TrRoad_act!P67=0,0,TrRoad_ene!P70/TrRoad_tech!P98)</f>
        <v>1.2336416798231085</v>
      </c>
      <c r="Q125" s="151">
        <f>IF(TrRoad_act!Q67=0,0,TrRoad_ene!Q70/TrRoad_tech!Q98)</f>
        <v>1.2648796110054155</v>
      </c>
      <c r="R125" s="151">
        <f>IF(TrRoad_act!R67=0,0,TrRoad_ene!R70/TrRoad_tech!R98)</f>
        <v>1.2282894189035825</v>
      </c>
      <c r="S125" s="151">
        <f>IF(TrRoad_act!S67=0,0,TrRoad_ene!S70/TrRoad_tech!S98)</f>
        <v>1.2743779338605778</v>
      </c>
      <c r="T125" s="151">
        <f>IF(TrRoad_act!T67=0,0,TrRoad_ene!T70/TrRoad_tech!T98)</f>
        <v>1.2429814408122166</v>
      </c>
      <c r="U125" s="151">
        <f>IF(TrRoad_act!U67=0,0,TrRoad_ene!U70/TrRoad_tech!U98)</f>
        <v>1.3363807249408393</v>
      </c>
      <c r="V125" s="151">
        <f>IF(TrRoad_act!V67=0,0,TrRoad_ene!V70/TrRoad_tech!V98)</f>
        <v>1.3607470947739597</v>
      </c>
      <c r="W125" s="151">
        <f>IF(TrRoad_act!W67=0,0,TrRoad_ene!W70/TrRoad_tech!W98)</f>
        <v>1.3502421601259058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1.100518343941872</v>
      </c>
      <c r="D126" s="93">
        <f>IF(TrRoad_act!D68=0,0,TrRoad_ene!D71/TrRoad_tech!D99)</f>
        <v>1.1016390254769193</v>
      </c>
      <c r="E126" s="93">
        <f>IF(TrRoad_act!E68=0,0,TrRoad_ene!E71/TrRoad_tech!E99)</f>
        <v>1.1021632348603274</v>
      </c>
      <c r="F126" s="93">
        <f>IF(TrRoad_act!F68=0,0,TrRoad_ene!F71/TrRoad_tech!F99)</f>
        <v>1.1030323751985429</v>
      </c>
      <c r="G126" s="93">
        <f>IF(TrRoad_act!G68=0,0,TrRoad_ene!G71/TrRoad_tech!G99)</f>
        <v>1.106121274008202</v>
      </c>
      <c r="H126" s="93">
        <f>IF(TrRoad_act!H68=0,0,TrRoad_ene!H71/TrRoad_tech!H99)</f>
        <v>1.1111772049088759</v>
      </c>
      <c r="I126" s="93">
        <f>IF(TrRoad_act!I68=0,0,TrRoad_ene!I71/TrRoad_tech!I99)</f>
        <v>1.1117636254100707</v>
      </c>
      <c r="J126" s="93">
        <f>IF(TrRoad_act!J68=0,0,TrRoad_ene!J71/TrRoad_tech!J99)</f>
        <v>1.1237718707311557</v>
      </c>
      <c r="K126" s="93">
        <f>IF(TrRoad_act!K68=0,0,TrRoad_ene!K71/TrRoad_tech!K99)</f>
        <v>1.1248490298086693</v>
      </c>
      <c r="L126" s="93">
        <f>IF(TrRoad_act!L68=0,0,TrRoad_ene!L71/TrRoad_tech!L99)</f>
        <v>1.1283956512078861</v>
      </c>
      <c r="M126" s="93">
        <f>IF(TrRoad_act!M68=0,0,TrRoad_ene!M71/TrRoad_tech!M99)</f>
        <v>1.1300936280690073</v>
      </c>
      <c r="N126" s="93">
        <f>IF(TrRoad_act!N68=0,0,TrRoad_ene!N71/TrRoad_tech!N99)</f>
        <v>1.1385591854887813</v>
      </c>
      <c r="O126" s="93">
        <f>IF(TrRoad_act!O68=0,0,TrRoad_ene!O71/TrRoad_tech!O99)</f>
        <v>1.1697332803824534</v>
      </c>
      <c r="P126" s="93">
        <f>IF(TrRoad_act!P68=0,0,TrRoad_ene!P71/TrRoad_tech!P99)</f>
        <v>1.1723953668055676</v>
      </c>
      <c r="Q126" s="93">
        <f>IF(TrRoad_act!Q68=0,0,TrRoad_ene!Q71/TrRoad_tech!Q99)</f>
        <v>1.1771367924613998</v>
      </c>
      <c r="R126" s="93">
        <f>IF(TrRoad_act!R68=0,0,TrRoad_ene!R71/TrRoad_tech!R99)</f>
        <v>1.1788850322067455</v>
      </c>
      <c r="S126" s="93">
        <f>IF(TrRoad_act!S68=0,0,TrRoad_ene!S71/TrRoad_tech!S99)</f>
        <v>1.1806688434181305</v>
      </c>
      <c r="T126" s="93">
        <f>IF(TrRoad_act!T68=0,0,TrRoad_ene!T71/TrRoad_tech!T99)</f>
        <v>1.1825397115184375</v>
      </c>
      <c r="U126" s="93">
        <f>IF(TrRoad_act!U68=0,0,TrRoad_ene!U71/TrRoad_tech!U99)</f>
        <v>1.1864828127673581</v>
      </c>
      <c r="V126" s="93">
        <f>IF(TrRoad_act!V68=0,0,TrRoad_ene!V71/TrRoad_tech!V99)</f>
        <v>1.188655987411557</v>
      </c>
      <c r="W126" s="93">
        <f>IF(TrRoad_act!W68=0,0,TrRoad_ene!W71/TrRoad_tech!W99)</f>
        <v>1.1916042219619511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1.0465995483498152</v>
      </c>
      <c r="C127" s="93">
        <f>IF(TrRoad_act!C69=0,0,TrRoad_ene!C72/TrRoad_tech!C100)</f>
        <v>1.0208319764878315</v>
      </c>
      <c r="D127" s="93">
        <f>IF(TrRoad_act!D69=0,0,TrRoad_ene!D72/TrRoad_tech!D100)</f>
        <v>1.0350679957576778</v>
      </c>
      <c r="E127" s="93">
        <f>IF(TrRoad_act!E69=0,0,TrRoad_ene!E72/TrRoad_tech!E100)</f>
        <v>1.0628071159975374</v>
      </c>
      <c r="F127" s="93">
        <f>IF(TrRoad_act!F69=0,0,TrRoad_ene!F72/TrRoad_tech!F100)</f>
        <v>1.061000588063294</v>
      </c>
      <c r="G127" s="93">
        <f>IF(TrRoad_act!G69=0,0,TrRoad_ene!G72/TrRoad_tech!G100)</f>
        <v>1.0742966869563455</v>
      </c>
      <c r="H127" s="93">
        <f>IF(TrRoad_act!H69=0,0,TrRoad_ene!H72/TrRoad_tech!H100)</f>
        <v>1.0934913912104114</v>
      </c>
      <c r="I127" s="93">
        <f>IF(TrRoad_act!I69=0,0,TrRoad_ene!I72/TrRoad_tech!I100)</f>
        <v>1.1360201600285591</v>
      </c>
      <c r="J127" s="93">
        <f>IF(TrRoad_act!J69=0,0,TrRoad_ene!J72/TrRoad_tech!J100)</f>
        <v>1.1530679808100752</v>
      </c>
      <c r="K127" s="93">
        <f>IF(TrRoad_act!K69=0,0,TrRoad_ene!K72/TrRoad_tech!K100)</f>
        <v>1.2012321055460347</v>
      </c>
      <c r="L127" s="93">
        <f>IF(TrRoad_act!L69=0,0,TrRoad_ene!L72/TrRoad_tech!L100)</f>
        <v>1.2024752060641291</v>
      </c>
      <c r="M127" s="93">
        <f>IF(TrRoad_act!M69=0,0,TrRoad_ene!M72/TrRoad_tech!M100)</f>
        <v>1.1974652368075902</v>
      </c>
      <c r="N127" s="93">
        <f>IF(TrRoad_act!N69=0,0,TrRoad_ene!N72/TrRoad_tech!N100)</f>
        <v>1.2292761437402777</v>
      </c>
      <c r="O127" s="93">
        <f>IF(TrRoad_act!O69=0,0,TrRoad_ene!O72/TrRoad_tech!O100)</f>
        <v>1.2463258928293763</v>
      </c>
      <c r="P127" s="93">
        <f>IF(TrRoad_act!P69=0,0,TrRoad_ene!P72/TrRoad_tech!P100)</f>
        <v>1.2403723879362789</v>
      </c>
      <c r="Q127" s="93">
        <f>IF(TrRoad_act!Q69=0,0,TrRoad_ene!Q72/TrRoad_tech!Q100)</f>
        <v>1.2704663951184632</v>
      </c>
      <c r="R127" s="93">
        <f>IF(TrRoad_act!R69=0,0,TrRoad_ene!R72/TrRoad_tech!R100)</f>
        <v>1.2312232834365791</v>
      </c>
      <c r="S127" s="93">
        <f>IF(TrRoad_act!S69=0,0,TrRoad_ene!S72/TrRoad_tech!S100)</f>
        <v>1.279659317912021</v>
      </c>
      <c r="T127" s="93">
        <f>IF(TrRoad_act!T69=0,0,TrRoad_ene!T72/TrRoad_tech!T100)</f>
        <v>1.2468199844857499</v>
      </c>
      <c r="U127" s="93">
        <f>IF(TrRoad_act!U69=0,0,TrRoad_ene!U72/TrRoad_tech!U100)</f>
        <v>1.3451005029585346</v>
      </c>
      <c r="V127" s="93">
        <f>IF(TrRoad_act!V69=0,0,TrRoad_ene!V72/TrRoad_tech!V100)</f>
        <v>1.3688596887976157</v>
      </c>
      <c r="W127" s="93">
        <f>IF(TrRoad_act!W69=0,0,TrRoad_ene!W72/TrRoad_tech!W100)</f>
        <v>1.3599528217812551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1.1560000000067703</v>
      </c>
      <c r="J128" s="93">
        <f>IF(TrRoad_act!J70=0,0,TrRoad_ene!J73/TrRoad_tech!J101)</f>
        <v>1.1560000000067703</v>
      </c>
      <c r="K128" s="93">
        <f>IF(TrRoad_act!K70=0,0,TrRoad_ene!K73/TrRoad_tech!K101)</f>
        <v>1.1560000000067705</v>
      </c>
      <c r="L128" s="93">
        <f>IF(TrRoad_act!L70=0,0,TrRoad_ene!L73/TrRoad_tech!L101)</f>
        <v>1.1560000000067703</v>
      </c>
      <c r="M128" s="93">
        <f>IF(TrRoad_act!M70=0,0,TrRoad_ene!M73/TrRoad_tech!M101)</f>
        <v>1.1886947931870269</v>
      </c>
      <c r="N128" s="93">
        <f>IF(TrRoad_act!N70=0,0,TrRoad_ene!N73/TrRoad_tech!N101)</f>
        <v>1.1886947931870271</v>
      </c>
      <c r="O128" s="93">
        <f>IF(TrRoad_act!O70=0,0,TrRoad_ene!O73/TrRoad_tech!O101)</f>
        <v>1.2466971901477863</v>
      </c>
      <c r="P128" s="93">
        <f>IF(TrRoad_act!P70=0,0,TrRoad_ene!P73/TrRoad_tech!P101)</f>
        <v>1.250971230973277</v>
      </c>
      <c r="Q128" s="93">
        <f>IF(TrRoad_act!Q70=0,0,TrRoad_ene!Q73/TrRoad_tech!Q101)</f>
        <v>1.250971230973277</v>
      </c>
      <c r="R128" s="93">
        <f>IF(TrRoad_act!R70=0,0,TrRoad_ene!R73/TrRoad_tech!R101)</f>
        <v>1.2509712309732772</v>
      </c>
      <c r="S128" s="93">
        <f>IF(TrRoad_act!S70=0,0,TrRoad_ene!S73/TrRoad_tech!S101)</f>
        <v>1.2565555713077232</v>
      </c>
      <c r="T128" s="93">
        <f>IF(TrRoad_act!T70=0,0,TrRoad_ene!T73/TrRoad_tech!T101)</f>
        <v>1.2565555713077228</v>
      </c>
      <c r="U128" s="93">
        <f>IF(TrRoad_act!U70=0,0,TrRoad_ene!U73/TrRoad_tech!U101)</f>
        <v>1.2632559430427128</v>
      </c>
      <c r="V128" s="93">
        <f>IF(TrRoad_act!V70=0,0,TrRoad_ene!V73/TrRoad_tech!V101)</f>
        <v>1.2811688809945672</v>
      </c>
      <c r="W128" s="93">
        <f>IF(TrRoad_act!W70=0,0,TrRoad_ene!W73/TrRoad_tech!W101)</f>
        <v>1.2811688809945676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1.9639892107774359</v>
      </c>
      <c r="L129" s="93">
        <f>IF(TrRoad_act!L71=0,0,TrRoad_ene!L74/TrRoad_tech!L102)</f>
        <v>3.4517658932018138</v>
      </c>
      <c r="M129" s="93">
        <f>IF(TrRoad_act!M71=0,0,TrRoad_ene!M74/TrRoad_tech!M102)</f>
        <v>0.92091344565197253</v>
      </c>
      <c r="N129" s="93">
        <f>IF(TrRoad_act!N71=0,0,TrRoad_ene!N74/TrRoad_tech!N102)</f>
        <v>1.0439097757099411</v>
      </c>
      <c r="O129" s="93">
        <f>IF(TrRoad_act!O71=0,0,TrRoad_ene!O74/TrRoad_tech!O102)</f>
        <v>1.0710306367426932</v>
      </c>
      <c r="P129" s="93">
        <f>IF(TrRoad_act!P71=0,0,TrRoad_ene!P74/TrRoad_tech!P102)</f>
        <v>1.1099517122131617</v>
      </c>
      <c r="Q129" s="93">
        <f>IF(TrRoad_act!Q71=0,0,TrRoad_ene!Q74/TrRoad_tech!Q102)</f>
        <v>1.145295285839967</v>
      </c>
      <c r="R129" s="93">
        <f>IF(TrRoad_act!R71=0,0,TrRoad_ene!R74/TrRoad_tech!R102)</f>
        <v>1.2571819760144776</v>
      </c>
      <c r="S129" s="93">
        <f>IF(TrRoad_act!S71=0,0,TrRoad_ene!S74/TrRoad_tech!S102)</f>
        <v>1.2605449572302869</v>
      </c>
      <c r="T129" s="93">
        <f>IF(TrRoad_act!T71=0,0,TrRoad_ene!T74/TrRoad_tech!T102)</f>
        <v>1.2613470191159537</v>
      </c>
      <c r="U129" s="93">
        <f>IF(TrRoad_act!U71=0,0,TrRoad_ene!U74/TrRoad_tech!U102)</f>
        <v>1.2626174124339578</v>
      </c>
      <c r="V129" s="93">
        <f>IF(TrRoad_act!V71=0,0,TrRoad_ene!V74/TrRoad_tech!V102)</f>
        <v>1.2706166256370044</v>
      </c>
      <c r="W129" s="93">
        <f>IF(TrRoad_act!W71=0,0,TrRoad_ene!W74/TrRoad_tech!W102)</f>
        <v>1.2718330434521803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0</v>
      </c>
      <c r="Q130" s="93">
        <f>IF(TrRoad_act!Q72=0,0,TrRoad_ene!Q75/TrRoad_tech!Q103)</f>
        <v>1.3000000000070027</v>
      </c>
      <c r="R130" s="93">
        <f>IF(TrRoad_act!R72=0,0,TrRoad_ene!R75/TrRoad_tech!R103)</f>
        <v>1.3059438698856487</v>
      </c>
      <c r="S130" s="93">
        <f>IF(TrRoad_act!S72=0,0,TrRoad_ene!S75/TrRoad_tech!S103)</f>
        <v>1.3059438698856487</v>
      </c>
      <c r="T130" s="93">
        <f>IF(TrRoad_act!T72=0,0,TrRoad_ene!T75/TrRoad_tech!T103)</f>
        <v>1.3059438698856487</v>
      </c>
      <c r="U130" s="93">
        <f>IF(TrRoad_act!U72=0,0,TrRoad_ene!U75/TrRoad_tech!U103)</f>
        <v>1.3059438698856487</v>
      </c>
      <c r="V130" s="93">
        <f>IF(TrRoad_act!V72=0,0,TrRoad_ene!V75/TrRoad_tech!V103)</f>
        <v>1.3059438698856487</v>
      </c>
      <c r="W130" s="93">
        <f>IF(TrRoad_act!W72=0,0,TrRoad_ene!W75/TrRoad_tech!W103)</f>
        <v>1.3351434885048532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1.2010672961892028</v>
      </c>
      <c r="C132" s="150">
        <f>IF(TrRoad_act!C74=0,0,TrRoad_ene!C77/TrRoad_tech!C105)</f>
        <v>1.1179551559925238</v>
      </c>
      <c r="D132" s="150">
        <f>IF(TrRoad_act!D74=0,0,TrRoad_ene!D77/TrRoad_tech!D105)</f>
        <v>1.1565014317178561</v>
      </c>
      <c r="E132" s="150">
        <f>IF(TrRoad_act!E74=0,0,TrRoad_ene!E77/TrRoad_tech!E105)</f>
        <v>1.1627997191485067</v>
      </c>
      <c r="F132" s="150">
        <f>IF(TrRoad_act!F74=0,0,TrRoad_ene!F77/TrRoad_tech!F105)</f>
        <v>1.1647208003362559</v>
      </c>
      <c r="G132" s="150">
        <f>IF(TrRoad_act!G74=0,0,TrRoad_ene!G77/TrRoad_tech!G105)</f>
        <v>1.1924001635531516</v>
      </c>
      <c r="H132" s="150">
        <f>IF(TrRoad_act!H74=0,0,TrRoad_ene!H77/TrRoad_tech!H105)</f>
        <v>1.1647913986698171</v>
      </c>
      <c r="I132" s="150">
        <f>IF(TrRoad_act!I74=0,0,TrRoad_ene!I77/TrRoad_tech!I105)</f>
        <v>1.1840925603117252</v>
      </c>
      <c r="J132" s="150">
        <f>IF(TrRoad_act!J74=0,0,TrRoad_ene!J77/TrRoad_tech!J105)</f>
        <v>1.1929488070538623</v>
      </c>
      <c r="K132" s="150">
        <f>IF(TrRoad_act!K74=0,0,TrRoad_ene!K77/TrRoad_tech!K105)</f>
        <v>1.2022476873189503</v>
      </c>
      <c r="L132" s="150">
        <f>IF(TrRoad_act!L74=0,0,TrRoad_ene!L77/TrRoad_tech!L105)</f>
        <v>1.2098087941198514</v>
      </c>
      <c r="M132" s="150">
        <f>IF(TrRoad_act!M74=0,0,TrRoad_ene!M77/TrRoad_tech!M105)</f>
        <v>1.199809218748032</v>
      </c>
      <c r="N132" s="150">
        <f>IF(TrRoad_act!N74=0,0,TrRoad_ene!N77/TrRoad_tech!N105)</f>
        <v>1.2152658795102447</v>
      </c>
      <c r="O132" s="150">
        <f>IF(TrRoad_act!O74=0,0,TrRoad_ene!O77/TrRoad_tech!O105)</f>
        <v>1.1969704018588729</v>
      </c>
      <c r="P132" s="150">
        <f>IF(TrRoad_act!P74=0,0,TrRoad_ene!P77/TrRoad_tech!P105)</f>
        <v>1.1640121489011341</v>
      </c>
      <c r="Q132" s="150">
        <f>IF(TrRoad_act!Q74=0,0,TrRoad_ene!Q77/TrRoad_tech!Q105)</f>
        <v>1.1728389051348032</v>
      </c>
      <c r="R132" s="150">
        <f>IF(TrRoad_act!R74=0,0,TrRoad_ene!R77/TrRoad_tech!R105)</f>
        <v>1.1672018958792818</v>
      </c>
      <c r="S132" s="150">
        <f>IF(TrRoad_act!S74=0,0,TrRoad_ene!S77/TrRoad_tech!S105)</f>
        <v>1.2222378141031713</v>
      </c>
      <c r="T132" s="150">
        <f>IF(TrRoad_act!T74=0,0,TrRoad_ene!T77/TrRoad_tech!T105)</f>
        <v>1.2078359220136856</v>
      </c>
      <c r="U132" s="150">
        <f>IF(TrRoad_act!U74=0,0,TrRoad_ene!U77/TrRoad_tech!U105)</f>
        <v>1.2470835625743277</v>
      </c>
      <c r="V132" s="150">
        <f>IF(TrRoad_act!V74=0,0,TrRoad_ene!V77/TrRoad_tech!V105)</f>
        <v>1.2551319938593961</v>
      </c>
      <c r="W132" s="150">
        <f>IF(TrRoad_act!W74=0,0,TrRoad_ene!W77/TrRoad_tech!W105)</f>
        <v>1.2838484785400059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1.1001653032922214</v>
      </c>
      <c r="D133" s="91">
        <f>IF(TrRoad_act!D75=0,0,TrRoad_ene!D78/TrRoad_tech!D106)</f>
        <v>1.1002775225895218</v>
      </c>
      <c r="E133" s="91">
        <f>IF(TrRoad_act!E75=0,0,TrRoad_ene!E78/TrRoad_tech!E106)</f>
        <v>1.1004319997319414</v>
      </c>
      <c r="F133" s="91">
        <f>IF(TrRoad_act!F75=0,0,TrRoad_ene!F78/TrRoad_tech!F106)</f>
        <v>1.1006011027938212</v>
      </c>
      <c r="G133" s="91">
        <f>IF(TrRoad_act!G75=0,0,TrRoad_ene!G78/TrRoad_tech!G106)</f>
        <v>1.1008628731486969</v>
      </c>
      <c r="H133" s="91">
        <f>IF(TrRoad_act!H75=0,0,TrRoad_ene!H78/TrRoad_tech!H106)</f>
        <v>1.1016816442515049</v>
      </c>
      <c r="I133" s="91">
        <f>IF(TrRoad_act!I75=0,0,TrRoad_ene!I78/TrRoad_tech!I106)</f>
        <v>1.1033867445315182</v>
      </c>
      <c r="J133" s="91">
        <f>IF(TrRoad_act!J75=0,0,TrRoad_ene!J78/TrRoad_tech!J106)</f>
        <v>1.1056778258590869</v>
      </c>
      <c r="K133" s="91">
        <f>IF(TrRoad_act!K75=0,0,TrRoad_ene!K78/TrRoad_tech!K106)</f>
        <v>1.1083359399011272</v>
      </c>
      <c r="L133" s="91">
        <f>IF(TrRoad_act!L75=0,0,TrRoad_ene!L78/TrRoad_tech!L106)</f>
        <v>1.1105036809634066</v>
      </c>
      <c r="M133" s="91">
        <f>IF(TrRoad_act!M75=0,0,TrRoad_ene!M78/TrRoad_tech!M106)</f>
        <v>1.1121993233579899</v>
      </c>
      <c r="N133" s="91">
        <f>IF(TrRoad_act!N75=0,0,TrRoad_ene!N78/TrRoad_tech!N106)</f>
        <v>1.1177018659107578</v>
      </c>
      <c r="O133" s="91">
        <f>IF(TrRoad_act!O75=0,0,TrRoad_ene!O78/TrRoad_tech!O106)</f>
        <v>1.1201894205462073</v>
      </c>
      <c r="P133" s="91">
        <f>IF(TrRoad_act!P75=0,0,TrRoad_ene!P78/TrRoad_tech!P106)</f>
        <v>1.1251801097840068</v>
      </c>
      <c r="Q133" s="91">
        <f>IF(TrRoad_act!Q75=0,0,TrRoad_ene!Q78/TrRoad_tech!Q106)</f>
        <v>1.1349189805062905</v>
      </c>
      <c r="R133" s="91">
        <f>IF(TrRoad_act!R75=0,0,TrRoad_ene!R78/TrRoad_tech!R106)</f>
        <v>1.1466455197157726</v>
      </c>
      <c r="S133" s="91">
        <f>IF(TrRoad_act!S75=0,0,TrRoad_ene!S78/TrRoad_tech!S106)</f>
        <v>1.1588962022986427</v>
      </c>
      <c r="T133" s="91">
        <f>IF(TrRoad_act!T75=0,0,TrRoad_ene!T78/TrRoad_tech!T106)</f>
        <v>1.1704696143984636</v>
      </c>
      <c r="U133" s="91">
        <f>IF(TrRoad_act!U75=0,0,TrRoad_ene!U78/TrRoad_tech!U106)</f>
        <v>1.1823597039824376</v>
      </c>
      <c r="V133" s="91">
        <f>IF(TrRoad_act!V75=0,0,TrRoad_ene!V78/TrRoad_tech!V106)</f>
        <v>1.1924243666137639</v>
      </c>
      <c r="W133" s="91">
        <f>IF(TrRoad_act!W75=0,0,TrRoad_ene!W78/TrRoad_tech!W106)</f>
        <v>1.2094061085621615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1.2226583829380728</v>
      </c>
      <c r="C134" s="91">
        <f>IF(TrRoad_act!C76=0,0,TrRoad_ene!C79/TrRoad_tech!C107)</f>
        <v>1.1338438062225666</v>
      </c>
      <c r="D134" s="91">
        <f>IF(TrRoad_act!D76=0,0,TrRoad_ene!D79/TrRoad_tech!D107)</f>
        <v>1.1824057814982107</v>
      </c>
      <c r="E134" s="91">
        <f>IF(TrRoad_act!E76=0,0,TrRoad_ene!E79/TrRoad_tech!E107)</f>
        <v>1.1900685409200589</v>
      </c>
      <c r="F134" s="91">
        <f>IF(TrRoad_act!F76=0,0,TrRoad_ene!F79/TrRoad_tech!F107)</f>
        <v>1.1915061268026064</v>
      </c>
      <c r="G134" s="91">
        <f>IF(TrRoad_act!G76=0,0,TrRoad_ene!G79/TrRoad_tech!G107)</f>
        <v>1.2218622595620956</v>
      </c>
      <c r="H134" s="91">
        <f>IF(TrRoad_act!H76=0,0,TrRoad_ene!H79/TrRoad_tech!H107)</f>
        <v>1.1895956810845447</v>
      </c>
      <c r="I134" s="91">
        <f>IF(TrRoad_act!I76=0,0,TrRoad_ene!I79/TrRoad_tech!I107)</f>
        <v>1.2065882824806937</v>
      </c>
      <c r="J134" s="91">
        <f>IF(TrRoad_act!J76=0,0,TrRoad_ene!J79/TrRoad_tech!J107)</f>
        <v>1.2149693793675345</v>
      </c>
      <c r="K134" s="91">
        <f>IF(TrRoad_act!K76=0,0,TrRoad_ene!K79/TrRoad_tech!K107)</f>
        <v>1.2230052232273116</v>
      </c>
      <c r="L134" s="91">
        <f>IF(TrRoad_act!L76=0,0,TrRoad_ene!L79/TrRoad_tech!L107)</f>
        <v>1.2288023661420542</v>
      </c>
      <c r="M134" s="91">
        <f>IF(TrRoad_act!M76=0,0,TrRoad_ene!M79/TrRoad_tech!M107)</f>
        <v>1.2169926432647742</v>
      </c>
      <c r="N134" s="91">
        <f>IF(TrRoad_act!N76=0,0,TrRoad_ene!N79/TrRoad_tech!N107)</f>
        <v>1.227681229511423</v>
      </c>
      <c r="O134" s="91">
        <f>IF(TrRoad_act!O76=0,0,TrRoad_ene!O79/TrRoad_tech!O107)</f>
        <v>1.2087336040754539</v>
      </c>
      <c r="P134" s="91">
        <f>IF(TrRoad_act!P76=0,0,TrRoad_ene!P79/TrRoad_tech!P107)</f>
        <v>1.1764677825837939</v>
      </c>
      <c r="Q134" s="91">
        <f>IF(TrRoad_act!Q76=0,0,TrRoad_ene!Q79/TrRoad_tech!Q107)</f>
        <v>1.1930313724372976</v>
      </c>
      <c r="R134" s="91">
        <f>IF(TrRoad_act!R76=0,0,TrRoad_ene!R79/TrRoad_tech!R107)</f>
        <v>1.1882893075017695</v>
      </c>
      <c r="S134" s="91">
        <f>IF(TrRoad_act!S76=0,0,TrRoad_ene!S79/TrRoad_tech!S107)</f>
        <v>1.2437858576879297</v>
      </c>
      <c r="T134" s="91">
        <f>IF(TrRoad_act!T76=0,0,TrRoad_ene!T79/TrRoad_tech!T107)</f>
        <v>1.226852078632291</v>
      </c>
      <c r="U134" s="91">
        <f>IF(TrRoad_act!U76=0,0,TrRoad_ene!U79/TrRoad_tech!U107)</f>
        <v>1.267828718749644</v>
      </c>
      <c r="V134" s="91">
        <f>IF(TrRoad_act!V76=0,0,TrRoad_ene!V79/TrRoad_tech!V107)</f>
        <v>1.2740483851156885</v>
      </c>
      <c r="W134" s="91">
        <f>IF(TrRoad_act!W76=0,0,TrRoad_ene!W79/TrRoad_tech!W107)</f>
        <v>1.3021166253024052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1.1176967558015221</v>
      </c>
      <c r="J135" s="91">
        <f>IF(TrRoad_act!J77=0,0,TrRoad_ene!J80/TrRoad_tech!J108)</f>
        <v>1.1226494017848361</v>
      </c>
      <c r="K135" s="91">
        <f>IF(TrRoad_act!K77=0,0,TrRoad_ene!K80/TrRoad_tech!K108)</f>
        <v>1.1251715510203193</v>
      </c>
      <c r="L135" s="91">
        <f>IF(TrRoad_act!L77=0,0,TrRoad_ene!L80/TrRoad_tech!L108)</f>
        <v>1.125491188030648</v>
      </c>
      <c r="M135" s="91">
        <f>IF(TrRoad_act!M77=0,0,TrRoad_ene!M80/TrRoad_tech!M108)</f>
        <v>1.1259676812884287</v>
      </c>
      <c r="N135" s="91">
        <f>IF(TrRoad_act!N77=0,0,TrRoad_ene!N80/TrRoad_tech!N108)</f>
        <v>1.1262409307998809</v>
      </c>
      <c r="O135" s="91">
        <f>IF(TrRoad_act!O77=0,0,TrRoad_ene!O80/TrRoad_tech!O108)</f>
        <v>1.1307123508621852</v>
      </c>
      <c r="P135" s="91">
        <f>IF(TrRoad_act!P77=0,0,TrRoad_ene!P80/TrRoad_tech!P108)</f>
        <v>1.1405114405003391</v>
      </c>
      <c r="Q135" s="91">
        <f>IF(TrRoad_act!Q77=0,0,TrRoad_ene!Q80/TrRoad_tech!Q108)</f>
        <v>1.1478874727486794</v>
      </c>
      <c r="R135" s="91">
        <f>IF(TrRoad_act!R77=0,0,TrRoad_ene!R80/TrRoad_tech!R108)</f>
        <v>1.1558498986669992</v>
      </c>
      <c r="S135" s="91">
        <f>IF(TrRoad_act!S77=0,0,TrRoad_ene!S80/TrRoad_tech!S108)</f>
        <v>1.1688645968257381</v>
      </c>
      <c r="T135" s="91">
        <f>IF(TrRoad_act!T77=0,0,TrRoad_ene!T80/TrRoad_tech!T108)</f>
        <v>1.1799743917001397</v>
      </c>
      <c r="U135" s="91">
        <f>IF(TrRoad_act!U77=0,0,TrRoad_ene!U80/TrRoad_tech!U108)</f>
        <v>1.1908036295945255</v>
      </c>
      <c r="V135" s="91">
        <f>IF(TrRoad_act!V77=0,0,TrRoad_ene!V80/TrRoad_tech!V108)</f>
        <v>1.1961823190059069</v>
      </c>
      <c r="W135" s="91">
        <f>IF(TrRoad_act!W77=0,0,TrRoad_ene!W80/TrRoad_tech!W108)</f>
        <v>1.2113053523257269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1.1840000000065631</v>
      </c>
      <c r="L136" s="91">
        <f>IF(TrRoad_act!L78=0,0,TrRoad_ene!L81/TrRoad_tech!L109)</f>
        <v>1.1865438898273057</v>
      </c>
      <c r="M136" s="91">
        <f>IF(TrRoad_act!M78=0,0,TrRoad_ene!M81/TrRoad_tech!M109)</f>
        <v>1.1885539307975281</v>
      </c>
      <c r="N136" s="91">
        <f>IF(TrRoad_act!N78=0,0,TrRoad_ene!N81/TrRoad_tech!N109)</f>
        <v>1.2028359271150515</v>
      </c>
      <c r="O136" s="91">
        <f>IF(TrRoad_act!O78=0,0,TrRoad_ene!O81/TrRoad_tech!O109)</f>
        <v>1.2028359271150511</v>
      </c>
      <c r="P136" s="91">
        <f>IF(TrRoad_act!P78=0,0,TrRoad_ene!P81/TrRoad_tech!P109)</f>
        <v>1.2097512145969689</v>
      </c>
      <c r="Q136" s="91">
        <f>IF(TrRoad_act!Q78=0,0,TrRoad_ene!Q81/TrRoad_tech!Q109)</f>
        <v>1.214716899621183</v>
      </c>
      <c r="R136" s="91">
        <f>IF(TrRoad_act!R78=0,0,TrRoad_ene!R81/TrRoad_tech!R109)</f>
        <v>1.2268231072362441</v>
      </c>
      <c r="S136" s="91">
        <f>IF(TrRoad_act!S78=0,0,TrRoad_ene!S81/TrRoad_tech!S109)</f>
        <v>1.2514599200751442</v>
      </c>
      <c r="T136" s="91">
        <f>IF(TrRoad_act!T78=0,0,TrRoad_ene!T81/TrRoad_tech!T109)</f>
        <v>1.2570983433876046</v>
      </c>
      <c r="U136" s="91">
        <f>IF(TrRoad_act!U78=0,0,TrRoad_ene!U81/TrRoad_tech!U109)</f>
        <v>1.2588714606402471</v>
      </c>
      <c r="V136" s="91">
        <f>IF(TrRoad_act!V78=0,0,TrRoad_ene!V81/TrRoad_tech!V109)</f>
        <v>1.2634067203834942</v>
      </c>
      <c r="W136" s="91">
        <f>IF(TrRoad_act!W78=0,0,TrRoad_ene!W81/TrRoad_tech!W109)</f>
        <v>1.2717180367536907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1.1160000000058976</v>
      </c>
      <c r="F137" s="91">
        <f>IF(TrRoad_act!F79=0,0,TrRoad_ene!F82/TrRoad_tech!F110)</f>
        <v>1.1160000000058972</v>
      </c>
      <c r="G137" s="91">
        <f>IF(TrRoad_act!G79=0,0,TrRoad_ene!G82/TrRoad_tech!G110)</f>
        <v>1.1217580792743895</v>
      </c>
      <c r="H137" s="91">
        <f>IF(TrRoad_act!H79=0,0,TrRoad_ene!H82/TrRoad_tech!H110)</f>
        <v>1.1217580792743893</v>
      </c>
      <c r="I137" s="91">
        <f>IF(TrRoad_act!I79=0,0,TrRoad_ene!I82/TrRoad_tech!I110)</f>
        <v>1.1217580792743893</v>
      </c>
      <c r="J137" s="91">
        <f>IF(TrRoad_act!J79=0,0,TrRoad_ene!J82/TrRoad_tech!J110)</f>
        <v>1.1416384226660996</v>
      </c>
      <c r="K137" s="91">
        <f>IF(TrRoad_act!K79=0,0,TrRoad_ene!K82/TrRoad_tech!K110)</f>
        <v>1.1491229128185334</v>
      </c>
      <c r="L137" s="91">
        <f>IF(TrRoad_act!L79=0,0,TrRoad_ene!L82/TrRoad_tech!L110)</f>
        <v>1.1491229128185336</v>
      </c>
      <c r="M137" s="91">
        <f>IF(TrRoad_act!M79=0,0,TrRoad_ene!M82/TrRoad_tech!M110)</f>
        <v>1.1554335162397453</v>
      </c>
      <c r="N137" s="91">
        <f>IF(TrRoad_act!N79=0,0,TrRoad_ene!N82/TrRoad_tech!N110)</f>
        <v>1.1807160527778833</v>
      </c>
      <c r="O137" s="91">
        <f>IF(TrRoad_act!O79=0,0,TrRoad_ene!O82/TrRoad_tech!O110)</f>
        <v>1.1807160527778833</v>
      </c>
      <c r="P137" s="91">
        <f>IF(TrRoad_act!P79=0,0,TrRoad_ene!P82/TrRoad_tech!P110)</f>
        <v>1.1947729858989047</v>
      </c>
      <c r="Q137" s="91">
        <f>IF(TrRoad_act!Q79=0,0,TrRoad_ene!Q82/TrRoad_tech!Q110)</f>
        <v>1.2807265724943169</v>
      </c>
      <c r="R137" s="91">
        <f>IF(TrRoad_act!R79=0,0,TrRoad_ene!R82/TrRoad_tech!R110)</f>
        <v>1.2931390869898036</v>
      </c>
      <c r="S137" s="91">
        <f>IF(TrRoad_act!S79=0,0,TrRoad_ene!S82/TrRoad_tech!S110)</f>
        <v>1.2992899643422731</v>
      </c>
      <c r="T137" s="91">
        <f>IF(TrRoad_act!T79=0,0,TrRoad_ene!T82/TrRoad_tech!T110)</f>
        <v>1.3056885524130306</v>
      </c>
      <c r="U137" s="91">
        <f>IF(TrRoad_act!U79=0,0,TrRoad_ene!U82/TrRoad_tech!U110)</f>
        <v>1.3309727975191268</v>
      </c>
      <c r="V137" s="91">
        <f>IF(TrRoad_act!V79=0,0,TrRoad_ene!V82/TrRoad_tech!V110)</f>
        <v>1.3453468951952616</v>
      </c>
      <c r="W137" s="91">
        <f>IF(TrRoad_act!W79=0,0,TrRoad_ene!W82/TrRoad_tech!W110)</f>
        <v>1.3545737831225111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0.89539739357608361</v>
      </c>
      <c r="C138" s="151">
        <f>IF(TrRoad_act!C80=0,0,TrRoad_ene!C83/TrRoad_tech!C111)</f>
        <v>0.74386270511506525</v>
      </c>
      <c r="D138" s="151">
        <f>IF(TrRoad_act!D80=0,0,TrRoad_ene!D83/TrRoad_tech!D111)</f>
        <v>0.89550092171081086</v>
      </c>
      <c r="E138" s="151">
        <f>IF(TrRoad_act!E80=0,0,TrRoad_ene!E83/TrRoad_tech!E111)</f>
        <v>0.93304672423262958</v>
      </c>
      <c r="F138" s="151">
        <f>IF(TrRoad_act!F80=0,0,TrRoad_ene!F83/TrRoad_tech!F111)</f>
        <v>0.94117896831085213</v>
      </c>
      <c r="G138" s="151">
        <f>IF(TrRoad_act!G80=0,0,TrRoad_ene!G83/TrRoad_tech!G111)</f>
        <v>0.93474841987134127</v>
      </c>
      <c r="H138" s="151">
        <f>IF(TrRoad_act!H80=0,0,TrRoad_ene!H83/TrRoad_tech!H111)</f>
        <v>0.95260924299162464</v>
      </c>
      <c r="I138" s="151">
        <f>IF(TrRoad_act!I80=0,0,TrRoad_ene!I83/TrRoad_tech!I111)</f>
        <v>1.0009872953580452</v>
      </c>
      <c r="J138" s="151">
        <f>IF(TrRoad_act!J80=0,0,TrRoad_ene!J83/TrRoad_tech!J111)</f>
        <v>1.0420405324283899</v>
      </c>
      <c r="K138" s="151">
        <f>IF(TrRoad_act!K80=0,0,TrRoad_ene!K83/TrRoad_tech!K111)</f>
        <v>1.1212530456347518</v>
      </c>
      <c r="L138" s="151">
        <f>IF(TrRoad_act!L80=0,0,TrRoad_ene!L83/TrRoad_tech!L111)</f>
        <v>1.1800125527525864</v>
      </c>
      <c r="M138" s="151">
        <f>IF(TrRoad_act!M80=0,0,TrRoad_ene!M83/TrRoad_tech!M111)</f>
        <v>1.138441146933576</v>
      </c>
      <c r="N138" s="151">
        <f>IF(TrRoad_act!N80=0,0,TrRoad_ene!N83/TrRoad_tech!N111)</f>
        <v>1.1088585863118403</v>
      </c>
      <c r="O138" s="151">
        <f>IF(TrRoad_act!O80=0,0,TrRoad_ene!O83/TrRoad_tech!O111)</f>
        <v>1.318861468493421</v>
      </c>
      <c r="P138" s="151">
        <f>IF(TrRoad_act!P80=0,0,TrRoad_ene!P83/TrRoad_tech!P111)</f>
        <v>1.2133474613855573</v>
      </c>
      <c r="Q138" s="151">
        <f>IF(TrRoad_act!Q80=0,0,TrRoad_ene!Q83/TrRoad_tech!Q111)</f>
        <v>1.210703331593677</v>
      </c>
      <c r="R138" s="151">
        <f>IF(TrRoad_act!R80=0,0,TrRoad_ene!R83/TrRoad_tech!R111)</f>
        <v>1.1147355724804737</v>
      </c>
      <c r="S138" s="151">
        <f>IF(TrRoad_act!S80=0,0,TrRoad_ene!S83/TrRoad_tech!S111)</f>
        <v>1.3478082974342358</v>
      </c>
      <c r="T138" s="151">
        <f>IF(TrRoad_act!T80=0,0,TrRoad_ene!T83/TrRoad_tech!T111)</f>
        <v>1.251019263205277</v>
      </c>
      <c r="U138" s="151">
        <f>IF(TrRoad_act!U80=0,0,TrRoad_ene!U83/TrRoad_tech!U111)</f>
        <v>1.5576830570074633</v>
      </c>
      <c r="V138" s="151">
        <f>IF(TrRoad_act!V80=0,0,TrRoad_ene!V83/TrRoad_tech!V111)</f>
        <v>1.5109848443377918</v>
      </c>
      <c r="W138" s="151">
        <f>IF(TrRoad_act!W80=0,0,TrRoad_ene!W83/TrRoad_tech!W111)</f>
        <v>1.4877212585240813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1.0180553689170548</v>
      </c>
      <c r="C139" s="93">
        <f>IF(TrRoad_act!C81=0,0,TrRoad_ene!C84/TrRoad_tech!C112)</f>
        <v>0.97938665393388313</v>
      </c>
      <c r="D139" s="93">
        <f>IF(TrRoad_act!D81=0,0,TrRoad_ene!D84/TrRoad_tech!D112)</f>
        <v>1.025346655382894</v>
      </c>
      <c r="E139" s="93">
        <f>IF(TrRoad_act!E81=0,0,TrRoad_ene!E84/TrRoad_tech!E112)</f>
        <v>1.0388038646261906</v>
      </c>
      <c r="F139" s="93">
        <f>IF(TrRoad_act!F81=0,0,TrRoad_ene!F84/TrRoad_tech!F112)</f>
        <v>1.0428276985017457</v>
      </c>
      <c r="G139" s="93">
        <f>IF(TrRoad_act!G81=0,0,TrRoad_ene!G84/TrRoad_tech!G112)</f>
        <v>1.0423086261529912</v>
      </c>
      <c r="H139" s="93">
        <f>IF(TrRoad_act!H81=0,0,TrRoad_ene!H84/TrRoad_tech!H112)</f>
        <v>1.0535437482789531</v>
      </c>
      <c r="I139" s="93">
        <f>IF(TrRoad_act!I81=0,0,TrRoad_ene!I84/TrRoad_tech!I112)</f>
        <v>1.069227753168176</v>
      </c>
      <c r="J139" s="93">
        <f>IF(TrRoad_act!J81=0,0,TrRoad_ene!J84/TrRoad_tech!J112)</f>
        <v>1.0896281034629536</v>
      </c>
      <c r="K139" s="93">
        <f>IF(TrRoad_act!K81=0,0,TrRoad_ene!K84/TrRoad_tech!K112)</f>
        <v>1.115402264249423</v>
      </c>
      <c r="L139" s="93">
        <f>IF(TrRoad_act!L81=0,0,TrRoad_ene!L84/TrRoad_tech!L112)</f>
        <v>1.13296144559429</v>
      </c>
      <c r="M139" s="93">
        <f>IF(TrRoad_act!M81=0,0,TrRoad_ene!M84/TrRoad_tech!M112)</f>
        <v>1.1238540174133518</v>
      </c>
      <c r="N139" s="93">
        <f>IF(TrRoad_act!N81=0,0,TrRoad_ene!N84/TrRoad_tech!N112)</f>
        <v>1.1187177108119348</v>
      </c>
      <c r="O139" s="93">
        <f>IF(TrRoad_act!O81=0,0,TrRoad_ene!O84/TrRoad_tech!O112)</f>
        <v>1.1877512890542747</v>
      </c>
      <c r="P139" s="93">
        <f>IF(TrRoad_act!P81=0,0,TrRoad_ene!P84/TrRoad_tech!P112)</f>
        <v>1.1649482178421759</v>
      </c>
      <c r="Q139" s="93">
        <f>IF(TrRoad_act!Q81=0,0,TrRoad_ene!Q84/TrRoad_tech!Q112)</f>
        <v>1.1752134601060116</v>
      </c>
      <c r="R139" s="93">
        <f>IF(TrRoad_act!R81=0,0,TrRoad_ene!R84/TrRoad_tech!R112)</f>
        <v>1.1561365087952642</v>
      </c>
      <c r="S139" s="93">
        <f>IF(TrRoad_act!S81=0,0,TrRoad_ene!S84/TrRoad_tech!S112)</f>
        <v>1.2323771307192521</v>
      </c>
      <c r="T139" s="93">
        <f>IF(TrRoad_act!T81=0,0,TrRoad_ene!T84/TrRoad_tech!T112)</f>
        <v>1.2168602441639529</v>
      </c>
      <c r="U139" s="93">
        <f>IF(TrRoad_act!U81=0,0,TrRoad_ene!U84/TrRoad_tech!U112)</f>
        <v>1.3135278711114353</v>
      </c>
      <c r="V139" s="93">
        <f>IF(TrRoad_act!V81=0,0,TrRoad_ene!V84/TrRoad_tech!V112)</f>
        <v>1.3112560243460307</v>
      </c>
      <c r="W139" s="93">
        <f>IF(TrRoad_act!W81=0,0,TrRoad_ene!W84/TrRoad_tech!W112)</f>
        <v>1.323514764594993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0.72552836557976974</v>
      </c>
      <c r="C140" s="94">
        <f>IF(TrRoad_act!C82=0,0,TrRoad_ene!C85/TrRoad_tech!C113)</f>
        <v>0.460147155950208</v>
      </c>
      <c r="D140" s="94">
        <f>IF(TrRoad_act!D82=0,0,TrRoad_ene!D85/TrRoad_tech!D113)</f>
        <v>0.65780938435504166</v>
      </c>
      <c r="E140" s="94">
        <f>IF(TrRoad_act!E82=0,0,TrRoad_ene!E85/TrRoad_tech!E113)</f>
        <v>0.70228582602813894</v>
      </c>
      <c r="F140" s="94">
        <f>IF(TrRoad_act!F82=0,0,TrRoad_ene!F85/TrRoad_tech!F113)</f>
        <v>0.73775679468445554</v>
      </c>
      <c r="G140" s="94">
        <f>IF(TrRoad_act!G82=0,0,TrRoad_ene!G85/TrRoad_tech!G113)</f>
        <v>0.73412325861182415</v>
      </c>
      <c r="H140" s="94">
        <f>IF(TrRoad_act!H82=0,0,TrRoad_ene!H85/TrRoad_tech!H113)</f>
        <v>0.71835118389924191</v>
      </c>
      <c r="I140" s="94">
        <f>IF(TrRoad_act!I82=0,0,TrRoad_ene!I85/TrRoad_tech!I113)</f>
        <v>0.82292434645485468</v>
      </c>
      <c r="J140" s="94">
        <f>IF(TrRoad_act!J82=0,0,TrRoad_ene!J85/TrRoad_tech!J113)</f>
        <v>0.85205298490299863</v>
      </c>
      <c r="K140" s="94">
        <f>IF(TrRoad_act!K82=0,0,TrRoad_ene!K85/TrRoad_tech!K113)</f>
        <v>1.0408676628863922</v>
      </c>
      <c r="L140" s="94">
        <f>IF(TrRoad_act!L82=0,0,TrRoad_ene!L85/TrRoad_tech!L113)</f>
        <v>1.1861825938022883</v>
      </c>
      <c r="M140" s="94">
        <f>IF(TrRoad_act!M82=0,0,TrRoad_ene!M85/TrRoad_tech!M113)</f>
        <v>1.081398917148815</v>
      </c>
      <c r="N140" s="94">
        <f>IF(TrRoad_act!N82=0,0,TrRoad_ene!N85/TrRoad_tech!N113)</f>
        <v>1.0041167804228186</v>
      </c>
      <c r="O140" s="94">
        <f>IF(TrRoad_act!O82=0,0,TrRoad_ene!O85/TrRoad_tech!O113)</f>
        <v>1.4802473545267802</v>
      </c>
      <c r="P140" s="94">
        <f>IF(TrRoad_act!P82=0,0,TrRoad_ene!P85/TrRoad_tech!P113)</f>
        <v>1.2071693012829414</v>
      </c>
      <c r="Q140" s="94">
        <f>IF(TrRoad_act!Q82=0,0,TrRoad_ene!Q85/TrRoad_tech!Q113)</f>
        <v>1.1772142397265786</v>
      </c>
      <c r="R140" s="94">
        <f>IF(TrRoad_act!R82=0,0,TrRoad_ene!R85/TrRoad_tech!R113)</f>
        <v>0.9718374602550548</v>
      </c>
      <c r="S140" s="94">
        <f>IF(TrRoad_act!S82=0,0,TrRoad_ene!S85/TrRoad_tech!S113)</f>
        <v>1.4132143321186879</v>
      </c>
      <c r="T140" s="94">
        <f>IF(TrRoad_act!T82=0,0,TrRoad_ene!T85/TrRoad_tech!T113)</f>
        <v>1.2018704611512774</v>
      </c>
      <c r="U140" s="94">
        <f>IF(TrRoad_act!U82=0,0,TrRoad_ene!U85/TrRoad_tech!U113)</f>
        <v>1.776403380478849</v>
      </c>
      <c r="V140" s="94">
        <f>IF(TrRoad_act!V82=0,0,TrRoad_ene!V85/TrRoad_tech!V113)</f>
        <v>1.6632809460282914</v>
      </c>
      <c r="W140" s="94">
        <f>IF(TrRoad_act!W82=0,0,TrRoad_ene!W85/TrRoad_tech!W113)</f>
        <v>1.6032589316148804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0</v>
      </c>
      <c r="C144" s="141">
        <v>3.2773213118879281</v>
      </c>
      <c r="D144" s="141">
        <v>3.2145497888881529</v>
      </c>
      <c r="E144" s="141">
        <v>3.204087868388191</v>
      </c>
      <c r="F144" s="141">
        <v>3.1866513342215876</v>
      </c>
      <c r="G144" s="141">
        <v>3.1238798112218125</v>
      </c>
      <c r="H144" s="141">
        <v>3.1099305838885285</v>
      </c>
      <c r="I144" s="141">
        <v>3.0680829018886788</v>
      </c>
      <c r="J144" s="141">
        <v>3.0401844472221122</v>
      </c>
      <c r="K144" s="141">
        <v>2.9843875378889786</v>
      </c>
      <c r="L144" s="141">
        <v>2.879768332889356</v>
      </c>
      <c r="M144" s="141">
        <v>2.7751491278897302</v>
      </c>
      <c r="N144" s="141">
        <v>2.6496060818901808</v>
      </c>
      <c r="O144" s="141">
        <v>2.5449868768905559</v>
      </c>
      <c r="P144" s="141">
        <v>2.4961645812240629</v>
      </c>
      <c r="Q144" s="141">
        <v>2.5571364548051232</v>
      </c>
      <c r="R144" s="141">
        <v>2.4312354300341101</v>
      </c>
      <c r="S144" s="141">
        <v>2.3934651226028061</v>
      </c>
      <c r="T144" s="141">
        <v>2.3632488766577628</v>
      </c>
      <c r="U144" s="141">
        <v>2.3390758799017282</v>
      </c>
      <c r="V144" s="141">
        <v>2.3197374824969006</v>
      </c>
      <c r="W144" s="141">
        <v>2.3042667645730384</v>
      </c>
      <c r="DA144" s="174" t="s">
        <v>885</v>
      </c>
    </row>
    <row r="145" spans="1:105" ht="11.45" customHeight="1" x14ac:dyDescent="0.25">
      <c r="A145" s="109" t="s">
        <v>20</v>
      </c>
      <c r="B145" s="130">
        <v>5.7853100894570142</v>
      </c>
      <c r="C145" s="130">
        <v>5.7210645122251345</v>
      </c>
      <c r="D145" s="130">
        <v>5.6468840139548515</v>
      </c>
      <c r="E145" s="130">
        <v>5.6121126210402448</v>
      </c>
      <c r="F145" s="130">
        <v>5.5892353440851208</v>
      </c>
      <c r="G145" s="130">
        <v>5.5473736210338904</v>
      </c>
      <c r="H145" s="130">
        <v>5.5333783071223719</v>
      </c>
      <c r="I145" s="130">
        <v>5.5089045849166256</v>
      </c>
      <c r="J145" s="130">
        <v>5.4486923813483941</v>
      </c>
      <c r="K145" s="130">
        <v>5.3199129180085603</v>
      </c>
      <c r="L145" s="130">
        <v>5.8209275185410583</v>
      </c>
      <c r="M145" s="130">
        <v>5.6177851241940289</v>
      </c>
      <c r="N145" s="130">
        <v>5.474646709180929</v>
      </c>
      <c r="O145" s="130">
        <v>5.2695336922679328</v>
      </c>
      <c r="P145" s="130">
        <v>4.7984403202182238</v>
      </c>
      <c r="Q145" s="130">
        <v>4.6816722673725941</v>
      </c>
      <c r="R145" s="130">
        <v>4.5875796870001899</v>
      </c>
      <c r="S145" s="130">
        <v>4.6822727791417798</v>
      </c>
      <c r="T145" s="130">
        <v>4.7259999209375954</v>
      </c>
      <c r="U145" s="130">
        <v>4.819694050354987</v>
      </c>
      <c r="V145" s="130">
        <v>4.5767902159730536</v>
      </c>
      <c r="W145" s="130">
        <v>4.5010842042615931</v>
      </c>
      <c r="DA145" s="176" t="s">
        <v>886</v>
      </c>
    </row>
    <row r="146" spans="1:105" ht="11.45" customHeight="1" x14ac:dyDescent="0.25">
      <c r="A146" s="111" t="s">
        <v>110</v>
      </c>
      <c r="B146" s="96">
        <v>5.8259753199689372</v>
      </c>
      <c r="C146" s="96">
        <v>5.7648120741690843</v>
      </c>
      <c r="D146" s="96">
        <v>5.6976057157914664</v>
      </c>
      <c r="E146" s="96">
        <v>5.6864046560618622</v>
      </c>
      <c r="F146" s="96">
        <v>5.6677362231791912</v>
      </c>
      <c r="G146" s="96">
        <v>5.6005298648015716</v>
      </c>
      <c r="H146" s="96">
        <v>5.5855951184954336</v>
      </c>
      <c r="I146" s="96">
        <v>5.5407908795770231</v>
      </c>
      <c r="J146" s="96">
        <v>5.5109213869647453</v>
      </c>
      <c r="K146" s="96">
        <v>5.451182401740196</v>
      </c>
      <c r="L146" s="96">
        <v>5.8506898403467638</v>
      </c>
      <c r="M146" s="96">
        <v>5.6500375448318172</v>
      </c>
      <c r="N146" s="96">
        <v>5.4952327236995817</v>
      </c>
      <c r="O146" s="96">
        <v>5.2740622135466229</v>
      </c>
      <c r="P146" s="96">
        <v>4.9292111754625481</v>
      </c>
      <c r="Q146" s="96">
        <v>4.8432117621237394</v>
      </c>
      <c r="R146" s="96">
        <v>4.7645930548493762</v>
      </c>
      <c r="S146" s="96">
        <v>4.7826354756482052</v>
      </c>
      <c r="T146" s="96">
        <v>4.8345794635182049</v>
      </c>
      <c r="U146" s="96">
        <v>4.9147032191529663</v>
      </c>
      <c r="V146" s="96">
        <v>4.7134939088203369</v>
      </c>
      <c r="W146" s="96">
        <v>4.5301931425359303</v>
      </c>
      <c r="DA146" s="171" t="s">
        <v>887</v>
      </c>
    </row>
    <row r="147" spans="1:105" ht="11.45" customHeight="1" x14ac:dyDescent="0.25">
      <c r="A147" s="111" t="s">
        <v>111</v>
      </c>
      <c r="B147" s="96">
        <v>5.7301242890168336</v>
      </c>
      <c r="C147" s="96">
        <v>5.6463795452344687</v>
      </c>
      <c r="D147" s="96">
        <v>5.5547645056448394</v>
      </c>
      <c r="E147" s="96">
        <v>5.5089569858500269</v>
      </c>
      <c r="F147" s="96">
        <v>5.5089569858500269</v>
      </c>
      <c r="G147" s="96">
        <v>5.496902375377708</v>
      </c>
      <c r="H147" s="96">
        <v>5.496902375377708</v>
      </c>
      <c r="I147" s="96">
        <v>5.496902375377708</v>
      </c>
      <c r="J147" s="96">
        <v>5.4004654915991503</v>
      </c>
      <c r="K147" s="96">
        <v>5.2075917240420395</v>
      </c>
      <c r="L147" s="96">
        <v>5.7781424754941657</v>
      </c>
      <c r="M147" s="96">
        <v>5.5793813650300699</v>
      </c>
      <c r="N147" s="96">
        <v>5.4581670939918974</v>
      </c>
      <c r="O147" s="96">
        <v>5.2665987604983568</v>
      </c>
      <c r="P147" s="96">
        <v>4.7045562679018742</v>
      </c>
      <c r="Q147" s="96">
        <v>4.5818259972688038</v>
      </c>
      <c r="R147" s="96">
        <v>4.5257737573573831</v>
      </c>
      <c r="S147" s="96">
        <v>4.5850728535433651</v>
      </c>
      <c r="T147" s="96">
        <v>4.6894499816482931</v>
      </c>
      <c r="U147" s="96">
        <v>4.6869769611759571</v>
      </c>
      <c r="V147" s="96">
        <v>4.5162337661902923</v>
      </c>
      <c r="W147" s="96">
        <v>4.4552057313124802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5.5738764382765584</v>
      </c>
      <c r="D148" s="96">
        <v>5.4834377941029846</v>
      </c>
      <c r="E148" s="96">
        <v>5.4382184720161977</v>
      </c>
      <c r="F148" s="96">
        <v>5.4382184720161977</v>
      </c>
      <c r="G148" s="96">
        <v>5.4263186504144114</v>
      </c>
      <c r="H148" s="96">
        <v>5.4263186504144114</v>
      </c>
      <c r="I148" s="96">
        <v>5.4263186504144114</v>
      </c>
      <c r="J148" s="96">
        <v>5.3311200776001231</v>
      </c>
      <c r="K148" s="96">
        <v>5.1407229319715473</v>
      </c>
      <c r="L148" s="96">
        <v>5.4638132837772142</v>
      </c>
      <c r="M148" s="96">
        <v>5.5240922651896671</v>
      </c>
      <c r="N148" s="96">
        <v>5.4092975045724909</v>
      </c>
      <c r="O148" s="96">
        <v>5.2733204033133241</v>
      </c>
      <c r="P148" s="96">
        <v>5.1407229319715473</v>
      </c>
      <c r="Q148" s="96">
        <v>5.1090316231165112</v>
      </c>
      <c r="R148" s="96">
        <v>4.4835127585347676</v>
      </c>
      <c r="S148" s="96">
        <v>5.2691976016662077</v>
      </c>
      <c r="T148" s="96">
        <v>4.6275455421861462</v>
      </c>
      <c r="U148" s="96">
        <v>5.7607484914880951</v>
      </c>
      <c r="V148" s="96">
        <v>4.7294222230360807</v>
      </c>
      <c r="W148" s="96">
        <v>5.1629547658996069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6.5427640797623141</v>
      </c>
      <c r="L149" s="96">
        <v>6.3705124193587919</v>
      </c>
      <c r="M149" s="96">
        <v>0</v>
      </c>
      <c r="N149" s="96">
        <v>6.1204448403670701</v>
      </c>
      <c r="O149" s="96">
        <v>5.2088883838099127</v>
      </c>
      <c r="P149" s="96">
        <v>5.9153757433467469</v>
      </c>
      <c r="Q149" s="96">
        <v>0</v>
      </c>
      <c r="R149" s="96">
        <v>5.9153757433467469</v>
      </c>
      <c r="S149" s="96">
        <v>5.3155092762728859</v>
      </c>
      <c r="T149" s="96">
        <v>5.3358645901571853</v>
      </c>
      <c r="U149" s="96">
        <v>4.9428303241403375</v>
      </c>
      <c r="V149" s="96">
        <v>4.3852276920912798</v>
      </c>
      <c r="W149" s="96">
        <v>4.5271274422258507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0</v>
      </c>
      <c r="P150" s="96">
        <v>3.1212081755279701</v>
      </c>
      <c r="Q150" s="96">
        <v>3.1836226396696556</v>
      </c>
      <c r="R150" s="96">
        <v>3.7840512487615903</v>
      </c>
      <c r="S150" s="96">
        <v>4.0033085740002665</v>
      </c>
      <c r="T150" s="96">
        <v>4.0547748811291457</v>
      </c>
      <c r="U150" s="96">
        <v>3.7323041581322709</v>
      </c>
      <c r="V150" s="96">
        <v>3.2742784689237272</v>
      </c>
      <c r="W150" s="96">
        <v>3.4868824853778797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1.0783737209331545</v>
      </c>
      <c r="O151" s="96">
        <v>1.1228965183163711</v>
      </c>
      <c r="P151" s="96">
        <v>1.1144916991864542</v>
      </c>
      <c r="Q151" s="96">
        <v>1.0464945578088625</v>
      </c>
      <c r="R151" s="96">
        <v>1.0322832799187052</v>
      </c>
      <c r="S151" s="96">
        <v>1.087313374501681</v>
      </c>
      <c r="T151" s="96">
        <v>1.2929922613929492</v>
      </c>
      <c r="U151" s="96">
        <v>1.5433440162588916</v>
      </c>
      <c r="V151" s="96">
        <v>1.4413491509028376</v>
      </c>
      <c r="W151" s="96">
        <v>1.3789840409371472</v>
      </c>
      <c r="DA151" s="171" t="s">
        <v>892</v>
      </c>
    </row>
    <row r="152" spans="1:105" ht="11.45" customHeight="1" x14ac:dyDescent="0.25">
      <c r="A152" s="109" t="s">
        <v>21</v>
      </c>
      <c r="B152" s="130">
        <v>46.236978869260717</v>
      </c>
      <c r="C152" s="130">
        <v>45.94925355351041</v>
      </c>
      <c r="D152" s="130">
        <v>45.807280449321752</v>
      </c>
      <c r="E152" s="130">
        <v>45.970182955985727</v>
      </c>
      <c r="F152" s="130">
        <v>45.932199529826406</v>
      </c>
      <c r="G152" s="130">
        <v>45.687355283984459</v>
      </c>
      <c r="H152" s="130">
        <v>45.611301840662399</v>
      </c>
      <c r="I152" s="130">
        <v>45.716346814912207</v>
      </c>
      <c r="J152" s="130">
        <v>45.323627568897003</v>
      </c>
      <c r="K152" s="130">
        <v>44.754928599784101</v>
      </c>
      <c r="L152" s="130">
        <v>45.143931164932702</v>
      </c>
      <c r="M152" s="130">
        <v>45.0321324119843</v>
      </c>
      <c r="N152" s="130">
        <v>44.431192246794929</v>
      </c>
      <c r="O152" s="130">
        <v>43.243946336731355</v>
      </c>
      <c r="P152" s="130">
        <v>43.017563251058235</v>
      </c>
      <c r="Q152" s="130">
        <v>44.133332025636946</v>
      </c>
      <c r="R152" s="130">
        <v>43.953983569757007</v>
      </c>
      <c r="S152" s="130">
        <v>43.667885060000678</v>
      </c>
      <c r="T152" s="130">
        <v>43.660705682851905</v>
      </c>
      <c r="U152" s="130">
        <v>43.501285075578622</v>
      </c>
      <c r="V152" s="130">
        <v>41.051827286221155</v>
      </c>
      <c r="W152" s="130">
        <v>43.212720008025364</v>
      </c>
      <c r="DA152" s="176" t="s">
        <v>893</v>
      </c>
    </row>
    <row r="153" spans="1:105" ht="11.45" customHeight="1" x14ac:dyDescent="0.25">
      <c r="A153" s="111" t="s">
        <v>110</v>
      </c>
      <c r="B153" s="97">
        <v>15.286567713891273</v>
      </c>
      <c r="C153" s="97">
        <v>15.126083666642367</v>
      </c>
      <c r="D153" s="97">
        <v>14.949743313015706</v>
      </c>
      <c r="E153" s="97">
        <v>14.920353254077931</v>
      </c>
      <c r="F153" s="97">
        <v>14.871369822514973</v>
      </c>
      <c r="G153" s="97">
        <v>14.695029468888309</v>
      </c>
      <c r="H153" s="97">
        <v>14.655842723637939</v>
      </c>
      <c r="I153" s="97">
        <v>0</v>
      </c>
      <c r="J153" s="97">
        <v>14.459908997386094</v>
      </c>
      <c r="K153" s="97">
        <v>0</v>
      </c>
      <c r="L153" s="97">
        <v>14.009261427006855</v>
      </c>
      <c r="M153" s="97">
        <v>0</v>
      </c>
      <c r="N153" s="97">
        <v>13.362680130375768</v>
      </c>
      <c r="O153" s="97">
        <v>13.068779540998003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46.305757560717097</v>
      </c>
      <c r="C154" s="97">
        <v>46.183205507110927</v>
      </c>
      <c r="D154" s="97">
        <v>46.047416925090673</v>
      </c>
      <c r="E154" s="97">
        <v>46.024752076727218</v>
      </c>
      <c r="F154" s="97">
        <v>45.98688408917026</v>
      </c>
      <c r="G154" s="97">
        <v>45.849336080927472</v>
      </c>
      <c r="H154" s="97">
        <v>45.818708601915496</v>
      </c>
      <c r="I154" s="97">
        <v>45.72627005060027</v>
      </c>
      <c r="J154" s="97">
        <v>45.664394177730721</v>
      </c>
      <c r="K154" s="97">
        <v>45.539628073419976</v>
      </c>
      <c r="L154" s="97">
        <v>45.302030013906489</v>
      </c>
      <c r="M154" s="97">
        <v>45.060633761612138</v>
      </c>
      <c r="N154" s="97">
        <v>44.765261799591372</v>
      </c>
      <c r="O154" s="97">
        <v>44.514990116030482</v>
      </c>
      <c r="P154" s="97">
        <v>44.39727008172288</v>
      </c>
      <c r="Q154" s="97">
        <v>44.181818181724424</v>
      </c>
      <c r="R154" s="97">
        <v>43.988805560916802</v>
      </c>
      <c r="S154" s="97">
        <v>43.815815238706101</v>
      </c>
      <c r="T154" s="97">
        <v>43.660705682851905</v>
      </c>
      <c r="U154" s="97">
        <v>43.521576612880125</v>
      </c>
      <c r="V154" s="97">
        <v>43.396739552971404</v>
      </c>
      <c r="W154" s="97">
        <v>43.284692388426798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38.105225042166893</v>
      </c>
      <c r="J155" s="97">
        <v>0</v>
      </c>
      <c r="K155" s="97">
        <v>0</v>
      </c>
      <c r="L155" s="97">
        <v>0</v>
      </c>
      <c r="M155" s="97">
        <v>37.550528134676782</v>
      </c>
      <c r="N155" s="97">
        <v>0</v>
      </c>
      <c r="O155" s="97">
        <v>37.095825096692067</v>
      </c>
      <c r="P155" s="97">
        <v>36.997725068102397</v>
      </c>
      <c r="Q155" s="97">
        <v>0</v>
      </c>
      <c r="R155" s="97">
        <v>0</v>
      </c>
      <c r="S155" s="97">
        <v>0</v>
      </c>
      <c r="T155" s="97">
        <v>0</v>
      </c>
      <c r="U155" s="97">
        <v>33.051143365305549</v>
      </c>
      <c r="V155" s="97">
        <v>32.517909775075374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37.949690061183311</v>
      </c>
      <c r="L156" s="97">
        <v>37.75010909793005</v>
      </c>
      <c r="M156" s="97">
        <v>37.550528134676782</v>
      </c>
      <c r="N156" s="97">
        <v>37.30438483299281</v>
      </c>
      <c r="O156" s="97">
        <v>37.095825096692067</v>
      </c>
      <c r="P156" s="97">
        <v>36.997725068102397</v>
      </c>
      <c r="Q156" s="97">
        <v>0</v>
      </c>
      <c r="R156" s="97">
        <v>0</v>
      </c>
      <c r="S156" s="97">
        <v>36.759545714457595</v>
      </c>
      <c r="T156" s="97">
        <v>0</v>
      </c>
      <c r="U156" s="97">
        <v>0</v>
      </c>
      <c r="V156" s="97">
        <v>36.586879859354916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26.290426585445474</v>
      </c>
      <c r="R157" s="97">
        <v>26.612631972181621</v>
      </c>
      <c r="S157" s="97">
        <v>0</v>
      </c>
      <c r="T157" s="97">
        <v>0</v>
      </c>
      <c r="U157" s="97">
        <v>0</v>
      </c>
      <c r="V157" s="97">
        <v>0</v>
      </c>
      <c r="W157" s="97">
        <v>27.834621395585849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7.5643760844786003</v>
      </c>
      <c r="C159" s="141">
        <v>7.4883392001241171</v>
      </c>
      <c r="D159" s="141">
        <v>7.4160309369351083</v>
      </c>
      <c r="E159" s="141">
        <v>7.3427695227061518</v>
      </c>
      <c r="F159" s="141">
        <v>7.2773760422473339</v>
      </c>
      <c r="G159" s="141">
        <v>7.1990702764279204</v>
      </c>
      <c r="H159" s="141">
        <v>7.1184018330768533</v>
      </c>
      <c r="I159" s="141">
        <v>7.0079990979329896</v>
      </c>
      <c r="J159" s="141">
        <v>6.9147504323218554</v>
      </c>
      <c r="K159" s="141">
        <v>6.8765168114808137</v>
      </c>
      <c r="L159" s="141">
        <v>6.9573943490105297</v>
      </c>
      <c r="M159" s="141">
        <v>6.9693860244098822</v>
      </c>
      <c r="N159" s="141">
        <v>6.965419765268333</v>
      </c>
      <c r="O159" s="141">
        <v>6.8222332656768243</v>
      </c>
      <c r="P159" s="141">
        <v>5.9577042391698498</v>
      </c>
      <c r="Q159" s="141">
        <v>6.1865622396180164</v>
      </c>
      <c r="R159" s="141">
        <v>6.0135908331217571</v>
      </c>
      <c r="S159" s="141">
        <v>6.3620268911126843</v>
      </c>
      <c r="T159" s="141">
        <v>6.1414901881565234</v>
      </c>
      <c r="U159" s="141">
        <v>5.7773886548223041</v>
      </c>
      <c r="V159" s="141">
        <v>5.9569282488205779</v>
      </c>
      <c r="W159" s="141">
        <v>5.9064087801571166</v>
      </c>
      <c r="DA159" s="174" t="s">
        <v>899</v>
      </c>
    </row>
    <row r="160" spans="1:105" ht="11.45" customHeight="1" x14ac:dyDescent="0.25">
      <c r="A160" s="111" t="s">
        <v>110</v>
      </c>
      <c r="B160" s="96">
        <v>7.2238263360569315</v>
      </c>
      <c r="C160" s="96">
        <v>7.1479879327782081</v>
      </c>
      <c r="D160" s="96">
        <v>7.0646564672406411</v>
      </c>
      <c r="E160" s="96">
        <v>7.0507678896510448</v>
      </c>
      <c r="F160" s="96">
        <v>7.0276202603350564</v>
      </c>
      <c r="G160" s="96">
        <v>6.944288794797485</v>
      </c>
      <c r="H160" s="96">
        <v>6.9257706913446926</v>
      </c>
      <c r="I160" s="96">
        <v>6.8702163809863137</v>
      </c>
      <c r="J160" s="96">
        <v>6.8331801740807281</v>
      </c>
      <c r="K160" s="96">
        <v>6.7591077602695533</v>
      </c>
      <c r="L160" s="96">
        <v>6.6202219843736048</v>
      </c>
      <c r="M160" s="96">
        <v>6.4813362084776545</v>
      </c>
      <c r="N160" s="96">
        <v>6.5968182804822568</v>
      </c>
      <c r="O160" s="96">
        <v>6.2437014255161687</v>
      </c>
      <c r="P160" s="96">
        <v>6.1109741394218275</v>
      </c>
      <c r="Q160" s="96">
        <v>5.2639515888677328</v>
      </c>
      <c r="R160" s="96">
        <v>5.2366474297192056</v>
      </c>
      <c r="S160" s="96">
        <v>5.3769334869882295</v>
      </c>
      <c r="T160" s="96">
        <v>5.377957774052561</v>
      </c>
      <c r="U160" s="96">
        <v>4.3285036723059971</v>
      </c>
      <c r="V160" s="96">
        <v>4.8791912907421908</v>
      </c>
      <c r="W160" s="96">
        <v>4.6948991586827544</v>
      </c>
      <c r="DA160" s="171" t="s">
        <v>900</v>
      </c>
    </row>
    <row r="161" spans="1:105" ht="11.45" customHeight="1" x14ac:dyDescent="0.25">
      <c r="A161" s="111" t="s">
        <v>111</v>
      </c>
      <c r="B161" s="96">
        <v>7.2700773710869102</v>
      </c>
      <c r="C161" s="96">
        <v>7.1638264878579694</v>
      </c>
      <c r="D161" s="96">
        <v>7.0475901913000678</v>
      </c>
      <c r="E161" s="96">
        <v>6.9894720430211192</v>
      </c>
      <c r="F161" s="96">
        <v>6.9894720430211192</v>
      </c>
      <c r="G161" s="96">
        <v>6.9741777934740288</v>
      </c>
      <c r="H161" s="96">
        <v>6.9741777934740288</v>
      </c>
      <c r="I161" s="96">
        <v>6.9741777934740288</v>
      </c>
      <c r="J161" s="96">
        <v>6.8518237970972882</v>
      </c>
      <c r="K161" s="96">
        <v>6.6071158043438141</v>
      </c>
      <c r="L161" s="96">
        <v>6.3142003370179056</v>
      </c>
      <c r="M161" s="96">
        <v>6.2767600141266238</v>
      </c>
      <c r="N161" s="96">
        <v>6.801212490497166</v>
      </c>
      <c r="O161" s="96">
        <v>6.5673326812026893</v>
      </c>
      <c r="P161" s="96">
        <v>5.968891133798917</v>
      </c>
      <c r="Q161" s="96">
        <v>5.8177876189652107</v>
      </c>
      <c r="R161" s="96">
        <v>5.7015510386749302</v>
      </c>
      <c r="S161" s="96">
        <v>5.3777218784082423</v>
      </c>
      <c r="T161" s="96">
        <v>5.3803130350199888</v>
      </c>
      <c r="U161" s="96">
        <v>5.4601181815387623</v>
      </c>
      <c r="V161" s="96">
        <v>6.2823812012396711</v>
      </c>
      <c r="W161" s="96">
        <v>6.3624398208455704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5.3091238825273921</v>
      </c>
      <c r="J162" s="96">
        <v>5.2159813582725247</v>
      </c>
      <c r="K162" s="96">
        <v>5.0296963097627909</v>
      </c>
      <c r="L162" s="96">
        <v>4.8067131066966393</v>
      </c>
      <c r="M162" s="96">
        <v>4.7782114942746521</v>
      </c>
      <c r="N162" s="96">
        <v>7.1303029275817629</v>
      </c>
      <c r="O162" s="96">
        <v>6.3961897422379463</v>
      </c>
      <c r="P162" s="96">
        <v>5.0296963097628344</v>
      </c>
      <c r="Q162" s="96">
        <v>6.9144065902888743</v>
      </c>
      <c r="R162" s="96">
        <v>6.4099052044589619</v>
      </c>
      <c r="S162" s="96">
        <v>5.6785737381784092</v>
      </c>
      <c r="T162" s="96">
        <v>5.6785737381784092</v>
      </c>
      <c r="U162" s="96">
        <v>6.1517882163599431</v>
      </c>
      <c r="V162" s="96">
        <v>6.2298171242732261</v>
      </c>
      <c r="W162" s="96">
        <v>6.63734199265157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7.6283351634440626</v>
      </c>
      <c r="L163" s="96">
        <v>7.4715885504965831</v>
      </c>
      <c r="M163" s="96">
        <v>7.3148419375491001</v>
      </c>
      <c r="N163" s="96">
        <v>6.9914575073490086</v>
      </c>
      <c r="O163" s="96">
        <v>0</v>
      </c>
      <c r="P163" s="96">
        <v>6.8968509696891518</v>
      </c>
      <c r="Q163" s="96">
        <v>6.4251519122495635</v>
      </c>
      <c r="R163" s="96">
        <v>5.9624389028280405</v>
      </c>
      <c r="S163" s="96">
        <v>7.4708469536181203</v>
      </c>
      <c r="T163" s="96">
        <v>6.3944556477937473</v>
      </c>
      <c r="U163" s="96">
        <v>6.4957631550775705</v>
      </c>
      <c r="V163" s="96">
        <v>5.6624784761955365</v>
      </c>
      <c r="W163" s="96">
        <v>8.1105424790620262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1.6597353234954872</v>
      </c>
      <c r="F164" s="96">
        <v>0</v>
      </c>
      <c r="G164" s="96">
        <v>1.5341500551220439</v>
      </c>
      <c r="H164" s="96">
        <v>0</v>
      </c>
      <c r="I164" s="96">
        <v>0</v>
      </c>
      <c r="J164" s="96">
        <v>1.4843764556704437</v>
      </c>
      <c r="K164" s="96">
        <v>1.4695326911137394</v>
      </c>
      <c r="L164" s="96">
        <v>0</v>
      </c>
      <c r="M164" s="96">
        <v>0</v>
      </c>
      <c r="N164" s="96">
        <v>1.4306112135445255</v>
      </c>
      <c r="O164" s="96">
        <v>0</v>
      </c>
      <c r="P164" s="96">
        <v>1.4423024908960309</v>
      </c>
      <c r="Q164" s="96">
        <v>1.5219260533104042</v>
      </c>
      <c r="R164" s="96">
        <v>1.5219260533104042</v>
      </c>
      <c r="S164" s="96">
        <v>1.2109721451844708</v>
      </c>
      <c r="T164" s="96">
        <v>1.3069647463456577</v>
      </c>
      <c r="U164" s="96">
        <v>1.4080825451418744</v>
      </c>
      <c r="V164" s="96">
        <v>1.6443516357531833</v>
      </c>
      <c r="W164" s="96">
        <v>1.6705359701920319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30.127410321577134</v>
      </c>
      <c r="D165" s="130">
        <v>30.145710764629424</v>
      </c>
      <c r="E165" s="130">
        <v>29.859833751330765</v>
      </c>
      <c r="F165" s="130">
        <v>30.191013730063286</v>
      </c>
      <c r="G165" s="130">
        <v>29.917809377184728</v>
      </c>
      <c r="H165" s="130">
        <v>28.740885083388449</v>
      </c>
      <c r="I165" s="130">
        <v>29.113559705883986</v>
      </c>
      <c r="J165" s="130">
        <v>27.918249894773311</v>
      </c>
      <c r="K165" s="130">
        <v>27.461306532605668</v>
      </c>
      <c r="L165" s="130">
        <v>27.646714032299286</v>
      </c>
      <c r="M165" s="130">
        <v>26.7802851452856</v>
      </c>
      <c r="N165" s="130">
        <v>26.201015267977166</v>
      </c>
      <c r="O165" s="130">
        <v>25.540091126756121</v>
      </c>
      <c r="P165" s="130">
        <v>24.957009032315732</v>
      </c>
      <c r="Q165" s="130">
        <v>24.425118024639527</v>
      </c>
      <c r="R165" s="130">
        <v>23.492778609297336</v>
      </c>
      <c r="S165" s="130">
        <v>23.031057096907112</v>
      </c>
      <c r="T165" s="130">
        <v>21.830590869107215</v>
      </c>
      <c r="U165" s="130">
        <v>20.711786125257184</v>
      </c>
      <c r="V165" s="130">
        <v>20.939655448191925</v>
      </c>
      <c r="W165" s="130">
        <v>20.410550651895111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30.00618556695056</v>
      </c>
      <c r="D166" s="97">
        <v>29.832452830109339</v>
      </c>
      <c r="E166" s="97">
        <v>29.616123234868152</v>
      </c>
      <c r="F166" s="97">
        <v>29.357746478802991</v>
      </c>
      <c r="G166" s="97">
        <v>29.05797446801396</v>
      </c>
      <c r="H166" s="97">
        <v>28.717557251856906</v>
      </c>
      <c r="I166" s="97">
        <v>28.337338402972659</v>
      </c>
      <c r="J166" s="97">
        <v>27.918249894773311</v>
      </c>
      <c r="K166" s="97">
        <v>27.461306532605668</v>
      </c>
      <c r="L166" s="97">
        <v>26.967599999928876</v>
      </c>
      <c r="M166" s="97">
        <v>26.438292581797395</v>
      </c>
      <c r="N166" s="97">
        <v>25.874610630355189</v>
      </c>
      <c r="O166" s="97">
        <v>25.277837837802508</v>
      </c>
      <c r="P166" s="97">
        <v>24.64930838075804</v>
      </c>
      <c r="Q166" s="97">
        <v>23.990399999949091</v>
      </c>
      <c r="R166" s="97">
        <v>23.00681583754152</v>
      </c>
      <c r="S166" s="97">
        <v>22.31830692385622</v>
      </c>
      <c r="T166" s="97">
        <v>21.595372564486652</v>
      </c>
      <c r="U166" s="97">
        <v>20.711786125257184</v>
      </c>
      <c r="V166" s="97">
        <v>20.552362411036754</v>
      </c>
      <c r="W166" s="97">
        <v>20.346838786926387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0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0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111.70996017297811</v>
      </c>
      <c r="C171" s="152">
        <v>111.47562695787992</v>
      </c>
      <c r="D171" s="152">
        <v>109.88242182394769</v>
      </c>
      <c r="E171" s="152">
        <v>106.11596339822498</v>
      </c>
      <c r="F171" s="152">
        <v>103.15660351257061</v>
      </c>
      <c r="G171" s="152">
        <v>100.24313570036037</v>
      </c>
      <c r="H171" s="152">
        <v>97.884235129549879</v>
      </c>
      <c r="I171" s="152">
        <v>96.546689771464514</v>
      </c>
      <c r="J171" s="152">
        <v>95.257074287390864</v>
      </c>
      <c r="K171" s="152">
        <v>94.379238209366946</v>
      </c>
      <c r="L171" s="152">
        <v>93.644173639507173</v>
      </c>
      <c r="M171" s="152">
        <v>92.855447864836819</v>
      </c>
      <c r="N171" s="152">
        <v>92.45354031705341</v>
      </c>
      <c r="O171" s="152">
        <v>91.530200974037285</v>
      </c>
      <c r="P171" s="152">
        <v>90.480244369834395</v>
      </c>
      <c r="Q171" s="152">
        <v>90.238015147737883</v>
      </c>
      <c r="R171" s="152">
        <v>89.524933947434945</v>
      </c>
      <c r="S171" s="152">
        <v>88.826196160170781</v>
      </c>
      <c r="T171" s="152">
        <v>87.313336122477864</v>
      </c>
      <c r="U171" s="152">
        <v>86.495425654757</v>
      </c>
      <c r="V171" s="152">
        <v>85.953216850741512</v>
      </c>
      <c r="W171" s="152">
        <v>82.160114165210956</v>
      </c>
      <c r="DA171" s="174" t="s">
        <v>908</v>
      </c>
    </row>
    <row r="172" spans="1:105" ht="11.45" customHeight="1" x14ac:dyDescent="0.25">
      <c r="A172" s="109" t="s">
        <v>20</v>
      </c>
      <c r="B172" s="116">
        <v>191.68602852712269</v>
      </c>
      <c r="C172" s="116">
        <v>188.49015414815645</v>
      </c>
      <c r="D172" s="116">
        <v>187.0965480764448</v>
      </c>
      <c r="E172" s="116">
        <v>186.25505890402721</v>
      </c>
      <c r="F172" s="116">
        <v>184.47289059340798</v>
      </c>
      <c r="G172" s="116">
        <v>182.0123555151099</v>
      </c>
      <c r="H172" s="116">
        <v>178.0375421824655</v>
      </c>
      <c r="I172" s="116">
        <v>176.3243907450132</v>
      </c>
      <c r="J172" s="116">
        <v>173.22813330461756</v>
      </c>
      <c r="K172" s="116">
        <v>170.99162354660447</v>
      </c>
      <c r="L172" s="116">
        <v>173.77294004723038</v>
      </c>
      <c r="M172" s="116">
        <v>173.8562239306051</v>
      </c>
      <c r="N172" s="116">
        <v>172.54436823334751</v>
      </c>
      <c r="O172" s="116">
        <v>172.71044277552414</v>
      </c>
      <c r="P172" s="116">
        <v>170.81665216735988</v>
      </c>
      <c r="Q172" s="116">
        <v>170.18944963594208</v>
      </c>
      <c r="R172" s="116">
        <v>169.35801735483878</v>
      </c>
      <c r="S172" s="116">
        <v>167.25456180504699</v>
      </c>
      <c r="T172" s="116">
        <v>164.93985277932794</v>
      </c>
      <c r="U172" s="116">
        <v>161.49428157385657</v>
      </c>
      <c r="V172" s="116">
        <v>158.55657928832144</v>
      </c>
      <c r="W172" s="116">
        <v>155.17807515885704</v>
      </c>
      <c r="DA172" s="176" t="s">
        <v>909</v>
      </c>
    </row>
    <row r="173" spans="1:105" ht="11.45" customHeight="1" x14ac:dyDescent="0.25">
      <c r="A173" s="111" t="s">
        <v>110</v>
      </c>
      <c r="B173" s="87">
        <v>188.6456033289063</v>
      </c>
      <c r="C173" s="87">
        <v>184.98051041472843</v>
      </c>
      <c r="D173" s="87">
        <v>183.4163684261718</v>
      </c>
      <c r="E173" s="87">
        <v>181.88828681529947</v>
      </c>
      <c r="F173" s="87">
        <v>180.4094540294908</v>
      </c>
      <c r="G173" s="87">
        <v>178.78862257119428</v>
      </c>
      <c r="H173" s="87">
        <v>176.85479990866878</v>
      </c>
      <c r="I173" s="87">
        <v>175.23359360698629</v>
      </c>
      <c r="J173" s="87">
        <v>173.40996606011382</v>
      </c>
      <c r="K173" s="87">
        <v>171.87905300733522</v>
      </c>
      <c r="L173" s="87">
        <v>170.62603379450877</v>
      </c>
      <c r="M173" s="87">
        <v>170.00844190776456</v>
      </c>
      <c r="N173" s="87">
        <v>168.29022022712837</v>
      </c>
      <c r="O173" s="87">
        <v>167.80783995063919</v>
      </c>
      <c r="P173" s="87">
        <v>166.75700897228262</v>
      </c>
      <c r="Q173" s="87">
        <v>165.98321902490076</v>
      </c>
      <c r="R173" s="87">
        <v>164.76305753852108</v>
      </c>
      <c r="S173" s="87">
        <v>163.27497972784184</v>
      </c>
      <c r="T173" s="87">
        <v>160.9601906694221</v>
      </c>
      <c r="U173" s="87">
        <v>158.00459266095783</v>
      </c>
      <c r="V173" s="87">
        <v>155.6194723278283</v>
      </c>
      <c r="W173" s="87">
        <v>153.50097499757669</v>
      </c>
      <c r="DA173" s="171" t="s">
        <v>910</v>
      </c>
    </row>
    <row r="174" spans="1:105" ht="11.45" customHeight="1" x14ac:dyDescent="0.25">
      <c r="A174" s="111" t="s">
        <v>111</v>
      </c>
      <c r="B174" s="87">
        <v>197.56798680909304</v>
      </c>
      <c r="C174" s="87">
        <v>193.12018490791695</v>
      </c>
      <c r="D174" s="87">
        <v>191.13258448920175</v>
      </c>
      <c r="E174" s="87">
        <v>188.89704570295834</v>
      </c>
      <c r="F174" s="87">
        <v>186.78164889059101</v>
      </c>
      <c r="G174" s="87">
        <v>184.7781506977027</v>
      </c>
      <c r="H174" s="87">
        <v>182.61085097898447</v>
      </c>
      <c r="I174" s="87">
        <v>180.98532766493614</v>
      </c>
      <c r="J174" s="87">
        <v>179.26872668883854</v>
      </c>
      <c r="K174" s="87">
        <v>177.91530551880473</v>
      </c>
      <c r="L174" s="87">
        <v>176.9630363260934</v>
      </c>
      <c r="M174" s="87">
        <v>176.35398629845386</v>
      </c>
      <c r="N174" s="87">
        <v>175.20399729240177</v>
      </c>
      <c r="O174" s="87">
        <v>174.10241852507491</v>
      </c>
      <c r="P174" s="87">
        <v>171.47032884656059</v>
      </c>
      <c r="Q174" s="87">
        <v>170.52825467682999</v>
      </c>
      <c r="R174" s="87">
        <v>169.27136053213457</v>
      </c>
      <c r="S174" s="87">
        <v>167.75819647270751</v>
      </c>
      <c r="T174" s="87">
        <v>165.91930431050838</v>
      </c>
      <c r="U174" s="87">
        <v>162.25820862786927</v>
      </c>
      <c r="V174" s="87">
        <v>159.56448081643649</v>
      </c>
      <c r="W174" s="87">
        <v>157.84720273691073</v>
      </c>
      <c r="DA174" s="171" t="s">
        <v>911</v>
      </c>
    </row>
    <row r="175" spans="1:105" ht="11.45" customHeight="1" x14ac:dyDescent="0.25">
      <c r="A175" s="111" t="s">
        <v>112</v>
      </c>
      <c r="B175" s="87">
        <v>159.27222084146644</v>
      </c>
      <c r="C175" s="87">
        <v>152.25770474323969</v>
      </c>
      <c r="D175" s="87">
        <v>150.00851368680148</v>
      </c>
      <c r="E175" s="87">
        <v>148.35211522318906</v>
      </c>
      <c r="F175" s="87">
        <v>145.59454247074459</v>
      </c>
      <c r="G175" s="87">
        <v>144.63104383836199</v>
      </c>
      <c r="H175" s="87">
        <v>145.63712071055906</v>
      </c>
      <c r="I175" s="87">
        <v>145.29500124699888</v>
      </c>
      <c r="J175" s="87">
        <v>144.70622274020107</v>
      </c>
      <c r="K175" s="87">
        <v>144.32884521658821</v>
      </c>
      <c r="L175" s="87">
        <v>144.51213060280185</v>
      </c>
      <c r="M175" s="87">
        <v>144.5274349981772</v>
      </c>
      <c r="N175" s="87">
        <v>144.54469937390456</v>
      </c>
      <c r="O175" s="87">
        <v>144.54000913871846</v>
      </c>
      <c r="P175" s="87">
        <v>143.89512038150662</v>
      </c>
      <c r="Q175" s="87">
        <v>143.90606991744053</v>
      </c>
      <c r="R175" s="87">
        <v>143.87309723928374</v>
      </c>
      <c r="S175" s="87">
        <v>143.75125277262168</v>
      </c>
      <c r="T175" s="87">
        <v>142.9733447382421</v>
      </c>
      <c r="U175" s="87">
        <v>142.13065697489523</v>
      </c>
      <c r="V175" s="87">
        <v>141.1235109703764</v>
      </c>
      <c r="W175" s="87">
        <v>138.71407064266532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153.67610248172511</v>
      </c>
      <c r="L176" s="87">
        <v>152.99033897222421</v>
      </c>
      <c r="M176" s="87">
        <v>152.97114324439457</v>
      </c>
      <c r="N176" s="87">
        <v>151.72569308485251</v>
      </c>
      <c r="O176" s="87">
        <v>149.71105662070559</v>
      </c>
      <c r="P176" s="87">
        <v>148.00608028379867</v>
      </c>
      <c r="Q176" s="87">
        <v>147.77234565509826</v>
      </c>
      <c r="R176" s="87">
        <v>146.37041881292157</v>
      </c>
      <c r="S176" s="87">
        <v>140.12527216616482</v>
      </c>
      <c r="T176" s="87">
        <v>138.97206203207415</v>
      </c>
      <c r="U176" s="87">
        <v>138.05388103197782</v>
      </c>
      <c r="V176" s="87">
        <v>137.61839822265117</v>
      </c>
      <c r="W176" s="87">
        <v>136.82003429875837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0</v>
      </c>
      <c r="P177" s="87">
        <v>57.130049517852513</v>
      </c>
      <c r="Q177" s="87">
        <v>58.445625343915829</v>
      </c>
      <c r="R177" s="87">
        <v>62.71503894367536</v>
      </c>
      <c r="S177" s="87">
        <v>66.511305902786589</v>
      </c>
      <c r="T177" s="87">
        <v>71.057794459477748</v>
      </c>
      <c r="U177" s="87">
        <v>72.347129550432413</v>
      </c>
      <c r="V177" s="87">
        <v>58.963635135459349</v>
      </c>
      <c r="W177" s="87">
        <v>53.136794232188855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1575.2810390650889</v>
      </c>
      <c r="C179" s="116">
        <v>1558.5197334563354</v>
      </c>
      <c r="D179" s="116">
        <v>1549.5051981190848</v>
      </c>
      <c r="E179" s="116">
        <v>1540.1297663487319</v>
      </c>
      <c r="F179" s="116">
        <v>1530.6112345853267</v>
      </c>
      <c r="G179" s="116">
        <v>1520.2343865928265</v>
      </c>
      <c r="H179" s="116">
        <v>1509.5943630548977</v>
      </c>
      <c r="I179" s="116">
        <v>1497.7049018283549</v>
      </c>
      <c r="J179" s="116">
        <v>1486.2125045530047</v>
      </c>
      <c r="K179" s="116">
        <v>1443.5357063331844</v>
      </c>
      <c r="L179" s="116">
        <v>1466.113002218113</v>
      </c>
      <c r="M179" s="116">
        <v>1457.4804679615675</v>
      </c>
      <c r="N179" s="116">
        <v>1440.5053006525573</v>
      </c>
      <c r="O179" s="116">
        <v>1396.6010112578999</v>
      </c>
      <c r="P179" s="116">
        <v>1360.2051513320785</v>
      </c>
      <c r="Q179" s="116">
        <v>1403.176323979174</v>
      </c>
      <c r="R179" s="116">
        <v>1401.4267710702527</v>
      </c>
      <c r="S179" s="116">
        <v>1394.5260342376889</v>
      </c>
      <c r="T179" s="116">
        <v>1394.9883061237001</v>
      </c>
      <c r="U179" s="116">
        <v>1392.1331301997482</v>
      </c>
      <c r="V179" s="116">
        <v>1297.6617196701143</v>
      </c>
      <c r="W179" s="116">
        <v>1377.7137228339097</v>
      </c>
      <c r="DA179" s="176" t="s">
        <v>916</v>
      </c>
    </row>
    <row r="180" spans="1:105" ht="11.45" customHeight="1" x14ac:dyDescent="0.25">
      <c r="A180" s="111" t="s">
        <v>110</v>
      </c>
      <c r="B180" s="101">
        <v>487.88573439355594</v>
      </c>
      <c r="C180" s="101">
        <v>479.43485745069518</v>
      </c>
      <c r="D180" s="101">
        <v>472.81103487209219</v>
      </c>
      <c r="E180" s="101">
        <v>470.86722655720513</v>
      </c>
      <c r="F180" s="101">
        <v>468.46918872486322</v>
      </c>
      <c r="G180" s="101">
        <v>463.3074111006971</v>
      </c>
      <c r="H180" s="101">
        <v>457.02719450199646</v>
      </c>
      <c r="I180" s="101">
        <v>455.51559605640574</v>
      </c>
      <c r="J180" s="101">
        <v>446.89349106228218</v>
      </c>
      <c r="K180" s="101">
        <v>445.19855314048294</v>
      </c>
      <c r="L180" s="101">
        <v>442.07362708637874</v>
      </c>
      <c r="M180" s="101">
        <v>439.60528702802117</v>
      </c>
      <c r="N180" s="101">
        <v>433.84138225825291</v>
      </c>
      <c r="O180" s="101">
        <v>416.55248312113525</v>
      </c>
      <c r="P180" s="101">
        <v>414.24037372261125</v>
      </c>
      <c r="Q180" s="101">
        <v>410.18523727367517</v>
      </c>
      <c r="R180" s="101">
        <v>409.48746357432572</v>
      </c>
      <c r="S180" s="101">
        <v>408.83532479079764</v>
      </c>
      <c r="T180" s="101">
        <v>408.15358708131663</v>
      </c>
      <c r="U180" s="101">
        <v>406.79048169761631</v>
      </c>
      <c r="V180" s="101">
        <v>406.00843097628302</v>
      </c>
      <c r="W180" s="101">
        <v>404.81179087252644</v>
      </c>
      <c r="DA180" s="175" t="s">
        <v>917</v>
      </c>
    </row>
    <row r="181" spans="1:105" ht="11.45" customHeight="1" x14ac:dyDescent="0.25">
      <c r="A181" s="111" t="s">
        <v>111</v>
      </c>
      <c r="B181" s="101">
        <v>1580.2583808507195</v>
      </c>
      <c r="C181" s="101">
        <v>1555.7992603263947</v>
      </c>
      <c r="D181" s="101">
        <v>1543.337802446837</v>
      </c>
      <c r="E181" s="101">
        <v>1530.4260895863279</v>
      </c>
      <c r="F181" s="101">
        <v>1518.2448716227375</v>
      </c>
      <c r="G181" s="101">
        <v>1506.3463620629002</v>
      </c>
      <c r="H181" s="101">
        <v>1494.8972440589828</v>
      </c>
      <c r="I181" s="101">
        <v>1482.3243337316721</v>
      </c>
      <c r="J181" s="101">
        <v>1472.2133729229586</v>
      </c>
      <c r="K181" s="101">
        <v>1463.6567105722665</v>
      </c>
      <c r="L181" s="101">
        <v>1457.6805092383374</v>
      </c>
      <c r="M181" s="101">
        <v>1448.5575805758829</v>
      </c>
      <c r="N181" s="101">
        <v>1440.6340480546578</v>
      </c>
      <c r="O181" s="101">
        <v>1430.4758698484648</v>
      </c>
      <c r="P181" s="101">
        <v>1420.3054844344076</v>
      </c>
      <c r="Q181" s="101">
        <v>1411.2313083329541</v>
      </c>
      <c r="R181" s="101">
        <v>1407.7947646028579</v>
      </c>
      <c r="S181" s="101">
        <v>1404.3373647930364</v>
      </c>
      <c r="T181" s="101">
        <v>1398.866627062062</v>
      </c>
      <c r="U181" s="101">
        <v>1395.0366287860963</v>
      </c>
      <c r="V181" s="101">
        <v>1392.3919031652783</v>
      </c>
      <c r="W181" s="101">
        <v>1385.8211033961309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1006.6908136632949</v>
      </c>
      <c r="J182" s="101">
        <v>1006.6908136632949</v>
      </c>
      <c r="K182" s="101">
        <v>1006.6908136632951</v>
      </c>
      <c r="L182" s="101">
        <v>1006.6908136632951</v>
      </c>
      <c r="M182" s="101">
        <v>998.82558452757553</v>
      </c>
      <c r="N182" s="101">
        <v>998.82558452757542</v>
      </c>
      <c r="O182" s="101">
        <v>982.58025827288043</v>
      </c>
      <c r="P182" s="101">
        <v>981.85878656894442</v>
      </c>
      <c r="Q182" s="101">
        <v>981.85878656894442</v>
      </c>
      <c r="R182" s="101">
        <v>981.85878656894431</v>
      </c>
      <c r="S182" s="101">
        <v>980.43673464627807</v>
      </c>
      <c r="T182" s="101">
        <v>980.4367346462783</v>
      </c>
      <c r="U182" s="101">
        <v>971.66635065744185</v>
      </c>
      <c r="V182" s="101">
        <v>947.10763309599542</v>
      </c>
      <c r="W182" s="101">
        <v>947.10763309599508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891.3603467731906</v>
      </c>
      <c r="L183" s="101">
        <v>891.04733689906413</v>
      </c>
      <c r="M183" s="101">
        <v>890.89306092761274</v>
      </c>
      <c r="N183" s="101">
        <v>888.87835270713208</v>
      </c>
      <c r="O183" s="101">
        <v>879.11876584307731</v>
      </c>
      <c r="P183" s="101">
        <v>873.41730256058418</v>
      </c>
      <c r="Q183" s="101">
        <v>873.17647891950708</v>
      </c>
      <c r="R183" s="101">
        <v>872.97911507905178</v>
      </c>
      <c r="S183" s="101">
        <v>872.44465118911739</v>
      </c>
      <c r="T183" s="101">
        <v>872.25572841181929</v>
      </c>
      <c r="U183" s="101">
        <v>871.95395777463227</v>
      </c>
      <c r="V183" s="101">
        <v>870.73828227257741</v>
      </c>
      <c r="W183" s="101">
        <v>870.4748186687616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253.6847266936563</v>
      </c>
      <c r="C186" s="152">
        <v>244.27591423403896</v>
      </c>
      <c r="D186" s="152">
        <v>240.6167195878044</v>
      </c>
      <c r="E186" s="152">
        <v>237.84921908564104</v>
      </c>
      <c r="F186" s="152">
        <v>237.00379630186899</v>
      </c>
      <c r="G186" s="152">
        <v>235.78139570914388</v>
      </c>
      <c r="H186" s="152">
        <v>234.832660265691</v>
      </c>
      <c r="I186" s="152">
        <v>232.25081716777859</v>
      </c>
      <c r="J186" s="152">
        <v>227.42850651328379</v>
      </c>
      <c r="K186" s="152">
        <v>219.29101210452185</v>
      </c>
      <c r="L186" s="152">
        <v>207.55162773574338</v>
      </c>
      <c r="M186" s="152">
        <v>205.46381753190204</v>
      </c>
      <c r="N186" s="152">
        <v>219.00491711301331</v>
      </c>
      <c r="O186" s="152">
        <v>215.12878888325355</v>
      </c>
      <c r="P186" s="152">
        <v>222.09224678767629</v>
      </c>
      <c r="Q186" s="152">
        <v>201.55412606674824</v>
      </c>
      <c r="R186" s="152">
        <v>198.16514246721843</v>
      </c>
      <c r="S186" s="152">
        <v>174.62787382295323</v>
      </c>
      <c r="T186" s="152">
        <v>178.28484868260534</v>
      </c>
      <c r="U186" s="152">
        <v>187.8254606168131</v>
      </c>
      <c r="V186" s="152">
        <v>206.05511996787175</v>
      </c>
      <c r="W186" s="152">
        <v>208.0012287633524</v>
      </c>
      <c r="DA186" s="174" t="s">
        <v>922</v>
      </c>
    </row>
    <row r="187" spans="1:105" ht="11.45" customHeight="1" x14ac:dyDescent="0.25">
      <c r="A187" s="111" t="s">
        <v>110</v>
      </c>
      <c r="B187" s="87">
        <v>233.90814458787878</v>
      </c>
      <c r="C187" s="87">
        <v>228.94624780318966</v>
      </c>
      <c r="D187" s="87">
        <v>227.65182385575608</v>
      </c>
      <c r="E187" s="87">
        <v>226.47721793886623</v>
      </c>
      <c r="F187" s="87">
        <v>225.44619059220869</v>
      </c>
      <c r="G187" s="87">
        <v>224.28633342685015</v>
      </c>
      <c r="H187" s="87">
        <v>222.54135355616035</v>
      </c>
      <c r="I187" s="87">
        <v>218.54324294385145</v>
      </c>
      <c r="J187" s="87">
        <v>216.22637727480185</v>
      </c>
      <c r="K187" s="87">
        <v>213.48336529796876</v>
      </c>
      <c r="L187" s="87">
        <v>210.86776087667636</v>
      </c>
      <c r="M187" s="87">
        <v>210.40851486592996</v>
      </c>
      <c r="N187" s="87">
        <v>206.72797411721646</v>
      </c>
      <c r="O187" s="87">
        <v>206.09694939140354</v>
      </c>
      <c r="P187" s="87">
        <v>205.07589208386554</v>
      </c>
      <c r="Q187" s="87">
        <v>202.15328099618608</v>
      </c>
      <c r="R187" s="87">
        <v>198.97009529200847</v>
      </c>
      <c r="S187" s="87">
        <v>197.57695382293753</v>
      </c>
      <c r="T187" s="87">
        <v>195.27291409680635</v>
      </c>
      <c r="U187" s="87">
        <v>191.77604525257871</v>
      </c>
      <c r="V187" s="87">
        <v>188.27226237738449</v>
      </c>
      <c r="W187" s="87">
        <v>182.26804662221241</v>
      </c>
      <c r="DA187" s="171" t="s">
        <v>923</v>
      </c>
    </row>
    <row r="188" spans="1:105" ht="11.45" customHeight="1" x14ac:dyDescent="0.25">
      <c r="A188" s="111" t="s">
        <v>111</v>
      </c>
      <c r="B188" s="87">
        <v>270.65789656217521</v>
      </c>
      <c r="C188" s="87">
        <v>258.08303498423624</v>
      </c>
      <c r="D188" s="87">
        <v>252.95429932333269</v>
      </c>
      <c r="E188" s="87">
        <v>248.22133489075955</v>
      </c>
      <c r="F188" s="87">
        <v>244.26437520514955</v>
      </c>
      <c r="G188" s="87">
        <v>240.67297298587687</v>
      </c>
      <c r="H188" s="87">
        <v>237.22937173426618</v>
      </c>
      <c r="I188" s="87">
        <v>233.3652352780895</v>
      </c>
      <c r="J188" s="87">
        <v>231.10536683511455</v>
      </c>
      <c r="K188" s="87">
        <v>229.49558510033629</v>
      </c>
      <c r="L188" s="87">
        <v>228.02824614325959</v>
      </c>
      <c r="M188" s="87">
        <v>226.9609612290962</v>
      </c>
      <c r="N188" s="87">
        <v>224.5346775893376</v>
      </c>
      <c r="O188" s="87">
        <v>223.87442952275134</v>
      </c>
      <c r="P188" s="87">
        <v>221.5116782628472</v>
      </c>
      <c r="Q188" s="87">
        <v>211.75901514066737</v>
      </c>
      <c r="R188" s="87">
        <v>206.47590934954877</v>
      </c>
      <c r="S188" s="87">
        <v>204.08408568776778</v>
      </c>
      <c r="T188" s="87">
        <v>201.09390541180207</v>
      </c>
      <c r="U188" s="87">
        <v>197.16300898313557</v>
      </c>
      <c r="V188" s="87">
        <v>195.17628757361581</v>
      </c>
      <c r="W188" s="87">
        <v>193.23433977831243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157.86982116589741</v>
      </c>
      <c r="J189" s="87">
        <v>153.62120981660334</v>
      </c>
      <c r="K189" s="87">
        <v>152.65735163085191</v>
      </c>
      <c r="L189" s="87">
        <v>151.96562494576619</v>
      </c>
      <c r="M189" s="87">
        <v>151.63678359950896</v>
      </c>
      <c r="N189" s="87">
        <v>151.50252572687555</v>
      </c>
      <c r="O189" s="87">
        <v>149.95522193035711</v>
      </c>
      <c r="P189" s="87">
        <v>148.1644612820337</v>
      </c>
      <c r="Q189" s="87">
        <v>147.02696048827477</v>
      </c>
      <c r="R189" s="87">
        <v>145.15500697388202</v>
      </c>
      <c r="S189" s="87">
        <v>149.39363844391261</v>
      </c>
      <c r="T189" s="87">
        <v>150.24262304682802</v>
      </c>
      <c r="U189" s="87">
        <v>149.73351457924576</v>
      </c>
      <c r="V189" s="87">
        <v>151.07525424511388</v>
      </c>
      <c r="W189" s="87">
        <v>153.11622594164461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179.17393964554566</v>
      </c>
      <c r="L190" s="87">
        <v>178.57828821689333</v>
      </c>
      <c r="M190" s="87">
        <v>178.11951904169945</v>
      </c>
      <c r="N190" s="87">
        <v>173.6977771375139</v>
      </c>
      <c r="O190" s="87">
        <v>173.6977771375139</v>
      </c>
      <c r="P190" s="87">
        <v>172.39461569442514</v>
      </c>
      <c r="Q190" s="87">
        <v>171.05494185639009</v>
      </c>
      <c r="R190" s="87">
        <v>166.97993237208058</v>
      </c>
      <c r="S190" s="87">
        <v>168.9631639958977</v>
      </c>
      <c r="T190" s="87">
        <v>167.69384084537529</v>
      </c>
      <c r="U190" s="87">
        <v>167.3948111018843</v>
      </c>
      <c r="V190" s="87">
        <v>165.87623261277844</v>
      </c>
      <c r="W190" s="87">
        <v>166.8781483198261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995.9304458764218</v>
      </c>
      <c r="C192" s="116">
        <v>976.24779902210355</v>
      </c>
      <c r="D192" s="116">
        <v>970.52285513285415</v>
      </c>
      <c r="E192" s="116">
        <v>964.01359588508353</v>
      </c>
      <c r="F192" s="116">
        <v>960.10219782611068</v>
      </c>
      <c r="G192" s="116">
        <v>956.74779866323615</v>
      </c>
      <c r="H192" s="116">
        <v>944.61409735605309</v>
      </c>
      <c r="I192" s="116">
        <v>939.86871477222496</v>
      </c>
      <c r="J192" s="116">
        <v>928.2112838759673</v>
      </c>
      <c r="K192" s="116">
        <v>919.01533850780777</v>
      </c>
      <c r="L192" s="116">
        <v>917.31201582740164</v>
      </c>
      <c r="M192" s="116">
        <v>911.8247563880492</v>
      </c>
      <c r="N192" s="116">
        <v>904.89622806938792</v>
      </c>
      <c r="O192" s="116">
        <v>890.72531267031854</v>
      </c>
      <c r="P192" s="116">
        <v>875.63647398797411</v>
      </c>
      <c r="Q192" s="116">
        <v>855.52333745325927</v>
      </c>
      <c r="R192" s="116">
        <v>841.36539657632056</v>
      </c>
      <c r="S192" s="116">
        <v>822.50677444675193</v>
      </c>
      <c r="T192" s="116">
        <v>801.75170731967955</v>
      </c>
      <c r="U192" s="116">
        <v>785.30330273344293</v>
      </c>
      <c r="V192" s="116">
        <v>767.93466104725405</v>
      </c>
      <c r="W192" s="116">
        <v>746.31998603839475</v>
      </c>
      <c r="DA192" s="176" t="s">
        <v>928</v>
      </c>
    </row>
    <row r="193" spans="1:105" ht="11.45" customHeight="1" x14ac:dyDescent="0.25">
      <c r="A193" s="128" t="s">
        <v>27</v>
      </c>
      <c r="B193" s="101">
        <v>915.55945723474008</v>
      </c>
      <c r="C193" s="101">
        <v>900.26393421798252</v>
      </c>
      <c r="D193" s="101">
        <v>896.05197964527179</v>
      </c>
      <c r="E193" s="101">
        <v>891.14964987551696</v>
      </c>
      <c r="F193" s="101">
        <v>887.58692778645286</v>
      </c>
      <c r="G193" s="101">
        <v>884.73157662214976</v>
      </c>
      <c r="H193" s="101">
        <v>875.1222634095941</v>
      </c>
      <c r="I193" s="101">
        <v>871.06001660899415</v>
      </c>
      <c r="J193" s="101">
        <v>863.77943221369094</v>
      </c>
      <c r="K193" s="101">
        <v>854.92888700432832</v>
      </c>
      <c r="L193" s="101">
        <v>853.75070670353625</v>
      </c>
      <c r="M193" s="101">
        <v>848.87712158494764</v>
      </c>
      <c r="N193" s="101">
        <v>842.51821690788677</v>
      </c>
      <c r="O193" s="101">
        <v>829.31827902871169</v>
      </c>
      <c r="P193" s="101">
        <v>815.21272910098185</v>
      </c>
      <c r="Q193" s="101">
        <v>796.10830975701663</v>
      </c>
      <c r="R193" s="101">
        <v>782.71549880558484</v>
      </c>
      <c r="S193" s="101">
        <v>764.95486561680468</v>
      </c>
      <c r="T193" s="101">
        <v>745.0632195736348</v>
      </c>
      <c r="U193" s="101">
        <v>729.72450547470157</v>
      </c>
      <c r="V193" s="101">
        <v>713.46050366596342</v>
      </c>
      <c r="W193" s="101">
        <v>692.89186222470835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1052.3312804992413</v>
      </c>
      <c r="D194" s="88">
        <v>1039.969969440486</v>
      </c>
      <c r="E194" s="88">
        <v>1029.1614294165208</v>
      </c>
      <c r="F194" s="88">
        <v>1008.360019159217</v>
      </c>
      <c r="G194" s="88">
        <v>997.02111634242942</v>
      </c>
      <c r="H194" s="88">
        <v>991.99616861473692</v>
      </c>
      <c r="I194" s="88">
        <v>976.64820022078095</v>
      </c>
      <c r="J194" s="88">
        <v>953.75413033259883</v>
      </c>
      <c r="K194" s="88">
        <v>949.5562646797415</v>
      </c>
      <c r="L194" s="88">
        <v>943.63659230102041</v>
      </c>
      <c r="M194" s="88">
        <v>934.42974618398068</v>
      </c>
      <c r="N194" s="88">
        <v>925.27263751389512</v>
      </c>
      <c r="O194" s="88">
        <v>910.04064268449179</v>
      </c>
      <c r="P194" s="88">
        <v>892.91075556652663</v>
      </c>
      <c r="Q194" s="88">
        <v>870.04149506143563</v>
      </c>
      <c r="R194" s="88">
        <v>855.21567175574842</v>
      </c>
      <c r="S194" s="88">
        <v>828.183950793652</v>
      </c>
      <c r="T194" s="88">
        <v>817.34730590112531</v>
      </c>
      <c r="U194" s="88">
        <v>811.16335884237776</v>
      </c>
      <c r="V194" s="88">
        <v>794.72562857225023</v>
      </c>
      <c r="W194" s="88">
        <v>788.41896959607641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1.1275000000068982</v>
      </c>
      <c r="C198" s="150">
        <f>IF(TrRoad_act!C59=0,0,TrRoad_emi!C56/TrRoad_tech!C171)</f>
        <v>1.1275493105892325</v>
      </c>
      <c r="D198" s="150">
        <f>IF(TrRoad_act!D59=0,0,TrRoad_emi!D56/TrRoad_tech!D171)</f>
        <v>1.1282541020725356</v>
      </c>
      <c r="E198" s="150">
        <f>IF(TrRoad_act!E59=0,0,TrRoad_emi!E56/TrRoad_tech!E171)</f>
        <v>1.1312548219787459</v>
      </c>
      <c r="F198" s="150">
        <f>IF(TrRoad_act!F59=0,0,TrRoad_emi!F56/TrRoad_tech!F171)</f>
        <v>1.1350626310610579</v>
      </c>
      <c r="G198" s="150">
        <f>IF(TrRoad_act!G59=0,0,TrRoad_emi!G56/TrRoad_tech!G171)</f>
        <v>1.1401279462923297</v>
      </c>
      <c r="H198" s="150">
        <f>IF(TrRoad_act!H59=0,0,TrRoad_emi!H56/TrRoad_tech!H171)</f>
        <v>1.1459773429352398</v>
      </c>
      <c r="I198" s="150">
        <f>IF(TrRoad_act!I59=0,0,TrRoad_emi!I56/TrRoad_tech!I171)</f>
        <v>1.1499108451763569</v>
      </c>
      <c r="J198" s="150">
        <f>IF(TrRoad_act!J59=0,0,TrRoad_emi!J56/TrRoad_tech!J171)</f>
        <v>1.1545801095611745</v>
      </c>
      <c r="K198" s="150">
        <f>IF(TrRoad_act!K59=0,0,TrRoad_emi!K56/TrRoad_tech!K171)</f>
        <v>1.153778607642614</v>
      </c>
      <c r="L198" s="150">
        <f>IF(TrRoad_act!L59=0,0,TrRoad_emi!L56/TrRoad_tech!L171)</f>
        <v>1.1604736144475194</v>
      </c>
      <c r="M198" s="150">
        <f>IF(TrRoad_act!M59=0,0,TrRoad_emi!M56/TrRoad_tech!M171)</f>
        <v>1.161129266514509</v>
      </c>
      <c r="N198" s="150">
        <f>IF(TrRoad_act!N59=0,0,TrRoad_emi!N56/TrRoad_tech!N171)</f>
        <v>1.1634206099337197</v>
      </c>
      <c r="O198" s="150">
        <f>IF(TrRoad_act!O59=0,0,TrRoad_emi!O56/TrRoad_tech!O171)</f>
        <v>1.1666037043370356</v>
      </c>
      <c r="P198" s="150">
        <f>IF(TrRoad_act!P59=0,0,TrRoad_emi!P56/TrRoad_tech!P171)</f>
        <v>1.1732188180594276</v>
      </c>
      <c r="Q198" s="150">
        <f>IF(TrRoad_act!Q59=0,0,TrRoad_emi!Q56/TrRoad_tech!Q171)</f>
        <v>1.1753339022046096</v>
      </c>
      <c r="R198" s="150">
        <f>IF(TrRoad_act!R59=0,0,TrRoad_emi!R56/TrRoad_tech!R171)</f>
        <v>1.1803564342512032</v>
      </c>
      <c r="S198" s="150">
        <f>IF(TrRoad_act!S59=0,0,TrRoad_emi!S56/TrRoad_tech!S171)</f>
        <v>1.1849433961569842</v>
      </c>
      <c r="T198" s="150">
        <f>IF(TrRoad_act!T59=0,0,TrRoad_emi!T56/TrRoad_tech!T171)</f>
        <v>1.1940731247911662</v>
      </c>
      <c r="U198" s="150">
        <f>IF(TrRoad_act!U59=0,0,TrRoad_emi!U56/TrRoad_tech!U171)</f>
        <v>1.1999289574314229</v>
      </c>
      <c r="V198" s="150">
        <f>IF(TrRoad_act!V59=0,0,TrRoad_emi!V56/TrRoad_tech!V171)</f>
        <v>1.2053009294936889</v>
      </c>
      <c r="W198" s="150">
        <f>IF(TrRoad_act!W59=0,0,TrRoad_emi!W56/TrRoad_tech!W171)</f>
        <v>1.2063988449603922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1.0871460481226634</v>
      </c>
      <c r="C199" s="151">
        <f>IF(TrRoad_act!C60=0,0,TrRoad_emi!C57/TrRoad_tech!C172)</f>
        <v>1.0352804000384213</v>
      </c>
      <c r="D199" s="151">
        <f>IF(TrRoad_act!D60=0,0,TrRoad_emi!D57/TrRoad_tech!D172)</f>
        <v>1.0070222341118376</v>
      </c>
      <c r="E199" s="151">
        <f>IF(TrRoad_act!E60=0,0,TrRoad_emi!E57/TrRoad_tech!E172)</f>
        <v>1.0678669099943285</v>
      </c>
      <c r="F199" s="151">
        <f>IF(TrRoad_act!F60=0,0,TrRoad_emi!F57/TrRoad_tech!F172)</f>
        <v>1.0409294172113732</v>
      </c>
      <c r="G199" s="151">
        <f>IF(TrRoad_act!G60=0,0,TrRoad_emi!G57/TrRoad_tech!G172)</f>
        <v>1.074659171370334</v>
      </c>
      <c r="H199" s="151">
        <f>IF(TrRoad_act!H60=0,0,TrRoad_emi!H57/TrRoad_tech!H172)</f>
        <v>1.145731194128836</v>
      </c>
      <c r="I199" s="151">
        <f>IF(TrRoad_act!I60=0,0,TrRoad_emi!I57/TrRoad_tech!I172)</f>
        <v>1.2119469445096116</v>
      </c>
      <c r="J199" s="151">
        <f>IF(TrRoad_act!J60=0,0,TrRoad_emi!J57/TrRoad_tech!J172)</f>
        <v>1.0966155385328071</v>
      </c>
      <c r="K199" s="151">
        <f>IF(TrRoad_act!K60=0,0,TrRoad_emi!K57/TrRoad_tech!K172)</f>
        <v>1.1548426688604803</v>
      </c>
      <c r="L199" s="151">
        <f>IF(TrRoad_act!L60=0,0,TrRoad_emi!L57/TrRoad_tech!L172)</f>
        <v>1.0889492631413358</v>
      </c>
      <c r="M199" s="151">
        <f>IF(TrRoad_act!M60=0,0,TrRoad_emi!M57/TrRoad_tech!M172)</f>
        <v>1.0935278760085689</v>
      </c>
      <c r="N199" s="151">
        <f>IF(TrRoad_act!N60=0,0,TrRoad_emi!N57/TrRoad_tech!N172)</f>
        <v>1.1187358196138908</v>
      </c>
      <c r="O199" s="151">
        <f>IF(TrRoad_act!O60=0,0,TrRoad_emi!O57/TrRoad_tech!O172)</f>
        <v>1.0959699014840412</v>
      </c>
      <c r="P199" s="151">
        <f>IF(TrRoad_act!P60=0,0,TrRoad_emi!P57/TrRoad_tech!P172)</f>
        <v>1.1066323099826609</v>
      </c>
      <c r="Q199" s="151">
        <f>IF(TrRoad_act!Q60=0,0,TrRoad_emi!Q57/TrRoad_tech!Q172)</f>
        <v>1.1420713506496492</v>
      </c>
      <c r="R199" s="151">
        <f>IF(TrRoad_act!R60=0,0,TrRoad_emi!R57/TrRoad_tech!R172)</f>
        <v>1.1007881769136745</v>
      </c>
      <c r="S199" s="151">
        <f>IF(TrRoad_act!S60=0,0,TrRoad_emi!S57/TrRoad_tech!S172)</f>
        <v>1.1162590187062464</v>
      </c>
      <c r="T199" s="151">
        <f>IF(TrRoad_act!T60=0,0,TrRoad_emi!T57/TrRoad_tech!T172)</f>
        <v>1.0538678776381598</v>
      </c>
      <c r="U199" s="151">
        <f>IF(TrRoad_act!U60=0,0,TrRoad_emi!U57/TrRoad_tech!U172)</f>
        <v>1.1444519546013048</v>
      </c>
      <c r="V199" s="151">
        <f>IF(TrRoad_act!V60=0,0,TrRoad_emi!V57/TrRoad_tech!V172)</f>
        <v>1.2236082967892081</v>
      </c>
      <c r="W199" s="151">
        <f>IF(TrRoad_act!W60=0,0,TrRoad_emi!W57/TrRoad_tech!W172)</f>
        <v>1.1845678371173998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1.1245554424174566</v>
      </c>
      <c r="C200" s="91">
        <f>IF(TrRoad_act!C61=0,0,TrRoad_emi!C58/TrRoad_tech!C173)</f>
        <v>1.0428099531518873</v>
      </c>
      <c r="D200" s="91">
        <f>IF(TrRoad_act!D61=0,0,TrRoad_emi!D58/TrRoad_tech!D173)</f>
        <v>1.0379115916313331</v>
      </c>
      <c r="E200" s="91">
        <f>IF(TrRoad_act!E61=0,0,TrRoad_emi!E58/TrRoad_tech!E173)</f>
        <v>1.1075059997974197</v>
      </c>
      <c r="F200" s="91">
        <f>IF(TrRoad_act!F61=0,0,TrRoad_emi!F58/TrRoad_tech!F173)</f>
        <v>1.081760088397675</v>
      </c>
      <c r="G200" s="91">
        <f>IF(TrRoad_act!G61=0,0,TrRoad_emi!G58/TrRoad_tech!G173)</f>
        <v>1.1166432163998055</v>
      </c>
      <c r="H200" s="91">
        <f>IF(TrRoad_act!H61=0,0,TrRoad_emi!H58/TrRoad_tech!H173)</f>
        <v>1.198493456525819</v>
      </c>
      <c r="I200" s="91">
        <f>IF(TrRoad_act!I61=0,0,TrRoad_emi!I58/TrRoad_tech!I173)</f>
        <v>1.2655458451557655</v>
      </c>
      <c r="J200" s="91">
        <f>IF(TrRoad_act!J61=0,0,TrRoad_emi!J58/TrRoad_tech!J173)</f>
        <v>1.0361536827432274</v>
      </c>
      <c r="K200" s="91">
        <f>IF(TrRoad_act!K61=0,0,TrRoad_emi!K58/TrRoad_tech!K173)</f>
        <v>1.0758483317368368</v>
      </c>
      <c r="L200" s="91">
        <f>IF(TrRoad_act!L61=0,0,TrRoad_emi!L58/TrRoad_tech!L173)</f>
        <v>1.0277747381956688</v>
      </c>
      <c r="M200" s="91">
        <f>IF(TrRoad_act!M61=0,0,TrRoad_emi!M58/TrRoad_tech!M173)</f>
        <v>1.0512611512878574</v>
      </c>
      <c r="N200" s="91">
        <f>IF(TrRoad_act!N61=0,0,TrRoad_emi!N58/TrRoad_tech!N173)</f>
        <v>1.0527439648361467</v>
      </c>
      <c r="O200" s="91">
        <f>IF(TrRoad_act!O61=0,0,TrRoad_emi!O58/TrRoad_tech!O173)</f>
        <v>1.0705370109437626</v>
      </c>
      <c r="P200" s="91">
        <f>IF(TrRoad_act!P61=0,0,TrRoad_emi!P58/TrRoad_tech!P173)</f>
        <v>1.086947365104872</v>
      </c>
      <c r="Q200" s="91">
        <f>IF(TrRoad_act!Q61=0,0,TrRoad_emi!Q58/TrRoad_tech!Q173)</f>
        <v>1.0955055511797673</v>
      </c>
      <c r="R200" s="91">
        <f>IF(TrRoad_act!R61=0,0,TrRoad_emi!R58/TrRoad_tech!R173)</f>
        <v>1.0737243464613615</v>
      </c>
      <c r="S200" s="91">
        <f>IF(TrRoad_act!S61=0,0,TrRoad_emi!S58/TrRoad_tech!S173)</f>
        <v>1.0465670401301221</v>
      </c>
      <c r="T200" s="91">
        <f>IF(TrRoad_act!T61=0,0,TrRoad_emi!T58/TrRoad_tech!T173)</f>
        <v>1.002244941735374</v>
      </c>
      <c r="U200" s="91">
        <f>IF(TrRoad_act!U61=0,0,TrRoad_emi!U58/TrRoad_tech!U173)</f>
        <v>1.0642277611513999</v>
      </c>
      <c r="V200" s="91">
        <f>IF(TrRoad_act!V61=0,0,TrRoad_emi!V58/TrRoad_tech!V173)</f>
        <v>1.1377771841426698</v>
      </c>
      <c r="W200" s="91">
        <f>IF(TrRoad_act!W61=0,0,TrRoad_emi!W58/TrRoad_tech!W173)</f>
        <v>1.1186259380216326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0.99886101824022255</v>
      </c>
      <c r="C201" s="91">
        <f>IF(TrRoad_act!C62=0,0,TrRoad_emi!C59/TrRoad_tech!C174)</f>
        <v>1.065416220534011</v>
      </c>
      <c r="D201" s="91">
        <f>IF(TrRoad_act!D62=0,0,TrRoad_emi!D59/TrRoad_tech!D174)</f>
        <v>0.96412044772732386</v>
      </c>
      <c r="E201" s="91">
        <f>IF(TrRoad_act!E62=0,0,TrRoad_emi!E59/TrRoad_tech!E174)</f>
        <v>1.0343009222097255</v>
      </c>
      <c r="F201" s="91">
        <f>IF(TrRoad_act!F62=0,0,TrRoad_emi!F59/TrRoad_tech!F174)</f>
        <v>1.0091889098617601</v>
      </c>
      <c r="G201" s="91">
        <f>IF(TrRoad_act!G62=0,0,TrRoad_emi!G59/TrRoad_tech!G174)</f>
        <v>1.0401467583682555</v>
      </c>
      <c r="H201" s="91">
        <f>IF(TrRoad_act!H62=0,0,TrRoad_emi!H59/TrRoad_tech!H174)</f>
        <v>1.0908597704487433</v>
      </c>
      <c r="I201" s="91">
        <f>IF(TrRoad_act!I62=0,0,TrRoad_emi!I59/TrRoad_tech!I174)</f>
        <v>1.1771311257601076</v>
      </c>
      <c r="J201" s="91">
        <f>IF(TrRoad_act!J62=0,0,TrRoad_emi!J59/TrRoad_tech!J174)</f>
        <v>1.1768884946997198</v>
      </c>
      <c r="K201" s="91">
        <f>IF(TrRoad_act!K62=0,0,TrRoad_emi!K59/TrRoad_tech!K174)</f>
        <v>1.2631105142171746</v>
      </c>
      <c r="L201" s="91">
        <f>IF(TrRoad_act!L62=0,0,TrRoad_emi!L59/TrRoad_tech!L174)</f>
        <v>1.2155629074204961</v>
      </c>
      <c r="M201" s="91">
        <f>IF(TrRoad_act!M62=0,0,TrRoad_emi!M59/TrRoad_tech!M174)</f>
        <v>1.1980244067703332</v>
      </c>
      <c r="N201" s="91">
        <f>IF(TrRoad_act!N62=0,0,TrRoad_emi!N59/TrRoad_tech!N174)</f>
        <v>1.247155401129201</v>
      </c>
      <c r="O201" s="91">
        <f>IF(TrRoad_act!O62=0,0,TrRoad_emi!O59/TrRoad_tech!O174)</f>
        <v>1.1831283551719871</v>
      </c>
      <c r="P201" s="91">
        <f>IF(TrRoad_act!P62=0,0,TrRoad_emi!P59/TrRoad_tech!P174)</f>
        <v>1.1779623005089142</v>
      </c>
      <c r="Q201" s="91">
        <f>IF(TrRoad_act!Q62=0,0,TrRoad_emi!Q59/TrRoad_tech!Q174)</f>
        <v>1.2423081320265303</v>
      </c>
      <c r="R201" s="91">
        <f>IF(TrRoad_act!R62=0,0,TrRoad_emi!R59/TrRoad_tech!R174)</f>
        <v>1.1692084426551164</v>
      </c>
      <c r="S201" s="91">
        <f>IF(TrRoad_act!S62=0,0,TrRoad_emi!S59/TrRoad_tech!S174)</f>
        <v>1.2030161180201258</v>
      </c>
      <c r="T201" s="91">
        <f>IF(TrRoad_act!T62=0,0,TrRoad_emi!T59/TrRoad_tech!T174)</f>
        <v>1.1147997732918078</v>
      </c>
      <c r="U201" s="91">
        <f>IF(TrRoad_act!U62=0,0,TrRoad_emi!U59/TrRoad_tech!U174)</f>
        <v>1.2252388914561945</v>
      </c>
      <c r="V201" s="91">
        <f>IF(TrRoad_act!V62=0,0,TrRoad_emi!V59/TrRoad_tech!V174)</f>
        <v>1.3059525543533379</v>
      </c>
      <c r="W201" s="91">
        <f>IF(TrRoad_act!W62=0,0,TrRoad_emi!W59/TrRoad_tech!W174)</f>
        <v>1.2334321733416167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0.99236073794788193</v>
      </c>
      <c r="C202" s="91">
        <f>IF(TrRoad_act!C63=0,0,TrRoad_emi!C60/TrRoad_tech!C175)</f>
        <v>1.0323790834276685</v>
      </c>
      <c r="D202" s="91">
        <f>IF(TrRoad_act!D63=0,0,TrRoad_emi!D60/TrRoad_tech!D175)</f>
        <v>1.0559954445528583</v>
      </c>
      <c r="E202" s="91">
        <f>IF(TrRoad_act!E63=0,0,TrRoad_emi!E60/TrRoad_tech!E175)</f>
        <v>1.0484359818343247</v>
      </c>
      <c r="F202" s="91">
        <f>IF(TrRoad_act!F63=0,0,TrRoad_emi!F60/TrRoad_tech!F175)</f>
        <v>1.0364830880764544</v>
      </c>
      <c r="G202" s="91">
        <f>IF(TrRoad_act!G63=0,0,TrRoad_emi!G60/TrRoad_tech!G175)</f>
        <v>1.0400130792845128</v>
      </c>
      <c r="H202" s="91">
        <f>IF(TrRoad_act!H63=0,0,TrRoad_emi!H60/TrRoad_tech!H175)</f>
        <v>1.0069637421648925</v>
      </c>
      <c r="I202" s="91">
        <f>IF(TrRoad_act!I63=0,0,TrRoad_emi!I60/TrRoad_tech!I175)</f>
        <v>0.99389197189726153</v>
      </c>
      <c r="J202" s="91">
        <f>IF(TrRoad_act!J63=0,0,TrRoad_emi!J60/TrRoad_tech!J175)</f>
        <v>1.0298481025289834</v>
      </c>
      <c r="K202" s="91">
        <f>IF(TrRoad_act!K63=0,0,TrRoad_emi!K60/TrRoad_tech!K175)</f>
        <v>0.98867792752367334</v>
      </c>
      <c r="L202" s="91">
        <f>IF(TrRoad_act!L63=0,0,TrRoad_emi!L60/TrRoad_tech!L175)</f>
        <v>0.97384477024540939</v>
      </c>
      <c r="M202" s="91">
        <f>IF(TrRoad_act!M63=0,0,TrRoad_emi!M60/TrRoad_tech!M175)</f>
        <v>0.97568635456452457</v>
      </c>
      <c r="N202" s="91">
        <f>IF(TrRoad_act!N63=0,0,TrRoad_emi!N60/TrRoad_tech!N175)</f>
        <v>0.97667484082248668</v>
      </c>
      <c r="O202" s="91">
        <f>IF(TrRoad_act!O63=0,0,TrRoad_emi!O60/TrRoad_tech!O175)</f>
        <v>0.97861405290939452</v>
      </c>
      <c r="P202" s="91">
        <f>IF(TrRoad_act!P63=0,0,TrRoad_emi!P60/TrRoad_tech!P175)</f>
        <v>0.98453901330536375</v>
      </c>
      <c r="Q202" s="91">
        <f>IF(TrRoad_act!Q63=0,0,TrRoad_emi!Q60/TrRoad_tech!Q175)</f>
        <v>0.9898211786165747</v>
      </c>
      <c r="R202" s="91">
        <f>IF(TrRoad_act!R63=0,0,TrRoad_emi!R60/TrRoad_tech!R175)</f>
        <v>1.0373713478068289</v>
      </c>
      <c r="S202" s="91">
        <f>IF(TrRoad_act!S63=0,0,TrRoad_emi!S60/TrRoad_tech!S175)</f>
        <v>1.0405012550245645</v>
      </c>
      <c r="T202" s="91">
        <f>IF(TrRoad_act!T63=0,0,TrRoad_emi!T60/TrRoad_tech!T175)</f>
        <v>1.0453753922735436</v>
      </c>
      <c r="U202" s="91">
        <f>IF(TrRoad_act!U63=0,0,TrRoad_emi!U60/TrRoad_tech!U175)</f>
        <v>1.0498723200186912</v>
      </c>
      <c r="V202" s="91">
        <f>IF(TrRoad_act!V63=0,0,TrRoad_emi!V60/TrRoad_tech!V175)</f>
        <v>1.0543211846458187</v>
      </c>
      <c r="W202" s="91">
        <f>IF(TrRoad_act!W63=0,0,TrRoad_emi!W60/TrRoad_tech!W175)</f>
        <v>1.0461043370536689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1.0511111111157001</v>
      </c>
      <c r="L203" s="91">
        <f>IF(TrRoad_act!L64=0,0,TrRoad_emi!L61/TrRoad_tech!L176)</f>
        <v>1.0518478927585679</v>
      </c>
      <c r="M203" s="91">
        <f>IF(TrRoad_act!M64=0,0,TrRoad_emi!M61/TrRoad_tech!M176)</f>
        <v>1.0518686116174976</v>
      </c>
      <c r="N203" s="91">
        <f>IF(TrRoad_act!N64=0,0,TrRoad_emi!N61/TrRoad_tech!N176)</f>
        <v>1.0536214110034052</v>
      </c>
      <c r="O203" s="91">
        <f>IF(TrRoad_act!O64=0,0,TrRoad_emi!O61/TrRoad_tech!O176)</f>
        <v>1.0546391888508722</v>
      </c>
      <c r="P203" s="91">
        <f>IF(TrRoad_act!P64=0,0,TrRoad_emi!P61/TrRoad_tech!P176)</f>
        <v>1.0579270857755272</v>
      </c>
      <c r="Q203" s="91">
        <f>IF(TrRoad_act!Q64=0,0,TrRoad_emi!Q61/TrRoad_tech!Q176)</f>
        <v>1.0582192852549976</v>
      </c>
      <c r="R203" s="91">
        <f>IF(TrRoad_act!R64=0,0,TrRoad_emi!R61/TrRoad_tech!R176)</f>
        <v>1.0621690064202138</v>
      </c>
      <c r="S203" s="91">
        <f>IF(TrRoad_act!S64=0,0,TrRoad_emi!S61/TrRoad_tech!S176)</f>
        <v>1.0698661292122609</v>
      </c>
      <c r="T203" s="91">
        <f>IF(TrRoad_act!T64=0,0,TrRoad_emi!T61/TrRoad_tech!T176)</f>
        <v>1.0715978337246324</v>
      </c>
      <c r="U203" s="91">
        <f>IF(TrRoad_act!U64=0,0,TrRoad_emi!U61/TrRoad_tech!U176)</f>
        <v>1.0726164172913013</v>
      </c>
      <c r="V203" s="91">
        <f>IF(TrRoad_act!V64=0,0,TrRoad_emi!V61/TrRoad_tech!V176)</f>
        <v>1.072951086920338</v>
      </c>
      <c r="W203" s="91">
        <f>IF(TrRoad_act!W64=0,0,TrRoad_emi!W61/TrRoad_tech!W176)</f>
        <v>1.0736316758090756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0</v>
      </c>
      <c r="P204" s="91">
        <f>IF(TrRoad_act!P65=0,0,TrRoad_emi!P62/TrRoad_tech!P177)</f>
        <v>1.1318280144329425</v>
      </c>
      <c r="Q204" s="91">
        <f>IF(TrRoad_act!Q65=0,0,TrRoad_emi!Q62/TrRoad_tech!Q177)</f>
        <v>1.1446151961882873</v>
      </c>
      <c r="R204" s="91">
        <f>IF(TrRoad_act!R65=0,0,TrRoad_emi!R62/TrRoad_tech!R177)</f>
        <v>1.1221167622683241</v>
      </c>
      <c r="S204" s="91">
        <f>IF(TrRoad_act!S65=0,0,TrRoad_emi!S62/TrRoad_tech!S177)</f>
        <v>1.092297957812977</v>
      </c>
      <c r="T204" s="91">
        <f>IF(TrRoad_act!T65=0,0,TrRoad_emi!T62/TrRoad_tech!T177)</f>
        <v>1.0441432179932228</v>
      </c>
      <c r="U204" s="91">
        <f>IF(TrRoad_act!U65=0,0,TrRoad_emi!U62/TrRoad_tech!U177)</f>
        <v>1.1069294088277046</v>
      </c>
      <c r="V204" s="91">
        <f>IF(TrRoad_act!V65=0,0,TrRoad_emi!V62/TrRoad_tech!V177)</f>
        <v>1.1808968593765294</v>
      </c>
      <c r="W204" s="91">
        <f>IF(TrRoad_act!W65=0,0,TrRoad_emi!W62/TrRoad_tech!W177)</f>
        <v>1.1590284223845675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1.0478067789257894</v>
      </c>
      <c r="C206" s="151">
        <f>IF(TrRoad_act!C67=0,0,TrRoad_emi!C64/TrRoad_tech!C179)</f>
        <v>1.0169516417457645</v>
      </c>
      <c r="D206" s="151">
        <f>IF(TrRoad_act!D67=0,0,TrRoad_emi!D64/TrRoad_tech!D179)</f>
        <v>1.0287633584868618</v>
      </c>
      <c r="E206" s="151">
        <f>IF(TrRoad_act!E67=0,0,TrRoad_emi!E64/TrRoad_tech!E179)</f>
        <v>1.0539175122326743</v>
      </c>
      <c r="F206" s="151">
        <f>IF(TrRoad_act!F67=0,0,TrRoad_emi!F64/TrRoad_tech!F179)</f>
        <v>1.0503613684665274</v>
      </c>
      <c r="G206" s="151">
        <f>IF(TrRoad_act!G67=0,0,TrRoad_emi!G64/TrRoad_tech!G179)</f>
        <v>1.0623340909672319</v>
      </c>
      <c r="H206" s="151">
        <f>IF(TrRoad_act!H67=0,0,TrRoad_emi!H64/TrRoad_tech!H179)</f>
        <v>1.0805975016380323</v>
      </c>
      <c r="I206" s="151">
        <f>IF(TrRoad_act!I67=0,0,TrRoad_emi!I64/TrRoad_tech!I179)</f>
        <v>1.1196600636337246</v>
      </c>
      <c r="J206" s="151">
        <f>IF(TrRoad_act!J67=0,0,TrRoad_emi!J64/TrRoad_tech!J179)</f>
        <v>1.1362641300569978</v>
      </c>
      <c r="K206" s="151">
        <f>IF(TrRoad_act!K67=0,0,TrRoad_emi!K64/TrRoad_tech!K179)</f>
        <v>1.2099115869648334</v>
      </c>
      <c r="L206" s="151">
        <f>IF(TrRoad_act!L67=0,0,TrRoad_emi!L64/TrRoad_tech!L179)</f>
        <v>1.1949498073946481</v>
      </c>
      <c r="M206" s="151">
        <f>IF(TrRoad_act!M67=0,0,TrRoad_emi!M64/TrRoad_tech!M179)</f>
        <v>1.1818505470485849</v>
      </c>
      <c r="N206" s="151">
        <f>IF(TrRoad_act!N67=0,0,TrRoad_emi!N64/TrRoad_tech!N179)</f>
        <v>1.1850724207208838</v>
      </c>
      <c r="O206" s="151">
        <f>IF(TrRoad_act!O67=0,0,TrRoad_emi!O64/TrRoad_tech!O179)</f>
        <v>1.2319987577686673</v>
      </c>
      <c r="P206" s="151">
        <f>IF(TrRoad_act!P67=0,0,TrRoad_emi!P64/TrRoad_tech!P179)</f>
        <v>1.2455620994924719</v>
      </c>
      <c r="Q206" s="151">
        <f>IF(TrRoad_act!Q67=0,0,TrRoad_emi!Q64/TrRoad_tech!Q179)</f>
        <v>1.2372355214704389</v>
      </c>
      <c r="R206" s="151">
        <f>IF(TrRoad_act!R67=0,0,TrRoad_emi!R64/TrRoad_tech!R179)</f>
        <v>1.2227507869201542</v>
      </c>
      <c r="S206" s="151">
        <f>IF(TrRoad_act!S67=0,0,TrRoad_emi!S64/TrRoad_tech!S179)</f>
        <v>1.2726119159271712</v>
      </c>
      <c r="T206" s="151">
        <f>IF(TrRoad_act!T67=0,0,TrRoad_emi!T64/TrRoad_tech!T179)</f>
        <v>1.2139948379482632</v>
      </c>
      <c r="U206" s="151">
        <f>IF(TrRoad_act!U67=0,0,TrRoad_emi!U64/TrRoad_tech!U179)</f>
        <v>1.2773301766612668</v>
      </c>
      <c r="V206" s="151">
        <f>IF(TrRoad_act!V67=0,0,TrRoad_emi!V64/TrRoad_tech!V179)</f>
        <v>1.3811895124672926</v>
      </c>
      <c r="W206" s="151">
        <f>IF(TrRoad_act!W67=0,0,TrRoad_emi!W64/TrRoad_tech!W179)</f>
        <v>1.266171220292077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1.1005183439418718</v>
      </c>
      <c r="D207" s="93">
        <f>IF(TrRoad_act!D68=0,0,TrRoad_emi!D65/TrRoad_tech!D180)</f>
        <v>1.1016390254769195</v>
      </c>
      <c r="E207" s="93">
        <f>IF(TrRoad_act!E68=0,0,TrRoad_emi!E65/TrRoad_tech!E180)</f>
        <v>1.1021632348603274</v>
      </c>
      <c r="F207" s="93">
        <f>IF(TrRoad_act!F68=0,0,TrRoad_emi!F65/TrRoad_tech!F180)</f>
        <v>1.1030323751985427</v>
      </c>
      <c r="G207" s="93">
        <f>IF(TrRoad_act!G68=0,0,TrRoad_emi!G65/TrRoad_tech!G180)</f>
        <v>1.106121274008202</v>
      </c>
      <c r="H207" s="93">
        <f>IF(TrRoad_act!H68=0,0,TrRoad_emi!H65/TrRoad_tech!H180)</f>
        <v>1.1111772049088759</v>
      </c>
      <c r="I207" s="93">
        <f>IF(TrRoad_act!I68=0,0,TrRoad_emi!I65/TrRoad_tech!I180)</f>
        <v>1.1117636254100707</v>
      </c>
      <c r="J207" s="93">
        <f>IF(TrRoad_act!J68=0,0,TrRoad_emi!J65/TrRoad_tech!J180)</f>
        <v>1.1237718707311553</v>
      </c>
      <c r="K207" s="93">
        <f>IF(TrRoad_act!K68=0,0,TrRoad_emi!K65/TrRoad_tech!K180)</f>
        <v>1.1208796071392311</v>
      </c>
      <c r="L207" s="93">
        <f>IF(TrRoad_act!L68=0,0,TrRoad_emi!L65/TrRoad_tech!L180)</f>
        <v>1.1283956512078861</v>
      </c>
      <c r="M207" s="93">
        <f>IF(TrRoad_act!M68=0,0,TrRoad_emi!M65/TrRoad_tech!M180)</f>
        <v>1.1279229793052636</v>
      </c>
      <c r="N207" s="93">
        <f>IF(TrRoad_act!N68=0,0,TrRoad_emi!N65/TrRoad_tech!N180)</f>
        <v>1.1362061434376984</v>
      </c>
      <c r="O207" s="93">
        <f>IF(TrRoad_act!O68=0,0,TrRoad_emi!O65/TrRoad_tech!O180)</f>
        <v>1.167260309088624</v>
      </c>
      <c r="P207" s="93">
        <f>IF(TrRoad_act!P68=0,0,TrRoad_emi!P65/TrRoad_tech!P180)</f>
        <v>1.1723953668055673</v>
      </c>
      <c r="Q207" s="93">
        <f>IF(TrRoad_act!Q68=0,0,TrRoad_emi!Q65/TrRoad_tech!Q180)</f>
        <v>1.1771367924614</v>
      </c>
      <c r="R207" s="93">
        <f>IF(TrRoad_act!R68=0,0,TrRoad_emi!R65/TrRoad_tech!R180)</f>
        <v>1.1788850322067455</v>
      </c>
      <c r="S207" s="93">
        <f>IF(TrRoad_act!S68=0,0,TrRoad_emi!S65/TrRoad_tech!S180)</f>
        <v>1.1800878098065133</v>
      </c>
      <c r="T207" s="93">
        <f>IF(TrRoad_act!T68=0,0,TrRoad_emi!T65/TrRoad_tech!T180)</f>
        <v>1.1816221390926114</v>
      </c>
      <c r="U207" s="93">
        <f>IF(TrRoad_act!U68=0,0,TrRoad_emi!U65/TrRoad_tech!U180)</f>
        <v>1.184193272757136</v>
      </c>
      <c r="V207" s="93">
        <f>IF(TrRoad_act!V68=0,0,TrRoad_emi!V65/TrRoad_tech!V180)</f>
        <v>1.1864687643712615</v>
      </c>
      <c r="W207" s="93">
        <f>IF(TrRoad_act!W68=0,0,TrRoad_emi!W65/TrRoad_tech!W180)</f>
        <v>1.1895296321770501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1.0465995483498156</v>
      </c>
      <c r="C208" s="93">
        <f>IF(TrRoad_act!C69=0,0,TrRoad_emi!C66/TrRoad_tech!C181)</f>
        <v>1.0208319764878315</v>
      </c>
      <c r="D208" s="93">
        <f>IF(TrRoad_act!D69=0,0,TrRoad_emi!D66/TrRoad_tech!D181)</f>
        <v>1.0350679957576778</v>
      </c>
      <c r="E208" s="93">
        <f>IF(TrRoad_act!E69=0,0,TrRoad_emi!E66/TrRoad_tech!E181)</f>
        <v>1.0628071159975372</v>
      </c>
      <c r="F208" s="93">
        <f>IF(TrRoad_act!F69=0,0,TrRoad_emi!F66/TrRoad_tech!F181)</f>
        <v>1.061000588063294</v>
      </c>
      <c r="G208" s="93">
        <f>IF(TrRoad_act!G69=0,0,TrRoad_emi!G66/TrRoad_tech!G181)</f>
        <v>1.0742966869563448</v>
      </c>
      <c r="H208" s="93">
        <f>IF(TrRoad_act!H69=0,0,TrRoad_emi!H66/TrRoad_tech!H181)</f>
        <v>1.0934913912104116</v>
      </c>
      <c r="I208" s="93">
        <f>IF(TrRoad_act!I69=0,0,TrRoad_emi!I66/TrRoad_tech!I181)</f>
        <v>1.133468101633786</v>
      </c>
      <c r="J208" s="93">
        <f>IF(TrRoad_act!J69=0,0,TrRoad_emi!J66/TrRoad_tech!J181)</f>
        <v>1.1495704135461802</v>
      </c>
      <c r="K208" s="93">
        <f>IF(TrRoad_act!K69=0,0,TrRoad_emi!K66/TrRoad_tech!K181)</f>
        <v>1.1957386999438324</v>
      </c>
      <c r="L208" s="93">
        <f>IF(TrRoad_act!L69=0,0,TrRoad_emi!L66/TrRoad_tech!L181)</f>
        <v>1.1996747428116545</v>
      </c>
      <c r="M208" s="93">
        <f>IF(TrRoad_act!M69=0,0,TrRoad_emi!M66/TrRoad_tech!M181)</f>
        <v>1.1946082718839541</v>
      </c>
      <c r="N208" s="93">
        <f>IF(TrRoad_act!N69=0,0,TrRoad_emi!N66/TrRoad_tech!N181)</f>
        <v>1.1905187912894228</v>
      </c>
      <c r="O208" s="93">
        <f>IF(TrRoad_act!O69=0,0,TrRoad_emi!O66/TrRoad_tech!O181)</f>
        <v>1.2126121850754576</v>
      </c>
      <c r="P208" s="93">
        <f>IF(TrRoad_act!P69=0,0,TrRoad_emi!P66/TrRoad_tech!P181)</f>
        <v>1.2090141280280988</v>
      </c>
      <c r="Q208" s="93">
        <f>IF(TrRoad_act!Q69=0,0,TrRoad_emi!Q66/TrRoad_tech!Q181)</f>
        <v>1.2462443444177029</v>
      </c>
      <c r="R208" s="93">
        <f>IF(TrRoad_act!R69=0,0,TrRoad_emi!R66/TrRoad_tech!R181)</f>
        <v>1.2304221765115728</v>
      </c>
      <c r="S208" s="93">
        <f>IF(TrRoad_act!S69=0,0,TrRoad_emi!S66/TrRoad_tech!S181)</f>
        <v>1.279374786432073</v>
      </c>
      <c r="T208" s="93">
        <f>IF(TrRoad_act!T69=0,0,TrRoad_emi!T66/TrRoad_tech!T181)</f>
        <v>1.2238846312907623</v>
      </c>
      <c r="U208" s="93">
        <f>IF(TrRoad_act!U69=0,0,TrRoad_emi!U66/TrRoad_tech!U181)</f>
        <v>1.2920416594242994</v>
      </c>
      <c r="V208" s="93">
        <f>IF(TrRoad_act!V69=0,0,TrRoad_emi!V66/TrRoad_tech!V181)</f>
        <v>1.30603198829442</v>
      </c>
      <c r="W208" s="93">
        <f>IF(TrRoad_act!W69=0,0,TrRoad_emi!W66/TrRoad_tech!W181)</f>
        <v>1.2794090272796759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1.1560000000067703</v>
      </c>
      <c r="J209" s="93">
        <f>IF(TrRoad_act!J70=0,0,TrRoad_emi!J67/TrRoad_tech!J182)</f>
        <v>1.1560000000067703</v>
      </c>
      <c r="K209" s="93">
        <f>IF(TrRoad_act!K70=0,0,TrRoad_emi!K67/TrRoad_tech!K182)</f>
        <v>1.1560000000067703</v>
      </c>
      <c r="L209" s="93">
        <f>IF(TrRoad_act!L70=0,0,TrRoad_emi!L67/TrRoad_tech!L182)</f>
        <v>1.1560000000067703</v>
      </c>
      <c r="M209" s="93">
        <f>IF(TrRoad_act!M70=0,0,TrRoad_emi!M67/TrRoad_tech!M182)</f>
        <v>1.1886947931870269</v>
      </c>
      <c r="N209" s="93">
        <f>IF(TrRoad_act!N70=0,0,TrRoad_emi!N67/TrRoad_tech!N182)</f>
        <v>1.1886947931870271</v>
      </c>
      <c r="O209" s="93">
        <f>IF(TrRoad_act!O70=0,0,TrRoad_emi!O67/TrRoad_tech!O182)</f>
        <v>1.2466971901477863</v>
      </c>
      <c r="P209" s="93">
        <f>IF(TrRoad_act!P70=0,0,TrRoad_emi!P67/TrRoad_tech!P182)</f>
        <v>1.2509712309732768</v>
      </c>
      <c r="Q209" s="93">
        <f>IF(TrRoad_act!Q70=0,0,TrRoad_emi!Q67/TrRoad_tech!Q182)</f>
        <v>1.2509712309732768</v>
      </c>
      <c r="R209" s="93">
        <f>IF(TrRoad_act!R70=0,0,TrRoad_emi!R67/TrRoad_tech!R182)</f>
        <v>1.250971230973277</v>
      </c>
      <c r="S209" s="93">
        <f>IF(TrRoad_act!S70=0,0,TrRoad_emi!S67/TrRoad_tech!S182)</f>
        <v>1.256555571307723</v>
      </c>
      <c r="T209" s="93">
        <f>IF(TrRoad_act!T70=0,0,TrRoad_emi!T67/TrRoad_tech!T182)</f>
        <v>1.2565555713077226</v>
      </c>
      <c r="U209" s="93">
        <f>IF(TrRoad_act!U70=0,0,TrRoad_emi!U67/TrRoad_tech!U182)</f>
        <v>1.2632559430427128</v>
      </c>
      <c r="V209" s="93">
        <f>IF(TrRoad_act!V70=0,0,TrRoad_emi!V67/TrRoad_tech!V182)</f>
        <v>1.2811688809945672</v>
      </c>
      <c r="W209" s="93">
        <f>IF(TrRoad_act!W70=0,0,TrRoad_emi!W67/TrRoad_tech!W182)</f>
        <v>1.2811688809945676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1.9639892107774359</v>
      </c>
      <c r="L210" s="93">
        <f>IF(TrRoad_act!L71=0,0,TrRoad_emi!L68/TrRoad_tech!L183)</f>
        <v>3.4517658932018129</v>
      </c>
      <c r="M210" s="93">
        <f>IF(TrRoad_act!M71=0,0,TrRoad_emi!M68/TrRoad_tech!M183)</f>
        <v>0.92091344565197275</v>
      </c>
      <c r="N210" s="93">
        <f>IF(TrRoad_act!N71=0,0,TrRoad_emi!N68/TrRoad_tech!N183)</f>
        <v>1.0439097757099409</v>
      </c>
      <c r="O210" s="93">
        <f>IF(TrRoad_act!O71=0,0,TrRoad_emi!O68/TrRoad_tech!O183)</f>
        <v>1.0710306367426934</v>
      </c>
      <c r="P210" s="93">
        <f>IF(TrRoad_act!P71=0,0,TrRoad_emi!P68/TrRoad_tech!P183)</f>
        <v>1.1099517122131619</v>
      </c>
      <c r="Q210" s="93">
        <f>IF(TrRoad_act!Q71=0,0,TrRoad_emi!Q68/TrRoad_tech!Q183)</f>
        <v>1.1452952858399668</v>
      </c>
      <c r="R210" s="93">
        <f>IF(TrRoad_act!R71=0,0,TrRoad_emi!R68/TrRoad_tech!R183)</f>
        <v>1.2571819760144778</v>
      </c>
      <c r="S210" s="93">
        <f>IF(TrRoad_act!S71=0,0,TrRoad_emi!S68/TrRoad_tech!S183)</f>
        <v>1.2605449572302869</v>
      </c>
      <c r="T210" s="93">
        <f>IF(TrRoad_act!T71=0,0,TrRoad_emi!T68/TrRoad_tech!T183)</f>
        <v>1.2613470191159537</v>
      </c>
      <c r="U210" s="93">
        <f>IF(TrRoad_act!U71=0,0,TrRoad_emi!U68/TrRoad_tech!U183)</f>
        <v>1.2626174124339578</v>
      </c>
      <c r="V210" s="93">
        <f>IF(TrRoad_act!V71=0,0,TrRoad_emi!V68/TrRoad_tech!V183)</f>
        <v>1.2706166256370042</v>
      </c>
      <c r="W210" s="93">
        <f>IF(TrRoad_act!W71=0,0,TrRoad_emi!W68/TrRoad_tech!W183)</f>
        <v>1.2718330434521803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1.2500758925551427</v>
      </c>
      <c r="C213" s="150">
        <f>IF(TrRoad_act!C74=0,0,TrRoad_emi!C71/TrRoad_tech!C186)</f>
        <v>1.1675679494241351</v>
      </c>
      <c r="D213" s="150">
        <f>IF(TrRoad_act!D74=0,0,TrRoad_emi!D71/TrRoad_tech!D186)</f>
        <v>1.2102904414271187</v>
      </c>
      <c r="E213" s="150">
        <f>IF(TrRoad_act!E74=0,0,TrRoad_emi!E71/TrRoad_tech!E186)</f>
        <v>1.2146157076051793</v>
      </c>
      <c r="F213" s="150">
        <f>IF(TrRoad_act!F74=0,0,TrRoad_emi!F71/TrRoad_tech!F186)</f>
        <v>1.2059582543970497</v>
      </c>
      <c r="G213" s="150">
        <f>IF(TrRoad_act!G74=0,0,TrRoad_emi!G71/TrRoad_tech!G186)</f>
        <v>1.2258726971555947</v>
      </c>
      <c r="H213" s="150">
        <f>IF(TrRoad_act!H74=0,0,TrRoad_emi!H71/TrRoad_tech!H186)</f>
        <v>1.1864097118628316</v>
      </c>
      <c r="I213" s="150">
        <f>IF(TrRoad_act!I74=0,0,TrRoad_emi!I71/TrRoad_tech!I186)</f>
        <v>1.1957380770831809</v>
      </c>
      <c r="J213" s="150">
        <f>IF(TrRoad_act!J74=0,0,TrRoad_emi!J71/TrRoad_tech!J186)</f>
        <v>1.2163249697202447</v>
      </c>
      <c r="K213" s="150">
        <f>IF(TrRoad_act!K74=0,0,TrRoad_emi!K71/TrRoad_tech!K186)</f>
        <v>1.2589653467267512</v>
      </c>
      <c r="L213" s="150">
        <f>IF(TrRoad_act!L74=0,0,TrRoad_emi!L71/TrRoad_tech!L186)</f>
        <v>1.3311888057965728</v>
      </c>
      <c r="M213" s="150">
        <f>IF(TrRoad_act!M74=0,0,TrRoad_emi!M71/TrRoad_tech!M186)</f>
        <v>1.3271478665796554</v>
      </c>
      <c r="N213" s="150">
        <f>IF(TrRoad_act!N74=0,0,TrRoad_emi!N71/TrRoad_tech!N186)</f>
        <v>1.2096141829734142</v>
      </c>
      <c r="O213" s="150">
        <f>IF(TrRoad_act!O74=0,0,TrRoad_emi!O71/TrRoad_tech!O186)</f>
        <v>1.2151621850213683</v>
      </c>
      <c r="P213" s="150">
        <f>IF(TrRoad_act!P74=0,0,TrRoad_emi!P71/TrRoad_tech!P186)</f>
        <v>1.1373213590602049</v>
      </c>
      <c r="Q213" s="150">
        <f>IF(TrRoad_act!Q74=0,0,TrRoad_emi!Q71/TrRoad_tech!Q186)</f>
        <v>1.2241714724818036</v>
      </c>
      <c r="R213" s="150">
        <f>IF(TrRoad_act!R74=0,0,TrRoad_emi!R71/TrRoad_tech!R186)</f>
        <v>1.2321983196973427</v>
      </c>
      <c r="S213" s="150">
        <f>IF(TrRoad_act!S74=0,0,TrRoad_emi!S71/TrRoad_tech!S186)</f>
        <v>1.445877169248369</v>
      </c>
      <c r="T213" s="150">
        <f>IF(TrRoad_act!T74=0,0,TrRoad_emi!T71/TrRoad_tech!T186)</f>
        <v>1.3536299579585316</v>
      </c>
      <c r="U213" s="150">
        <f>IF(TrRoad_act!U74=0,0,TrRoad_emi!U71/TrRoad_tech!U186)</f>
        <v>1.2741012043005813</v>
      </c>
      <c r="V213" s="150">
        <f>IF(TrRoad_act!V74=0,0,TrRoad_emi!V71/TrRoad_tech!V186)</f>
        <v>1.1473245389797286</v>
      </c>
      <c r="W213" s="150">
        <f>IF(TrRoad_act!W74=0,0,TrRoad_emi!W71/TrRoad_tech!W186)</f>
        <v>1.1337661824485823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1.1001653032922214</v>
      </c>
      <c r="D214" s="91">
        <f>IF(TrRoad_act!D75=0,0,TrRoad_emi!D72/TrRoad_tech!D187)</f>
        <v>1.1002775225895221</v>
      </c>
      <c r="E214" s="91">
        <f>IF(TrRoad_act!E75=0,0,TrRoad_emi!E72/TrRoad_tech!E187)</f>
        <v>1.1004319997319412</v>
      </c>
      <c r="F214" s="91">
        <f>IF(TrRoad_act!F75=0,0,TrRoad_emi!F72/TrRoad_tech!F187)</f>
        <v>1.100601102793821</v>
      </c>
      <c r="G214" s="91">
        <f>IF(TrRoad_act!G75=0,0,TrRoad_emi!G72/TrRoad_tech!G187)</f>
        <v>1.1008628731486965</v>
      </c>
      <c r="H214" s="91">
        <f>IF(TrRoad_act!H75=0,0,TrRoad_emi!H72/TrRoad_tech!H187)</f>
        <v>1.1016816442515049</v>
      </c>
      <c r="I214" s="91">
        <f>IF(TrRoad_act!I75=0,0,TrRoad_emi!I72/TrRoad_tech!I187)</f>
        <v>1.1033867445315186</v>
      </c>
      <c r="J214" s="91">
        <f>IF(TrRoad_act!J75=0,0,TrRoad_emi!J72/TrRoad_tech!J187)</f>
        <v>1.1056778258590869</v>
      </c>
      <c r="K214" s="91">
        <f>IF(TrRoad_act!K75=0,0,TrRoad_emi!K72/TrRoad_tech!K187)</f>
        <v>1.1044247894368335</v>
      </c>
      <c r="L214" s="91">
        <f>IF(TrRoad_act!L75=0,0,TrRoad_emi!L72/TrRoad_tech!L187)</f>
        <v>1.1105036809634068</v>
      </c>
      <c r="M214" s="91">
        <f>IF(TrRoad_act!M75=0,0,TrRoad_emi!M72/TrRoad_tech!M187)</f>
        <v>1.1100630454193126</v>
      </c>
      <c r="N214" s="91">
        <f>IF(TrRoad_act!N75=0,0,TrRoad_emi!N72/TrRoad_tech!N187)</f>
        <v>1.1153919293483181</v>
      </c>
      <c r="O214" s="91">
        <f>IF(TrRoad_act!O75=0,0,TrRoad_emi!O72/TrRoad_tech!O187)</f>
        <v>1.1178211915429628</v>
      </c>
      <c r="P214" s="91">
        <f>IF(TrRoad_act!P75=0,0,TrRoad_emi!P72/TrRoad_tech!P187)</f>
        <v>1.1251801097840066</v>
      </c>
      <c r="Q214" s="91">
        <f>IF(TrRoad_act!Q75=0,0,TrRoad_emi!Q72/TrRoad_tech!Q187)</f>
        <v>1.1349189805062905</v>
      </c>
      <c r="R214" s="91">
        <f>IF(TrRoad_act!R75=0,0,TrRoad_emi!R72/TrRoad_tech!R187)</f>
        <v>1.1466455197157726</v>
      </c>
      <c r="S214" s="91">
        <f>IF(TrRoad_act!S75=0,0,TrRoad_emi!S72/TrRoad_tech!S187)</f>
        <v>1.1583258834919214</v>
      </c>
      <c r="T214" s="91">
        <f>IF(TrRoad_act!T75=0,0,TrRoad_emi!T72/TrRoad_tech!T187)</f>
        <v>1.1695614075678786</v>
      </c>
      <c r="U214" s="91">
        <f>IF(TrRoad_act!U75=0,0,TrRoad_emi!U72/TrRoad_tech!U187)</f>
        <v>1.1800781202800761</v>
      </c>
      <c r="V214" s="91">
        <f>IF(TrRoad_act!V75=0,0,TrRoad_emi!V72/TrRoad_tech!V187)</f>
        <v>1.1902302094513149</v>
      </c>
      <c r="W214" s="91">
        <f>IF(TrRoad_act!W75=0,0,TrRoad_emi!W72/TrRoad_tech!W187)</f>
        <v>1.2073005255905862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1.2226583829380731</v>
      </c>
      <c r="C215" s="91">
        <f>IF(TrRoad_act!C76=0,0,TrRoad_emi!C73/TrRoad_tech!C188)</f>
        <v>1.1338438062225664</v>
      </c>
      <c r="D215" s="91">
        <f>IF(TrRoad_act!D76=0,0,TrRoad_emi!D73/TrRoad_tech!D188)</f>
        <v>1.182405781498211</v>
      </c>
      <c r="E215" s="91">
        <f>IF(TrRoad_act!E76=0,0,TrRoad_emi!E73/TrRoad_tech!E188)</f>
        <v>1.1900685409200593</v>
      </c>
      <c r="F215" s="91">
        <f>IF(TrRoad_act!F76=0,0,TrRoad_emi!F73/TrRoad_tech!F188)</f>
        <v>1.1915061268026061</v>
      </c>
      <c r="G215" s="91">
        <f>IF(TrRoad_act!G76=0,0,TrRoad_emi!G73/TrRoad_tech!G188)</f>
        <v>1.2218622595620956</v>
      </c>
      <c r="H215" s="91">
        <f>IF(TrRoad_act!H76=0,0,TrRoad_emi!H73/TrRoad_tech!H188)</f>
        <v>1.1895956810845447</v>
      </c>
      <c r="I215" s="91">
        <f>IF(TrRoad_act!I76=0,0,TrRoad_emi!I73/TrRoad_tech!I188)</f>
        <v>1.2038776934755984</v>
      </c>
      <c r="J215" s="91">
        <f>IF(TrRoad_act!J76=0,0,TrRoad_emi!J73/TrRoad_tech!J188)</f>
        <v>1.2112840484081879</v>
      </c>
      <c r="K215" s="91">
        <f>IF(TrRoad_act!K76=0,0,TrRoad_emi!K73/TrRoad_tech!K188)</f>
        <v>1.2174122460551389</v>
      </c>
      <c r="L215" s="91">
        <f>IF(TrRoad_act!L76=0,0,TrRoad_emi!L73/TrRoad_tech!L188)</f>
        <v>1.2259405891560673</v>
      </c>
      <c r="M215" s="91">
        <f>IF(TrRoad_act!M76=0,0,TrRoad_emi!M73/TrRoad_tech!M188)</f>
        <v>1.2140890890009359</v>
      </c>
      <c r="N215" s="91">
        <f>IF(TrRoad_act!N76=0,0,TrRoad_emi!N73/TrRoad_tech!N188)</f>
        <v>1.1889741624689456</v>
      </c>
      <c r="O215" s="91">
        <f>IF(TrRoad_act!O76=0,0,TrRoad_emi!O73/TrRoad_tech!O188)</f>
        <v>1.1760367855991649</v>
      </c>
      <c r="P215" s="91">
        <f>IF(TrRoad_act!P76=0,0,TrRoad_emi!P73/TrRoad_tech!P188)</f>
        <v>1.1467251158986353</v>
      </c>
      <c r="Q215" s="91">
        <f>IF(TrRoad_act!Q76=0,0,TrRoad_emi!Q73/TrRoad_tech!Q188)</f>
        <v>1.1702856575551033</v>
      </c>
      <c r="R215" s="91">
        <f>IF(TrRoad_act!R76=0,0,TrRoad_emi!R73/TrRoad_tech!R188)</f>
        <v>1.1875161359690694</v>
      </c>
      <c r="S215" s="91">
        <f>IF(TrRoad_act!S76=0,0,TrRoad_emi!S73/TrRoad_tech!S188)</f>
        <v>1.2435093026502939</v>
      </c>
      <c r="T215" s="91">
        <f>IF(TrRoad_act!T76=0,0,TrRoad_emi!T73/TrRoad_tech!T188)</f>
        <v>1.2042840366602643</v>
      </c>
      <c r="U215" s="91">
        <f>IF(TrRoad_act!U76=0,0,TrRoad_emi!U73/TrRoad_tech!U188)</f>
        <v>1.217817938537765</v>
      </c>
      <c r="V215" s="91">
        <f>IF(TrRoad_act!V76=0,0,TrRoad_emi!V73/TrRoad_tech!V188)</f>
        <v>1.2155723184876039</v>
      </c>
      <c r="W215" s="91">
        <f>IF(TrRoad_act!W76=0,0,TrRoad_emi!W73/TrRoad_tech!W188)</f>
        <v>1.2249982045706629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1.1176967558015218</v>
      </c>
      <c r="J216" s="91">
        <f>IF(TrRoad_act!J77=0,0,TrRoad_emi!J74/TrRoad_tech!J189)</f>
        <v>1.1226494017848361</v>
      </c>
      <c r="K216" s="91">
        <f>IF(TrRoad_act!K77=0,0,TrRoad_emi!K74/TrRoad_tech!K189)</f>
        <v>1.1251715510203193</v>
      </c>
      <c r="L216" s="91">
        <f>IF(TrRoad_act!L77=0,0,TrRoad_emi!L74/TrRoad_tech!L189)</f>
        <v>1.125491188030648</v>
      </c>
      <c r="M216" s="91">
        <f>IF(TrRoad_act!M77=0,0,TrRoad_emi!M74/TrRoad_tech!M189)</f>
        <v>1.1259676812884287</v>
      </c>
      <c r="N216" s="91">
        <f>IF(TrRoad_act!N77=0,0,TrRoad_emi!N74/TrRoad_tech!N189)</f>
        <v>1.1262409307998811</v>
      </c>
      <c r="O216" s="91">
        <f>IF(TrRoad_act!O77=0,0,TrRoad_emi!O74/TrRoad_tech!O189)</f>
        <v>1.1307123508621855</v>
      </c>
      <c r="P216" s="91">
        <f>IF(TrRoad_act!P77=0,0,TrRoad_emi!P74/TrRoad_tech!P189)</f>
        <v>1.1405114405003391</v>
      </c>
      <c r="Q216" s="91">
        <f>IF(TrRoad_act!Q77=0,0,TrRoad_emi!Q74/TrRoad_tech!Q189)</f>
        <v>1.1478874727486794</v>
      </c>
      <c r="R216" s="91">
        <f>IF(TrRoad_act!R77=0,0,TrRoad_emi!R74/TrRoad_tech!R189)</f>
        <v>1.1558498986669989</v>
      </c>
      <c r="S216" s="91">
        <f>IF(TrRoad_act!S77=0,0,TrRoad_emi!S74/TrRoad_tech!S189)</f>
        <v>1.1688645968257381</v>
      </c>
      <c r="T216" s="91">
        <f>IF(TrRoad_act!T77=0,0,TrRoad_emi!T74/TrRoad_tech!T189)</f>
        <v>1.1799743917001397</v>
      </c>
      <c r="U216" s="91">
        <f>IF(TrRoad_act!U77=0,0,TrRoad_emi!U74/TrRoad_tech!U189)</f>
        <v>1.1908036295945252</v>
      </c>
      <c r="V216" s="91">
        <f>IF(TrRoad_act!V77=0,0,TrRoad_emi!V74/TrRoad_tech!V189)</f>
        <v>1.1961823190059069</v>
      </c>
      <c r="W216" s="91">
        <f>IF(TrRoad_act!W77=0,0,TrRoad_emi!W74/TrRoad_tech!W189)</f>
        <v>1.2113053523257269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1.1840000000065629</v>
      </c>
      <c r="L217" s="91">
        <f>IF(TrRoad_act!L78=0,0,TrRoad_emi!L75/TrRoad_tech!L190)</f>
        <v>1.1865438898273057</v>
      </c>
      <c r="M217" s="91">
        <f>IF(TrRoad_act!M78=0,0,TrRoad_emi!M75/TrRoad_tech!M190)</f>
        <v>1.1885539307975281</v>
      </c>
      <c r="N217" s="91">
        <f>IF(TrRoad_act!N78=0,0,TrRoad_emi!N75/TrRoad_tech!N190)</f>
        <v>1.2028359271150515</v>
      </c>
      <c r="O217" s="91">
        <f>IF(TrRoad_act!O78=0,0,TrRoad_emi!O75/TrRoad_tech!O190)</f>
        <v>1.2028359271150511</v>
      </c>
      <c r="P217" s="91">
        <f>IF(TrRoad_act!P78=0,0,TrRoad_emi!P75/TrRoad_tech!P190)</f>
        <v>1.2097512145969689</v>
      </c>
      <c r="Q217" s="91">
        <f>IF(TrRoad_act!Q78=0,0,TrRoad_emi!Q75/TrRoad_tech!Q190)</f>
        <v>1.2147168996211826</v>
      </c>
      <c r="R217" s="91">
        <f>IF(TrRoad_act!R78=0,0,TrRoad_emi!R75/TrRoad_tech!R190)</f>
        <v>1.2268231072362443</v>
      </c>
      <c r="S217" s="91">
        <f>IF(TrRoad_act!S78=0,0,TrRoad_emi!S75/TrRoad_tech!S190)</f>
        <v>1.2514599200751442</v>
      </c>
      <c r="T217" s="91">
        <f>IF(TrRoad_act!T78=0,0,TrRoad_emi!T75/TrRoad_tech!T190)</f>
        <v>1.2570983433876046</v>
      </c>
      <c r="U217" s="91">
        <f>IF(TrRoad_act!U78=0,0,TrRoad_emi!U75/TrRoad_tech!U190)</f>
        <v>1.2588714606402471</v>
      </c>
      <c r="V217" s="91">
        <f>IF(TrRoad_act!V78=0,0,TrRoad_emi!V75/TrRoad_tech!V190)</f>
        <v>1.2634067203834944</v>
      </c>
      <c r="W217" s="91">
        <f>IF(TrRoad_act!W78=0,0,TrRoad_emi!W75/TrRoad_tech!W190)</f>
        <v>1.2717180367536904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0.89539739357608372</v>
      </c>
      <c r="C219" s="151">
        <f>IF(TrRoad_act!C80=0,0,TrRoad_emi!C77/TrRoad_tech!C192)</f>
        <v>0.74386270511506525</v>
      </c>
      <c r="D219" s="151">
        <f>IF(TrRoad_act!D80=0,0,TrRoad_emi!D77/TrRoad_tech!D192)</f>
        <v>0.89550092171081086</v>
      </c>
      <c r="E219" s="151">
        <f>IF(TrRoad_act!E80=0,0,TrRoad_emi!E77/TrRoad_tech!E192)</f>
        <v>0.93304672423262969</v>
      </c>
      <c r="F219" s="151">
        <f>IF(TrRoad_act!F80=0,0,TrRoad_emi!F77/TrRoad_tech!F192)</f>
        <v>0.94117896831085179</v>
      </c>
      <c r="G219" s="151">
        <f>IF(TrRoad_act!G80=0,0,TrRoad_emi!G77/TrRoad_tech!G192)</f>
        <v>0.93474841987134116</v>
      </c>
      <c r="H219" s="151">
        <f>IF(TrRoad_act!H80=0,0,TrRoad_emi!H77/TrRoad_tech!H192)</f>
        <v>0.95260924299162464</v>
      </c>
      <c r="I219" s="151">
        <f>IF(TrRoad_act!I80=0,0,TrRoad_emi!I77/TrRoad_tech!I192)</f>
        <v>0.99873858699875362</v>
      </c>
      <c r="J219" s="151">
        <f>IF(TrRoad_act!J80=0,0,TrRoad_emi!J77/TrRoad_tech!J192)</f>
        <v>1.0388797414650393</v>
      </c>
      <c r="K219" s="151">
        <f>IF(TrRoad_act!K80=0,0,TrRoad_emi!K77/TrRoad_tech!K192)</f>
        <v>1.1161253956710702</v>
      </c>
      <c r="L219" s="151">
        <f>IF(TrRoad_act!L80=0,0,TrRoad_emi!L77/TrRoad_tech!L192)</f>
        <v>1.1772644031235737</v>
      </c>
      <c r="M219" s="151">
        <f>IF(TrRoad_act!M80=0,0,TrRoad_emi!M77/TrRoad_tech!M192)</f>
        <v>1.1357250042645126</v>
      </c>
      <c r="N219" s="151">
        <f>IF(TrRoad_act!N80=0,0,TrRoad_emi!N77/TrRoad_tech!N192)</f>
        <v>1.0738978305315467</v>
      </c>
      <c r="O219" s="151">
        <f>IF(TrRoad_act!O80=0,0,TrRoad_emi!O77/TrRoad_tech!O192)</f>
        <v>1.2831856389431331</v>
      </c>
      <c r="P219" s="151">
        <f>IF(TrRoad_act!P80=0,0,TrRoad_emi!P77/TrRoad_tech!P192)</f>
        <v>1.1826724274819382</v>
      </c>
      <c r="Q219" s="151">
        <f>IF(TrRoad_act!Q80=0,0,TrRoad_emi!Q77/TrRoad_tech!Q192)</f>
        <v>1.1876206923407853</v>
      </c>
      <c r="R219" s="151">
        <f>IF(TrRoad_act!R80=0,0,TrRoad_emi!R77/TrRoad_tech!R192)</f>
        <v>1.114010259372219</v>
      </c>
      <c r="S219" s="151">
        <f>IF(TrRoad_act!S80=0,0,TrRoad_emi!S77/TrRoad_tech!S192)</f>
        <v>1.3475086130696652</v>
      </c>
      <c r="T219" s="151">
        <f>IF(TrRoad_act!T80=0,0,TrRoad_emi!T77/TrRoad_tech!T192)</f>
        <v>1.2280066639428577</v>
      </c>
      <c r="U219" s="151">
        <f>IF(TrRoad_act!U80=0,0,TrRoad_emi!U77/TrRoad_tech!U192)</f>
        <v>1.4962386806088952</v>
      </c>
      <c r="V219" s="151">
        <f>IF(TrRoad_act!V80=0,0,TrRoad_emi!V77/TrRoad_tech!V192)</f>
        <v>1.441633906442682</v>
      </c>
      <c r="W219" s="151">
        <f>IF(TrRoad_act!W80=0,0,TrRoad_emi!W77/TrRoad_tech!W192)</f>
        <v>1.3996103230540951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1.0885700265043834</v>
      </c>
      <c r="C220" s="93">
        <f>IF(TrRoad_act!C81=0,0,TrRoad_emi!C78/TrRoad_tech!C193)</f>
        <v>1.0472229589682647</v>
      </c>
      <c r="D220" s="93">
        <f>IF(TrRoad_act!D81=0,0,TrRoad_emi!D78/TrRoad_tech!D193)</f>
        <v>1.0963663371410166</v>
      </c>
      <c r="E220" s="93">
        <f>IF(TrRoad_act!E81=0,0,TrRoad_emi!E78/TrRoad_tech!E193)</f>
        <v>1.1107556474574416</v>
      </c>
      <c r="F220" s="93">
        <f>IF(TrRoad_act!F81=0,0,TrRoad_emi!F78/TrRoad_tech!F193)</f>
        <v>1.1150581884412605</v>
      </c>
      <c r="G220" s="93">
        <f>IF(TrRoad_act!G81=0,0,TrRoad_emi!G78/TrRoad_tech!G193)</f>
        <v>1.1145031630293887</v>
      </c>
      <c r="H220" s="93">
        <f>IF(TrRoad_act!H81=0,0,TrRoad_emi!H78/TrRoad_tech!H193)</f>
        <v>1.1265164754324735</v>
      </c>
      <c r="I220" s="93">
        <f>IF(TrRoad_act!I81=0,0,TrRoad_emi!I78/TrRoad_tech!I193)</f>
        <v>1.1407184354497399</v>
      </c>
      <c r="J220" s="93">
        <f>IF(TrRoad_act!J81=0,0,TrRoad_emi!J78/TrRoad_tech!J193)</f>
        <v>1.1615661157130561</v>
      </c>
      <c r="K220" s="93">
        <f>IF(TrRoad_act!K81=0,0,TrRoad_emi!K78/TrRoad_tech!K193)</f>
        <v>1.1872053617899114</v>
      </c>
      <c r="L220" s="93">
        <f>IF(TrRoad_act!L81=0,0,TrRoad_emi!L78/TrRoad_tech!L193)</f>
        <v>1.2086136358592416</v>
      </c>
      <c r="M220" s="93">
        <f>IF(TrRoad_act!M81=0,0,TrRoad_emi!M78/TrRoad_tech!M193)</f>
        <v>1.1988296593371008</v>
      </c>
      <c r="N220" s="93">
        <f>IF(TrRoad_act!N81=0,0,TrRoad_emi!N78/TrRoad_tech!N193)</f>
        <v>1.1584899971190497</v>
      </c>
      <c r="O220" s="93">
        <f>IF(TrRoad_act!O81=0,0,TrRoad_emi!O78/TrRoad_tech!O193)</f>
        <v>1.2356651380364798</v>
      </c>
      <c r="P220" s="93">
        <f>IF(TrRoad_act!P81=0,0,TrRoad_emi!P78/TrRoad_tech!P193)</f>
        <v>1.2141459087309125</v>
      </c>
      <c r="Q220" s="93">
        <f>IF(TrRoad_act!Q81=0,0,TrRoad_emi!Q78/TrRoad_tech!Q193)</f>
        <v>1.2326555874833358</v>
      </c>
      <c r="R220" s="93">
        <f>IF(TrRoad_act!R81=0,0,TrRoad_emi!R78/TrRoad_tech!R193)</f>
        <v>1.2354108730388211</v>
      </c>
      <c r="S220" s="93">
        <f>IF(TrRoad_act!S81=0,0,TrRoad_emi!S78/TrRoad_tech!S193)</f>
        <v>1.3174435877233073</v>
      </c>
      <c r="T220" s="93">
        <f>IF(TrRoad_act!T81=0,0,TrRoad_emi!T78/TrRoad_tech!T193)</f>
        <v>1.2772102713761624</v>
      </c>
      <c r="U220" s="93">
        <f>IF(TrRoad_act!U81=0,0,TrRoad_emi!U78/TrRoad_tech!U193)</f>
        <v>1.3491059183166587</v>
      </c>
      <c r="V220" s="93">
        <f>IF(TrRoad_act!V81=0,0,TrRoad_emi!V78/TrRoad_tech!V193)</f>
        <v>1.3377265595486045</v>
      </c>
      <c r="W220" s="93">
        <f>IF(TrRoad_act!W81=0,0,TrRoad_emi!W78/TrRoad_tech!W193)</f>
        <v>1.3313717331647386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0.77578141254633393</v>
      </c>
      <c r="C221" s="94">
        <f>IF(TrRoad_act!C82=0,0,TrRoad_emi!C79/TrRoad_tech!C194)</f>
        <v>0.49201882043160772</v>
      </c>
      <c r="D221" s="94">
        <f>IF(TrRoad_act!D82=0,0,TrRoad_emi!D79/TrRoad_tech!D194)</f>
        <v>0.70337193911556406</v>
      </c>
      <c r="E221" s="94">
        <f>IF(TrRoad_act!E82=0,0,TrRoad_emi!E79/TrRoad_tech!E194)</f>
        <v>0.75092900012532604</v>
      </c>
      <c r="F221" s="94">
        <f>IF(TrRoad_act!F82=0,0,TrRoad_emi!F79/TrRoad_tech!F194)</f>
        <v>0.78885683241151727</v>
      </c>
      <c r="G221" s="94">
        <f>IF(TrRoad_act!G82=0,0,TrRoad_emi!G79/TrRoad_tech!G194)</f>
        <v>0.78497162284467759</v>
      </c>
      <c r="H221" s="94">
        <f>IF(TrRoad_act!H82=0,0,TrRoad_emi!H79/TrRoad_tech!H194)</f>
        <v>0.76810711005676535</v>
      </c>
      <c r="I221" s="94">
        <f>IF(TrRoad_act!I82=0,0,TrRoad_emi!I79/TrRoad_tech!I194)</f>
        <v>0.87794669582789264</v>
      </c>
      <c r="J221" s="94">
        <f>IF(TrRoad_act!J82=0,0,TrRoad_emi!J79/TrRoad_tech!J194)</f>
        <v>0.90830612106100217</v>
      </c>
      <c r="K221" s="94">
        <f>IF(TrRoad_act!K82=0,0,TrRoad_emi!K79/TrRoad_tech!K194)</f>
        <v>1.1078726571565662</v>
      </c>
      <c r="L221" s="94">
        <f>IF(TrRoad_act!L82=0,0,TrRoad_emi!L79/TrRoad_tech!L194)</f>
        <v>1.2653885646888201</v>
      </c>
      <c r="M221" s="94">
        <f>IF(TrRoad_act!M82=0,0,TrRoad_emi!M79/TrRoad_tech!M194)</f>
        <v>1.1535422531449697</v>
      </c>
      <c r="N221" s="94">
        <f>IF(TrRoad_act!N82=0,0,TrRoad_emi!N79/TrRoad_tech!N194)</f>
        <v>1.0398148119197634</v>
      </c>
      <c r="O221" s="94">
        <f>IF(TrRoad_act!O82=0,0,TrRoad_emi!O79/TrRoad_tech!O194)</f>
        <v>1.5399604854277598</v>
      </c>
      <c r="P221" s="94">
        <f>IF(TrRoad_act!P82=0,0,TrRoad_emi!P79/TrRoad_tech!P194)</f>
        <v>1.2581500583889511</v>
      </c>
      <c r="Q221" s="94">
        <f>IF(TrRoad_act!Q82=0,0,TrRoad_emi!Q79/TrRoad_tech!Q194)</f>
        <v>1.2347541612848922</v>
      </c>
      <c r="R221" s="94">
        <f>IF(TrRoad_act!R82=0,0,TrRoad_emi!R79/TrRoad_tech!R194)</f>
        <v>1.0384747441948838</v>
      </c>
      <c r="S221" s="94">
        <f>IF(TrRoad_act!S82=0,0,TrRoad_emi!S79/TrRoad_tech!S194)</f>
        <v>1.5107633154810505</v>
      </c>
      <c r="T221" s="94">
        <f>IF(TrRoad_act!T82=0,0,TrRoad_emi!T79/TrRoad_tech!T194)</f>
        <v>1.2614770720039998</v>
      </c>
      <c r="U221" s="94">
        <f>IF(TrRoad_act!U82=0,0,TrRoad_emi!U79/TrRoad_tech!U194)</f>
        <v>1.8245188142782991</v>
      </c>
      <c r="V221" s="94">
        <f>IF(TrRoad_act!V82=0,0,TrRoad_emi!V79/TrRoad_tech!V194)</f>
        <v>1.6968578646590902</v>
      </c>
      <c r="W221" s="94">
        <f>IF(TrRoad_act!W82=0,0,TrRoad_emi!W79/TrRoad_tech!W194)</f>
        <v>1.612776585192939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0</v>
      </c>
      <c r="C225" s="152">
        <v>95.089917859483791</v>
      </c>
      <c r="D225" s="152">
        <v>93.268631998890257</v>
      </c>
      <c r="E225" s="152">
        <v>92.965084355458018</v>
      </c>
      <c r="F225" s="152">
        <v>92.459171616404277</v>
      </c>
      <c r="G225" s="152">
        <v>90.637885755810743</v>
      </c>
      <c r="H225" s="152">
        <v>90.233155564567724</v>
      </c>
      <c r="I225" s="152">
        <v>89.018964990838725</v>
      </c>
      <c r="J225" s="152">
        <v>88.209504608352717</v>
      </c>
      <c r="K225" s="152">
        <v>86.590583843380685</v>
      </c>
      <c r="L225" s="152">
        <v>83.555107409058209</v>
      </c>
      <c r="M225" s="152">
        <v>80.519630974735662</v>
      </c>
      <c r="N225" s="152">
        <v>76.877059253548623</v>
      </c>
      <c r="O225" s="152">
        <v>73.841582819226076</v>
      </c>
      <c r="P225" s="152">
        <v>72.425027149875532</v>
      </c>
      <c r="Q225" s="152">
        <v>74.194097039218164</v>
      </c>
      <c r="R225" s="152">
        <v>70.541138734375011</v>
      </c>
      <c r="S225" s="152">
        <v>69.445251242922055</v>
      </c>
      <c r="T225" s="152">
        <v>68.56854124975969</v>
      </c>
      <c r="U225" s="152">
        <v>67.867173255229815</v>
      </c>
      <c r="V225" s="152">
        <v>67.306078859605904</v>
      </c>
      <c r="W225" s="152">
        <v>66.857203343106789</v>
      </c>
      <c r="DA225" s="174" t="s">
        <v>931</v>
      </c>
    </row>
    <row r="226" spans="1:105" ht="11.45" customHeight="1" x14ac:dyDescent="0.25">
      <c r="A226" s="109" t="s">
        <v>20</v>
      </c>
      <c r="B226" s="116">
        <v>171.41591097670334</v>
      </c>
      <c r="C226" s="116">
        <v>169.48721858092344</v>
      </c>
      <c r="D226" s="116">
        <v>167.42471254726382</v>
      </c>
      <c r="E226" s="116">
        <v>167.13572084747261</v>
      </c>
      <c r="F226" s="116">
        <v>166.39446491877055</v>
      </c>
      <c r="G226" s="116">
        <v>164.66047313586833</v>
      </c>
      <c r="H226" s="116">
        <v>162.72516024924005</v>
      </c>
      <c r="I226" s="116">
        <v>162.05535240369326</v>
      </c>
      <c r="J226" s="116">
        <v>159.27221474939407</v>
      </c>
      <c r="K226" s="116">
        <v>155.04531178909849</v>
      </c>
      <c r="L226" s="116">
        <v>173.52347583738839</v>
      </c>
      <c r="M226" s="116">
        <v>168.06779050247167</v>
      </c>
      <c r="N226" s="116">
        <v>164.25765239261904</v>
      </c>
      <c r="O226" s="116">
        <v>158.87620606862745</v>
      </c>
      <c r="P226" s="116">
        <v>144.40704409119084</v>
      </c>
      <c r="Q226" s="116">
        <v>141.18271747109813</v>
      </c>
      <c r="R226" s="116">
        <v>138.67341979341711</v>
      </c>
      <c r="S226" s="116">
        <v>141.01397032567903</v>
      </c>
      <c r="T226" s="116">
        <v>142.09358172610789</v>
      </c>
      <c r="U226" s="116">
        <v>144.63218445623045</v>
      </c>
      <c r="V226" s="116">
        <v>136.99083437727165</v>
      </c>
      <c r="W226" s="116">
        <v>133.39992098512695</v>
      </c>
      <c r="DA226" s="176" t="s">
        <v>932</v>
      </c>
    </row>
    <row r="227" spans="1:105" ht="11.45" customHeight="1" x14ac:dyDescent="0.25">
      <c r="A227" s="111" t="s">
        <v>110</v>
      </c>
      <c r="B227" s="87">
        <v>169.03790074464644</v>
      </c>
      <c r="C227" s="87">
        <v>167.2632782814687</v>
      </c>
      <c r="D227" s="87">
        <v>165.31331778336869</v>
      </c>
      <c r="E227" s="87">
        <v>164.98832436701866</v>
      </c>
      <c r="F227" s="87">
        <v>164.44666867310201</v>
      </c>
      <c r="G227" s="87">
        <v>162.49670817500197</v>
      </c>
      <c r="H227" s="87">
        <v>162.0633836198686</v>
      </c>
      <c r="I227" s="87">
        <v>160.76340995446864</v>
      </c>
      <c r="J227" s="87">
        <v>159.89676084420191</v>
      </c>
      <c r="K227" s="87">
        <v>158.16346262366855</v>
      </c>
      <c r="L227" s="87">
        <v>169.75498078929735</v>
      </c>
      <c r="M227" s="87">
        <v>163.93314994542385</v>
      </c>
      <c r="N227" s="87">
        <v>159.44156174736688</v>
      </c>
      <c r="O227" s="87">
        <v>153.02440467244162</v>
      </c>
      <c r="P227" s="87">
        <v>143.01871595152633</v>
      </c>
      <c r="Q227" s="87">
        <v>140.52348390922154</v>
      </c>
      <c r="R227" s="87">
        <v>138.24239954016053</v>
      </c>
      <c r="S227" s="87">
        <v>138.76589179144625</v>
      </c>
      <c r="T227" s="87">
        <v>140.27302187415609</v>
      </c>
      <c r="U227" s="87">
        <v>142.59777450499101</v>
      </c>
      <c r="V227" s="87">
        <v>136.75978214132149</v>
      </c>
      <c r="W227" s="87">
        <v>131.44139765874419</v>
      </c>
      <c r="DA227" s="171" t="s">
        <v>933</v>
      </c>
    </row>
    <row r="228" spans="1:105" ht="11.45" customHeight="1" x14ac:dyDescent="0.25">
      <c r="A228" s="111" t="s">
        <v>111</v>
      </c>
      <c r="B228" s="87">
        <v>177.77245320582458</v>
      </c>
      <c r="C228" s="87">
        <v>175.17434053070866</v>
      </c>
      <c r="D228" s="87">
        <v>172.33205831885257</v>
      </c>
      <c r="E228" s="87">
        <v>170.91091721292457</v>
      </c>
      <c r="F228" s="87">
        <v>170.91091721292457</v>
      </c>
      <c r="G228" s="87">
        <v>170.53693271136459</v>
      </c>
      <c r="H228" s="87">
        <v>170.53693271136459</v>
      </c>
      <c r="I228" s="87">
        <v>170.53693271136459</v>
      </c>
      <c r="J228" s="87">
        <v>167.54505669888448</v>
      </c>
      <c r="K228" s="87">
        <v>161.56130467392435</v>
      </c>
      <c r="L228" s="87">
        <v>179.26217845051639</v>
      </c>
      <c r="M228" s="87">
        <v>173.09577639238952</v>
      </c>
      <c r="N228" s="87">
        <v>169.33520205941832</v>
      </c>
      <c r="O228" s="87">
        <v>163.39195006626801</v>
      </c>
      <c r="P228" s="87">
        <v>145.9550381119661</v>
      </c>
      <c r="Q228" s="87">
        <v>142.14743112255488</v>
      </c>
      <c r="R228" s="87">
        <v>140.40845589372185</v>
      </c>
      <c r="S228" s="87">
        <v>142.24816220202584</v>
      </c>
      <c r="T228" s="87">
        <v>145.48637784725321</v>
      </c>
      <c r="U228" s="87">
        <v>145.40965439519161</v>
      </c>
      <c r="V228" s="87">
        <v>140.11248541423569</v>
      </c>
      <c r="W228" s="87">
        <v>138.21914018691589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147.25461405090843</v>
      </c>
      <c r="D229" s="87">
        <v>144.86534191857089</v>
      </c>
      <c r="E229" s="87">
        <v>143.67070585240214</v>
      </c>
      <c r="F229" s="87">
        <v>143.67070585240214</v>
      </c>
      <c r="G229" s="87">
        <v>143.35632794025244</v>
      </c>
      <c r="H229" s="87">
        <v>143.35632794025244</v>
      </c>
      <c r="I229" s="87">
        <v>143.35632794025244</v>
      </c>
      <c r="J229" s="87">
        <v>140.84130464305503</v>
      </c>
      <c r="K229" s="87">
        <v>135.81125804866019</v>
      </c>
      <c r="L229" s="87">
        <v>144.34688771063139</v>
      </c>
      <c r="M229" s="87">
        <v>145.93938051910442</v>
      </c>
      <c r="N229" s="87">
        <v>142.90665125842932</v>
      </c>
      <c r="O229" s="87">
        <v>139.31431192557696</v>
      </c>
      <c r="P229" s="87">
        <v>135.81125804866019</v>
      </c>
      <c r="Q229" s="87">
        <v>134.9740146138812</v>
      </c>
      <c r="R229" s="87">
        <v>118.44861438200454</v>
      </c>
      <c r="S229" s="87">
        <v>139.20539283271987</v>
      </c>
      <c r="T229" s="87">
        <v>122.25377443571749</v>
      </c>
      <c r="U229" s="87">
        <v>152.19153225806451</v>
      </c>
      <c r="V229" s="87">
        <v>124.94522471910111</v>
      </c>
      <c r="W229" s="87">
        <v>136.39859437751011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153.67610248172511</v>
      </c>
      <c r="L230" s="87">
        <v>149.63026443925352</v>
      </c>
      <c r="M230" s="87">
        <v>0</v>
      </c>
      <c r="N230" s="87">
        <v>143.75669014741007</v>
      </c>
      <c r="O230" s="87">
        <v>122.3460994967313</v>
      </c>
      <c r="P230" s="87">
        <v>138.94003786018976</v>
      </c>
      <c r="Q230" s="87">
        <v>0</v>
      </c>
      <c r="R230" s="87">
        <v>138.94003786018976</v>
      </c>
      <c r="S230" s="87">
        <v>124.8504054746152</v>
      </c>
      <c r="T230" s="87">
        <v>125.3285100286533</v>
      </c>
      <c r="U230" s="87">
        <v>116.0969416262314</v>
      </c>
      <c r="V230" s="87">
        <v>103.00000000000001</v>
      </c>
      <c r="W230" s="87">
        <v>106.33293395237381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0</v>
      </c>
      <c r="P231" s="87">
        <v>57.130049517852498</v>
      </c>
      <c r="Q231" s="87">
        <v>58.594922582412785</v>
      </c>
      <c r="R231" s="87">
        <v>68.366291774423132</v>
      </c>
      <c r="S231" s="87">
        <v>79.563692699736492</v>
      </c>
      <c r="T231" s="87">
        <v>76.649483103118769</v>
      </c>
      <c r="U231" s="87">
        <v>71.171428571428578</v>
      </c>
      <c r="V231" s="87">
        <v>52.660287081339703</v>
      </c>
      <c r="W231" s="87">
        <v>52.66028708133971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1434.3966077750804</v>
      </c>
      <c r="C233" s="116">
        <v>1425.3092912815089</v>
      </c>
      <c r="D233" s="116">
        <v>1420.9016807300625</v>
      </c>
      <c r="E233" s="116">
        <v>1426.134993338788</v>
      </c>
      <c r="F233" s="116">
        <v>1424.9566689386156</v>
      </c>
      <c r="G233" s="116">
        <v>1417.2595532531143</v>
      </c>
      <c r="H233" s="116">
        <v>1414.8575744806285</v>
      </c>
      <c r="I233" s="116">
        <v>1418.084031941554</v>
      </c>
      <c r="J233" s="116">
        <v>1405.8113994662965</v>
      </c>
      <c r="K233" s="116">
        <v>1358.9169010003106</v>
      </c>
      <c r="L233" s="116">
        <v>1397.5560454708075</v>
      </c>
      <c r="M233" s="116">
        <v>1396.2202034732861</v>
      </c>
      <c r="N233" s="116">
        <v>1371.7991878870957</v>
      </c>
      <c r="O233" s="116">
        <v>1309.2538560108658</v>
      </c>
      <c r="P233" s="116">
        <v>1282.8218594349155</v>
      </c>
      <c r="Q233" s="116">
        <v>1366.9903856645049</v>
      </c>
      <c r="R233" s="116">
        <v>1361.9820698625845</v>
      </c>
      <c r="S233" s="116">
        <v>1348.9529448715018</v>
      </c>
      <c r="T233" s="116">
        <v>1354.5379413174658</v>
      </c>
      <c r="U233" s="116">
        <v>1349.2970534423414</v>
      </c>
      <c r="V233" s="116">
        <v>1190.7686088773933</v>
      </c>
      <c r="W233" s="116">
        <v>1336.6168172513087</v>
      </c>
      <c r="DA233" s="176" t="s">
        <v>939</v>
      </c>
    </row>
    <row r="234" spans="1:105" ht="11.45" customHeight="1" x14ac:dyDescent="0.25">
      <c r="A234" s="111" t="s">
        <v>110</v>
      </c>
      <c r="B234" s="101">
        <v>443.5324858123235</v>
      </c>
      <c r="C234" s="101">
        <v>438.87611757180298</v>
      </c>
      <c r="D234" s="101">
        <v>433.75968614933367</v>
      </c>
      <c r="E234" s="101">
        <v>432.90694757892226</v>
      </c>
      <c r="F234" s="101">
        <v>431.48571662823645</v>
      </c>
      <c r="G234" s="101">
        <v>426.36928520576708</v>
      </c>
      <c r="H234" s="101">
        <v>425.23230044521836</v>
      </c>
      <c r="I234" s="101">
        <v>0</v>
      </c>
      <c r="J234" s="101">
        <v>419.54737664247483</v>
      </c>
      <c r="K234" s="101">
        <v>0</v>
      </c>
      <c r="L234" s="101">
        <v>406.47205189616466</v>
      </c>
      <c r="M234" s="101">
        <v>0</v>
      </c>
      <c r="N234" s="101">
        <v>387.7118033471109</v>
      </c>
      <c r="O234" s="101">
        <v>379.18441764299558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1436.5985280461086</v>
      </c>
      <c r="C235" s="101">
        <v>1432.7964500952448</v>
      </c>
      <c r="D235" s="101">
        <v>1428.583719598395</v>
      </c>
      <c r="E235" s="101">
        <v>1427.8805610817756</v>
      </c>
      <c r="F235" s="101">
        <v>1426.7057375166269</v>
      </c>
      <c r="G235" s="101">
        <v>1422.4384222498775</v>
      </c>
      <c r="H235" s="101">
        <v>1421.4882295830434</v>
      </c>
      <c r="I235" s="101">
        <v>1418.6203985885925</v>
      </c>
      <c r="J235" s="101">
        <v>1416.7007498760233</v>
      </c>
      <c r="K235" s="101">
        <v>1412.8299827998592</v>
      </c>
      <c r="L235" s="101">
        <v>1405.4586959330777</v>
      </c>
      <c r="M235" s="101">
        <v>1397.9695732194023</v>
      </c>
      <c r="N235" s="101">
        <v>1388.805897939741</v>
      </c>
      <c r="O235" s="101">
        <v>1381.0414221778715</v>
      </c>
      <c r="P235" s="101">
        <v>1377.3892537021461</v>
      </c>
      <c r="Q235" s="101">
        <v>1370.7050334516366</v>
      </c>
      <c r="R235" s="101">
        <v>1364.7169736173287</v>
      </c>
      <c r="S235" s="101">
        <v>1359.350089338883</v>
      </c>
      <c r="T235" s="101">
        <v>1354.537941317466</v>
      </c>
      <c r="U235" s="101">
        <v>1350.2215748943961</v>
      </c>
      <c r="V235" s="101">
        <v>1346.3486064784208</v>
      </c>
      <c r="W235" s="101">
        <v>1342.8724341807219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1006.6908136632949</v>
      </c>
      <c r="J236" s="101">
        <v>0</v>
      </c>
      <c r="K236" s="101">
        <v>0</v>
      </c>
      <c r="L236" s="101">
        <v>0</v>
      </c>
      <c r="M236" s="101">
        <v>992.03643803581076</v>
      </c>
      <c r="N236" s="101">
        <v>0</v>
      </c>
      <c r="O236" s="101">
        <v>980.02377124857958</v>
      </c>
      <c r="P236" s="101">
        <v>977.43209523847747</v>
      </c>
      <c r="Q236" s="101">
        <v>0</v>
      </c>
      <c r="R236" s="101">
        <v>0</v>
      </c>
      <c r="S236" s="101">
        <v>0</v>
      </c>
      <c r="T236" s="101">
        <v>0</v>
      </c>
      <c r="U236" s="101">
        <v>873.16850563414471</v>
      </c>
      <c r="V236" s="101">
        <v>859.08116311806214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891.3603467731906</v>
      </c>
      <c r="L237" s="101">
        <v>886.67259948650815</v>
      </c>
      <c r="M237" s="101">
        <v>881.98485219982524</v>
      </c>
      <c r="N237" s="101">
        <v>876.20345112932387</v>
      </c>
      <c r="O237" s="101">
        <v>871.30481088819829</v>
      </c>
      <c r="P237" s="101">
        <v>869.00064251788569</v>
      </c>
      <c r="Q237" s="101">
        <v>0</v>
      </c>
      <c r="R237" s="101">
        <v>0</v>
      </c>
      <c r="S237" s="101">
        <v>863.40629824480288</v>
      </c>
      <c r="T237" s="101">
        <v>0</v>
      </c>
      <c r="U237" s="101">
        <v>0</v>
      </c>
      <c r="V237" s="101">
        <v>859.35073161877574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223.12832119536327</v>
      </c>
      <c r="C240" s="152">
        <v>219.99822345316474</v>
      </c>
      <c r="D240" s="152">
        <v>217.74871417387743</v>
      </c>
      <c r="E240" s="152">
        <v>216.26559467620086</v>
      </c>
      <c r="F240" s="152">
        <v>216.47010071437106</v>
      </c>
      <c r="G240" s="152">
        <v>215.88496269170042</v>
      </c>
      <c r="H240" s="152">
        <v>215.54296814310513</v>
      </c>
      <c r="I240" s="152">
        <v>213.82089621486094</v>
      </c>
      <c r="J240" s="152">
        <v>208.82839619600858</v>
      </c>
      <c r="K240" s="152">
        <v>201.92822114744064</v>
      </c>
      <c r="L240" s="152">
        <v>194.93346823352459</v>
      </c>
      <c r="M240" s="152">
        <v>194.24850449763991</v>
      </c>
      <c r="N240" s="152">
        <v>209.85450775989281</v>
      </c>
      <c r="O240" s="152">
        <v>202.4138971372885</v>
      </c>
      <c r="P240" s="152">
        <v>183.98452700861932</v>
      </c>
      <c r="Q240" s="152">
        <v>179.98350263143334</v>
      </c>
      <c r="R240" s="152">
        <v>176.11938830181876</v>
      </c>
      <c r="S240" s="152">
        <v>166.3474860231573</v>
      </c>
      <c r="T240" s="152">
        <v>166.52108903633939</v>
      </c>
      <c r="U240" s="152">
        <v>168.27601573129616</v>
      </c>
      <c r="V240" s="152">
        <v>192.64152926649064</v>
      </c>
      <c r="W240" s="152">
        <v>195.03767873638404</v>
      </c>
      <c r="DA240" s="174" t="s">
        <v>945</v>
      </c>
    </row>
    <row r="241" spans="1:105" ht="11.45" customHeight="1" x14ac:dyDescent="0.25">
      <c r="A241" s="111" t="s">
        <v>110</v>
      </c>
      <c r="B241" s="87">
        <v>209.59588259935595</v>
      </c>
      <c r="C241" s="87">
        <v>207.39546742730374</v>
      </c>
      <c r="D241" s="87">
        <v>204.97764462050881</v>
      </c>
      <c r="E241" s="87">
        <v>204.57467415270963</v>
      </c>
      <c r="F241" s="87">
        <v>203.90305670637775</v>
      </c>
      <c r="G241" s="87">
        <v>201.48523389958274</v>
      </c>
      <c r="H241" s="87">
        <v>200.94793994251719</v>
      </c>
      <c r="I241" s="87">
        <v>199.33605807132056</v>
      </c>
      <c r="J241" s="87">
        <v>198.26147015718945</v>
      </c>
      <c r="K241" s="87">
        <v>196.11229432892722</v>
      </c>
      <c r="L241" s="87">
        <v>192.08258965093557</v>
      </c>
      <c r="M241" s="87">
        <v>188.05288497294393</v>
      </c>
      <c r="N241" s="87">
        <v>191.40354232269121</v>
      </c>
      <c r="O241" s="87">
        <v>181.1580248594731</v>
      </c>
      <c r="P241" s="87">
        <v>177.30700583163397</v>
      </c>
      <c r="Q241" s="87">
        <v>152.73104971004096</v>
      </c>
      <c r="R241" s="87">
        <v>151.93883252912622</v>
      </c>
      <c r="S241" s="87">
        <v>156.00916570462368</v>
      </c>
      <c r="T241" s="87">
        <v>156.03888490623461</v>
      </c>
      <c r="U241" s="87">
        <v>125.5894736842105</v>
      </c>
      <c r="V241" s="87">
        <v>141.56741280583029</v>
      </c>
      <c r="W241" s="87">
        <v>136.22026431718061</v>
      </c>
      <c r="DA241" s="171" t="s">
        <v>946</v>
      </c>
    </row>
    <row r="242" spans="1:105" ht="11.45" customHeight="1" x14ac:dyDescent="0.25">
      <c r="A242" s="111" t="s">
        <v>111</v>
      </c>
      <c r="B242" s="87">
        <v>225.54824713514606</v>
      </c>
      <c r="C242" s="87">
        <v>222.25189975868537</v>
      </c>
      <c r="D242" s="87">
        <v>218.64576304184928</v>
      </c>
      <c r="E242" s="87">
        <v>216.84269468343129</v>
      </c>
      <c r="F242" s="87">
        <v>216.84269468343129</v>
      </c>
      <c r="G242" s="87">
        <v>216.36820301016343</v>
      </c>
      <c r="H242" s="87">
        <v>216.36820301016343</v>
      </c>
      <c r="I242" s="87">
        <v>216.36820301016343</v>
      </c>
      <c r="J242" s="87">
        <v>212.57226962402012</v>
      </c>
      <c r="K242" s="87">
        <v>204.98040285173374</v>
      </c>
      <c r="L242" s="87">
        <v>195.89293832530686</v>
      </c>
      <c r="M242" s="87">
        <v>194.73138270914703</v>
      </c>
      <c r="N242" s="87">
        <v>211.0020949331323</v>
      </c>
      <c r="O242" s="87">
        <v>203.7461637601763</v>
      </c>
      <c r="P242" s="87">
        <v>185.18000068651077</v>
      </c>
      <c r="Q242" s="87">
        <v>180.49213683484908</v>
      </c>
      <c r="R242" s="87">
        <v>176.88599131544632</v>
      </c>
      <c r="S242" s="87">
        <v>166.83945456745047</v>
      </c>
      <c r="T242" s="87">
        <v>166.91984309731072</v>
      </c>
      <c r="U242" s="87">
        <v>169.39573296627671</v>
      </c>
      <c r="V242" s="87">
        <v>194.90577547492541</v>
      </c>
      <c r="W242" s="87">
        <v>197.38952914059931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140.26019358831749</v>
      </c>
      <c r="J243" s="87">
        <v>137.79948843764524</v>
      </c>
      <c r="K243" s="87">
        <v>132.87807813630076</v>
      </c>
      <c r="L243" s="87">
        <v>126.98715000559139</v>
      </c>
      <c r="M243" s="87">
        <v>126.23417422948573</v>
      </c>
      <c r="N243" s="87">
        <v>188.37339099532775</v>
      </c>
      <c r="O243" s="87">
        <v>168.9790691127796</v>
      </c>
      <c r="P243" s="87">
        <v>132.87807813630189</v>
      </c>
      <c r="Q243" s="87">
        <v>182.66968870211741</v>
      </c>
      <c r="R243" s="87">
        <v>169.34141390428164</v>
      </c>
      <c r="S243" s="87">
        <v>150.02058144540385</v>
      </c>
      <c r="T243" s="87">
        <v>150.02058144540385</v>
      </c>
      <c r="U243" s="87">
        <v>162.52229656585419</v>
      </c>
      <c r="V243" s="87">
        <v>164.5837194995741</v>
      </c>
      <c r="W243" s="87">
        <v>175.35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179.17393964554566</v>
      </c>
      <c r="L244" s="87">
        <v>175.49228335145912</v>
      </c>
      <c r="M244" s="87">
        <v>171.81062705737253</v>
      </c>
      <c r="N244" s="87">
        <v>164.21499037682315</v>
      </c>
      <c r="O244" s="87">
        <v>0</v>
      </c>
      <c r="P244" s="87">
        <v>161.99287693980838</v>
      </c>
      <c r="Q244" s="87">
        <v>150.91363400701835</v>
      </c>
      <c r="R244" s="87">
        <v>140.04545490280208</v>
      </c>
      <c r="S244" s="87">
        <v>175.47486476254085</v>
      </c>
      <c r="T244" s="87">
        <v>150.19264174368587</v>
      </c>
      <c r="U244" s="87">
        <v>152.57214720677791</v>
      </c>
      <c r="V244" s="87">
        <v>133</v>
      </c>
      <c r="W244" s="87">
        <v>190.5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934.6784417697495</v>
      </c>
      <c r="D246" s="116">
        <v>935.24619815548704</v>
      </c>
      <c r="E246" s="116">
        <v>926.37709595003093</v>
      </c>
      <c r="F246" s="116">
        <v>936.65168587206472</v>
      </c>
      <c r="G246" s="116">
        <v>928.17574266594193</v>
      </c>
      <c r="H246" s="116">
        <v>891.66262211343894</v>
      </c>
      <c r="I246" s="116">
        <v>903.22454966456951</v>
      </c>
      <c r="J246" s="116">
        <v>866.14103336642745</v>
      </c>
      <c r="K246" s="116">
        <v>851.96473659318644</v>
      </c>
      <c r="L246" s="116">
        <v>857.71685372029117</v>
      </c>
      <c r="M246" s="116">
        <v>830.83660104094781</v>
      </c>
      <c r="N246" s="116">
        <v>812.86522346459412</v>
      </c>
      <c r="O246" s="116">
        <v>792.36058865361372</v>
      </c>
      <c r="P246" s="116">
        <v>774.27094013626129</v>
      </c>
      <c r="Q246" s="116">
        <v>757.76945351860536</v>
      </c>
      <c r="R246" s="116">
        <v>728.84438021721905</v>
      </c>
      <c r="S246" s="116">
        <v>714.51984521318059</v>
      </c>
      <c r="T246" s="116">
        <v>677.27635527426571</v>
      </c>
      <c r="U246" s="116">
        <v>642.56634656577046</v>
      </c>
      <c r="V246" s="116">
        <v>649.63580727993065</v>
      </c>
      <c r="W246" s="116">
        <v>633.22076060791653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870.61519128074076</v>
      </c>
      <c r="D247" s="101">
        <v>865.57441861807536</v>
      </c>
      <c r="E247" s="101">
        <v>859.29771838503962</v>
      </c>
      <c r="F247" s="101">
        <v>851.8010397951449</v>
      </c>
      <c r="G247" s="101">
        <v>843.1032975935783</v>
      </c>
      <c r="H247" s="101">
        <v>833.22625410537626</v>
      </c>
      <c r="I247" s="101">
        <v>822.19438518917184</v>
      </c>
      <c r="J247" s="101">
        <v>810.03473160989768</v>
      </c>
      <c r="K247" s="101">
        <v>796.77673746164396</v>
      </c>
      <c r="L247" s="101">
        <v>782.45207742033642</v>
      </c>
      <c r="M247" s="101">
        <v>767.09447463358254</v>
      </c>
      <c r="N247" s="101">
        <v>750.73951112509576</v>
      </c>
      <c r="O247" s="101">
        <v>733.42443261302901</v>
      </c>
      <c r="P247" s="101">
        <v>715.18794959690536</v>
      </c>
      <c r="Q247" s="101">
        <v>696.07003656812299</v>
      </c>
      <c r="R247" s="101">
        <v>667.53181028192853</v>
      </c>
      <c r="S247" s="101">
        <v>647.55505188159248</v>
      </c>
      <c r="T247" s="101">
        <v>626.57945556123946</v>
      </c>
      <c r="U247" s="101">
        <v>600.94261561414169</v>
      </c>
      <c r="V247" s="101">
        <v>596.3170124317237</v>
      </c>
      <c r="W247" s="101">
        <v>590.35384230740658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0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0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1756.171</v>
      </c>
      <c r="C4" s="28">
        <f t="shared" ref="C4:V4" si="1">SUM(C5,C6,C9)</f>
        <v>1772.7440000000001</v>
      </c>
      <c r="D4" s="28">
        <f t="shared" si="1"/>
        <v>1729.7379999999998</v>
      </c>
      <c r="E4" s="28">
        <f t="shared" si="1"/>
        <v>1713.308</v>
      </c>
      <c r="F4" s="28">
        <f t="shared" si="1"/>
        <v>1698.0830000000001</v>
      </c>
      <c r="G4" s="28">
        <f t="shared" si="1"/>
        <v>1760.1660000000002</v>
      </c>
      <c r="H4" s="28">
        <f t="shared" si="1"/>
        <v>1881.7730000000001</v>
      </c>
      <c r="I4" s="28">
        <f t="shared" si="1"/>
        <v>2233.96</v>
      </c>
      <c r="J4" s="28">
        <f t="shared" si="1"/>
        <v>2392.6040000000003</v>
      </c>
      <c r="K4" s="28">
        <f t="shared" si="1"/>
        <v>2380.8200000000002</v>
      </c>
      <c r="L4" s="28">
        <f t="shared" si="1"/>
        <v>2260.357</v>
      </c>
      <c r="M4" s="28">
        <f t="shared" si="1"/>
        <v>1976.5309999999999</v>
      </c>
      <c r="N4" s="28">
        <f t="shared" si="1"/>
        <v>1602.4169999999999</v>
      </c>
      <c r="O4" s="28">
        <f t="shared" si="1"/>
        <v>1467.788</v>
      </c>
      <c r="P4" s="28">
        <f t="shared" si="1"/>
        <v>1492.6969999999999</v>
      </c>
      <c r="Q4" s="28">
        <f t="shared" si="1"/>
        <v>1538.9659999999999</v>
      </c>
      <c r="R4" s="28">
        <f t="shared" si="1"/>
        <v>1435.9850000000001</v>
      </c>
      <c r="S4" s="28">
        <f t="shared" si="1"/>
        <v>1343.9830000000002</v>
      </c>
      <c r="T4" s="28">
        <f t="shared" si="1"/>
        <v>1323.165</v>
      </c>
      <c r="U4" s="28">
        <f t="shared" si="1"/>
        <v>1101.1599999999999</v>
      </c>
      <c r="V4" s="28">
        <f t="shared" si="1"/>
        <v>842.28400000000011</v>
      </c>
      <c r="W4" s="28">
        <f t="shared" ref="W4" si="2">SUM(W5,W6,W9)</f>
        <v>907.21900000000005</v>
      </c>
      <c r="DA4" s="173" t="s">
        <v>375</v>
      </c>
    </row>
    <row r="5" spans="1:105" ht="11.45" customHeight="1" x14ac:dyDescent="0.25">
      <c r="A5" s="107" t="s">
        <v>23</v>
      </c>
      <c r="B5" s="108">
        <v>504.17100000000005</v>
      </c>
      <c r="C5" s="108">
        <v>531.74400000000003</v>
      </c>
      <c r="D5" s="108">
        <v>534.73799999999994</v>
      </c>
      <c r="E5" s="108">
        <v>550.30799999999999</v>
      </c>
      <c r="F5" s="108">
        <v>529.08299999999997</v>
      </c>
      <c r="G5" s="108">
        <v>533.16600000000005</v>
      </c>
      <c r="H5" s="108">
        <v>559.77300000000002</v>
      </c>
      <c r="I5" s="108">
        <v>660.96</v>
      </c>
      <c r="J5" s="108">
        <v>623.60400000000004</v>
      </c>
      <c r="K5" s="108">
        <v>578.82000000000005</v>
      </c>
      <c r="L5" s="108">
        <v>549.35699999999997</v>
      </c>
      <c r="M5" s="108">
        <v>519.53099999999995</v>
      </c>
      <c r="N5" s="108">
        <v>522.41699999999992</v>
      </c>
      <c r="O5" s="108">
        <v>532.78800000000001</v>
      </c>
      <c r="P5" s="108">
        <v>575.69699999999989</v>
      </c>
      <c r="Q5" s="108">
        <v>597.96600000000001</v>
      </c>
      <c r="R5" s="108">
        <v>608.98500000000001</v>
      </c>
      <c r="S5" s="108">
        <v>607.98300000000006</v>
      </c>
      <c r="T5" s="108">
        <v>576.16500000000008</v>
      </c>
      <c r="U5" s="108">
        <v>377.15999999999997</v>
      </c>
      <c r="V5" s="108">
        <v>394.28400000000005</v>
      </c>
      <c r="W5" s="108">
        <v>369.21899999999999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1252</v>
      </c>
      <c r="C6" s="110">
        <f t="shared" ref="C6:V6" si="4">SUM(C7:C8)</f>
        <v>1241</v>
      </c>
      <c r="D6" s="110">
        <f t="shared" si="4"/>
        <v>1195</v>
      </c>
      <c r="E6" s="110">
        <f t="shared" si="4"/>
        <v>1163</v>
      </c>
      <c r="F6" s="110">
        <f t="shared" si="4"/>
        <v>1169</v>
      </c>
      <c r="G6" s="110">
        <f t="shared" si="4"/>
        <v>1227</v>
      </c>
      <c r="H6" s="110">
        <f t="shared" si="4"/>
        <v>1322</v>
      </c>
      <c r="I6" s="110">
        <f t="shared" si="4"/>
        <v>1573</v>
      </c>
      <c r="J6" s="110">
        <f t="shared" si="4"/>
        <v>1769</v>
      </c>
      <c r="K6" s="110">
        <f t="shared" si="4"/>
        <v>1802</v>
      </c>
      <c r="L6" s="110">
        <f t="shared" si="4"/>
        <v>1711</v>
      </c>
      <c r="M6" s="110">
        <f t="shared" si="4"/>
        <v>1457</v>
      </c>
      <c r="N6" s="110">
        <f t="shared" si="4"/>
        <v>1080</v>
      </c>
      <c r="O6" s="110">
        <f t="shared" si="4"/>
        <v>935</v>
      </c>
      <c r="P6" s="110">
        <f t="shared" si="4"/>
        <v>917</v>
      </c>
      <c r="Q6" s="110">
        <f t="shared" si="4"/>
        <v>941</v>
      </c>
      <c r="R6" s="110">
        <f t="shared" si="4"/>
        <v>827</v>
      </c>
      <c r="S6" s="110">
        <f t="shared" si="4"/>
        <v>736</v>
      </c>
      <c r="T6" s="110">
        <f t="shared" si="4"/>
        <v>747</v>
      </c>
      <c r="U6" s="110">
        <f t="shared" si="4"/>
        <v>724</v>
      </c>
      <c r="V6" s="110">
        <f t="shared" si="4"/>
        <v>448</v>
      </c>
      <c r="W6" s="110">
        <f t="shared" ref="W6" si="5">SUM(W7:W8)</f>
        <v>538</v>
      </c>
      <c r="DA6" s="176" t="s">
        <v>377</v>
      </c>
    </row>
    <row r="7" spans="1:105" ht="11.45" customHeight="1" x14ac:dyDescent="0.25">
      <c r="A7" s="111" t="s">
        <v>90</v>
      </c>
      <c r="B7" s="84">
        <v>582.57917990657165</v>
      </c>
      <c r="C7" s="84">
        <v>558.78895343796057</v>
      </c>
      <c r="D7" s="84">
        <v>535.30616863717842</v>
      </c>
      <c r="E7" s="84">
        <v>525.25383682618212</v>
      </c>
      <c r="F7" s="84">
        <v>534.82343528832553</v>
      </c>
      <c r="G7" s="84">
        <v>592.24412275821737</v>
      </c>
      <c r="H7" s="84">
        <v>631.15991671118195</v>
      </c>
      <c r="I7" s="84">
        <v>745.51877174775655</v>
      </c>
      <c r="J7" s="84">
        <v>848.49239443430861</v>
      </c>
      <c r="K7" s="84">
        <v>843.27148742719135</v>
      </c>
      <c r="L7" s="84">
        <v>793.42184991196712</v>
      </c>
      <c r="M7" s="84">
        <v>682.13621545003559</v>
      </c>
      <c r="N7" s="84">
        <v>502.87978252696712</v>
      </c>
      <c r="O7" s="84">
        <v>448.80638794526783</v>
      </c>
      <c r="P7" s="84">
        <v>427.75482323495675</v>
      </c>
      <c r="Q7" s="84">
        <v>420.55610096692982</v>
      </c>
      <c r="R7" s="84">
        <v>361.44736795160117</v>
      </c>
      <c r="S7" s="84">
        <v>318.23292454789981</v>
      </c>
      <c r="T7" s="84">
        <v>281.47407210717961</v>
      </c>
      <c r="U7" s="84">
        <v>228.37299001088905</v>
      </c>
      <c r="V7" s="84">
        <v>168.0473188733018</v>
      </c>
      <c r="W7" s="84">
        <v>184.36347870948745</v>
      </c>
      <c r="DA7" s="171" t="s">
        <v>1029</v>
      </c>
    </row>
    <row r="8" spans="1:105" ht="11.45" customHeight="1" x14ac:dyDescent="0.25">
      <c r="A8" s="111" t="s">
        <v>93</v>
      </c>
      <c r="B8" s="84">
        <v>669.42082009342835</v>
      </c>
      <c r="C8" s="84">
        <v>682.21104656203943</v>
      </c>
      <c r="D8" s="84">
        <v>659.69383136282158</v>
      </c>
      <c r="E8" s="84">
        <v>637.74616317381788</v>
      </c>
      <c r="F8" s="84">
        <v>634.17656471167447</v>
      </c>
      <c r="G8" s="84">
        <v>634.75587724178263</v>
      </c>
      <c r="H8" s="84">
        <v>690.84008328881805</v>
      </c>
      <c r="I8" s="84">
        <v>827.48122825224345</v>
      </c>
      <c r="J8" s="84">
        <v>920.50760556569139</v>
      </c>
      <c r="K8" s="84">
        <v>958.72851257280865</v>
      </c>
      <c r="L8" s="84">
        <v>917.57815008803288</v>
      </c>
      <c r="M8" s="84">
        <v>774.86378454996441</v>
      </c>
      <c r="N8" s="84">
        <v>577.12021747303288</v>
      </c>
      <c r="O8" s="84">
        <v>486.19361205473217</v>
      </c>
      <c r="P8" s="84">
        <v>489.24517676504325</v>
      </c>
      <c r="Q8" s="84">
        <v>520.44389903307024</v>
      </c>
      <c r="R8" s="84">
        <v>465.55263204839883</v>
      </c>
      <c r="S8" s="84">
        <v>417.76707545210019</v>
      </c>
      <c r="T8" s="84">
        <v>465.52592789282039</v>
      </c>
      <c r="U8" s="84">
        <v>495.62700998911095</v>
      </c>
      <c r="V8" s="84">
        <v>279.95268112669817</v>
      </c>
      <c r="W8" s="84">
        <v>353.63652129051252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1788</v>
      </c>
      <c r="C10" s="28">
        <f t="shared" ref="C10:V10" si="7">SUM(C11:C12)</f>
        <v>2074</v>
      </c>
      <c r="D10" s="28">
        <f t="shared" si="7"/>
        <v>2206</v>
      </c>
      <c r="E10" s="28">
        <f t="shared" si="7"/>
        <v>2487</v>
      </c>
      <c r="F10" s="28">
        <f t="shared" si="7"/>
        <v>2493</v>
      </c>
      <c r="G10" s="28">
        <f t="shared" si="7"/>
        <v>2835</v>
      </c>
      <c r="H10" s="28">
        <f t="shared" si="7"/>
        <v>3305</v>
      </c>
      <c r="I10" s="28">
        <f t="shared" si="7"/>
        <v>3574</v>
      </c>
      <c r="J10" s="28">
        <f t="shared" si="7"/>
        <v>3312</v>
      </c>
      <c r="K10" s="28">
        <f t="shared" si="7"/>
        <v>2641</v>
      </c>
      <c r="L10" s="28">
        <f t="shared" si="7"/>
        <v>2618</v>
      </c>
      <c r="M10" s="28">
        <f t="shared" si="7"/>
        <v>2438</v>
      </c>
      <c r="N10" s="28">
        <f t="shared" si="7"/>
        <v>2332</v>
      </c>
      <c r="O10" s="28">
        <f t="shared" si="7"/>
        <v>2086</v>
      </c>
      <c r="P10" s="28">
        <f t="shared" si="7"/>
        <v>2119</v>
      </c>
      <c r="Q10" s="28">
        <f t="shared" si="7"/>
        <v>2184</v>
      </c>
      <c r="R10" s="28">
        <f t="shared" si="7"/>
        <v>2160</v>
      </c>
      <c r="S10" s="28">
        <f t="shared" si="7"/>
        <v>2592</v>
      </c>
      <c r="T10" s="28">
        <f t="shared" si="7"/>
        <v>2743</v>
      </c>
      <c r="U10" s="28">
        <f t="shared" si="7"/>
        <v>2911</v>
      </c>
      <c r="V10" s="28">
        <f t="shared" si="7"/>
        <v>3279</v>
      </c>
      <c r="W10" s="28">
        <f t="shared" ref="W10" si="8">SUM(W11:W12)</f>
        <v>3172</v>
      </c>
      <c r="DA10" s="173" t="s">
        <v>383</v>
      </c>
    </row>
    <row r="11" spans="1:105" ht="11.45" customHeight="1" x14ac:dyDescent="0.25">
      <c r="A11" s="83" t="s">
        <v>90</v>
      </c>
      <c r="B11" s="84">
        <v>929.90161884249301</v>
      </c>
      <c r="C11" s="84">
        <v>1027.1119781127068</v>
      </c>
      <c r="D11" s="84">
        <v>1074.8381553781232</v>
      </c>
      <c r="E11" s="84">
        <v>1194.829044661343</v>
      </c>
      <c r="F11" s="84">
        <v>1156.0511778136663</v>
      </c>
      <c r="G11" s="84">
        <v>1335.8958232242173</v>
      </c>
      <c r="H11" s="84">
        <v>1567.8140935416134</v>
      </c>
      <c r="I11" s="84">
        <v>1685.157076133723</v>
      </c>
      <c r="J11" s="84">
        <v>1601.6528878688216</v>
      </c>
      <c r="K11" s="84">
        <v>1319.5959396962458</v>
      </c>
      <c r="L11" s="84">
        <v>1289.0510155215641</v>
      </c>
      <c r="M11" s="84">
        <v>1137.2829985376741</v>
      </c>
      <c r="N11" s="84">
        <v>1085.615472600603</v>
      </c>
      <c r="O11" s="84">
        <v>957.15645757815514</v>
      </c>
      <c r="P11" s="84">
        <v>1011.4358974358977</v>
      </c>
      <c r="Q11" s="84">
        <v>948.24040066777945</v>
      </c>
      <c r="R11" s="84">
        <v>931.54179966734785</v>
      </c>
      <c r="S11" s="84">
        <v>1077.4656678632266</v>
      </c>
      <c r="T11" s="84">
        <v>1015.1895126162453</v>
      </c>
      <c r="U11" s="84">
        <v>1055.5672874710212</v>
      </c>
      <c r="V11" s="84">
        <v>1186.991437897027</v>
      </c>
      <c r="W11" s="84">
        <v>1152.1140741006038</v>
      </c>
      <c r="DA11" s="171" t="s">
        <v>1031</v>
      </c>
    </row>
    <row r="12" spans="1:105" ht="11.45" customHeight="1" x14ac:dyDescent="0.25">
      <c r="A12" s="85" t="s">
        <v>93</v>
      </c>
      <c r="B12" s="86">
        <v>858.09838115750699</v>
      </c>
      <c r="C12" s="86">
        <v>1046.8880218872932</v>
      </c>
      <c r="D12" s="86">
        <v>1131.1618446218768</v>
      </c>
      <c r="E12" s="86">
        <v>1292.170955338657</v>
      </c>
      <c r="F12" s="86">
        <v>1336.9488221863337</v>
      </c>
      <c r="G12" s="86">
        <v>1499.1041767757827</v>
      </c>
      <c r="H12" s="86">
        <v>1737.1859064583866</v>
      </c>
      <c r="I12" s="86">
        <v>1888.842923866277</v>
      </c>
      <c r="J12" s="86">
        <v>1710.3471121311784</v>
      </c>
      <c r="K12" s="86">
        <v>1321.4040603037542</v>
      </c>
      <c r="L12" s="86">
        <v>1328.9489844784359</v>
      </c>
      <c r="M12" s="86">
        <v>1300.7170014623259</v>
      </c>
      <c r="N12" s="86">
        <v>1246.384527399397</v>
      </c>
      <c r="O12" s="86">
        <v>1128.8435424218449</v>
      </c>
      <c r="P12" s="86">
        <v>1107.5641025641023</v>
      </c>
      <c r="Q12" s="86">
        <v>1235.7595993322207</v>
      </c>
      <c r="R12" s="86">
        <v>1228.4582003326523</v>
      </c>
      <c r="S12" s="86">
        <v>1514.5343321367734</v>
      </c>
      <c r="T12" s="86">
        <v>1727.8104873837547</v>
      </c>
      <c r="U12" s="86">
        <v>1855.4327125289788</v>
      </c>
      <c r="V12" s="86">
        <v>2092.008562102973</v>
      </c>
      <c r="W12" s="86">
        <v>2019.8859258993962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23.596849770815524</v>
      </c>
      <c r="C14" s="62">
        <f t="shared" ref="C14:V14" si="10">C15+C21</f>
        <v>24.375451845549417</v>
      </c>
      <c r="D14" s="62">
        <f t="shared" si="10"/>
        <v>25.220048910223433</v>
      </c>
      <c r="E14" s="62">
        <f t="shared" si="10"/>
        <v>25.521772771794602</v>
      </c>
      <c r="F14" s="62">
        <f t="shared" si="10"/>
        <v>25.996618283352387</v>
      </c>
      <c r="G14" s="62">
        <f t="shared" si="10"/>
        <v>27.315615811148522</v>
      </c>
      <c r="H14" s="62">
        <f t="shared" si="10"/>
        <v>28.711278771583906</v>
      </c>
      <c r="I14" s="62">
        <f t="shared" si="10"/>
        <v>30.513518971655319</v>
      </c>
      <c r="J14" s="62">
        <f t="shared" si="10"/>
        <v>30.897554556126824</v>
      </c>
      <c r="K14" s="62">
        <f t="shared" si="10"/>
        <v>29.116364009595401</v>
      </c>
      <c r="L14" s="62">
        <f t="shared" si="10"/>
        <v>28.929735821096596</v>
      </c>
      <c r="M14" s="62">
        <f t="shared" si="10"/>
        <v>28.338917749691269</v>
      </c>
      <c r="N14" s="62">
        <f t="shared" si="10"/>
        <v>27.658147043065398</v>
      </c>
      <c r="O14" s="62">
        <f t="shared" si="10"/>
        <v>26.635621627230318</v>
      </c>
      <c r="P14" s="62">
        <f t="shared" si="10"/>
        <v>25.660689521480759</v>
      </c>
      <c r="Q14" s="62">
        <f t="shared" si="10"/>
        <v>25.55369460645835</v>
      </c>
      <c r="R14" s="62">
        <f t="shared" si="10"/>
        <v>26.016585206010596</v>
      </c>
      <c r="S14" s="62">
        <f t="shared" si="10"/>
        <v>26.565947110612719</v>
      </c>
      <c r="T14" s="62">
        <f t="shared" si="10"/>
        <v>25.772350287450227</v>
      </c>
      <c r="U14" s="62">
        <f t="shared" si="10"/>
        <v>24.322415253362166</v>
      </c>
      <c r="V14" s="62">
        <f t="shared" si="10"/>
        <v>23.067933963411001</v>
      </c>
      <c r="W14" s="62">
        <f t="shared" ref="W14" si="11">W15+W21</f>
        <v>24.974062604939185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19.717635943384796</v>
      </c>
      <c r="C15" s="29">
        <f t="shared" ref="C15:V15" si="13">SUM(C16,C17,C20)</f>
        <v>20.060789120845065</v>
      </c>
      <c r="D15" s="29">
        <f t="shared" si="13"/>
        <v>20.485252302122007</v>
      </c>
      <c r="E15" s="29">
        <f t="shared" si="13"/>
        <v>20.242817638660252</v>
      </c>
      <c r="F15" s="29">
        <f t="shared" si="13"/>
        <v>20.569120575823007</v>
      </c>
      <c r="G15" s="29">
        <f t="shared" si="13"/>
        <v>21.156697561436776</v>
      </c>
      <c r="H15" s="29">
        <f t="shared" si="13"/>
        <v>22.115508581994241</v>
      </c>
      <c r="I15" s="29">
        <f t="shared" si="13"/>
        <v>23.717432634363643</v>
      </c>
      <c r="J15" s="29">
        <f t="shared" si="13"/>
        <v>24.504251839156655</v>
      </c>
      <c r="K15" s="29">
        <f t="shared" si="13"/>
        <v>23.791445696365145</v>
      </c>
      <c r="L15" s="29">
        <f t="shared" si="13"/>
        <v>23.11467797371569</v>
      </c>
      <c r="M15" s="29">
        <f t="shared" si="13"/>
        <v>22.855551297219254</v>
      </c>
      <c r="N15" s="29">
        <f t="shared" si="13"/>
        <v>22.508607750334122</v>
      </c>
      <c r="O15" s="29">
        <f t="shared" si="13"/>
        <v>21.292507120750962</v>
      </c>
      <c r="P15" s="29">
        <f t="shared" si="13"/>
        <v>20.497821082052457</v>
      </c>
      <c r="Q15" s="29">
        <f t="shared" si="13"/>
        <v>20.487794771379352</v>
      </c>
      <c r="R15" s="29">
        <f t="shared" si="13"/>
        <v>20.491751110787376</v>
      </c>
      <c r="S15" s="29">
        <f t="shared" si="13"/>
        <v>20.438640996155403</v>
      </c>
      <c r="T15" s="29">
        <f t="shared" si="13"/>
        <v>19.919140726494675</v>
      </c>
      <c r="U15" s="29">
        <f t="shared" si="13"/>
        <v>18.119150271914918</v>
      </c>
      <c r="V15" s="29">
        <f t="shared" si="13"/>
        <v>16.588266516632185</v>
      </c>
      <c r="W15" s="29">
        <f t="shared" ref="W15" si="14">SUM(W16,W17,W20)</f>
        <v>19.212768086952359</v>
      </c>
      <c r="DA15" s="173" t="s">
        <v>1034</v>
      </c>
    </row>
    <row r="16" spans="1:105" ht="11.45" customHeight="1" x14ac:dyDescent="0.25">
      <c r="A16" s="107" t="s">
        <v>23</v>
      </c>
      <c r="B16" s="115">
        <v>6.2441961301925373</v>
      </c>
      <c r="C16" s="115">
        <v>6.6336471575822697</v>
      </c>
      <c r="D16" s="115">
        <v>6.7206093784449381</v>
      </c>
      <c r="E16" s="115">
        <v>6.997436025642731</v>
      </c>
      <c r="F16" s="115">
        <v>6.7117385093351274</v>
      </c>
      <c r="G16" s="115">
        <v>6.8054864796030561</v>
      </c>
      <c r="H16" s="115">
        <v>7.1019059066020445</v>
      </c>
      <c r="I16" s="115">
        <v>8.420483653287274</v>
      </c>
      <c r="J16" s="115">
        <v>7.9477765648129584</v>
      </c>
      <c r="K16" s="115">
        <v>7.4192901743131436</v>
      </c>
      <c r="L16" s="115">
        <v>7.0439297389948257</v>
      </c>
      <c r="M16" s="115">
        <v>6.6502818599284339</v>
      </c>
      <c r="N16" s="115">
        <v>6.6966102758248267</v>
      </c>
      <c r="O16" s="115">
        <v>6.8133888935117932</v>
      </c>
      <c r="P16" s="115">
        <v>7.3421879110484989</v>
      </c>
      <c r="Q16" s="115">
        <v>7.5461079345415074</v>
      </c>
      <c r="R16" s="115">
        <v>7.7365928214704454</v>
      </c>
      <c r="S16" s="115">
        <v>7.633267530041322</v>
      </c>
      <c r="T16" s="115">
        <v>7.1418551001006705</v>
      </c>
      <c r="U16" s="115">
        <v>5.340942574920474</v>
      </c>
      <c r="V16" s="115">
        <v>5.9516059665532888</v>
      </c>
      <c r="W16" s="115">
        <v>6.0136310615448156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13.473439813192257</v>
      </c>
      <c r="C17" s="116">
        <f t="shared" ref="C17:V17" si="16">SUM(C18:C19)</f>
        <v>13.427141963262795</v>
      </c>
      <c r="D17" s="116">
        <f t="shared" si="16"/>
        <v>13.764642923677069</v>
      </c>
      <c r="E17" s="116">
        <f t="shared" si="16"/>
        <v>13.245381613017521</v>
      </c>
      <c r="F17" s="116">
        <f t="shared" si="16"/>
        <v>13.85738206648788</v>
      </c>
      <c r="G17" s="116">
        <f t="shared" si="16"/>
        <v>14.35121108183372</v>
      </c>
      <c r="H17" s="116">
        <f t="shared" si="16"/>
        <v>15.013602675392198</v>
      </c>
      <c r="I17" s="116">
        <f t="shared" si="16"/>
        <v>15.296948981076369</v>
      </c>
      <c r="J17" s="116">
        <f t="shared" si="16"/>
        <v>16.556475274343697</v>
      </c>
      <c r="K17" s="116">
        <f t="shared" si="16"/>
        <v>16.372155522052001</v>
      </c>
      <c r="L17" s="116">
        <f t="shared" si="16"/>
        <v>16.070748234720863</v>
      </c>
      <c r="M17" s="116">
        <f t="shared" si="16"/>
        <v>16.20526943729082</v>
      </c>
      <c r="N17" s="116">
        <f t="shared" si="16"/>
        <v>15.811997474509294</v>
      </c>
      <c r="O17" s="116">
        <f t="shared" si="16"/>
        <v>14.479118227239169</v>
      </c>
      <c r="P17" s="116">
        <f t="shared" si="16"/>
        <v>13.155633171003959</v>
      </c>
      <c r="Q17" s="116">
        <f t="shared" si="16"/>
        <v>12.941686836837846</v>
      </c>
      <c r="R17" s="116">
        <f t="shared" si="16"/>
        <v>12.755158289316931</v>
      </c>
      <c r="S17" s="116">
        <f t="shared" si="16"/>
        <v>12.80537346611408</v>
      </c>
      <c r="T17" s="116">
        <f t="shared" si="16"/>
        <v>12.777285626394002</v>
      </c>
      <c r="U17" s="116">
        <f t="shared" si="16"/>
        <v>12.778207696994446</v>
      </c>
      <c r="V17" s="116">
        <f t="shared" si="16"/>
        <v>10.636660550078897</v>
      </c>
      <c r="W17" s="116">
        <f t="shared" ref="W17" si="17">SUM(W18:W19)</f>
        <v>13.199137025407545</v>
      </c>
      <c r="DA17" s="176" t="s">
        <v>1036</v>
      </c>
    </row>
    <row r="18" spans="1:105" ht="11.45" customHeight="1" x14ac:dyDescent="0.25">
      <c r="A18" s="111" t="s">
        <v>92</v>
      </c>
      <c r="B18" s="87">
        <v>6.8067342754432776</v>
      </c>
      <c r="C18" s="87">
        <v>6.7316727198484836</v>
      </c>
      <c r="D18" s="87">
        <v>6.872513887249756</v>
      </c>
      <c r="E18" s="87">
        <v>6.6166052004399267</v>
      </c>
      <c r="F18" s="87">
        <v>7.3839224305441054</v>
      </c>
      <c r="G18" s="87">
        <v>7.4410249177264722</v>
      </c>
      <c r="H18" s="87">
        <v>7.8184653253322871</v>
      </c>
      <c r="I18" s="87">
        <v>7.9074790949808795</v>
      </c>
      <c r="J18" s="87">
        <v>8.5690088601659884</v>
      </c>
      <c r="K18" s="87">
        <v>7.9300477791354327</v>
      </c>
      <c r="L18" s="87">
        <v>7.7550706834261263</v>
      </c>
      <c r="M18" s="87">
        <v>7.6460156277924476</v>
      </c>
      <c r="N18" s="87">
        <v>7.3575603720641887</v>
      </c>
      <c r="O18" s="87">
        <v>7.3313302925229209</v>
      </c>
      <c r="P18" s="87">
        <v>6.482673496281345</v>
      </c>
      <c r="Q18" s="87">
        <v>5.8674780139729412</v>
      </c>
      <c r="R18" s="87">
        <v>5.8842468416494871</v>
      </c>
      <c r="S18" s="87">
        <v>5.884896148588461</v>
      </c>
      <c r="T18" s="87">
        <v>5.0859782147308588</v>
      </c>
      <c r="U18" s="87">
        <v>4.6595985536554894</v>
      </c>
      <c r="V18" s="87">
        <v>4.05523212581077</v>
      </c>
      <c r="W18" s="87">
        <v>4.4607471225825241</v>
      </c>
      <c r="DA18" s="171" t="s">
        <v>1037</v>
      </c>
    </row>
    <row r="19" spans="1:105" ht="11.45" customHeight="1" x14ac:dyDescent="0.25">
      <c r="A19" s="111" t="s">
        <v>93</v>
      </c>
      <c r="B19" s="87">
        <v>6.6667055377489799</v>
      </c>
      <c r="C19" s="87">
        <v>6.695469243414311</v>
      </c>
      <c r="D19" s="87">
        <v>6.8921290364273142</v>
      </c>
      <c r="E19" s="87">
        <v>6.6287764125775945</v>
      </c>
      <c r="F19" s="87">
        <v>6.4734596359437742</v>
      </c>
      <c r="G19" s="87">
        <v>6.9101861641072473</v>
      </c>
      <c r="H19" s="87">
        <v>7.1951373500599107</v>
      </c>
      <c r="I19" s="87">
        <v>7.3894698860954895</v>
      </c>
      <c r="J19" s="87">
        <v>7.9874664141777085</v>
      </c>
      <c r="K19" s="87">
        <v>8.4421077429165692</v>
      </c>
      <c r="L19" s="87">
        <v>8.315677551294737</v>
      </c>
      <c r="M19" s="87">
        <v>8.5592538094983723</v>
      </c>
      <c r="N19" s="87">
        <v>8.4544371024451053</v>
      </c>
      <c r="O19" s="87">
        <v>7.1477879347162476</v>
      </c>
      <c r="P19" s="87">
        <v>6.6729596747226143</v>
      </c>
      <c r="Q19" s="87">
        <v>7.0742088228649038</v>
      </c>
      <c r="R19" s="87">
        <v>6.870911447667444</v>
      </c>
      <c r="S19" s="87">
        <v>6.9204773175256191</v>
      </c>
      <c r="T19" s="87">
        <v>7.6913074116631437</v>
      </c>
      <c r="U19" s="87">
        <v>8.1186091433389578</v>
      </c>
      <c r="V19" s="87">
        <v>6.5814284242681271</v>
      </c>
      <c r="W19" s="87">
        <v>8.7383899028250198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3.879213827430728</v>
      </c>
      <c r="C21" s="29">
        <f t="shared" ref="C21:V21" si="19">SUM(C22:C23)</f>
        <v>4.3146627247043527</v>
      </c>
      <c r="D21" s="29">
        <f t="shared" si="19"/>
        <v>4.7347966081014254</v>
      </c>
      <c r="E21" s="29">
        <f t="shared" si="19"/>
        <v>5.2789551331343496</v>
      </c>
      <c r="F21" s="29">
        <f t="shared" si="19"/>
        <v>5.4274977075293789</v>
      </c>
      <c r="G21" s="29">
        <f t="shared" si="19"/>
        <v>6.1589182497117463</v>
      </c>
      <c r="H21" s="29">
        <f t="shared" si="19"/>
        <v>6.5957701895896648</v>
      </c>
      <c r="I21" s="29">
        <f t="shared" si="19"/>
        <v>6.7960863372916762</v>
      </c>
      <c r="J21" s="29">
        <f t="shared" si="19"/>
        <v>6.3933027169701679</v>
      </c>
      <c r="K21" s="29">
        <f t="shared" si="19"/>
        <v>5.3249183132302553</v>
      </c>
      <c r="L21" s="29">
        <f t="shared" si="19"/>
        <v>5.8150578473809054</v>
      </c>
      <c r="M21" s="29">
        <f t="shared" si="19"/>
        <v>5.4833664524720138</v>
      </c>
      <c r="N21" s="29">
        <f t="shared" si="19"/>
        <v>5.1495392927312764</v>
      </c>
      <c r="O21" s="29">
        <f t="shared" si="19"/>
        <v>5.3431145064793553</v>
      </c>
      <c r="P21" s="29">
        <f t="shared" si="19"/>
        <v>5.1628684394283013</v>
      </c>
      <c r="Q21" s="29">
        <f t="shared" si="19"/>
        <v>5.0658998350789988</v>
      </c>
      <c r="R21" s="29">
        <f t="shared" si="19"/>
        <v>5.5248340952232198</v>
      </c>
      <c r="S21" s="29">
        <f t="shared" si="19"/>
        <v>6.1273061144573138</v>
      </c>
      <c r="T21" s="29">
        <f t="shared" si="19"/>
        <v>5.8532095609555519</v>
      </c>
      <c r="U21" s="29">
        <f t="shared" si="19"/>
        <v>6.203264981447246</v>
      </c>
      <c r="V21" s="29">
        <f t="shared" si="19"/>
        <v>6.4796674467788176</v>
      </c>
      <c r="W21" s="29">
        <f t="shared" ref="W21" si="20">SUM(W22:W23)</f>
        <v>5.7612945179868253</v>
      </c>
      <c r="DA21" s="173" t="s">
        <v>1040</v>
      </c>
    </row>
    <row r="22" spans="1:105" ht="11.45" customHeight="1" x14ac:dyDescent="0.25">
      <c r="A22" s="83" t="s">
        <v>92</v>
      </c>
      <c r="B22" s="87">
        <v>1.4297613724193492</v>
      </c>
      <c r="C22" s="87">
        <v>1.7993185175395088</v>
      </c>
      <c r="D22" s="87">
        <v>1.8521697889452515</v>
      </c>
      <c r="E22" s="87">
        <v>2.1161218173290375</v>
      </c>
      <c r="F22" s="87">
        <v>2.241774278590015</v>
      </c>
      <c r="G22" s="87">
        <v>2.5628025513527923</v>
      </c>
      <c r="H22" s="87">
        <v>2.6946898186375452</v>
      </c>
      <c r="I22" s="87">
        <v>2.9666336310807293</v>
      </c>
      <c r="J22" s="87">
        <v>2.7464669086884017</v>
      </c>
      <c r="K22" s="87">
        <v>2.3147238672860619</v>
      </c>
      <c r="L22" s="87">
        <v>2.4531656758059941</v>
      </c>
      <c r="M22" s="87">
        <v>2.2193186624490266</v>
      </c>
      <c r="N22" s="87">
        <v>2.1346522506385495</v>
      </c>
      <c r="O22" s="87">
        <v>2.1009845658967037</v>
      </c>
      <c r="P22" s="87">
        <v>1.9704163449878729</v>
      </c>
      <c r="Q22" s="87">
        <v>1.688052244214594</v>
      </c>
      <c r="R22" s="87">
        <v>1.7887781653286421</v>
      </c>
      <c r="S22" s="87">
        <v>1.7778670553307907</v>
      </c>
      <c r="T22" s="87">
        <v>1.4696543841167768</v>
      </c>
      <c r="U22" s="87">
        <v>1.5963892728091562</v>
      </c>
      <c r="V22" s="87">
        <v>1.6348426616995719</v>
      </c>
      <c r="W22" s="87">
        <v>1.7413482604110768</v>
      </c>
      <c r="DA22" s="171" t="s">
        <v>1041</v>
      </c>
    </row>
    <row r="23" spans="1:105" ht="11.45" customHeight="1" x14ac:dyDescent="0.25">
      <c r="A23" s="85" t="s">
        <v>93</v>
      </c>
      <c r="B23" s="88">
        <v>2.4494524550113788</v>
      </c>
      <c r="C23" s="88">
        <v>2.5153442071648442</v>
      </c>
      <c r="D23" s="88">
        <v>2.8826268191561741</v>
      </c>
      <c r="E23" s="88">
        <v>3.1628333158053121</v>
      </c>
      <c r="F23" s="88">
        <v>3.1857234289393639</v>
      </c>
      <c r="G23" s="88">
        <v>3.5961156983589539</v>
      </c>
      <c r="H23" s="88">
        <v>3.9010803709521196</v>
      </c>
      <c r="I23" s="88">
        <v>3.8294527062109469</v>
      </c>
      <c r="J23" s="88">
        <v>3.6468358082817662</v>
      </c>
      <c r="K23" s="88">
        <v>3.0101944459441934</v>
      </c>
      <c r="L23" s="88">
        <v>3.3618921715749113</v>
      </c>
      <c r="M23" s="88">
        <v>3.2640477900229872</v>
      </c>
      <c r="N23" s="88">
        <v>3.014887042092727</v>
      </c>
      <c r="O23" s="88">
        <v>3.2421299405826516</v>
      </c>
      <c r="P23" s="88">
        <v>3.1924520944404282</v>
      </c>
      <c r="Q23" s="88">
        <v>3.3778475908644046</v>
      </c>
      <c r="R23" s="88">
        <v>3.7360559298945777</v>
      </c>
      <c r="S23" s="88">
        <v>4.3494390591265226</v>
      </c>
      <c r="T23" s="88">
        <v>4.383555176838775</v>
      </c>
      <c r="U23" s="88">
        <v>4.60687570863809</v>
      </c>
      <c r="V23" s="88">
        <v>4.8448247850792452</v>
      </c>
      <c r="W23" s="88">
        <v>4.0199462575757483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165.98442299999999</v>
      </c>
      <c r="C25" s="62">
        <f t="shared" ref="C25:V25" si="22">C26+C32</f>
        <v>171.39347999999998</v>
      </c>
      <c r="D25" s="62">
        <f t="shared" si="22"/>
        <v>176.53471999999999</v>
      </c>
      <c r="E25" s="62">
        <f t="shared" si="22"/>
        <v>178.31037699999999</v>
      </c>
      <c r="F25" s="62">
        <f t="shared" si="22"/>
        <v>180.535843</v>
      </c>
      <c r="G25" s="62">
        <f t="shared" si="22"/>
        <v>188.33739199999997</v>
      </c>
      <c r="H25" s="62">
        <f t="shared" si="22"/>
        <v>197.632319</v>
      </c>
      <c r="I25" s="62">
        <f t="shared" si="22"/>
        <v>212.50994600000001</v>
      </c>
      <c r="J25" s="62">
        <f t="shared" si="22"/>
        <v>214.98148699999996</v>
      </c>
      <c r="K25" s="62">
        <f t="shared" si="22"/>
        <v>207.00866100000002</v>
      </c>
      <c r="L25" s="62">
        <f t="shared" si="22"/>
        <v>200.67203799999999</v>
      </c>
      <c r="M25" s="62">
        <f t="shared" si="22"/>
        <v>196.78612699999999</v>
      </c>
      <c r="N25" s="62">
        <f t="shared" si="22"/>
        <v>192.64587599999999</v>
      </c>
      <c r="O25" s="62">
        <f t="shared" si="22"/>
        <v>189.48841999999999</v>
      </c>
      <c r="P25" s="62">
        <f t="shared" si="22"/>
        <v>184.37319500000001</v>
      </c>
      <c r="Q25" s="62">
        <f t="shared" si="22"/>
        <v>181.58870700000003</v>
      </c>
      <c r="R25" s="62">
        <f t="shared" si="22"/>
        <v>182.99122399999999</v>
      </c>
      <c r="S25" s="62">
        <f t="shared" si="22"/>
        <v>185.39903099999998</v>
      </c>
      <c r="T25" s="62">
        <f t="shared" si="22"/>
        <v>180.98839000000001</v>
      </c>
      <c r="U25" s="62">
        <f t="shared" si="22"/>
        <v>175.45379199999999</v>
      </c>
      <c r="V25" s="62">
        <f t="shared" si="22"/>
        <v>163.21831899999998</v>
      </c>
      <c r="W25" s="62">
        <f t="shared" ref="W25" si="23">W26+W32</f>
        <v>174.36976200000001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146.58835299999998</v>
      </c>
      <c r="C26" s="29">
        <f t="shared" ref="C26:V26" si="25">SUM(C27,C28,C31)</f>
        <v>149.82016499999997</v>
      </c>
      <c r="D26" s="29">
        <f t="shared" si="25"/>
        <v>152.860736</v>
      </c>
      <c r="E26" s="29">
        <f t="shared" si="25"/>
        <v>151.91559999999998</v>
      </c>
      <c r="F26" s="29">
        <f t="shared" si="25"/>
        <v>153.39835299999999</v>
      </c>
      <c r="G26" s="29">
        <f t="shared" si="25"/>
        <v>157.54279999999997</v>
      </c>
      <c r="H26" s="29">
        <f t="shared" si="25"/>
        <v>164.65346700000001</v>
      </c>
      <c r="I26" s="29">
        <f t="shared" si="25"/>
        <v>178.52951300000001</v>
      </c>
      <c r="J26" s="29">
        <f t="shared" si="25"/>
        <v>182.62901799999997</v>
      </c>
      <c r="K26" s="29">
        <f t="shared" si="25"/>
        <v>176.595798</v>
      </c>
      <c r="L26" s="29">
        <f t="shared" si="25"/>
        <v>171.17404799999997</v>
      </c>
      <c r="M26" s="29">
        <f t="shared" si="25"/>
        <v>168.49223899999998</v>
      </c>
      <c r="N26" s="29">
        <f t="shared" si="25"/>
        <v>166.291594</v>
      </c>
      <c r="O26" s="29">
        <f t="shared" si="25"/>
        <v>162.733881</v>
      </c>
      <c r="P26" s="29">
        <f t="shared" si="25"/>
        <v>158.558852</v>
      </c>
      <c r="Q26" s="29">
        <f t="shared" si="25"/>
        <v>155.56226700000002</v>
      </c>
      <c r="R26" s="29">
        <f t="shared" si="25"/>
        <v>155.367053</v>
      </c>
      <c r="S26" s="29">
        <f t="shared" si="25"/>
        <v>154.76249899999999</v>
      </c>
      <c r="T26" s="29">
        <f t="shared" si="25"/>
        <v>150.89615800000001</v>
      </c>
      <c r="U26" s="29">
        <f t="shared" si="25"/>
        <v>144.437466</v>
      </c>
      <c r="V26" s="29">
        <f t="shared" si="25"/>
        <v>130.81998099999998</v>
      </c>
      <c r="W26" s="29">
        <f t="shared" ref="W26" si="26">SUM(W27,W28,W31)</f>
        <v>142.663622</v>
      </c>
      <c r="DA26" s="173" t="s">
        <v>1044</v>
      </c>
    </row>
    <row r="27" spans="1:105" ht="11.45" customHeight="1" x14ac:dyDescent="0.25">
      <c r="A27" s="107" t="s">
        <v>23</v>
      </c>
      <c r="B27" s="115">
        <v>56.765419999999999</v>
      </c>
      <c r="C27" s="115">
        <v>60.305883999999999</v>
      </c>
      <c r="D27" s="115">
        <v>61.096449</v>
      </c>
      <c r="E27" s="115">
        <v>63.613054999999996</v>
      </c>
      <c r="F27" s="115">
        <v>61.015805</v>
      </c>
      <c r="G27" s="115">
        <v>61.868058999999995</v>
      </c>
      <c r="H27" s="115">
        <v>64.562781000000001</v>
      </c>
      <c r="I27" s="115">
        <v>76.549852000000001</v>
      </c>
      <c r="J27" s="115">
        <v>72.252515000000002</v>
      </c>
      <c r="K27" s="115">
        <v>67.448093</v>
      </c>
      <c r="L27" s="115">
        <v>64.035724999999999</v>
      </c>
      <c r="M27" s="115">
        <v>60.457107999999998</v>
      </c>
      <c r="N27" s="115">
        <v>60.878276</v>
      </c>
      <c r="O27" s="115">
        <v>61.939899999999994</v>
      </c>
      <c r="P27" s="115">
        <v>66.747163</v>
      </c>
      <c r="Q27" s="115">
        <v>68.600982000000002</v>
      </c>
      <c r="R27" s="115">
        <v>70.332662999999997</v>
      </c>
      <c r="S27" s="115">
        <v>69.393342000000004</v>
      </c>
      <c r="T27" s="115">
        <v>64.925955999999999</v>
      </c>
      <c r="U27" s="115">
        <v>59.249414000000002</v>
      </c>
      <c r="V27" s="115">
        <v>54.105508999999998</v>
      </c>
      <c r="W27" s="115">
        <v>54.669373999999998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89.822932999999992</v>
      </c>
      <c r="C28" s="116">
        <f t="shared" ref="C28:V28" si="28">SUM(C29:C30)</f>
        <v>89.514280999999983</v>
      </c>
      <c r="D28" s="116">
        <f t="shared" si="28"/>
        <v>91.764286999999996</v>
      </c>
      <c r="E28" s="116">
        <f t="shared" si="28"/>
        <v>88.302544999999995</v>
      </c>
      <c r="F28" s="116">
        <f t="shared" si="28"/>
        <v>92.382547999999986</v>
      </c>
      <c r="G28" s="116">
        <f t="shared" si="28"/>
        <v>95.674740999999983</v>
      </c>
      <c r="H28" s="116">
        <f t="shared" si="28"/>
        <v>100.09068600000001</v>
      </c>
      <c r="I28" s="116">
        <f t="shared" si="28"/>
        <v>101.97966099999999</v>
      </c>
      <c r="J28" s="116">
        <f t="shared" si="28"/>
        <v>110.37650299999999</v>
      </c>
      <c r="K28" s="116">
        <f t="shared" si="28"/>
        <v>109.147705</v>
      </c>
      <c r="L28" s="116">
        <f t="shared" si="28"/>
        <v>107.13832299999999</v>
      </c>
      <c r="M28" s="116">
        <f t="shared" si="28"/>
        <v>108.03513099999999</v>
      </c>
      <c r="N28" s="116">
        <f t="shared" si="28"/>
        <v>105.413318</v>
      </c>
      <c r="O28" s="116">
        <f t="shared" si="28"/>
        <v>100.793981</v>
      </c>
      <c r="P28" s="116">
        <f t="shared" si="28"/>
        <v>91.811689000000001</v>
      </c>
      <c r="Q28" s="116">
        <f t="shared" si="28"/>
        <v>86.961285000000004</v>
      </c>
      <c r="R28" s="116">
        <f t="shared" si="28"/>
        <v>85.034390000000002</v>
      </c>
      <c r="S28" s="116">
        <f t="shared" si="28"/>
        <v>85.369157000000001</v>
      </c>
      <c r="T28" s="116">
        <f t="shared" si="28"/>
        <v>85.970202</v>
      </c>
      <c r="U28" s="116">
        <f t="shared" si="28"/>
        <v>85.188051999999999</v>
      </c>
      <c r="V28" s="116">
        <f t="shared" si="28"/>
        <v>76.714472000000001</v>
      </c>
      <c r="W28" s="116">
        <f t="shared" ref="W28" si="29">SUM(W29:W30)</f>
        <v>87.994247999999999</v>
      </c>
      <c r="DA28" s="176" t="s">
        <v>1046</v>
      </c>
    </row>
    <row r="29" spans="1:105" ht="11.45" customHeight="1" x14ac:dyDescent="0.25">
      <c r="A29" s="111" t="s">
        <v>92</v>
      </c>
      <c r="B29" s="87">
        <v>45.378228999999997</v>
      </c>
      <c r="C29" s="87">
        <v>44.877818999999995</v>
      </c>
      <c r="D29" s="87">
        <v>45.816759999999995</v>
      </c>
      <c r="E29" s="87">
        <v>44.110701999999996</v>
      </c>
      <c r="F29" s="87">
        <v>49.226149999999997</v>
      </c>
      <c r="G29" s="87">
        <v>49.606832999999995</v>
      </c>
      <c r="H29" s="87">
        <v>52.123103</v>
      </c>
      <c r="I29" s="87">
        <v>52.716527999999997</v>
      </c>
      <c r="J29" s="87">
        <v>57.126725999999998</v>
      </c>
      <c r="K29" s="87">
        <v>52.866985999999997</v>
      </c>
      <c r="L29" s="87">
        <v>51.700471999999998</v>
      </c>
      <c r="M29" s="87">
        <v>50.973437999999994</v>
      </c>
      <c r="N29" s="87">
        <v>49.050402999999996</v>
      </c>
      <c r="O29" s="87">
        <v>48.875535999999997</v>
      </c>
      <c r="P29" s="87">
        <v>44.337713999999998</v>
      </c>
      <c r="Q29" s="87">
        <v>39.799892</v>
      </c>
      <c r="R29" s="87">
        <v>39.228313</v>
      </c>
      <c r="S29" s="87">
        <v>39.232641000000001</v>
      </c>
      <c r="T29" s="87">
        <v>34.694818999999995</v>
      </c>
      <c r="U29" s="87">
        <v>31.063991000000001</v>
      </c>
      <c r="V29" s="87">
        <v>27.034881000000002</v>
      </c>
      <c r="W29" s="87">
        <v>29.738315</v>
      </c>
      <c r="DA29" s="171" t="s">
        <v>1047</v>
      </c>
    </row>
    <row r="30" spans="1:105" ht="11.45" customHeight="1" x14ac:dyDescent="0.25">
      <c r="A30" s="111" t="s">
        <v>93</v>
      </c>
      <c r="B30" s="87">
        <v>44.444703999999994</v>
      </c>
      <c r="C30" s="87">
        <v>44.636461999999995</v>
      </c>
      <c r="D30" s="87">
        <v>45.947527000000001</v>
      </c>
      <c r="E30" s="87">
        <v>44.191842999999999</v>
      </c>
      <c r="F30" s="87">
        <v>43.156397999999996</v>
      </c>
      <c r="G30" s="87">
        <v>46.067907999999996</v>
      </c>
      <c r="H30" s="87">
        <v>47.967582999999998</v>
      </c>
      <c r="I30" s="87">
        <v>49.263132999999996</v>
      </c>
      <c r="J30" s="87">
        <v>53.249776999999995</v>
      </c>
      <c r="K30" s="87">
        <v>56.280718999999998</v>
      </c>
      <c r="L30" s="87">
        <v>55.437850999999995</v>
      </c>
      <c r="M30" s="87">
        <v>57.061692999999998</v>
      </c>
      <c r="N30" s="87">
        <v>56.362915000000001</v>
      </c>
      <c r="O30" s="87">
        <v>51.918444999999998</v>
      </c>
      <c r="P30" s="87">
        <v>47.473974999999996</v>
      </c>
      <c r="Q30" s="87">
        <v>47.161392999999997</v>
      </c>
      <c r="R30" s="87">
        <v>45.806076999999995</v>
      </c>
      <c r="S30" s="87">
        <v>46.136516</v>
      </c>
      <c r="T30" s="87">
        <v>51.275382999999998</v>
      </c>
      <c r="U30" s="87">
        <v>54.124060999999998</v>
      </c>
      <c r="V30" s="87">
        <v>49.679590999999995</v>
      </c>
      <c r="W30" s="87">
        <v>58.255932999999999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19.396069999999998</v>
      </c>
      <c r="C32" s="29">
        <f t="shared" ref="C32:V32" si="31">SUM(C33:C34)</f>
        <v>21.573314999999997</v>
      </c>
      <c r="D32" s="29">
        <f t="shared" si="31"/>
        <v>23.673983999999997</v>
      </c>
      <c r="E32" s="29">
        <f t="shared" si="31"/>
        <v>26.394776999999998</v>
      </c>
      <c r="F32" s="29">
        <f t="shared" si="31"/>
        <v>27.13749</v>
      </c>
      <c r="G32" s="29">
        <f t="shared" si="31"/>
        <v>30.794592000000002</v>
      </c>
      <c r="H32" s="29">
        <f t="shared" si="31"/>
        <v>32.978852000000003</v>
      </c>
      <c r="I32" s="29">
        <f t="shared" si="31"/>
        <v>33.980432999999998</v>
      </c>
      <c r="J32" s="29">
        <f t="shared" si="31"/>
        <v>32.352468999999999</v>
      </c>
      <c r="K32" s="29">
        <f t="shared" si="31"/>
        <v>30.412863000000002</v>
      </c>
      <c r="L32" s="29">
        <f t="shared" si="31"/>
        <v>29.497990000000001</v>
      </c>
      <c r="M32" s="29">
        <f t="shared" si="31"/>
        <v>28.293888000000003</v>
      </c>
      <c r="N32" s="29">
        <f t="shared" si="31"/>
        <v>26.354281999999998</v>
      </c>
      <c r="O32" s="29">
        <f t="shared" si="31"/>
        <v>26.754539000000001</v>
      </c>
      <c r="P32" s="29">
        <f t="shared" si="31"/>
        <v>25.814343000000001</v>
      </c>
      <c r="Q32" s="29">
        <f t="shared" si="31"/>
        <v>26.026440000000001</v>
      </c>
      <c r="R32" s="29">
        <f t="shared" si="31"/>
        <v>27.624170999999997</v>
      </c>
      <c r="S32" s="29">
        <f t="shared" si="31"/>
        <v>30.636532000000003</v>
      </c>
      <c r="T32" s="29">
        <f t="shared" si="31"/>
        <v>30.092231999999999</v>
      </c>
      <c r="U32" s="29">
        <f t="shared" si="31"/>
        <v>31.016325999999999</v>
      </c>
      <c r="V32" s="29">
        <f t="shared" si="31"/>
        <v>32.398337999999995</v>
      </c>
      <c r="W32" s="29">
        <f t="shared" ref="W32" si="32">SUM(W33:W34)</f>
        <v>31.706139999999998</v>
      </c>
      <c r="DA32" s="173" t="s">
        <v>1050</v>
      </c>
    </row>
    <row r="33" spans="1:105" ht="11.45" customHeight="1" x14ac:dyDescent="0.25">
      <c r="A33" s="83" t="s">
        <v>92</v>
      </c>
      <c r="B33" s="87">
        <v>7.1488070000000006</v>
      </c>
      <c r="C33" s="87">
        <v>8.996592999999999</v>
      </c>
      <c r="D33" s="87">
        <v>9.2608489999999986</v>
      </c>
      <c r="E33" s="87">
        <v>10.58061</v>
      </c>
      <c r="F33" s="87">
        <v>11.208872</v>
      </c>
      <c r="G33" s="87">
        <v>12.814012999999999</v>
      </c>
      <c r="H33" s="87">
        <v>13.47345</v>
      </c>
      <c r="I33" s="87">
        <v>14.833169</v>
      </c>
      <c r="J33" s="87">
        <v>14.118288999999999</v>
      </c>
      <c r="K33" s="87">
        <v>13.403409</v>
      </c>
      <c r="L33" s="87">
        <v>12.688528999999999</v>
      </c>
      <c r="M33" s="87">
        <v>11.973649</v>
      </c>
      <c r="N33" s="87">
        <v>11.258768999999999</v>
      </c>
      <c r="O33" s="87">
        <v>10.543889</v>
      </c>
      <c r="P33" s="87">
        <v>9.8520819999999993</v>
      </c>
      <c r="Q33" s="87">
        <v>9.1372019999999985</v>
      </c>
      <c r="R33" s="87">
        <v>8.9438909999999989</v>
      </c>
      <c r="S33" s="87">
        <v>8.8893360000000001</v>
      </c>
      <c r="T33" s="87">
        <v>8.1744559999999993</v>
      </c>
      <c r="U33" s="87">
        <v>7.9819469999999999</v>
      </c>
      <c r="V33" s="87">
        <v>8.1742139999999992</v>
      </c>
      <c r="W33" s="87">
        <v>8.7067419999999984</v>
      </c>
      <c r="DA33" s="171" t="s">
        <v>1051</v>
      </c>
    </row>
    <row r="34" spans="1:105" ht="11.45" customHeight="1" x14ac:dyDescent="0.25">
      <c r="A34" s="85" t="s">
        <v>93</v>
      </c>
      <c r="B34" s="88">
        <v>12.247262999999998</v>
      </c>
      <c r="C34" s="88">
        <v>12.576721999999998</v>
      </c>
      <c r="D34" s="88">
        <v>14.413134999999999</v>
      </c>
      <c r="E34" s="88">
        <v>15.814166999999999</v>
      </c>
      <c r="F34" s="88">
        <v>15.928617999999998</v>
      </c>
      <c r="G34" s="88">
        <v>17.980579000000002</v>
      </c>
      <c r="H34" s="88">
        <v>19.505402</v>
      </c>
      <c r="I34" s="88">
        <v>19.147264</v>
      </c>
      <c r="J34" s="88">
        <v>18.234180000000002</v>
      </c>
      <c r="K34" s="88">
        <v>17.009454000000002</v>
      </c>
      <c r="L34" s="88">
        <v>16.809461000000002</v>
      </c>
      <c r="M34" s="88">
        <v>16.320239000000001</v>
      </c>
      <c r="N34" s="88">
        <v>15.095512999999999</v>
      </c>
      <c r="O34" s="88">
        <v>16.210650000000001</v>
      </c>
      <c r="P34" s="88">
        <v>15.962261</v>
      </c>
      <c r="Q34" s="88">
        <v>16.889238000000002</v>
      </c>
      <c r="R34" s="88">
        <v>18.68028</v>
      </c>
      <c r="S34" s="88">
        <v>21.747196000000002</v>
      </c>
      <c r="T34" s="88">
        <v>21.917776</v>
      </c>
      <c r="U34" s="88">
        <v>23.034379000000001</v>
      </c>
      <c r="V34" s="88">
        <v>24.224124</v>
      </c>
      <c r="W34" s="88">
        <v>22.999397999999999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10.969598999999995</v>
      </c>
      <c r="D36" s="54">
        <f t="shared" ref="D36:V36" si="34">D37+D43</f>
        <v>10.701782000000005</v>
      </c>
      <c r="E36" s="54">
        <f t="shared" si="34"/>
        <v>8.0266849999999952</v>
      </c>
      <c r="F36" s="54">
        <f t="shared" si="34"/>
        <v>8.3730609999999963</v>
      </c>
      <c r="G36" s="54">
        <f t="shared" si="34"/>
        <v>13.362090999999996</v>
      </c>
      <c r="H36" s="54">
        <f t="shared" si="34"/>
        <v>14.855469000000019</v>
      </c>
      <c r="I36" s="54">
        <f t="shared" si="34"/>
        <v>20.438169000000002</v>
      </c>
      <c r="J36" s="54">
        <f t="shared" si="34"/>
        <v>11.168098000000001</v>
      </c>
      <c r="K36" s="54">
        <f t="shared" si="34"/>
        <v>4.3062700000000049</v>
      </c>
      <c r="L36" s="54">
        <f t="shared" si="34"/>
        <v>0.98110600000000048</v>
      </c>
      <c r="M36" s="54">
        <f t="shared" si="34"/>
        <v>3.6680640000000011</v>
      </c>
      <c r="N36" s="54">
        <f t="shared" si="34"/>
        <v>3.0079150000000041</v>
      </c>
      <c r="O36" s="54">
        <f t="shared" si="34"/>
        <v>5.9272439999999964</v>
      </c>
      <c r="P36" s="54">
        <f t="shared" si="34"/>
        <v>6.9882960000000089</v>
      </c>
      <c r="Q36" s="54">
        <f t="shared" si="34"/>
        <v>6.1729640000000128</v>
      </c>
      <c r="R36" s="54">
        <f t="shared" si="34"/>
        <v>7.0430469999999978</v>
      </c>
      <c r="S36" s="54">
        <f t="shared" si="34"/>
        <v>7.9683490000000248</v>
      </c>
      <c r="T36" s="54">
        <f t="shared" si="34"/>
        <v>7.0039999999999978</v>
      </c>
      <c r="U36" s="54">
        <f t="shared" si="34"/>
        <v>5.8271890000000042</v>
      </c>
      <c r="V36" s="54">
        <f t="shared" si="34"/>
        <v>2.1611009999999986</v>
      </c>
      <c r="W36" s="54">
        <f t="shared" ref="W36" si="35">W37+W43</f>
        <v>17.517485999999998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8.013264999999997</v>
      </c>
      <c r="D37" s="28">
        <f t="shared" ref="D37:V37" si="37">SUM(D38,D39,D42)</f>
        <v>7.8220240000000061</v>
      </c>
      <c r="E37" s="28">
        <f t="shared" si="37"/>
        <v>4.5268029999999939</v>
      </c>
      <c r="F37" s="28">
        <f t="shared" si="37"/>
        <v>6.8512589999999989</v>
      </c>
      <c r="G37" s="28">
        <f t="shared" si="37"/>
        <v>8.9258999999999915</v>
      </c>
      <c r="H37" s="28">
        <f t="shared" si="37"/>
        <v>11.89212000000002</v>
      </c>
      <c r="I37" s="28">
        <f t="shared" si="37"/>
        <v>18.657499000000001</v>
      </c>
      <c r="J37" s="28">
        <f t="shared" si="37"/>
        <v>11.168098000000001</v>
      </c>
      <c r="K37" s="28">
        <f t="shared" si="37"/>
        <v>4.3062700000000049</v>
      </c>
      <c r="L37" s="28">
        <f t="shared" si="37"/>
        <v>0.76187399999999883</v>
      </c>
      <c r="M37" s="28">
        <f t="shared" si="37"/>
        <v>3.6680640000000011</v>
      </c>
      <c r="N37" s="28">
        <f t="shared" si="37"/>
        <v>3.0079150000000041</v>
      </c>
      <c r="O37" s="28">
        <f t="shared" si="37"/>
        <v>4.3928819999999931</v>
      </c>
      <c r="P37" s="28">
        <f t="shared" si="37"/>
        <v>6.8174600000000112</v>
      </c>
      <c r="Q37" s="28">
        <f t="shared" si="37"/>
        <v>4.8267620000000093</v>
      </c>
      <c r="R37" s="28">
        <f t="shared" si="37"/>
        <v>4.6662269999999992</v>
      </c>
      <c r="S37" s="28">
        <f t="shared" si="37"/>
        <v>4.1768990000000201</v>
      </c>
      <c r="T37" s="28">
        <f t="shared" si="37"/>
        <v>6.4141949999999994</v>
      </c>
      <c r="U37" s="28">
        <f t="shared" si="37"/>
        <v>4.1240060000000014</v>
      </c>
      <c r="V37" s="28">
        <f t="shared" si="37"/>
        <v>0</v>
      </c>
      <c r="W37" s="28">
        <f t="shared" ref="W37" si="38">SUM(W38,W39,W42)</f>
        <v>16.625094000000001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5.5506609999999981</v>
      </c>
      <c r="D38" s="108">
        <v>2.8007619999999989</v>
      </c>
      <c r="E38" s="108">
        <v>4.5268029999999939</v>
      </c>
      <c r="F38" s="108">
        <v>0</v>
      </c>
      <c r="G38" s="108">
        <v>2.862450999999993</v>
      </c>
      <c r="H38" s="108">
        <v>4.704919000000011</v>
      </c>
      <c r="I38" s="108">
        <v>13.997268000000005</v>
      </c>
      <c r="J38" s="108">
        <v>0</v>
      </c>
      <c r="K38" s="108">
        <v>0</v>
      </c>
      <c r="L38" s="108">
        <v>0</v>
      </c>
      <c r="M38" s="108">
        <v>0</v>
      </c>
      <c r="N38" s="108">
        <v>2.4313649999999996</v>
      </c>
      <c r="O38" s="108">
        <v>3.0718209999999928</v>
      </c>
      <c r="P38" s="108">
        <v>6.8174600000000112</v>
      </c>
      <c r="Q38" s="108">
        <v>3.8640160000000066</v>
      </c>
      <c r="R38" s="108">
        <v>3.7418779999999998</v>
      </c>
      <c r="S38" s="108">
        <v>1.0708760000000126</v>
      </c>
      <c r="T38" s="108">
        <v>0</v>
      </c>
      <c r="U38" s="108">
        <v>0</v>
      </c>
      <c r="V38" s="108">
        <v>0</v>
      </c>
      <c r="W38" s="108">
        <v>2.5740619999999979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2.4626039999999989</v>
      </c>
      <c r="D39" s="110">
        <f t="shared" ref="D39:V39" si="40">SUM(D40:D41)</f>
        <v>5.0212620000000072</v>
      </c>
      <c r="E39" s="110">
        <f t="shared" si="40"/>
        <v>0</v>
      </c>
      <c r="F39" s="110">
        <f t="shared" si="40"/>
        <v>6.8512589999999989</v>
      </c>
      <c r="G39" s="110">
        <f t="shared" si="40"/>
        <v>6.0634489999999985</v>
      </c>
      <c r="H39" s="110">
        <f t="shared" si="40"/>
        <v>7.1872010000000088</v>
      </c>
      <c r="I39" s="110">
        <f t="shared" si="40"/>
        <v>4.660230999999996</v>
      </c>
      <c r="J39" s="110">
        <f t="shared" si="40"/>
        <v>11.168098000000001</v>
      </c>
      <c r="K39" s="110">
        <f t="shared" si="40"/>
        <v>4.3062700000000049</v>
      </c>
      <c r="L39" s="110">
        <f t="shared" si="40"/>
        <v>0.76187399999999883</v>
      </c>
      <c r="M39" s="110">
        <f t="shared" si="40"/>
        <v>3.6680640000000011</v>
      </c>
      <c r="N39" s="110">
        <f t="shared" si="40"/>
        <v>0.57655000000000456</v>
      </c>
      <c r="O39" s="110">
        <f t="shared" si="40"/>
        <v>1.3210610000000003</v>
      </c>
      <c r="P39" s="110">
        <f t="shared" si="40"/>
        <v>0</v>
      </c>
      <c r="Q39" s="110">
        <f t="shared" si="40"/>
        <v>0.96274600000000277</v>
      </c>
      <c r="R39" s="110">
        <f t="shared" si="40"/>
        <v>0.92434899999999942</v>
      </c>
      <c r="S39" s="110">
        <f t="shared" si="40"/>
        <v>3.1060230000000075</v>
      </c>
      <c r="T39" s="110">
        <f t="shared" si="40"/>
        <v>6.4141949999999994</v>
      </c>
      <c r="U39" s="110">
        <f t="shared" si="40"/>
        <v>4.1240060000000014</v>
      </c>
      <c r="V39" s="110">
        <f t="shared" si="40"/>
        <v>0</v>
      </c>
      <c r="W39" s="110">
        <f t="shared" ref="W39" si="41">SUM(W40:W41)</f>
        <v>14.051032000000003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0.99551799999999702</v>
      </c>
      <c r="D40" s="84">
        <v>2.4348689999999991</v>
      </c>
      <c r="E40" s="84">
        <v>0</v>
      </c>
      <c r="F40" s="84">
        <v>6.6113759999999999</v>
      </c>
      <c r="G40" s="84">
        <v>1.8766109999999969</v>
      </c>
      <c r="H40" s="84">
        <v>4.012198000000005</v>
      </c>
      <c r="I40" s="84">
        <v>2.0893529999999956</v>
      </c>
      <c r="J40" s="84">
        <v>5.9061260000000004</v>
      </c>
      <c r="K40" s="84">
        <v>0</v>
      </c>
      <c r="L40" s="84">
        <v>0.32941399999999987</v>
      </c>
      <c r="M40" s="84">
        <v>0.76889399999999597</v>
      </c>
      <c r="N40" s="84">
        <v>0</v>
      </c>
      <c r="O40" s="84">
        <v>1.3210610000000003</v>
      </c>
      <c r="P40" s="84">
        <v>0</v>
      </c>
      <c r="Q40" s="84">
        <v>0</v>
      </c>
      <c r="R40" s="84">
        <v>0.92434899999999942</v>
      </c>
      <c r="S40" s="84">
        <v>1.5002560000000003</v>
      </c>
      <c r="T40" s="84">
        <v>0</v>
      </c>
      <c r="U40" s="84">
        <v>0</v>
      </c>
      <c r="V40" s="84">
        <v>0</v>
      </c>
      <c r="W40" s="84">
        <v>4.1993619999999972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1.4670860000000019</v>
      </c>
      <c r="D41" s="84">
        <v>2.5863930000000082</v>
      </c>
      <c r="E41" s="84">
        <v>0</v>
      </c>
      <c r="F41" s="84">
        <v>0.23988299999999896</v>
      </c>
      <c r="G41" s="84">
        <v>4.1868380000000016</v>
      </c>
      <c r="H41" s="84">
        <v>3.1750030000000038</v>
      </c>
      <c r="I41" s="84">
        <v>2.5708780000000004</v>
      </c>
      <c r="J41" s="84">
        <v>5.2619720000000001</v>
      </c>
      <c r="K41" s="84">
        <v>4.3062700000000049</v>
      </c>
      <c r="L41" s="84">
        <v>0.43245999999999896</v>
      </c>
      <c r="M41" s="84">
        <v>2.8991700000000051</v>
      </c>
      <c r="N41" s="84">
        <v>0.57655000000000456</v>
      </c>
      <c r="O41" s="84">
        <v>0</v>
      </c>
      <c r="P41" s="84">
        <v>0</v>
      </c>
      <c r="Q41" s="84">
        <v>0.96274600000000277</v>
      </c>
      <c r="R41" s="84">
        <v>0</v>
      </c>
      <c r="S41" s="84">
        <v>1.6057670000000073</v>
      </c>
      <c r="T41" s="84">
        <v>6.4141949999999994</v>
      </c>
      <c r="U41" s="84">
        <v>4.1240060000000014</v>
      </c>
      <c r="V41" s="84">
        <v>0</v>
      </c>
      <c r="W41" s="84">
        <v>9.8516700000000057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2.9563339999999974</v>
      </c>
      <c r="D43" s="28">
        <f t="shared" ref="D43:V43" si="43">SUM(D44:D45)</f>
        <v>2.8797579999999989</v>
      </c>
      <c r="E43" s="28">
        <f t="shared" si="43"/>
        <v>3.4998820000000013</v>
      </c>
      <c r="F43" s="28">
        <f t="shared" si="43"/>
        <v>1.5218019999999974</v>
      </c>
      <c r="G43" s="28">
        <f t="shared" si="43"/>
        <v>4.4361910000000044</v>
      </c>
      <c r="H43" s="28">
        <f t="shared" si="43"/>
        <v>2.9633489999999991</v>
      </c>
      <c r="I43" s="28">
        <f t="shared" si="43"/>
        <v>1.7806700000000006</v>
      </c>
      <c r="J43" s="28">
        <f t="shared" si="43"/>
        <v>0</v>
      </c>
      <c r="K43" s="28">
        <f t="shared" si="43"/>
        <v>0</v>
      </c>
      <c r="L43" s="28">
        <f t="shared" si="43"/>
        <v>0.21923200000000165</v>
      </c>
      <c r="M43" s="28">
        <f t="shared" si="43"/>
        <v>0</v>
      </c>
      <c r="N43" s="28">
        <f t="shared" si="43"/>
        <v>0</v>
      </c>
      <c r="O43" s="28">
        <f t="shared" si="43"/>
        <v>1.5343620000000033</v>
      </c>
      <c r="P43" s="28">
        <f t="shared" si="43"/>
        <v>0.17083599999999777</v>
      </c>
      <c r="Q43" s="28">
        <f t="shared" si="43"/>
        <v>1.3462020000000035</v>
      </c>
      <c r="R43" s="28">
        <f t="shared" si="43"/>
        <v>2.3768199999999986</v>
      </c>
      <c r="S43" s="28">
        <f t="shared" si="43"/>
        <v>3.7914500000000046</v>
      </c>
      <c r="T43" s="28">
        <f t="shared" si="43"/>
        <v>0.58980499999999836</v>
      </c>
      <c r="U43" s="28">
        <f t="shared" si="43"/>
        <v>1.7031830000000028</v>
      </c>
      <c r="V43" s="28">
        <f t="shared" si="43"/>
        <v>2.1611009999999986</v>
      </c>
      <c r="W43" s="28">
        <f t="shared" ref="W43" si="44">SUM(W44:W45)</f>
        <v>0.89239199999999919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2.2076499999999983</v>
      </c>
      <c r="D44" s="84">
        <v>0.62411999999999956</v>
      </c>
      <c r="E44" s="84">
        <v>1.6796250000000015</v>
      </c>
      <c r="F44" s="84">
        <v>0.98812599999999939</v>
      </c>
      <c r="G44" s="84">
        <v>1.9650049999999997</v>
      </c>
      <c r="H44" s="84">
        <v>1.0193010000000005</v>
      </c>
      <c r="I44" s="84">
        <v>1.7195830000000001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0.1665530000000004</v>
      </c>
      <c r="S44" s="84">
        <v>0.30530900000000116</v>
      </c>
      <c r="T44" s="84">
        <v>0</v>
      </c>
      <c r="U44" s="84">
        <v>0.16735500000000059</v>
      </c>
      <c r="V44" s="84">
        <v>0.55213099999999926</v>
      </c>
      <c r="W44" s="84">
        <v>0.89239199999999919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0.74868399999999902</v>
      </c>
      <c r="D45" s="86">
        <v>2.2556379999999994</v>
      </c>
      <c r="E45" s="86">
        <v>1.8202569999999998</v>
      </c>
      <c r="F45" s="86">
        <v>0.53367599999999804</v>
      </c>
      <c r="G45" s="86">
        <v>2.4711860000000048</v>
      </c>
      <c r="H45" s="86">
        <v>1.9440479999999987</v>
      </c>
      <c r="I45" s="86">
        <v>6.1087000000000558E-2</v>
      </c>
      <c r="J45" s="86">
        <v>0</v>
      </c>
      <c r="K45" s="86">
        <v>0</v>
      </c>
      <c r="L45" s="86">
        <v>0.21923200000000165</v>
      </c>
      <c r="M45" s="86">
        <v>0</v>
      </c>
      <c r="N45" s="86">
        <v>0</v>
      </c>
      <c r="O45" s="86">
        <v>1.5343620000000033</v>
      </c>
      <c r="P45" s="86">
        <v>0.17083599999999777</v>
      </c>
      <c r="Q45" s="86">
        <v>1.3462020000000035</v>
      </c>
      <c r="R45" s="86">
        <v>2.2102669999999982</v>
      </c>
      <c r="S45" s="86">
        <v>3.4861410000000035</v>
      </c>
      <c r="T45" s="86">
        <v>0.58980499999999836</v>
      </c>
      <c r="U45" s="86">
        <v>1.5358280000000022</v>
      </c>
      <c r="V45" s="86">
        <v>1.6089699999999993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89.0660018798648</v>
      </c>
      <c r="C50" s="29">
        <f t="shared" si="45"/>
        <v>88.368607501982595</v>
      </c>
      <c r="D50" s="29">
        <f t="shared" si="45"/>
        <v>84.438208252910869</v>
      </c>
      <c r="E50" s="29">
        <f t="shared" si="45"/>
        <v>84.637822193679227</v>
      </c>
      <c r="F50" s="29">
        <f t="shared" si="45"/>
        <v>82.554963579528575</v>
      </c>
      <c r="G50" s="29">
        <f t="shared" si="45"/>
        <v>83.196632881321264</v>
      </c>
      <c r="H50" s="29">
        <f t="shared" si="45"/>
        <v>85.088389128526813</v>
      </c>
      <c r="I50" s="29">
        <f t="shared" si="45"/>
        <v>94.190633296593276</v>
      </c>
      <c r="J50" s="29">
        <f t="shared" si="45"/>
        <v>97.640361179145671</v>
      </c>
      <c r="K50" s="29">
        <f t="shared" ref="K50:V50" si="46">IF(K4=0,0,K4/K15)</f>
        <v>100.07042154499008</v>
      </c>
      <c r="L50" s="29">
        <f t="shared" si="46"/>
        <v>97.788816377641581</v>
      </c>
      <c r="M50" s="29">
        <f t="shared" si="46"/>
        <v>86.479252864947384</v>
      </c>
      <c r="N50" s="29">
        <f t="shared" si="46"/>
        <v>71.191297914737234</v>
      </c>
      <c r="O50" s="29">
        <f t="shared" si="46"/>
        <v>68.934484402240415</v>
      </c>
      <c r="P50" s="29">
        <f t="shared" si="46"/>
        <v>72.822227983391855</v>
      </c>
      <c r="Q50" s="29">
        <f t="shared" si="46"/>
        <v>75.11623467401553</v>
      </c>
      <c r="R50" s="29">
        <f t="shared" si="46"/>
        <v>70.076246399657919</v>
      </c>
      <c r="S50" s="29">
        <f t="shared" si="46"/>
        <v>65.75696496909012</v>
      </c>
      <c r="T50" s="29">
        <f t="shared" si="46"/>
        <v>66.426811184683444</v>
      </c>
      <c r="U50" s="29">
        <f t="shared" si="46"/>
        <v>60.773269357273449</v>
      </c>
      <c r="V50" s="29">
        <f t="shared" si="46"/>
        <v>50.775890244799605</v>
      </c>
      <c r="W50" s="29">
        <f t="shared" ref="W50" si="47">IF(W4=0,0,W4/W15)</f>
        <v>47.219588343238492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80.742338883652934</v>
      </c>
      <c r="C51" s="115">
        <f t="shared" si="48"/>
        <v>80.15861974090916</v>
      </c>
      <c r="D51" s="115">
        <f t="shared" si="48"/>
        <v>79.566891912371702</v>
      </c>
      <c r="E51" s="115">
        <f t="shared" si="48"/>
        <v>78.64423454295931</v>
      </c>
      <c r="F51" s="115">
        <f t="shared" si="48"/>
        <v>78.82950136750955</v>
      </c>
      <c r="G51" s="115">
        <f t="shared" si="48"/>
        <v>78.343554365726703</v>
      </c>
      <c r="H51" s="115">
        <f t="shared" si="48"/>
        <v>78.820109328627709</v>
      </c>
      <c r="I51" s="115">
        <f t="shared" si="48"/>
        <v>78.494303559626033</v>
      </c>
      <c r="J51" s="115">
        <f t="shared" si="48"/>
        <v>78.462698959212105</v>
      </c>
      <c r="K51" s="115">
        <f t="shared" ref="K51:V51" si="49">IF(K5=0,0,K5/K16)</f>
        <v>78.015549520353616</v>
      </c>
      <c r="L51" s="115">
        <f t="shared" si="49"/>
        <v>77.990130560046396</v>
      </c>
      <c r="M51" s="115">
        <f t="shared" si="49"/>
        <v>78.121651223605554</v>
      </c>
      <c r="N51" s="115">
        <f t="shared" si="49"/>
        <v>78.012155177367461</v>
      </c>
      <c r="O51" s="115">
        <f t="shared" si="49"/>
        <v>78.197209689198814</v>
      </c>
      <c r="P51" s="115">
        <f t="shared" si="49"/>
        <v>78.409461454084152</v>
      </c>
      <c r="Q51" s="115">
        <f t="shared" si="49"/>
        <v>79.241644194204298</v>
      </c>
      <c r="R51" s="115">
        <f t="shared" si="49"/>
        <v>78.714883160188606</v>
      </c>
      <c r="S51" s="115">
        <f t="shared" si="49"/>
        <v>79.649114564272168</v>
      </c>
      <c r="T51" s="115">
        <f t="shared" si="49"/>
        <v>80.674417490195026</v>
      </c>
      <c r="U51" s="115">
        <f t="shared" si="49"/>
        <v>70.616748768472917</v>
      </c>
      <c r="V51" s="115">
        <f t="shared" si="49"/>
        <v>66.24833737579219</v>
      </c>
      <c r="W51" s="115">
        <f t="shared" ref="W51" si="50">IF(W5=0,0,W5/W16)</f>
        <v>61.397015583651871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92.923560527886011</v>
      </c>
      <c r="C52" s="116">
        <f t="shared" si="51"/>
        <v>92.424732187640998</v>
      </c>
      <c r="D52" s="116">
        <f t="shared" si="51"/>
        <v>86.816636408666767</v>
      </c>
      <c r="E52" s="116">
        <f t="shared" si="51"/>
        <v>87.804189715229271</v>
      </c>
      <c r="F52" s="116">
        <f t="shared" si="51"/>
        <v>84.359368486134287</v>
      </c>
      <c r="G52" s="116">
        <f t="shared" si="51"/>
        <v>85.498010795282696</v>
      </c>
      <c r="H52" s="116">
        <f t="shared" si="51"/>
        <v>88.053482470719885</v>
      </c>
      <c r="I52" s="116">
        <f t="shared" si="51"/>
        <v>102.83096334739268</v>
      </c>
      <c r="J52" s="116">
        <f t="shared" si="51"/>
        <v>106.84641330279301</v>
      </c>
      <c r="K52" s="116">
        <f t="shared" ref="K52:V52" si="52">IF(K6=0,0,K6/K17)</f>
        <v>110.0649207474757</v>
      </c>
      <c r="L52" s="116">
        <f t="shared" si="52"/>
        <v>106.46672917838282</v>
      </c>
      <c r="M52" s="116">
        <f t="shared" si="52"/>
        <v>89.909026544613852</v>
      </c>
      <c r="N52" s="116">
        <f t="shared" si="52"/>
        <v>68.302565930780133</v>
      </c>
      <c r="O52" s="116">
        <f t="shared" si="52"/>
        <v>64.575755603750096</v>
      </c>
      <c r="P52" s="116">
        <f t="shared" si="52"/>
        <v>69.703980650748107</v>
      </c>
      <c r="Q52" s="116">
        <f t="shared" si="52"/>
        <v>72.71076884054186</v>
      </c>
      <c r="R52" s="116">
        <f t="shared" si="52"/>
        <v>64.836514078594618</v>
      </c>
      <c r="S52" s="116">
        <f t="shared" si="52"/>
        <v>57.475871511879198</v>
      </c>
      <c r="T52" s="116">
        <f t="shared" si="52"/>
        <v>58.463121342214052</v>
      </c>
      <c r="U52" s="116">
        <f t="shared" si="52"/>
        <v>56.658963226140983</v>
      </c>
      <c r="V52" s="116">
        <f t="shared" si="52"/>
        <v>42.118482383709889</v>
      </c>
      <c r="W52" s="116">
        <f t="shared" ref="W52" si="53">IF(W6=0,0,W6/W17)</f>
        <v>40.760240534239649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85.588647408838668</v>
      </c>
      <c r="C53" s="87">
        <f t="shared" si="54"/>
        <v>83.008930572390895</v>
      </c>
      <c r="D53" s="87">
        <f t="shared" si="54"/>
        <v>77.890882058500623</v>
      </c>
      <c r="E53" s="87">
        <f t="shared" si="54"/>
        <v>79.384188857340149</v>
      </c>
      <c r="F53" s="87">
        <f t="shared" si="54"/>
        <v>72.430803589700702</v>
      </c>
      <c r="G53" s="87">
        <f t="shared" si="54"/>
        <v>79.591740292031091</v>
      </c>
      <c r="H53" s="87">
        <f t="shared" si="54"/>
        <v>80.726829428556357</v>
      </c>
      <c r="I53" s="87">
        <f t="shared" si="54"/>
        <v>94.280207736617385</v>
      </c>
      <c r="J53" s="87">
        <f t="shared" si="54"/>
        <v>99.018732303874955</v>
      </c>
      <c r="K53" s="87">
        <f t="shared" ref="K53:V53" si="55">IF(K7=0,0,K7/K18)</f>
        <v>106.33876502559085</v>
      </c>
      <c r="L53" s="87">
        <f t="shared" si="55"/>
        <v>102.31007327987885</v>
      </c>
      <c r="M53" s="87">
        <f t="shared" si="55"/>
        <v>89.214598642794229</v>
      </c>
      <c r="N53" s="87">
        <f t="shared" si="55"/>
        <v>68.348713037591082</v>
      </c>
      <c r="O53" s="87">
        <f t="shared" si="55"/>
        <v>61.217592174642114</v>
      </c>
      <c r="P53" s="87">
        <f t="shared" si="55"/>
        <v>65.984323208677665</v>
      </c>
      <c r="Q53" s="87">
        <f t="shared" si="55"/>
        <v>71.675786422276872</v>
      </c>
      <c r="R53" s="87">
        <f t="shared" si="55"/>
        <v>61.426275558874977</v>
      </c>
      <c r="S53" s="87">
        <f t="shared" si="55"/>
        <v>54.076217576792835</v>
      </c>
      <c r="T53" s="87">
        <f t="shared" si="55"/>
        <v>55.343153317473408</v>
      </c>
      <c r="U53" s="87">
        <f t="shared" si="55"/>
        <v>49.011301592007058</v>
      </c>
      <c r="V53" s="87">
        <f t="shared" si="55"/>
        <v>41.439630003844428</v>
      </c>
      <c r="W53" s="87">
        <f t="shared" ref="W53" si="56">IF(W7=0,0,W7/W18)</f>
        <v>41.330179372004224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100.41253754241244</v>
      </c>
      <c r="C54" s="87">
        <f t="shared" si="57"/>
        <v>101.89144655291558</v>
      </c>
      <c r="D54" s="87">
        <f t="shared" si="57"/>
        <v>95.716987867770442</v>
      </c>
      <c r="E54" s="87">
        <f t="shared" si="57"/>
        <v>96.20873046249433</v>
      </c>
      <c r="F54" s="87">
        <f t="shared" si="57"/>
        <v>97.965632038611929</v>
      </c>
      <c r="G54" s="87">
        <f t="shared" si="57"/>
        <v>91.857999504965449</v>
      </c>
      <c r="H54" s="87">
        <f t="shared" si="57"/>
        <v>96.014856934324641</v>
      </c>
      <c r="I54" s="87">
        <f t="shared" si="57"/>
        <v>111.98113545455897</v>
      </c>
      <c r="J54" s="87">
        <f t="shared" si="57"/>
        <v>115.24400327139973</v>
      </c>
      <c r="K54" s="87">
        <f t="shared" ref="K54:V54" si="58">IF(K8=0,0,K8/K19)</f>
        <v>113.5650647644528</v>
      </c>
      <c r="L54" s="87">
        <f t="shared" si="58"/>
        <v>110.3431613873926</v>
      </c>
      <c r="M54" s="87">
        <f t="shared" si="58"/>
        <v>90.529361763998963</v>
      </c>
      <c r="N54" s="87">
        <f t="shared" si="58"/>
        <v>68.262405939021548</v>
      </c>
      <c r="O54" s="87">
        <f t="shared" si="58"/>
        <v>68.02015063895891</v>
      </c>
      <c r="P54" s="87">
        <f t="shared" si="58"/>
        <v>73.317568307556201</v>
      </c>
      <c r="Q54" s="87">
        <f t="shared" si="58"/>
        <v>73.569202163062741</v>
      </c>
      <c r="R54" s="87">
        <f t="shared" si="58"/>
        <v>67.757041492136523</v>
      </c>
      <c r="S54" s="87">
        <f t="shared" si="58"/>
        <v>60.36680076880458</v>
      </c>
      <c r="T54" s="87">
        <f t="shared" si="58"/>
        <v>60.526241245655342</v>
      </c>
      <c r="U54" s="87">
        <f t="shared" si="58"/>
        <v>61.048265933057763</v>
      </c>
      <c r="V54" s="87">
        <f t="shared" si="58"/>
        <v>42.53676604525706</v>
      </c>
      <c r="W54" s="87">
        <f t="shared" ref="W54" si="59">IF(W8=0,0,W8/W19)</f>
        <v>40.46929986223045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460.91813432832191</v>
      </c>
      <c r="C56" s="29">
        <f t="shared" si="63"/>
        <v>480.6864713028325</v>
      </c>
      <c r="D56" s="29">
        <f t="shared" si="63"/>
        <v>465.91230470712219</v>
      </c>
      <c r="E56" s="29">
        <f t="shared" si="63"/>
        <v>471.11595709345568</v>
      </c>
      <c r="F56" s="29">
        <f t="shared" si="63"/>
        <v>459.32769285955624</v>
      </c>
      <c r="G56" s="29">
        <f t="shared" si="63"/>
        <v>460.30810688755048</v>
      </c>
      <c r="H56" s="29">
        <f t="shared" si="63"/>
        <v>501.07870726248126</v>
      </c>
      <c r="I56" s="29">
        <f t="shared" si="63"/>
        <v>525.89090582746815</v>
      </c>
      <c r="J56" s="29">
        <f t="shared" si="63"/>
        <v>518.04210540644954</v>
      </c>
      <c r="K56" s="29">
        <f t="shared" ref="K56:V56" si="64">IF(K10=0,0,K10/K21)</f>
        <v>495.97004961337899</v>
      </c>
      <c r="L56" s="29">
        <f t="shared" si="64"/>
        <v>450.2104826315948</v>
      </c>
      <c r="M56" s="29">
        <f t="shared" si="64"/>
        <v>444.61737531711009</v>
      </c>
      <c r="N56" s="29">
        <f t="shared" si="64"/>
        <v>452.85604545083976</v>
      </c>
      <c r="O56" s="29">
        <f t="shared" si="64"/>
        <v>390.40900161701597</v>
      </c>
      <c r="P56" s="29">
        <f t="shared" si="64"/>
        <v>410.43075663470569</v>
      </c>
      <c r="Q56" s="29">
        <f t="shared" si="64"/>
        <v>431.11788055437188</v>
      </c>
      <c r="R56" s="29">
        <f t="shared" si="64"/>
        <v>390.96196605569378</v>
      </c>
      <c r="S56" s="29">
        <f t="shared" si="64"/>
        <v>423.02440119389553</v>
      </c>
      <c r="T56" s="29">
        <f t="shared" si="64"/>
        <v>468.63177739226512</v>
      </c>
      <c r="U56" s="29">
        <f t="shared" si="64"/>
        <v>469.26900732214932</v>
      </c>
      <c r="V56" s="29">
        <f t="shared" si="64"/>
        <v>506.04448869209511</v>
      </c>
      <c r="W56" s="29">
        <f t="shared" ref="W56" si="65">IF(W10=0,0,W10/W21)</f>
        <v>550.57070769372763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650.38938439704384</v>
      </c>
      <c r="C57" s="87">
        <f t="shared" si="66"/>
        <v>570.83388410698876</v>
      </c>
      <c r="D57" s="87">
        <f t="shared" si="66"/>
        <v>580.31297227356652</v>
      </c>
      <c r="E57" s="87">
        <f t="shared" si="66"/>
        <v>564.63150413970618</v>
      </c>
      <c r="F57" s="87">
        <f t="shared" si="66"/>
        <v>515.68580693180922</v>
      </c>
      <c r="G57" s="87">
        <f t="shared" si="66"/>
        <v>521.26365432212322</v>
      </c>
      <c r="H57" s="87">
        <f t="shared" si="66"/>
        <v>581.81616403416388</v>
      </c>
      <c r="I57" s="87">
        <f t="shared" si="66"/>
        <v>568.03680052660525</v>
      </c>
      <c r="J57" s="87">
        <f t="shared" si="66"/>
        <v>583.16846374592012</v>
      </c>
      <c r="K57" s="87">
        <f t="shared" ref="K57:V57" si="67">IF(K11=0,0,K11/K22)</f>
        <v>570.08784431960294</v>
      </c>
      <c r="L57" s="87">
        <f t="shared" si="67"/>
        <v>525.46431259602673</v>
      </c>
      <c r="M57" s="87">
        <f t="shared" si="67"/>
        <v>512.44691345166177</v>
      </c>
      <c r="N57" s="87">
        <f t="shared" si="67"/>
        <v>508.56783453879069</v>
      </c>
      <c r="O57" s="87">
        <f t="shared" si="67"/>
        <v>455.57519703608062</v>
      </c>
      <c r="P57" s="87">
        <f t="shared" si="67"/>
        <v>513.3107528308301</v>
      </c>
      <c r="Q57" s="87">
        <f t="shared" si="67"/>
        <v>561.73640591850915</v>
      </c>
      <c r="R57" s="87">
        <f t="shared" si="67"/>
        <v>520.76988512222863</v>
      </c>
      <c r="S57" s="87">
        <f t="shared" si="67"/>
        <v>606.04400347738761</v>
      </c>
      <c r="T57" s="87">
        <f t="shared" si="67"/>
        <v>690.76751894041206</v>
      </c>
      <c r="U57" s="87">
        <f t="shared" si="67"/>
        <v>661.22173673439067</v>
      </c>
      <c r="V57" s="87">
        <f t="shared" si="67"/>
        <v>726.05851664223053</v>
      </c>
      <c r="W57" s="87">
        <f t="shared" ref="W57" si="68">IF(W11=0,0,W11/W22)</f>
        <v>661.62185950593619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350.32253000131033</v>
      </c>
      <c r="C58" s="88">
        <f t="shared" si="69"/>
        <v>416.20070084455244</v>
      </c>
      <c r="D58" s="88">
        <f t="shared" si="69"/>
        <v>392.40661923522919</v>
      </c>
      <c r="E58" s="88">
        <f t="shared" si="69"/>
        <v>408.54854692513186</v>
      </c>
      <c r="F58" s="88">
        <f t="shared" si="69"/>
        <v>419.66882939095865</v>
      </c>
      <c r="G58" s="88">
        <f t="shared" si="69"/>
        <v>416.86761564981953</v>
      </c>
      <c r="H58" s="88">
        <f t="shared" si="69"/>
        <v>445.30892503360531</v>
      </c>
      <c r="I58" s="88">
        <f t="shared" si="69"/>
        <v>493.240958636931</v>
      </c>
      <c r="J58" s="88">
        <f t="shared" si="69"/>
        <v>468.99482237370626</v>
      </c>
      <c r="K58" s="88">
        <f t="shared" ref="K58:V58" si="70">IF(K12=0,0,K12/K23)</f>
        <v>438.97631333555785</v>
      </c>
      <c r="L58" s="88">
        <f t="shared" si="70"/>
        <v>395.29792053261389</v>
      </c>
      <c r="M58" s="88">
        <f t="shared" si="70"/>
        <v>398.49814866012287</v>
      </c>
      <c r="N58" s="88">
        <f t="shared" si="70"/>
        <v>413.41002498529519</v>
      </c>
      <c r="O58" s="88">
        <f t="shared" si="70"/>
        <v>348.17961127707838</v>
      </c>
      <c r="P58" s="88">
        <f t="shared" si="70"/>
        <v>346.93209789831968</v>
      </c>
      <c r="Q58" s="88">
        <f t="shared" si="70"/>
        <v>365.84232002486084</v>
      </c>
      <c r="R58" s="88">
        <f t="shared" si="70"/>
        <v>328.81151229642228</v>
      </c>
      <c r="S58" s="88">
        <f t="shared" si="70"/>
        <v>348.21371481428002</v>
      </c>
      <c r="T58" s="88">
        <f t="shared" si="70"/>
        <v>394.15734892831318</v>
      </c>
      <c r="U58" s="88">
        <f t="shared" si="70"/>
        <v>402.75293493374755</v>
      </c>
      <c r="V58" s="88">
        <f t="shared" si="70"/>
        <v>431.80272866539894</v>
      </c>
      <c r="W58" s="88">
        <f t="shared" ref="W58" si="71">IF(W12=0,0,W12/W23)</f>
        <v>502.46590289430884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350.97949807785886</v>
      </c>
      <c r="C61" s="29">
        <f t="shared" ref="C61" si="73">IF(C26=0,0,(C62*C27+C64*C29+C65*C30+C66*C31)/(C27+C29+C30+C31))</f>
        <v>352.20174480518028</v>
      </c>
      <c r="D61" s="29">
        <f t="shared" ref="D61" si="74">IF(D26=0,0,(D62*D27+D64*D29+D65*D30+D66*D31)/(D27+D29+D30+D31))</f>
        <v>351.97496000542611</v>
      </c>
      <c r="E61" s="29">
        <f t="shared" ref="E61" si="75">IF(E26=0,0,(E62*E27+E64*E29+E65*E30+E66*E31)/(E27+E29+E30+E31))</f>
        <v>353.49915611036658</v>
      </c>
      <c r="F61" s="29">
        <f t="shared" ref="F61" si="76">IF(F26=0,0,(F62*F27+F64*F29+F65*F30+F66*F31)/(F27+F29+F30+F31))</f>
        <v>351.82083969310941</v>
      </c>
      <c r="G61" s="29">
        <f t="shared" ref="G61" si="77">IF(G26=0,0,(G62*G27+G64*G29+G65*G30+G66*G31)/(G27+G29+G30+G31))</f>
        <v>351.41650852974561</v>
      </c>
      <c r="H61" s="29">
        <f t="shared" ref="H61" si="78">IF(H26=0,0,(H62*H27+H64*H29+H65*H30+H66*H31)/(H27+H29+H30+H31))</f>
        <v>351.36904781968542</v>
      </c>
      <c r="I61" s="29">
        <f t="shared" ref="I61" si="79">IF(I26=0,0,(I62*I27+I64*I29+I65*I30+I66*I31)/(I27+I29+I30+I31))</f>
        <v>354.30238539887796</v>
      </c>
      <c r="J61" s="29">
        <f t="shared" ref="J61" si="80">IF(J26=0,0,(J62*J27+J64*J29+J65*J30+J66*J31)/(J27+J29+J30+J31))</f>
        <v>351.6499604679471</v>
      </c>
      <c r="K61" s="29">
        <f t="shared" ref="K61" si="81">IF(K26=0,0,(K62*K27+K64*K29+K65*K30+K66*K31)/(K27+K29+K30+K31))</f>
        <v>350.55478953128886</v>
      </c>
      <c r="L61" s="29">
        <f t="shared" ref="L61" si="82">IF(L26=0,0,(L62*L27+L64*L29+L65*L30+L66*L31)/(L27+L29+L30+L31))</f>
        <v>349.92777269601061</v>
      </c>
      <c r="M61" s="29">
        <f t="shared" ref="M61" si="83">IF(M26=0,0,(M62*M27+M64*M29+M65*M30+M66*M31)/(M27+M29+M30+M31))</f>
        <v>348.70499358727147</v>
      </c>
      <c r="N61" s="29">
        <f t="shared" ref="N61" si="84">IF(N26=0,0,(N62*N27+N64*N29+N65*N30+N66*N31)/(N27+N29+N30+N31))</f>
        <v>349.2874820840313</v>
      </c>
      <c r="O61" s="29">
        <f t="shared" ref="O61" si="85">IF(O26=0,0,(O62*O27+O64*O29+O65*O30+O66*O31)/(O27+O29+O30+O31))</f>
        <v>350.44966401311348</v>
      </c>
      <c r="P61" s="29">
        <f t="shared" ref="P61" si="86">IF(P26=0,0,(P62*P27+P64*P29+P65*P30+P66*P31)/(P27+P29+P30+P31))</f>
        <v>353.67691537019959</v>
      </c>
      <c r="Q61" s="29">
        <f t="shared" ref="Q61" si="87">IF(Q26=0,0,(Q62*Q27+Q64*Q29+Q65*Q30+Q66*Q31)/(Q27+Q29+Q30+Q31))</f>
        <v>355.27898291685352</v>
      </c>
      <c r="R61" s="29">
        <f t="shared" ref="R61" si="88">IF(R26=0,0,(R62*R27+R64*R29+R65*R30+R66*R31)/(R27+R29+R30+R31))</f>
        <v>356.21496920585855</v>
      </c>
      <c r="S61" s="29">
        <f t="shared" ref="S61" si="89">IF(S26=0,0,(S62*S27+S64*S29+S65*S30+S66*S31)/(S27+S29+S30+S31))</f>
        <v>355.87088213146524</v>
      </c>
      <c r="T61" s="29">
        <f t="shared" ref="T61" si="90">IF(T26=0,0,(T62*T27+T64*T29+T65*T30+T66*T31)/(T27+T29+T30+T31))</f>
        <v>354.42152900937344</v>
      </c>
      <c r="U61" s="29">
        <f t="shared" ref="U61" si="91">IF(U26=0,0,(U62*U27+U64*U29+U65*U30+U66*U31)/(U27+U29+U30+U31))</f>
        <v>352.81664550941366</v>
      </c>
      <c r="V61" s="29">
        <f t="shared" ref="V61" si="92">IF(V26=0,0,(V62*V27+V64*V29+V65*V30+V66*V31)/(V27+V29+V30+V31))</f>
        <v>353.08700006614436</v>
      </c>
      <c r="W61" s="29">
        <f t="shared" ref="W61" si="93">IF(W26=0,0,(W62*W27+W64*W29+W65*W30+W66*W31)/(W27+W29+W30+W31))</f>
        <v>350.6563779798048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320.00000000000006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319.99999999999994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2099.9999999999995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2100.0000000000005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2099.9999999999995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2100.0000000000005</v>
      </c>
      <c r="V67" s="29">
        <f t="shared" ref="V67" si="136">IF(V32=0,0,(V68*V33+V69*V34)/(V33+V34))</f>
        <v>2100.0000000000005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0.25376411547579059</v>
      </c>
      <c r="C72" s="30">
        <f t="shared" ref="C72:J72" si="138">IF(C50=0,0,C50/C61)</f>
        <v>0.25090337797975282</v>
      </c>
      <c r="D72" s="30">
        <f t="shared" si="138"/>
        <v>0.23989833893754589</v>
      </c>
      <c r="E72" s="30">
        <f t="shared" si="138"/>
        <v>0.23942864001421918</v>
      </c>
      <c r="F72" s="30">
        <f t="shared" si="138"/>
        <v>0.234650578548845</v>
      </c>
      <c r="G72" s="30">
        <f t="shared" si="138"/>
        <v>0.2367465126479085</v>
      </c>
      <c r="H72" s="30">
        <f t="shared" si="138"/>
        <v>0.24216244901626119</v>
      </c>
      <c r="I72" s="30">
        <f t="shared" si="138"/>
        <v>0.26584814886457031</v>
      </c>
      <c r="J72" s="30">
        <f t="shared" si="138"/>
        <v>0.27766350677023777</v>
      </c>
      <c r="K72" s="30">
        <f t="shared" ref="K72:V72" si="139">IF(K50=0,0,K50/K61)</f>
        <v>0.28546299903301786</v>
      </c>
      <c r="L72" s="30">
        <f t="shared" si="139"/>
        <v>0.27945428744974959</v>
      </c>
      <c r="M72" s="30">
        <f t="shared" si="139"/>
        <v>0.24800118855568942</v>
      </c>
      <c r="N72" s="30">
        <f t="shared" si="139"/>
        <v>0.20381863526849808</v>
      </c>
      <c r="O72" s="30">
        <f t="shared" si="139"/>
        <v>0.19670295474919033</v>
      </c>
      <c r="P72" s="30">
        <f t="shared" si="139"/>
        <v>0.2059004272505815</v>
      </c>
      <c r="Q72" s="30">
        <f t="shared" si="139"/>
        <v>0.21142887219871123</v>
      </c>
      <c r="R72" s="30">
        <f t="shared" si="139"/>
        <v>0.19672459738535153</v>
      </c>
      <c r="S72" s="30">
        <f t="shared" si="139"/>
        <v>0.18477759285964365</v>
      </c>
      <c r="T72" s="30">
        <f t="shared" si="139"/>
        <v>0.18742318326527688</v>
      </c>
      <c r="U72" s="30">
        <f t="shared" si="139"/>
        <v>0.1722517067456556</v>
      </c>
      <c r="V72" s="30">
        <f t="shared" si="139"/>
        <v>0.14380560665016745</v>
      </c>
      <c r="W72" s="30">
        <f t="shared" ref="W72" si="140">IF(W50=0,0,W50/W61)</f>
        <v>0.13466057174057158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0.20185584720913233</v>
      </c>
      <c r="C73" s="118">
        <f t="shared" si="141"/>
        <v>0.20039654935227291</v>
      </c>
      <c r="D73" s="118">
        <f t="shared" si="141"/>
        <v>0.19891722978092927</v>
      </c>
      <c r="E73" s="118">
        <f t="shared" si="141"/>
        <v>0.19661058635739828</v>
      </c>
      <c r="F73" s="118">
        <f t="shared" si="141"/>
        <v>0.19707375341877387</v>
      </c>
      <c r="G73" s="118">
        <f t="shared" si="141"/>
        <v>0.19585888591431677</v>
      </c>
      <c r="H73" s="118">
        <f t="shared" si="141"/>
        <v>0.19705027332156927</v>
      </c>
      <c r="I73" s="118">
        <f t="shared" si="141"/>
        <v>0.19623575889906508</v>
      </c>
      <c r="J73" s="118">
        <f t="shared" si="141"/>
        <v>0.19615674739803027</v>
      </c>
      <c r="K73" s="118">
        <f t="shared" ref="K73:V73" si="142">IF(K51=0,0,K51/K62)</f>
        <v>0.19503887380088403</v>
      </c>
      <c r="L73" s="118">
        <f t="shared" si="142"/>
        <v>0.194975326400116</v>
      </c>
      <c r="M73" s="118">
        <f t="shared" si="142"/>
        <v>0.19530412805901387</v>
      </c>
      <c r="N73" s="118">
        <f t="shared" si="142"/>
        <v>0.19503038794341865</v>
      </c>
      <c r="O73" s="118">
        <f t="shared" si="142"/>
        <v>0.19549302422299702</v>
      </c>
      <c r="P73" s="118">
        <f t="shared" si="142"/>
        <v>0.19602365363521038</v>
      </c>
      <c r="Q73" s="118">
        <f t="shared" si="142"/>
        <v>0.19810411048551074</v>
      </c>
      <c r="R73" s="118">
        <f t="shared" si="142"/>
        <v>0.19678720790047152</v>
      </c>
      <c r="S73" s="118">
        <f t="shared" si="142"/>
        <v>0.19912278641068043</v>
      </c>
      <c r="T73" s="118">
        <f t="shared" si="142"/>
        <v>0.20168604372548757</v>
      </c>
      <c r="U73" s="118">
        <f t="shared" si="142"/>
        <v>0.17654187192118229</v>
      </c>
      <c r="V73" s="118">
        <f t="shared" si="142"/>
        <v>0.16562084343948047</v>
      </c>
      <c r="W73" s="118">
        <f t="shared" ref="W73" si="143">IF(W51=0,0,W51/W62)</f>
        <v>0.15349253895912968</v>
      </c>
      <c r="DA73" s="203"/>
    </row>
    <row r="74" spans="1:105" ht="11.45" customHeight="1" x14ac:dyDescent="0.25">
      <c r="A74" s="109" t="s">
        <v>24</v>
      </c>
      <c r="B74" s="119">
        <f t="shared" si="141"/>
        <v>0.29038612664964381</v>
      </c>
      <c r="C74" s="119">
        <f t="shared" si="141"/>
        <v>0.28882728808637814</v>
      </c>
      <c r="D74" s="119">
        <f t="shared" si="141"/>
        <v>0.27130198877708367</v>
      </c>
      <c r="E74" s="119">
        <f t="shared" si="141"/>
        <v>0.27438809286009147</v>
      </c>
      <c r="F74" s="119">
        <f t="shared" si="141"/>
        <v>0.26362302651916958</v>
      </c>
      <c r="G74" s="119">
        <f t="shared" si="141"/>
        <v>0.2671812837352584</v>
      </c>
      <c r="H74" s="119">
        <f t="shared" si="141"/>
        <v>0.27516713272099963</v>
      </c>
      <c r="I74" s="119">
        <f t="shared" si="141"/>
        <v>0.32134676046060212</v>
      </c>
      <c r="J74" s="119">
        <f t="shared" si="141"/>
        <v>0.33389504157122812</v>
      </c>
      <c r="K74" s="119">
        <f t="shared" ref="K74:V74" si="144">IF(K52=0,0,K52/K63)</f>
        <v>0.34395287733586155</v>
      </c>
      <c r="L74" s="119">
        <f t="shared" si="144"/>
        <v>0.33270852868244633</v>
      </c>
      <c r="M74" s="119">
        <f t="shared" si="144"/>
        <v>0.28096570795191828</v>
      </c>
      <c r="N74" s="119">
        <f t="shared" si="144"/>
        <v>0.21344551853368796</v>
      </c>
      <c r="O74" s="119">
        <f t="shared" si="144"/>
        <v>0.20179923626171906</v>
      </c>
      <c r="P74" s="119">
        <f t="shared" si="144"/>
        <v>0.21782493953358784</v>
      </c>
      <c r="Q74" s="119">
        <f t="shared" si="144"/>
        <v>0.22722115262669332</v>
      </c>
      <c r="R74" s="119">
        <f t="shared" si="144"/>
        <v>0.20261410649560818</v>
      </c>
      <c r="S74" s="119">
        <f t="shared" si="144"/>
        <v>0.17961209847462251</v>
      </c>
      <c r="T74" s="119">
        <f t="shared" si="144"/>
        <v>0.1826972541944189</v>
      </c>
      <c r="U74" s="119">
        <f t="shared" si="144"/>
        <v>0.17705926008169057</v>
      </c>
      <c r="V74" s="119">
        <f t="shared" si="144"/>
        <v>0.13162025744909339</v>
      </c>
      <c r="W74" s="119">
        <f t="shared" ref="W74" si="145">IF(W52=0,0,W52/W63)</f>
        <v>0.12737575166949891</v>
      </c>
      <c r="DA74" s="176"/>
    </row>
    <row r="75" spans="1:105" ht="11.45" customHeight="1" x14ac:dyDescent="0.25">
      <c r="A75" s="111" t="s">
        <v>92</v>
      </c>
      <c r="B75" s="120">
        <f t="shared" si="141"/>
        <v>0.26746452315262081</v>
      </c>
      <c r="C75" s="120">
        <f t="shared" si="141"/>
        <v>0.25940290803872157</v>
      </c>
      <c r="D75" s="120">
        <f t="shared" si="141"/>
        <v>0.24340900643281443</v>
      </c>
      <c r="E75" s="120">
        <f t="shared" si="141"/>
        <v>0.24807559017918795</v>
      </c>
      <c r="F75" s="120">
        <f t="shared" si="141"/>
        <v>0.2263462612178147</v>
      </c>
      <c r="G75" s="120">
        <f t="shared" si="141"/>
        <v>0.24872418841259716</v>
      </c>
      <c r="H75" s="120">
        <f t="shared" si="141"/>
        <v>0.25227134196423862</v>
      </c>
      <c r="I75" s="120">
        <f t="shared" si="141"/>
        <v>0.29462564917692935</v>
      </c>
      <c r="J75" s="120">
        <f t="shared" si="141"/>
        <v>0.30943353844960925</v>
      </c>
      <c r="K75" s="120">
        <f t="shared" ref="K75:V75" si="146">IF(K53=0,0,K53/K64)</f>
        <v>0.3323086407049714</v>
      </c>
      <c r="L75" s="120">
        <f t="shared" si="146"/>
        <v>0.31971897899962143</v>
      </c>
      <c r="M75" s="120">
        <f t="shared" si="146"/>
        <v>0.27879562075873199</v>
      </c>
      <c r="N75" s="120">
        <f t="shared" si="146"/>
        <v>0.21358972824247213</v>
      </c>
      <c r="O75" s="120">
        <f t="shared" si="146"/>
        <v>0.19130497554575659</v>
      </c>
      <c r="P75" s="120">
        <f t="shared" si="146"/>
        <v>0.20620101002711771</v>
      </c>
      <c r="Q75" s="120">
        <f t="shared" si="146"/>
        <v>0.22398683256961521</v>
      </c>
      <c r="R75" s="120">
        <f t="shared" si="146"/>
        <v>0.19195711112148431</v>
      </c>
      <c r="S75" s="120">
        <f t="shared" si="146"/>
        <v>0.16898817992747761</v>
      </c>
      <c r="T75" s="120">
        <f t="shared" si="146"/>
        <v>0.17294735411710441</v>
      </c>
      <c r="U75" s="120">
        <f t="shared" si="146"/>
        <v>0.15316031747502207</v>
      </c>
      <c r="V75" s="120">
        <f t="shared" si="146"/>
        <v>0.12949884376201384</v>
      </c>
      <c r="W75" s="120">
        <f t="shared" ref="W75" si="147">IF(W53=0,0,W53/W64)</f>
        <v>0.12915681053751321</v>
      </c>
      <c r="DA75" s="171"/>
    </row>
    <row r="76" spans="1:105" ht="11.45" customHeight="1" x14ac:dyDescent="0.25">
      <c r="A76" s="111" t="s">
        <v>93</v>
      </c>
      <c r="B76" s="120">
        <f t="shared" si="141"/>
        <v>0.31378917982003884</v>
      </c>
      <c r="C76" s="120">
        <f t="shared" si="141"/>
        <v>0.3184107704778612</v>
      </c>
      <c r="D76" s="120">
        <f t="shared" si="141"/>
        <v>0.29911558708678265</v>
      </c>
      <c r="E76" s="120">
        <f t="shared" si="141"/>
        <v>0.30065228269529476</v>
      </c>
      <c r="F76" s="120">
        <f t="shared" si="141"/>
        <v>0.3061426001206623</v>
      </c>
      <c r="G76" s="120">
        <f t="shared" si="141"/>
        <v>0.28705624845301703</v>
      </c>
      <c r="H76" s="120">
        <f t="shared" si="141"/>
        <v>0.30004642791976449</v>
      </c>
      <c r="I76" s="120">
        <f t="shared" si="141"/>
        <v>0.34994104829549677</v>
      </c>
      <c r="J76" s="120">
        <f t="shared" si="141"/>
        <v>0.36013751022312418</v>
      </c>
      <c r="K76" s="120">
        <f t="shared" ref="K76:V76" si="148">IF(K54=0,0,K54/K65)</f>
        <v>0.35489082738891498</v>
      </c>
      <c r="L76" s="120">
        <f t="shared" si="148"/>
        <v>0.34482237933560189</v>
      </c>
      <c r="M76" s="120">
        <f t="shared" si="148"/>
        <v>0.28290425551249676</v>
      </c>
      <c r="N76" s="120">
        <f t="shared" si="148"/>
        <v>0.21332001855944233</v>
      </c>
      <c r="O76" s="120">
        <f t="shared" si="148"/>
        <v>0.2125629707467466</v>
      </c>
      <c r="P76" s="120">
        <f t="shared" si="148"/>
        <v>0.22911740096111313</v>
      </c>
      <c r="Q76" s="120">
        <f t="shared" si="148"/>
        <v>0.22990375675957106</v>
      </c>
      <c r="R76" s="120">
        <f t="shared" si="148"/>
        <v>0.21174075466292663</v>
      </c>
      <c r="S76" s="120">
        <f t="shared" si="148"/>
        <v>0.18864625240251431</v>
      </c>
      <c r="T76" s="120">
        <f t="shared" si="148"/>
        <v>0.18914450389267295</v>
      </c>
      <c r="U76" s="120">
        <f t="shared" si="148"/>
        <v>0.1907758310408055</v>
      </c>
      <c r="V76" s="120">
        <f t="shared" si="148"/>
        <v>0.13292739389142832</v>
      </c>
      <c r="W76" s="120">
        <f t="shared" ref="W76" si="149">IF(W54=0,0,W54/W65)</f>
        <v>0.12646656206947016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0.21948482587062948</v>
      </c>
      <c r="C78" s="30">
        <f t="shared" si="141"/>
        <v>0.22889831966801547</v>
      </c>
      <c r="D78" s="30">
        <f t="shared" si="141"/>
        <v>0.22186300224148675</v>
      </c>
      <c r="E78" s="30">
        <f t="shared" si="141"/>
        <v>0.2243409319492646</v>
      </c>
      <c r="F78" s="30">
        <f t="shared" si="141"/>
        <v>0.21872747279026492</v>
      </c>
      <c r="G78" s="30">
        <f t="shared" si="141"/>
        <v>0.21919433661311927</v>
      </c>
      <c r="H78" s="30">
        <f t="shared" si="141"/>
        <v>0.23860890822022918</v>
      </c>
      <c r="I78" s="30">
        <f t="shared" si="141"/>
        <v>0.25042424087022291</v>
      </c>
      <c r="J78" s="30">
        <f t="shared" si="141"/>
        <v>0.24668671686021401</v>
      </c>
      <c r="K78" s="30">
        <f t="shared" ref="K78:V78" si="152">IF(K56=0,0,K56/K67)</f>
        <v>0.23617621410160905</v>
      </c>
      <c r="L78" s="30">
        <f t="shared" si="152"/>
        <v>0.21438594411028325</v>
      </c>
      <c r="M78" s="30">
        <f t="shared" si="152"/>
        <v>0.21172255967481438</v>
      </c>
      <c r="N78" s="30">
        <f t="shared" si="152"/>
        <v>0.21564573592897132</v>
      </c>
      <c r="O78" s="30">
        <f t="shared" si="152"/>
        <v>0.18590904838905523</v>
      </c>
      <c r="P78" s="30">
        <f t="shared" si="152"/>
        <v>0.19544321744509799</v>
      </c>
      <c r="Q78" s="30">
        <f t="shared" si="152"/>
        <v>0.20529422883541518</v>
      </c>
      <c r="R78" s="30">
        <f t="shared" si="152"/>
        <v>0.18617236478842561</v>
      </c>
      <c r="S78" s="30">
        <f t="shared" si="152"/>
        <v>0.20144019104471217</v>
      </c>
      <c r="T78" s="30">
        <f t="shared" si="152"/>
        <v>0.22315798923441196</v>
      </c>
      <c r="U78" s="30">
        <f t="shared" si="152"/>
        <v>0.22346143205816629</v>
      </c>
      <c r="V78" s="30">
        <f t="shared" si="152"/>
        <v>0.24097356604385475</v>
      </c>
      <c r="W78" s="30">
        <f t="shared" ref="W78" si="153">IF(W56=0,0,W56/W67)</f>
        <v>0.26217652747320364</v>
      </c>
      <c r="DA78" s="173"/>
    </row>
    <row r="79" spans="1:105" ht="11.45" customHeight="1" x14ac:dyDescent="0.25">
      <c r="A79" s="83" t="s">
        <v>92</v>
      </c>
      <c r="B79" s="120">
        <f t="shared" si="141"/>
        <v>0.30970923066525896</v>
      </c>
      <c r="C79" s="120">
        <f t="shared" si="141"/>
        <v>0.2718256590985661</v>
      </c>
      <c r="D79" s="120">
        <f t="shared" si="141"/>
        <v>0.27633951060646023</v>
      </c>
      <c r="E79" s="120">
        <f t="shared" si="141"/>
        <v>0.26887214482843153</v>
      </c>
      <c r="F79" s="120">
        <f t="shared" si="141"/>
        <v>0.24556466996752821</v>
      </c>
      <c r="G79" s="120">
        <f t="shared" si="141"/>
        <v>0.24822078777243964</v>
      </c>
      <c r="H79" s="120">
        <f t="shared" si="141"/>
        <v>0.27705531620674473</v>
      </c>
      <c r="I79" s="120">
        <f t="shared" si="141"/>
        <v>0.27049371453647869</v>
      </c>
      <c r="J79" s="120">
        <f t="shared" si="141"/>
        <v>0.27769926845043813</v>
      </c>
      <c r="K79" s="120">
        <f t="shared" ref="K79:V79" si="154">IF(K57=0,0,K57/K68)</f>
        <v>0.27147040205695377</v>
      </c>
      <c r="L79" s="120">
        <f t="shared" si="154"/>
        <v>0.25022110123620322</v>
      </c>
      <c r="M79" s="120">
        <f t="shared" si="154"/>
        <v>0.24402233973888657</v>
      </c>
      <c r="N79" s="120">
        <f t="shared" si="154"/>
        <v>0.24217515930418604</v>
      </c>
      <c r="O79" s="120">
        <f t="shared" si="154"/>
        <v>0.21694057001718126</v>
      </c>
      <c r="P79" s="120">
        <f t="shared" si="154"/>
        <v>0.2444336918242048</v>
      </c>
      <c r="Q79" s="120">
        <f t="shared" si="154"/>
        <v>0.26749352662786152</v>
      </c>
      <c r="R79" s="120">
        <f t="shared" si="154"/>
        <v>0.24798565958201363</v>
      </c>
      <c r="S79" s="120">
        <f t="shared" si="154"/>
        <v>0.2885923826082798</v>
      </c>
      <c r="T79" s="120">
        <f t="shared" si="154"/>
        <v>0.32893691378114859</v>
      </c>
      <c r="U79" s="120">
        <f t="shared" si="154"/>
        <v>0.31486749368304318</v>
      </c>
      <c r="V79" s="120">
        <f t="shared" si="154"/>
        <v>0.34574215078201453</v>
      </c>
      <c r="W79" s="120">
        <f t="shared" ref="W79" si="155">IF(W57=0,0,W57/W68)</f>
        <v>0.31505802833616009</v>
      </c>
      <c r="DA79" s="171"/>
    </row>
    <row r="80" spans="1:105" ht="11.45" customHeight="1" x14ac:dyDescent="0.25">
      <c r="A80" s="85" t="s">
        <v>93</v>
      </c>
      <c r="B80" s="122">
        <f t="shared" si="141"/>
        <v>0.16682025238157636</v>
      </c>
      <c r="C80" s="122">
        <f t="shared" si="141"/>
        <v>0.19819080992597735</v>
      </c>
      <c r="D80" s="122">
        <f t="shared" si="141"/>
        <v>0.18686029487391867</v>
      </c>
      <c r="E80" s="122">
        <f t="shared" si="141"/>
        <v>0.19454692710720564</v>
      </c>
      <c r="F80" s="122">
        <f t="shared" si="141"/>
        <v>0.1998422997099803</v>
      </c>
      <c r="G80" s="122">
        <f t="shared" si="141"/>
        <v>0.19850838840467597</v>
      </c>
      <c r="H80" s="122">
        <f t="shared" si="141"/>
        <v>0.21205186906362158</v>
      </c>
      <c r="I80" s="122">
        <f t="shared" si="141"/>
        <v>0.23487664696996713</v>
      </c>
      <c r="J80" s="122">
        <f t="shared" si="141"/>
        <v>0.22333086779700298</v>
      </c>
      <c r="K80" s="122">
        <f t="shared" ref="K80:V80" si="156">IF(K58=0,0,K58/K69)</f>
        <v>0.20903633968359897</v>
      </c>
      <c r="L80" s="122">
        <f t="shared" si="156"/>
        <v>0.18823710501553043</v>
      </c>
      <c r="M80" s="122">
        <f t="shared" si="156"/>
        <v>0.18976102317148708</v>
      </c>
      <c r="N80" s="122">
        <f t="shared" si="156"/>
        <v>0.19686191665966438</v>
      </c>
      <c r="O80" s="122">
        <f t="shared" si="156"/>
        <v>0.16579981489384685</v>
      </c>
      <c r="P80" s="122">
        <f t="shared" si="156"/>
        <v>0.16520576090396175</v>
      </c>
      <c r="Q80" s="122">
        <f t="shared" si="156"/>
        <v>0.17421062858326708</v>
      </c>
      <c r="R80" s="122">
        <f t="shared" si="156"/>
        <v>0.15657691061734394</v>
      </c>
      <c r="S80" s="122">
        <f t="shared" si="156"/>
        <v>0.16581605467346669</v>
      </c>
      <c r="T80" s="122">
        <f t="shared" si="156"/>
        <v>0.18769397568014914</v>
      </c>
      <c r="U80" s="122">
        <f t="shared" si="156"/>
        <v>0.19178711187321312</v>
      </c>
      <c r="V80" s="122">
        <f t="shared" si="156"/>
        <v>0.2056203469835233</v>
      </c>
      <c r="W80" s="122">
        <f t="shared" ref="W80" si="157">IF(W58=0,0,W58/W69)</f>
        <v>0.2392694775687185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142163.03761718367</v>
      </c>
      <c r="C82" s="54">
        <f t="shared" si="158"/>
        <v>142219.24804577994</v>
      </c>
      <c r="D82" s="54">
        <f t="shared" si="158"/>
        <v>142861.6926473355</v>
      </c>
      <c r="E82" s="54">
        <f t="shared" si="158"/>
        <v>143131.16937549072</v>
      </c>
      <c r="F82" s="54">
        <f t="shared" si="158"/>
        <v>143996.99168520453</v>
      </c>
      <c r="G82" s="54">
        <f t="shared" si="158"/>
        <v>145035.54244368279</v>
      </c>
      <c r="H82" s="54">
        <f t="shared" si="158"/>
        <v>145276.2327379456</v>
      </c>
      <c r="I82" s="54">
        <f t="shared" si="158"/>
        <v>143586.30993984308</v>
      </c>
      <c r="J82" s="54">
        <f t="shared" si="158"/>
        <v>143721.9315360249</v>
      </c>
      <c r="K82" s="54">
        <f t="shared" ref="K82:V82" si="159">IF(K14=0,0,K14/K25*1000000)</f>
        <v>140652.87833341135</v>
      </c>
      <c r="L82" s="54">
        <f t="shared" si="159"/>
        <v>144164.25980134113</v>
      </c>
      <c r="M82" s="54">
        <f t="shared" si="159"/>
        <v>144008.71739140063</v>
      </c>
      <c r="N82" s="54">
        <f t="shared" si="159"/>
        <v>143569.88904898957</v>
      </c>
      <c r="O82" s="54">
        <f t="shared" si="159"/>
        <v>140565.95979443134</v>
      </c>
      <c r="P82" s="54">
        <f t="shared" si="159"/>
        <v>139177.98366232554</v>
      </c>
      <c r="Q82" s="54">
        <f t="shared" si="159"/>
        <v>140722.92836171991</v>
      </c>
      <c r="R82" s="54">
        <f t="shared" si="159"/>
        <v>142173.95040764686</v>
      </c>
      <c r="S82" s="54">
        <f t="shared" si="159"/>
        <v>143290.64702939425</v>
      </c>
      <c r="T82" s="54">
        <f t="shared" si="159"/>
        <v>142397.80953601626</v>
      </c>
      <c r="U82" s="54">
        <f t="shared" si="159"/>
        <v>138625.75995714113</v>
      </c>
      <c r="V82" s="54">
        <f t="shared" si="159"/>
        <v>141331.77026171313</v>
      </c>
      <c r="W82" s="54">
        <f t="shared" ref="W82" si="160">IF(W14=0,0,W14/W25*1000000)</f>
        <v>143224.73299550172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134510.24955157793</v>
      </c>
      <c r="C83" s="28">
        <f t="shared" si="161"/>
        <v>133899.1258008898</v>
      </c>
      <c r="D83" s="28">
        <f t="shared" si="161"/>
        <v>134012.51909530256</v>
      </c>
      <c r="E83" s="28">
        <f t="shared" si="161"/>
        <v>133250.42088278133</v>
      </c>
      <c r="F83" s="28">
        <f t="shared" si="161"/>
        <v>134089.57901798989</v>
      </c>
      <c r="G83" s="28">
        <f t="shared" si="161"/>
        <v>134291.74523644862</v>
      </c>
      <c r="H83" s="28">
        <f t="shared" si="161"/>
        <v>134315.4747053959</v>
      </c>
      <c r="I83" s="28">
        <f t="shared" si="161"/>
        <v>132848.80598068758</v>
      </c>
      <c r="J83" s="28">
        <f t="shared" si="161"/>
        <v>134175.01833775759</v>
      </c>
      <c r="K83" s="28">
        <f t="shared" ref="K83:V83" si="162">IF(K15=0,0,K15/K26*1000000)</f>
        <v>134722.60362823095</v>
      </c>
      <c r="L83" s="28">
        <f t="shared" si="162"/>
        <v>135036.1123300402</v>
      </c>
      <c r="M83" s="28">
        <f t="shared" si="162"/>
        <v>135647.50182481259</v>
      </c>
      <c r="N83" s="28">
        <f t="shared" si="162"/>
        <v>135356.25709579838</v>
      </c>
      <c r="O83" s="28">
        <f t="shared" si="162"/>
        <v>130842.49567397068</v>
      </c>
      <c r="P83" s="28">
        <f t="shared" si="162"/>
        <v>129275.79143958773</v>
      </c>
      <c r="Q83" s="28">
        <f t="shared" si="162"/>
        <v>131701.56983749376</v>
      </c>
      <c r="R83" s="28">
        <f t="shared" si="162"/>
        <v>131892.51334249982</v>
      </c>
      <c r="S83" s="28">
        <f t="shared" si="162"/>
        <v>132064.55781096817</v>
      </c>
      <c r="T83" s="28">
        <f t="shared" si="162"/>
        <v>132005.61890048039</v>
      </c>
      <c r="U83" s="28">
        <f t="shared" si="162"/>
        <v>125446.3317150338</v>
      </c>
      <c r="V83" s="28">
        <f t="shared" si="162"/>
        <v>126802.23915207713</v>
      </c>
      <c r="W83" s="28">
        <f t="shared" ref="W83" si="163">IF(W15=0,0,W15/W26*1000000)</f>
        <v>134671.8092363613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109999.9987702467</v>
      </c>
      <c r="C84" s="108">
        <f t="shared" si="161"/>
        <v>109999.99863333849</v>
      </c>
      <c r="D84" s="108">
        <f t="shared" si="161"/>
        <v>109999.99981087178</v>
      </c>
      <c r="E84" s="108">
        <f t="shared" si="161"/>
        <v>109999.99961710267</v>
      </c>
      <c r="F84" s="108">
        <f t="shared" si="161"/>
        <v>109999.99933353542</v>
      </c>
      <c r="G84" s="108">
        <f t="shared" si="161"/>
        <v>109999.99983194974</v>
      </c>
      <c r="H84" s="108">
        <f t="shared" si="161"/>
        <v>109999.99994736974</v>
      </c>
      <c r="I84" s="108">
        <f t="shared" si="161"/>
        <v>109999.99912850614</v>
      </c>
      <c r="J84" s="108">
        <f t="shared" si="161"/>
        <v>109999.99882098164</v>
      </c>
      <c r="K84" s="108">
        <f t="shared" ref="K84:V84" si="164">IF(K16=0,0,K16/K27*1000000)</f>
        <v>109999.99917437464</v>
      </c>
      <c r="L84" s="108">
        <f t="shared" si="164"/>
        <v>109999.99982814009</v>
      </c>
      <c r="M84" s="108">
        <f t="shared" si="164"/>
        <v>109999.99966800321</v>
      </c>
      <c r="N84" s="108">
        <f t="shared" si="164"/>
        <v>109999.99861732003</v>
      </c>
      <c r="O84" s="108">
        <f t="shared" si="164"/>
        <v>109999.99828078176</v>
      </c>
      <c r="P84" s="108">
        <f t="shared" si="164"/>
        <v>109999.99971607032</v>
      </c>
      <c r="Q84" s="108">
        <f t="shared" si="164"/>
        <v>109999.9987542672</v>
      </c>
      <c r="R84" s="108">
        <f t="shared" si="164"/>
        <v>109999.99845691107</v>
      </c>
      <c r="S84" s="108">
        <f t="shared" si="164"/>
        <v>109999.99870364107</v>
      </c>
      <c r="T84" s="108">
        <f t="shared" si="164"/>
        <v>109999.9990774209</v>
      </c>
      <c r="U84" s="108">
        <f t="shared" si="164"/>
        <v>90143.382260632556</v>
      </c>
      <c r="V84" s="108">
        <f t="shared" si="164"/>
        <v>109999.99956664836</v>
      </c>
      <c r="W84" s="108">
        <f t="shared" ref="W84" si="165">IF(W16=0,0,W16/W27*1000000)</f>
        <v>109999.99856491527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149999.99847691745</v>
      </c>
      <c r="C85" s="110">
        <f t="shared" si="161"/>
        <v>149999.99791388368</v>
      </c>
      <c r="D85" s="110">
        <f t="shared" si="161"/>
        <v>149999.9986233977</v>
      </c>
      <c r="E85" s="110">
        <f t="shared" si="161"/>
        <v>149999.99844871429</v>
      </c>
      <c r="F85" s="110">
        <f t="shared" si="161"/>
        <v>149999.99855479068</v>
      </c>
      <c r="G85" s="110">
        <f t="shared" si="161"/>
        <v>149999.99928752065</v>
      </c>
      <c r="H85" s="110">
        <f t="shared" si="161"/>
        <v>149999.99775595701</v>
      </c>
      <c r="I85" s="110">
        <f t="shared" si="161"/>
        <v>149999.99834355569</v>
      </c>
      <c r="J85" s="110">
        <f t="shared" si="161"/>
        <v>149999.99840857161</v>
      </c>
      <c r="K85" s="110">
        <f t="shared" ref="K85:V85" si="166">IF(K17=0,0,K17/K28*1000000)</f>
        <v>149999.99791156399</v>
      </c>
      <c r="L85" s="110">
        <f t="shared" si="166"/>
        <v>149999.99799064302</v>
      </c>
      <c r="M85" s="110">
        <f t="shared" si="166"/>
        <v>149999.99803111103</v>
      </c>
      <c r="N85" s="110">
        <f t="shared" si="166"/>
        <v>149999.99786088977</v>
      </c>
      <c r="O85" s="110">
        <f t="shared" si="166"/>
        <v>143650.62361451096</v>
      </c>
      <c r="P85" s="110">
        <f t="shared" si="166"/>
        <v>143289.30568964873</v>
      </c>
      <c r="Q85" s="110">
        <f t="shared" si="166"/>
        <v>148821.24656780134</v>
      </c>
      <c r="R85" s="110">
        <f t="shared" si="166"/>
        <v>149999.99752237808</v>
      </c>
      <c r="S85" s="110">
        <f t="shared" si="166"/>
        <v>149999.99901737442</v>
      </c>
      <c r="T85" s="110">
        <f t="shared" si="166"/>
        <v>148624.58536963773</v>
      </c>
      <c r="U85" s="110">
        <f t="shared" si="166"/>
        <v>149999.99879084504</v>
      </c>
      <c r="V85" s="110">
        <f t="shared" si="166"/>
        <v>138652.59412955219</v>
      </c>
      <c r="W85" s="110">
        <f t="shared" ref="W85" si="167">IF(W17=0,0,W17/W28*1000000)</f>
        <v>149999.99801586513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149999.99835699357</v>
      </c>
      <c r="C86" s="84">
        <f t="shared" si="161"/>
        <v>149999.99709986986</v>
      </c>
      <c r="D86" s="84">
        <f t="shared" si="161"/>
        <v>149999.99753910484</v>
      </c>
      <c r="E86" s="84">
        <f t="shared" si="161"/>
        <v>149999.99774294969</v>
      </c>
      <c r="F86" s="84">
        <f t="shared" si="161"/>
        <v>149999.99858904476</v>
      </c>
      <c r="G86" s="84">
        <f t="shared" si="161"/>
        <v>149999.9993494137</v>
      </c>
      <c r="H86" s="84">
        <f t="shared" si="161"/>
        <v>149999.99760820623</v>
      </c>
      <c r="I86" s="84">
        <f t="shared" si="161"/>
        <v>149999.99800785209</v>
      </c>
      <c r="J86" s="84">
        <f t="shared" si="161"/>
        <v>149999.99930270796</v>
      </c>
      <c r="K86" s="84">
        <f t="shared" ref="K86:V86" si="168">IF(K18=0,0,K18/K29*1000000)</f>
        <v>149999.9977137988</v>
      </c>
      <c r="L86" s="84">
        <f t="shared" si="168"/>
        <v>149999.99774520678</v>
      </c>
      <c r="M86" s="84">
        <f t="shared" si="168"/>
        <v>149999.99858342789</v>
      </c>
      <c r="N86" s="84">
        <f t="shared" si="168"/>
        <v>149999.99841110763</v>
      </c>
      <c r="O86" s="84">
        <f t="shared" si="168"/>
        <v>149999.99780100459</v>
      </c>
      <c r="P86" s="84">
        <f t="shared" si="168"/>
        <v>146211.27052877253</v>
      </c>
      <c r="Q86" s="84">
        <f t="shared" si="168"/>
        <v>147424.47074914025</v>
      </c>
      <c r="R86" s="84">
        <f t="shared" si="168"/>
        <v>149999.99723795123</v>
      </c>
      <c r="S86" s="84">
        <f t="shared" si="168"/>
        <v>149999.99996402129</v>
      </c>
      <c r="T86" s="84">
        <f t="shared" si="168"/>
        <v>146591.86476029345</v>
      </c>
      <c r="U86" s="84">
        <f t="shared" si="168"/>
        <v>149999.99689851474</v>
      </c>
      <c r="V86" s="84">
        <f t="shared" si="168"/>
        <v>149999.9991052585</v>
      </c>
      <c r="W86" s="84">
        <f t="shared" ref="W86" si="169">IF(W18=0,0,W18/W29*1000000)</f>
        <v>149999.99571537675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149999.99859936026</v>
      </c>
      <c r="C87" s="84">
        <f t="shared" si="161"/>
        <v>149999.99873229899</v>
      </c>
      <c r="D87" s="84">
        <f t="shared" si="161"/>
        <v>149999.99970460465</v>
      </c>
      <c r="E87" s="84">
        <f t="shared" si="161"/>
        <v>149999.99915318296</v>
      </c>
      <c r="F87" s="84">
        <f t="shared" si="161"/>
        <v>149999.99851571891</v>
      </c>
      <c r="G87" s="84">
        <f t="shared" si="161"/>
        <v>149999.99922087297</v>
      </c>
      <c r="H87" s="84">
        <f t="shared" si="161"/>
        <v>149999.99791650774</v>
      </c>
      <c r="I87" s="84">
        <f t="shared" si="161"/>
        <v>149999.99870279239</v>
      </c>
      <c r="J87" s="84">
        <f t="shared" si="161"/>
        <v>149999.99744933599</v>
      </c>
      <c r="K87" s="84">
        <f t="shared" ref="K87:V87" si="170">IF(K19=0,0,K19/K30*1000000)</f>
        <v>149999.99809733365</v>
      </c>
      <c r="L87" s="84">
        <f t="shared" si="170"/>
        <v>149999.99821953304</v>
      </c>
      <c r="M87" s="84">
        <f t="shared" si="170"/>
        <v>149999.99753772418</v>
      </c>
      <c r="N87" s="84">
        <f t="shared" si="170"/>
        <v>149999.99738205707</v>
      </c>
      <c r="O87" s="84">
        <f t="shared" si="170"/>
        <v>137673.38245042294</v>
      </c>
      <c r="P87" s="84">
        <f t="shared" si="170"/>
        <v>140560.37386215531</v>
      </c>
      <c r="Q87" s="84">
        <f t="shared" si="170"/>
        <v>149999.99730425488</v>
      </c>
      <c r="R87" s="84">
        <f t="shared" si="170"/>
        <v>149999.99776596116</v>
      </c>
      <c r="S87" s="84">
        <f t="shared" si="170"/>
        <v>149999.99821238386</v>
      </c>
      <c r="T87" s="84">
        <f t="shared" si="170"/>
        <v>149999.99925233409</v>
      </c>
      <c r="U87" s="84">
        <f t="shared" si="170"/>
        <v>149999.99987693012</v>
      </c>
      <c r="V87" s="84">
        <f t="shared" si="170"/>
        <v>132477.50820388453</v>
      </c>
      <c r="W87" s="84">
        <f t="shared" ref="W87" si="171">IF(W19=0,0,W19/W30*1000000)</f>
        <v>149999.99919021159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199999.99110287437</v>
      </c>
      <c r="C89" s="28">
        <f t="shared" si="161"/>
        <v>199999.9872390661</v>
      </c>
      <c r="D89" s="28">
        <f t="shared" si="161"/>
        <v>199999.99189411575</v>
      </c>
      <c r="E89" s="28">
        <f t="shared" si="161"/>
        <v>199999.98988945235</v>
      </c>
      <c r="F89" s="28">
        <f t="shared" si="161"/>
        <v>199999.98922263552</v>
      </c>
      <c r="G89" s="28">
        <f t="shared" si="161"/>
        <v>199999.99511965434</v>
      </c>
      <c r="H89" s="28">
        <f t="shared" si="161"/>
        <v>199999.9936198405</v>
      </c>
      <c r="I89" s="28">
        <f t="shared" si="161"/>
        <v>199999.99226883534</v>
      </c>
      <c r="J89" s="28">
        <f t="shared" si="161"/>
        <v>197614.05897553501</v>
      </c>
      <c r="K89" s="28">
        <f t="shared" ref="K89:V89" si="174">IF(K21=0,0,K21/K32*1000000)</f>
        <v>175087.70263523876</v>
      </c>
      <c r="L89" s="28">
        <f t="shared" si="174"/>
        <v>197134.03684050692</v>
      </c>
      <c r="M89" s="28">
        <f t="shared" si="174"/>
        <v>193800.38729466993</v>
      </c>
      <c r="N89" s="28">
        <f t="shared" si="174"/>
        <v>195396.68326882427</v>
      </c>
      <c r="O89" s="28">
        <f t="shared" si="174"/>
        <v>199708.7113509732</v>
      </c>
      <c r="P89" s="28">
        <f t="shared" si="174"/>
        <v>199999.99377974879</v>
      </c>
      <c r="Q89" s="28">
        <f t="shared" si="174"/>
        <v>194644.36300465983</v>
      </c>
      <c r="R89" s="28">
        <f t="shared" si="174"/>
        <v>199999.99620706157</v>
      </c>
      <c r="S89" s="28">
        <f t="shared" si="174"/>
        <v>199999.99067966678</v>
      </c>
      <c r="T89" s="28">
        <f t="shared" si="174"/>
        <v>194508.9869357498</v>
      </c>
      <c r="U89" s="28">
        <f t="shared" si="174"/>
        <v>199999.9929536221</v>
      </c>
      <c r="V89" s="28">
        <f t="shared" si="174"/>
        <v>199999.99527070858</v>
      </c>
      <c r="W89" s="28">
        <f t="shared" ref="W89" si="175">IF(W21=0,0,W21/W32*1000000)</f>
        <v>181709.11116858834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199999.99614192257</v>
      </c>
      <c r="C90" s="84">
        <f t="shared" si="161"/>
        <v>199999.99083425349</v>
      </c>
      <c r="D90" s="84">
        <f t="shared" si="161"/>
        <v>199999.99880629216</v>
      </c>
      <c r="E90" s="84">
        <f t="shared" si="161"/>
        <v>199999.98273530896</v>
      </c>
      <c r="F90" s="84">
        <f t="shared" si="161"/>
        <v>199999.98916840294</v>
      </c>
      <c r="G90" s="84">
        <f t="shared" si="161"/>
        <v>199999.99620359309</v>
      </c>
      <c r="H90" s="84">
        <f t="shared" si="161"/>
        <v>199999.98653927134</v>
      </c>
      <c r="I90" s="84">
        <f t="shared" si="161"/>
        <v>199999.98861205784</v>
      </c>
      <c r="J90" s="84">
        <f t="shared" si="161"/>
        <v>194532.56047445987</v>
      </c>
      <c r="K90" s="84">
        <f t="shared" ref="K90:V90" si="176">IF(K22=0,0,K22/K33*1000000)</f>
        <v>172696.65256697472</v>
      </c>
      <c r="L90" s="84">
        <f t="shared" si="176"/>
        <v>193337.27934940247</v>
      </c>
      <c r="M90" s="84">
        <f t="shared" si="176"/>
        <v>185350.23554214984</v>
      </c>
      <c r="N90" s="84">
        <f t="shared" si="176"/>
        <v>189599.08056009939</v>
      </c>
      <c r="O90" s="84">
        <f t="shared" si="176"/>
        <v>199260.87669328685</v>
      </c>
      <c r="P90" s="84">
        <f t="shared" si="176"/>
        <v>199999.99441619273</v>
      </c>
      <c r="Q90" s="84">
        <f t="shared" si="176"/>
        <v>184744.98475732442</v>
      </c>
      <c r="R90" s="84">
        <f t="shared" si="176"/>
        <v>199999.99612345928</v>
      </c>
      <c r="S90" s="84">
        <f t="shared" si="176"/>
        <v>199999.98372553254</v>
      </c>
      <c r="T90" s="84">
        <f t="shared" si="176"/>
        <v>179786.20034370202</v>
      </c>
      <c r="U90" s="84">
        <f t="shared" si="176"/>
        <v>199999.98406518562</v>
      </c>
      <c r="V90" s="84">
        <f t="shared" si="176"/>
        <v>199999.98308088974</v>
      </c>
      <c r="W90" s="84">
        <f t="shared" ref="W90" si="177">IF(W22=0,0,W22/W33*1000000)</f>
        <v>199999.98396772033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199999.98816154915</v>
      </c>
      <c r="C91" s="86">
        <f t="shared" si="161"/>
        <v>199999.98466729603</v>
      </c>
      <c r="D91" s="86">
        <f t="shared" si="161"/>
        <v>199999.9874528459</v>
      </c>
      <c r="E91" s="86">
        <f t="shared" si="161"/>
        <v>199999.99467599604</v>
      </c>
      <c r="F91" s="86">
        <f t="shared" si="161"/>
        <v>199999.98926079864</v>
      </c>
      <c r="G91" s="86">
        <f t="shared" si="161"/>
        <v>199999.99434717611</v>
      </c>
      <c r="H91" s="86">
        <f t="shared" si="161"/>
        <v>199999.99851077766</v>
      </c>
      <c r="I91" s="86">
        <f t="shared" si="161"/>
        <v>199999.99510169949</v>
      </c>
      <c r="J91" s="86">
        <f t="shared" si="161"/>
        <v>199999.98948577701</v>
      </c>
      <c r="K91" s="86">
        <f t="shared" ref="K91:V91" si="178">IF(K23=0,0,K23/K34*1000000)</f>
        <v>176971.84436044761</v>
      </c>
      <c r="L91" s="86">
        <f t="shared" si="178"/>
        <v>199999.9983089827</v>
      </c>
      <c r="M91" s="86">
        <f t="shared" si="178"/>
        <v>199999.99938867238</v>
      </c>
      <c r="N91" s="86">
        <f t="shared" si="178"/>
        <v>199720.74099719085</v>
      </c>
      <c r="O91" s="86">
        <f t="shared" si="178"/>
        <v>199999.99633467206</v>
      </c>
      <c r="P91" s="86">
        <f t="shared" si="178"/>
        <v>199999.99338692857</v>
      </c>
      <c r="Q91" s="86">
        <f t="shared" si="178"/>
        <v>199999.99945908776</v>
      </c>
      <c r="R91" s="86">
        <f t="shared" si="178"/>
        <v>199999.99624708932</v>
      </c>
      <c r="S91" s="86">
        <f t="shared" si="178"/>
        <v>199999.99352222338</v>
      </c>
      <c r="T91" s="86">
        <f t="shared" si="178"/>
        <v>199999.99894326756</v>
      </c>
      <c r="U91" s="86">
        <f t="shared" si="178"/>
        <v>199999.99603367166</v>
      </c>
      <c r="V91" s="86">
        <f t="shared" si="178"/>
        <v>199999.9993840539</v>
      </c>
      <c r="W91" s="86">
        <f t="shared" ref="W91" si="179">IF(W23=0,0,W23/W34*1000000)</f>
        <v>174784.84687189414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11980290.139421925</v>
      </c>
      <c r="C94" s="28">
        <f t="shared" si="180"/>
        <v>11832479.292757424</v>
      </c>
      <c r="D94" s="28">
        <f t="shared" si="180"/>
        <v>11315776.995866355</v>
      </c>
      <c r="E94" s="28">
        <f t="shared" si="180"/>
        <v>11278025.429909766</v>
      </c>
      <c r="F94" s="28">
        <f t="shared" si="180"/>
        <v>11069760.312224474</v>
      </c>
      <c r="G94" s="28">
        <f t="shared" si="180"/>
        <v>11172621.027428739</v>
      </c>
      <c r="H94" s="28">
        <f t="shared" si="180"/>
        <v>11428687.377715526</v>
      </c>
      <c r="I94" s="28">
        <f t="shared" si="180"/>
        <v>12513113.168017212</v>
      </c>
      <c r="J94" s="28">
        <f t="shared" si="180"/>
        <v>13100897.251717143</v>
      </c>
      <c r="K94" s="28">
        <f t="shared" ref="K94:V94" si="181">IF(K4=0,0,K4/K26*1000000)</f>
        <v>13481747.736715684</v>
      </c>
      <c r="L94" s="28">
        <f t="shared" si="181"/>
        <v>13205021.592992883</v>
      </c>
      <c r="M94" s="28">
        <f t="shared" si="181"/>
        <v>11730694.610806378</v>
      </c>
      <c r="N94" s="28">
        <f t="shared" si="181"/>
        <v>9636187.6235307474</v>
      </c>
      <c r="O94" s="28">
        <f t="shared" si="181"/>
        <v>9019559.9771875404</v>
      </c>
      <c r="P94" s="28">
        <f t="shared" si="181"/>
        <v>9414151.1569470745</v>
      </c>
      <c r="Q94" s="28">
        <f t="shared" si="181"/>
        <v>9892926.0268494263</v>
      </c>
      <c r="R94" s="28">
        <f t="shared" si="181"/>
        <v>9242532.2632591873</v>
      </c>
      <c r="S94" s="28">
        <f t="shared" si="181"/>
        <v>8684164.5016342122</v>
      </c>
      <c r="T94" s="28">
        <f t="shared" si="181"/>
        <v>8768712.3220194895</v>
      </c>
      <c r="U94" s="28">
        <f t="shared" si="181"/>
        <v>7623783.7071996257</v>
      </c>
      <c r="V94" s="28">
        <f t="shared" si="181"/>
        <v>6438496.5779806999</v>
      </c>
      <c r="W94" s="28">
        <f t="shared" ref="W94" si="182">IF(W4=0,0,W4/W26*1000000)</f>
        <v>6359147.3935801238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8881657.1779086646</v>
      </c>
      <c r="C95" s="108">
        <f t="shared" si="180"/>
        <v>8817448.0619503073</v>
      </c>
      <c r="D95" s="108">
        <f t="shared" si="180"/>
        <v>8752358.0953125432</v>
      </c>
      <c r="E95" s="108">
        <f t="shared" si="180"/>
        <v>8650865.7696128562</v>
      </c>
      <c r="F95" s="108">
        <f t="shared" si="180"/>
        <v>8671245.0978889819</v>
      </c>
      <c r="G95" s="108">
        <f t="shared" si="180"/>
        <v>8617790.9670642819</v>
      </c>
      <c r="H95" s="108">
        <f t="shared" si="180"/>
        <v>8670212.0220007263</v>
      </c>
      <c r="I95" s="108">
        <f t="shared" si="180"/>
        <v>8634373.3231515586</v>
      </c>
      <c r="J95" s="108">
        <f t="shared" si="180"/>
        <v>8630896.7930043675</v>
      </c>
      <c r="K95" s="108">
        <f t="shared" ref="K95:V95" si="183">IF(K5=0,0,K5/K27*1000000)</f>
        <v>8581710.3828272801</v>
      </c>
      <c r="L95" s="108">
        <f t="shared" si="183"/>
        <v>8578914.3482017256</v>
      </c>
      <c r="M95" s="108">
        <f t="shared" si="183"/>
        <v>8593381.6086604744</v>
      </c>
      <c r="N95" s="108">
        <f t="shared" si="183"/>
        <v>8581336.961644575</v>
      </c>
      <c r="O95" s="108">
        <f t="shared" si="183"/>
        <v>8601692.9313738011</v>
      </c>
      <c r="P95" s="108">
        <f t="shared" si="183"/>
        <v>8625040.7376864832</v>
      </c>
      <c r="Q95" s="108">
        <f t="shared" si="183"/>
        <v>8716580.7626485582</v>
      </c>
      <c r="R95" s="108">
        <f t="shared" si="183"/>
        <v>8658637.0261566807</v>
      </c>
      <c r="S95" s="108">
        <f t="shared" si="183"/>
        <v>8761402.4988160972</v>
      </c>
      <c r="T95" s="108">
        <f t="shared" si="183"/>
        <v>8874185.8494929224</v>
      </c>
      <c r="U95" s="108">
        <f t="shared" si="183"/>
        <v>6365632.578239508</v>
      </c>
      <c r="V95" s="108">
        <f t="shared" si="183"/>
        <v>7287317.0826283153</v>
      </c>
      <c r="W95" s="108">
        <f t="shared" ref="W95" si="184">IF(W5=0,0,W5/W27*1000000)</f>
        <v>6753671.6260917857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13938533.937652649</v>
      </c>
      <c r="C96" s="110">
        <f t="shared" si="180"/>
        <v>13863709.635337407</v>
      </c>
      <c r="D96" s="110">
        <f t="shared" si="180"/>
        <v>13022495.341788031</v>
      </c>
      <c r="E96" s="110">
        <f t="shared" si="180"/>
        <v>13170628.321075005</v>
      </c>
      <c r="F96" s="110">
        <f t="shared" si="180"/>
        <v>12653905.151003197</v>
      </c>
      <c r="G96" s="110">
        <f t="shared" si="180"/>
        <v>12824701.558376838</v>
      </c>
      <c r="H96" s="110">
        <f t="shared" si="180"/>
        <v>13208022.173012182</v>
      </c>
      <c r="I96" s="110">
        <f t="shared" si="180"/>
        <v>15424644.331775138</v>
      </c>
      <c r="J96" s="110">
        <f t="shared" si="180"/>
        <v>16026961.825380536</v>
      </c>
      <c r="K96" s="110">
        <f t="shared" ref="K96:V96" si="185">IF(K6=0,0,K6/K28*1000000)</f>
        <v>16509737.88225781</v>
      </c>
      <c r="L96" s="110">
        <f t="shared" si="185"/>
        <v>15970009.162827762</v>
      </c>
      <c r="M96" s="110">
        <f t="shared" si="185"/>
        <v>13486353.804671187</v>
      </c>
      <c r="N96" s="110">
        <f t="shared" si="185"/>
        <v>10245384.743510302</v>
      </c>
      <c r="O96" s="110">
        <f t="shared" si="185"/>
        <v>9276347.5628569536</v>
      </c>
      <c r="P96" s="110">
        <f t="shared" si="185"/>
        <v>9987834.9912504051</v>
      </c>
      <c r="Q96" s="110">
        <f t="shared" si="185"/>
        <v>10820907.257752689</v>
      </c>
      <c r="R96" s="110">
        <f t="shared" si="185"/>
        <v>9725476.9511488229</v>
      </c>
      <c r="S96" s="110">
        <f t="shared" si="185"/>
        <v>8621380.6703046151</v>
      </c>
      <c r="T96" s="110">
        <f t="shared" si="185"/>
        <v>8689057.1689013839</v>
      </c>
      <c r="U96" s="110">
        <f t="shared" si="185"/>
        <v>8498844.4154116828</v>
      </c>
      <c r="V96" s="110">
        <f t="shared" si="185"/>
        <v>5839836.8433012217</v>
      </c>
      <c r="W96" s="110">
        <f t="shared" ref="W96" si="186">IF(W6=0,0,W6/W28*1000000)</f>
        <v>6114035.9992621336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12838296.970703103</v>
      </c>
      <c r="C97" s="84">
        <f t="shared" si="180"/>
        <v>12451339.345121933</v>
      </c>
      <c r="D97" s="84">
        <f t="shared" si="180"/>
        <v>11683632.1170938</v>
      </c>
      <c r="E97" s="84">
        <f t="shared" si="180"/>
        <v>11907628.149426917</v>
      </c>
      <c r="F97" s="84">
        <f t="shared" si="180"/>
        <v>10864620.436258484</v>
      </c>
      <c r="G97" s="84">
        <f t="shared" si="180"/>
        <v>11938760.992023366</v>
      </c>
      <c r="H97" s="84">
        <f t="shared" si="180"/>
        <v>12109024.221201526</v>
      </c>
      <c r="I97" s="84">
        <f t="shared" si="180"/>
        <v>14142030.97267249</v>
      </c>
      <c r="J97" s="84">
        <f t="shared" si="180"/>
        <v>14852809.776536269</v>
      </c>
      <c r="K97" s="84">
        <f t="shared" ref="K97:V97" si="187">IF(K7=0,0,K7/K29*1000000)</f>
        <v>15950814.510726815</v>
      </c>
      <c r="L97" s="84">
        <f t="shared" si="187"/>
        <v>15346510.761293767</v>
      </c>
      <c r="M97" s="84">
        <f t="shared" si="187"/>
        <v>13382189.670040222</v>
      </c>
      <c r="N97" s="84">
        <f t="shared" si="187"/>
        <v>10252306.847039914</v>
      </c>
      <c r="O97" s="84">
        <f t="shared" si="187"/>
        <v>9182638.6915791128</v>
      </c>
      <c r="P97" s="84">
        <f t="shared" si="187"/>
        <v>9647651.7313219346</v>
      </c>
      <c r="Q97" s="84">
        <f t="shared" si="187"/>
        <v>10566764.878832581</v>
      </c>
      <c r="R97" s="84">
        <f t="shared" si="187"/>
        <v>9213941.1641688794</v>
      </c>
      <c r="S97" s="84">
        <f t="shared" si="187"/>
        <v>8111432.6345733348</v>
      </c>
      <c r="T97" s="84">
        <f t="shared" si="187"/>
        <v>8112856.0465232478</v>
      </c>
      <c r="U97" s="84">
        <f t="shared" si="187"/>
        <v>7351695.0867932281</v>
      </c>
      <c r="V97" s="84">
        <f t="shared" si="187"/>
        <v>6215944.4634989072</v>
      </c>
      <c r="W97" s="84">
        <f t="shared" ref="W97" si="188">IF(W7=0,0,W7/W29*1000000)</f>
        <v>6199526.7287163865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15061880.490720075</v>
      </c>
      <c r="C98" s="84">
        <f t="shared" si="180"/>
        <v>15283716.853769448</v>
      </c>
      <c r="D98" s="84">
        <f t="shared" si="180"/>
        <v>14357548.151891213</v>
      </c>
      <c r="E98" s="84">
        <f t="shared" si="180"/>
        <v>14431309.487902958</v>
      </c>
      <c r="F98" s="84">
        <f t="shared" si="180"/>
        <v>14694844.660383254</v>
      </c>
      <c r="G98" s="84">
        <f t="shared" si="180"/>
        <v>13778699.854175769</v>
      </c>
      <c r="H98" s="84">
        <f t="shared" si="180"/>
        <v>14402228.340102483</v>
      </c>
      <c r="I98" s="84">
        <f t="shared" si="180"/>
        <v>16797170.172921069</v>
      </c>
      <c r="J98" s="84">
        <f t="shared" si="180"/>
        <v>17286600.196761228</v>
      </c>
      <c r="K98" s="84">
        <f t="shared" ref="K98:V98" si="189">IF(K8=0,0,K8/K30*1000000)</f>
        <v>17034759.49859149</v>
      </c>
      <c r="L98" s="84">
        <f t="shared" si="189"/>
        <v>16551474.011646537</v>
      </c>
      <c r="M98" s="84">
        <f t="shared" si="189"/>
        <v>13579404.041691586</v>
      </c>
      <c r="N98" s="84">
        <f t="shared" si="189"/>
        <v>10239360.71214615</v>
      </c>
      <c r="O98" s="84">
        <f t="shared" si="189"/>
        <v>9364564.2132527698</v>
      </c>
      <c r="P98" s="84">
        <f t="shared" si="189"/>
        <v>10305544.811974209</v>
      </c>
      <c r="Q98" s="84">
        <f t="shared" si="189"/>
        <v>11035380.126135593</v>
      </c>
      <c r="R98" s="84">
        <f t="shared" si="189"/>
        <v>10163556.072448615</v>
      </c>
      <c r="S98" s="84">
        <f t="shared" si="189"/>
        <v>9055020.0074080173</v>
      </c>
      <c r="T98" s="84">
        <f t="shared" si="189"/>
        <v>9078936.1415948942</v>
      </c>
      <c r="U98" s="84">
        <f t="shared" si="189"/>
        <v>9157239.882445462</v>
      </c>
      <c r="V98" s="84">
        <f t="shared" si="189"/>
        <v>5635164.7727272594</v>
      </c>
      <c r="W98" s="84">
        <f t="shared" ref="W98" si="190">IF(W8=0,0,W8/W30*1000000)</f>
        <v>6070394.9465629971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92183622.764817834</v>
      </c>
      <c r="C100" s="28">
        <f t="shared" si="180"/>
        <v>96137288.126558214</v>
      </c>
      <c r="D100" s="28">
        <f t="shared" si="180"/>
        <v>93182457.164793238</v>
      </c>
      <c r="E100" s="28">
        <f t="shared" si="180"/>
        <v>94223186.655450821</v>
      </c>
      <c r="F100" s="28">
        <f t="shared" si="180"/>
        <v>91865533.621569276</v>
      </c>
      <c r="G100" s="28">
        <f t="shared" si="180"/>
        <v>92061619.131047428</v>
      </c>
      <c r="H100" s="28">
        <f t="shared" si="180"/>
        <v>100215738.25553417</v>
      </c>
      <c r="I100" s="28">
        <f t="shared" si="180"/>
        <v>105178177.09974444</v>
      </c>
      <c r="J100" s="28">
        <f t="shared" si="180"/>
        <v>102372403.16960044</v>
      </c>
      <c r="K100" s="28">
        <f t="shared" ref="K100:V100" si="193">IF(K10=0,0,K10/K32*1000000)</f>
        <v>86838256.562691912</v>
      </c>
      <c r="L100" s="28">
        <f t="shared" si="193"/>
        <v>88751809.869079217</v>
      </c>
      <c r="M100" s="28">
        <f t="shared" si="193"/>
        <v>86167019.534395546</v>
      </c>
      <c r="N100" s="28">
        <f t="shared" si="193"/>
        <v>88486569.27933003</v>
      </c>
      <c r="O100" s="28">
        <f t="shared" si="193"/>
        <v>77968078.61275427</v>
      </c>
      <c r="P100" s="28">
        <f t="shared" si="193"/>
        <v>82086148.773958728</v>
      </c>
      <c r="Q100" s="28">
        <f t="shared" si="193"/>
        <v>83914665.240424737</v>
      </c>
      <c r="R100" s="28">
        <f t="shared" si="193"/>
        <v>78192391.728244096</v>
      </c>
      <c r="S100" s="28">
        <f t="shared" si="193"/>
        <v>84604876.296050727</v>
      </c>
      <c r="T100" s="28">
        <f t="shared" si="193"/>
        <v>91153092.2664693</v>
      </c>
      <c r="U100" s="28">
        <f t="shared" si="193"/>
        <v>93853798.157783106</v>
      </c>
      <c r="V100" s="28">
        <f t="shared" si="193"/>
        <v>101208895.34518716</v>
      </c>
      <c r="W100" s="28">
        <f t="shared" ref="W100" si="194">IF(W10=0,0,W10/W32*1000000)</f>
        <v>100043713.93048793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130077874.37015617</v>
      </c>
      <c r="C101" s="84">
        <f t="shared" si="180"/>
        <v>114166771.58927907</v>
      </c>
      <c r="D101" s="84">
        <f t="shared" si="180"/>
        <v>116062593.76198915</v>
      </c>
      <c r="E101" s="84">
        <f t="shared" si="180"/>
        <v>112926291.07975277</v>
      </c>
      <c r="F101" s="84">
        <f t="shared" si="180"/>
        <v>103137155.80066098</v>
      </c>
      <c r="G101" s="84">
        <f t="shared" si="180"/>
        <v>104252728.88549569</v>
      </c>
      <c r="H101" s="84">
        <f t="shared" si="180"/>
        <v>116363224.97516327</v>
      </c>
      <c r="I101" s="84">
        <f t="shared" si="180"/>
        <v>113607353.63655083</v>
      </c>
      <c r="J101" s="84">
        <f t="shared" si="180"/>
        <v>113445254.44045109</v>
      </c>
      <c r="K101" s="84">
        <f t="shared" ref="K101:V101" si="195">IF(K11=0,0,K11/K33*1000000)</f>
        <v>98452262.383118033</v>
      </c>
      <c r="L101" s="84">
        <f t="shared" si="195"/>
        <v>101591840.59251976</v>
      </c>
      <c r="M101" s="84">
        <f t="shared" si="195"/>
        <v>94982156.111113176</v>
      </c>
      <c r="N101" s="84">
        <f t="shared" si="195"/>
        <v>96423993.83099547</v>
      </c>
      <c r="O101" s="84">
        <f t="shared" si="195"/>
        <v>90778313.16112633</v>
      </c>
      <c r="P101" s="84">
        <f t="shared" si="195"/>
        <v>102662147.69993772</v>
      </c>
      <c r="Q101" s="84">
        <f t="shared" si="195"/>
        <v>103777983.74904917</v>
      </c>
      <c r="R101" s="84">
        <f t="shared" si="195"/>
        <v>104153975.00566006</v>
      </c>
      <c r="S101" s="84">
        <f t="shared" si="195"/>
        <v>121208790.83243412</v>
      </c>
      <c r="T101" s="84">
        <f t="shared" si="195"/>
        <v>124190467.5511429</v>
      </c>
      <c r="U101" s="84">
        <f t="shared" si="195"/>
        <v>132244336.81043248</v>
      </c>
      <c r="V101" s="84">
        <f t="shared" si="195"/>
        <v>145211691.044182</v>
      </c>
      <c r="W101" s="84">
        <f t="shared" ref="W101" si="196">IF(W11=0,0,W11/W33*1000000)</f>
        <v>132324361.29388054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70064501.852986008</v>
      </c>
      <c r="C102" s="86">
        <f t="shared" si="180"/>
        <v>83240133.787428349</v>
      </c>
      <c r="D102" s="86">
        <f t="shared" si="180"/>
        <v>78481318.92345953</v>
      </c>
      <c r="E102" s="86">
        <f t="shared" si="180"/>
        <v>81709707.2099123</v>
      </c>
      <c r="F102" s="86">
        <f t="shared" si="180"/>
        <v>83933761.37128368</v>
      </c>
      <c r="G102" s="86">
        <f t="shared" si="180"/>
        <v>83373520.773484692</v>
      </c>
      <c r="H102" s="86">
        <f t="shared" si="180"/>
        <v>89061784.34355706</v>
      </c>
      <c r="I102" s="86">
        <f t="shared" si="180"/>
        <v>98648189.311343759</v>
      </c>
      <c r="J102" s="86">
        <f t="shared" si="180"/>
        <v>93798959.543625116</v>
      </c>
      <c r="K102" s="86">
        <f t="shared" ref="K102:V102" si="197">IF(K12=0,0,K12/K34*1000000)</f>
        <v>77686447.801543444</v>
      </c>
      <c r="L102" s="86">
        <f t="shared" si="197"/>
        <v>79059583.438067153</v>
      </c>
      <c r="M102" s="86">
        <f t="shared" si="197"/>
        <v>79699629.48841165</v>
      </c>
      <c r="N102" s="86">
        <f t="shared" si="197"/>
        <v>82566556.525730327</v>
      </c>
      <c r="O102" s="86">
        <f t="shared" si="197"/>
        <v>69635920.979223222</v>
      </c>
      <c r="P102" s="86">
        <f t="shared" si="197"/>
        <v>69386417.28537719</v>
      </c>
      <c r="Q102" s="86">
        <f t="shared" si="197"/>
        <v>73168463.807083562</v>
      </c>
      <c r="R102" s="86">
        <f t="shared" si="197"/>
        <v>65762301.225284219</v>
      </c>
      <c r="S102" s="86">
        <f t="shared" si="197"/>
        <v>69642740.707205355</v>
      </c>
      <c r="T102" s="86">
        <f t="shared" si="197"/>
        <v>78831469.369143769</v>
      </c>
      <c r="U102" s="86">
        <f t="shared" si="197"/>
        <v>80550585.389299124</v>
      </c>
      <c r="V102" s="86">
        <f t="shared" si="197"/>
        <v>86360545.467112571</v>
      </c>
      <c r="W102" s="86">
        <f t="shared" ref="W102" si="198">IF(W12=0,0,W12/W34*1000000)</f>
        <v>87823425.895729795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0.28708536924934991</v>
      </c>
      <c r="C106" s="123">
        <f t="shared" si="199"/>
        <v>0.29995532349848597</v>
      </c>
      <c r="D106" s="123">
        <f t="shared" si="199"/>
        <v>0.30914392815559349</v>
      </c>
      <c r="E106" s="123">
        <f t="shared" si="199"/>
        <v>0.32119618889306534</v>
      </c>
      <c r="F106" s="123">
        <f t="shared" si="199"/>
        <v>0.31157664260227558</v>
      </c>
      <c r="G106" s="123">
        <f t="shared" si="199"/>
        <v>0.30290665766751546</v>
      </c>
      <c r="H106" s="123">
        <f t="shared" si="199"/>
        <v>0.29747105522292006</v>
      </c>
      <c r="I106" s="123">
        <f t="shared" si="199"/>
        <v>0.2958692187863704</v>
      </c>
      <c r="J106" s="123">
        <f t="shared" si="199"/>
        <v>0.26063820005316385</v>
      </c>
      <c r="K106" s="123">
        <f t="shared" ref="K106:V106" si="202">IF(K5=0,0,K5/K$4)</f>
        <v>0.243117917356205</v>
      </c>
      <c r="L106" s="123">
        <f t="shared" si="202"/>
        <v>0.24303992687880718</v>
      </c>
      <c r="M106" s="123">
        <f t="shared" si="202"/>
        <v>0.26284991229583549</v>
      </c>
      <c r="N106" s="123">
        <f t="shared" si="202"/>
        <v>0.32601813385654294</v>
      </c>
      <c r="O106" s="123">
        <f t="shared" si="202"/>
        <v>0.3629870253742366</v>
      </c>
      <c r="P106" s="123">
        <f t="shared" si="202"/>
        <v>0.38567572655401594</v>
      </c>
      <c r="Q106" s="123">
        <f t="shared" si="202"/>
        <v>0.38855049429292138</v>
      </c>
      <c r="R106" s="123">
        <f t="shared" si="202"/>
        <v>0.42408869173424513</v>
      </c>
      <c r="S106" s="123">
        <f t="shared" si="202"/>
        <v>0.45237402556431144</v>
      </c>
      <c r="T106" s="123">
        <f t="shared" si="202"/>
        <v>0.43544455906859697</v>
      </c>
      <c r="U106" s="123">
        <f t="shared" si="202"/>
        <v>0.34251153329216466</v>
      </c>
      <c r="V106" s="123">
        <f t="shared" si="202"/>
        <v>0.4681128930384526</v>
      </c>
      <c r="W106" s="123">
        <f t="shared" ref="W106" si="203">IF(W5=0,0,W5/W$4)</f>
        <v>0.40697891027414546</v>
      </c>
      <c r="DA106" s="203"/>
    </row>
    <row r="107" spans="1:105" ht="11.45" customHeight="1" x14ac:dyDescent="0.25">
      <c r="A107" s="109" t="s">
        <v>24</v>
      </c>
      <c r="B107" s="124">
        <f t="shared" si="199"/>
        <v>0.71291463075065009</v>
      </c>
      <c r="C107" s="124">
        <f t="shared" si="199"/>
        <v>0.70004467650151403</v>
      </c>
      <c r="D107" s="124">
        <f t="shared" si="199"/>
        <v>0.69085607184440656</v>
      </c>
      <c r="E107" s="124">
        <f t="shared" si="199"/>
        <v>0.67880381110693466</v>
      </c>
      <c r="F107" s="124">
        <f t="shared" si="199"/>
        <v>0.68842335739772431</v>
      </c>
      <c r="G107" s="124">
        <f t="shared" si="199"/>
        <v>0.69709334233248443</v>
      </c>
      <c r="H107" s="124">
        <f t="shared" si="199"/>
        <v>0.70252894477707983</v>
      </c>
      <c r="I107" s="124">
        <f t="shared" si="199"/>
        <v>0.7041307812136296</v>
      </c>
      <c r="J107" s="124">
        <f t="shared" si="199"/>
        <v>0.73936179994683604</v>
      </c>
      <c r="K107" s="124">
        <f t="shared" ref="K107:V107" si="204">IF(K6=0,0,K6/K$4)</f>
        <v>0.75688208264379497</v>
      </c>
      <c r="L107" s="124">
        <f t="shared" si="204"/>
        <v>0.75696007312119284</v>
      </c>
      <c r="M107" s="124">
        <f t="shared" si="204"/>
        <v>0.73715008770416457</v>
      </c>
      <c r="N107" s="124">
        <f t="shared" si="204"/>
        <v>0.67398186614345712</v>
      </c>
      <c r="O107" s="124">
        <f t="shared" si="204"/>
        <v>0.63701297462576334</v>
      </c>
      <c r="P107" s="124">
        <f t="shared" si="204"/>
        <v>0.61432427344598406</v>
      </c>
      <c r="Q107" s="124">
        <f t="shared" si="204"/>
        <v>0.61144950570707868</v>
      </c>
      <c r="R107" s="124">
        <f t="shared" si="204"/>
        <v>0.57591130826575476</v>
      </c>
      <c r="S107" s="124">
        <f t="shared" si="204"/>
        <v>0.5476259744356885</v>
      </c>
      <c r="T107" s="124">
        <f t="shared" si="204"/>
        <v>0.56455544093140309</v>
      </c>
      <c r="U107" s="124">
        <f t="shared" si="204"/>
        <v>0.65748846670783545</v>
      </c>
      <c r="V107" s="124">
        <f t="shared" si="204"/>
        <v>0.5318871069615474</v>
      </c>
      <c r="W107" s="124">
        <f t="shared" ref="W107" si="205">IF(W6=0,0,W6/W$4)</f>
        <v>0.59302108972585443</v>
      </c>
      <c r="DA107" s="176"/>
    </row>
    <row r="108" spans="1:105" ht="11.45" customHeight="1" x14ac:dyDescent="0.25">
      <c r="A108" s="111" t="s">
        <v>92</v>
      </c>
      <c r="B108" s="125">
        <f t="shared" si="199"/>
        <v>0.33173260457357034</v>
      </c>
      <c r="C108" s="125">
        <f t="shared" si="199"/>
        <v>0.31521130712497719</v>
      </c>
      <c r="D108" s="125">
        <f t="shared" si="199"/>
        <v>0.30947239907846069</v>
      </c>
      <c r="E108" s="125">
        <f t="shared" si="199"/>
        <v>0.30657292023744831</v>
      </c>
      <c r="F108" s="125">
        <f t="shared" si="199"/>
        <v>0.31495718129698341</v>
      </c>
      <c r="G108" s="125">
        <f t="shared" si="199"/>
        <v>0.33647060718035532</v>
      </c>
      <c r="H108" s="125">
        <f t="shared" si="199"/>
        <v>0.33540704256633608</v>
      </c>
      <c r="I108" s="125">
        <f t="shared" si="199"/>
        <v>0.333720734367561</v>
      </c>
      <c r="J108" s="125">
        <f t="shared" si="199"/>
        <v>0.35463135330138568</v>
      </c>
      <c r="K108" s="125">
        <f t="shared" ref="K108:V108" si="206">IF(K7=0,0,K7/K$4)</f>
        <v>0.35419371789013504</v>
      </c>
      <c r="L108" s="125">
        <f t="shared" si="206"/>
        <v>0.35101616687627979</v>
      </c>
      <c r="M108" s="125">
        <f t="shared" si="206"/>
        <v>0.34511789364803064</v>
      </c>
      <c r="N108" s="125">
        <f t="shared" si="206"/>
        <v>0.3138257909938344</v>
      </c>
      <c r="O108" s="125">
        <f t="shared" si="206"/>
        <v>0.30577057991022399</v>
      </c>
      <c r="P108" s="125">
        <f t="shared" si="206"/>
        <v>0.28656507197037095</v>
      </c>
      <c r="Q108" s="125">
        <f t="shared" si="206"/>
        <v>0.27327185978568069</v>
      </c>
      <c r="R108" s="125">
        <f t="shared" si="206"/>
        <v>0.25170692448152393</v>
      </c>
      <c r="S108" s="125">
        <f t="shared" si="206"/>
        <v>0.2367834448411176</v>
      </c>
      <c r="T108" s="125">
        <f t="shared" si="206"/>
        <v>0.21272786999896431</v>
      </c>
      <c r="U108" s="125">
        <f t="shared" si="206"/>
        <v>0.20739310364605423</v>
      </c>
      <c r="V108" s="125">
        <f t="shared" si="206"/>
        <v>0.19951384434858288</v>
      </c>
      <c r="W108" s="125">
        <f t="shared" ref="W108" si="207">IF(W7=0,0,W7/W$4)</f>
        <v>0.2032182733270439</v>
      </c>
      <c r="DA108" s="171"/>
    </row>
    <row r="109" spans="1:105" ht="11.45" customHeight="1" x14ac:dyDescent="0.25">
      <c r="A109" s="111" t="s">
        <v>93</v>
      </c>
      <c r="B109" s="125">
        <f t="shared" si="199"/>
        <v>0.38118202617707975</v>
      </c>
      <c r="C109" s="125">
        <f t="shared" si="199"/>
        <v>0.38483336937653684</v>
      </c>
      <c r="D109" s="125">
        <f t="shared" si="199"/>
        <v>0.38138367276594587</v>
      </c>
      <c r="E109" s="125">
        <f t="shared" si="199"/>
        <v>0.37223089086948635</v>
      </c>
      <c r="F109" s="125">
        <f t="shared" si="199"/>
        <v>0.3734661761007409</v>
      </c>
      <c r="G109" s="125">
        <f t="shared" si="199"/>
        <v>0.36062273515212917</v>
      </c>
      <c r="H109" s="125">
        <f t="shared" si="199"/>
        <v>0.36712190221074381</v>
      </c>
      <c r="I109" s="125">
        <f t="shared" si="199"/>
        <v>0.3704100468460686</v>
      </c>
      <c r="J109" s="125">
        <f t="shared" si="199"/>
        <v>0.38473044664545042</v>
      </c>
      <c r="K109" s="125">
        <f t="shared" ref="K109:V109" si="208">IF(K8=0,0,K8/K$4)</f>
        <v>0.40268836475365993</v>
      </c>
      <c r="L109" s="125">
        <f t="shared" si="208"/>
        <v>0.40594390624491306</v>
      </c>
      <c r="M109" s="125">
        <f t="shared" si="208"/>
        <v>0.39203219405613393</v>
      </c>
      <c r="N109" s="125">
        <f t="shared" si="208"/>
        <v>0.36015607514962267</v>
      </c>
      <c r="O109" s="125">
        <f t="shared" si="208"/>
        <v>0.3312423947155394</v>
      </c>
      <c r="P109" s="125">
        <f t="shared" si="208"/>
        <v>0.3277592014756131</v>
      </c>
      <c r="Q109" s="125">
        <f t="shared" si="208"/>
        <v>0.33817764592139804</v>
      </c>
      <c r="R109" s="125">
        <f t="shared" si="208"/>
        <v>0.32420438378423089</v>
      </c>
      <c r="S109" s="125">
        <f t="shared" si="208"/>
        <v>0.31084252959457087</v>
      </c>
      <c r="T109" s="125">
        <f t="shared" si="208"/>
        <v>0.35182757093243883</v>
      </c>
      <c r="U109" s="125">
        <f t="shared" si="208"/>
        <v>0.45009536306178122</v>
      </c>
      <c r="V109" s="125">
        <f t="shared" si="208"/>
        <v>0.3323732626129644</v>
      </c>
      <c r="W109" s="125">
        <f t="shared" ref="W109" si="209">IF(W8=0,0,W8/W$4)</f>
        <v>0.38980281639881054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0.52007920516917949</v>
      </c>
      <c r="C112" s="125">
        <f t="shared" si="212"/>
        <v>0.4952323906040052</v>
      </c>
      <c r="D112" s="125">
        <f t="shared" si="212"/>
        <v>0.48723397795925805</v>
      </c>
      <c r="E112" s="125">
        <f t="shared" si="212"/>
        <v>0.48042985310066066</v>
      </c>
      <c r="F112" s="125">
        <f t="shared" si="212"/>
        <v>0.46371888400066841</v>
      </c>
      <c r="G112" s="125">
        <f t="shared" si="212"/>
        <v>0.47121545792741354</v>
      </c>
      <c r="H112" s="125">
        <f t="shared" si="212"/>
        <v>0.47437642769791633</v>
      </c>
      <c r="I112" s="125">
        <f t="shared" si="212"/>
        <v>0.47150449807882566</v>
      </c>
      <c r="J112" s="125">
        <f t="shared" si="212"/>
        <v>0.48359084778647993</v>
      </c>
      <c r="K112" s="125">
        <f t="shared" ref="K112:V112" si="215">IF(K11=0,0,K11/K$10)</f>
        <v>0.49965768258093363</v>
      </c>
      <c r="L112" s="125">
        <f t="shared" si="215"/>
        <v>0.49238006704414211</v>
      </c>
      <c r="M112" s="125">
        <f t="shared" si="215"/>
        <v>0.46648195182021085</v>
      </c>
      <c r="N112" s="125">
        <f t="shared" si="215"/>
        <v>0.46552979099511277</v>
      </c>
      <c r="O112" s="125">
        <f t="shared" si="215"/>
        <v>0.45884777448617214</v>
      </c>
      <c r="P112" s="125">
        <f t="shared" si="215"/>
        <v>0.47731755424063127</v>
      </c>
      <c r="Q112" s="125">
        <f t="shared" si="215"/>
        <v>0.43417600763176717</v>
      </c>
      <c r="R112" s="125">
        <f t="shared" si="215"/>
        <v>0.43126935169784625</v>
      </c>
      <c r="S112" s="125">
        <f t="shared" si="215"/>
        <v>0.41568891507068928</v>
      </c>
      <c r="T112" s="125">
        <f t="shared" si="215"/>
        <v>0.3701019003340304</v>
      </c>
      <c r="U112" s="125">
        <f t="shared" si="215"/>
        <v>0.3626132900965377</v>
      </c>
      <c r="V112" s="125">
        <f t="shared" si="215"/>
        <v>0.36199799874871214</v>
      </c>
      <c r="W112" s="125">
        <f t="shared" ref="W112" si="216">IF(W11=0,0,W11/W$10)</f>
        <v>0.36321376863196841</v>
      </c>
      <c r="DA112" s="171"/>
    </row>
    <row r="113" spans="1:105" ht="11.45" customHeight="1" x14ac:dyDescent="0.25">
      <c r="A113" s="85" t="s">
        <v>93</v>
      </c>
      <c r="B113" s="127">
        <f t="shared" si="212"/>
        <v>0.47992079483082045</v>
      </c>
      <c r="C113" s="127">
        <f t="shared" si="212"/>
        <v>0.50476760939599485</v>
      </c>
      <c r="D113" s="127">
        <f t="shared" si="212"/>
        <v>0.51276602204074195</v>
      </c>
      <c r="E113" s="127">
        <f t="shared" si="212"/>
        <v>0.51957014689933934</v>
      </c>
      <c r="F113" s="127">
        <f t="shared" si="212"/>
        <v>0.53628111599933159</v>
      </c>
      <c r="G113" s="127">
        <f t="shared" si="212"/>
        <v>0.52878454207258652</v>
      </c>
      <c r="H113" s="127">
        <f t="shared" si="212"/>
        <v>0.52562357230208367</v>
      </c>
      <c r="I113" s="127">
        <f t="shared" si="212"/>
        <v>0.52849550192117434</v>
      </c>
      <c r="J113" s="127">
        <f t="shared" si="212"/>
        <v>0.51640915221352002</v>
      </c>
      <c r="K113" s="127">
        <f t="shared" ref="K113:V113" si="217">IF(K12=0,0,K12/K$10)</f>
        <v>0.50034231741906632</v>
      </c>
      <c r="L113" s="127">
        <f t="shared" si="217"/>
        <v>0.50761993295585783</v>
      </c>
      <c r="M113" s="127">
        <f t="shared" si="217"/>
        <v>0.5335180481797891</v>
      </c>
      <c r="N113" s="127">
        <f t="shared" si="217"/>
        <v>0.53447020900488729</v>
      </c>
      <c r="O113" s="127">
        <f t="shared" si="217"/>
        <v>0.5411522255138278</v>
      </c>
      <c r="P113" s="127">
        <f t="shared" si="217"/>
        <v>0.52268244575936873</v>
      </c>
      <c r="Q113" s="127">
        <f t="shared" si="217"/>
        <v>0.56582399236823289</v>
      </c>
      <c r="R113" s="127">
        <f t="shared" si="217"/>
        <v>0.56873064830215381</v>
      </c>
      <c r="S113" s="127">
        <f t="shared" si="217"/>
        <v>0.58431108492931072</v>
      </c>
      <c r="T113" s="127">
        <f t="shared" si="217"/>
        <v>0.62989809966596966</v>
      </c>
      <c r="U113" s="127">
        <f t="shared" si="217"/>
        <v>0.63738670990346225</v>
      </c>
      <c r="V113" s="127">
        <f t="shared" si="217"/>
        <v>0.63800200125128792</v>
      </c>
      <c r="W113" s="127">
        <f t="shared" ref="W113" si="218">IF(W12=0,0,W12/W$10)</f>
        <v>0.63678623136803159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0.31668076985098437</v>
      </c>
      <c r="C117" s="123">
        <f t="shared" si="219"/>
        <v>0.33067727882595011</v>
      </c>
      <c r="D117" s="123">
        <f t="shared" si="219"/>
        <v>0.32807061779506469</v>
      </c>
      <c r="E117" s="123">
        <f t="shared" si="219"/>
        <v>0.34567500189691225</v>
      </c>
      <c r="F117" s="123">
        <f t="shared" si="219"/>
        <v>0.3263016755915234</v>
      </c>
      <c r="G117" s="123">
        <f t="shared" si="219"/>
        <v>0.32167054710881293</v>
      </c>
      <c r="H117" s="123">
        <f t="shared" si="219"/>
        <v>0.32112785832039131</v>
      </c>
      <c r="I117" s="123">
        <f t="shared" si="219"/>
        <v>0.35503352251908704</v>
      </c>
      <c r="J117" s="123">
        <f t="shared" si="219"/>
        <v>0.32434275557488274</v>
      </c>
      <c r="K117" s="123">
        <f t="shared" ref="K117:V117" si="222">IF(K16=0,0,K16/K$15)</f>
        <v>0.31184696672075973</v>
      </c>
      <c r="L117" s="123">
        <f t="shared" si="222"/>
        <v>0.30473838947722587</v>
      </c>
      <c r="M117" s="123">
        <f t="shared" si="222"/>
        <v>0.29097009183661859</v>
      </c>
      <c r="N117" s="123">
        <f t="shared" si="222"/>
        <v>0.29751330469230913</v>
      </c>
      <c r="O117" s="123">
        <f t="shared" si="222"/>
        <v>0.31998997839346471</v>
      </c>
      <c r="P117" s="123">
        <f t="shared" si="222"/>
        <v>0.35819357977893529</v>
      </c>
      <c r="Q117" s="123">
        <f t="shared" si="222"/>
        <v>0.36832211659417463</v>
      </c>
      <c r="R117" s="123">
        <f t="shared" si="222"/>
        <v>0.37754669084369791</v>
      </c>
      <c r="S117" s="123">
        <f t="shared" si="222"/>
        <v>0.37347236205563633</v>
      </c>
      <c r="T117" s="123">
        <f t="shared" si="222"/>
        <v>0.35854232861567209</v>
      </c>
      <c r="U117" s="123">
        <f t="shared" si="222"/>
        <v>0.29476782822421049</v>
      </c>
      <c r="V117" s="123">
        <f t="shared" si="222"/>
        <v>0.35878408154257263</v>
      </c>
      <c r="W117" s="123">
        <f t="shared" ref="W117" si="223">IF(W16=0,0,W16/W$15)</f>
        <v>0.31300180350528206</v>
      </c>
      <c r="DA117" s="203"/>
    </row>
    <row r="118" spans="1:105" ht="11.45" customHeight="1" x14ac:dyDescent="0.25">
      <c r="A118" s="109" t="s">
        <v>24</v>
      </c>
      <c r="B118" s="124">
        <f t="shared" si="219"/>
        <v>0.68331923014901563</v>
      </c>
      <c r="C118" s="124">
        <f t="shared" si="219"/>
        <v>0.66932272117404989</v>
      </c>
      <c r="D118" s="124">
        <f t="shared" si="219"/>
        <v>0.67192938220493537</v>
      </c>
      <c r="E118" s="124">
        <f t="shared" si="219"/>
        <v>0.65432499810308775</v>
      </c>
      <c r="F118" s="124">
        <f t="shared" si="219"/>
        <v>0.67369832440847666</v>
      </c>
      <c r="G118" s="124">
        <f t="shared" si="219"/>
        <v>0.67832945289118707</v>
      </c>
      <c r="H118" s="124">
        <f t="shared" si="219"/>
        <v>0.67887214167960874</v>
      </c>
      <c r="I118" s="124">
        <f t="shared" si="219"/>
        <v>0.64496647748091296</v>
      </c>
      <c r="J118" s="124">
        <f t="shared" si="219"/>
        <v>0.67565724442511721</v>
      </c>
      <c r="K118" s="124">
        <f t="shared" ref="K118:V118" si="224">IF(K17=0,0,K17/K$15)</f>
        <v>0.68815303327924027</v>
      </c>
      <c r="L118" s="124">
        <f t="shared" si="224"/>
        <v>0.69526161052277413</v>
      </c>
      <c r="M118" s="124">
        <f t="shared" si="224"/>
        <v>0.70902990816338141</v>
      </c>
      <c r="N118" s="124">
        <f t="shared" si="224"/>
        <v>0.70248669530769081</v>
      </c>
      <c r="O118" s="124">
        <f t="shared" si="224"/>
        <v>0.68001002160653534</v>
      </c>
      <c r="P118" s="124">
        <f t="shared" si="224"/>
        <v>0.64180642022106471</v>
      </c>
      <c r="Q118" s="124">
        <f t="shared" si="224"/>
        <v>0.63167788340582542</v>
      </c>
      <c r="R118" s="124">
        <f t="shared" si="224"/>
        <v>0.62245330915630204</v>
      </c>
      <c r="S118" s="124">
        <f t="shared" si="224"/>
        <v>0.62652763794436361</v>
      </c>
      <c r="T118" s="124">
        <f t="shared" si="224"/>
        <v>0.64145767138432785</v>
      </c>
      <c r="U118" s="124">
        <f t="shared" si="224"/>
        <v>0.70523217177578956</v>
      </c>
      <c r="V118" s="124">
        <f t="shared" si="224"/>
        <v>0.64121591845742743</v>
      </c>
      <c r="W118" s="124">
        <f t="shared" ref="W118" si="225">IF(W17=0,0,W17/W$15)</f>
        <v>0.68699819649471805</v>
      </c>
      <c r="DA118" s="176"/>
    </row>
    <row r="119" spans="1:105" ht="11.45" customHeight="1" x14ac:dyDescent="0.25">
      <c r="A119" s="111" t="s">
        <v>92</v>
      </c>
      <c r="B119" s="125">
        <f t="shared" si="219"/>
        <v>0.34521046513828729</v>
      </c>
      <c r="C119" s="125">
        <f t="shared" si="219"/>
        <v>0.33556370486212012</v>
      </c>
      <c r="D119" s="125">
        <f t="shared" si="219"/>
        <v>0.3354859284080115</v>
      </c>
      <c r="E119" s="125">
        <f t="shared" si="219"/>
        <v>0.32686186866611711</v>
      </c>
      <c r="F119" s="125">
        <f t="shared" si="219"/>
        <v>0.35898094929849289</v>
      </c>
      <c r="G119" s="125">
        <f t="shared" si="219"/>
        <v>0.35171013321519279</v>
      </c>
      <c r="H119" s="125">
        <f t="shared" si="219"/>
        <v>0.35352862432916593</v>
      </c>
      <c r="I119" s="125">
        <f t="shared" si="219"/>
        <v>0.3334036704935725</v>
      </c>
      <c r="J119" s="125">
        <f t="shared" si="219"/>
        <v>0.3496947760907807</v>
      </c>
      <c r="K119" s="125">
        <f t="shared" ref="K119:V119" si="226">IF(K18=0,0,K18/K$15)</f>
        <v>0.33331508645340474</v>
      </c>
      <c r="L119" s="125">
        <f t="shared" si="226"/>
        <v>0.33550416286329499</v>
      </c>
      <c r="M119" s="125">
        <f t="shared" si="226"/>
        <v>0.33453647774064887</v>
      </c>
      <c r="N119" s="125">
        <f t="shared" si="226"/>
        <v>0.32687763071240922</v>
      </c>
      <c r="O119" s="125">
        <f t="shared" si="226"/>
        <v>0.34431503302765382</v>
      </c>
      <c r="P119" s="125">
        <f t="shared" si="226"/>
        <v>0.31626159045545887</v>
      </c>
      <c r="Q119" s="125">
        <f t="shared" si="226"/>
        <v>0.28638894910103152</v>
      </c>
      <c r="R119" s="125">
        <f t="shared" si="226"/>
        <v>0.28715197690215311</v>
      </c>
      <c r="S119" s="125">
        <f t="shared" si="226"/>
        <v>0.28792991420982617</v>
      </c>
      <c r="T119" s="125">
        <f t="shared" si="226"/>
        <v>0.25533120552564509</v>
      </c>
      <c r="U119" s="125">
        <f t="shared" si="226"/>
        <v>0.25716429764799564</v>
      </c>
      <c r="V119" s="125">
        <f t="shared" si="226"/>
        <v>0.24446388787790463</v>
      </c>
      <c r="W119" s="125">
        <f t="shared" ref="W119" si="227">IF(W18=0,0,W18/W$15)</f>
        <v>0.23217618108927654</v>
      </c>
      <c r="DA119" s="171"/>
    </row>
    <row r="120" spans="1:105" ht="11.45" customHeight="1" x14ac:dyDescent="0.25">
      <c r="A120" s="111" t="s">
        <v>93</v>
      </c>
      <c r="B120" s="125">
        <f t="shared" si="219"/>
        <v>0.33810876501072828</v>
      </c>
      <c r="C120" s="125">
        <f t="shared" si="219"/>
        <v>0.33375901631192978</v>
      </c>
      <c r="D120" s="125">
        <f t="shared" si="219"/>
        <v>0.33644345379692392</v>
      </c>
      <c r="E120" s="125">
        <f t="shared" si="219"/>
        <v>0.32746312943697065</v>
      </c>
      <c r="F120" s="125">
        <f t="shared" si="219"/>
        <v>0.31471737510998377</v>
      </c>
      <c r="G120" s="125">
        <f t="shared" si="219"/>
        <v>0.32661931967599428</v>
      </c>
      <c r="H120" s="125">
        <f t="shared" si="219"/>
        <v>0.32534351735044281</v>
      </c>
      <c r="I120" s="125">
        <f t="shared" si="219"/>
        <v>0.31156280698734046</v>
      </c>
      <c r="J120" s="125">
        <f t="shared" si="219"/>
        <v>0.32596246833433651</v>
      </c>
      <c r="K120" s="125">
        <f t="shared" ref="K120:V120" si="228">IF(K19=0,0,K19/K$15)</f>
        <v>0.35483794682583553</v>
      </c>
      <c r="L120" s="125">
        <f t="shared" si="228"/>
        <v>0.35975744765947909</v>
      </c>
      <c r="M120" s="125">
        <f t="shared" si="228"/>
        <v>0.37449343042273253</v>
      </c>
      <c r="N120" s="125">
        <f t="shared" si="228"/>
        <v>0.37560906459528159</v>
      </c>
      <c r="O120" s="125">
        <f t="shared" si="228"/>
        <v>0.33569498857888153</v>
      </c>
      <c r="P120" s="125">
        <f t="shared" si="228"/>
        <v>0.32554482976560589</v>
      </c>
      <c r="Q120" s="125">
        <f t="shared" si="228"/>
        <v>0.34528893430479385</v>
      </c>
      <c r="R120" s="125">
        <f t="shared" si="228"/>
        <v>0.33530133225414893</v>
      </c>
      <c r="S120" s="125">
        <f t="shared" si="228"/>
        <v>0.3385977237345375</v>
      </c>
      <c r="T120" s="125">
        <f t="shared" si="228"/>
        <v>0.38612646585868277</v>
      </c>
      <c r="U120" s="125">
        <f t="shared" si="228"/>
        <v>0.44806787412779397</v>
      </c>
      <c r="V120" s="125">
        <f t="shared" si="228"/>
        <v>0.3967520305795228</v>
      </c>
      <c r="W120" s="125">
        <f t="shared" ref="W120" si="229">IF(W19=0,0,W19/W$15)</f>
        <v>0.45482201540544148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0.36856987936813618</v>
      </c>
      <c r="C123" s="125">
        <f t="shared" si="232"/>
        <v>0.41702414124682269</v>
      </c>
      <c r="D123" s="125">
        <f t="shared" si="232"/>
        <v>0.39118254536554226</v>
      </c>
      <c r="E123" s="125">
        <f t="shared" si="232"/>
        <v>0.40085997398363987</v>
      </c>
      <c r="F123" s="125">
        <f t="shared" si="232"/>
        <v>0.41304011524133477</v>
      </c>
      <c r="G123" s="125">
        <f t="shared" si="232"/>
        <v>0.41611244823272953</v>
      </c>
      <c r="H123" s="125">
        <f t="shared" si="232"/>
        <v>0.40854816665545268</v>
      </c>
      <c r="I123" s="125">
        <f t="shared" si="232"/>
        <v>0.43652088626392721</v>
      </c>
      <c r="J123" s="125">
        <f t="shared" si="232"/>
        <v>0.42958499390280275</v>
      </c>
      <c r="K123" s="125">
        <f t="shared" ref="K123:V123" si="235">IF(K22=0,0,K22/K$21)</f>
        <v>0.43469659647828118</v>
      </c>
      <c r="L123" s="125">
        <f t="shared" si="235"/>
        <v>0.4218643632085099</v>
      </c>
      <c r="M123" s="125">
        <f t="shared" si="235"/>
        <v>0.40473652120195475</v>
      </c>
      <c r="N123" s="125">
        <f t="shared" si="235"/>
        <v>0.41453266579627285</v>
      </c>
      <c r="O123" s="125">
        <f t="shared" si="235"/>
        <v>0.39321346442209576</v>
      </c>
      <c r="P123" s="125">
        <f t="shared" si="235"/>
        <v>0.38165147303386693</v>
      </c>
      <c r="Q123" s="125">
        <f t="shared" si="235"/>
        <v>0.33321863818262215</v>
      </c>
      <c r="R123" s="125">
        <f t="shared" si="235"/>
        <v>0.32377047608999199</v>
      </c>
      <c r="S123" s="125">
        <f t="shared" si="235"/>
        <v>0.29015476330388201</v>
      </c>
      <c r="T123" s="125">
        <f t="shared" si="235"/>
        <v>0.25108521552350704</v>
      </c>
      <c r="U123" s="125">
        <f t="shared" si="235"/>
        <v>0.25734661949532139</v>
      </c>
      <c r="V123" s="125">
        <f t="shared" si="235"/>
        <v>0.25230348241286482</v>
      </c>
      <c r="W123" s="125">
        <f t="shared" ref="W123" si="236">IF(W22=0,0,W22/W$21)</f>
        <v>0.30224947795579071</v>
      </c>
      <c r="DA123" s="171"/>
    </row>
    <row r="124" spans="1:105" ht="11.45" customHeight="1" x14ac:dyDescent="0.25">
      <c r="A124" s="85" t="s">
        <v>93</v>
      </c>
      <c r="B124" s="127">
        <f t="shared" si="232"/>
        <v>0.63143012063186388</v>
      </c>
      <c r="C124" s="127">
        <f t="shared" si="232"/>
        <v>0.58297585875317737</v>
      </c>
      <c r="D124" s="127">
        <f t="shared" si="232"/>
        <v>0.6088174546344578</v>
      </c>
      <c r="E124" s="127">
        <f t="shared" si="232"/>
        <v>0.59914002601636018</v>
      </c>
      <c r="F124" s="127">
        <f t="shared" si="232"/>
        <v>0.58695988475866523</v>
      </c>
      <c r="G124" s="127">
        <f t="shared" si="232"/>
        <v>0.58388755176727047</v>
      </c>
      <c r="H124" s="127">
        <f t="shared" si="232"/>
        <v>0.59145183334454732</v>
      </c>
      <c r="I124" s="127">
        <f t="shared" si="232"/>
        <v>0.56347911373607285</v>
      </c>
      <c r="J124" s="127">
        <f t="shared" si="232"/>
        <v>0.57041500609719731</v>
      </c>
      <c r="K124" s="127">
        <f t="shared" ref="K124:V124" si="237">IF(K23=0,0,K23/K$21)</f>
        <v>0.56530340352171882</v>
      </c>
      <c r="L124" s="127">
        <f t="shared" si="237"/>
        <v>0.57813563679149005</v>
      </c>
      <c r="M124" s="127">
        <f t="shared" si="237"/>
        <v>0.5952634787980452</v>
      </c>
      <c r="N124" s="127">
        <f t="shared" si="237"/>
        <v>0.5854673342037271</v>
      </c>
      <c r="O124" s="127">
        <f t="shared" si="237"/>
        <v>0.6067865355779043</v>
      </c>
      <c r="P124" s="127">
        <f t="shared" si="237"/>
        <v>0.61834852696613307</v>
      </c>
      <c r="Q124" s="127">
        <f t="shared" si="237"/>
        <v>0.66678136181737779</v>
      </c>
      <c r="R124" s="127">
        <f t="shared" si="237"/>
        <v>0.67622952391000801</v>
      </c>
      <c r="S124" s="127">
        <f t="shared" si="237"/>
        <v>0.70984523669611799</v>
      </c>
      <c r="T124" s="127">
        <f t="shared" si="237"/>
        <v>0.74891478447649296</v>
      </c>
      <c r="U124" s="127">
        <f t="shared" si="237"/>
        <v>0.74265338050467866</v>
      </c>
      <c r="V124" s="127">
        <f t="shared" si="237"/>
        <v>0.74769651758713518</v>
      </c>
      <c r="W124" s="127">
        <f t="shared" ref="W124" si="238">IF(W23=0,0,W23/W$21)</f>
        <v>0.69775052204420929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45.857695614789336</v>
      </c>
      <c r="C4" s="146">
        <f t="shared" ref="C4:V4" si="0">SUM(C5,C8)</f>
        <v>46.963800515907138</v>
      </c>
      <c r="D4" s="146">
        <f t="shared" si="0"/>
        <v>47.823645743766122</v>
      </c>
      <c r="E4" s="146">
        <f t="shared" si="0"/>
        <v>47.995614789337921</v>
      </c>
      <c r="F4" s="146">
        <f t="shared" si="0"/>
        <v>49.433963886500422</v>
      </c>
      <c r="G4" s="146">
        <f t="shared" si="0"/>
        <v>51.571883061049007</v>
      </c>
      <c r="H4" s="146">
        <f t="shared" si="0"/>
        <v>53.537747205502995</v>
      </c>
      <c r="I4" s="146">
        <f t="shared" si="0"/>
        <v>55.15975924333619</v>
      </c>
      <c r="J4" s="146">
        <f t="shared" si="0"/>
        <v>54.617712811693892</v>
      </c>
      <c r="K4" s="146">
        <f t="shared" si="0"/>
        <v>49.285382631126396</v>
      </c>
      <c r="L4" s="146">
        <f t="shared" si="0"/>
        <v>49.543336199484088</v>
      </c>
      <c r="M4" s="146">
        <f t="shared" si="0"/>
        <v>47.56723989681857</v>
      </c>
      <c r="N4" s="146">
        <f t="shared" si="0"/>
        <v>45.075150472914871</v>
      </c>
      <c r="O4" s="146">
        <f t="shared" si="0"/>
        <v>42.797334479793641</v>
      </c>
      <c r="P4" s="146">
        <f t="shared" si="0"/>
        <v>39.135167669819431</v>
      </c>
      <c r="Q4" s="146">
        <f t="shared" si="0"/>
        <v>36.76268271711092</v>
      </c>
      <c r="R4" s="146">
        <f t="shared" si="0"/>
        <v>37.020636285468612</v>
      </c>
      <c r="S4" s="146">
        <f t="shared" si="0"/>
        <v>37.609974204643166</v>
      </c>
      <c r="T4" s="146">
        <f t="shared" si="0"/>
        <v>35.434135855545996</v>
      </c>
      <c r="U4" s="146">
        <f t="shared" si="0"/>
        <v>35.206706792777297</v>
      </c>
      <c r="V4" s="146">
        <f t="shared" si="0"/>
        <v>32.802235597592428</v>
      </c>
      <c r="W4" s="146">
        <f t="shared" ref="W4" si="1">SUM(W5,W8)</f>
        <v>35.146517626827169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27.54299226139295</v>
      </c>
      <c r="C5" s="101">
        <f t="shared" ref="C5:V5" si="2">SUM(C6:C7)</f>
        <v>28.563112639724849</v>
      </c>
      <c r="D5" s="101">
        <f t="shared" si="2"/>
        <v>28.563112639724849</v>
      </c>
      <c r="E5" s="101">
        <f t="shared" si="2"/>
        <v>28.563112639724849</v>
      </c>
      <c r="F5" s="101">
        <f t="shared" si="2"/>
        <v>30.603353396388641</v>
      </c>
      <c r="G5" s="101">
        <f t="shared" si="2"/>
        <v>31.623473774720551</v>
      </c>
      <c r="H5" s="101">
        <f t="shared" si="2"/>
        <v>32.643508168529657</v>
      </c>
      <c r="I5" s="101">
        <f t="shared" si="2"/>
        <v>33.66362854686156</v>
      </c>
      <c r="J5" s="101">
        <f t="shared" si="2"/>
        <v>32.949613069647462</v>
      </c>
      <c r="K5" s="101">
        <f t="shared" si="2"/>
        <v>28.563112639724849</v>
      </c>
      <c r="L5" s="101">
        <f t="shared" si="2"/>
        <v>28.563112639724849</v>
      </c>
      <c r="M5" s="101">
        <f t="shared" si="2"/>
        <v>26.93095442820292</v>
      </c>
      <c r="N5" s="101">
        <f t="shared" si="2"/>
        <v>25.298710232158211</v>
      </c>
      <c r="O5" s="101">
        <f t="shared" si="2"/>
        <v>24.482631126397251</v>
      </c>
      <c r="P5" s="101">
        <f t="shared" si="2"/>
        <v>21.422355975924329</v>
      </c>
      <c r="Q5" s="101">
        <f t="shared" si="2"/>
        <v>18.361994840928631</v>
      </c>
      <c r="R5" s="101">
        <f t="shared" si="2"/>
        <v>18.361994840928631</v>
      </c>
      <c r="S5" s="101">
        <f t="shared" si="2"/>
        <v>17.953912295786761</v>
      </c>
      <c r="T5" s="101">
        <f t="shared" si="2"/>
        <v>14.995614789337919</v>
      </c>
      <c r="U5" s="101">
        <f t="shared" si="2"/>
        <v>14.58761822871883</v>
      </c>
      <c r="V5" s="101">
        <f t="shared" si="2"/>
        <v>13.56749785038693</v>
      </c>
      <c r="W5" s="101">
        <f t="shared" ref="W5" si="3">SUM(W6:W7)</f>
        <v>14.58761822871883</v>
      </c>
      <c r="DA5" s="175"/>
    </row>
    <row r="6" spans="1:105" ht="11.45" customHeight="1" x14ac:dyDescent="0.25">
      <c r="A6" s="164" t="s">
        <v>182</v>
      </c>
      <c r="B6" s="165">
        <v>27.54299226139295</v>
      </c>
      <c r="C6" s="165">
        <v>28.563112639724849</v>
      </c>
      <c r="D6" s="165">
        <v>28.563112639724849</v>
      </c>
      <c r="E6" s="165">
        <v>28.563112639724849</v>
      </c>
      <c r="F6" s="165">
        <v>30.603353396388641</v>
      </c>
      <c r="G6" s="165">
        <v>31.623473774720551</v>
      </c>
      <c r="H6" s="165">
        <v>32.643508168529657</v>
      </c>
      <c r="I6" s="165">
        <v>33.66362854686156</v>
      </c>
      <c r="J6" s="165">
        <v>32.949613069647462</v>
      </c>
      <c r="K6" s="165">
        <v>28.563112639724849</v>
      </c>
      <c r="L6" s="165">
        <v>28.563112639724849</v>
      </c>
      <c r="M6" s="165">
        <v>26.93095442820292</v>
      </c>
      <c r="N6" s="165">
        <v>25.298710232158211</v>
      </c>
      <c r="O6" s="165">
        <v>24.482631126397251</v>
      </c>
      <c r="P6" s="165">
        <v>21.422355975924329</v>
      </c>
      <c r="Q6" s="165">
        <v>18.361994840928631</v>
      </c>
      <c r="R6" s="165">
        <v>18.361994840928631</v>
      </c>
      <c r="S6" s="165">
        <v>17.953912295786761</v>
      </c>
      <c r="T6" s="165">
        <v>14.995614789337919</v>
      </c>
      <c r="U6" s="165">
        <v>14.58761822871883</v>
      </c>
      <c r="V6" s="165">
        <v>13.56749785038693</v>
      </c>
      <c r="W6" s="165">
        <v>14.58761822871883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18.314703353396389</v>
      </c>
      <c r="C8" s="88">
        <v>18.400687876182289</v>
      </c>
      <c r="D8" s="88">
        <v>19.260533104041269</v>
      </c>
      <c r="E8" s="88">
        <v>19.432502149613072</v>
      </c>
      <c r="F8" s="88">
        <v>18.830610490111781</v>
      </c>
      <c r="G8" s="88">
        <v>19.948409286328459</v>
      </c>
      <c r="H8" s="88">
        <v>20.894239036973339</v>
      </c>
      <c r="I8" s="88">
        <v>21.49613069647463</v>
      </c>
      <c r="J8" s="88">
        <v>21.668099742046429</v>
      </c>
      <c r="K8" s="88">
        <v>20.72226999140155</v>
      </c>
      <c r="L8" s="88">
        <v>20.980223559759239</v>
      </c>
      <c r="M8" s="88">
        <v>20.63628546861565</v>
      </c>
      <c r="N8" s="88">
        <v>19.77644024075666</v>
      </c>
      <c r="O8" s="88">
        <v>18.314703353396389</v>
      </c>
      <c r="P8" s="88">
        <v>17.712811693895102</v>
      </c>
      <c r="Q8" s="88">
        <v>18.400687876182289</v>
      </c>
      <c r="R8" s="88">
        <v>18.658641444539981</v>
      </c>
      <c r="S8" s="88">
        <v>19.656061908856401</v>
      </c>
      <c r="T8" s="88">
        <v>20.438521066208079</v>
      </c>
      <c r="U8" s="88">
        <v>20.619088564058469</v>
      </c>
      <c r="V8" s="88">
        <v>19.2347377472055</v>
      </c>
      <c r="W8" s="88">
        <v>20.558899398108341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45.857695614789336</v>
      </c>
      <c r="C10" s="62">
        <f t="shared" ref="C10:V10" si="5">SUM(C11,C17)</f>
        <v>46.963800515907138</v>
      </c>
      <c r="D10" s="62">
        <f t="shared" si="5"/>
        <v>47.823645743766122</v>
      </c>
      <c r="E10" s="62">
        <f t="shared" si="5"/>
        <v>47.995614789337921</v>
      </c>
      <c r="F10" s="62">
        <f t="shared" si="5"/>
        <v>49.433963886500422</v>
      </c>
      <c r="G10" s="62">
        <f t="shared" si="5"/>
        <v>51.571883061049007</v>
      </c>
      <c r="H10" s="62">
        <f t="shared" si="5"/>
        <v>53.537747205503003</v>
      </c>
      <c r="I10" s="62">
        <f t="shared" si="5"/>
        <v>55.159759243336197</v>
      </c>
      <c r="J10" s="62">
        <f t="shared" si="5"/>
        <v>54.617712811693892</v>
      </c>
      <c r="K10" s="62">
        <f t="shared" si="5"/>
        <v>49.285382631126396</v>
      </c>
      <c r="L10" s="62">
        <f t="shared" si="5"/>
        <v>49.543336199484088</v>
      </c>
      <c r="M10" s="62">
        <f t="shared" si="5"/>
        <v>47.56723989681857</v>
      </c>
      <c r="N10" s="62">
        <f t="shared" si="5"/>
        <v>45.075150472914871</v>
      </c>
      <c r="O10" s="62">
        <f t="shared" si="5"/>
        <v>42.797334479793648</v>
      </c>
      <c r="P10" s="62">
        <f t="shared" si="5"/>
        <v>39.135167669819431</v>
      </c>
      <c r="Q10" s="62">
        <f t="shared" si="5"/>
        <v>36.76268271711092</v>
      </c>
      <c r="R10" s="62">
        <f t="shared" si="5"/>
        <v>37.020636285468612</v>
      </c>
      <c r="S10" s="62">
        <f t="shared" si="5"/>
        <v>37.609974204643166</v>
      </c>
      <c r="T10" s="62">
        <f t="shared" si="5"/>
        <v>35.434135855545996</v>
      </c>
      <c r="U10" s="62">
        <f t="shared" si="5"/>
        <v>35.206706792777297</v>
      </c>
      <c r="V10" s="62">
        <f t="shared" si="5"/>
        <v>32.802235597592436</v>
      </c>
      <c r="W10" s="62">
        <f t="shared" ref="W10" si="6">SUM(W11,W17)</f>
        <v>35.146517626827169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32.772978526326135</v>
      </c>
      <c r="C11" s="29">
        <f t="shared" ref="C11:V11" si="8">SUM(C12,C13,C16)</f>
        <v>31.884599809497391</v>
      </c>
      <c r="D11" s="29">
        <f t="shared" si="8"/>
        <v>31.852380392865527</v>
      </c>
      <c r="E11" s="29">
        <f t="shared" si="8"/>
        <v>30.180809349597521</v>
      </c>
      <c r="F11" s="29">
        <f t="shared" si="8"/>
        <v>31.07539953498345</v>
      </c>
      <c r="G11" s="29">
        <f t="shared" si="8"/>
        <v>31.130636572224525</v>
      </c>
      <c r="H11" s="29">
        <f t="shared" si="8"/>
        <v>31.973069822241676</v>
      </c>
      <c r="I11" s="29">
        <f t="shared" si="8"/>
        <v>32.443592922852758</v>
      </c>
      <c r="J11" s="29">
        <f t="shared" si="8"/>
        <v>33.939096873333057</v>
      </c>
      <c r="K11" s="29">
        <f t="shared" si="8"/>
        <v>32.312929699077948</v>
      </c>
      <c r="L11" s="29">
        <f t="shared" si="8"/>
        <v>31.330714874506711</v>
      </c>
      <c r="M11" s="29">
        <f t="shared" si="8"/>
        <v>30.850311970352966</v>
      </c>
      <c r="N11" s="29">
        <f t="shared" si="8"/>
        <v>29.72585854454211</v>
      </c>
      <c r="O11" s="29">
        <f t="shared" si="8"/>
        <v>27.147132114729438</v>
      </c>
      <c r="P11" s="29">
        <f t="shared" si="8"/>
        <v>24.234925527389102</v>
      </c>
      <c r="Q11" s="29">
        <f t="shared" si="8"/>
        <v>23.259520047918439</v>
      </c>
      <c r="R11" s="29">
        <f t="shared" si="8"/>
        <v>22.686361293903641</v>
      </c>
      <c r="S11" s="29">
        <f t="shared" si="8"/>
        <v>22.42928642597591</v>
      </c>
      <c r="T11" s="29">
        <f t="shared" si="8"/>
        <v>21.632593412225255</v>
      </c>
      <c r="U11" s="29">
        <f t="shared" si="8"/>
        <v>20.611122744379138</v>
      </c>
      <c r="V11" s="29">
        <f t="shared" si="8"/>
        <v>17.727759957037296</v>
      </c>
      <c r="W11" s="29">
        <f t="shared" ref="W11" si="9">SUM(W12,W13,W16)</f>
        <v>21.153081390801052</v>
      </c>
      <c r="DA11" s="173" t="s">
        <v>394</v>
      </c>
    </row>
    <row r="12" spans="1:105" ht="11.45" customHeight="1" x14ac:dyDescent="0.25">
      <c r="A12" s="107" t="s">
        <v>23</v>
      </c>
      <c r="B12" s="115">
        <v>2.7914066565586153</v>
      </c>
      <c r="C12" s="115">
        <v>2.9368329839214646</v>
      </c>
      <c r="D12" s="115">
        <v>2.9555114304388828</v>
      </c>
      <c r="E12" s="115">
        <v>3.0558049791952073</v>
      </c>
      <c r="F12" s="115">
        <v>2.8945157134549904</v>
      </c>
      <c r="G12" s="115">
        <v>2.9028691126714548</v>
      </c>
      <c r="H12" s="115">
        <v>3.010167967893949</v>
      </c>
      <c r="I12" s="115">
        <v>3.5433069317341994</v>
      </c>
      <c r="J12" s="115">
        <v>3.2972779100965384</v>
      </c>
      <c r="K12" s="115">
        <v>3.0455013929549137</v>
      </c>
      <c r="L12" s="115">
        <v>2.870317389634943</v>
      </c>
      <c r="M12" s="115">
        <v>2.6817070672703678</v>
      </c>
      <c r="N12" s="115">
        <v>2.6768586582438325</v>
      </c>
      <c r="O12" s="115">
        <v>2.6985223442692359</v>
      </c>
      <c r="P12" s="115">
        <v>2.8800625372190138</v>
      </c>
      <c r="Q12" s="115">
        <v>2.9425351240888951</v>
      </c>
      <c r="R12" s="115">
        <v>3.0034129450640301</v>
      </c>
      <c r="S12" s="115">
        <v>2.953423937192289</v>
      </c>
      <c r="T12" s="115">
        <v>2.7563784155412123</v>
      </c>
      <c r="U12" s="115">
        <v>2.0574537843909169</v>
      </c>
      <c r="V12" s="115">
        <v>2.2894682825731665</v>
      </c>
      <c r="W12" s="115">
        <v>2.3108856295945266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29.981571869767517</v>
      </c>
      <c r="C13" s="116">
        <f t="shared" ref="C13:V13" si="11">SUM(C14:C15)</f>
        <v>28.947766825575926</v>
      </c>
      <c r="D13" s="116">
        <f t="shared" si="11"/>
        <v>28.896868962426645</v>
      </c>
      <c r="E13" s="116">
        <f t="shared" si="11"/>
        <v>27.125004370402312</v>
      </c>
      <c r="F13" s="116">
        <f t="shared" si="11"/>
        <v>28.180883821528461</v>
      </c>
      <c r="G13" s="116">
        <f t="shared" si="11"/>
        <v>28.227767459553071</v>
      </c>
      <c r="H13" s="116">
        <f t="shared" si="11"/>
        <v>28.962901854347727</v>
      </c>
      <c r="I13" s="116">
        <f t="shared" si="11"/>
        <v>28.900285991118558</v>
      </c>
      <c r="J13" s="116">
        <f t="shared" si="11"/>
        <v>30.641818963236517</v>
      </c>
      <c r="K13" s="116">
        <f t="shared" si="11"/>
        <v>29.267428306123037</v>
      </c>
      <c r="L13" s="116">
        <f t="shared" si="11"/>
        <v>28.46039748487177</v>
      </c>
      <c r="M13" s="116">
        <f t="shared" si="11"/>
        <v>28.168604903082599</v>
      </c>
      <c r="N13" s="116">
        <f t="shared" si="11"/>
        <v>27.048999886298276</v>
      </c>
      <c r="O13" s="116">
        <f t="shared" si="11"/>
        <v>24.448609770460202</v>
      </c>
      <c r="P13" s="116">
        <f t="shared" si="11"/>
        <v>21.354862990170087</v>
      </c>
      <c r="Q13" s="116">
        <f t="shared" si="11"/>
        <v>20.316984923829544</v>
      </c>
      <c r="R13" s="116">
        <f t="shared" si="11"/>
        <v>19.682948348839609</v>
      </c>
      <c r="S13" s="116">
        <f t="shared" si="11"/>
        <v>19.475862488783619</v>
      </c>
      <c r="T13" s="116">
        <f t="shared" si="11"/>
        <v>18.876214996684041</v>
      </c>
      <c r="U13" s="116">
        <f t="shared" si="11"/>
        <v>18.553668959988222</v>
      </c>
      <c r="V13" s="116">
        <f t="shared" si="11"/>
        <v>15.438291674464129</v>
      </c>
      <c r="W13" s="116">
        <f t="shared" ref="W13" si="12">SUM(W14:W15)</f>
        <v>18.842195761206526</v>
      </c>
      <c r="DA13" s="176" t="s">
        <v>396</v>
      </c>
    </row>
    <row r="14" spans="1:105" ht="11.45" customHeight="1" x14ac:dyDescent="0.25">
      <c r="A14" s="111" t="s">
        <v>95</v>
      </c>
      <c r="B14" s="87">
        <v>19.617239119722488</v>
      </c>
      <c r="C14" s="87">
        <v>18.699714491894934</v>
      </c>
      <c r="D14" s="87">
        <v>18.489154879720878</v>
      </c>
      <c r="E14" s="87">
        <v>17.178075748773683</v>
      </c>
      <c r="F14" s="87">
        <v>18.61945846903334</v>
      </c>
      <c r="G14" s="87">
        <v>18.230556387671964</v>
      </c>
      <c r="H14" s="87">
        <v>18.652283570389294</v>
      </c>
      <c r="I14" s="87">
        <v>18.352708995777512</v>
      </c>
      <c r="J14" s="87">
        <v>19.291604018635297</v>
      </c>
      <c r="K14" s="87">
        <v>17.348362841178382</v>
      </c>
      <c r="L14" s="87">
        <v>16.759288879542556</v>
      </c>
      <c r="M14" s="87">
        <v>16.330175871279895</v>
      </c>
      <c r="N14" s="87">
        <v>15.51948838027154</v>
      </c>
      <c r="O14" s="87">
        <v>14.776155606350546</v>
      </c>
      <c r="P14" s="87">
        <v>12.355176756452586</v>
      </c>
      <c r="Q14" s="87">
        <v>10.930674556261518</v>
      </c>
      <c r="R14" s="87">
        <v>10.668345688613304</v>
      </c>
      <c r="S14" s="87">
        <v>10.45449424510058</v>
      </c>
      <c r="T14" s="87">
        <v>8.8983040472679527</v>
      </c>
      <c r="U14" s="87">
        <v>8.0594914328032896</v>
      </c>
      <c r="V14" s="87">
        <v>6.9541595080339658</v>
      </c>
      <c r="W14" s="87">
        <v>7.6004425025537055</v>
      </c>
      <c r="DA14" s="171" t="s">
        <v>1106</v>
      </c>
    </row>
    <row r="15" spans="1:105" ht="11.45" customHeight="1" x14ac:dyDescent="0.25">
      <c r="A15" s="111" t="s">
        <v>93</v>
      </c>
      <c r="B15" s="87">
        <v>10.36433275004503</v>
      </c>
      <c r="C15" s="87">
        <v>10.24805233368099</v>
      </c>
      <c r="D15" s="87">
        <v>10.407714082705764</v>
      </c>
      <c r="E15" s="87">
        <v>9.9469286216286292</v>
      </c>
      <c r="F15" s="87">
        <v>9.5614253524951209</v>
      </c>
      <c r="G15" s="87">
        <v>9.9972110718811074</v>
      </c>
      <c r="H15" s="87">
        <v>10.310618283958433</v>
      </c>
      <c r="I15" s="87">
        <v>10.547576995341045</v>
      </c>
      <c r="J15" s="87">
        <v>11.35021494460122</v>
      </c>
      <c r="K15" s="87">
        <v>11.919065464944655</v>
      </c>
      <c r="L15" s="87">
        <v>11.701108605329214</v>
      </c>
      <c r="M15" s="87">
        <v>11.838429031802704</v>
      </c>
      <c r="N15" s="87">
        <v>11.529511506026736</v>
      </c>
      <c r="O15" s="87">
        <v>9.672454164109654</v>
      </c>
      <c r="P15" s="87">
        <v>8.999686233717501</v>
      </c>
      <c r="Q15" s="87">
        <v>9.3863103675680257</v>
      </c>
      <c r="R15" s="87">
        <v>9.0146026602263056</v>
      </c>
      <c r="S15" s="87">
        <v>9.0213682436830407</v>
      </c>
      <c r="T15" s="87">
        <v>9.9779109494160902</v>
      </c>
      <c r="U15" s="87">
        <v>10.494177527184934</v>
      </c>
      <c r="V15" s="87">
        <v>8.4841321664301628</v>
      </c>
      <c r="W15" s="87">
        <v>11.241753258652821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13.084717088463202</v>
      </c>
      <c r="C17" s="29">
        <f t="shared" si="13"/>
        <v>15.079200706409747</v>
      </c>
      <c r="D17" s="29">
        <f t="shared" si="13"/>
        <v>15.971265350900591</v>
      </c>
      <c r="E17" s="29">
        <f t="shared" si="13"/>
        <v>17.814805439740397</v>
      </c>
      <c r="F17" s="29">
        <f t="shared" si="13"/>
        <v>18.358564351516971</v>
      </c>
      <c r="G17" s="29">
        <f t="shared" si="13"/>
        <v>20.441246488824483</v>
      </c>
      <c r="H17" s="29">
        <f t="shared" si="13"/>
        <v>21.564677383261326</v>
      </c>
      <c r="I17" s="29">
        <f t="shared" si="13"/>
        <v>22.716166320483438</v>
      </c>
      <c r="J17" s="29">
        <f t="shared" si="13"/>
        <v>20.678615938360839</v>
      </c>
      <c r="K17" s="29">
        <f t="shared" si="13"/>
        <v>16.972452932048451</v>
      </c>
      <c r="L17" s="29">
        <f t="shared" si="13"/>
        <v>18.212621324977377</v>
      </c>
      <c r="M17" s="29">
        <f t="shared" si="13"/>
        <v>16.716927926465605</v>
      </c>
      <c r="N17" s="29">
        <f t="shared" si="13"/>
        <v>15.349291928372757</v>
      </c>
      <c r="O17" s="29">
        <f t="shared" si="13"/>
        <v>15.650202365064207</v>
      </c>
      <c r="P17" s="29">
        <f t="shared" si="13"/>
        <v>14.900242142430331</v>
      </c>
      <c r="Q17" s="29">
        <f t="shared" si="13"/>
        <v>13.503162669192481</v>
      </c>
      <c r="R17" s="29">
        <f t="shared" si="13"/>
        <v>14.334274991564969</v>
      </c>
      <c r="S17" s="29">
        <f t="shared" si="13"/>
        <v>15.180687778667252</v>
      </c>
      <c r="T17" s="29">
        <f t="shared" si="13"/>
        <v>13.80154244332074</v>
      </c>
      <c r="U17" s="29">
        <f t="shared" si="13"/>
        <v>14.595584048398157</v>
      </c>
      <c r="V17" s="29">
        <f t="shared" si="13"/>
        <v>15.074475640555137</v>
      </c>
      <c r="W17" s="29">
        <f t="shared" si="13"/>
        <v>13.993436236026117</v>
      </c>
      <c r="DA17" s="173" t="s">
        <v>401</v>
      </c>
    </row>
    <row r="18" spans="1:105" ht="11.45" customHeight="1" x14ac:dyDescent="0.25">
      <c r="A18" s="83" t="s">
        <v>95</v>
      </c>
      <c r="B18" s="87">
        <v>7.9257531416704579</v>
      </c>
      <c r="C18" s="87">
        <v>9.8633981478299138</v>
      </c>
      <c r="D18" s="87">
        <v>10.073957760003969</v>
      </c>
      <c r="E18" s="87">
        <v>11.385036890951165</v>
      </c>
      <c r="F18" s="87">
        <v>11.983894927355299</v>
      </c>
      <c r="G18" s="87">
        <v>13.392917387048588</v>
      </c>
      <c r="H18" s="87">
        <v>13.991224598140366</v>
      </c>
      <c r="I18" s="87">
        <v>15.310919551084051</v>
      </c>
      <c r="J18" s="87">
        <v>13.658009051012165</v>
      </c>
      <c r="K18" s="87">
        <v>11.214749798546469</v>
      </c>
      <c r="L18" s="87">
        <v>11.803823760182295</v>
      </c>
      <c r="M18" s="87">
        <v>10.600778556923027</v>
      </c>
      <c r="N18" s="87">
        <v>9.7792218518866676</v>
      </c>
      <c r="O18" s="87">
        <v>9.7064755200467072</v>
      </c>
      <c r="P18" s="87">
        <v>9.0671792194717433</v>
      </c>
      <c r="Q18" s="87">
        <v>7.4313202846671116</v>
      </c>
      <c r="R18" s="87">
        <v>7.6936491523153254</v>
      </c>
      <c r="S18" s="87">
        <v>7.4994180506861818</v>
      </c>
      <c r="T18" s="87">
        <v>6.0973107420699657</v>
      </c>
      <c r="U18" s="87">
        <v>6.52812679591554</v>
      </c>
      <c r="V18" s="87">
        <v>6.6133383423529661</v>
      </c>
      <c r="W18" s="87">
        <v>6.9871757261651251</v>
      </c>
      <c r="DA18" s="171" t="s">
        <v>1108</v>
      </c>
    </row>
    <row r="19" spans="1:105" ht="11.45" customHeight="1" x14ac:dyDescent="0.25">
      <c r="A19" s="85" t="s">
        <v>93</v>
      </c>
      <c r="B19" s="88">
        <v>5.1589639467927446</v>
      </c>
      <c r="C19" s="88">
        <v>5.215802558579834</v>
      </c>
      <c r="D19" s="88">
        <v>5.8973075908966228</v>
      </c>
      <c r="E19" s="88">
        <v>6.4297685487892329</v>
      </c>
      <c r="F19" s="88">
        <v>6.374669424161671</v>
      </c>
      <c r="G19" s="88">
        <v>7.0483291017758969</v>
      </c>
      <c r="H19" s="88">
        <v>7.573452785120959</v>
      </c>
      <c r="I19" s="88">
        <v>7.4052467693993851</v>
      </c>
      <c r="J19" s="88">
        <v>7.0206068873486736</v>
      </c>
      <c r="K19" s="88">
        <v>5.757703133501983</v>
      </c>
      <c r="L19" s="88">
        <v>6.4087975647950808</v>
      </c>
      <c r="M19" s="88">
        <v>6.1161493695425779</v>
      </c>
      <c r="N19" s="88">
        <v>5.5700700764860898</v>
      </c>
      <c r="O19" s="88">
        <v>5.9437268450174985</v>
      </c>
      <c r="P19" s="88">
        <v>5.8330629229585877</v>
      </c>
      <c r="Q19" s="88">
        <v>6.0718423845253682</v>
      </c>
      <c r="R19" s="88">
        <v>6.640625839249644</v>
      </c>
      <c r="S19" s="88">
        <v>7.6812697279810713</v>
      </c>
      <c r="T19" s="88">
        <v>7.7042317012507739</v>
      </c>
      <c r="U19" s="88">
        <v>8.0674572524826171</v>
      </c>
      <c r="V19" s="88">
        <v>8.4611372982021713</v>
      </c>
      <c r="W19" s="88">
        <v>7.0062605098609927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194.33821065177065</v>
      </c>
      <c r="C23" s="62">
        <f>IF(C10=0,0,C10/TrRail_act!C14*100)</f>
        <v>192.66843057303984</v>
      </c>
      <c r="D23" s="62">
        <f>IF(D10=0,0,D10/TrRail_act!D14*100)</f>
        <v>189.62550752381725</v>
      </c>
      <c r="E23" s="62">
        <f>IF(E10=0,0,E10/TrRail_act!E14*100)</f>
        <v>188.05752726699413</v>
      </c>
      <c r="F23" s="62">
        <f>IF(F10=0,0,F10/TrRail_act!F14*100)</f>
        <v>190.15536308488535</v>
      </c>
      <c r="G23" s="62">
        <f>IF(G10=0,0,G10/TrRail_act!G14*100)</f>
        <v>188.80000149951076</v>
      </c>
      <c r="H23" s="62">
        <f>IF(H10=0,0,H10/TrRail_act!H14*100)</f>
        <v>186.4693928522972</v>
      </c>
      <c r="I23" s="62">
        <f>IF(I10=0,0,I10/TrRail_act!I14*100)</f>
        <v>180.77154357245823</v>
      </c>
      <c r="J23" s="62">
        <f>IF(J10=0,0,J10/TrRail_act!J14*100)</f>
        <v>176.77034184850555</v>
      </c>
      <c r="K23" s="62">
        <f>IF(K10=0,0,K10/TrRail_act!K14*100)</f>
        <v>169.27038903238133</v>
      </c>
      <c r="L23" s="62">
        <f>IF(L10=0,0,L10/TrRail_act!L14*100)</f>
        <v>171.25402217933603</v>
      </c>
      <c r="M23" s="62">
        <f>IF(M10=0,0,M10/TrRail_act!M14*100)</f>
        <v>167.85129311205534</v>
      </c>
      <c r="N23" s="62">
        <f>IF(N10=0,0,N10/TrRail_act!N14*100)</f>
        <v>162.97241605784419</v>
      </c>
      <c r="O23" s="62">
        <f>IF(O10=0,0,O10/TrRail_act!O14*100)</f>
        <v>160.6770627648531</v>
      </c>
      <c r="P23" s="62">
        <f>IF(P10=0,0,P10/TrRail_act!P14*100)</f>
        <v>152.51019516470546</v>
      </c>
      <c r="Q23" s="62">
        <f>IF(Q10=0,0,Q10/TrRail_act!Q14*100)</f>
        <v>143.86445202260361</v>
      </c>
      <c r="R23" s="62">
        <f>IF(R10=0,0,R10/TrRail_act!R14*100)</f>
        <v>142.29629289287266</v>
      </c>
      <c r="S23" s="62">
        <f>IF(S10=0,0,S10/TrRail_act!S14*100)</f>
        <v>141.57211880324235</v>
      </c>
      <c r="T23" s="62">
        <f>IF(T10=0,0,T10/TrRail_act!T14*100)</f>
        <v>137.48895797369536</v>
      </c>
      <c r="U23" s="62">
        <f>IF(U10=0,0,U10/TrRail_act!U14*100)</f>
        <v>144.75004404799213</v>
      </c>
      <c r="V23" s="62">
        <f>IF(V10=0,0,V10/TrRail_act!V14*100)</f>
        <v>142.19841122148785</v>
      </c>
      <c r="W23" s="62">
        <f>IF(W10=0,0,W10/TrRail_act!W14*100)</f>
        <v>140.73207944900463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166.21150030575225</v>
      </c>
      <c r="C24" s="29">
        <f>IF(C11=0,0,C11/TrRail_act!C15*100)</f>
        <v>158.93990818320432</v>
      </c>
      <c r="D24" s="29">
        <f>IF(D11=0,0,D11/TrRail_act!D15*100)</f>
        <v>155.48932433488278</v>
      </c>
      <c r="E24" s="29">
        <f>IF(E11=0,0,E11/TrRail_act!E15*100)</f>
        <v>149.09391512749411</v>
      </c>
      <c r="F24" s="29">
        <f>IF(F11=0,0,F11/TrRail_act!F15*100)</f>
        <v>151.07792003275796</v>
      </c>
      <c r="G24" s="29">
        <f>IF(G11=0,0,G11/TrRail_act!G15*100)</f>
        <v>147.14317526081044</v>
      </c>
      <c r="H24" s="29">
        <f>IF(H11=0,0,H11/TrRail_act!H15*100)</f>
        <v>144.57307053871307</v>
      </c>
      <c r="I24" s="29">
        <f>IF(I11=0,0,I11/TrRail_act!I15*100)</f>
        <v>136.79217908200562</v>
      </c>
      <c r="J24" s="29">
        <f>IF(J11=0,0,J11/TrRail_act!J15*100)</f>
        <v>138.50288960506012</v>
      </c>
      <c r="K24" s="29">
        <f>IF(K11=0,0,K11/TrRail_act!K15*100)</f>
        <v>135.81742829530833</v>
      </c>
      <c r="L24" s="29">
        <f>IF(L11=0,0,L11/TrRail_act!L15*100)</f>
        <v>135.54467386538411</v>
      </c>
      <c r="M24" s="29">
        <f>IF(M11=0,0,M11/TrRail_act!M15*100)</f>
        <v>134.9795135946093</v>
      </c>
      <c r="N24" s="29">
        <f>IF(N11=0,0,N11/TrRail_act!N15*100)</f>
        <v>132.06440342406719</v>
      </c>
      <c r="O24" s="29">
        <f>IF(O11=0,0,O11/TrRail_act!O15*100)</f>
        <v>127.49617487868656</v>
      </c>
      <c r="P24" s="29">
        <f>IF(P11=0,0,P11/TrRail_act!P15*100)</f>
        <v>118.23171560712269</v>
      </c>
      <c r="Q24" s="29">
        <f>IF(Q11=0,0,Q11/TrRail_act!Q15*100)</f>
        <v>113.52866576158347</v>
      </c>
      <c r="R24" s="29">
        <f>IF(R11=0,0,R11/TrRail_act!R15*100)</f>
        <v>110.70972495835636</v>
      </c>
      <c r="S24" s="29">
        <f>IF(S11=0,0,S11/TrRail_act!S15*100)</f>
        <v>109.73961737570986</v>
      </c>
      <c r="T24" s="29">
        <f>IF(T11=0,0,T11/TrRail_act!T15*100)</f>
        <v>108.60204116863082</v>
      </c>
      <c r="U24" s="29">
        <f>IF(U11=0,0,U11/TrRail_act!U15*100)</f>
        <v>113.7532524156325</v>
      </c>
      <c r="V24" s="29">
        <f>IF(V11=0,0,V11/TrRail_act!V15*100)</f>
        <v>106.86927376807336</v>
      </c>
      <c r="W24" s="29">
        <f>IF(W11=0,0,W11/TrRail_act!W15*100)</f>
        <v>110.09908252193179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44.704019514398944</v>
      </c>
      <c r="C25" s="115">
        <f>IF(C12=0,0,C12/TrRail_act!C16*100)</f>
        <v>44.271769573463963</v>
      </c>
      <c r="D25" s="115">
        <f>IF(D12=0,0,D12/TrRail_act!D16*100)</f>
        <v>43.976836980261304</v>
      </c>
      <c r="E25" s="115">
        <f>IF(E12=0,0,E12/TrRail_act!E16*100)</f>
        <v>43.670352511933466</v>
      </c>
      <c r="F25" s="115">
        <f>IF(F12=0,0,F12/TrRail_act!F16*100)</f>
        <v>43.126169314092131</v>
      </c>
      <c r="G25" s="115">
        <f>IF(G12=0,0,G12/TrRail_act!G16*100)</f>
        <v>42.65483623208624</v>
      </c>
      <c r="H25" s="115">
        <f>IF(H12=0,0,H12/TrRail_act!H16*100)</f>
        <v>42.385354121569662</v>
      </c>
      <c r="I25" s="115">
        <f>IF(I12=0,0,I12/TrRail_act!I16*100)</f>
        <v>42.079612972717158</v>
      </c>
      <c r="J25" s="115">
        <f>IF(J12=0,0,J12/TrRail_act!J16*100)</f>
        <v>41.486796756397446</v>
      </c>
      <c r="K25" s="115">
        <f>IF(K12=0,0,K12/TrRail_act!K16*100)</f>
        <v>41.048420015960055</v>
      </c>
      <c r="L25" s="115">
        <f>IF(L12=0,0,L12/TrRail_act!L16*100)</f>
        <v>40.748807781897888</v>
      </c>
      <c r="M25" s="115">
        <f>IF(M12=0,0,M12/TrRail_act!M16*100)</f>
        <v>40.324712903209587</v>
      </c>
      <c r="N25" s="115">
        <f>IF(N12=0,0,N12/TrRail_act!N16*100)</f>
        <v>39.973337972309011</v>
      </c>
      <c r="O25" s="115">
        <f>IF(O12=0,0,O12/TrRail_act!O16*100)</f>
        <v>39.606169359259184</v>
      </c>
      <c r="P25" s="115">
        <f>IF(P12=0,0,P12/TrRail_act!P16*100)</f>
        <v>39.226216655189468</v>
      </c>
      <c r="Q25" s="115">
        <f>IF(Q12=0,0,Q12/TrRail_act!Q16*100)</f>
        <v>38.99407680904951</v>
      </c>
      <c r="R25" s="115">
        <f>IF(R12=0,0,R12/TrRail_act!R16*100)</f>
        <v>38.820873921773618</v>
      </c>
      <c r="S25" s="115">
        <f>IF(S12=0,0,S12/TrRail_act!S16*100)</f>
        <v>38.691476822590822</v>
      </c>
      <c r="T25" s="115">
        <f>IF(T12=0,0,T12/TrRail_act!T16*100)</f>
        <v>38.594712114816765</v>
      </c>
      <c r="U25" s="115">
        <f>IF(U12=0,0,U12/TrRail_act!U16*100)</f>
        <v>38.522297432144775</v>
      </c>
      <c r="V25" s="115">
        <f>IF(V12=0,0,V12/TrRail_act!V16*100)</f>
        <v>38.468075599081537</v>
      </c>
      <c r="W25" s="115">
        <f>IF(W12=0,0,W12/TrRail_act!W16*100)</f>
        <v>38.427459316084033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222.52351504484875</v>
      </c>
      <c r="C26" s="116">
        <f>IF(C13=0,0,C13/TrRail_act!C17*100)</f>
        <v>215.59142596971262</v>
      </c>
      <c r="D26" s="116">
        <f>IF(D13=0,0,D13/TrRail_act!D17*100)</f>
        <v>209.93547833137086</v>
      </c>
      <c r="E26" s="116">
        <f>IF(E13=0,0,E13/TrRail_act!E17*100)</f>
        <v>204.78839464877282</v>
      </c>
      <c r="F26" s="116">
        <f>IF(F13=0,0,F13/TrRail_act!F17*100)</f>
        <v>203.36369226392299</v>
      </c>
      <c r="G26" s="116">
        <f>IF(G13=0,0,G13/TrRail_act!G17*100)</f>
        <v>196.69258084625901</v>
      </c>
      <c r="H26" s="116">
        <f>IF(H13=0,0,H13/TrRail_act!H17*100)</f>
        <v>192.91107191626233</v>
      </c>
      <c r="I26" s="116">
        <f>IF(I13=0,0,I13/TrRail_act!I17*100)</f>
        <v>188.92843289776724</v>
      </c>
      <c r="J26" s="116">
        <f>IF(J13=0,0,J13/TrRail_act!J17*100)</f>
        <v>185.07453099464837</v>
      </c>
      <c r="K26" s="116">
        <f>IF(K13=0,0,K13/TrRail_act!K17*100)</f>
        <v>178.76343934494221</v>
      </c>
      <c r="L26" s="116">
        <f>IF(L13=0,0,L13/TrRail_act!L17*100)</f>
        <v>177.09441445534603</v>
      </c>
      <c r="M26" s="116">
        <f>IF(M13=0,0,M13/TrRail_act!M17*100)</f>
        <v>173.8237368535342</v>
      </c>
      <c r="N26" s="116">
        <f>IF(N13=0,0,N13/TrRail_act!N17*100)</f>
        <v>171.06630537921779</v>
      </c>
      <c r="O26" s="116">
        <f>IF(O13=0,0,O13/TrRail_act!O17*100)</f>
        <v>168.85427266189251</v>
      </c>
      <c r="P26" s="116">
        <f>IF(P13=0,0,P13/TrRail_act!P17*100)</f>
        <v>162.32485896032637</v>
      </c>
      <c r="Q26" s="116">
        <f>IF(Q13=0,0,Q13/TrRail_act!Q17*100)</f>
        <v>156.98869227771988</v>
      </c>
      <c r="R26" s="116">
        <f>IF(R13=0,0,R13/TrRail_act!R17*100)</f>
        <v>154.31363454991413</v>
      </c>
      <c r="S26" s="116">
        <f>IF(S13=0,0,S13/TrRail_act!S17*100)</f>
        <v>152.09132744407</v>
      </c>
      <c r="T26" s="116">
        <f>IF(T13=0,0,T13/TrRail_act!T17*100)</f>
        <v>147.73259007133328</v>
      </c>
      <c r="U26" s="116">
        <f>IF(U13=0,0,U13/TrRail_act!U17*100)</f>
        <v>145.19774134170802</v>
      </c>
      <c r="V26" s="116">
        <f>IF(V13=0,0,V13/TrRail_act!V17*100)</f>
        <v>145.14228034051172</v>
      </c>
      <c r="W26" s="116">
        <f>IF(W13=0,0,W13/TrRail_act!W17*100)</f>
        <v>142.75324004089381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288.20339278552115</v>
      </c>
      <c r="C27" s="87">
        <f>IF(C14=0,0,C14/TrRail_act!C18*100)</f>
        <v>277.78704149948379</v>
      </c>
      <c r="D27" s="87">
        <f>IF(D14=0,0,D14/TrRail_act!D18*100)</f>
        <v>269.03044770884958</v>
      </c>
      <c r="E27" s="87">
        <f>IF(E14=0,0,E14/TrRail_act!E18*100)</f>
        <v>259.62068505510263</v>
      </c>
      <c r="F27" s="87">
        <f>IF(F14=0,0,F14/TrRail_act!F18*100)</f>
        <v>252.16216237609248</v>
      </c>
      <c r="G27" s="87">
        <f>IF(G14=0,0,G14/TrRail_act!G18*100)</f>
        <v>245.0006093144776</v>
      </c>
      <c r="H27" s="87">
        <f>IF(H14=0,0,H14/TrRail_act!H18*100)</f>
        <v>238.56706903789419</v>
      </c>
      <c r="I27" s="87">
        <f>IF(I14=0,0,I14/TrRail_act!I18*100)</f>
        <v>232.09304476601829</v>
      </c>
      <c r="J27" s="87">
        <f>IF(J14=0,0,J14/TrRail_act!J18*100)</f>
        <v>225.13226831068539</v>
      </c>
      <c r="K27" s="87">
        <f>IF(K14=0,0,K14/TrRail_act!K18*100)</f>
        <v>218.76744408556101</v>
      </c>
      <c r="L27" s="87">
        <f>IF(L14=0,0,L14/TrRail_act!L18*100)</f>
        <v>216.10749358300421</v>
      </c>
      <c r="M27" s="87">
        <f>IF(M14=0,0,M14/TrRail_act!M18*100)</f>
        <v>213.57758950846838</v>
      </c>
      <c r="N27" s="87">
        <f>IF(N14=0,0,N14/TrRail_act!N18*100)</f>
        <v>210.93253191910262</v>
      </c>
      <c r="O27" s="87">
        <f>IF(O14=0,0,O14/TrRail_act!O18*100)</f>
        <v>201.5480822275932</v>
      </c>
      <c r="P27" s="87">
        <f>IF(P14=0,0,P14/TrRail_act!P18*100)</f>
        <v>190.58767595714767</v>
      </c>
      <c r="Q27" s="87">
        <f>IF(Q14=0,0,Q14/TrRail_act!Q18*100)</f>
        <v>186.29255244299117</v>
      </c>
      <c r="R27" s="87">
        <f>IF(R14=0,0,R14/TrRail_act!R18*100)</f>
        <v>181.3035036718943</v>
      </c>
      <c r="S27" s="87">
        <f>IF(S14=0,0,S14/TrRail_act!S18*100)</f>
        <v>177.64959620584253</v>
      </c>
      <c r="T27" s="87">
        <f>IF(T14=0,0,T14/TrRail_act!T18*100)</f>
        <v>174.95757298950278</v>
      </c>
      <c r="U27" s="87">
        <f>IF(U14=0,0,U14/TrRail_act!U18*100)</f>
        <v>172.96536042746771</v>
      </c>
      <c r="V27" s="87">
        <f>IF(V14=0,0,V14/TrRail_act!V18*100)</f>
        <v>171.48610220786333</v>
      </c>
      <c r="W27" s="87">
        <f>IF(W14=0,0,W14/TrRail_act!W18*100)</f>
        <v>170.38496677107025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155.46408479208995</v>
      </c>
      <c r="C28" s="87">
        <f>IF(C15=0,0,C15/TrRail_act!C19*100)</f>
        <v>153.05950876797789</v>
      </c>
      <c r="D28" s="87">
        <f>IF(D15=0,0,D15/TrRail_act!D19*100)</f>
        <v>151.00869452236535</v>
      </c>
      <c r="E28" s="87">
        <f>IF(E15=0,0,E15/TrRail_act!E19*100)</f>
        <v>150.05678276846231</v>
      </c>
      <c r="F28" s="87">
        <f>IF(F15=0,0,F15/TrRail_act!F19*100)</f>
        <v>147.70193822489398</v>
      </c>
      <c r="G28" s="87">
        <f>IF(G15=0,0,G15/TrRail_act!G19*100)</f>
        <v>144.67354184766285</v>
      </c>
      <c r="H28" s="87">
        <f>IF(H15=0,0,H15/TrRail_act!H19*100)</f>
        <v>143.29981183573349</v>
      </c>
      <c r="I28" s="87">
        <f>IF(I15=0,0,I15/TrRail_act!I19*100)</f>
        <v>142.73793868742948</v>
      </c>
      <c r="J28" s="87">
        <f>IF(J15=0,0,J15/TrRail_act!J19*100)</f>
        <v>142.1003151193807</v>
      </c>
      <c r="K28" s="87">
        <f>IF(K15=0,0,K15/TrRail_act!K19*100)</f>
        <v>141.18589608081538</v>
      </c>
      <c r="L28" s="87">
        <f>IF(L15=0,0,L15/TrRail_act!L19*100)</f>
        <v>140.71142769968722</v>
      </c>
      <c r="M28" s="87">
        <f>IF(M15=0,0,M15/TrRail_act!M19*100)</f>
        <v>138.31146143446949</v>
      </c>
      <c r="N28" s="87">
        <f>IF(N15=0,0,N15/TrRail_act!N19*100)</f>
        <v>136.37231392604826</v>
      </c>
      <c r="O28" s="87">
        <f>IF(O15=0,0,O15/TrRail_act!O19*100)</f>
        <v>135.32094477973109</v>
      </c>
      <c r="P28" s="87">
        <f>IF(P15=0,0,P15/TrRail_act!P19*100)</f>
        <v>134.8679847086234</v>
      </c>
      <c r="Q28" s="87">
        <f>IF(Q15=0,0,Q15/TrRail_act!Q19*100)</f>
        <v>132.68353539734454</v>
      </c>
      <c r="R28" s="87">
        <f>IF(R15=0,0,R15/TrRail_act!R19*100)</f>
        <v>131.19951739862123</v>
      </c>
      <c r="S28" s="87">
        <f>IF(S15=0,0,S15/TrRail_act!S19*100)</f>
        <v>130.35760150296375</v>
      </c>
      <c r="T28" s="87">
        <f>IF(T15=0,0,T15/TrRail_act!T19*100)</f>
        <v>129.72971193799285</v>
      </c>
      <c r="U28" s="87">
        <f>IF(U15=0,0,U15/TrRail_act!U19*100)</f>
        <v>129.26078028765616</v>
      </c>
      <c r="V28" s="87">
        <f>IF(V15=0,0,V15/TrRail_act!V19*100)</f>
        <v>128.91019425427578</v>
      </c>
      <c r="W28" s="87">
        <f>IF(W15=0,0,W15/TrRail_act!W19*100)</f>
        <v>128.64787888462718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337.30332151165385</v>
      </c>
      <c r="C30" s="29">
        <f>IF(C17=0,0,C17/TrRail_act!C21*100)</f>
        <v>349.48735668424689</v>
      </c>
      <c r="D30" s="29">
        <f>IF(D17=0,0,D17/TrRail_act!D21*100)</f>
        <v>337.31681997856293</v>
      </c>
      <c r="E30" s="29">
        <f>IF(E17=0,0,E17/TrRail_act!E21*100)</f>
        <v>337.46840028858054</v>
      </c>
      <c r="F30" s="29">
        <f>IF(F17=0,0,F17/TrRail_act!F21*100)</f>
        <v>338.25098306441976</v>
      </c>
      <c r="G30" s="29">
        <f>IF(G17=0,0,G17/TrRail_act!G21*100)</f>
        <v>331.89670101208418</v>
      </c>
      <c r="H30" s="29">
        <f>IF(H17=0,0,H17/TrRail_act!H21*100)</f>
        <v>326.94707006768692</v>
      </c>
      <c r="I30" s="29">
        <f>IF(I17=0,0,I17/TrRail_act!I21*100)</f>
        <v>334.25364530516117</v>
      </c>
      <c r="J30" s="29">
        <f>IF(J17=0,0,J17/TrRail_act!J21*100)</f>
        <v>323.44183990337598</v>
      </c>
      <c r="K30" s="29">
        <f>IF(K17=0,0,K17/TrRail_act!K21*100)</f>
        <v>318.73639995338164</v>
      </c>
      <c r="L30" s="29">
        <f>IF(L17=0,0,L17/TrRail_act!L21*100)</f>
        <v>313.19759498489458</v>
      </c>
      <c r="M30" s="29">
        <f>IF(M17=0,0,M17/TrRail_act!M21*100)</f>
        <v>304.86614512019838</v>
      </c>
      <c r="N30" s="29">
        <f>IF(N17=0,0,N17/TrRail_act!N21*100)</f>
        <v>298.07116823127706</v>
      </c>
      <c r="O30" s="29">
        <f>IF(O17=0,0,O17/TrRail_act!O21*100)</f>
        <v>292.90411699180146</v>
      </c>
      <c r="P30" s="29">
        <f>IF(P17=0,0,P17/TrRail_act!P21*100)</f>
        <v>288.60394792628642</v>
      </c>
      <c r="Q30" s="29">
        <f>IF(Q17=0,0,Q17/TrRail_act!Q21*100)</f>
        <v>266.55013144336891</v>
      </c>
      <c r="R30" s="29">
        <f>IF(R17=0,0,R17/TrRail_act!R21*100)</f>
        <v>259.45168206875945</v>
      </c>
      <c r="S30" s="29">
        <f>IF(S17=0,0,S17/TrRail_act!S21*100)</f>
        <v>247.75468199391213</v>
      </c>
      <c r="T30" s="29">
        <f>IF(T17=0,0,T17/TrRail_act!T21*100)</f>
        <v>235.79443550740734</v>
      </c>
      <c r="U30" s="29">
        <f>IF(U17=0,0,U17/TrRail_act!U21*100)</f>
        <v>235.28874055921679</v>
      </c>
      <c r="V30" s="29">
        <f>IF(V17=0,0,V17/TrRail_act!V21*100)</f>
        <v>232.64273613376537</v>
      </c>
      <c r="W30" s="29">
        <f>IF(W17=0,0,W17/TrRail_act!W21*100)</f>
        <v>242.8870142350552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554.34097567337506</v>
      </c>
      <c r="C31" s="87">
        <f>IF(C18=0,0,C18/TrRail_act!C22*100)</f>
        <v>548.17410323313345</v>
      </c>
      <c r="D31" s="87">
        <f>IF(D18=0,0,D18/TrRail_act!D22*100)</f>
        <v>543.90033895006729</v>
      </c>
      <c r="E31" s="87">
        <f>IF(E18=0,0,E18/TrRail_act!E22*100)</f>
        <v>538.01424841039272</v>
      </c>
      <c r="F31" s="87">
        <f>IF(F18=0,0,F18/TrRail_act!F22*100)</f>
        <v>534.57188093409127</v>
      </c>
      <c r="G31" s="87">
        <f>IF(G18=0,0,G18/TrRail_act!G22*100)</f>
        <v>522.58873318114377</v>
      </c>
      <c r="H31" s="87">
        <f>IF(H18=0,0,H18/TrRail_act!H22*100)</f>
        <v>519.21466067713982</v>
      </c>
      <c r="I31" s="87">
        <f>IF(I18=0,0,I18/TrRail_act!I22*100)</f>
        <v>516.1041589590003</v>
      </c>
      <c r="J31" s="87">
        <f>IF(J18=0,0,J18/TrRail_act!J22*100)</f>
        <v>497.29377797363162</v>
      </c>
      <c r="K31" s="87">
        <f>IF(K18=0,0,K18/TrRail_act!K22*100)</f>
        <v>484.4962268305203</v>
      </c>
      <c r="L31" s="87">
        <f>IF(L18=0,0,L18/TrRail_act!L22*100)</f>
        <v>481.16700297072754</v>
      </c>
      <c r="M31" s="87">
        <f>IF(M18=0,0,M18/TrRail_act!M22*100)</f>
        <v>477.6591454074931</v>
      </c>
      <c r="N31" s="87">
        <f>IF(N18=0,0,N18/TrRail_act!N22*100)</f>
        <v>458.11779642147138</v>
      </c>
      <c r="O31" s="87">
        <f>IF(O18=0,0,O18/TrRail_act!O22*100)</f>
        <v>461.99651713785761</v>
      </c>
      <c r="P31" s="87">
        <f>IF(P18=0,0,P18/TrRail_act!P22*100)</f>
        <v>460.1656519210182</v>
      </c>
      <c r="Q31" s="87">
        <f>IF(Q18=0,0,Q18/TrRail_act!Q22*100)</f>
        <v>440.23046740029707</v>
      </c>
      <c r="R31" s="87">
        <f>IF(R18=0,0,R18/TrRail_act!R22*100)</f>
        <v>430.10638778128276</v>
      </c>
      <c r="S31" s="87">
        <f>IF(S18=0,0,S18/TrRail_act!S22*100)</f>
        <v>421.82108207696308</v>
      </c>
      <c r="T31" s="87">
        <f>IF(T18=0,0,T18/TrRail_act!T22*100)</f>
        <v>414.88058743377866</v>
      </c>
      <c r="U31" s="87">
        <f>IF(U18=0,0,U18/TrRail_act!U22*100)</f>
        <v>408.9307606300834</v>
      </c>
      <c r="V31" s="87">
        <f>IF(V18=0,0,V18/TrRail_act!V22*100)</f>
        <v>404.52445347112371</v>
      </c>
      <c r="W31" s="87">
        <f>IF(W18=0,0,W18/TrRail_act!W22*100)</f>
        <v>401.25090913839807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210.61702733759651</v>
      </c>
      <c r="C32" s="88">
        <f>IF(C19=0,0,C19/TrRail_act!C23*100)</f>
        <v>207.35939613047219</v>
      </c>
      <c r="D32" s="88">
        <f>IF(D19=0,0,D19/TrRail_act!D23*100)</f>
        <v>204.58102837685144</v>
      </c>
      <c r="E32" s="88">
        <f>IF(E19=0,0,E19/TrRail_act!E23*100)</f>
        <v>203.29141332419863</v>
      </c>
      <c r="F32" s="88">
        <f>IF(F19=0,0,F19/TrRail_act!F23*100)</f>
        <v>200.10115649882439</v>
      </c>
      <c r="G32" s="88">
        <f>IF(G19=0,0,G19/TrRail_act!G23*100)</f>
        <v>195.99839640844482</v>
      </c>
      <c r="H32" s="88">
        <f>IF(H19=0,0,H19/TrRail_act!H23*100)</f>
        <v>194.13731748552874</v>
      </c>
      <c r="I32" s="88">
        <f>IF(I19=0,0,I19/TrRail_act!I23*100)</f>
        <v>193.37611239822593</v>
      </c>
      <c r="J32" s="88">
        <f>IF(J19=0,0,J19/TrRail_act!J23*100)</f>
        <v>192.51228342677936</v>
      </c>
      <c r="K32" s="88">
        <f>IF(K19=0,0,K19/TrRail_act!K23*100)</f>
        <v>191.27346212666311</v>
      </c>
      <c r="L32" s="88">
        <f>IF(L19=0,0,L19/TrRail_act!L23*100)</f>
        <v>190.63066980499903</v>
      </c>
      <c r="M32" s="88">
        <f>IF(M19=0,0,M19/TrRail_act!M23*100)</f>
        <v>187.37928372977359</v>
      </c>
      <c r="N32" s="88">
        <f>IF(N19=0,0,N19/TrRail_act!N23*100)</f>
        <v>184.75219796691721</v>
      </c>
      <c r="O32" s="88">
        <f>IF(O19=0,0,O19/TrRail_act!O23*100)</f>
        <v>183.32784169499809</v>
      </c>
      <c r="P32" s="88">
        <f>IF(P19=0,0,P19/TrRail_act!P23*100)</f>
        <v>182.71418804112093</v>
      </c>
      <c r="Q32" s="88">
        <f>IF(Q19=0,0,Q19/TrRail_act!Q23*100)</f>
        <v>179.75477641285644</v>
      </c>
      <c r="R32" s="88">
        <f>IF(R19=0,0,R19/TrRail_act!R23*100)</f>
        <v>177.74428337953242</v>
      </c>
      <c r="S32" s="88">
        <f>IF(S19=0,0,S19/TrRail_act!S23*100)</f>
        <v>176.60368667226859</v>
      </c>
      <c r="T32" s="88">
        <f>IF(T19=0,0,T19/TrRail_act!T23*100)</f>
        <v>175.75304497037774</v>
      </c>
      <c r="U32" s="88">
        <f>IF(U19=0,0,U19/TrRail_act!U23*100)</f>
        <v>175.11775360806433</v>
      </c>
      <c r="V32" s="88">
        <f>IF(V19=0,0,V19/TrRail_act!V23*100)</f>
        <v>174.64279253731104</v>
      </c>
      <c r="W32" s="88">
        <f>IF(W19=0,0,W19/TrRail_act!W23*100)</f>
        <v>174.2874173170205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18.661610131545352</v>
      </c>
      <c r="C35" s="29">
        <f>IF(C11=0,0,C11/TrRail_act!C4*1000)</f>
        <v>17.986014793730728</v>
      </c>
      <c r="D35" s="29">
        <f>IF(D11=0,0,D11/TrRail_act!D4*1000)</f>
        <v>18.414569369965584</v>
      </c>
      <c r="E35" s="29">
        <f>IF(E11=0,0,E11/TrRail_act!E4*1000)</f>
        <v>17.615518838175927</v>
      </c>
      <c r="F35" s="29">
        <f>IF(F11=0,0,F11/TrRail_act!F4*1000)</f>
        <v>18.300283045636434</v>
      </c>
      <c r="G35" s="29">
        <f>IF(G11=0,0,G11/TrRail_act!G4*1000)</f>
        <v>17.686193559144151</v>
      </c>
      <c r="H35" s="29">
        <f>IF(H11=0,0,H11/TrRail_act!H4*1000)</f>
        <v>16.990928141833084</v>
      </c>
      <c r="I35" s="29">
        <f>IF(I11=0,0,I11/TrRail_act!I4*1000)</f>
        <v>14.522906821452828</v>
      </c>
      <c r="J35" s="29">
        <f>IF(J11=0,0,J11/TrRail_act!J4*1000)</f>
        <v>14.185003817319144</v>
      </c>
      <c r="K35" s="29">
        <f>IF(K11=0,0,K11/TrRail_act!K4*1000)</f>
        <v>13.572185087103581</v>
      </c>
      <c r="L35" s="29">
        <f>IF(L11=0,0,L11/TrRail_act!L4*1000)</f>
        <v>13.860958633749762</v>
      </c>
      <c r="M35" s="29">
        <f>IF(M11=0,0,M11/TrRail_act!M4*1000)</f>
        <v>15.6083117190436</v>
      </c>
      <c r="N35" s="29">
        <f>IF(N11=0,0,N11/TrRail_act!N4*1000)</f>
        <v>18.55063853200641</v>
      </c>
      <c r="O35" s="29">
        <f>IF(O11=0,0,O11/TrRail_act!O4*1000)</f>
        <v>18.495267787125552</v>
      </c>
      <c r="P35" s="29">
        <f>IF(P11=0,0,P11/TrRail_act!P4*1000)</f>
        <v>16.235663049761005</v>
      </c>
      <c r="Q35" s="29">
        <f>IF(Q11=0,0,Q11/TrRail_act!Q4*1000)</f>
        <v>15.113732238346033</v>
      </c>
      <c r="R35" s="29">
        <f>IF(R11=0,0,R11/TrRail_act!R4*1000)</f>
        <v>15.798466762468717</v>
      </c>
      <c r="S35" s="29">
        <f>IF(S11=0,0,S11/TrRail_act!S4*1000)</f>
        <v>16.688668253970405</v>
      </c>
      <c r="T35" s="29">
        <f>IF(T11=0,0,T11/TrRail_act!T4*1000)</f>
        <v>16.349127593478709</v>
      </c>
      <c r="U35" s="29">
        <f>IF(U11=0,0,U11/TrRail_act!U4*1000)</f>
        <v>18.717645704874077</v>
      </c>
      <c r="V35" s="29">
        <f>IF(V11=0,0,V11/TrRail_act!V4*1000)</f>
        <v>21.04724767066369</v>
      </c>
      <c r="W35" s="29">
        <f>IF(W11=0,0,W11/TrRail_act!W4*1000)</f>
        <v>23.316400329800246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5.5366267725803642</v>
      </c>
      <c r="C36" s="115">
        <f>IF(C12=0,0,C12/TrRail_act!C5*1000)</f>
        <v>5.5230204457811745</v>
      </c>
      <c r="D36" s="115">
        <f>IF(D12=0,0,D12/TrRail_act!D5*1000)</f>
        <v>5.527027124384059</v>
      </c>
      <c r="E36" s="115">
        <f>IF(E12=0,0,E12/TrRail_act!E5*1000)</f>
        <v>5.5528994294017302</v>
      </c>
      <c r="F36" s="115">
        <f>IF(F12=0,0,F12/TrRail_act!F5*1000)</f>
        <v>5.470815946562241</v>
      </c>
      <c r="G36" s="115">
        <f>IF(G12=0,0,G12/TrRail_act!G5*1000)</f>
        <v>5.444587825689287</v>
      </c>
      <c r="H36" s="115">
        <f>IF(H12=0,0,H12/TrRail_act!H5*1000)</f>
        <v>5.3774797424919543</v>
      </c>
      <c r="I36" s="115">
        <f>IF(I12=0,0,I12/TrRail_act!I5*1000)</f>
        <v>5.3608492673296402</v>
      </c>
      <c r="J36" s="115">
        <f>IF(J12=0,0,J12/TrRail_act!J5*1000)</f>
        <v>5.2874547150058975</v>
      </c>
      <c r="K36" s="115">
        <f>IF(K12=0,0,K12/TrRail_act!K5*1000)</f>
        <v>5.2615690421113879</v>
      </c>
      <c r="L36" s="115">
        <f>IF(L12=0,0,L12/TrRail_act!L5*1000)</f>
        <v>5.2248672350310335</v>
      </c>
      <c r="M36" s="115">
        <f>IF(M12=0,0,M12/TrRail_act!M5*1000)</f>
        <v>5.1617845080858853</v>
      </c>
      <c r="N36" s="115">
        <f>IF(N12=0,0,N12/TrRail_act!N5*1000)</f>
        <v>5.1239884196797441</v>
      </c>
      <c r="O36" s="115">
        <f>IF(O12=0,0,O12/TrRail_act!O5*1000)</f>
        <v>5.0649082642049672</v>
      </c>
      <c r="P36" s="115">
        <f>IF(P12=0,0,P12/TrRail_act!P5*1000)</f>
        <v>5.0027402213647356</v>
      </c>
      <c r="Q36" s="115">
        <f>IF(Q12=0,0,Q12/TrRail_act!Q5*1000)</f>
        <v>4.920907081822202</v>
      </c>
      <c r="R36" s="115">
        <f>IF(R12=0,0,R12/TrRail_act!R5*1000)</f>
        <v>4.9318340272158263</v>
      </c>
      <c r="S36" s="115">
        <f>IF(S12=0,0,S12/TrRail_act!S5*1000)</f>
        <v>4.8577409848503805</v>
      </c>
      <c r="T36" s="115">
        <f>IF(T12=0,0,T12/TrRail_act!T5*1000)</f>
        <v>4.7840087744677513</v>
      </c>
      <c r="U36" s="115">
        <f>IF(U12=0,0,U12/TrRail_act!U5*1000)</f>
        <v>5.4551219227673053</v>
      </c>
      <c r="V36" s="115">
        <f>IF(V12=0,0,V12/TrRail_act!V5*1000)</f>
        <v>5.8066477020958658</v>
      </c>
      <c r="W36" s="115">
        <f>IF(W12=0,0,W12/TrRail_act!W5*1000)</f>
        <v>6.2588480809344222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23.946942387993222</v>
      </c>
      <c r="C37" s="116">
        <f>IF(C13=0,0,C13/TrRail_act!C6*1000)</f>
        <v>23.326161825605098</v>
      </c>
      <c r="D37" s="116">
        <f>IF(D13=0,0,D13/TrRail_act!D6*1000)</f>
        <v>24.181480303285895</v>
      </c>
      <c r="E37" s="116">
        <f>IF(E13=0,0,E13/TrRail_act!E6*1000)</f>
        <v>23.323305563544551</v>
      </c>
      <c r="F37" s="116">
        <f>IF(F13=0,0,F13/TrRail_act!F6*1000)</f>
        <v>24.106829616363097</v>
      </c>
      <c r="G37" s="116">
        <f>IF(G13=0,0,G13/TrRail_act!G6*1000)</f>
        <v>23.005515451958491</v>
      </c>
      <c r="H37" s="116">
        <f>IF(H13=0,0,H13/TrRail_act!H6*1000)</f>
        <v>21.908397771821278</v>
      </c>
      <c r="I37" s="116">
        <f>IF(I13=0,0,I13/TrRail_act!I6*1000)</f>
        <v>18.372718366890375</v>
      </c>
      <c r="J37" s="116">
        <f>IF(J13=0,0,J13/TrRail_act!J6*1000)</f>
        <v>17.32154831160911</v>
      </c>
      <c r="K37" s="116">
        <f>IF(K13=0,0,K13/TrRail_act!K6*1000)</f>
        <v>16.241636129923997</v>
      </c>
      <c r="L37" s="116">
        <f>IF(L13=0,0,L13/TrRail_act!L6*1000)</f>
        <v>16.633779944401972</v>
      </c>
      <c r="M37" s="116">
        <f>IF(M13=0,0,M13/TrRail_act!M6*1000)</f>
        <v>19.33329094240398</v>
      </c>
      <c r="N37" s="116">
        <f>IF(N13=0,0,N13/TrRail_act!N6*1000)</f>
        <v>25.045370265090995</v>
      </c>
      <c r="O37" s="116">
        <f>IF(O13=0,0,O13/TrRail_act!O6*1000)</f>
        <v>26.148245743807703</v>
      </c>
      <c r="P37" s="116">
        <f>IF(P13=0,0,P13/TrRail_act!P6*1000)</f>
        <v>23.287745899858329</v>
      </c>
      <c r="Q37" s="116">
        <f>IF(Q13=0,0,Q13/TrRail_act!Q6*1000)</f>
        <v>21.59084476496232</v>
      </c>
      <c r="R37" s="116">
        <f>IF(R13=0,0,R13/TrRail_act!R6*1000)</f>
        <v>23.800421219878608</v>
      </c>
      <c r="S37" s="116">
        <f>IF(S13=0,0,S13/TrRail_act!S6*1000)</f>
        <v>26.461769685847308</v>
      </c>
      <c r="T37" s="116">
        <f>IF(T13=0,0,T13/TrRail_act!T6*1000)</f>
        <v>25.269364118720269</v>
      </c>
      <c r="U37" s="116">
        <f>IF(U13=0,0,U13/TrRail_act!U6*1000)</f>
        <v>25.626614585619091</v>
      </c>
      <c r="V37" s="116">
        <f>IF(V13=0,0,V13/TrRail_act!V6*1000)</f>
        <v>34.460472487643145</v>
      </c>
      <c r="W37" s="116">
        <f>IF(W13=0,0,W13/TrRail_act!W6*1000)</f>
        <v>35.022668701127373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33.673086502796941</v>
      </c>
      <c r="C38" s="87">
        <f>IF(C14=0,0,C14/TrRail_act!C7*1000)</f>
        <v>33.464717541111995</v>
      </c>
      <c r="D38" s="87">
        <f>IF(D14=0,0,D14/TrRail_act!D7*1000)</f>
        <v>34.539401865649928</v>
      </c>
      <c r="E38" s="87">
        <f>IF(E14=0,0,E14/TrRail_act!E7*1000)</f>
        <v>32.704331780937146</v>
      </c>
      <c r="F38" s="87">
        <f>IF(F14=0,0,F14/TrRail_act!F7*1000)</f>
        <v>34.814215758880337</v>
      </c>
      <c r="G38" s="87">
        <f>IF(G14=0,0,G14/TrRail_act!G7*1000)</f>
        <v>30.782165136174015</v>
      </c>
      <c r="H38" s="87">
        <f>IF(H14=0,0,H14/TrRail_act!H7*1000)</f>
        <v>29.552389301877287</v>
      </c>
      <c r="I38" s="87">
        <f>IF(I14=0,0,I14/TrRail_act!I7*1000)</f>
        <v>24.617366713318763</v>
      </c>
      <c r="J38" s="87">
        <f>IF(J14=0,0,J14/TrRail_act!J7*1000)</f>
        <v>22.736331103470931</v>
      </c>
      <c r="K38" s="87">
        <f>IF(K14=0,0,K14/TrRail_act!K7*1000)</f>
        <v>20.572689934184751</v>
      </c>
      <c r="L38" s="87">
        <f>IF(L14=0,0,L14/TrRail_act!L7*1000)</f>
        <v>21.122797262770185</v>
      </c>
      <c r="M38" s="87">
        <f>IF(M14=0,0,M14/TrRail_act!M7*1000)</f>
        <v>23.939757927243537</v>
      </c>
      <c r="N38" s="87">
        <f>IF(N14=0,0,N14/TrRail_act!N7*1000)</f>
        <v>30.861229501584308</v>
      </c>
      <c r="O38" s="87">
        <f>IF(O14=0,0,O14/TrRail_act!O7*1000)</f>
        <v>32.923229265962469</v>
      </c>
      <c r="P38" s="87">
        <f>IF(P14=0,0,P14/TrRail_act!P7*1000)</f>
        <v>28.883781281564058</v>
      </c>
      <c r="Q38" s="87">
        <f>IF(Q14=0,0,Q14/TrRail_act!Q7*1000)</f>
        <v>25.991002225696032</v>
      </c>
      <c r="R38" s="87">
        <f>IF(R14=0,0,R14/TrRail_act!R7*1000)</f>
        <v>29.515626988994498</v>
      </c>
      <c r="S38" s="87">
        <f>IF(S14=0,0,S14/TrRail_act!S7*1000)</f>
        <v>32.851705272019991</v>
      </c>
      <c r="T38" s="87">
        <f>IF(T14=0,0,T14/TrRail_act!T7*1000)</f>
        <v>31.613228105356924</v>
      </c>
      <c r="U38" s="87">
        <f>IF(U14=0,0,U14/TrRail_act!U7*1000)</f>
        <v>35.290913485079841</v>
      </c>
      <c r="V38" s="87">
        <f>IF(V14=0,0,V14/TrRail_act!V7*1000)</f>
        <v>41.382150900467558</v>
      </c>
      <c r="W38" s="87">
        <f>IF(W14=0,0,W14/TrRail_act!W7*1000)</f>
        <v>41.225315099039634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15.482537200737978</v>
      </c>
      <c r="C39" s="87">
        <f>IF(C15=0,0,C15/TrRail_act!C8*1000)</f>
        <v>15.021821158313719</v>
      </c>
      <c r="D39" s="87">
        <f>IF(D15=0,0,D15/TrRail_act!D8*1000)</f>
        <v>15.776582390053726</v>
      </c>
      <c r="E39" s="87">
        <f>IF(E15=0,0,E15/TrRail_act!E8*1000)</f>
        <v>15.597002688540819</v>
      </c>
      <c r="F39" s="87">
        <f>IF(F15=0,0,F15/TrRail_act!F8*1000)</f>
        <v>15.076913724874364</v>
      </c>
      <c r="G39" s="87">
        <f>IF(G15=0,0,G15/TrRail_act!G8*1000)</f>
        <v>15.749694379077177</v>
      </c>
      <c r="H39" s="87">
        <f>IF(H15=0,0,H15/TrRail_act!H8*1000)</f>
        <v>14.924753981954309</v>
      </c>
      <c r="I39" s="87">
        <f>IF(I15=0,0,I15/TrRail_act!I8*1000)</f>
        <v>12.746605766053458</v>
      </c>
      <c r="J39" s="87">
        <f>IF(J15=0,0,J15/TrRail_act!J8*1000)</f>
        <v>12.330386925620269</v>
      </c>
      <c r="K39" s="87">
        <f>IF(K15=0,0,K15/TrRail_act!K8*1000)</f>
        <v>12.432159165642304</v>
      </c>
      <c r="L39" s="87">
        <f>IF(L15=0,0,L15/TrRail_act!L8*1000)</f>
        <v>12.752165692052065</v>
      </c>
      <c r="M39" s="87">
        <f>IF(M15=0,0,M15/TrRail_act!M8*1000)</f>
        <v>15.278077602605189</v>
      </c>
      <c r="N39" s="87">
        <f>IF(N15=0,0,N15/TrRail_act!N8*1000)</f>
        <v>19.977660038509178</v>
      </c>
      <c r="O39" s="87">
        <f>IF(O15=0,0,O15/TrRail_act!O8*1000)</f>
        <v>19.894243618776297</v>
      </c>
      <c r="P39" s="87">
        <f>IF(P15=0,0,P15/TrRail_act!P8*1000)</f>
        <v>18.39504334661952</v>
      </c>
      <c r="Q39" s="87">
        <f>IF(Q15=0,0,Q15/TrRail_act!Q8*1000)</f>
        <v>18.035201075479602</v>
      </c>
      <c r="R39" s="87">
        <f>IF(R15=0,0,R15/TrRail_act!R8*1000)</f>
        <v>19.363229932913683</v>
      </c>
      <c r="S39" s="87">
        <f>IF(S15=0,0,S15/TrRail_act!S8*1000)</f>
        <v>21.594253769089566</v>
      </c>
      <c r="T39" s="87">
        <f>IF(T15=0,0,T15/TrRail_act!T8*1000)</f>
        <v>21.433630978580723</v>
      </c>
      <c r="U39" s="87">
        <f>IF(U15=0,0,U15/TrRail_act!U8*1000)</f>
        <v>21.1735383981908</v>
      </c>
      <c r="V39" s="87">
        <f>IF(V15=0,0,V15/TrRail_act!V8*1000)</f>
        <v>30.30559354632685</v>
      </c>
      <c r="W39" s="87">
        <f>IF(W15=0,0,W15/TrRail_act!W8*1000)</f>
        <v>31.78900532566238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7.3180744342635355</v>
      </c>
      <c r="C41" s="29">
        <f>IF(C17=0,0,C17/TrRail_act!C10*1000)</f>
        <v>7.2705885758966957</v>
      </c>
      <c r="D41" s="29">
        <f>IF(D17=0,0,D17/TrRail_act!D10*1000)</f>
        <v>7.239920829964003</v>
      </c>
      <c r="E41" s="29">
        <f>IF(E17=0,0,E17/TrRail_act!E10*1000)</f>
        <v>7.1631706633455554</v>
      </c>
      <c r="F41" s="29">
        <f>IF(F17=0,0,F17/TrRail_act!F10*1000)</f>
        <v>7.3640450667938113</v>
      </c>
      <c r="G41" s="29">
        <f>IF(G17=0,0,G17/TrRail_act!G10*1000)</f>
        <v>7.2103162218075783</v>
      </c>
      <c r="H41" s="29">
        <f>IF(H17=0,0,H17/TrRail_act!H10*1000)</f>
        <v>6.5248645637704472</v>
      </c>
      <c r="I41" s="29">
        <f>IF(I17=0,0,I17/TrRail_act!I10*1000)</f>
        <v>6.3559502855297811</v>
      </c>
      <c r="J41" s="29">
        <f>IF(J17=0,0,J17/TrRail_act!J10*1000)</f>
        <v>6.2435434596500112</v>
      </c>
      <c r="K41" s="29">
        <f>IF(K17=0,0,K17/TrRail_act!K10*1000)</f>
        <v>6.4265251541266384</v>
      </c>
      <c r="L41" s="29">
        <f>IF(L17=0,0,L17/TrRail_act!L10*1000)</f>
        <v>6.9566926375009075</v>
      </c>
      <c r="M41" s="29">
        <f>IF(M17=0,0,M17/TrRail_act!M10*1000)</f>
        <v>6.8568203143829383</v>
      </c>
      <c r="N41" s="29">
        <f>IF(N17=0,0,N17/TrRail_act!N10*1000)</f>
        <v>6.5820291288047841</v>
      </c>
      <c r="O41" s="29">
        <f>IF(O17=0,0,O17/TrRail_act!O10*1000)</f>
        <v>7.5024939429838007</v>
      </c>
      <c r="P41" s="29">
        <f>IF(P17=0,0,P17/TrRail_act!P10*1000)</f>
        <v>7.0317329600898208</v>
      </c>
      <c r="Q41" s="29">
        <f>IF(Q17=0,0,Q17/TrRail_act!Q10*1000)</f>
        <v>6.1827667899232974</v>
      </c>
      <c r="R41" s="29">
        <f>IF(R17=0,0,R17/TrRail_act!R10*1000)</f>
        <v>6.6362384220208197</v>
      </c>
      <c r="S41" s="29">
        <f>IF(S17=0,0,S17/TrRail_act!S10*1000)</f>
        <v>5.8567468281895261</v>
      </c>
      <c r="T41" s="29">
        <f>IF(T17=0,0,T17/TrRail_act!T10*1000)</f>
        <v>5.0315502892164563</v>
      </c>
      <c r="U41" s="29">
        <f>IF(U17=0,0,U17/TrRail_act!U10*1000)</f>
        <v>5.0139416174504143</v>
      </c>
      <c r="V41" s="29">
        <f>IF(V17=0,0,V17/TrRail_act!V10*1000)</f>
        <v>4.597278328928069</v>
      </c>
      <c r="W41" s="29">
        <f>IF(W17=0,0,W17/TrRail_act!W10*1000)</f>
        <v>4.4115498852541357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8.5232168447412118</v>
      </c>
      <c r="C42" s="87">
        <f>IF(C18=0,0,C18/TrRail_act!C11*1000)</f>
        <v>9.6030407180662696</v>
      </c>
      <c r="D42" s="87">
        <f>IF(D18=0,0,D18/TrRail_act!D11*1000)</f>
        <v>9.3725345621546108</v>
      </c>
      <c r="E42" s="87">
        <f>IF(E18=0,0,E18/TrRail_act!E11*1000)</f>
        <v>9.5285906731352412</v>
      </c>
      <c r="F42" s="87">
        <f>IF(F18=0,0,F18/TrRail_act!F11*1000)</f>
        <v>10.366232185342643</v>
      </c>
      <c r="G42" s="87">
        <f>IF(G18=0,0,G18/TrRail_act!G11*1000)</f>
        <v>10.025420511252481</v>
      </c>
      <c r="H42" s="87">
        <f>IF(H18=0,0,H18/TrRail_act!H11*1000)</f>
        <v>8.9240329295260334</v>
      </c>
      <c r="I42" s="87">
        <f>IF(I18=0,0,I18/TrRail_act!I11*1000)</f>
        <v>9.0857521639538117</v>
      </c>
      <c r="J42" s="87">
        <f>IF(J18=0,0,J18/TrRail_act!J11*1000)</f>
        <v>8.5274463365065785</v>
      </c>
      <c r="K42" s="87">
        <f>IF(K18=0,0,K18/TrRail_act!K11*1000)</f>
        <v>8.4986240569427345</v>
      </c>
      <c r="L42" s="87">
        <f>IF(L18=0,0,L18/TrRail_act!L11*1000)</f>
        <v>9.1569872860356423</v>
      </c>
      <c r="M42" s="87">
        <f>IF(M18=0,0,M18/TrRail_act!M11*1000)</f>
        <v>9.3211439637746967</v>
      </c>
      <c r="N42" s="87">
        <f>IF(N18=0,0,N18/TrRail_act!N11*1000)</f>
        <v>9.0079978580817777</v>
      </c>
      <c r="O42" s="87">
        <f>IF(O18=0,0,O18/TrRail_act!O11*1000)</f>
        <v>10.140949730001836</v>
      </c>
      <c r="P42" s="87">
        <f>IF(P18=0,0,P18/TrRail_act!P11*1000)</f>
        <v>8.9646602839172012</v>
      </c>
      <c r="Q42" s="87">
        <f>IF(Q18=0,0,Q18/TrRail_act!Q11*1000)</f>
        <v>7.8369580956830687</v>
      </c>
      <c r="R42" s="87">
        <f>IF(R18=0,0,R18/TrRail_act!R11*1000)</f>
        <v>8.2590487673904871</v>
      </c>
      <c r="S42" s="87">
        <f>IF(S18=0,0,S18/TrRail_act!S11*1000)</f>
        <v>6.9602385248697844</v>
      </c>
      <c r="T42" s="87">
        <f>IF(T18=0,0,T18/TrRail_act!T11*1000)</f>
        <v>6.0060812944733675</v>
      </c>
      <c r="U42" s="87">
        <f>IF(U18=0,0,U18/TrRail_act!U11*1000)</f>
        <v>6.1844724380915022</v>
      </c>
      <c r="V42" s="87">
        <f>IF(V18=0,0,V18/TrRail_act!V11*1000)</f>
        <v>5.5715130970697713</v>
      </c>
      <c r="W42" s="87">
        <f>IF(W18=0,0,W18/TrRail_act!W11*1000)</f>
        <v>6.0646561683743458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6.0120891264632261</v>
      </c>
      <c r="C43" s="88">
        <f>IF(C19=0,0,C19/TrRail_act!C12*1000)</f>
        <v>4.9821971877918392</v>
      </c>
      <c r="D43" s="88">
        <f>IF(D19=0,0,D19/TrRail_act!D12*1000)</f>
        <v>5.2134958573217851</v>
      </c>
      <c r="E43" s="88">
        <f>IF(E19=0,0,E19/TrRail_act!E12*1000)</f>
        <v>4.9759426353180141</v>
      </c>
      <c r="F43" s="88">
        <f>IF(F19=0,0,F19/TrRail_act!F12*1000)</f>
        <v>4.7680728823539198</v>
      </c>
      <c r="G43" s="88">
        <f>IF(G19=0,0,G19/TrRail_act!G12*1000)</f>
        <v>4.7016939922982406</v>
      </c>
      <c r="H43" s="88">
        <f>IF(H19=0,0,H19/TrRail_act!H12*1000)</f>
        <v>4.3596098477226377</v>
      </c>
      <c r="I43" s="88">
        <f>IF(I19=0,0,I19/TrRail_act!I12*1000)</f>
        <v>3.9205201638691944</v>
      </c>
      <c r="J43" s="88">
        <f>IF(J19=0,0,J19/TrRail_act!J12*1000)</f>
        <v>4.1047848343490028</v>
      </c>
      <c r="K43" s="88">
        <f>IF(K19=0,0,K19/TrRail_act!K12*1000)</f>
        <v>4.3572615723448331</v>
      </c>
      <c r="L43" s="88">
        <f>IF(L19=0,0,L19/TrRail_act!L12*1000)</f>
        <v>4.8224556695908838</v>
      </c>
      <c r="M43" s="88">
        <f>IF(M19=0,0,M19/TrRail_act!M12*1000)</f>
        <v>4.7021368696392232</v>
      </c>
      <c r="N43" s="88">
        <f>IF(N19=0,0,N19/TrRail_act!N12*1000)</f>
        <v>4.4689820469034043</v>
      </c>
      <c r="O43" s="88">
        <f>IF(O19=0,0,O19/TrRail_act!O12*1000)</f>
        <v>5.2653238661096484</v>
      </c>
      <c r="P43" s="88">
        <f>IF(P19=0,0,P19/TrRail_act!P12*1000)</f>
        <v>5.2665691398399117</v>
      </c>
      <c r="Q43" s="88">
        <f>IF(Q19=0,0,Q19/TrRail_act!Q12*1000)</f>
        <v>4.9134494992444067</v>
      </c>
      <c r="R43" s="88">
        <f>IF(R19=0,0,R19/TrRail_act!R12*1000)</f>
        <v>5.4056587659648816</v>
      </c>
      <c r="S43" s="88">
        <f>IF(S19=0,0,S19/TrRail_act!S12*1000)</f>
        <v>5.0717039323525857</v>
      </c>
      <c r="T43" s="88">
        <f>IF(T19=0,0,T19/TrRail_act!T12*1000)</f>
        <v>4.4589564408284721</v>
      </c>
      <c r="U43" s="88">
        <f>IF(U19=0,0,U19/TrRail_act!U12*1000)</f>
        <v>4.3480193046109274</v>
      </c>
      <c r="V43" s="88">
        <f>IF(V19=0,0,V19/TrRail_act!V12*1000)</f>
        <v>4.0445041437577522</v>
      </c>
      <c r="W43" s="88">
        <f>IF(W19=0,0,W19/TrRail_act!W12*1000)</f>
        <v>3.4686416792281523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276277.10351343837</v>
      </c>
      <c r="C45" s="54">
        <f>IF(C10=0,0,1000000*C10/TrRail_act!C25)</f>
        <v>274011.59318258282</v>
      </c>
      <c r="D45" s="54">
        <f>IF(D10=0,0,1000000*D10/TrRail_act!D25)</f>
        <v>270902.20973962586</v>
      </c>
      <c r="E45" s="54">
        <f>IF(E10=0,0,1000000*E10/TrRail_act!E25)</f>
        <v>269168.93787588103</v>
      </c>
      <c r="F45" s="54">
        <f>IF(F10=0,0,1000000*F10/TrRail_act!F25)</f>
        <v>273818.00237031281</v>
      </c>
      <c r="G45" s="54">
        <f>IF(G10=0,0,1000000*G10/TrRail_act!G25)</f>
        <v>273827.10630849667</v>
      </c>
      <c r="H45" s="54">
        <f>IF(H10=0,0,1000000*H10/TrRail_act!H25)</f>
        <v>270895.70914513734</v>
      </c>
      <c r="I45" s="54">
        <f>IF(I10=0,0,1000000*I10/TrRail_act!I25)</f>
        <v>259563.18883698832</v>
      </c>
      <c r="J45" s="54">
        <f>IF(J10=0,0,1000000*J10/TrRail_act!J25)</f>
        <v>254057.74968750635</v>
      </c>
      <c r="K45" s="54">
        <f>IF(K10=0,0,1000000*K10/TrRail_act!K25)</f>
        <v>238083.67434020739</v>
      </c>
      <c r="L45" s="54">
        <f>IF(L10=0,0,1000000*L10/TrRail_act!L25)</f>
        <v>246887.09345486434</v>
      </c>
      <c r="M45" s="54">
        <f>IF(M10=0,0,1000000*M10/TrRail_act!M25)</f>
        <v>241720.49433555128</v>
      </c>
      <c r="N45" s="54">
        <f>IF(N10=0,0,1000000*N10/TrRail_act!N25)</f>
        <v>233979.31691470451</v>
      </c>
      <c r="O45" s="54">
        <f>IF(O10=0,0,1000000*O10/TrRail_act!O25)</f>
        <v>225857.25544491663</v>
      </c>
      <c r="P45" s="54">
        <f>IF(P10=0,0,1000000*P10/TrRail_act!P25)</f>
        <v>212260.61450971453</v>
      </c>
      <c r="Q45" s="54">
        <f>IF(Q10=0,0,1000000*Q10/TrRail_act!Q25)</f>
        <v>202450.26975774937</v>
      </c>
      <c r="R45" s="54">
        <f>IF(R10=0,0,1000000*R10/TrRail_act!R25)</f>
        <v>202308.26088943268</v>
      </c>
      <c r="S45" s="54">
        <f>IF(S10=0,0,1000000*S10/TrRail_act!S25)</f>
        <v>202859.60504638869</v>
      </c>
      <c r="T45" s="54">
        <f>IF(T10=0,0,1000000*T10/TrRail_act!T25)</f>
        <v>195781.26450843611</v>
      </c>
      <c r="U45" s="54">
        <f>IF(U10=0,0,1000000*U10/TrRail_act!U25)</f>
        <v>200660.84859982567</v>
      </c>
      <c r="V45" s="54">
        <f>IF(V10=0,0,1000000*V10/TrRail_act!V25)</f>
        <v>200971.53186335927</v>
      </c>
      <c r="W45" s="54">
        <f>IF(W10=0,0,1000000*W10/TrRail_act!W25)</f>
        <v>201563.14502985423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223571.50384468908</v>
      </c>
      <c r="C46" s="28">
        <f>IF(C11=0,0,1000000*C11/TrRail_act!C26)</f>
        <v>212819.14760604754</v>
      </c>
      <c r="D46" s="28">
        <f>IF(D11=0,0,1000000*D11/TrRail_act!D26)</f>
        <v>208375.16046544173</v>
      </c>
      <c r="E46" s="28">
        <f>IF(E11=0,0,1000000*E11/TrRail_act!E26)</f>
        <v>198668.26941800266</v>
      </c>
      <c r="F46" s="28">
        <f>IF(F11=0,0,1000000*F11/TrRail_act!F26)</f>
        <v>202579.74696106059</v>
      </c>
      <c r="G46" s="28">
        <f>IF(G11=0,0,1000000*G11/TrRail_act!G26)</f>
        <v>197601.13805406867</v>
      </c>
      <c r="H46" s="28">
        <f>IF(H11=0,0,1000000*H11/TrRail_act!H26)</f>
        <v>194184.00599023933</v>
      </c>
      <c r="I46" s="28">
        <f>IF(I11=0,0,1000000*I11/TrRail_act!I26)</f>
        <v>181726.77658540837</v>
      </c>
      <c r="J46" s="28">
        <f>IF(J11=0,0,1000000*J11/TrRail_act!J26)</f>
        <v>185836.27752591355</v>
      </c>
      <c r="K46" s="28">
        <f>IF(K11=0,0,1000000*K11/TrRail_act!K26)</f>
        <v>182976.77558034507</v>
      </c>
      <c r="L46" s="28">
        <f>IF(L11=0,0,1000000*L11/TrRail_act!L26)</f>
        <v>183034.25805824675</v>
      </c>
      <c r="M46" s="28">
        <f>IF(M11=0,0,1000000*M11/TrRail_act!M26)</f>
        <v>183096.33816637078</v>
      </c>
      <c r="N46" s="28">
        <f>IF(N11=0,0,1000000*N11/TrRail_act!N26)</f>
        <v>178757.43343071276</v>
      </c>
      <c r="O46" s="28">
        <f>IF(O11=0,0,1000000*O11/TrRail_act!O26)</f>
        <v>166819.1771001236</v>
      </c>
      <c r="P46" s="28">
        <f>IF(P11=0,0,1000000*P11/TrRail_act!P26)</f>
        <v>152844.98608371042</v>
      </c>
      <c r="Q46" s="28">
        <f>IF(Q11=0,0,1000000*Q11/TrRail_act!Q26)</f>
        <v>149519.03502356671</v>
      </c>
      <c r="R46" s="28">
        <f>IF(R11=0,0,1000000*R11/TrRail_act!R26)</f>
        <v>146017.83876214502</v>
      </c>
      <c r="S46" s="28">
        <f>IF(S11=0,0,1000000*S11/TrRail_act!S26)</f>
        <v>144927.1404306796</v>
      </c>
      <c r="T46" s="28">
        <f>IF(T11=0,0,1000000*T11/TrRail_act!T26)</f>
        <v>143360.79658320561</v>
      </c>
      <c r="U46" s="28">
        <f>IF(U11=0,0,1000000*U11/TrRail_act!U26)</f>
        <v>142699.28236195404</v>
      </c>
      <c r="V46" s="28">
        <f>IF(V11=0,0,1000000*V11/TrRail_act!V26)</f>
        <v>135512.63210348043</v>
      </c>
      <c r="W46" s="28">
        <f>IF(W11=0,0,1000000*W11/TrRail_act!W26)</f>
        <v>148272.42638491999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49174.420916089679</v>
      </c>
      <c r="C47" s="108">
        <f>IF(C12=0,0,1000000*C12/TrRail_act!C27)</f>
        <v>48698.945925765132</v>
      </c>
      <c r="D47" s="108">
        <f>IF(D12=0,0,1000000*D12/TrRail_act!D27)</f>
        <v>48374.520595114824</v>
      </c>
      <c r="E47" s="108">
        <f>IF(E12=0,0,1000000*E12/TrRail_act!E27)</f>
        <v>48037.387595914195</v>
      </c>
      <c r="F47" s="108">
        <f>IF(F12=0,0,1000000*F12/TrRail_act!F27)</f>
        <v>47438.785958080698</v>
      </c>
      <c r="G47" s="108">
        <f>IF(G12=0,0,1000000*G12/TrRail_act!G27)</f>
        <v>46920.319783613304</v>
      </c>
      <c r="H47" s="108">
        <f>IF(H12=0,0,1000000*H12/TrRail_act!H27)</f>
        <v>46623.889511419111</v>
      </c>
      <c r="I47" s="108">
        <f>IF(I12=0,0,1000000*I12/TrRail_act!I27)</f>
        <v>46287.573903267636</v>
      </c>
      <c r="J47" s="108">
        <f>IF(J12=0,0,1000000*J12/TrRail_act!J27)</f>
        <v>45635.47594290023</v>
      </c>
      <c r="K47" s="108">
        <f>IF(K12=0,0,1000000*K12/TrRail_act!K27)</f>
        <v>45153.261678649891</v>
      </c>
      <c r="L47" s="108">
        <f>IF(L12=0,0,1000000*L12/TrRail_act!L27)</f>
        <v>44823.688490056811</v>
      </c>
      <c r="M47" s="108">
        <f>IF(M12=0,0,1000000*M12/TrRail_act!M27)</f>
        <v>44357.184059653795</v>
      </c>
      <c r="N47" s="108">
        <f>IF(N12=0,0,1000000*N12/TrRail_act!N27)</f>
        <v>43970.67121683657</v>
      </c>
      <c r="O47" s="108">
        <f>IF(O12=0,0,1000000*O12/TrRail_act!O27)</f>
        <v>43566.785614268614</v>
      </c>
      <c r="P47" s="108">
        <f>IF(P12=0,0,1000000*P12/TrRail_act!P27)</f>
        <v>43148.838209333539</v>
      </c>
      <c r="Q47" s="108">
        <f>IF(Q12=0,0,1000000*Q12/TrRail_act!Q27)</f>
        <v>42893.484004192462</v>
      </c>
      <c r="R47" s="108">
        <f>IF(R12=0,0,1000000*R12/TrRail_act!R27)</f>
        <v>42702.960714910369</v>
      </c>
      <c r="S47" s="108">
        <f>IF(S12=0,0,1000000*S12/TrRail_act!S27)</f>
        <v>42560.624003269491</v>
      </c>
      <c r="T47" s="108">
        <f>IF(T12=0,0,1000000*T12/TrRail_act!T27)</f>
        <v>42454.182970231697</v>
      </c>
      <c r="U47" s="108">
        <f>IF(U12=0,0,1000000*U12/TrRail_act!U27)</f>
        <v>34725.301829836098</v>
      </c>
      <c r="V47" s="108">
        <f>IF(V12=0,0,1000000*V12/TrRail_act!V27)</f>
        <v>42314.882992287654</v>
      </c>
      <c r="W47" s="108">
        <f>IF(W12=0,0,1000000*W12/TrRail_act!W27)</f>
        <v>42270.204696225839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333785.26917805633</v>
      </c>
      <c r="C48" s="110">
        <f>IF(C13=0,0,1000000*C13/TrRail_act!C28)</f>
        <v>323387.13445708097</v>
      </c>
      <c r="D48" s="110">
        <f>IF(D13=0,0,1000000*D13/TrRail_act!D28)</f>
        <v>314903.21460707963</v>
      </c>
      <c r="E48" s="110">
        <f>IF(E13=0,0,1000000*E13/TrRail_act!E28)</f>
        <v>307182.58879630611</v>
      </c>
      <c r="F48" s="110">
        <f>IF(F13=0,0,1000000*F13/TrRail_act!F28)</f>
        <v>305045.53545685345</v>
      </c>
      <c r="G48" s="110">
        <f>IF(G13=0,0,1000000*G13/TrRail_act!G28)</f>
        <v>295038.86986799445</v>
      </c>
      <c r="H48" s="110">
        <f>IF(H13=0,0,1000000*H13/TrRail_act!H28)</f>
        <v>289366.60354538611</v>
      </c>
      <c r="I48" s="110">
        <f>IF(I13=0,0,1000000*I13/TrRail_act!I28)</f>
        <v>283392.64621715655</v>
      </c>
      <c r="J48" s="110">
        <f>IF(J13=0,0,1000000*J13/TrRail_act!J28)</f>
        <v>277611.79354664392</v>
      </c>
      <c r="K48" s="110">
        <f>IF(K13=0,0,1000000*K13/TrRail_act!K28)</f>
        <v>268145.15528405324</v>
      </c>
      <c r="L48" s="110">
        <f>IF(L13=0,0,1000000*L13/TrRail_act!L28)</f>
        <v>265641.6181245601</v>
      </c>
      <c r="M48" s="110">
        <f>IF(M13=0,0,1000000*M13/TrRail_act!M28)</f>
        <v>260735.6018579049</v>
      </c>
      <c r="N48" s="110">
        <f>IF(N13=0,0,1000000*N13/TrRail_act!N28)</f>
        <v>256599.45440952989</v>
      </c>
      <c r="O48" s="110">
        <f>IF(O13=0,0,1000000*O13/TrRail_act!O28)</f>
        <v>242560.21567855528</v>
      </c>
      <c r="P48" s="110">
        <f>IF(P13=0,0,1000000*P13/TrRail_act!P28)</f>
        <v>232594.16336595319</v>
      </c>
      <c r="Q48" s="110">
        <f>IF(Q13=0,0,1000000*Q13/TrRail_act!Q28)</f>
        <v>233632.5288181924</v>
      </c>
      <c r="R48" s="110">
        <f>IF(R13=0,0,1000000*R13/TrRail_act!R28)</f>
        <v>231470.44800156279</v>
      </c>
      <c r="S48" s="110">
        <f>IF(S13=0,0,1000000*S13/TrRail_act!S28)</f>
        <v>228136.98967161664</v>
      </c>
      <c r="T48" s="110">
        <f>IF(T13=0,0,1000000*T13/TrRail_act!T28)</f>
        <v>219566.94944934573</v>
      </c>
      <c r="U48" s="110">
        <f>IF(U13=0,0,1000000*U13/TrRail_act!U28)</f>
        <v>217796.61025689638</v>
      </c>
      <c r="V48" s="110">
        <f>IF(V13=0,0,1000000*V13/TrRail_act!V28)</f>
        <v>201243.53687090657</v>
      </c>
      <c r="W48" s="110">
        <f>IF(W13=0,0,1000000*W13/TrRail_act!W28)</f>
        <v>214129.85722892394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432305.08444308152</v>
      </c>
      <c r="C49" s="84">
        <f>IF(C14=0,0,1000000*C14/TrRail_act!C29)</f>
        <v>416680.55419303989</v>
      </c>
      <c r="D49" s="84">
        <f>IF(D14=0,0,1000000*D14/TrRail_act!D29)</f>
        <v>403545.66494271701</v>
      </c>
      <c r="E49" s="84">
        <f>IF(E14=0,0,1000000*E14/TrRail_act!E29)</f>
        <v>389431.0217228845</v>
      </c>
      <c r="F49" s="84">
        <f>IF(F14=0,0,1000000*F14/TrRail_act!F29)</f>
        <v>378243.24000624352</v>
      </c>
      <c r="G49" s="84">
        <f>IF(G14=0,0,1000000*G14/TrRail_act!G29)</f>
        <v>367500.91237777594</v>
      </c>
      <c r="H49" s="84">
        <f>IF(H14=0,0,1000000*H14/TrRail_act!H29)</f>
        <v>357850.59785080893</v>
      </c>
      <c r="I49" s="84">
        <f>IF(I14=0,0,1000000*I14/TrRail_act!I29)</f>
        <v>348139.56252539071</v>
      </c>
      <c r="J49" s="84">
        <f>IF(J14=0,0,1000000*J14/TrRail_act!J29)</f>
        <v>337698.40089619876</v>
      </c>
      <c r="K49" s="84">
        <f>IF(K14=0,0,1000000*K14/TrRail_act!K29)</f>
        <v>328151.16112687765</v>
      </c>
      <c r="L49" s="84">
        <f>IF(L14=0,0,1000000*L14/TrRail_act!L29)</f>
        <v>324161.23550172918</v>
      </c>
      <c r="M49" s="84">
        <f>IF(M14=0,0,1000000*M14/TrRail_act!M29)</f>
        <v>320366.38123722194</v>
      </c>
      <c r="N49" s="84">
        <f>IF(N14=0,0,1000000*N14/TrRail_act!N29)</f>
        <v>316398.79452716303</v>
      </c>
      <c r="O49" s="84">
        <f>IF(O14=0,0,1000000*O14/TrRail_act!O29)</f>
        <v>302322.11890935677</v>
      </c>
      <c r="P49" s="84">
        <f>IF(P14=0,0,1000000*P14/TrRail_act!P29)</f>
        <v>278660.66248820559</v>
      </c>
      <c r="Q49" s="84">
        <f>IF(Q14=0,0,1000000*Q14/TrRail_act!Q29)</f>
        <v>274640.80948414432</v>
      </c>
      <c r="R49" s="84">
        <f>IF(R14=0,0,1000000*R14/TrRail_act!R29)</f>
        <v>271955.25050015032</v>
      </c>
      <c r="S49" s="84">
        <f>IF(S14=0,0,1000000*S14/TrRail_act!S29)</f>
        <v>266474.39424484782</v>
      </c>
      <c r="T49" s="84">
        <f>IF(T14=0,0,1000000*T14/TrRail_act!T29)</f>
        <v>256473.56878466363</v>
      </c>
      <c r="U49" s="84">
        <f>IF(U14=0,0,1000000*U14/TrRail_act!U29)</f>
        <v>259448.03527670639</v>
      </c>
      <c r="V49" s="84">
        <f>IF(V14=0,0,1000000*V14/TrRail_act!V29)</f>
        <v>257229.15177743766</v>
      </c>
      <c r="W49" s="84">
        <f>IF(W14=0,0,1000000*W14/TrRail_act!W29)</f>
        <v>255577.44285625144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233196.12501064313</v>
      </c>
      <c r="C50" s="84">
        <f>IF(C15=0,0,1000000*C15/TrRail_act!C30)</f>
        <v>229589.26121162987</v>
      </c>
      <c r="D50" s="84">
        <f>IF(D15=0,0,1000000*D15/TrRail_act!D30)</f>
        <v>226513.04133747533</v>
      </c>
      <c r="E50" s="84">
        <f>IF(E15=0,0,1000000*E15/TrRail_act!E30)</f>
        <v>225085.17288198706</v>
      </c>
      <c r="F50" s="84">
        <f>IF(F15=0,0,1000000*F15/TrRail_act!F30)</f>
        <v>221552.90514502907</v>
      </c>
      <c r="G50" s="84">
        <f>IF(G15=0,0,1000000*G15/TrRail_act!G30)</f>
        <v>217010.31164430364</v>
      </c>
      <c r="H50" s="84">
        <f>IF(H15=0,0,1000000*H15/TrRail_act!H30)</f>
        <v>214949.71476795973</v>
      </c>
      <c r="I50" s="84">
        <f>IF(I15=0,0,1000000*I15/TrRail_act!I30)</f>
        <v>214106.90617953683</v>
      </c>
      <c r="J50" s="84">
        <f>IF(J15=0,0,1000000*J15/TrRail_act!J30)</f>
        <v>213150.46905456937</v>
      </c>
      <c r="K50" s="84">
        <f>IF(K15=0,0,1000000*K15/TrRail_act!K30)</f>
        <v>211778.84143492649</v>
      </c>
      <c r="L50" s="84">
        <f>IF(L15=0,0,1000000*L15/TrRail_act!L30)</f>
        <v>211067.13904421034</v>
      </c>
      <c r="M50" s="84">
        <f>IF(M15=0,0,1000000*M15/TrRail_act!M30)</f>
        <v>207467.18874609459</v>
      </c>
      <c r="N50" s="84">
        <f>IF(N15=0,0,1000000*N15/TrRail_act!N30)</f>
        <v>204558.46731892301</v>
      </c>
      <c r="O50" s="84">
        <f>IF(O15=0,0,1000000*O15/TrRail_act!O30)</f>
        <v>186300.92184212481</v>
      </c>
      <c r="P50" s="84">
        <f>IF(P15=0,0,1000000*P15/TrRail_act!P30)</f>
        <v>189570.94352679551</v>
      </c>
      <c r="Q50" s="84">
        <f>IF(Q15=0,0,1000000*Q15/TrRail_act!Q30)</f>
        <v>199025.29951920686</v>
      </c>
      <c r="R50" s="84">
        <f>IF(R15=0,0,1000000*R15/TrRail_act!R30)</f>
        <v>196799.27316688365</v>
      </c>
      <c r="S50" s="84">
        <f>IF(S15=0,0,1000000*S15/TrRail_act!S30)</f>
        <v>195536.39992415207</v>
      </c>
      <c r="T50" s="84">
        <f>IF(T15=0,0,1000000*T15/TrRail_act!T30)</f>
        <v>194594.56693704444</v>
      </c>
      <c r="U50" s="84">
        <f>IF(U15=0,0,1000000*U15/TrRail_act!U30)</f>
        <v>193891.17027240316</v>
      </c>
      <c r="V50" s="84">
        <f>IF(V15=0,0,1000000*V15/TrRail_act!V30)</f>
        <v>170777.01316885164</v>
      </c>
      <c r="W50" s="84">
        <f>IF(W15=0,0,1000000*W15/TrRail_act!W30)</f>
        <v>192971.81728516513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674606.61301300745</v>
      </c>
      <c r="C52" s="28">
        <f>IF(C17=0,0,1000000*C17/TrRail_act!C32)</f>
        <v>698974.66877064318</v>
      </c>
      <c r="D52" s="28">
        <f>IF(D17=0,0,1000000*D17/TrRail_act!D32)</f>
        <v>674633.61261461489</v>
      </c>
      <c r="E52" s="28">
        <f>IF(E17=0,0,1000000*E17/TrRail_act!E32)</f>
        <v>674936.76645725779</v>
      </c>
      <c r="F52" s="28">
        <f>IF(F17=0,0,1000000*F17/TrRail_act!F32)</f>
        <v>676501.92967429827</v>
      </c>
      <c r="G52" s="28">
        <f>IF(G17=0,0,1000000*G17/TrRail_act!G32)</f>
        <v>663793.38582646206</v>
      </c>
      <c r="H52" s="28">
        <f>IF(H17=0,0,1000000*H17/TrRail_act!H32)</f>
        <v>653894.11927562929</v>
      </c>
      <c r="I52" s="28">
        <f>IF(I17=0,0,1000000*I17/TrRail_act!I32)</f>
        <v>668507.26476862258</v>
      </c>
      <c r="J52" s="28">
        <f>IF(J17=0,0,1000000*J17/TrRail_act!J32)</f>
        <v>639166.54825821298</v>
      </c>
      <c r="K52" s="28">
        <f>IF(K17=0,0,1000000*K17/TrRail_act!K32)</f>
        <v>558068.24014064216</v>
      </c>
      <c r="L52" s="28">
        <f>IF(L17=0,0,1000000*L17/TrRail_act!L32)</f>
        <v>617419.06228110369</v>
      </c>
      <c r="M52" s="28">
        <f>IF(M17=0,0,1000000*M17/TrRail_act!M32)</f>
        <v>590831.7699732749</v>
      </c>
      <c r="N52" s="28">
        <f>IF(N17=0,0,1000000*N17/TrRail_act!N32)</f>
        <v>582421.17650455283</v>
      </c>
      <c r="O52" s="28">
        <f>IF(O17=0,0,1000000*O17/TrRail_act!O32)</f>
        <v>584955.03753827361</v>
      </c>
      <c r="P52" s="28">
        <f>IF(P17=0,0,1000000*P17/TrRail_act!P32)</f>
        <v>577207.87790068227</v>
      </c>
      <c r="Q52" s="28">
        <f>IF(Q17=0,0,1000000*Q17/TrRail_act!Q32)</f>
        <v>518824.80543602887</v>
      </c>
      <c r="R52" s="28">
        <f>IF(R17=0,0,1000000*R17/TrRail_act!R32)</f>
        <v>518903.35429667629</v>
      </c>
      <c r="S52" s="28">
        <f>IF(S17=0,0,1000000*S17/TrRail_act!S32)</f>
        <v>495509.34089626238</v>
      </c>
      <c r="T52" s="28">
        <f>IF(T17=0,0,1000000*T17/TrRail_act!T32)</f>
        <v>458641.36775632796</v>
      </c>
      <c r="U52" s="28">
        <f>IF(U17=0,0,1000000*U17/TrRail_act!U32)</f>
        <v>470577.46453909978</v>
      </c>
      <c r="V52" s="28">
        <f>IF(V17=0,0,1000000*V17/TrRail_act!V32)</f>
        <v>465285.46126517787</v>
      </c>
      <c r="W52" s="28">
        <f>IF(W17=0,0,1000000*W17/TrRail_act!W32)</f>
        <v>441347.83471044153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1108681.9299598462</v>
      </c>
      <c r="C53" s="84">
        <f>IF(C18=0,0,1000000*C18/TrRail_act!C33)</f>
        <v>1096348.1562220182</v>
      </c>
      <c r="D53" s="84">
        <f>IF(D18=0,0,1000000*D18/TrRail_act!D33)</f>
        <v>1087800.6714075536</v>
      </c>
      <c r="E53" s="84">
        <f>IF(E18=0,0,1000000*E18/TrRail_act!E33)</f>
        <v>1076028.4039342876</v>
      </c>
      <c r="F53" s="84">
        <f>IF(F18=0,0,1000000*F18/TrRail_act!F33)</f>
        <v>1069143.7039655105</v>
      </c>
      <c r="G53" s="84">
        <f>IF(G18=0,0,1000000*G18/TrRail_act!G33)</f>
        <v>1045177.4465226926</v>
      </c>
      <c r="H53" s="84">
        <f>IF(H18=0,0,1000000*H18/TrRail_act!H33)</f>
        <v>1038429.251464203</v>
      </c>
      <c r="I53" s="84">
        <f>IF(I18=0,0,1000000*I18/TrRail_act!I33)</f>
        <v>1032208.2591443575</v>
      </c>
      <c r="J53" s="84">
        <f>IF(J18=0,0,1000000*J18/TrRail_act!J33)</f>
        <v>967398.31937228132</v>
      </c>
      <c r="K53" s="84">
        <f>IF(K18=0,0,1000000*K18/TrRail_act!K33)</f>
        <v>836708.76554960525</v>
      </c>
      <c r="L53" s="84">
        <f>IF(L18=0,0,1000000*L18/TrRail_act!L33)</f>
        <v>930275.19267066312</v>
      </c>
      <c r="M53" s="84">
        <f>IF(M18=0,0,1000000*M18/TrRail_act!M33)</f>
        <v>885342.35110140825</v>
      </c>
      <c r="N53" s="84">
        <f>IF(N18=0,0,1000000*N18/TrRail_act!N33)</f>
        <v>868587.12989729771</v>
      </c>
      <c r="O53" s="84">
        <f>IF(O18=0,0,1000000*O18/TrRail_act!O33)</f>
        <v>920578.31034134631</v>
      </c>
      <c r="P53" s="84">
        <f>IF(P18=0,0,1000000*P18/TrRail_act!P33)</f>
        <v>920331.27814727323</v>
      </c>
      <c r="Q53" s="84">
        <f>IF(Q18=0,0,1000000*Q18/TrRail_act!Q33)</f>
        <v>813303.70989577693</v>
      </c>
      <c r="R53" s="84">
        <f>IF(R18=0,0,1000000*R18/TrRail_act!R33)</f>
        <v>860212.75888931635</v>
      </c>
      <c r="S53" s="84">
        <f>IF(S18=0,0,1000000*S18/TrRail_act!S33)</f>
        <v>843642.09550479148</v>
      </c>
      <c r="T53" s="84">
        <f>IF(T18=0,0,1000000*T18/TrRail_act!T33)</f>
        <v>745898.04411082121</v>
      </c>
      <c r="U53" s="84">
        <f>IF(U18=0,0,1000000*U18/TrRail_act!U33)</f>
        <v>817861.45609780925</v>
      </c>
      <c r="V53" s="84">
        <f>IF(V18=0,0,1000000*V18/TrRail_act!V33)</f>
        <v>809048.83850030915</v>
      </c>
      <c r="W53" s="84">
        <f>IF(W18=0,0,1000000*W18/TrRail_act!W33)</f>
        <v>802501.75394712819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421234.02974139981</v>
      </c>
      <c r="C54" s="86">
        <f>IF(C19=0,0,1000000*C19/TrRail_act!C34)</f>
        <v>414718.76046714198</v>
      </c>
      <c r="D54" s="86">
        <f>IF(D19=0,0,1000000*D19/TrRail_act!D34)</f>
        <v>409162.03108460607</v>
      </c>
      <c r="E54" s="86">
        <f>IF(E19=0,0,1000000*E19/TrRail_act!E34)</f>
        <v>406582.81582515431</v>
      </c>
      <c r="F54" s="86">
        <f>IF(F19=0,0,1000000*F19/TrRail_act!F34)</f>
        <v>400202.29150838265</v>
      </c>
      <c r="G54" s="86">
        <f>IF(G19=0,0,1000000*G19/TrRail_act!G34)</f>
        <v>391996.7817374455</v>
      </c>
      <c r="H54" s="86">
        <f>IF(H19=0,0,1000000*H19/TrRail_act!H34)</f>
        <v>388274.6320799212</v>
      </c>
      <c r="I54" s="86">
        <f>IF(I19=0,0,1000000*I19/TrRail_act!I34)</f>
        <v>386752.21532430872</v>
      </c>
      <c r="J54" s="86">
        <f>IF(J19=0,0,1000000*J19/TrRail_act!J34)</f>
        <v>385024.54661238799</v>
      </c>
      <c r="K54" s="86">
        <f>IF(K19=0,0,1000000*K19/TrRail_act!K34)</f>
        <v>338500.17369763798</v>
      </c>
      <c r="L54" s="86">
        <f>IF(L19=0,0,1000000*L19/TrRail_act!L34)</f>
        <v>381261.33638640045</v>
      </c>
      <c r="M54" s="86">
        <f>IF(M19=0,0,1000000*M19/TrRail_act!M34)</f>
        <v>374758.56631404586</v>
      </c>
      <c r="N54" s="86">
        <f>IF(N19=0,0,1000000*N19/TrRail_act!N34)</f>
        <v>368988.45878812403</v>
      </c>
      <c r="O54" s="86">
        <f>IF(O19=0,0,1000000*O19/TrRail_act!O34)</f>
        <v>366655.67667042947</v>
      </c>
      <c r="P54" s="86">
        <f>IF(P19=0,0,1000000*P19/TrRail_act!P34)</f>
        <v>365428.36399922211</v>
      </c>
      <c r="Q54" s="86">
        <f>IF(Q19=0,0,1000000*Q19/TrRail_act!Q34)</f>
        <v>359509.55185339722</v>
      </c>
      <c r="R54" s="86">
        <f>IF(R19=0,0,1000000*R19/TrRail_act!R34)</f>
        <v>355488.56008848071</v>
      </c>
      <c r="S54" s="86">
        <f>IF(S19=0,0,1000000*S19/TrRail_act!S34)</f>
        <v>353207.36190454487</v>
      </c>
      <c r="T54" s="86">
        <f>IF(T19=0,0,1000000*T19/TrRail_act!T34)</f>
        <v>351506.08808351605</v>
      </c>
      <c r="U54" s="86">
        <f>IF(U19=0,0,1000000*U19/TrRail_act!U34)</f>
        <v>350235.50027038355</v>
      </c>
      <c r="V54" s="86">
        <f>IF(V19=0,0,1000000*V19/TrRail_act!V34)</f>
        <v>349285.58399891661</v>
      </c>
      <c r="W54" s="86">
        <f>IF(W19=0,0,1000000*W19/TrRail_act!W34)</f>
        <v>304627.99547453341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0.71466692966047529</v>
      </c>
      <c r="C57" s="31">
        <f t="shared" ref="C57:V57" si="17">IF(C11=0,0,C11/C$10)</f>
        <v>0.67891864498269761</v>
      </c>
      <c r="D57" s="31">
        <f t="shared" si="17"/>
        <v>0.6660383142583296</v>
      </c>
      <c r="E57" s="31">
        <f t="shared" si="17"/>
        <v>0.62882430993054172</v>
      </c>
      <c r="F57" s="31">
        <f t="shared" si="17"/>
        <v>0.62862447377944575</v>
      </c>
      <c r="G57" s="31">
        <f t="shared" si="17"/>
        <v>0.603635832637198</v>
      </c>
      <c r="H57" s="31">
        <f t="shared" si="17"/>
        <v>0.5972061114098437</v>
      </c>
      <c r="I57" s="31">
        <f t="shared" si="17"/>
        <v>0.58817502773586239</v>
      </c>
      <c r="J57" s="31">
        <f t="shared" si="17"/>
        <v>0.62139359424194984</v>
      </c>
      <c r="K57" s="31">
        <f t="shared" si="17"/>
        <v>0.655629072435578</v>
      </c>
      <c r="L57" s="31">
        <f t="shared" si="17"/>
        <v>0.63239009073500718</v>
      </c>
      <c r="M57" s="31">
        <f t="shared" si="17"/>
        <v>0.64856216247300735</v>
      </c>
      <c r="N57" s="31">
        <f t="shared" si="17"/>
        <v>0.65947330696996853</v>
      </c>
      <c r="O57" s="31">
        <f t="shared" si="17"/>
        <v>0.63431829212510182</v>
      </c>
      <c r="P57" s="31">
        <f t="shared" si="17"/>
        <v>0.61926208498344526</v>
      </c>
      <c r="Q57" s="31">
        <f t="shared" si="17"/>
        <v>0.63269376250097409</v>
      </c>
      <c r="R57" s="31">
        <f t="shared" si="17"/>
        <v>0.61280311659063846</v>
      </c>
      <c r="S57" s="31">
        <f t="shared" si="17"/>
        <v>0.59636537648055299</v>
      </c>
      <c r="T57" s="31">
        <f t="shared" si="17"/>
        <v>0.61050150906500567</v>
      </c>
      <c r="U57" s="31">
        <f t="shared" si="17"/>
        <v>0.58543171520397752</v>
      </c>
      <c r="V57" s="31">
        <f t="shared" si="17"/>
        <v>0.54044365068637124</v>
      </c>
      <c r="W57" s="31">
        <f t="shared" ref="W57" si="18">IF(W11=0,0,W11/W$10)</f>
        <v>0.60185426093693584</v>
      </c>
      <c r="DA57" s="173"/>
    </row>
    <row r="58" spans="1:105" ht="11.45" customHeight="1" x14ac:dyDescent="0.25">
      <c r="A58" s="107" t="s">
        <v>23</v>
      </c>
      <c r="B58" s="123">
        <f t="shared" si="14"/>
        <v>6.0871062514933107E-2</v>
      </c>
      <c r="C58" s="123">
        <f t="shared" ref="C58:V58" si="19">IF(C12=0,0,C12/C$10)</f>
        <v>6.2533971945620714E-2</v>
      </c>
      <c r="D58" s="123">
        <f t="shared" si="19"/>
        <v>6.1800211683446106E-2</v>
      </c>
      <c r="E58" s="123">
        <f t="shared" si="19"/>
        <v>6.3668420388148572E-2</v>
      </c>
      <c r="F58" s="123">
        <f t="shared" si="19"/>
        <v>5.8553178541392137E-2</v>
      </c>
      <c r="G58" s="123">
        <f t="shared" si="19"/>
        <v>5.6287824689960207E-2</v>
      </c>
      <c r="H58" s="123">
        <f t="shared" si="19"/>
        <v>5.6225151879094042E-2</v>
      </c>
      <c r="I58" s="123">
        <f t="shared" si="19"/>
        <v>6.4237171814020624E-2</v>
      </c>
      <c r="J58" s="123">
        <f t="shared" si="19"/>
        <v>6.0370120613885844E-2</v>
      </c>
      <c r="K58" s="123">
        <f t="shared" si="19"/>
        <v>6.1793197706281257E-2</v>
      </c>
      <c r="L58" s="123">
        <f t="shared" si="19"/>
        <v>5.7935488600883371E-2</v>
      </c>
      <c r="M58" s="123">
        <f t="shared" si="19"/>
        <v>5.6377184656655428E-2</v>
      </c>
      <c r="N58" s="123">
        <f t="shared" si="19"/>
        <v>5.9386571762024963E-2</v>
      </c>
      <c r="O58" s="123">
        <f t="shared" si="19"/>
        <v>6.3053514361818899E-2</v>
      </c>
      <c r="P58" s="123">
        <f t="shared" si="19"/>
        <v>7.3592697021714393E-2</v>
      </c>
      <c r="Q58" s="123">
        <f t="shared" si="19"/>
        <v>8.0041360058832528E-2</v>
      </c>
      <c r="R58" s="123">
        <f t="shared" si="19"/>
        <v>8.1128074674473749E-2</v>
      </c>
      <c r="S58" s="123">
        <f t="shared" si="19"/>
        <v>7.8527677820839137E-2</v>
      </c>
      <c r="T58" s="123">
        <f t="shared" si="19"/>
        <v>7.7788786123587542E-2</v>
      </c>
      <c r="U58" s="123">
        <f t="shared" si="19"/>
        <v>5.8439256943310765E-2</v>
      </c>
      <c r="V58" s="123">
        <f t="shared" si="19"/>
        <v>6.9796105078313783E-2</v>
      </c>
      <c r="W58" s="123">
        <f t="shared" ref="W58" si="20">IF(W12=0,0,W12/W$10)</f>
        <v>6.5750059625555579E-2</v>
      </c>
      <c r="DA58" s="203"/>
    </row>
    <row r="59" spans="1:105" ht="11.45" customHeight="1" x14ac:dyDescent="0.25">
      <c r="A59" s="109" t="s">
        <v>24</v>
      </c>
      <c r="B59" s="124">
        <f t="shared" si="14"/>
        <v>0.65379586714554205</v>
      </c>
      <c r="C59" s="124">
        <f t="shared" ref="C59:V59" si="21">IF(C13=0,0,C13/C$10)</f>
        <v>0.61638467303707689</v>
      </c>
      <c r="D59" s="124">
        <f t="shared" si="21"/>
        <v>0.60423810257488353</v>
      </c>
      <c r="E59" s="124">
        <f t="shared" si="21"/>
        <v>0.56515588954239315</v>
      </c>
      <c r="F59" s="124">
        <f t="shared" si="21"/>
        <v>0.57007129523805355</v>
      </c>
      <c r="G59" s="124">
        <f t="shared" si="21"/>
        <v>0.54734800794723781</v>
      </c>
      <c r="H59" s="124">
        <f t="shared" si="21"/>
        <v>0.54098095953074965</v>
      </c>
      <c r="I59" s="124">
        <f t="shared" si="21"/>
        <v>0.52393785592184172</v>
      </c>
      <c r="J59" s="124">
        <f t="shared" si="21"/>
        <v>0.56102347362806393</v>
      </c>
      <c r="K59" s="124">
        <f t="shared" si="21"/>
        <v>0.59383587472929689</v>
      </c>
      <c r="L59" s="124">
        <f t="shared" si="21"/>
        <v>0.57445460213412392</v>
      </c>
      <c r="M59" s="124">
        <f t="shared" si="21"/>
        <v>0.59218497781635204</v>
      </c>
      <c r="N59" s="124">
        <f t="shared" si="21"/>
        <v>0.60008673520794353</v>
      </c>
      <c r="O59" s="124">
        <f t="shared" si="21"/>
        <v>0.57126477776328288</v>
      </c>
      <c r="P59" s="124">
        <f t="shared" si="21"/>
        <v>0.54566938796173092</v>
      </c>
      <c r="Q59" s="124">
        <f t="shared" si="21"/>
        <v>0.55265240244214153</v>
      </c>
      <c r="R59" s="124">
        <f t="shared" si="21"/>
        <v>0.53167504191616466</v>
      </c>
      <c r="S59" s="124">
        <f t="shared" si="21"/>
        <v>0.51783769865971385</v>
      </c>
      <c r="T59" s="124">
        <f t="shared" si="21"/>
        <v>0.53271272294141803</v>
      </c>
      <c r="U59" s="124">
        <f t="shared" si="21"/>
        <v>0.52699245826066676</v>
      </c>
      <c r="V59" s="124">
        <f t="shared" si="21"/>
        <v>0.47064754560805738</v>
      </c>
      <c r="W59" s="124">
        <f t="shared" ref="W59" si="22">IF(W13=0,0,W13/W$10)</f>
        <v>0.53610420131138026</v>
      </c>
      <c r="DA59" s="176"/>
    </row>
    <row r="60" spans="1:105" ht="11.45" customHeight="1" x14ac:dyDescent="0.25">
      <c r="A60" s="111" t="s">
        <v>92</v>
      </c>
      <c r="B60" s="125">
        <f t="shared" si="14"/>
        <v>0.42778510469670938</v>
      </c>
      <c r="C60" s="125">
        <f t="shared" ref="C60:V60" si="23">IF(C14=0,0,C14/C$10)</f>
        <v>0.39817293929525871</v>
      </c>
      <c r="D60" s="125">
        <f t="shared" si="23"/>
        <v>0.38661115421404202</v>
      </c>
      <c r="E60" s="125">
        <f t="shared" si="23"/>
        <v>0.35790927617390872</v>
      </c>
      <c r="F60" s="125">
        <f t="shared" si="23"/>
        <v>0.37665315514214709</v>
      </c>
      <c r="G60" s="125">
        <f t="shared" si="23"/>
        <v>0.35349797807637279</v>
      </c>
      <c r="H60" s="125">
        <f t="shared" si="23"/>
        <v>0.34839500247914945</v>
      </c>
      <c r="I60" s="125">
        <f t="shared" si="23"/>
        <v>0.33271916425187603</v>
      </c>
      <c r="J60" s="125">
        <f t="shared" si="23"/>
        <v>0.35321149541994151</v>
      </c>
      <c r="K60" s="125">
        <f t="shared" si="23"/>
        <v>0.3519981364661649</v>
      </c>
      <c r="L60" s="125">
        <f t="shared" si="23"/>
        <v>0.33827533963522377</v>
      </c>
      <c r="M60" s="125">
        <f t="shared" si="23"/>
        <v>0.34330719854048336</v>
      </c>
      <c r="N60" s="125">
        <f t="shared" si="23"/>
        <v>0.34430253071694167</v>
      </c>
      <c r="O60" s="125">
        <f t="shared" si="23"/>
        <v>0.34525878272458688</v>
      </c>
      <c r="P60" s="125">
        <f t="shared" si="23"/>
        <v>0.31570522095860981</v>
      </c>
      <c r="Q60" s="125">
        <f t="shared" si="23"/>
        <v>0.29733071006741074</v>
      </c>
      <c r="R60" s="125">
        <f t="shared" si="23"/>
        <v>0.28817294241916791</v>
      </c>
      <c r="S60" s="125">
        <f t="shared" si="23"/>
        <v>0.27797132186838652</v>
      </c>
      <c r="T60" s="125">
        <f t="shared" si="23"/>
        <v>0.25112236639673063</v>
      </c>
      <c r="U60" s="125">
        <f t="shared" si="23"/>
        <v>0.22891920792934559</v>
      </c>
      <c r="V60" s="125">
        <f t="shared" si="23"/>
        <v>0.21200260839978771</v>
      </c>
      <c r="W60" s="125">
        <f t="shared" ref="W60" si="24">IF(W14=0,0,W14/W$10)</f>
        <v>0.21625022948937406</v>
      </c>
      <c r="DA60" s="171"/>
    </row>
    <row r="61" spans="1:105" ht="11.45" customHeight="1" x14ac:dyDescent="0.25">
      <c r="A61" s="111" t="s">
        <v>93</v>
      </c>
      <c r="B61" s="125">
        <f t="shared" si="14"/>
        <v>0.2260107624488327</v>
      </c>
      <c r="C61" s="125">
        <f t="shared" ref="C61:V61" si="25">IF(C15=0,0,C15/C$10)</f>
        <v>0.21821173374181815</v>
      </c>
      <c r="D61" s="125">
        <f t="shared" si="25"/>
        <v>0.21762694836084145</v>
      </c>
      <c r="E61" s="125">
        <f t="shared" si="25"/>
        <v>0.20724661336848443</v>
      </c>
      <c r="F61" s="125">
        <f t="shared" si="25"/>
        <v>0.19341814009590649</v>
      </c>
      <c r="G61" s="125">
        <f t="shared" si="25"/>
        <v>0.193850029870865</v>
      </c>
      <c r="H61" s="125">
        <f t="shared" si="25"/>
        <v>0.19258595705160025</v>
      </c>
      <c r="I61" s="125">
        <f t="shared" si="25"/>
        <v>0.19121869166996569</v>
      </c>
      <c r="J61" s="125">
        <f t="shared" si="25"/>
        <v>0.20781197820812242</v>
      </c>
      <c r="K61" s="125">
        <f t="shared" si="25"/>
        <v>0.24183773826313196</v>
      </c>
      <c r="L61" s="125">
        <f t="shared" si="25"/>
        <v>0.23617926249890014</v>
      </c>
      <c r="M61" s="125">
        <f t="shared" si="25"/>
        <v>0.24887777927586863</v>
      </c>
      <c r="N61" s="125">
        <f t="shared" si="25"/>
        <v>0.25578420449100187</v>
      </c>
      <c r="O61" s="125">
        <f t="shared" si="25"/>
        <v>0.22600599503869595</v>
      </c>
      <c r="P61" s="125">
        <f t="shared" si="25"/>
        <v>0.22996416700312108</v>
      </c>
      <c r="Q61" s="125">
        <f t="shared" si="25"/>
        <v>0.25532169237473079</v>
      </c>
      <c r="R61" s="125">
        <f t="shared" si="25"/>
        <v>0.24350209949699675</v>
      </c>
      <c r="S61" s="125">
        <f t="shared" si="25"/>
        <v>0.23986637679132738</v>
      </c>
      <c r="T61" s="125">
        <f t="shared" si="25"/>
        <v>0.28159035654468745</v>
      </c>
      <c r="U61" s="125">
        <f t="shared" si="25"/>
        <v>0.2980732503313212</v>
      </c>
      <c r="V61" s="125">
        <f t="shared" si="25"/>
        <v>0.25864493720826964</v>
      </c>
      <c r="W61" s="125">
        <f t="shared" ref="W61" si="26">IF(W15=0,0,W15/W$10)</f>
        <v>0.3198539718220062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0.28533307033952476</v>
      </c>
      <c r="C63" s="31">
        <f t="shared" ref="C63:V63" si="29">IF(C17=0,0,C17/C$10)</f>
        <v>0.32108135501730234</v>
      </c>
      <c r="D63" s="31">
        <f t="shared" si="29"/>
        <v>0.33396168574167034</v>
      </c>
      <c r="E63" s="31">
        <f t="shared" si="29"/>
        <v>0.37117569006945822</v>
      </c>
      <c r="F63" s="31">
        <f t="shared" si="29"/>
        <v>0.37137552622055431</v>
      </c>
      <c r="G63" s="31">
        <f t="shared" si="29"/>
        <v>0.396364167362802</v>
      </c>
      <c r="H63" s="31">
        <f t="shared" si="29"/>
        <v>0.40279388859015625</v>
      </c>
      <c r="I63" s="31">
        <f t="shared" si="29"/>
        <v>0.41182497226413761</v>
      </c>
      <c r="J63" s="31">
        <f t="shared" si="29"/>
        <v>0.37860640575805027</v>
      </c>
      <c r="K63" s="31">
        <f t="shared" si="29"/>
        <v>0.344370927564422</v>
      </c>
      <c r="L63" s="31">
        <f t="shared" si="29"/>
        <v>0.36760990926499276</v>
      </c>
      <c r="M63" s="31">
        <f t="shared" si="29"/>
        <v>0.35143783752699259</v>
      </c>
      <c r="N63" s="31">
        <f t="shared" si="29"/>
        <v>0.34052669303003141</v>
      </c>
      <c r="O63" s="31">
        <f t="shared" si="29"/>
        <v>0.36568170787489812</v>
      </c>
      <c r="P63" s="31">
        <f t="shared" si="29"/>
        <v>0.38073791501655474</v>
      </c>
      <c r="Q63" s="31">
        <f t="shared" si="29"/>
        <v>0.36730623749902597</v>
      </c>
      <c r="R63" s="31">
        <f t="shared" si="29"/>
        <v>0.38719688340936154</v>
      </c>
      <c r="S63" s="31">
        <f t="shared" si="29"/>
        <v>0.40363462351944684</v>
      </c>
      <c r="T63" s="31">
        <f t="shared" si="29"/>
        <v>0.38949849093499433</v>
      </c>
      <c r="U63" s="31">
        <f t="shared" si="29"/>
        <v>0.41456828479602248</v>
      </c>
      <c r="V63" s="31">
        <f t="shared" si="29"/>
        <v>0.45955634931362876</v>
      </c>
      <c r="W63" s="31">
        <f t="shared" ref="W63" si="30">IF(W17=0,0,W17/W$10)</f>
        <v>0.39814573906306422</v>
      </c>
      <c r="DA63" s="173"/>
    </row>
    <row r="64" spans="1:105" ht="11.45" customHeight="1" x14ac:dyDescent="0.25">
      <c r="A64" s="83" t="s">
        <v>92</v>
      </c>
      <c r="B64" s="125">
        <f t="shared" si="14"/>
        <v>0.17283365497141037</v>
      </c>
      <c r="C64" s="125">
        <f t="shared" ref="C64:V64" si="31">IF(C18=0,0,C18/C$10)</f>
        <v>0.21002129383649595</v>
      </c>
      <c r="D64" s="125">
        <f t="shared" si="31"/>
        <v>0.21064805084035493</v>
      </c>
      <c r="E64" s="125">
        <f t="shared" si="31"/>
        <v>0.23720993971891607</v>
      </c>
      <c r="F64" s="125">
        <f t="shared" si="31"/>
        <v>0.24242229400964341</v>
      </c>
      <c r="G64" s="125">
        <f t="shared" si="31"/>
        <v>0.25969417039115122</v>
      </c>
      <c r="H64" s="125">
        <f t="shared" si="31"/>
        <v>0.26133383133278804</v>
      </c>
      <c r="I64" s="125">
        <f t="shared" si="31"/>
        <v>0.27757408228596919</v>
      </c>
      <c r="J64" s="125">
        <f t="shared" si="31"/>
        <v>0.2500655620293189</v>
      </c>
      <c r="K64" s="125">
        <f t="shared" si="31"/>
        <v>0.22754717930228152</v>
      </c>
      <c r="L64" s="125">
        <f t="shared" si="31"/>
        <v>0.23825250105593843</v>
      </c>
      <c r="M64" s="125">
        <f t="shared" si="31"/>
        <v>0.2228588116510001</v>
      </c>
      <c r="N64" s="125">
        <f t="shared" si="31"/>
        <v>0.21695372615035166</v>
      </c>
      <c r="O64" s="125">
        <f t="shared" si="31"/>
        <v>0.22680093604029306</v>
      </c>
      <c r="P64" s="125">
        <f t="shared" si="31"/>
        <v>0.23168877915564018</v>
      </c>
      <c r="Q64" s="125">
        <f t="shared" si="31"/>
        <v>0.20214303569331893</v>
      </c>
      <c r="R64" s="125">
        <f t="shared" si="31"/>
        <v>0.20782055427111193</v>
      </c>
      <c r="S64" s="125">
        <f t="shared" si="31"/>
        <v>0.1993997126900538</v>
      </c>
      <c r="T64" s="125">
        <f t="shared" si="31"/>
        <v>0.17207448678660639</v>
      </c>
      <c r="U64" s="125">
        <f t="shared" si="31"/>
        <v>0.18542281828116891</v>
      </c>
      <c r="V64" s="125">
        <f t="shared" si="31"/>
        <v>0.20161242738096671</v>
      </c>
      <c r="W64" s="125">
        <f t="shared" ref="W64" si="32">IF(W18=0,0,W18/W$10)</f>
        <v>0.19880136633598794</v>
      </c>
      <c r="DA64" s="171"/>
    </row>
    <row r="65" spans="1:105" ht="11.45" customHeight="1" x14ac:dyDescent="0.25">
      <c r="A65" s="85" t="s">
        <v>93</v>
      </c>
      <c r="B65" s="127">
        <f t="shared" si="14"/>
        <v>0.11249941536811442</v>
      </c>
      <c r="C65" s="127">
        <f t="shared" ref="C65:V65" si="33">IF(C19=0,0,C19/C$10)</f>
        <v>0.1110600611808064</v>
      </c>
      <c r="D65" s="127">
        <f t="shared" si="33"/>
        <v>0.12331363490131543</v>
      </c>
      <c r="E65" s="127">
        <f t="shared" si="33"/>
        <v>0.13396575035054215</v>
      </c>
      <c r="F65" s="127">
        <f t="shared" si="33"/>
        <v>0.12895323221091087</v>
      </c>
      <c r="G65" s="127">
        <f t="shared" si="33"/>
        <v>0.1366699969716508</v>
      </c>
      <c r="H65" s="127">
        <f t="shared" si="33"/>
        <v>0.14146005725736821</v>
      </c>
      <c r="I65" s="127">
        <f t="shared" si="33"/>
        <v>0.13425088997816839</v>
      </c>
      <c r="J65" s="127">
        <f t="shared" si="33"/>
        <v>0.12854084372873137</v>
      </c>
      <c r="K65" s="127">
        <f t="shared" si="33"/>
        <v>0.11682374826214052</v>
      </c>
      <c r="L65" s="127">
        <f t="shared" si="33"/>
        <v>0.12935740820905431</v>
      </c>
      <c r="M65" s="127">
        <f t="shared" si="33"/>
        <v>0.12857902587599251</v>
      </c>
      <c r="N65" s="127">
        <f t="shared" si="33"/>
        <v>0.12357296687967974</v>
      </c>
      <c r="O65" s="127">
        <f t="shared" si="33"/>
        <v>0.13888077183460509</v>
      </c>
      <c r="P65" s="127">
        <f t="shared" si="33"/>
        <v>0.14904913586091456</v>
      </c>
      <c r="Q65" s="127">
        <f t="shared" si="33"/>
        <v>0.16516320180570701</v>
      </c>
      <c r="R65" s="127">
        <f t="shared" si="33"/>
        <v>0.17937632913824961</v>
      </c>
      <c r="S65" s="127">
        <f t="shared" si="33"/>
        <v>0.2042349108293931</v>
      </c>
      <c r="T65" s="127">
        <f t="shared" si="33"/>
        <v>0.21742400414838792</v>
      </c>
      <c r="U65" s="127">
        <f t="shared" si="33"/>
        <v>0.22914546651485354</v>
      </c>
      <c r="V65" s="127">
        <f t="shared" si="33"/>
        <v>0.25794392193266202</v>
      </c>
      <c r="W65" s="127">
        <f t="shared" ref="W65" si="34">IF(W19=0,0,W19/W$10)</f>
        <v>0.19934437272707631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85.449897000000007</v>
      </c>
      <c r="C4" s="26">
        <f t="shared" ref="C4:W4" si="0">SUM(C5:C6)</f>
        <v>88.614737640000001</v>
      </c>
      <c r="D4" s="26">
        <f t="shared" si="0"/>
        <v>88.614737640000001</v>
      </c>
      <c r="E4" s="26">
        <f t="shared" si="0"/>
        <v>88.614737640000001</v>
      </c>
      <c r="F4" s="26">
        <f t="shared" si="0"/>
        <v>94.944418919999976</v>
      </c>
      <c r="G4" s="26">
        <f t="shared" si="0"/>
        <v>98.109259560000012</v>
      </c>
      <c r="H4" s="26">
        <f t="shared" si="0"/>
        <v>101.27383343999998</v>
      </c>
      <c r="I4" s="26">
        <f t="shared" si="0"/>
        <v>104.43867407999998</v>
      </c>
      <c r="J4" s="26">
        <f t="shared" si="0"/>
        <v>102.22349904000001</v>
      </c>
      <c r="K4" s="26">
        <f t="shared" si="0"/>
        <v>88.614737640000001</v>
      </c>
      <c r="L4" s="26">
        <f t="shared" si="0"/>
        <v>88.614737640000001</v>
      </c>
      <c r="M4" s="26">
        <f t="shared" si="0"/>
        <v>83.551099319999992</v>
      </c>
      <c r="N4" s="26">
        <f t="shared" si="0"/>
        <v>78.487194240000008</v>
      </c>
      <c r="O4" s="26">
        <f t="shared" si="0"/>
        <v>75.95537508000001</v>
      </c>
      <c r="P4" s="26">
        <f t="shared" si="0"/>
        <v>66.461119919999987</v>
      </c>
      <c r="Q4" s="26">
        <f t="shared" si="0"/>
        <v>56.966597999999998</v>
      </c>
      <c r="R4" s="26">
        <f t="shared" si="0"/>
        <v>56.966597999999998</v>
      </c>
      <c r="S4" s="26">
        <f t="shared" si="0"/>
        <v>55.700555040000012</v>
      </c>
      <c r="T4" s="26">
        <f t="shared" si="0"/>
        <v>46.52267724</v>
      </c>
      <c r="U4" s="26">
        <f t="shared" si="0"/>
        <v>45.256901040000002</v>
      </c>
      <c r="V4" s="26">
        <f t="shared" si="0"/>
        <v>42.092060400000001</v>
      </c>
      <c r="W4" s="26">
        <f t="shared" si="0"/>
        <v>45.256901040000002</v>
      </c>
      <c r="DA4" s="202" t="s">
        <v>1135</v>
      </c>
    </row>
    <row r="5" spans="1:105" ht="11.45" customHeight="1" x14ac:dyDescent="0.25">
      <c r="A5" s="107" t="s">
        <v>92</v>
      </c>
      <c r="B5" s="129">
        <v>85.449897000000007</v>
      </c>
      <c r="C5" s="129">
        <v>88.614737640000001</v>
      </c>
      <c r="D5" s="129">
        <v>88.614737640000001</v>
      </c>
      <c r="E5" s="129">
        <v>88.614737640000001</v>
      </c>
      <c r="F5" s="129">
        <v>94.944418919999976</v>
      </c>
      <c r="G5" s="129">
        <v>98.109259560000012</v>
      </c>
      <c r="H5" s="129">
        <v>101.27383343999998</v>
      </c>
      <c r="I5" s="129">
        <v>104.43867407999998</v>
      </c>
      <c r="J5" s="129">
        <v>102.22349904000001</v>
      </c>
      <c r="K5" s="129">
        <v>88.614737640000001</v>
      </c>
      <c r="L5" s="129">
        <v>88.614737640000001</v>
      </c>
      <c r="M5" s="129">
        <v>83.551099319999992</v>
      </c>
      <c r="N5" s="129">
        <v>78.487194240000008</v>
      </c>
      <c r="O5" s="129">
        <v>75.95537508000001</v>
      </c>
      <c r="P5" s="129">
        <v>66.461119919999987</v>
      </c>
      <c r="Q5" s="129">
        <v>56.966597999999998</v>
      </c>
      <c r="R5" s="129">
        <v>56.966597999999998</v>
      </c>
      <c r="S5" s="129">
        <v>55.700555040000012</v>
      </c>
      <c r="T5" s="129">
        <v>46.52267724</v>
      </c>
      <c r="U5" s="129">
        <v>45.256901040000002</v>
      </c>
      <c r="V5" s="129">
        <v>42.092060400000001</v>
      </c>
      <c r="W5" s="129">
        <v>45.256901040000002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85.449896999999993</v>
      </c>
      <c r="C8" s="79">
        <f t="shared" si="1"/>
        <v>88.614737640000001</v>
      </c>
      <c r="D8" s="79">
        <f t="shared" si="1"/>
        <v>88.614737640000001</v>
      </c>
      <c r="E8" s="79">
        <f t="shared" si="1"/>
        <v>88.614737639999987</v>
      </c>
      <c r="F8" s="79">
        <f t="shared" si="1"/>
        <v>94.944418919999976</v>
      </c>
      <c r="G8" s="79">
        <f t="shared" si="1"/>
        <v>98.109259560000012</v>
      </c>
      <c r="H8" s="79">
        <f t="shared" si="1"/>
        <v>101.27383343999999</v>
      </c>
      <c r="I8" s="79">
        <f t="shared" si="1"/>
        <v>104.43867408</v>
      </c>
      <c r="J8" s="79">
        <f t="shared" si="1"/>
        <v>102.22349904000001</v>
      </c>
      <c r="K8" s="79">
        <f t="shared" si="1"/>
        <v>88.614737640000016</v>
      </c>
      <c r="L8" s="79">
        <f t="shared" si="1"/>
        <v>88.614737640000016</v>
      </c>
      <c r="M8" s="79">
        <f t="shared" si="1"/>
        <v>83.551099319999992</v>
      </c>
      <c r="N8" s="79">
        <f t="shared" si="1"/>
        <v>78.487194240000008</v>
      </c>
      <c r="O8" s="79">
        <f t="shared" si="1"/>
        <v>75.955375080000024</v>
      </c>
      <c r="P8" s="79">
        <f t="shared" si="1"/>
        <v>66.461119919999987</v>
      </c>
      <c r="Q8" s="79">
        <f t="shared" si="1"/>
        <v>56.966597999999998</v>
      </c>
      <c r="R8" s="79">
        <f t="shared" si="1"/>
        <v>56.966597999999991</v>
      </c>
      <c r="S8" s="79">
        <f t="shared" si="1"/>
        <v>55.700555040000012</v>
      </c>
      <c r="T8" s="79">
        <f t="shared" si="1"/>
        <v>46.522677239999993</v>
      </c>
      <c r="U8" s="79">
        <f t="shared" si="1"/>
        <v>45.256901040000002</v>
      </c>
      <c r="V8" s="79">
        <f t="shared" si="1"/>
        <v>42.092060400000008</v>
      </c>
      <c r="W8" s="79">
        <f t="shared" si="1"/>
        <v>45.256901040000002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60.860891449122498</v>
      </c>
      <c r="C9" s="32">
        <f t="shared" si="2"/>
        <v>58.014345794287294</v>
      </c>
      <c r="D9" s="32">
        <f t="shared" si="2"/>
        <v>57.361101694957796</v>
      </c>
      <c r="E9" s="32">
        <f t="shared" si="2"/>
        <v>53.293585150819553</v>
      </c>
      <c r="F9" s="32">
        <f t="shared" si="2"/>
        <v>57.765358000148254</v>
      </c>
      <c r="G9" s="32">
        <f t="shared" si="2"/>
        <v>56.558820871573595</v>
      </c>
      <c r="H9" s="32">
        <f t="shared" si="2"/>
        <v>57.867195211706871</v>
      </c>
      <c r="I9" s="32">
        <f t="shared" si="2"/>
        <v>56.937789419429279</v>
      </c>
      <c r="J9" s="32">
        <f t="shared" si="2"/>
        <v>59.850634989569699</v>
      </c>
      <c r="K9" s="32">
        <f t="shared" si="2"/>
        <v>53.821887027693229</v>
      </c>
      <c r="L9" s="32">
        <f t="shared" si="2"/>
        <v>51.994332894523765</v>
      </c>
      <c r="M9" s="32">
        <f t="shared" si="2"/>
        <v>50.663044630365128</v>
      </c>
      <c r="N9" s="32">
        <f t="shared" si="2"/>
        <v>48.14795251733598</v>
      </c>
      <c r="O9" s="32">
        <f t="shared" si="2"/>
        <v>45.841822944867339</v>
      </c>
      <c r="P9" s="32">
        <f t="shared" si="2"/>
        <v>38.330932646541527</v>
      </c>
      <c r="Q9" s="32">
        <f t="shared" si="2"/>
        <v>33.911530240027396</v>
      </c>
      <c r="R9" s="32">
        <f t="shared" si="2"/>
        <v>33.097676229252862</v>
      </c>
      <c r="S9" s="32">
        <f t="shared" si="2"/>
        <v>32.434219490491849</v>
      </c>
      <c r="T9" s="32">
        <f t="shared" si="2"/>
        <v>27.606265764360185</v>
      </c>
      <c r="U9" s="32">
        <f t="shared" si="2"/>
        <v>25.003917739567868</v>
      </c>
      <c r="V9" s="32">
        <f t="shared" si="2"/>
        <v>21.574715195923329</v>
      </c>
      <c r="W9" s="32">
        <f t="shared" si="2"/>
        <v>23.579755708241667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60.860891449122498</v>
      </c>
      <c r="C11" s="130">
        <f t="shared" si="3"/>
        <v>58.014345794287294</v>
      </c>
      <c r="D11" s="130">
        <f t="shared" si="3"/>
        <v>57.361101694957796</v>
      </c>
      <c r="E11" s="130">
        <f t="shared" si="3"/>
        <v>53.293585150819553</v>
      </c>
      <c r="F11" s="130">
        <f t="shared" si="3"/>
        <v>57.765358000148254</v>
      </c>
      <c r="G11" s="130">
        <f t="shared" si="3"/>
        <v>56.558820871573595</v>
      </c>
      <c r="H11" s="130">
        <f t="shared" si="3"/>
        <v>57.867195211706871</v>
      </c>
      <c r="I11" s="130">
        <f t="shared" si="3"/>
        <v>56.937789419429279</v>
      </c>
      <c r="J11" s="130">
        <f t="shared" si="3"/>
        <v>59.850634989569699</v>
      </c>
      <c r="K11" s="130">
        <f t="shared" si="3"/>
        <v>53.821887027693229</v>
      </c>
      <c r="L11" s="130">
        <f t="shared" si="3"/>
        <v>51.994332894523765</v>
      </c>
      <c r="M11" s="130">
        <f t="shared" si="3"/>
        <v>50.663044630365128</v>
      </c>
      <c r="N11" s="130">
        <f t="shared" si="3"/>
        <v>48.14795251733598</v>
      </c>
      <c r="O11" s="130">
        <f t="shared" si="3"/>
        <v>45.841822944867339</v>
      </c>
      <c r="P11" s="130">
        <f t="shared" si="3"/>
        <v>38.330932646541527</v>
      </c>
      <c r="Q11" s="130">
        <f t="shared" si="3"/>
        <v>33.911530240027396</v>
      </c>
      <c r="R11" s="130">
        <f t="shared" si="3"/>
        <v>33.097676229252862</v>
      </c>
      <c r="S11" s="130">
        <f t="shared" si="3"/>
        <v>32.434219490491849</v>
      </c>
      <c r="T11" s="130">
        <f t="shared" si="3"/>
        <v>27.606265764360185</v>
      </c>
      <c r="U11" s="130">
        <f t="shared" si="3"/>
        <v>25.003917739567868</v>
      </c>
      <c r="V11" s="130">
        <f t="shared" si="3"/>
        <v>21.574715195923329</v>
      </c>
      <c r="W11" s="130">
        <f t="shared" si="3"/>
        <v>23.579755708241667</v>
      </c>
      <c r="DA11" s="176" t="s">
        <v>408</v>
      </c>
    </row>
    <row r="12" spans="1:105" ht="11.45" customHeight="1" x14ac:dyDescent="0.25">
      <c r="A12" s="111" t="s">
        <v>92</v>
      </c>
      <c r="B12" s="96">
        <v>60.860891449122498</v>
      </c>
      <c r="C12" s="96">
        <v>58.014345794287294</v>
      </c>
      <c r="D12" s="96">
        <v>57.361101694957796</v>
      </c>
      <c r="E12" s="96">
        <v>53.293585150819553</v>
      </c>
      <c r="F12" s="96">
        <v>57.765358000148254</v>
      </c>
      <c r="G12" s="96">
        <v>56.558820871573595</v>
      </c>
      <c r="H12" s="96">
        <v>57.867195211706871</v>
      </c>
      <c r="I12" s="96">
        <v>56.937789419429279</v>
      </c>
      <c r="J12" s="96">
        <v>59.850634989569699</v>
      </c>
      <c r="K12" s="96">
        <v>53.821887027693229</v>
      </c>
      <c r="L12" s="96">
        <v>51.994332894523765</v>
      </c>
      <c r="M12" s="96">
        <v>50.663044630365128</v>
      </c>
      <c r="N12" s="96">
        <v>48.14795251733598</v>
      </c>
      <c r="O12" s="96">
        <v>45.841822944867339</v>
      </c>
      <c r="P12" s="96">
        <v>38.330932646541527</v>
      </c>
      <c r="Q12" s="96">
        <v>33.911530240027396</v>
      </c>
      <c r="R12" s="96">
        <v>33.097676229252862</v>
      </c>
      <c r="S12" s="96">
        <v>32.434219490491849</v>
      </c>
      <c r="T12" s="96">
        <v>27.606265764360185</v>
      </c>
      <c r="U12" s="96">
        <v>25.003917739567868</v>
      </c>
      <c r="V12" s="96">
        <v>21.574715195923329</v>
      </c>
      <c r="W12" s="96">
        <v>23.579755708241667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24.589005550877491</v>
      </c>
      <c r="C15" s="32">
        <f t="shared" si="4"/>
        <v>30.600391845712704</v>
      </c>
      <c r="D15" s="32">
        <f t="shared" si="4"/>
        <v>31.253635945042202</v>
      </c>
      <c r="E15" s="32">
        <f t="shared" si="4"/>
        <v>35.321152489180442</v>
      </c>
      <c r="F15" s="32">
        <f t="shared" si="4"/>
        <v>37.179060919851715</v>
      </c>
      <c r="G15" s="32">
        <f t="shared" si="4"/>
        <v>41.550438688426418</v>
      </c>
      <c r="H15" s="32">
        <f t="shared" si="4"/>
        <v>43.406638228293119</v>
      </c>
      <c r="I15" s="32">
        <f t="shared" si="4"/>
        <v>47.500884660570726</v>
      </c>
      <c r="J15" s="32">
        <f t="shared" si="4"/>
        <v>42.372864050430302</v>
      </c>
      <c r="K15" s="32">
        <f t="shared" si="4"/>
        <v>34.792850612306779</v>
      </c>
      <c r="L15" s="32">
        <f t="shared" si="4"/>
        <v>36.620404745476243</v>
      </c>
      <c r="M15" s="32">
        <f t="shared" si="4"/>
        <v>32.88805468963487</v>
      </c>
      <c r="N15" s="32">
        <f t="shared" si="4"/>
        <v>30.339241722664021</v>
      </c>
      <c r="O15" s="32">
        <f t="shared" si="4"/>
        <v>30.113552135132682</v>
      </c>
      <c r="P15" s="32">
        <f t="shared" si="4"/>
        <v>28.130187273458464</v>
      </c>
      <c r="Q15" s="32">
        <f t="shared" si="4"/>
        <v>23.055067759972601</v>
      </c>
      <c r="R15" s="32">
        <f t="shared" si="4"/>
        <v>23.868921770747129</v>
      </c>
      <c r="S15" s="32">
        <f t="shared" si="4"/>
        <v>23.266335549508163</v>
      </c>
      <c r="T15" s="32">
        <f t="shared" si="4"/>
        <v>18.916411475639812</v>
      </c>
      <c r="U15" s="32">
        <f t="shared" si="4"/>
        <v>20.252983300432138</v>
      </c>
      <c r="V15" s="32">
        <f t="shared" si="4"/>
        <v>20.51734520407668</v>
      </c>
      <c r="W15" s="32">
        <f t="shared" si="4"/>
        <v>21.677145331758339</v>
      </c>
      <c r="DA15" s="173" t="s">
        <v>413</v>
      </c>
    </row>
    <row r="16" spans="1:105" ht="11.45" customHeight="1" x14ac:dyDescent="0.25">
      <c r="A16" s="83" t="s">
        <v>92</v>
      </c>
      <c r="B16" s="96">
        <v>24.589005550877491</v>
      </c>
      <c r="C16" s="96">
        <v>30.600391845712704</v>
      </c>
      <c r="D16" s="96">
        <v>31.253635945042202</v>
      </c>
      <c r="E16" s="96">
        <v>35.321152489180442</v>
      </c>
      <c r="F16" s="96">
        <v>37.179060919851715</v>
      </c>
      <c r="G16" s="96">
        <v>41.550438688426418</v>
      </c>
      <c r="H16" s="96">
        <v>43.406638228293119</v>
      </c>
      <c r="I16" s="96">
        <v>47.500884660570726</v>
      </c>
      <c r="J16" s="96">
        <v>42.372864050430302</v>
      </c>
      <c r="K16" s="96">
        <v>34.792850612306779</v>
      </c>
      <c r="L16" s="96">
        <v>36.620404745476243</v>
      </c>
      <c r="M16" s="96">
        <v>32.88805468963487</v>
      </c>
      <c r="N16" s="96">
        <v>30.339241722664021</v>
      </c>
      <c r="O16" s="96">
        <v>30.113552135132682</v>
      </c>
      <c r="P16" s="96">
        <v>28.130187273458464</v>
      </c>
      <c r="Q16" s="96">
        <v>23.055067759972601</v>
      </c>
      <c r="R16" s="96">
        <v>23.868921770747129</v>
      </c>
      <c r="S16" s="96">
        <v>23.266335549508163</v>
      </c>
      <c r="T16" s="96">
        <v>18.916411475639812</v>
      </c>
      <c r="U16" s="96">
        <v>20.252983300432138</v>
      </c>
      <c r="V16" s="96">
        <v>20.51734520407668</v>
      </c>
      <c r="W16" s="96">
        <v>21.677145331758339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1.863370931627057</v>
      </c>
      <c r="C22" s="134">
        <f>IF(C4=0,0,C4/TrRail_ene!C4)</f>
        <v>1.8868732229195389</v>
      </c>
      <c r="D22" s="134">
        <f>IF(D4=0,0,D4/TrRail_ene!D4)</f>
        <v>1.8529481862338162</v>
      </c>
      <c r="E22" s="134">
        <f>IF(E4=0,0,E4/TrRail_ene!E4)</f>
        <v>1.8463090436271585</v>
      </c>
      <c r="F22" s="134">
        <f>IF(F4=0,0,F4/TrRail_ene!F4)</f>
        <v>1.9206313120669591</v>
      </c>
      <c r="G22" s="134">
        <f>IF(G4=0,0,G4/TrRail_ene!G4)</f>
        <v>1.902378849418038</v>
      </c>
      <c r="H22" s="134">
        <f>IF(H4=0,0,H4/TrRail_ene!H4)</f>
        <v>1.8916341969202306</v>
      </c>
      <c r="I22" s="134">
        <f>IF(I4=0,0,I4/TrRail_ene!I4)</f>
        <v>1.893385241572046</v>
      </c>
      <c r="J22" s="134">
        <f>IF(J4=0,0,J4/TrRail_ene!J4)</f>
        <v>1.8716180846392658</v>
      </c>
      <c r="K22" s="134">
        <f>IF(K4=0,0,K4/TrRail_ene!K4)</f>
        <v>1.7979922830919646</v>
      </c>
      <c r="L22" s="134">
        <f>IF(L4=0,0,L4/TrRail_ene!L4)</f>
        <v>1.7886308116836664</v>
      </c>
      <c r="M22" s="134">
        <f>IF(M4=0,0,M4/TrRail_ene!M4)</f>
        <v>1.7564840739390499</v>
      </c>
      <c r="N22" s="134">
        <f>IF(N4=0,0,N4/TrRail_ene!N4)</f>
        <v>1.7412519629227203</v>
      </c>
      <c r="O22" s="134">
        <f>IF(O4=0,0,O4/TrRail_ene!O4)</f>
        <v>1.7747688262188765</v>
      </c>
      <c r="P22" s="134">
        <f>IF(P4=0,0,P4/TrRail_ene!P4)</f>
        <v>1.6982454369616513</v>
      </c>
      <c r="Q22" s="134">
        <f>IF(Q4=0,0,Q4/TrRail_ene!Q4)</f>
        <v>1.5495767389545081</v>
      </c>
      <c r="R22" s="134">
        <f>IF(R4=0,0,R4/TrRail_ene!R4)</f>
        <v>1.5387795488096621</v>
      </c>
      <c r="S22" s="134">
        <f>IF(S4=0,0,S4/TrRail_ene!S4)</f>
        <v>1.481004872189555</v>
      </c>
      <c r="T22" s="134">
        <f>IF(T4=0,0,T4/TrRail_ene!T4)</f>
        <v>1.3129338734168248</v>
      </c>
      <c r="U22" s="134">
        <f>IF(U4=0,0,U4/TrRail_ene!U4)</f>
        <v>1.285462491745593</v>
      </c>
      <c r="V22" s="134">
        <f>IF(V4=0,0,V4/TrRail_ene!V4)</f>
        <v>1.2832070629688854</v>
      </c>
      <c r="W22" s="134">
        <f>IF(W4=0,0,W4/TrRail_ene!W4)</f>
        <v>1.2876638738586046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1.5512094000000003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1.5512094000000003</v>
      </c>
      <c r="V23" s="129">
        <f>IF(V5=0,0,V5/SUM(TrRail_ene!V5:V7))</f>
        <v>1.5512094000000001</v>
      </c>
      <c r="W23" s="129">
        <f>IF(W5=0,0,W5/SUM(TrRail_ene!W5:W7))</f>
        <v>1.5512094000000003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3621.2417263292509</v>
      </c>
      <c r="C26" s="54">
        <f>IF(C8=0,0,C8/TrRail_act!C14*1000)</f>
        <v>3635.409025502011</v>
      </c>
      <c r="D26" s="54">
        <f>IF(D8=0,0,D8/TrRail_act!D14*1000)</f>
        <v>3513.6624022992401</v>
      </c>
      <c r="E26" s="54">
        <f>IF(E8=0,0,E8/TrRail_act!E14*1000)</f>
        <v>3472.1231331521221</v>
      </c>
      <c r="F26" s="54">
        <f>IF(F8=0,0,F8/TrRail_act!F14*1000)</f>
        <v>3652.1834449829234</v>
      </c>
      <c r="G26" s="54">
        <f>IF(G8=0,0,G8/TrRail_act!G14*1000)</f>
        <v>3591.6912962276315</v>
      </c>
      <c r="H26" s="54">
        <f>IF(H8=0,0,H8/TrRail_act!H14*1000)</f>
        <v>3527.318801983582</v>
      </c>
      <c r="I26" s="54">
        <f>IF(I8=0,0,I8/TrRail_act!I14*1000)</f>
        <v>3422.7017269629041</v>
      </c>
      <c r="J26" s="54">
        <f>IF(J8=0,0,J8/TrRail_act!J14*1000)</f>
        <v>3308.4656863152823</v>
      </c>
      <c r="K26" s="54">
        <f>IF(K8=0,0,K8/TrRail_act!K14*1000)</f>
        <v>3043.4685323619638</v>
      </c>
      <c r="L26" s="54">
        <f>IF(L8=0,0,L8/TrRail_act!L14*1000)</f>
        <v>3063.1022069471851</v>
      </c>
      <c r="M26" s="54">
        <f>IF(M8=0,0,M8/TrRail_act!M14*1000)</f>
        <v>2948.2812314140056</v>
      </c>
      <c r="N26" s="54">
        <f>IF(N8=0,0,N8/TrRail_act!N14*1000)</f>
        <v>2837.7603936297946</v>
      </c>
      <c r="O26" s="54">
        <f>IF(O8=0,0,O8/TrRail_act!O14*1000)</f>
        <v>2851.6464208347511</v>
      </c>
      <c r="P26" s="54">
        <f>IF(P8=0,0,P8/TrRail_act!P14*1000)</f>
        <v>2589.9974302859196</v>
      </c>
      <c r="Q26" s="54">
        <f>IF(Q8=0,0,Q8/TrRail_act!Q14*1000)</f>
        <v>2229.2900841666337</v>
      </c>
      <c r="R26" s="54">
        <f>IF(R8=0,0,R8/TrRail_act!R14*1000)</f>
        <v>2189.626253749821</v>
      </c>
      <c r="S26" s="54">
        <f>IF(S8=0,0,S8/TrRail_act!S14*1000)</f>
        <v>2096.6899771380045</v>
      </c>
      <c r="T26" s="54">
        <f>IF(T8=0,0,T8/TrRail_act!T14*1000)</f>
        <v>1805.1391014444687</v>
      </c>
      <c r="U26" s="54">
        <f>IF(U8=0,0,U8/TrRail_act!U14*1000)</f>
        <v>1860.7075230221635</v>
      </c>
      <c r="V26" s="54">
        <f>IF(V8=0,0,V8/TrRail_act!V14*1000)</f>
        <v>1824.7000562236722</v>
      </c>
      <c r="W26" s="54">
        <f>IF(W8=0,0,W8/TrRail_act!W14*1000)</f>
        <v>1812.1561459948221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3086.6221297457892</v>
      </c>
      <c r="C27" s="28">
        <f>IF(C9=0,0,C9/TrRail_act!C15*1000)</f>
        <v>2891.9274034940568</v>
      </c>
      <c r="D27" s="28">
        <f>IF(D9=0,0,D9/TrRail_act!D15*1000)</f>
        <v>2800.1169255316386</v>
      </c>
      <c r="E27" s="28">
        <f>IF(E9=0,0,E9/TrRail_act!E15*1000)</f>
        <v>2632.7157662596387</v>
      </c>
      <c r="F27" s="28">
        <f>IF(F9=0,0,F9/TrRail_act!F15*1000)</f>
        <v>2808.3533171586241</v>
      </c>
      <c r="G27" s="28">
        <f>IF(G9=0,0,G9/TrRail_act!G15*1000)</f>
        <v>2673.3293656693281</v>
      </c>
      <c r="H27" s="28">
        <f>IF(H9=0,0,H9/TrRail_act!H15*1000)</f>
        <v>2616.5889424229899</v>
      </c>
      <c r="I27" s="28">
        <f>IF(I9=0,0,I9/TrRail_act!I15*1000)</f>
        <v>2400.6725473706383</v>
      </c>
      <c r="J27" s="28">
        <f>IF(J9=0,0,J9/TrRail_act!J15*1000)</f>
        <v>2442.4591855496346</v>
      </c>
      <c r="K27" s="28">
        <f>IF(K9=0,0,K9/TrRail_act!K15*1000)</f>
        <v>2262.2369281206034</v>
      </c>
      <c r="L27" s="28">
        <f>IF(L9=0,0,L9/TrRail_act!L15*1000)</f>
        <v>2249.4076254771057</v>
      </c>
      <c r="M27" s="28">
        <f>IF(M9=0,0,M9/TrRail_act!M15*1000)</f>
        <v>2216.6625504469503</v>
      </c>
      <c r="N27" s="28">
        <f>IF(N9=0,0,N9/TrRail_act!N15*1000)</f>
        <v>2139.0906559567757</v>
      </c>
      <c r="O27" s="28">
        <f>IF(O9=0,0,O9/TrRail_act!O15*1000)</f>
        <v>2152.9556235391105</v>
      </c>
      <c r="P27" s="28">
        <f>IF(P9=0,0,P9/TrRail_act!P15*1000)</f>
        <v>1870.0003523839632</v>
      </c>
      <c r="Q27" s="28">
        <f>IF(Q9=0,0,Q9/TrRail_act!Q15*1000)</f>
        <v>1655.2064591842006</v>
      </c>
      <c r="R27" s="28">
        <f>IF(R9=0,0,R9/TrRail_act!R15*1000)</f>
        <v>1615.1707118787622</v>
      </c>
      <c r="S27" s="28">
        <f>IF(S9=0,0,S9/TrRail_act!S15*1000)</f>
        <v>1586.9068543545957</v>
      </c>
      <c r="T27" s="28">
        <f>IF(T9=0,0,T9/TrRail_act!T15*1000)</f>
        <v>1385.9164982774973</v>
      </c>
      <c r="U27" s="28">
        <f>IF(U9=0,0,U9/TrRail_act!U15*1000)</f>
        <v>1379.9718730918905</v>
      </c>
      <c r="V27" s="28">
        <f>IF(V9=0,0,V9/TrRail_act!V15*1000)</f>
        <v>1300.6009503338696</v>
      </c>
      <c r="W27" s="28">
        <f>IF(W9=0,0,W9/TrRail_act!W15*1000)</f>
        <v>1227.2961189936491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4517.1012223271846</v>
      </c>
      <c r="C29" s="110">
        <f>IF(C11=0,0,C11/TrRail_act!C17*1000)</f>
        <v>4320.6771741161965</v>
      </c>
      <c r="D29" s="110">
        <f>IF(D11=0,0,D11/TrRail_act!D17*1000)</f>
        <v>4167.2785856499668</v>
      </c>
      <c r="E29" s="110">
        <f>IF(E11=0,0,E11/TrRail_act!E17*1000)</f>
        <v>4023.5598118549324</v>
      </c>
      <c r="F29" s="110">
        <f>IF(F11=0,0,F11/TrRail_act!F17*1000)</f>
        <v>4168.5621225560071</v>
      </c>
      <c r="G29" s="110">
        <f>IF(G11=0,0,G11/TrRail_act!G17*1000)</f>
        <v>3941.0486368755169</v>
      </c>
      <c r="H29" s="110">
        <f>IF(H11=0,0,H11/TrRail_act!H17*1000)</f>
        <v>3854.3177452373343</v>
      </c>
      <c r="I29" s="110">
        <f>IF(I11=0,0,I11/TrRail_act!I17*1000)</f>
        <v>3722.1663934335002</v>
      </c>
      <c r="J29" s="110">
        <f>IF(J11=0,0,J11/TrRail_act!J17*1000)</f>
        <v>3614.9382038045046</v>
      </c>
      <c r="K29" s="110">
        <f>IF(K11=0,0,K11/TrRail_act!K17*1000)</f>
        <v>3287.4038458283271</v>
      </c>
      <c r="L29" s="110">
        <f>IF(L11=0,0,L11/TrRail_act!L17*1000)</f>
        <v>3235.3398942676463</v>
      </c>
      <c r="M29" s="110">
        <f>IF(M11=0,0,M11/TrRail_act!M17*1000)</f>
        <v>3126.3315199055974</v>
      </c>
      <c r="N29" s="110">
        <f>IF(N11=0,0,N11/TrRail_act!N17*1000)</f>
        <v>3045.0265752290852</v>
      </c>
      <c r="O29" s="110">
        <f>IF(O11=0,0,O11/TrRail_act!O17*1000)</f>
        <v>3166.064550714585</v>
      </c>
      <c r="P29" s="110">
        <f>IF(P11=0,0,P11/TrRail_act!P17*1000)</f>
        <v>2913.6516766844711</v>
      </c>
      <c r="Q29" s="110">
        <f>IF(Q11=0,0,Q11/TrRail_act!Q17*1000)</f>
        <v>2620.3330885352575</v>
      </c>
      <c r="R29" s="110">
        <f>IF(R11=0,0,R11/TrRail_act!R17*1000)</f>
        <v>2594.8463734059487</v>
      </c>
      <c r="S29" s="110">
        <f>IF(S11=0,0,S11/TrRail_act!S17*1000)</f>
        <v>2532.8600978581485</v>
      </c>
      <c r="T29" s="110">
        <f>IF(T11=0,0,T11/TrRail_act!T17*1000)</f>
        <v>2160.5735812412299</v>
      </c>
      <c r="U29" s="110">
        <f>IF(U11=0,0,U11/TrRail_act!U17*1000)</f>
        <v>1956.7625078945166</v>
      </c>
      <c r="V29" s="110">
        <f>IF(V11=0,0,V11/TrRail_act!V17*1000)</f>
        <v>2028.3354060559259</v>
      </c>
      <c r="W29" s="110">
        <f>IF(W11=0,0,W11/TrRail_act!W17*1000)</f>
        <v>1786.4619226887376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8941.2762400158535</v>
      </c>
      <c r="C30" s="84">
        <f>IF(C12=0,0,C12/TrRail_act!C18*1000)</f>
        <v>8618.1173994437868</v>
      </c>
      <c r="D30" s="84">
        <f>IF(D12=0,0,D12/TrRail_act!D18*1000)</f>
        <v>8346.4511874435193</v>
      </c>
      <c r="E30" s="84">
        <f>IF(E12=0,0,E12/TrRail_act!E18*1000)</f>
        <v>8054.5209418382947</v>
      </c>
      <c r="F30" s="84">
        <f>IF(F12=0,0,F12/TrRail_act!F18*1000)</f>
        <v>7823.1263320424196</v>
      </c>
      <c r="G30" s="84">
        <f>IF(G12=0,0,G12/TrRail_act!G18*1000)</f>
        <v>7600.9449634869052</v>
      </c>
      <c r="H30" s="84">
        <f>IF(H12=0,0,H12/TrRail_act!H18*1000)</f>
        <v>7401.3496004406079</v>
      </c>
      <c r="I30" s="84">
        <f>IF(I12=0,0,I12/TrRail_act!I18*1000)</f>
        <v>7200.4982543133692</v>
      </c>
      <c r="J30" s="84">
        <f>IF(J12=0,0,J12/TrRail_act!J18*1000)</f>
        <v>6984.5458169371459</v>
      </c>
      <c r="K30" s="84">
        <f>IF(K12=0,0,K12/TrRail_act!K18*1000)</f>
        <v>6787.0823135899345</v>
      </c>
      <c r="L30" s="84">
        <f>IF(L12=0,0,L12/TrRail_act!L18*1000)</f>
        <v>6704.5595091279165</v>
      </c>
      <c r="M30" s="84">
        <f>IF(M12=0,0,M12/TrRail_act!M18*1000)</f>
        <v>6626.0712894975504</v>
      </c>
      <c r="N30" s="84">
        <f>IF(N12=0,0,N12/TrRail_act!N18*1000)</f>
        <v>6544.010525574241</v>
      </c>
      <c r="O30" s="84">
        <f>IF(O12=0,0,O12/TrRail_act!O18*1000)</f>
        <v>6252.8655940683111</v>
      </c>
      <c r="P30" s="84">
        <f>IF(P12=0,0,P12/TrRail_act!P18*1000)</f>
        <v>5912.8278893776305</v>
      </c>
      <c r="Q30" s="84">
        <f>IF(Q12=0,0,Q12/TrRail_act!Q18*1000)</f>
        <v>5779.575169991218</v>
      </c>
      <c r="R30" s="84">
        <f>IF(R12=0,0,R12/TrRail_act!R18*1000)</f>
        <v>5624.7939829755405</v>
      </c>
      <c r="S30" s="84">
        <f>IF(S12=0,0,S12/TrRail_act!S18*1000)</f>
        <v>5511.4344708141452</v>
      </c>
      <c r="T30" s="84">
        <f>IF(T12=0,0,T12/TrRail_act!T18*1000)</f>
        <v>5427.9166364500561</v>
      </c>
      <c r="U30" s="84">
        <f>IF(U12=0,0,U12/TrRail_act!U18*1000)</f>
        <v>5366.1098593895194</v>
      </c>
      <c r="V30" s="84">
        <f>IF(V12=0,0,V12/TrRail_act!V18*1000)</f>
        <v>5320.217074283968</v>
      </c>
      <c r="W30" s="84">
        <f>IF(W12=0,0,W12/TrRail_act!W18*1000)</f>
        <v>5286.0552414794365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6338.6569147087275</v>
      </c>
      <c r="C33" s="28">
        <f>IF(C15=0,0,C15/TrRail_act!C21*1000)</f>
        <v>7092.1862954675071</v>
      </c>
      <c r="D33" s="28">
        <f>IF(D15=0,0,D15/TrRail_act!D21*1000)</f>
        <v>6600.8402328340753</v>
      </c>
      <c r="E33" s="28">
        <f>IF(E15=0,0,E15/TrRail_act!E21*1000)</f>
        <v>6690.9362929570325</v>
      </c>
      <c r="F33" s="28">
        <f>IF(F15=0,0,F15/TrRail_act!F21*1000)</f>
        <v>6850.1292719616431</v>
      </c>
      <c r="G33" s="28">
        <f>IF(G15=0,0,G15/TrRail_act!G21*1000)</f>
        <v>6746.3858105879372</v>
      </c>
      <c r="H33" s="28">
        <f>IF(H15=0,0,H15/TrRail_act!H21*1000)</f>
        <v>6580.9809894230903</v>
      </c>
      <c r="I33" s="28">
        <f>IF(I15=0,0,I15/TrRail_act!I21*1000)</f>
        <v>6989.4469115147249</v>
      </c>
      <c r="J33" s="28">
        <f>IF(J15=0,0,J15/TrRail_act!J21*1000)</f>
        <v>6627.6955630393022</v>
      </c>
      <c r="K33" s="28">
        <f>IF(K15=0,0,K15/TrRail_act!K21*1000)</f>
        <v>6533.968892228957</v>
      </c>
      <c r="L33" s="28">
        <f>IF(L15=0,0,L15/TrRail_act!L21*1000)</f>
        <v>6297.5134051280384</v>
      </c>
      <c r="M33" s="28">
        <f>IF(M15=0,0,M15/TrRail_act!M21*1000)</f>
        <v>5997.7852975352871</v>
      </c>
      <c r="N33" s="28">
        <f>IF(N15=0,0,N15/TrRail_act!N21*1000)</f>
        <v>5891.6419504728783</v>
      </c>
      <c r="O33" s="28">
        <f>IF(O15=0,0,O15/TrRail_act!O21*1000)</f>
        <v>5635.9548534128044</v>
      </c>
      <c r="P33" s="28">
        <f>IF(P15=0,0,P15/TrRail_act!P21*1000)</f>
        <v>5448.5578324311127</v>
      </c>
      <c r="Q33" s="28">
        <f>IF(Q15=0,0,Q15/TrRail_act!Q21*1000)</f>
        <v>4551.0311120498254</v>
      </c>
      <c r="R33" s="28">
        <f>IF(R15=0,0,R15/TrRail_act!R21*1000)</f>
        <v>4320.2965662596525</v>
      </c>
      <c r="S33" s="28">
        <f>IF(S15=0,0,S15/TrRail_act!S21*1000)</f>
        <v>3797.1557344934163</v>
      </c>
      <c r="T33" s="28">
        <f>IF(T15=0,0,T15/TrRail_act!T21*1000)</f>
        <v>3231.8015062750733</v>
      </c>
      <c r="U33" s="28">
        <f>IF(U15=0,0,U15/TrRail_act!U21*1000)</f>
        <v>3264.8908858487998</v>
      </c>
      <c r="V33" s="28">
        <f>IF(V15=0,0,V15/TrRail_act!V21*1000)</f>
        <v>3166.4194764001809</v>
      </c>
      <c r="W33" s="28">
        <f>IF(W15=0,0,W15/TrRail_act!W21*1000)</f>
        <v>3762.5476816160067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17197.978645394214</v>
      </c>
      <c r="C34" s="84">
        <f>IF(C16=0,0,C16/TrRail_act!C22*1000)</f>
        <v>17006.656435436144</v>
      </c>
      <c r="D34" s="84">
        <f>IF(D16=0,0,D16/TrRail_act!D22*1000)</f>
        <v>16874.06636885061</v>
      </c>
      <c r="E34" s="84">
        <f>IF(E16=0,0,E16/TrRail_act!E22*1000)</f>
        <v>16691.455189362725</v>
      </c>
      <c r="F34" s="84">
        <f>IF(F16=0,0,F16/TrRail_act!F22*1000)</f>
        <v>16584.658533612863</v>
      </c>
      <c r="G34" s="84">
        <f>IF(G16=0,0,G16/TrRail_act!G22*1000)</f>
        <v>16212.891104893642</v>
      </c>
      <c r="H34" s="84">
        <f>IF(H16=0,0,H16/TrRail_act!H22*1000)</f>
        <v>16108.213245203797</v>
      </c>
      <c r="I34" s="84">
        <f>IF(I16=0,0,I16/TrRail_act!I22*1000)</f>
        <v>16011.712455125913</v>
      </c>
      <c r="J34" s="84">
        <f>IF(J16=0,0,J16/TrRail_act!J22*1000)</f>
        <v>15428.135659084208</v>
      </c>
      <c r="K34" s="84">
        <f>IF(K16=0,0,K16/TrRail_act!K22*1000)</f>
        <v>15031.102026480705</v>
      </c>
      <c r="L34" s="84">
        <f>IF(L16=0,0,L16/TrRail_act!L22*1000)</f>
        <v>14927.815559560408</v>
      </c>
      <c r="M34" s="84">
        <f>IF(M16=0,0,M16/TrRail_act!M22*1000)</f>
        <v>14818.987127041402</v>
      </c>
      <c r="N34" s="84">
        <f>IF(N16=0,0,N16/TrRail_act!N22*1000)</f>
        <v>14212.73264232546</v>
      </c>
      <c r="O34" s="84">
        <f>IF(O16=0,0,O16/TrRail_act!O22*1000)</f>
        <v>14333.066803030117</v>
      </c>
      <c r="P34" s="84">
        <f>IF(P16=0,0,P16/TrRail_act!P22*1000)</f>
        <v>14276.265696340228</v>
      </c>
      <c r="Q34" s="84">
        <f>IF(Q16=0,0,Q16/TrRail_act!Q22*1000)</f>
        <v>13657.79278395469</v>
      </c>
      <c r="R34" s="84">
        <f>IF(R16=0,0,R16/TrRail_act!R22*1000)</f>
        <v>13343.70143452742</v>
      </c>
      <c r="S34" s="84">
        <f>IF(S16=0,0,S16/TrRail_act!S22*1000)</f>
        <v>13086.656552719134</v>
      </c>
      <c r="T34" s="84">
        <f>IF(T16=0,0,T16/TrRail_act!T22*1000)</f>
        <v>12871.333342095986</v>
      </c>
      <c r="U34" s="84">
        <f>IF(U16=0,0,U16/TrRail_act!U22*1000)</f>
        <v>12686.744796770708</v>
      </c>
      <c r="V34" s="84">
        <f>IF(V16=0,0,V16/TrRail_act!V22*1000)</f>
        <v>12550.042695085396</v>
      </c>
      <c r="W34" s="84">
        <f>IF(W16=0,0,W16/TrRail_act!W22*1000)</f>
        <v>12448.483640280581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34.655447248088315</v>
      </c>
      <c r="C38" s="29">
        <f>IF(C9=0,0,C9/TrRail_act!C4*1000)</f>
        <v>32.72573242063563</v>
      </c>
      <c r="D38" s="29">
        <f>IF(D9=0,0,D9/TrRail_act!D4*1000)</f>
        <v>33.161728362883743</v>
      </c>
      <c r="E38" s="29">
        <f>IF(E9=0,0,E9/TrRail_act!E4*1000)</f>
        <v>31.105665269069863</v>
      </c>
      <c r="F38" s="29">
        <f>IF(F9=0,0,F9/TrRail_act!F4*1000)</f>
        <v>34.017982631089438</v>
      </c>
      <c r="G38" s="29">
        <f>IF(G9=0,0,G9/TrRail_act!G4*1000)</f>
        <v>32.132662982680941</v>
      </c>
      <c r="H38" s="29">
        <f>IF(H9=0,0,H9/TrRail_act!H4*1000)</f>
        <v>30.751421777072405</v>
      </c>
      <c r="I38" s="29">
        <f>IF(I9=0,0,I9/TrRail_act!I4*1000)</f>
        <v>25.487380892867051</v>
      </c>
      <c r="J38" s="29">
        <f>IF(J9=0,0,J9/TrRail_act!J4*1000)</f>
        <v>25.014852014612401</v>
      </c>
      <c r="K38" s="29">
        <f>IF(K9=0,0,K9/TrRail_act!K4*1000)</f>
        <v>22.606449470221698</v>
      </c>
      <c r="L38" s="29">
        <f>IF(L9=0,0,L9/TrRail_act!L4*1000)</f>
        <v>23.002708375059235</v>
      </c>
      <c r="M38" s="29">
        <f>IF(M9=0,0,M9/TrRail_act!M4*1000)</f>
        <v>25.63230459343422</v>
      </c>
      <c r="N38" s="29">
        <f>IF(N9=0,0,N9/TrRail_act!N4*1000)</f>
        <v>30.047080452426542</v>
      </c>
      <c r="O38" s="29">
        <f>IF(O9=0,0,O9/TrRail_act!O4*1000)</f>
        <v>31.231910156553493</v>
      </c>
      <c r="P38" s="29">
        <f>IF(P9=0,0,P9/TrRail_act!P4*1000)</f>
        <v>25.678977479382308</v>
      </c>
      <c r="Q38" s="29">
        <f>IF(Q9=0,0,Q9/TrRail_act!Q4*1000)</f>
        <v>22.035269291217219</v>
      </c>
      <c r="R38" s="29">
        <f>IF(R9=0,0,R9/TrRail_act!R4*1000)</f>
        <v>23.048761811058512</v>
      </c>
      <c r="S38" s="29">
        <f>IF(S9=0,0,S9/TrRail_act!S4*1000)</f>
        <v>24.132909040138038</v>
      </c>
      <c r="T38" s="29">
        <f>IF(T9=0,0,T9/TrRail_act!T4*1000)</f>
        <v>20.863811969301022</v>
      </c>
      <c r="U38" s="29">
        <f>IF(U9=0,0,U9/TrRail_act!U4*1000)</f>
        <v>22.706888862261497</v>
      </c>
      <c r="V38" s="29">
        <f>IF(V9=0,0,V9/TrRail_act!V4*1000)</f>
        <v>25.614537609551324</v>
      </c>
      <c r="W38" s="29">
        <f>IF(W9=0,0,W9/TrRail_act!W4*1000)</f>
        <v>25.991249861655966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48.610935662238418</v>
      </c>
      <c r="C40" s="116">
        <f>IF(C11=0,0,C11/TrRail_act!C6*1000)</f>
        <v>46.74806268677461</v>
      </c>
      <c r="D40" s="116">
        <f>IF(D11=0,0,D11/TrRail_act!D6*1000)</f>
        <v>48.000921920466773</v>
      </c>
      <c r="E40" s="116">
        <f>IF(E11=0,0,E11/TrRail_act!E6*1000)</f>
        <v>45.824234867428679</v>
      </c>
      <c r="F40" s="116">
        <f>IF(F11=0,0,F11/TrRail_act!F6*1000)</f>
        <v>49.414335329468138</v>
      </c>
      <c r="G40" s="116">
        <f>IF(G11=0,0,G11/TrRail_act!G6*1000)</f>
        <v>46.095208534289803</v>
      </c>
      <c r="H40" s="116">
        <f>IF(H11=0,0,H11/TrRail_act!H6*1000)</f>
        <v>43.772462338658755</v>
      </c>
      <c r="I40" s="116">
        <f>IF(I11=0,0,I11/TrRail_act!I6*1000)</f>
        <v>36.196941779675321</v>
      </c>
      <c r="J40" s="116">
        <f>IF(J11=0,0,J11/TrRail_act!J6*1000)</f>
        <v>33.833032780989093</v>
      </c>
      <c r="K40" s="116">
        <f>IF(K11=0,0,K11/TrRail_act!K6*1000)</f>
        <v>29.86786183556783</v>
      </c>
      <c r="L40" s="116">
        <f>IF(L11=0,0,L11/TrRail_act!L6*1000)</f>
        <v>30.388271709248254</v>
      </c>
      <c r="M40" s="116">
        <f>IF(M11=0,0,M11/TrRail_act!M6*1000)</f>
        <v>34.772165154677509</v>
      </c>
      <c r="N40" s="116">
        <f>IF(N11=0,0,N11/TrRail_act!N6*1000)</f>
        <v>44.581437516051835</v>
      </c>
      <c r="O40" s="116">
        <f>IF(O11=0,0,O11/TrRail_act!O6*1000)</f>
        <v>49.028687641569348</v>
      </c>
      <c r="P40" s="116">
        <f>IF(P11=0,0,P11/TrRail_act!P6*1000)</f>
        <v>41.800362755225223</v>
      </c>
      <c r="Q40" s="116">
        <f>IF(Q11=0,0,Q11/TrRail_act!Q6*1000)</f>
        <v>36.037757959646541</v>
      </c>
      <c r="R40" s="116">
        <f>IF(R11=0,0,R11/TrRail_act!R6*1000)</f>
        <v>40.02137391687166</v>
      </c>
      <c r="S40" s="116">
        <f>IF(S11=0,0,S11/TrRail_act!S6*1000)</f>
        <v>44.068233003385664</v>
      </c>
      <c r="T40" s="116">
        <f>IF(T11=0,0,T11/TrRail_act!T6*1000)</f>
        <v>36.956179068755262</v>
      </c>
      <c r="U40" s="116">
        <f>IF(U11=0,0,U11/TrRail_act!U6*1000)</f>
        <v>34.535797982828548</v>
      </c>
      <c r="V40" s="116">
        <f>IF(V11=0,0,V11/TrRail_act!V6*1000)</f>
        <v>48.157846419471717</v>
      </c>
      <c r="W40" s="116">
        <f>IF(W11=0,0,W11/TrRail_act!W6*1000)</f>
        <v>43.828542208627631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104.46801662030347</v>
      </c>
      <c r="C41" s="87">
        <f>IF(C12=0,0,C12/TrRail_act!C7*1000)</f>
        <v>103.82156883623564</v>
      </c>
      <c r="D41" s="87">
        <f>IF(D12=0,0,D12/TrRail_act!D7*1000)</f>
        <v>107.15568968874743</v>
      </c>
      <c r="E41" s="87">
        <f>IF(E12=0,0,E12/TrRail_act!E7*1000)</f>
        <v>101.4625337586169</v>
      </c>
      <c r="F41" s="87">
        <f>IF(F12=0,0,F12/TrRail_act!F7*1000)</f>
        <v>108.00827747760663</v>
      </c>
      <c r="G41" s="87">
        <f>IF(G12=0,0,G12/TrRail_act!G7*1000)</f>
        <v>95.499167823170851</v>
      </c>
      <c r="H41" s="87">
        <f>IF(H12=0,0,H12/TrRail_act!H7*1000)</f>
        <v>91.683888155062988</v>
      </c>
      <c r="I41" s="87">
        <f>IF(I12=0,0,I12/TrRail_act!I7*1000)</f>
        <v>76.373381297894355</v>
      </c>
      <c r="J41" s="87">
        <f>IF(J12=0,0,J12/TrRail_act!J7*1000)</f>
        <v>70.537621058432961</v>
      </c>
      <c r="K41" s="87">
        <f>IF(K12=0,0,K12/TrRail_act!K7*1000)</f>
        <v>63.825100018385541</v>
      </c>
      <c r="L41" s="87">
        <f>IF(L12=0,0,L12/TrRail_act!L7*1000)</f>
        <v>65.531763336606758</v>
      </c>
      <c r="M41" s="87">
        <f>IF(M12=0,0,M12/TrRail_act!M7*1000)</f>
        <v>74.271155060929374</v>
      </c>
      <c r="N41" s="87">
        <f>IF(N12=0,0,N12/TrRail_act!N7*1000)</f>
        <v>95.744458596829816</v>
      </c>
      <c r="O41" s="87">
        <f>IF(O12=0,0,O12/TrRail_act!O7*1000)</f>
        <v>102.14164543143217</v>
      </c>
      <c r="P41" s="87">
        <f>IF(P12=0,0,P12/TrRail_act!P7*1000)</f>
        <v>89.609586063012429</v>
      </c>
      <c r="Q41" s="87">
        <f>IF(Q12=0,0,Q12/TrRail_act!Q7*1000)</f>
        <v>80.634973935841217</v>
      </c>
      <c r="R41" s="87">
        <f>IF(R12=0,0,R12/TrRail_act!R7*1000)</f>
        <v>91.569836064443919</v>
      </c>
      <c r="S41" s="87">
        <f>IF(S12=0,0,S12/TrRail_act!S7*1000)</f>
        <v>101.91974804797394</v>
      </c>
      <c r="T41" s="87">
        <f>IF(T12=0,0,T12/TrRail_act!T7*1000)</f>
        <v>98.077473202747711</v>
      </c>
      <c r="U41" s="87">
        <f>IF(U12=0,0,U12/TrRail_act!U7*1000)</f>
        <v>109.48719346528526</v>
      </c>
      <c r="V41" s="87">
        <f>IF(V12=0,0,V12/TrRail_act!V7*1000)</f>
        <v>128.38476293804752</v>
      </c>
      <c r="W41" s="87">
        <f>IF(W12=0,0,W12/TrRail_act!W7*1000)</f>
        <v>127.89819259918444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13.752240240982937</v>
      </c>
      <c r="C44" s="29">
        <f>IF(C15=0,0,C15/TrRail_act!C10*1000)</f>
        <v>14.754287293014805</v>
      </c>
      <c r="D44" s="29">
        <f>IF(D15=0,0,D15/TrRail_act!D10*1000)</f>
        <v>14.167559358586674</v>
      </c>
      <c r="E44" s="29">
        <f>IF(E15=0,0,E15/TrRail_act!E10*1000)</f>
        <v>14.202313023393824</v>
      </c>
      <c r="F44" s="29">
        <f>IF(F15=0,0,F15/TrRail_act!F10*1000)</f>
        <v>14.913381837084524</v>
      </c>
      <c r="G44" s="29">
        <f>IF(G15=0,0,G15/TrRail_act!G10*1000)</f>
        <v>14.65623939627034</v>
      </c>
      <c r="H44" s="29">
        <f>IF(H15=0,0,H15/TrRail_act!H10*1000)</f>
        <v>13.133627300542548</v>
      </c>
      <c r="I44" s="29">
        <f>IF(I15=0,0,I15/TrRail_act!I10*1000)</f>
        <v>13.290678416499924</v>
      </c>
      <c r="J44" s="29">
        <f>IF(J15=0,0,J15/TrRail_act!J10*1000)</f>
        <v>12.793739145661323</v>
      </c>
      <c r="K44" s="29">
        <f>IF(K15=0,0,K15/TrRail_act!K10*1000)</f>
        <v>13.174119883493669</v>
      </c>
      <c r="L44" s="29">
        <f>IF(L15=0,0,L15/TrRail_act!L10*1000)</f>
        <v>13.987931529975647</v>
      </c>
      <c r="M44" s="29">
        <f>IF(M15=0,0,M15/TrRail_act!M10*1000)</f>
        <v>13.48976812536295</v>
      </c>
      <c r="N44" s="29">
        <f>IF(N15=0,0,N15/TrRail_act!N10*1000)</f>
        <v>13.009966433389375</v>
      </c>
      <c r="O44" s="29">
        <f>IF(O15=0,0,O15/TrRail_act!O10*1000)</f>
        <v>14.436026910418351</v>
      </c>
      <c r="P44" s="29">
        <f>IF(P15=0,0,P15/TrRail_act!P10*1000)</f>
        <v>13.275218156422117</v>
      </c>
      <c r="Q44" s="29">
        <f>IF(Q15=0,0,Q15/TrRail_act!Q10*1000)</f>
        <v>10.556349706947161</v>
      </c>
      <c r="R44" s="29">
        <f>IF(R15=0,0,R15/TrRail_act!R10*1000)</f>
        <v>11.050426745716264</v>
      </c>
      <c r="S44" s="29">
        <f>IF(S15=0,0,S15/TrRail_act!S10*1000)</f>
        <v>8.9762097027423469</v>
      </c>
      <c r="T44" s="29">
        <f>IF(T15=0,0,T15/TrRail_act!T10*1000)</f>
        <v>6.8962491708493658</v>
      </c>
      <c r="U44" s="29">
        <f>IF(U15=0,0,U15/TrRail_act!U10*1000)</f>
        <v>6.9573972175994978</v>
      </c>
      <c r="V44" s="29">
        <f>IF(V15=0,0,V15/TrRail_act!V10*1000)</f>
        <v>6.2571958536372918</v>
      </c>
      <c r="W44" s="29">
        <f>IF(W15=0,0,W15/TrRail_act!W10*1000)</f>
        <v>6.8339045812605104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26.442588175601813</v>
      </c>
      <c r="C45" s="87">
        <f>IF(C16=0,0,C16/TrRail_act!C11*1000)</f>
        <v>29.792654060894296</v>
      </c>
      <c r="D45" s="87">
        <f>IF(D16=0,0,D16/TrRail_act!D11*1000)</f>
        <v>29.077527429278238</v>
      </c>
      <c r="E45" s="87">
        <f>IF(E16=0,0,E16/TrRail_act!E11*1000)</f>
        <v>29.561678841839431</v>
      </c>
      <c r="F45" s="87">
        <f>IF(F16=0,0,F16/TrRail_act!F11*1000)</f>
        <v>32.160393616972101</v>
      </c>
      <c r="G45" s="87">
        <f>IF(G16=0,0,G16/TrRail_act!G11*1000)</f>
        <v>31.103053072015314</v>
      </c>
      <c r="H45" s="87">
        <f>IF(H16=0,0,H16/TrRail_act!H11*1000)</f>
        <v>27.68608753238064</v>
      </c>
      <c r="I45" s="87">
        <f>IF(I16=0,0,I16/TrRail_act!I11*1000)</f>
        <v>28.187808325590989</v>
      </c>
      <c r="J45" s="87">
        <f>IF(J16=0,0,J16/TrRail_act!J11*1000)</f>
        <v>26.455709830369138</v>
      </c>
      <c r="K45" s="87">
        <f>IF(K16=0,0,K16/TrRail_act!K11*1000)</f>
        <v>26.366291048391414</v>
      </c>
      <c r="L45" s="87">
        <f>IF(L16=0,0,L16/TrRail_act!L11*1000)</f>
        <v>28.408809507557955</v>
      </c>
      <c r="M45" s="87">
        <f>IF(M16=0,0,M16/TrRail_act!M11*1000)</f>
        <v>28.918092270721136</v>
      </c>
      <c r="N45" s="87">
        <f>IF(N16=0,0,N16/TrRail_act!N11*1000)</f>
        <v>27.946581905272645</v>
      </c>
      <c r="O45" s="87">
        <f>IF(O16=0,0,O16/TrRail_act!O11*1000)</f>
        <v>31.461473092212625</v>
      </c>
      <c r="P45" s="87">
        <f>IF(P16=0,0,P16/TrRail_act!P11*1000)</f>
        <v>27.81213060043806</v>
      </c>
      <c r="Q45" s="87">
        <f>IF(Q16=0,0,Q16/TrRail_act!Q11*1000)</f>
        <v>24.313526130859355</v>
      </c>
      <c r="R45" s="87">
        <f>IF(R16=0,0,R16/TrRail_act!R11*1000)</f>
        <v>25.623028166069073</v>
      </c>
      <c r="S45" s="87">
        <f>IF(S16=0,0,S16/TrRail_act!S11*1000)</f>
        <v>21.593574852040287</v>
      </c>
      <c r="T45" s="87">
        <f>IF(T16=0,0,T16/TrRail_act!T11*1000)</f>
        <v>18.633379522302512</v>
      </c>
      <c r="U45" s="87">
        <f>IF(U16=0,0,U16/TrRail_act!U11*1000)</f>
        <v>19.186823560016915</v>
      </c>
      <c r="V45" s="87">
        <f>IF(V16=0,0,V16/TrRail_act!V11*1000)</f>
        <v>17.285166976795487</v>
      </c>
      <c r="W45" s="87">
        <f>IF(W16=0,0,W16/TrRail_act!W11*1000)</f>
        <v>18.81510331230054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514.80672376106043</v>
      </c>
      <c r="C48" s="62">
        <f>IF(C8=0,0,1000000*C8/TrRail_act!C25/1000)</f>
        <v>517.02513794573758</v>
      </c>
      <c r="D48" s="62">
        <f>IF(D8=0,0,1000000*D8/TrRail_act!D25/1000)</f>
        <v>501.96775818377262</v>
      </c>
      <c r="E48" s="62">
        <f>IF(E8=0,0,1000000*E8/TrRail_act!E25/1000)</f>
        <v>496.96904426375585</v>
      </c>
      <c r="F48" s="62">
        <f>IF(F8=0,0,1000000*F8/TrRail_act!F25/1000)</f>
        <v>525.90342916004761</v>
      </c>
      <c r="G48" s="62">
        <f>IF(G8=0,0,1000000*G8/TrRail_act!G25/1000)</f>
        <v>520.92289543862876</v>
      </c>
      <c r="H48" s="62">
        <f>IF(H8=0,0,1000000*H8/TrRail_act!H25/1000)</f>
        <v>512.43558721789827</v>
      </c>
      <c r="I48" s="62">
        <f>IF(I8=0,0,1000000*I8/TrRail_act!I25/1000)</f>
        <v>491.45311099933173</v>
      </c>
      <c r="J48" s="62">
        <f>IF(J8=0,0,1000000*J8/TrRail_act!J25/1000)</f>
        <v>475.49907885789264</v>
      </c>
      <c r="K48" s="62">
        <f>IF(K8=0,0,1000000*K8/TrRail_act!K25/1000)</f>
        <v>428.07260919387335</v>
      </c>
      <c r="L48" s="62">
        <f>IF(L8=0,0,1000000*L8/TrRail_act!L25/1000)</f>
        <v>441.58986236039533</v>
      </c>
      <c r="M48" s="62">
        <f>IF(M8=0,0,1000000*M8/TrRail_act!M25/1000)</f>
        <v>424.57819864507013</v>
      </c>
      <c r="N48" s="62">
        <f>IF(N8=0,0,1000000*N8/TrRail_act!N25/1000)</f>
        <v>407.41694486104655</v>
      </c>
      <c r="O48" s="62">
        <f>IF(O8=0,0,1000000*O8/TrRail_act!O25/1000)</f>
        <v>400.84441613899168</v>
      </c>
      <c r="P48" s="62">
        <f>IF(P8=0,0,1000000*P8/TrRail_act!P25/1000)</f>
        <v>360.47062003779877</v>
      </c>
      <c r="Q48" s="62">
        <f>IF(Q8=0,0,1000000*Q8/TrRail_act!Q25/1000)</f>
        <v>313.71222881167381</v>
      </c>
      <c r="R48" s="62">
        <f>IF(R8=0,0,1000000*R8/TrRail_act!R25/1000)</f>
        <v>311.30781441190862</v>
      </c>
      <c r="S48" s="62">
        <f>IF(S8=0,0,1000000*S8/TrRail_act!S25/1000)</f>
        <v>300.43606344415048</v>
      </c>
      <c r="T48" s="62">
        <f>IF(T8=0,0,1000000*T8/TrRail_act!T25/1000)</f>
        <v>257.04785395350495</v>
      </c>
      <c r="U48" s="62">
        <f>IF(U8=0,0,1000000*U8/TrRail_act!U25/1000)</f>
        <v>257.94199443691701</v>
      </c>
      <c r="V48" s="62">
        <f>IF(V8=0,0,1000000*V8/TrRail_act!V25/1000)</f>
        <v>257.88808914273903</v>
      </c>
      <c r="W48" s="62">
        <f>IF(W8=0,0,1000000*W8/TrRail_act!W25/1000)</f>
        <v>259.54558015626583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415.18231294352904</v>
      </c>
      <c r="C49" s="29">
        <f>IF(C9=0,0,1000000*C9/TrRail_act!C26/1000)</f>
        <v>387.22655120749135</v>
      </c>
      <c r="D49" s="29">
        <f>IF(D9=0,0,1000000*D9/TrRail_act!D26/1000)</f>
        <v>375.25072295188863</v>
      </c>
      <c r="E49" s="29">
        <f>IF(E9=0,0,1000000*E9/TrRail_act!E26/1000)</f>
        <v>350.81048391883098</v>
      </c>
      <c r="F49" s="29">
        <f>IF(F9=0,0,1000000*F9/TrRail_act!F26/1000)</f>
        <v>376.5709140315754</v>
      </c>
      <c r="G49" s="29">
        <f>IF(G9=0,0,1000000*G9/TrRail_act!G26/1000)</f>
        <v>359.00606610758223</v>
      </c>
      <c r="H49" s="29">
        <f>IF(H9=0,0,1000000*H9/TrRail_act!H26/1000)</f>
        <v>351.44838591043373</v>
      </c>
      <c r="I49" s="29">
        <f>IF(I9=0,0,1000000*I9/TrRail_act!I26/1000)</f>
        <v>318.92648146880498</v>
      </c>
      <c r="J49" s="29">
        <f>IF(J9=0,0,1000000*J9/TrRail_act!J26/1000)</f>
        <v>327.71700601034672</v>
      </c>
      <c r="K49" s="29">
        <f>IF(K9=0,0,1000000*K9/TrRail_act!K26/1000)</f>
        <v>304.77444898033889</v>
      </c>
      <c r="L49" s="29">
        <f>IF(L9=0,0,1000000*L9/TrRail_act!L26/1000)</f>
        <v>303.75126078997539</v>
      </c>
      <c r="M49" s="29">
        <f>IF(M9=0,0,1000000*M9/TrRail_act!M26/1000)</f>
        <v>300.68473735674633</v>
      </c>
      <c r="N49" s="29">
        <f>IF(N9=0,0,1000000*N9/TrRail_act!N26/1000)</f>
        <v>289.53930477890532</v>
      </c>
      <c r="O49" s="29">
        <f>IF(O9=0,0,1000000*O9/TrRail_act!O26/1000)</f>
        <v>281.69808685916689</v>
      </c>
      <c r="P49" s="29">
        <f>IF(P9=0,0,1000000*P9/TrRail_act!P26/1000)</f>
        <v>241.74577554674482</v>
      </c>
      <c r="Q49" s="29">
        <f>IF(Q9=0,0,1000000*Q9/TrRail_act!Q26/1000)</f>
        <v>217.99328907971875</v>
      </c>
      <c r="R49" s="29">
        <f>IF(R9=0,0,1000000*R9/TrRail_act!R26/1000)</f>
        <v>213.02892466688459</v>
      </c>
      <c r="S49" s="29">
        <f>IF(S9=0,0,1000000*S9/TrRail_act!S26/1000)</f>
        <v>209.57415200753414</v>
      </c>
      <c r="T49" s="29">
        <f>IF(T9=0,0,1000000*T9/TrRail_act!T26/1000)</f>
        <v>182.94876509950757</v>
      </c>
      <c r="U49" s="29">
        <f>IF(U9=0,0,1000000*U9/TrRail_act!U26/1000)</f>
        <v>173.11240934930186</v>
      </c>
      <c r="V49" s="29">
        <f>IF(V9=0,0,1000000*V9/TrRail_act!V26/1000)</f>
        <v>164.91911274565413</v>
      </c>
      <c r="W49" s="29">
        <f>IF(W9=0,0,1000000*W9/TrRail_act!W26/1000)</f>
        <v>165.28218881363932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677.56517646915961</v>
      </c>
      <c r="C51" s="116">
        <f>IF(C11=0,0,1000000*C11/TrRail_act!C28/1000)</f>
        <v>648.10156710399428</v>
      </c>
      <c r="D51" s="116">
        <f>IF(D11=0,0,1000000*D11/TrRail_act!D28/1000)</f>
        <v>625.09178211080962</v>
      </c>
      <c r="E51" s="116">
        <f>IF(E11=0,0,1000000*E11/TrRail_act!E28/1000)</f>
        <v>603.53396553654886</v>
      </c>
      <c r="F51" s="116">
        <f>IF(F11=0,0,1000000*F11/TrRail_act!F28/1000)</f>
        <v>625.28431235895619</v>
      </c>
      <c r="G51" s="116">
        <f>IF(G11=0,0,1000000*G11/TrRail_act!G28/1000)</f>
        <v>591.15729272341184</v>
      </c>
      <c r="H51" s="116">
        <f>IF(H11=0,0,1000000*H11/TrRail_act!H28/1000)</f>
        <v>578.14765313634541</v>
      </c>
      <c r="I51" s="116">
        <f>IF(I11=0,0,1000000*I11/TrRail_act!I28/1000)</f>
        <v>558.32495284946356</v>
      </c>
      <c r="J51" s="116">
        <f>IF(J11=0,0,1000000*J11/TrRail_act!J28/1000)</f>
        <v>542.24072481776045</v>
      </c>
      <c r="K51" s="116">
        <f>IF(K11=0,0,1000000*K11/TrRail_act!K28/1000)</f>
        <v>493.11057000871642</v>
      </c>
      <c r="L51" s="116">
        <f>IF(L11=0,0,1000000*L11/TrRail_act!L28/1000)</f>
        <v>485.30097763919423</v>
      </c>
      <c r="M51" s="116">
        <f>IF(M11=0,0,1000000*M11/TrRail_act!M28/1000)</f>
        <v>468.9497218304399</v>
      </c>
      <c r="N51" s="116">
        <f>IF(N11=0,0,1000000*N11/TrRail_act!N28/1000)</f>
        <v>456.75397977071532</v>
      </c>
      <c r="O51" s="116">
        <f>IF(O11=0,0,1000000*O11/TrRail_act!O28/1000)</f>
        <v>454.80714711394654</v>
      </c>
      <c r="P51" s="116">
        <f>IF(P11=0,0,1000000*P11/TrRail_act!P28/1000)</f>
        <v>417.49512577359866</v>
      </c>
      <c r="Q51" s="116">
        <f>IF(Q11=0,0,1000000*Q11/TrRail_act!Q28/1000)</f>
        <v>389.96123665867395</v>
      </c>
      <c r="R51" s="116">
        <f>IF(R11=0,0,1000000*R11/TrRail_act!R28/1000)</f>
        <v>389.22694958184405</v>
      </c>
      <c r="S51" s="116">
        <f>IF(S11=0,0,1000000*S11/TrRail_act!S28/1000)</f>
        <v>379.92901218986907</v>
      </c>
      <c r="T51" s="116">
        <f>IF(T11=0,0,1000000*T11/TrRail_act!T28/1000)</f>
        <v>321.11435267257121</v>
      </c>
      <c r="U51" s="116">
        <f>IF(U11=0,0,1000000*U11/TrRail_act!U28/1000)</f>
        <v>293.51437381814844</v>
      </c>
      <c r="V51" s="116">
        <f>IF(V11=0,0,1000000*V11/TrRail_act!V28/1000)</f>
        <v>281.23396581447275</v>
      </c>
      <c r="W51" s="116">
        <f>IF(W11=0,0,1000000*W11/TrRail_act!W28/1000)</f>
        <v>267.96928485872928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1341.1914213118034</v>
      </c>
      <c r="C52" s="87">
        <f>IF(C12=0,0,1000000*C12/TrRail_act!C29/1000)</f>
        <v>1292.7175849229061</v>
      </c>
      <c r="D52" s="87">
        <f>IF(D12=0,0,1000000*D12/TrRail_act!D29/1000)</f>
        <v>1251.9676575767865</v>
      </c>
      <c r="E52" s="87">
        <f>IF(E12=0,0,1000000*E12/TrRail_act!E29/1000)</f>
        <v>1208.1781230962854</v>
      </c>
      <c r="F52" s="87">
        <f>IF(F12=0,0,1000000*F12/TrRail_act!F29/1000)</f>
        <v>1173.4689387682818</v>
      </c>
      <c r="G52" s="87">
        <f>IF(G12=0,0,1000000*G12/TrRail_act!G29/1000)</f>
        <v>1140.1417395779652</v>
      </c>
      <c r="H52" s="87">
        <f>IF(H12=0,0,1000000*H12/TrRail_act!H29/1000)</f>
        <v>1110.2024223635892</v>
      </c>
      <c r="I52" s="87">
        <f>IF(I12=0,0,1000000*I12/TrRail_act!I29/1000)</f>
        <v>1080.0747238025479</v>
      </c>
      <c r="J52" s="87">
        <f>IF(J12=0,0,1000000*J12/TrRail_act!J29/1000)</f>
        <v>1047.6818676703037</v>
      </c>
      <c r="K52" s="87">
        <f>IF(K12=0,0,1000000*K12/TrRail_act!K29/1000)</f>
        <v>1018.0623315218543</v>
      </c>
      <c r="L52" s="87">
        <f>IF(L12=0,0,1000000*L12/TrRail_act!L29/1000)</f>
        <v>1005.6839112517921</v>
      </c>
      <c r="M52" s="87">
        <f>IF(M12=0,0,1000000*M12/TrRail_act!M29/1000)</f>
        <v>993.91068403832458</v>
      </c>
      <c r="N52" s="87">
        <f>IF(N12=0,0,1000000*N12/TrRail_act!N29/1000)</f>
        <v>981.60156843840787</v>
      </c>
      <c r="O52" s="87">
        <f>IF(O12=0,0,1000000*O12/TrRail_act!O29/1000)</f>
        <v>937.92982536022396</v>
      </c>
      <c r="P52" s="87">
        <f>IF(P12=0,0,1000000*P12/TrRail_act!P29/1000)</f>
        <v>864.52207812386382</v>
      </c>
      <c r="Q52" s="87">
        <f>IF(Q12=0,0,1000000*Q12/TrRail_act!Q29/1000)</f>
        <v>852.05081059082772</v>
      </c>
      <c r="R52" s="87">
        <f>IF(R12=0,0,1000000*R12/TrRail_act!R29/1000)</f>
        <v>843.71908191037585</v>
      </c>
      <c r="S52" s="87">
        <f>IF(S12=0,0,1000000*S12/TrRail_act!S29/1000)</f>
        <v>826.71517042382754</v>
      </c>
      <c r="T52" s="87">
        <f>IF(T12=0,0,1000000*T12/TrRail_act!T29/1000)</f>
        <v>795.68842150063358</v>
      </c>
      <c r="U52" s="87">
        <f>IF(U12=0,0,1000000*U12/TrRail_act!U29/1000)</f>
        <v>804.91646226551723</v>
      </c>
      <c r="V52" s="87">
        <f>IF(V12=0,0,1000000*V12/TrRail_act!V29/1000)</f>
        <v>798.03255638237601</v>
      </c>
      <c r="W52" s="87">
        <f>IF(W12=0,0,1000000*W12/TrRail_act!W29/1000)</f>
        <v>792.9082635731603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1267.7313265459186</v>
      </c>
      <c r="C55" s="29">
        <f>IF(C15=0,0,1000000*C15/TrRail_act!C32/1000)</f>
        <v>1418.4371685905808</v>
      </c>
      <c r="D55" s="29">
        <f>IF(D15=0,0,1000000*D15/TrRail_act!D32/1000)</f>
        <v>1320.1679930611681</v>
      </c>
      <c r="E55" s="29">
        <f>IF(E15=0,0,1000000*E15/TrRail_act!E32/1000)</f>
        <v>1338.1871909423762</v>
      </c>
      <c r="F55" s="29">
        <f>IF(F15=0,0,1000000*F15/TrRail_act!F32/1000)</f>
        <v>1370.0257805659887</v>
      </c>
      <c r="G55" s="29">
        <f>IF(G15=0,0,1000000*G15/TrRail_act!G32/1000)</f>
        <v>1349.2771291928927</v>
      </c>
      <c r="H55" s="29">
        <f>IF(H15=0,0,1000000*H15/TrRail_act!H32/1000)</f>
        <v>1316.1961558969097</v>
      </c>
      <c r="I55" s="29">
        <f>IF(I15=0,0,1000000*I15/TrRail_act!I32/1000)</f>
        <v>1397.8893282663798</v>
      </c>
      <c r="J55" s="29">
        <f>IF(J15=0,0,1000000*J15/TrRail_act!J32/1000)</f>
        <v>1309.7258218663405</v>
      </c>
      <c r="K55" s="29">
        <f>IF(K15=0,0,1000000*K15/TrRail_act!K32/1000)</f>
        <v>1144.017602430484</v>
      </c>
      <c r="L55" s="29">
        <f>IF(L15=0,0,1000000*L15/TrRail_act!L32/1000)</f>
        <v>1241.4542396100969</v>
      </c>
      <c r="M55" s="29">
        <f>IF(M15=0,0,1000000*M15/TrRail_act!M32/1000)</f>
        <v>1162.3731135726157</v>
      </c>
      <c r="N55" s="29">
        <f>IF(N15=0,0,1000000*N15/TrRail_act!N32/1000)</f>
        <v>1151.207296129867</v>
      </c>
      <c r="O55" s="29">
        <f>IF(O15=0,0,1000000*O15/TrRail_act!O32/1000)</f>
        <v>1125.5492810073342</v>
      </c>
      <c r="P55" s="29">
        <f>IF(P15=0,0,1000000*P15/TrRail_act!P32/1000)</f>
        <v>1089.7115325948239</v>
      </c>
      <c r="Q55" s="29">
        <f>IF(Q15=0,0,1000000*Q15/TrRail_act!Q32/1000)</f>
        <v>885.8325518193268</v>
      </c>
      <c r="R55" s="29">
        <f>IF(R15=0,0,1000000*R15/TrRail_act!R32/1000)</f>
        <v>864.05929686531158</v>
      </c>
      <c r="S55" s="29">
        <f>IF(S15=0,0,1000000*S15/TrRail_act!S32/1000)</f>
        <v>759.43111150792663</v>
      </c>
      <c r="T55" s="29">
        <f>IF(T15=0,0,1000000*T15/TrRail_act!T32/1000)</f>
        <v>628.61443696299477</v>
      </c>
      <c r="U55" s="29">
        <f>IF(U15=0,0,1000000*U15/TrRail_act!U32/1000)</f>
        <v>652.97815416410492</v>
      </c>
      <c r="V55" s="29">
        <f>IF(V15=0,0,1000000*V15/TrRail_act!V32/1000)</f>
        <v>633.28388030511587</v>
      </c>
      <c r="W55" s="29">
        <f>IF(W15=0,0,1000000*W15/TrRail_act!W32/1000)</f>
        <v>683.68919495587738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3439.5956627277101</v>
      </c>
      <c r="C56" s="87">
        <f>IF(C16=0,0,1000000*C16/TrRail_act!C33/1000)</f>
        <v>3401.3311312085261</v>
      </c>
      <c r="D56" s="87">
        <f>IF(D16=0,0,1000000*D16/TrRail_act!D33/1000)</f>
        <v>3374.8132536274161</v>
      </c>
      <c r="E56" s="87">
        <f>IF(E16=0,0,1000000*E16/TrRail_act!E33/1000)</f>
        <v>3338.2907496997282</v>
      </c>
      <c r="F56" s="87">
        <f>IF(F16=0,0,1000000*F16/TrRail_act!F33/1000)</f>
        <v>3316.9315270842339</v>
      </c>
      <c r="G56" s="87">
        <f>IF(G16=0,0,1000000*G16/TrRail_act!G33/1000)</f>
        <v>3242.5781594279965</v>
      </c>
      <c r="H56" s="87">
        <f>IF(H16=0,0,1000000*H16/TrRail_act!H33/1000)</f>
        <v>3221.6424322124717</v>
      </c>
      <c r="I56" s="87">
        <f>IF(I16=0,0,1000000*I16/TrRail_act!I33/1000)</f>
        <v>3202.342308684727</v>
      </c>
      <c r="J56" s="87">
        <f>IF(J16=0,0,1000000*J16/TrRail_act!J33/1000)</f>
        <v>3001.2747331089695</v>
      </c>
      <c r="K56" s="87">
        <f>IF(K16=0,0,1000000*K16/TrRail_act!K33/1000)</f>
        <v>2595.8210043658878</v>
      </c>
      <c r="L56" s="87">
        <f>IF(L16=0,0,1000000*L16/TrRail_act!L33/1000)</f>
        <v>2886.1032469150878</v>
      </c>
      <c r="M56" s="87">
        <f>IF(M16=0,0,1000000*M16/TrRail_act!M33/1000)</f>
        <v>2746.7027544932098</v>
      </c>
      <c r="N56" s="87">
        <f>IF(N16=0,0,1000000*N16/TrRail_act!N33/1000)</f>
        <v>2694.7210412314189</v>
      </c>
      <c r="O56" s="87">
        <f>IF(O16=0,0,1000000*O16/TrRail_act!O33/1000)</f>
        <v>2856.0194568752268</v>
      </c>
      <c r="P56" s="87">
        <f>IF(P16=0,0,1000000*P16/TrRail_act!P33/1000)</f>
        <v>2855.2530595521298</v>
      </c>
      <c r="Q56" s="87">
        <f>IF(Q16=0,0,1000000*Q16/TrRail_act!Q33/1000)</f>
        <v>2523.2087196904049</v>
      </c>
      <c r="R56" s="87">
        <f>IF(R16=0,0,1000000*R16/TrRail_act!R33/1000)</f>
        <v>2668.7402351780825</v>
      </c>
      <c r="S56" s="87">
        <f>IF(S16=0,0,1000000*S16/TrRail_act!S33/1000)</f>
        <v>2617.3310975654604</v>
      </c>
      <c r="T56" s="87">
        <f>IF(T16=0,0,1000000*T16/TrRail_act!T33/1000)</f>
        <v>2314.088114932641</v>
      </c>
      <c r="U56" s="87">
        <f>IF(U16=0,0,1000000*U16/TrRail_act!U33/1000)</f>
        <v>2537.3487571932183</v>
      </c>
      <c r="V56" s="87">
        <f>IF(V16=0,0,1000000*V16/TrRail_act!V33/1000)</f>
        <v>2510.0083266815236</v>
      </c>
      <c r="W56" s="87">
        <f>IF(W16=0,0,1000000*W16/TrRail_act!W33/1000)</f>
        <v>2489.6965284785447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0.71224066483219406</v>
      </c>
      <c r="C60" s="31">
        <f t="shared" ref="C60:V60" si="8">IF(C9=0,0,C9/C$8)</f>
        <v>0.65468055697430705</v>
      </c>
      <c r="D60" s="31">
        <f t="shared" si="8"/>
        <v>0.64730882494951314</v>
      </c>
      <c r="E60" s="31">
        <f t="shared" si="8"/>
        <v>0.6014076954933425</v>
      </c>
      <c r="F60" s="31">
        <f t="shared" si="8"/>
        <v>0.60841236017065159</v>
      </c>
      <c r="G60" s="31">
        <f t="shared" si="8"/>
        <v>0.57648810239959358</v>
      </c>
      <c r="H60" s="31">
        <f t="shared" si="8"/>
        <v>0.5713933525187479</v>
      </c>
      <c r="I60" s="31">
        <f t="shared" si="8"/>
        <v>0.54517916778429176</v>
      </c>
      <c r="J60" s="31">
        <f t="shared" si="8"/>
        <v>0.58548802918740017</v>
      </c>
      <c r="K60" s="31">
        <f t="shared" si="8"/>
        <v>0.60736947894994886</v>
      </c>
      <c r="L60" s="31">
        <f t="shared" si="8"/>
        <v>0.58674588763950619</v>
      </c>
      <c r="M60" s="31">
        <f t="shared" si="8"/>
        <v>0.60637196928224846</v>
      </c>
      <c r="N60" s="31">
        <f t="shared" si="8"/>
        <v>0.61344978609004708</v>
      </c>
      <c r="O60" s="31">
        <f t="shared" si="8"/>
        <v>0.60353625923885468</v>
      </c>
      <c r="P60" s="31">
        <f t="shared" si="8"/>
        <v>0.57674220194725745</v>
      </c>
      <c r="Q60" s="31">
        <f t="shared" si="8"/>
        <v>0.59528796576596332</v>
      </c>
      <c r="R60" s="31">
        <f t="shared" si="8"/>
        <v>0.58100145332977171</v>
      </c>
      <c r="S60" s="31">
        <f t="shared" si="8"/>
        <v>0.58229616324648825</v>
      </c>
      <c r="T60" s="31">
        <f t="shared" si="8"/>
        <v>0.59339374692358504</v>
      </c>
      <c r="U60" s="31">
        <f t="shared" si="8"/>
        <v>0.55248850816074058</v>
      </c>
      <c r="V60" s="31">
        <f t="shared" si="8"/>
        <v>0.51256020710079864</v>
      </c>
      <c r="W60" s="31">
        <f t="shared" ref="W60" si="9">IF(W9=0,0,W9/W$8)</f>
        <v>0.52102011331710185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0.71224066483219406</v>
      </c>
      <c r="C62" s="124">
        <f t="shared" ref="C62:V62" si="12">IF(C11=0,0,C11/C$8)</f>
        <v>0.65468055697430705</v>
      </c>
      <c r="D62" s="124">
        <f t="shared" si="12"/>
        <v>0.64730882494951314</v>
      </c>
      <c r="E62" s="124">
        <f t="shared" si="12"/>
        <v>0.6014076954933425</v>
      </c>
      <c r="F62" s="124">
        <f t="shared" si="12"/>
        <v>0.60841236017065159</v>
      </c>
      <c r="G62" s="124">
        <f t="shared" si="12"/>
        <v>0.57648810239959358</v>
      </c>
      <c r="H62" s="124">
        <f t="shared" si="12"/>
        <v>0.5713933525187479</v>
      </c>
      <c r="I62" s="124">
        <f t="shared" si="12"/>
        <v>0.54517916778429176</v>
      </c>
      <c r="J62" s="124">
        <f t="shared" si="12"/>
        <v>0.58548802918740017</v>
      </c>
      <c r="K62" s="124">
        <f t="shared" si="12"/>
        <v>0.60736947894994886</v>
      </c>
      <c r="L62" s="124">
        <f t="shared" si="12"/>
        <v>0.58674588763950619</v>
      </c>
      <c r="M62" s="124">
        <f t="shared" si="12"/>
        <v>0.60637196928224846</v>
      </c>
      <c r="N62" s="124">
        <f t="shared" si="12"/>
        <v>0.61344978609004708</v>
      </c>
      <c r="O62" s="124">
        <f t="shared" si="12"/>
        <v>0.60353625923885468</v>
      </c>
      <c r="P62" s="124">
        <f t="shared" si="12"/>
        <v>0.57674220194725745</v>
      </c>
      <c r="Q62" s="124">
        <f t="shared" si="12"/>
        <v>0.59528796576596332</v>
      </c>
      <c r="R62" s="124">
        <f t="shared" si="12"/>
        <v>0.58100145332977171</v>
      </c>
      <c r="S62" s="124">
        <f t="shared" si="12"/>
        <v>0.58229616324648825</v>
      </c>
      <c r="T62" s="124">
        <f t="shared" si="12"/>
        <v>0.59339374692358504</v>
      </c>
      <c r="U62" s="124">
        <f t="shared" si="12"/>
        <v>0.55248850816074058</v>
      </c>
      <c r="V62" s="124">
        <f t="shared" si="12"/>
        <v>0.51256020710079864</v>
      </c>
      <c r="W62" s="124">
        <f t="shared" ref="W62" si="13">IF(W11=0,0,W11/W$8)</f>
        <v>0.52102011331710185</v>
      </c>
      <c r="DA62" s="176"/>
    </row>
    <row r="63" spans="1:105" ht="11.45" customHeight="1" x14ac:dyDescent="0.25">
      <c r="A63" s="111" t="s">
        <v>92</v>
      </c>
      <c r="B63" s="125">
        <f t="shared" si="5"/>
        <v>0.71224066483219406</v>
      </c>
      <c r="C63" s="125">
        <f t="shared" ref="C63:V63" si="14">IF(C12=0,0,C12/C$8)</f>
        <v>0.65468055697430705</v>
      </c>
      <c r="D63" s="125">
        <f t="shared" si="14"/>
        <v>0.64730882494951314</v>
      </c>
      <c r="E63" s="125">
        <f t="shared" si="14"/>
        <v>0.6014076954933425</v>
      </c>
      <c r="F63" s="125">
        <f t="shared" si="14"/>
        <v>0.60841236017065159</v>
      </c>
      <c r="G63" s="125">
        <f t="shared" si="14"/>
        <v>0.57648810239959358</v>
      </c>
      <c r="H63" s="125">
        <f t="shared" si="14"/>
        <v>0.5713933525187479</v>
      </c>
      <c r="I63" s="125">
        <f t="shared" si="14"/>
        <v>0.54517916778429176</v>
      </c>
      <c r="J63" s="125">
        <f t="shared" si="14"/>
        <v>0.58548802918740017</v>
      </c>
      <c r="K63" s="125">
        <f t="shared" si="14"/>
        <v>0.60736947894994886</v>
      </c>
      <c r="L63" s="125">
        <f t="shared" si="14"/>
        <v>0.58674588763950619</v>
      </c>
      <c r="M63" s="125">
        <f t="shared" si="14"/>
        <v>0.60637196928224846</v>
      </c>
      <c r="N63" s="125">
        <f t="shared" si="14"/>
        <v>0.61344978609004708</v>
      </c>
      <c r="O63" s="125">
        <f t="shared" si="14"/>
        <v>0.60353625923885468</v>
      </c>
      <c r="P63" s="125">
        <f t="shared" si="14"/>
        <v>0.57674220194725745</v>
      </c>
      <c r="Q63" s="125">
        <f t="shared" si="14"/>
        <v>0.59528796576596332</v>
      </c>
      <c r="R63" s="125">
        <f t="shared" si="14"/>
        <v>0.58100145332977171</v>
      </c>
      <c r="S63" s="125">
        <f t="shared" si="14"/>
        <v>0.58229616324648825</v>
      </c>
      <c r="T63" s="125">
        <f t="shared" si="14"/>
        <v>0.59339374692358504</v>
      </c>
      <c r="U63" s="125">
        <f t="shared" si="14"/>
        <v>0.55248850816074058</v>
      </c>
      <c r="V63" s="125">
        <f t="shared" si="14"/>
        <v>0.51256020710079864</v>
      </c>
      <c r="W63" s="125">
        <f t="shared" ref="W63" si="15">IF(W12=0,0,W12/W$8)</f>
        <v>0.52102011331710185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0.28775933516780594</v>
      </c>
      <c r="C66" s="31">
        <f t="shared" ref="C66:V66" si="20">IF(C15=0,0,C15/C$8)</f>
        <v>0.3453194430256929</v>
      </c>
      <c r="D66" s="31">
        <f t="shared" si="20"/>
        <v>0.3526911750504868</v>
      </c>
      <c r="E66" s="31">
        <f t="shared" si="20"/>
        <v>0.39859230450665756</v>
      </c>
      <c r="F66" s="31">
        <f t="shared" si="20"/>
        <v>0.3915876398293483</v>
      </c>
      <c r="G66" s="31">
        <f t="shared" si="20"/>
        <v>0.42351189760040642</v>
      </c>
      <c r="H66" s="31">
        <f t="shared" si="20"/>
        <v>0.4286066474812521</v>
      </c>
      <c r="I66" s="31">
        <f t="shared" si="20"/>
        <v>0.45482083221570835</v>
      </c>
      <c r="J66" s="31">
        <f t="shared" si="20"/>
        <v>0.41451197081259977</v>
      </c>
      <c r="K66" s="31">
        <f t="shared" si="20"/>
        <v>0.39263052105005108</v>
      </c>
      <c r="L66" s="31">
        <f t="shared" si="20"/>
        <v>0.41325411236049375</v>
      </c>
      <c r="M66" s="31">
        <f t="shared" si="20"/>
        <v>0.3936280307177516</v>
      </c>
      <c r="N66" s="31">
        <f t="shared" si="20"/>
        <v>0.38655021390995281</v>
      </c>
      <c r="O66" s="31">
        <f t="shared" si="20"/>
        <v>0.39646374076114527</v>
      </c>
      <c r="P66" s="31">
        <f t="shared" si="20"/>
        <v>0.42325779805274261</v>
      </c>
      <c r="Q66" s="31">
        <f t="shared" si="20"/>
        <v>0.40471203423403662</v>
      </c>
      <c r="R66" s="31">
        <f t="shared" si="20"/>
        <v>0.41899854667022829</v>
      </c>
      <c r="S66" s="31">
        <f t="shared" si="20"/>
        <v>0.4177038367535118</v>
      </c>
      <c r="T66" s="31">
        <f t="shared" si="20"/>
        <v>0.40660625307641507</v>
      </c>
      <c r="U66" s="31">
        <f t="shared" si="20"/>
        <v>0.44751149183925953</v>
      </c>
      <c r="V66" s="31">
        <f t="shared" si="20"/>
        <v>0.48743979289920136</v>
      </c>
      <c r="W66" s="31">
        <f t="shared" ref="W66" si="21">IF(W15=0,0,W15/W$8)</f>
        <v>0.4789798866828982</v>
      </c>
      <c r="DA66" s="173"/>
    </row>
    <row r="67" spans="1:105" ht="11.45" customHeight="1" x14ac:dyDescent="0.25">
      <c r="A67" s="83" t="s">
        <v>92</v>
      </c>
      <c r="B67" s="125">
        <f t="shared" si="5"/>
        <v>0.28775933516780594</v>
      </c>
      <c r="C67" s="125">
        <f t="shared" ref="C67:V67" si="22">IF(C16=0,0,C16/C$8)</f>
        <v>0.3453194430256929</v>
      </c>
      <c r="D67" s="125">
        <f t="shared" si="22"/>
        <v>0.3526911750504868</v>
      </c>
      <c r="E67" s="125">
        <f t="shared" si="22"/>
        <v>0.39859230450665756</v>
      </c>
      <c r="F67" s="125">
        <f t="shared" si="22"/>
        <v>0.3915876398293483</v>
      </c>
      <c r="G67" s="125">
        <f t="shared" si="22"/>
        <v>0.42351189760040642</v>
      </c>
      <c r="H67" s="125">
        <f t="shared" si="22"/>
        <v>0.4286066474812521</v>
      </c>
      <c r="I67" s="125">
        <f t="shared" si="22"/>
        <v>0.45482083221570835</v>
      </c>
      <c r="J67" s="125">
        <f t="shared" si="22"/>
        <v>0.41451197081259977</v>
      </c>
      <c r="K67" s="125">
        <f t="shared" si="22"/>
        <v>0.39263052105005108</v>
      </c>
      <c r="L67" s="125">
        <f t="shared" si="22"/>
        <v>0.41325411236049375</v>
      </c>
      <c r="M67" s="125">
        <f t="shared" si="22"/>
        <v>0.3936280307177516</v>
      </c>
      <c r="N67" s="125">
        <f t="shared" si="22"/>
        <v>0.38655021390995281</v>
      </c>
      <c r="O67" s="125">
        <f t="shared" si="22"/>
        <v>0.39646374076114527</v>
      </c>
      <c r="P67" s="125">
        <f t="shared" si="22"/>
        <v>0.42325779805274261</v>
      </c>
      <c r="Q67" s="125">
        <f t="shared" si="22"/>
        <v>0.40471203423403662</v>
      </c>
      <c r="R67" s="125">
        <f t="shared" si="22"/>
        <v>0.41899854667022829</v>
      </c>
      <c r="S67" s="125">
        <f t="shared" si="22"/>
        <v>0.4177038367535118</v>
      </c>
      <c r="T67" s="125">
        <f t="shared" si="22"/>
        <v>0.40660625307641507</v>
      </c>
      <c r="U67" s="125">
        <f t="shared" si="22"/>
        <v>0.44751149183925953</v>
      </c>
      <c r="V67" s="125">
        <f t="shared" si="22"/>
        <v>0.48743979289920136</v>
      </c>
      <c r="W67" s="125">
        <f t="shared" ref="W67" si="23">IF(W16=0,0,W16/W$8)</f>
        <v>0.4789798866828982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1706.5775525046372</v>
      </c>
      <c r="C4" s="11">
        <f t="shared" si="0"/>
        <v>1719.7434428231509</v>
      </c>
      <c r="D4" s="11">
        <f t="shared" ref="D4:V4" si="1">SUM(D5:D7)</f>
        <v>1648.2080577105053</v>
      </c>
      <c r="E4" s="11">
        <f t="shared" si="1"/>
        <v>1608.5113959693563</v>
      </c>
      <c r="F4" s="11">
        <f t="shared" si="1"/>
        <v>1838.3340290497672</v>
      </c>
      <c r="G4" s="11">
        <f t="shared" si="1"/>
        <v>2288.8836792177244</v>
      </c>
      <c r="H4" s="11">
        <f t="shared" si="1"/>
        <v>2533.6554737558417</v>
      </c>
      <c r="I4" s="11">
        <f t="shared" si="1"/>
        <v>2602.7244449568429</v>
      </c>
      <c r="J4" s="11">
        <f t="shared" si="1"/>
        <v>2617.2957653073622</v>
      </c>
      <c r="K4" s="11">
        <f t="shared" si="1"/>
        <v>2546.3624654245614</v>
      </c>
      <c r="L4" s="11">
        <f t="shared" si="1"/>
        <v>2853.5104790544601</v>
      </c>
      <c r="M4" s="11">
        <f t="shared" si="1"/>
        <v>3022.452220026702</v>
      </c>
      <c r="N4" s="11">
        <f t="shared" si="1"/>
        <v>3331.5612371292068</v>
      </c>
      <c r="O4" s="11">
        <f t="shared" si="1"/>
        <v>3525.6202819305668</v>
      </c>
      <c r="P4" s="11">
        <f t="shared" si="1"/>
        <v>3761.8091477252574</v>
      </c>
      <c r="Q4" s="11">
        <f t="shared" si="1"/>
        <v>4066.049623274585</v>
      </c>
      <c r="R4" s="11">
        <f t="shared" si="1"/>
        <v>4753.5012356635852</v>
      </c>
      <c r="S4" s="11">
        <f t="shared" si="1"/>
        <v>5863.7565979373703</v>
      </c>
      <c r="T4" s="11">
        <f t="shared" si="1"/>
        <v>6716.2490360052261</v>
      </c>
      <c r="U4" s="11">
        <f t="shared" si="1"/>
        <v>7259.7612914344081</v>
      </c>
      <c r="V4" s="11">
        <f t="shared" si="1"/>
        <v>1142.4365908101734</v>
      </c>
      <c r="W4" s="11">
        <f t="shared" ref="W4" si="2">SUM(W5:W7)</f>
        <v>2734.8253422572898</v>
      </c>
      <c r="DA4" s="189" t="s">
        <v>189</v>
      </c>
    </row>
    <row r="5" spans="1:105" ht="11.45" customHeight="1" x14ac:dyDescent="0.25">
      <c r="A5" s="83" t="s">
        <v>27</v>
      </c>
      <c r="B5" s="84">
        <v>133.08350078286017</v>
      </c>
      <c r="C5" s="84">
        <v>132.38897354473087</v>
      </c>
      <c r="D5" s="84">
        <v>156.9809452021845</v>
      </c>
      <c r="E5" s="84">
        <v>173.73224543495141</v>
      </c>
      <c r="F5" s="84">
        <v>190.45982648776086</v>
      </c>
      <c r="G5" s="84">
        <v>193.89219005565792</v>
      </c>
      <c r="H5" s="84">
        <v>180.95634442824689</v>
      </c>
      <c r="I5" s="84">
        <v>188.54976275813479</v>
      </c>
      <c r="J5" s="84">
        <v>205.43643377730746</v>
      </c>
      <c r="K5" s="84">
        <v>187.62374158483615</v>
      </c>
      <c r="L5" s="84">
        <v>172.65617975120358</v>
      </c>
      <c r="M5" s="84">
        <v>188.48798858763763</v>
      </c>
      <c r="N5" s="84">
        <v>181.21329219382298</v>
      </c>
      <c r="O5" s="84">
        <v>175.64250284280794</v>
      </c>
      <c r="P5" s="84">
        <v>174.97774556159493</v>
      </c>
      <c r="Q5" s="84">
        <v>174.68251251389609</v>
      </c>
      <c r="R5" s="84">
        <v>187.6341140464057</v>
      </c>
      <c r="S5" s="84">
        <v>199.98861485836318</v>
      </c>
      <c r="T5" s="84">
        <v>199.1459370143655</v>
      </c>
      <c r="U5" s="84">
        <v>193.6886910399777</v>
      </c>
      <c r="V5" s="84">
        <v>64.050387182783567</v>
      </c>
      <c r="W5" s="84">
        <v>86.87245077219751</v>
      </c>
      <c r="DA5" s="171" t="s">
        <v>190</v>
      </c>
    </row>
    <row r="6" spans="1:105" ht="11.45" customHeight="1" x14ac:dyDescent="0.25">
      <c r="A6" s="83" t="s">
        <v>173</v>
      </c>
      <c r="B6" s="84">
        <v>1283.7231534894611</v>
      </c>
      <c r="C6" s="84">
        <v>1296.2509392623072</v>
      </c>
      <c r="D6" s="84">
        <v>1216.2936982994306</v>
      </c>
      <c r="E6" s="84">
        <v>1166.7559741039368</v>
      </c>
      <c r="F6" s="84">
        <v>1337.2179674501324</v>
      </c>
      <c r="G6" s="84">
        <v>1784.1606465253105</v>
      </c>
      <c r="H6" s="84">
        <v>2034.3713347927564</v>
      </c>
      <c r="I6" s="84">
        <v>2048.1971957279707</v>
      </c>
      <c r="J6" s="84">
        <v>1959.650245300609</v>
      </c>
      <c r="K6" s="84">
        <v>1956.372721593463</v>
      </c>
      <c r="L6" s="84">
        <v>2140.7643303996747</v>
      </c>
      <c r="M6" s="84">
        <v>2207.8909070701911</v>
      </c>
      <c r="N6" s="84">
        <v>2467.907850312049</v>
      </c>
      <c r="O6" s="84">
        <v>2825.6776520308713</v>
      </c>
      <c r="P6" s="84">
        <v>3061.4082970235249</v>
      </c>
      <c r="Q6" s="84">
        <v>3227.228479463713</v>
      </c>
      <c r="R6" s="84">
        <v>3784.3331644704381</v>
      </c>
      <c r="S6" s="84">
        <v>4597.3980885710971</v>
      </c>
      <c r="T6" s="84">
        <v>5037.778354572697</v>
      </c>
      <c r="U6" s="84">
        <v>5499.1637419364779</v>
      </c>
      <c r="V6" s="84">
        <v>877.24430276233397</v>
      </c>
      <c r="W6" s="84">
        <v>2138.3647689454583</v>
      </c>
      <c r="DA6" s="171" t="s">
        <v>191</v>
      </c>
    </row>
    <row r="7" spans="1:105" ht="11.45" customHeight="1" x14ac:dyDescent="0.25">
      <c r="A7" s="83" t="s">
        <v>174</v>
      </c>
      <c r="B7" s="84">
        <v>289.77089823231591</v>
      </c>
      <c r="C7" s="84">
        <v>291.10353001611304</v>
      </c>
      <c r="D7" s="84">
        <v>274.93341420889004</v>
      </c>
      <c r="E7" s="84">
        <v>268.02317643046814</v>
      </c>
      <c r="F7" s="84">
        <v>310.65623511187385</v>
      </c>
      <c r="G7" s="84">
        <v>310.83084263675613</v>
      </c>
      <c r="H7" s="84">
        <v>318.3277945348384</v>
      </c>
      <c r="I7" s="84">
        <v>365.97748647073752</v>
      </c>
      <c r="J7" s="84">
        <v>452.20908622944592</v>
      </c>
      <c r="K7" s="84">
        <v>402.36600224626244</v>
      </c>
      <c r="L7" s="84">
        <v>540.08996890358196</v>
      </c>
      <c r="M7" s="84">
        <v>626.07332436887339</v>
      </c>
      <c r="N7" s="84">
        <v>682.44009462333509</v>
      </c>
      <c r="O7" s="84">
        <v>524.30012705688739</v>
      </c>
      <c r="P7" s="84">
        <v>525.42310514013741</v>
      </c>
      <c r="Q7" s="84">
        <v>664.13863129697563</v>
      </c>
      <c r="R7" s="84">
        <v>781.5339571467415</v>
      </c>
      <c r="S7" s="84">
        <v>1066.3698945079109</v>
      </c>
      <c r="T7" s="84">
        <v>1479.3247444181634</v>
      </c>
      <c r="U7" s="84">
        <v>1566.908858457952</v>
      </c>
      <c r="V7" s="84">
        <v>201.14190086505582</v>
      </c>
      <c r="W7" s="84">
        <v>509.5881225396339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3.1286463439488807</v>
      </c>
      <c r="C8" s="13">
        <f t="shared" si="3"/>
        <v>3.8352613480115396</v>
      </c>
      <c r="D8" s="13">
        <f t="shared" ref="D8:V8" si="4">SUM(D9:D11)</f>
        <v>3.6600708391287609</v>
      </c>
      <c r="E8" s="13">
        <f t="shared" si="4"/>
        <v>3.54350862263043</v>
      </c>
      <c r="F8" s="13">
        <f t="shared" si="4"/>
        <v>3.3573923199127478</v>
      </c>
      <c r="G8" s="13">
        <f t="shared" si="4"/>
        <v>3.9533036632174174</v>
      </c>
      <c r="H8" s="13">
        <f t="shared" si="4"/>
        <v>3.6607460614594114</v>
      </c>
      <c r="I8" s="13">
        <f t="shared" si="4"/>
        <v>4.1432297738520196</v>
      </c>
      <c r="J8" s="13">
        <f t="shared" si="4"/>
        <v>3.9163340533819833</v>
      </c>
      <c r="K8" s="13">
        <f t="shared" si="4"/>
        <v>4.4745808290186542</v>
      </c>
      <c r="L8" s="13">
        <f t="shared" si="4"/>
        <v>3.5488090387804809</v>
      </c>
      <c r="M8" s="13">
        <f t="shared" si="4"/>
        <v>4.8382020732272402</v>
      </c>
      <c r="N8" s="13">
        <f t="shared" si="4"/>
        <v>4.0340598259167582</v>
      </c>
      <c r="O8" s="13">
        <f t="shared" si="4"/>
        <v>5.0048851504351912</v>
      </c>
      <c r="P8" s="13">
        <f t="shared" si="4"/>
        <v>5.1614870238555675</v>
      </c>
      <c r="Q8" s="13">
        <f t="shared" si="4"/>
        <v>5.5312750332002381</v>
      </c>
      <c r="R8" s="13">
        <f t="shared" si="4"/>
        <v>6.399957903628211</v>
      </c>
      <c r="S8" s="13">
        <f t="shared" si="4"/>
        <v>6.9476806980781127</v>
      </c>
      <c r="T8" s="13">
        <f t="shared" si="4"/>
        <v>24.193949983560007</v>
      </c>
      <c r="U8" s="13">
        <f t="shared" si="4"/>
        <v>18.339668611230788</v>
      </c>
      <c r="V8" s="13">
        <f t="shared" si="4"/>
        <v>7.2649338335582661</v>
      </c>
      <c r="W8" s="13">
        <f t="shared" ref="W8" si="5">SUM(W9:W11)</f>
        <v>11.449776387314985</v>
      </c>
      <c r="DA8" s="193" t="s">
        <v>193</v>
      </c>
    </row>
    <row r="9" spans="1:105" ht="11.45" customHeight="1" x14ac:dyDescent="0.25">
      <c r="A9" s="92" t="s">
        <v>27</v>
      </c>
      <c r="B9" s="102">
        <v>0.18552397295616405</v>
      </c>
      <c r="C9" s="102">
        <v>0.22297696108602091</v>
      </c>
      <c r="D9" s="102">
        <v>0.22929368576354137</v>
      </c>
      <c r="E9" s="102">
        <v>0.22152095859505008</v>
      </c>
      <c r="F9" s="102">
        <v>0.2128110957566266</v>
      </c>
      <c r="G9" s="102">
        <v>0.2639046593638642</v>
      </c>
      <c r="H9" s="102">
        <v>0.31700715665897833</v>
      </c>
      <c r="I9" s="102">
        <v>0.44369146613252114</v>
      </c>
      <c r="J9" s="102">
        <v>0.47784190667305093</v>
      </c>
      <c r="K9" s="102">
        <v>0.38260022017459039</v>
      </c>
      <c r="L9" s="102">
        <v>0.36830037969476143</v>
      </c>
      <c r="M9" s="102">
        <v>0.26686938990440878</v>
      </c>
      <c r="N9" s="102">
        <v>0.13613706735946529</v>
      </c>
      <c r="O9" s="102">
        <v>0.12322788395836987</v>
      </c>
      <c r="P9" s="102">
        <v>0.12553386906944625</v>
      </c>
      <c r="Q9" s="102">
        <v>0.12136961451043668</v>
      </c>
      <c r="R9" s="102">
        <v>0.1159284331815268</v>
      </c>
      <c r="S9" s="102">
        <v>0.11113561159602828</v>
      </c>
      <c r="T9" s="102">
        <v>9.7613541951314456E-2</v>
      </c>
      <c r="U9" s="102">
        <v>8.5230271075923333E-2</v>
      </c>
      <c r="V9" s="102">
        <v>1.6632834634264126E-2</v>
      </c>
      <c r="W9" s="102">
        <v>1.3556006380441681E-2</v>
      </c>
      <c r="DA9" s="175" t="s">
        <v>194</v>
      </c>
    </row>
    <row r="10" spans="1:105" ht="11.45" customHeight="1" x14ac:dyDescent="0.25">
      <c r="A10" s="92" t="s">
        <v>173</v>
      </c>
      <c r="B10" s="102">
        <v>1.9744521119332452</v>
      </c>
      <c r="C10" s="102">
        <v>2.4525715135539947</v>
      </c>
      <c r="D10" s="102">
        <v>2.3355189427821021</v>
      </c>
      <c r="E10" s="102">
        <v>2.2022280890595272</v>
      </c>
      <c r="F10" s="102">
        <v>2.0576517196338067</v>
      </c>
      <c r="G10" s="102">
        <v>2.6204672532248798</v>
      </c>
      <c r="H10" s="102">
        <v>2.3362114652224735</v>
      </c>
      <c r="I10" s="102">
        <v>2.5941290457811537</v>
      </c>
      <c r="J10" s="102">
        <v>2.3176778831683933</v>
      </c>
      <c r="K10" s="102">
        <v>3.1755954533800557</v>
      </c>
      <c r="L10" s="102">
        <v>2.0806227845470651</v>
      </c>
      <c r="M10" s="102">
        <v>1.3478727503212529</v>
      </c>
      <c r="N10" s="102">
        <v>1.5522705808730537</v>
      </c>
      <c r="O10" s="102">
        <v>1.7128196791564039</v>
      </c>
      <c r="P10" s="102">
        <v>1.8533509055450457</v>
      </c>
      <c r="Q10" s="102">
        <v>1.9003859206112381</v>
      </c>
      <c r="R10" s="102">
        <v>2.1735195729991066</v>
      </c>
      <c r="S10" s="102">
        <v>1.9009286144827442</v>
      </c>
      <c r="T10" s="102">
        <v>2.2218541002585575</v>
      </c>
      <c r="U10" s="102">
        <v>2.7131078288725625</v>
      </c>
      <c r="V10" s="102">
        <v>2.2528645924692539</v>
      </c>
      <c r="W10" s="102">
        <v>2.9342473239012401</v>
      </c>
      <c r="DA10" s="175" t="s">
        <v>195</v>
      </c>
    </row>
    <row r="11" spans="1:105" ht="11.45" customHeight="1" x14ac:dyDescent="0.25">
      <c r="A11" s="85" t="s">
        <v>174</v>
      </c>
      <c r="B11" s="86">
        <v>0.96867025905947179</v>
      </c>
      <c r="C11" s="86">
        <v>1.1597128733715236</v>
      </c>
      <c r="D11" s="86">
        <v>1.0952582105831175</v>
      </c>
      <c r="E11" s="86">
        <v>1.1197595749758531</v>
      </c>
      <c r="F11" s="86">
        <v>1.0869295045223146</v>
      </c>
      <c r="G11" s="86">
        <v>1.0689317506286735</v>
      </c>
      <c r="H11" s="86">
        <v>1.0075274395779592</v>
      </c>
      <c r="I11" s="86">
        <v>1.1054092619383447</v>
      </c>
      <c r="J11" s="86">
        <v>1.1208142635405387</v>
      </c>
      <c r="K11" s="86">
        <v>0.91638515546400767</v>
      </c>
      <c r="L11" s="86">
        <v>1.0998858745386544</v>
      </c>
      <c r="M11" s="86">
        <v>3.2234599330015783</v>
      </c>
      <c r="N11" s="86">
        <v>2.3456521776842396</v>
      </c>
      <c r="O11" s="86">
        <v>3.168837587320418</v>
      </c>
      <c r="P11" s="86">
        <v>3.1826022492410755</v>
      </c>
      <c r="Q11" s="86">
        <v>3.5095194980785633</v>
      </c>
      <c r="R11" s="86">
        <v>4.1105098974475771</v>
      </c>
      <c r="S11" s="86">
        <v>4.9356164719993405</v>
      </c>
      <c r="T11" s="86">
        <v>21.874482341350134</v>
      </c>
      <c r="U11" s="86">
        <v>15.541330511282302</v>
      </c>
      <c r="V11" s="86">
        <v>4.9954364064547478</v>
      </c>
      <c r="W11" s="86">
        <v>8.5019730570333039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17.365290959015908</v>
      </c>
      <c r="C13" s="54">
        <f t="shared" si="6"/>
        <v>17.402278827976417</v>
      </c>
      <c r="D13" s="54">
        <f t="shared" ref="D13:V13" si="7">SUM(D14,D18)</f>
        <v>16.755041402292498</v>
      </c>
      <c r="E13" s="54">
        <f t="shared" si="7"/>
        <v>16.482465859058156</v>
      </c>
      <c r="F13" s="54">
        <f t="shared" si="7"/>
        <v>18.912843105506713</v>
      </c>
      <c r="G13" s="54">
        <f t="shared" si="7"/>
        <v>23.293636272241404</v>
      </c>
      <c r="H13" s="54">
        <f t="shared" si="7"/>
        <v>26.086637261074671</v>
      </c>
      <c r="I13" s="54">
        <f t="shared" si="7"/>
        <v>27.438898727455445</v>
      </c>
      <c r="J13" s="54">
        <f t="shared" si="7"/>
        <v>27.939442898181611</v>
      </c>
      <c r="K13" s="54">
        <f t="shared" si="7"/>
        <v>27.667758134363819</v>
      </c>
      <c r="L13" s="54">
        <f t="shared" si="7"/>
        <v>29.582530597745393</v>
      </c>
      <c r="M13" s="54">
        <f t="shared" si="7"/>
        <v>28.816497662819081</v>
      </c>
      <c r="N13" s="54">
        <f t="shared" si="7"/>
        <v>30.193266138060959</v>
      </c>
      <c r="O13" s="54">
        <f t="shared" si="7"/>
        <v>32.119608066927299</v>
      </c>
      <c r="P13" s="54">
        <f t="shared" si="7"/>
        <v>33.986137230923447</v>
      </c>
      <c r="Q13" s="54">
        <f t="shared" si="7"/>
        <v>35.880908919171837</v>
      </c>
      <c r="R13" s="54">
        <f t="shared" si="7"/>
        <v>40.827913417148068</v>
      </c>
      <c r="S13" s="54">
        <f t="shared" si="7"/>
        <v>47.192254141562046</v>
      </c>
      <c r="T13" s="54">
        <f t="shared" si="7"/>
        <v>53.637667306113826</v>
      </c>
      <c r="U13" s="54">
        <f t="shared" si="7"/>
        <v>56.520006967950032</v>
      </c>
      <c r="V13" s="54">
        <f t="shared" si="7"/>
        <v>14.912879107536591</v>
      </c>
      <c r="W13" s="54">
        <f t="shared" ref="W13" si="8">SUM(W14,W18)</f>
        <v>27.521739050596882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17.265104698117167</v>
      </c>
      <c r="C14" s="11">
        <f t="shared" si="9"/>
        <v>17.282645284626767</v>
      </c>
      <c r="D14" s="11">
        <f t="shared" ref="D14:V14" si="10">SUM(D15:D17)</f>
        <v>16.634249493525108</v>
      </c>
      <c r="E14" s="11">
        <f t="shared" si="10"/>
        <v>16.368860780507887</v>
      </c>
      <c r="F14" s="11">
        <f t="shared" si="10"/>
        <v>18.796542341903287</v>
      </c>
      <c r="G14" s="11">
        <f t="shared" si="10"/>
        <v>23.147258582598546</v>
      </c>
      <c r="H14" s="11">
        <f t="shared" si="10"/>
        <v>25.928441434292765</v>
      </c>
      <c r="I14" s="11">
        <f t="shared" si="10"/>
        <v>27.248094556545002</v>
      </c>
      <c r="J14" s="11">
        <f t="shared" si="10"/>
        <v>27.752880840265732</v>
      </c>
      <c r="K14" s="11">
        <f t="shared" si="10"/>
        <v>27.455091735758593</v>
      </c>
      <c r="L14" s="11">
        <f t="shared" si="10"/>
        <v>29.426567160988178</v>
      </c>
      <c r="M14" s="11">
        <f t="shared" si="10"/>
        <v>28.687492381288543</v>
      </c>
      <c r="N14" s="11">
        <f t="shared" si="10"/>
        <v>30.083446477413524</v>
      </c>
      <c r="O14" s="11">
        <f t="shared" si="10"/>
        <v>31.991974452177939</v>
      </c>
      <c r="P14" s="11">
        <f t="shared" si="10"/>
        <v>33.868345608855201</v>
      </c>
      <c r="Q14" s="11">
        <f t="shared" si="10"/>
        <v>35.759131397717326</v>
      </c>
      <c r="R14" s="11">
        <f t="shared" si="10"/>
        <v>40.70043354567737</v>
      </c>
      <c r="S14" s="11">
        <f t="shared" si="10"/>
        <v>47.062521667150179</v>
      </c>
      <c r="T14" s="11">
        <f t="shared" si="10"/>
        <v>53.339977814619687</v>
      </c>
      <c r="U14" s="11">
        <f t="shared" si="10"/>
        <v>56.27730235287595</v>
      </c>
      <c r="V14" s="11">
        <f t="shared" si="10"/>
        <v>14.736846842526409</v>
      </c>
      <c r="W14" s="11">
        <f t="shared" ref="W14" si="11">SUM(W15:W17)</f>
        <v>27.247879059685793</v>
      </c>
      <c r="DA14" s="189" t="s">
        <v>198</v>
      </c>
    </row>
    <row r="15" spans="1:105" ht="11.45" customHeight="1" x14ac:dyDescent="0.25">
      <c r="A15" s="83" t="s">
        <v>27</v>
      </c>
      <c r="B15" s="84">
        <v>1.6574014632598562</v>
      </c>
      <c r="C15" s="84">
        <v>1.6591087165182616</v>
      </c>
      <c r="D15" s="84">
        <v>1.972901865413154</v>
      </c>
      <c r="E15" s="84">
        <v>2.1832354668486857</v>
      </c>
      <c r="F15" s="84">
        <v>2.3932276176325367</v>
      </c>
      <c r="G15" s="84">
        <v>2.4481087891485354</v>
      </c>
      <c r="H15" s="84">
        <v>2.2946663505239187</v>
      </c>
      <c r="I15" s="84">
        <v>2.4044637261084496</v>
      </c>
      <c r="J15" s="84">
        <v>2.6269925314239315</v>
      </c>
      <c r="K15" s="84">
        <v>2.6968817871971447</v>
      </c>
      <c r="L15" s="84">
        <v>2.4524503107074564</v>
      </c>
      <c r="M15" s="84">
        <v>2.4793610635273109</v>
      </c>
      <c r="N15" s="84">
        <v>2.2508713640368443</v>
      </c>
      <c r="O15" s="84">
        <v>2.172525600713576</v>
      </c>
      <c r="P15" s="84">
        <v>2.4210228473451751</v>
      </c>
      <c r="Q15" s="84">
        <v>2.3933687474583456</v>
      </c>
      <c r="R15" s="84">
        <v>2.6386454907236621</v>
      </c>
      <c r="S15" s="84">
        <v>2.6600200878260556</v>
      </c>
      <c r="T15" s="84">
        <v>2.6965420119126406</v>
      </c>
      <c r="U15" s="84">
        <v>2.7437340607720393</v>
      </c>
      <c r="V15" s="84">
        <v>1.6444679518862422</v>
      </c>
      <c r="W15" s="84">
        <v>2.1973333344746679</v>
      </c>
      <c r="DA15" s="171" t="s">
        <v>199</v>
      </c>
    </row>
    <row r="16" spans="1:105" ht="11.45" customHeight="1" x14ac:dyDescent="0.25">
      <c r="A16" s="83" t="s">
        <v>173</v>
      </c>
      <c r="B16" s="84">
        <v>12.438843630571904</v>
      </c>
      <c r="C16" s="84">
        <v>12.450947431138573</v>
      </c>
      <c r="D16" s="84">
        <v>11.683937368298867</v>
      </c>
      <c r="E16" s="84">
        <v>11.305182903643786</v>
      </c>
      <c r="F16" s="84">
        <v>13.072842036989226</v>
      </c>
      <c r="G16" s="84">
        <v>17.380357648979608</v>
      </c>
      <c r="H16" s="84">
        <v>20.241782437046325</v>
      </c>
      <c r="I16" s="84">
        <v>20.962829421027386</v>
      </c>
      <c r="J16" s="84">
        <v>20.385290037903367</v>
      </c>
      <c r="K16" s="84">
        <v>20.215123845785683</v>
      </c>
      <c r="L16" s="84">
        <v>21.47635530243635</v>
      </c>
      <c r="M16" s="84">
        <v>20.491623447305091</v>
      </c>
      <c r="N16" s="84">
        <v>21.729882563032366</v>
      </c>
      <c r="O16" s="84">
        <v>24.390938505520772</v>
      </c>
      <c r="P16" s="84">
        <v>25.97984160560538</v>
      </c>
      <c r="Q16" s="84">
        <v>26.541036597699499</v>
      </c>
      <c r="R16" s="84">
        <v>30.159541637336527</v>
      </c>
      <c r="S16" s="84">
        <v>35.664824710746586</v>
      </c>
      <c r="T16" s="84">
        <v>38.993696611118899</v>
      </c>
      <c r="U16" s="84">
        <v>41.902918006333209</v>
      </c>
      <c r="V16" s="84">
        <v>10.560886168136681</v>
      </c>
      <c r="W16" s="84">
        <v>20.238408277307794</v>
      </c>
      <c r="DA16" s="171" t="s">
        <v>200</v>
      </c>
    </row>
    <row r="17" spans="1:105" ht="11.45" customHeight="1" x14ac:dyDescent="0.25">
      <c r="A17" s="83" t="s">
        <v>174</v>
      </c>
      <c r="B17" s="84">
        <v>3.1688596042854078</v>
      </c>
      <c r="C17" s="84">
        <v>3.1725891369699335</v>
      </c>
      <c r="D17" s="84">
        <v>2.9774102598130843</v>
      </c>
      <c r="E17" s="84">
        <v>2.880442410015414</v>
      </c>
      <c r="F17" s="84">
        <v>3.3304726872815253</v>
      </c>
      <c r="G17" s="84">
        <v>3.3187921444704047</v>
      </c>
      <c r="H17" s="84">
        <v>3.3919926467225201</v>
      </c>
      <c r="I17" s="84">
        <v>3.8808014094091661</v>
      </c>
      <c r="J17" s="84">
        <v>4.7405982709384347</v>
      </c>
      <c r="K17" s="84">
        <v>4.5430861027757619</v>
      </c>
      <c r="L17" s="84">
        <v>5.4977615478443749</v>
      </c>
      <c r="M17" s="84">
        <v>5.7165078704561392</v>
      </c>
      <c r="N17" s="84">
        <v>6.1026925503443143</v>
      </c>
      <c r="O17" s="84">
        <v>5.4285103459435886</v>
      </c>
      <c r="P17" s="84">
        <v>5.4674811559046477</v>
      </c>
      <c r="Q17" s="84">
        <v>6.8247260525594768</v>
      </c>
      <c r="R17" s="84">
        <v>7.9022464176171798</v>
      </c>
      <c r="S17" s="84">
        <v>8.737676868577541</v>
      </c>
      <c r="T17" s="84">
        <v>11.649739191588147</v>
      </c>
      <c r="U17" s="84">
        <v>11.630650285770699</v>
      </c>
      <c r="V17" s="84">
        <v>2.531492722503486</v>
      </c>
      <c r="W17" s="84">
        <v>4.8121374479033339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0.10018626089874157</v>
      </c>
      <c r="C18" s="13">
        <f t="shared" si="12"/>
        <v>0.11963354334965066</v>
      </c>
      <c r="D18" s="13">
        <f t="shared" ref="D18:V18" si="13">SUM(D19:D21)</f>
        <v>0.12079190876739013</v>
      </c>
      <c r="E18" s="13">
        <f t="shared" si="13"/>
        <v>0.11360507855026868</v>
      </c>
      <c r="F18" s="13">
        <f t="shared" si="13"/>
        <v>0.11630076360342613</v>
      </c>
      <c r="G18" s="13">
        <f t="shared" si="13"/>
        <v>0.14637768964285716</v>
      </c>
      <c r="H18" s="13">
        <f t="shared" si="13"/>
        <v>0.15819582678190622</v>
      </c>
      <c r="I18" s="13">
        <f t="shared" si="13"/>
        <v>0.19080417091044316</v>
      </c>
      <c r="J18" s="13">
        <f t="shared" si="13"/>
        <v>0.18656205791587724</v>
      </c>
      <c r="K18" s="13">
        <f t="shared" si="13"/>
        <v>0.21266639860522457</v>
      </c>
      <c r="L18" s="13">
        <f t="shared" si="13"/>
        <v>0.15596343675721563</v>
      </c>
      <c r="M18" s="13">
        <f t="shared" si="13"/>
        <v>0.12900528153053764</v>
      </c>
      <c r="N18" s="13">
        <f t="shared" si="13"/>
        <v>0.10981966064743447</v>
      </c>
      <c r="O18" s="13">
        <f t="shared" si="13"/>
        <v>0.12763361474935947</v>
      </c>
      <c r="P18" s="13">
        <f t="shared" si="13"/>
        <v>0.1177916220682438</v>
      </c>
      <c r="Q18" s="13">
        <f t="shared" si="13"/>
        <v>0.12177752145451187</v>
      </c>
      <c r="R18" s="13">
        <f t="shared" si="13"/>
        <v>0.12747987147069653</v>
      </c>
      <c r="S18" s="13">
        <f t="shared" si="13"/>
        <v>0.12973247441186395</v>
      </c>
      <c r="T18" s="13">
        <f t="shared" si="13"/>
        <v>0.2976894914941422</v>
      </c>
      <c r="U18" s="13">
        <f t="shared" si="13"/>
        <v>0.24270461507408264</v>
      </c>
      <c r="V18" s="13">
        <f t="shared" si="13"/>
        <v>0.17603226501018143</v>
      </c>
      <c r="W18" s="13">
        <f t="shared" ref="W18" si="14">SUM(W19:W21)</f>
        <v>0.27385999091108915</v>
      </c>
      <c r="DA18" s="193" t="s">
        <v>202</v>
      </c>
    </row>
    <row r="19" spans="1:105" ht="11.45" customHeight="1" x14ac:dyDescent="0.25">
      <c r="A19" s="92" t="s">
        <v>27</v>
      </c>
      <c r="B19" s="102">
        <v>1.7052939795533753E-2</v>
      </c>
      <c r="C19" s="102">
        <v>2.0653004863479762E-2</v>
      </c>
      <c r="D19" s="102">
        <v>2.0653004863479762E-2</v>
      </c>
      <c r="E19" s="102">
        <v>1.8758233775087126E-2</v>
      </c>
      <c r="F19" s="102">
        <v>1.9137187992765654E-2</v>
      </c>
      <c r="G19" s="102">
        <v>2.4250000000000001E-2</v>
      </c>
      <c r="H19" s="102">
        <v>3.0283544075688854E-2</v>
      </c>
      <c r="I19" s="102">
        <v>4.2543597385760787E-2</v>
      </c>
      <c r="J19" s="102">
        <v>4.7623428084487378E-2</v>
      </c>
      <c r="K19" s="102">
        <v>3.7804716737367183E-2</v>
      </c>
      <c r="L19" s="102">
        <v>3.4025E-2</v>
      </c>
      <c r="M19" s="102">
        <v>2.2312019131760407E-2</v>
      </c>
      <c r="N19" s="102">
        <v>1.1096999999999999E-2</v>
      </c>
      <c r="O19" s="102">
        <v>9.7590214458200143E-3</v>
      </c>
      <c r="P19" s="102">
        <v>8.9461747101835989E-3</v>
      </c>
      <c r="Q19" s="102">
        <v>8.3701896768449569E-3</v>
      </c>
      <c r="R19" s="102">
        <v>6.8953810510722271E-3</v>
      </c>
      <c r="S19" s="102">
        <v>7.1827673029791084E-3</v>
      </c>
      <c r="T19" s="102">
        <v>6.2350000000000001E-3</v>
      </c>
      <c r="U19" s="102">
        <v>4.9449999999999997E-3</v>
      </c>
      <c r="V19" s="102">
        <v>1.0562303950559394E-3</v>
      </c>
      <c r="W19" s="102">
        <v>8.6919624494201939E-4</v>
      </c>
      <c r="DA19" s="175" t="s">
        <v>203</v>
      </c>
    </row>
    <row r="20" spans="1:105" ht="11.45" customHeight="1" x14ac:dyDescent="0.25">
      <c r="A20" s="92" t="s">
        <v>173</v>
      </c>
      <c r="B20" s="102">
        <v>7.1526387459252008E-2</v>
      </c>
      <c r="C20" s="102">
        <v>8.5715471464507129E-2</v>
      </c>
      <c r="D20" s="102">
        <v>8.6873836882246591E-2</v>
      </c>
      <c r="E20" s="102">
        <v>7.9923644375809816E-2</v>
      </c>
      <c r="F20" s="102">
        <v>8.2240375211288741E-2</v>
      </c>
      <c r="G20" s="102">
        <v>0.10652216964285716</v>
      </c>
      <c r="H20" s="102">
        <v>0.11269632419501473</v>
      </c>
      <c r="I20" s="102">
        <v>0.13128360347611259</v>
      </c>
      <c r="J20" s="102">
        <v>0.12137064565065295</v>
      </c>
      <c r="K20" s="102">
        <v>0.16212533324743186</v>
      </c>
      <c r="L20" s="102">
        <v>0.10690212096774195</v>
      </c>
      <c r="M20" s="102">
        <v>6.6240100804111995E-2</v>
      </c>
      <c r="N20" s="102">
        <v>7.121739748953973E-2</v>
      </c>
      <c r="O20" s="102">
        <v>7.93013230776623E-2</v>
      </c>
      <c r="P20" s="102">
        <v>7.376707639102377E-2</v>
      </c>
      <c r="Q20" s="102">
        <v>7.6604377438722102E-2</v>
      </c>
      <c r="R20" s="102">
        <v>7.9089569001684984E-2</v>
      </c>
      <c r="S20" s="102">
        <v>7.5706411053805878E-2</v>
      </c>
      <c r="T20" s="102">
        <v>8.7690072139303493E-2</v>
      </c>
      <c r="U20" s="102">
        <v>0.10247065801886791</v>
      </c>
      <c r="V20" s="102">
        <v>0.10345925780851183</v>
      </c>
      <c r="W20" s="102">
        <v>0.14794580277987751</v>
      </c>
      <c r="DA20" s="175" t="s">
        <v>204</v>
      </c>
    </row>
    <row r="21" spans="1:105" ht="11.45" customHeight="1" x14ac:dyDescent="0.25">
      <c r="A21" s="85" t="s">
        <v>174</v>
      </c>
      <c r="B21" s="86">
        <v>1.1606933643955802E-2</v>
      </c>
      <c r="C21" s="86">
        <v>1.3265067021663772E-2</v>
      </c>
      <c r="D21" s="86">
        <v>1.3265067021663772E-2</v>
      </c>
      <c r="E21" s="86">
        <v>1.4923200399371743E-2</v>
      </c>
      <c r="F21" s="86">
        <v>1.4923200399371743E-2</v>
      </c>
      <c r="G21" s="86">
        <v>1.5605519999999999E-2</v>
      </c>
      <c r="H21" s="86">
        <v>1.5215958511202639E-2</v>
      </c>
      <c r="I21" s="86">
        <v>1.6976970048569805E-2</v>
      </c>
      <c r="J21" s="86">
        <v>1.7567984180736913E-2</v>
      </c>
      <c r="K21" s="86">
        <v>1.2736348620425516E-2</v>
      </c>
      <c r="L21" s="86">
        <v>1.5036315789473684E-2</v>
      </c>
      <c r="M21" s="86">
        <v>4.0453161594665235E-2</v>
      </c>
      <c r="N21" s="86">
        <v>2.7505263157894741E-2</v>
      </c>
      <c r="O21" s="86">
        <v>3.8573270225877164E-2</v>
      </c>
      <c r="P21" s="86">
        <v>3.5078370967036435E-2</v>
      </c>
      <c r="Q21" s="86">
        <v>3.6802954338944822E-2</v>
      </c>
      <c r="R21" s="86">
        <v>4.1494921417939333E-2</v>
      </c>
      <c r="S21" s="86">
        <v>4.6843296055078969E-2</v>
      </c>
      <c r="T21" s="86">
        <v>0.20376441935483869</v>
      </c>
      <c r="U21" s="86">
        <v>0.13528895705521471</v>
      </c>
      <c r="V21" s="86">
        <v>7.1516776806613655E-2</v>
      </c>
      <c r="W21" s="86">
        <v>0.12504499188626958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20504</v>
      </c>
      <c r="C23" s="54">
        <f t="shared" si="15"/>
        <v>20557</v>
      </c>
      <c r="D23" s="54">
        <f t="shared" ref="D23:V23" si="16">SUM(D24,D28)</f>
        <v>20522</v>
      </c>
      <c r="E23" s="54">
        <f t="shared" si="16"/>
        <v>20651</v>
      </c>
      <c r="F23" s="54">
        <f t="shared" si="16"/>
        <v>23471</v>
      </c>
      <c r="G23" s="54">
        <f t="shared" si="16"/>
        <v>27768</v>
      </c>
      <c r="H23" s="54">
        <f t="shared" si="16"/>
        <v>30655</v>
      </c>
      <c r="I23" s="54">
        <f t="shared" si="16"/>
        <v>32070</v>
      </c>
      <c r="J23" s="54">
        <f t="shared" si="16"/>
        <v>32487</v>
      </c>
      <c r="K23" s="54">
        <f t="shared" si="16"/>
        <v>32275</v>
      </c>
      <c r="L23" s="54">
        <f t="shared" si="16"/>
        <v>32525</v>
      </c>
      <c r="M23" s="54">
        <f t="shared" si="16"/>
        <v>32482</v>
      </c>
      <c r="N23" s="54">
        <f t="shared" si="16"/>
        <v>32643</v>
      </c>
      <c r="O23" s="54">
        <f t="shared" si="16"/>
        <v>33386</v>
      </c>
      <c r="P23" s="54">
        <f t="shared" si="16"/>
        <v>35478</v>
      </c>
      <c r="Q23" s="54">
        <f t="shared" si="16"/>
        <v>36664</v>
      </c>
      <c r="R23" s="54">
        <f t="shared" si="16"/>
        <v>40522</v>
      </c>
      <c r="S23" s="54">
        <f t="shared" si="16"/>
        <v>44391</v>
      </c>
      <c r="T23" s="54">
        <f t="shared" si="16"/>
        <v>47961</v>
      </c>
      <c r="U23" s="54">
        <f t="shared" si="16"/>
        <v>50559</v>
      </c>
      <c r="V23" s="54">
        <f t="shared" si="16"/>
        <v>17181</v>
      </c>
      <c r="W23" s="54">
        <f t="shared" ref="W23" si="17">SUM(W24,W28)</f>
        <v>28201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20346</v>
      </c>
      <c r="C24" s="11">
        <f t="shared" si="18"/>
        <v>20367</v>
      </c>
      <c r="D24" s="11">
        <f t="shared" ref="D24:V24" si="19">SUM(D25:D27)</f>
        <v>20331</v>
      </c>
      <c r="E24" s="11">
        <f t="shared" si="19"/>
        <v>20475</v>
      </c>
      <c r="F24" s="11">
        <f t="shared" si="19"/>
        <v>23291</v>
      </c>
      <c r="G24" s="11">
        <f t="shared" si="19"/>
        <v>27543</v>
      </c>
      <c r="H24" s="11">
        <f t="shared" si="19"/>
        <v>30402</v>
      </c>
      <c r="I24" s="11">
        <f t="shared" si="19"/>
        <v>31757</v>
      </c>
      <c r="J24" s="11">
        <f t="shared" si="19"/>
        <v>32176</v>
      </c>
      <c r="K24" s="11">
        <f t="shared" si="19"/>
        <v>31955</v>
      </c>
      <c r="L24" s="11">
        <f t="shared" si="19"/>
        <v>32286</v>
      </c>
      <c r="M24" s="11">
        <f t="shared" si="19"/>
        <v>32278</v>
      </c>
      <c r="N24" s="11">
        <f t="shared" si="19"/>
        <v>32449</v>
      </c>
      <c r="O24" s="11">
        <f t="shared" si="19"/>
        <v>33200</v>
      </c>
      <c r="P24" s="11">
        <f t="shared" si="19"/>
        <v>35312</v>
      </c>
      <c r="Q24" s="11">
        <f t="shared" si="19"/>
        <v>36504</v>
      </c>
      <c r="R24" s="11">
        <f t="shared" si="19"/>
        <v>40373</v>
      </c>
      <c r="S24" s="11">
        <f t="shared" si="19"/>
        <v>44250</v>
      </c>
      <c r="T24" s="11">
        <f t="shared" si="19"/>
        <v>47779</v>
      </c>
      <c r="U24" s="11">
        <f t="shared" si="19"/>
        <v>50398</v>
      </c>
      <c r="V24" s="11">
        <f t="shared" si="19"/>
        <v>17031</v>
      </c>
      <c r="W24" s="11">
        <f t="shared" ref="W24" si="20">SUM(W25:W27)</f>
        <v>28007</v>
      </c>
      <c r="DA24" s="189" t="s">
        <v>207</v>
      </c>
    </row>
    <row r="25" spans="1:105" ht="11.45" customHeight="1" x14ac:dyDescent="0.25">
      <c r="A25" s="83" t="s">
        <v>27</v>
      </c>
      <c r="B25" s="84">
        <v>4854</v>
      </c>
      <c r="C25" s="84">
        <v>4859</v>
      </c>
      <c r="D25" s="84">
        <v>5778</v>
      </c>
      <c r="E25" s="84">
        <v>6394</v>
      </c>
      <c r="F25" s="84">
        <v>7009</v>
      </c>
      <c r="G25" s="84">
        <v>7076</v>
      </c>
      <c r="H25" s="84">
        <v>6767</v>
      </c>
      <c r="I25" s="84">
        <v>7087</v>
      </c>
      <c r="J25" s="84">
        <v>7804</v>
      </c>
      <c r="K25" s="84">
        <v>8137</v>
      </c>
      <c r="L25" s="84">
        <v>7245</v>
      </c>
      <c r="M25" s="84">
        <v>7685</v>
      </c>
      <c r="N25" s="84">
        <v>7278</v>
      </c>
      <c r="O25" s="84">
        <v>6911</v>
      </c>
      <c r="P25" s="84">
        <v>7707</v>
      </c>
      <c r="Q25" s="84">
        <v>7587</v>
      </c>
      <c r="R25" s="84">
        <v>8189</v>
      </c>
      <c r="S25" s="84">
        <v>8172</v>
      </c>
      <c r="T25" s="84">
        <v>8300</v>
      </c>
      <c r="U25" s="84">
        <v>8377</v>
      </c>
      <c r="V25" s="84">
        <v>5079</v>
      </c>
      <c r="W25" s="84">
        <v>6662</v>
      </c>
      <c r="DA25" s="171" t="s">
        <v>208</v>
      </c>
    </row>
    <row r="26" spans="1:105" ht="11.45" customHeight="1" x14ac:dyDescent="0.25">
      <c r="A26" s="83" t="s">
        <v>173</v>
      </c>
      <c r="B26" s="84">
        <v>12943</v>
      </c>
      <c r="C26" s="84">
        <v>12956</v>
      </c>
      <c r="D26" s="84">
        <v>12158</v>
      </c>
      <c r="E26" s="84">
        <v>11764</v>
      </c>
      <c r="F26" s="84">
        <v>13603</v>
      </c>
      <c r="G26" s="84">
        <v>17570</v>
      </c>
      <c r="H26" s="84">
        <v>20179</v>
      </c>
      <c r="I26" s="84">
        <v>20888</v>
      </c>
      <c r="J26" s="84">
        <v>20017</v>
      </c>
      <c r="K26" s="84">
        <v>19503</v>
      </c>
      <c r="L26" s="84">
        <v>20279</v>
      </c>
      <c r="M26" s="84">
        <v>19848</v>
      </c>
      <c r="N26" s="84">
        <v>20072</v>
      </c>
      <c r="O26" s="84">
        <v>21682</v>
      </c>
      <c r="P26" s="84">
        <v>22860</v>
      </c>
      <c r="Q26" s="84">
        <v>23264</v>
      </c>
      <c r="R26" s="84">
        <v>26033</v>
      </c>
      <c r="S26" s="84">
        <v>29911</v>
      </c>
      <c r="T26" s="84">
        <v>32329</v>
      </c>
      <c r="U26" s="84">
        <v>34692</v>
      </c>
      <c r="V26" s="84">
        <v>9980</v>
      </c>
      <c r="W26" s="84">
        <v>17872</v>
      </c>
      <c r="DA26" s="171" t="s">
        <v>209</v>
      </c>
    </row>
    <row r="27" spans="1:105" ht="11.45" customHeight="1" x14ac:dyDescent="0.25">
      <c r="A27" s="83" t="s">
        <v>174</v>
      </c>
      <c r="B27" s="84">
        <v>2549</v>
      </c>
      <c r="C27" s="84">
        <v>2552</v>
      </c>
      <c r="D27" s="84">
        <v>2395</v>
      </c>
      <c r="E27" s="84">
        <v>2317</v>
      </c>
      <c r="F27" s="84">
        <v>2679</v>
      </c>
      <c r="G27" s="84">
        <v>2897</v>
      </c>
      <c r="H27" s="84">
        <v>3456</v>
      </c>
      <c r="I27" s="84">
        <v>3782</v>
      </c>
      <c r="J27" s="84">
        <v>4355</v>
      </c>
      <c r="K27" s="84">
        <v>4315</v>
      </c>
      <c r="L27" s="84">
        <v>4762</v>
      </c>
      <c r="M27" s="84">
        <v>4745</v>
      </c>
      <c r="N27" s="84">
        <v>5099</v>
      </c>
      <c r="O27" s="84">
        <v>4607</v>
      </c>
      <c r="P27" s="84">
        <v>4745</v>
      </c>
      <c r="Q27" s="84">
        <v>5653</v>
      </c>
      <c r="R27" s="84">
        <v>6151</v>
      </c>
      <c r="S27" s="84">
        <v>6167</v>
      </c>
      <c r="T27" s="84">
        <v>7150</v>
      </c>
      <c r="U27" s="84">
        <v>7329</v>
      </c>
      <c r="V27" s="84">
        <v>1972</v>
      </c>
      <c r="W27" s="84">
        <v>3473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158</v>
      </c>
      <c r="C28" s="13">
        <f t="shared" si="21"/>
        <v>190</v>
      </c>
      <c r="D28" s="13">
        <f t="shared" ref="D28:V28" si="22">SUM(D29:D31)</f>
        <v>191</v>
      </c>
      <c r="E28" s="13">
        <f t="shared" si="22"/>
        <v>176</v>
      </c>
      <c r="F28" s="13">
        <f t="shared" si="22"/>
        <v>180</v>
      </c>
      <c r="G28" s="13">
        <f t="shared" si="22"/>
        <v>225</v>
      </c>
      <c r="H28" s="13">
        <f t="shared" si="22"/>
        <v>253</v>
      </c>
      <c r="I28" s="13">
        <f t="shared" si="22"/>
        <v>313</v>
      </c>
      <c r="J28" s="13">
        <f t="shared" si="22"/>
        <v>311</v>
      </c>
      <c r="K28" s="13">
        <f t="shared" si="22"/>
        <v>320</v>
      </c>
      <c r="L28" s="13">
        <f t="shared" si="22"/>
        <v>239</v>
      </c>
      <c r="M28" s="13">
        <f t="shared" si="22"/>
        <v>204</v>
      </c>
      <c r="N28" s="13">
        <f t="shared" si="22"/>
        <v>194</v>
      </c>
      <c r="O28" s="13">
        <f t="shared" si="22"/>
        <v>186</v>
      </c>
      <c r="P28" s="13">
        <f t="shared" si="22"/>
        <v>166</v>
      </c>
      <c r="Q28" s="13">
        <f t="shared" si="22"/>
        <v>160</v>
      </c>
      <c r="R28" s="13">
        <f t="shared" si="22"/>
        <v>149</v>
      </c>
      <c r="S28" s="13">
        <f t="shared" si="22"/>
        <v>141</v>
      </c>
      <c r="T28" s="13">
        <f t="shared" si="22"/>
        <v>182</v>
      </c>
      <c r="U28" s="13">
        <f t="shared" si="22"/>
        <v>161</v>
      </c>
      <c r="V28" s="13">
        <f t="shared" si="22"/>
        <v>150</v>
      </c>
      <c r="W28" s="13">
        <f t="shared" ref="W28" si="23">SUM(W29:W31)</f>
        <v>194</v>
      </c>
      <c r="DA28" s="193" t="s">
        <v>211</v>
      </c>
    </row>
    <row r="29" spans="1:105" ht="11.45" customHeight="1" x14ac:dyDescent="0.25">
      <c r="A29" s="92" t="s">
        <v>27</v>
      </c>
      <c r="B29" s="102">
        <v>90</v>
      </c>
      <c r="C29" s="102">
        <v>109</v>
      </c>
      <c r="D29" s="102">
        <v>109</v>
      </c>
      <c r="E29" s="102">
        <v>99</v>
      </c>
      <c r="F29" s="102">
        <v>101</v>
      </c>
      <c r="G29" s="102">
        <v>125</v>
      </c>
      <c r="H29" s="102">
        <v>139</v>
      </c>
      <c r="I29" s="102">
        <v>171</v>
      </c>
      <c r="J29" s="102">
        <v>172</v>
      </c>
      <c r="K29" s="102">
        <v>125</v>
      </c>
      <c r="L29" s="102">
        <v>100</v>
      </c>
      <c r="M29" s="102">
        <v>94</v>
      </c>
      <c r="N29" s="102">
        <v>81</v>
      </c>
      <c r="O29" s="102">
        <v>64</v>
      </c>
      <c r="P29" s="102">
        <v>55</v>
      </c>
      <c r="Q29" s="102">
        <v>48</v>
      </c>
      <c r="R29" s="102">
        <v>36</v>
      </c>
      <c r="S29" s="102">
        <v>35</v>
      </c>
      <c r="T29" s="102">
        <v>29</v>
      </c>
      <c r="U29" s="102">
        <v>23</v>
      </c>
      <c r="V29" s="102">
        <v>5</v>
      </c>
      <c r="W29" s="102">
        <v>4</v>
      </c>
      <c r="DA29" s="175" t="s">
        <v>212</v>
      </c>
    </row>
    <row r="30" spans="1:105" ht="11.45" customHeight="1" x14ac:dyDescent="0.25">
      <c r="A30" s="92" t="s">
        <v>173</v>
      </c>
      <c r="B30" s="102">
        <v>61</v>
      </c>
      <c r="C30" s="102">
        <v>73</v>
      </c>
      <c r="D30" s="102">
        <v>74</v>
      </c>
      <c r="E30" s="102">
        <v>68</v>
      </c>
      <c r="F30" s="102">
        <v>70</v>
      </c>
      <c r="G30" s="102">
        <v>90</v>
      </c>
      <c r="H30" s="102">
        <v>103</v>
      </c>
      <c r="I30" s="102">
        <v>130</v>
      </c>
      <c r="J30" s="102">
        <v>127</v>
      </c>
      <c r="K30" s="102">
        <v>186</v>
      </c>
      <c r="L30" s="102">
        <v>129</v>
      </c>
      <c r="M30" s="102">
        <v>88</v>
      </c>
      <c r="N30" s="102">
        <v>100</v>
      </c>
      <c r="O30" s="102">
        <v>106</v>
      </c>
      <c r="P30" s="102">
        <v>98</v>
      </c>
      <c r="Q30" s="102">
        <v>100</v>
      </c>
      <c r="R30" s="102">
        <v>101</v>
      </c>
      <c r="S30" s="102">
        <v>94</v>
      </c>
      <c r="T30" s="102">
        <v>107</v>
      </c>
      <c r="U30" s="102">
        <v>113</v>
      </c>
      <c r="V30" s="102">
        <v>131</v>
      </c>
      <c r="W30" s="102">
        <v>166</v>
      </c>
      <c r="DA30" s="175" t="s">
        <v>213</v>
      </c>
    </row>
    <row r="31" spans="1:105" ht="11.45" customHeight="1" x14ac:dyDescent="0.25">
      <c r="A31" s="85" t="s">
        <v>174</v>
      </c>
      <c r="B31" s="86">
        <v>7</v>
      </c>
      <c r="C31" s="86">
        <v>8</v>
      </c>
      <c r="D31" s="86">
        <v>8</v>
      </c>
      <c r="E31" s="86">
        <v>9</v>
      </c>
      <c r="F31" s="86">
        <v>9</v>
      </c>
      <c r="G31" s="86">
        <v>10</v>
      </c>
      <c r="H31" s="86">
        <v>11</v>
      </c>
      <c r="I31" s="86">
        <v>12</v>
      </c>
      <c r="J31" s="86">
        <v>12</v>
      </c>
      <c r="K31" s="86">
        <v>9</v>
      </c>
      <c r="L31" s="86">
        <v>10</v>
      </c>
      <c r="M31" s="86">
        <v>22</v>
      </c>
      <c r="N31" s="86">
        <v>13</v>
      </c>
      <c r="O31" s="86">
        <v>16</v>
      </c>
      <c r="P31" s="86">
        <v>13</v>
      </c>
      <c r="Q31" s="86">
        <v>12</v>
      </c>
      <c r="R31" s="86">
        <v>12</v>
      </c>
      <c r="S31" s="86">
        <v>12</v>
      </c>
      <c r="T31" s="86">
        <v>46</v>
      </c>
      <c r="U31" s="86">
        <v>25</v>
      </c>
      <c r="V31" s="86">
        <v>14</v>
      </c>
      <c r="W31" s="86">
        <v>24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1497012</v>
      </c>
      <c r="C34" s="11">
        <f t="shared" si="24"/>
        <v>1503230</v>
      </c>
      <c r="D34" s="11">
        <f t="shared" ref="D34:V34" si="25">SUM(D35:D37)</f>
        <v>1509339</v>
      </c>
      <c r="E34" s="11">
        <f t="shared" si="25"/>
        <v>1532376</v>
      </c>
      <c r="F34" s="11">
        <f t="shared" si="25"/>
        <v>1759001</v>
      </c>
      <c r="G34" s="11">
        <f t="shared" si="25"/>
        <v>2115120</v>
      </c>
      <c r="H34" s="11">
        <f t="shared" si="25"/>
        <v>2383931</v>
      </c>
      <c r="I34" s="11">
        <f t="shared" si="25"/>
        <v>2522329</v>
      </c>
      <c r="J34" s="11">
        <f t="shared" si="25"/>
        <v>2566321</v>
      </c>
      <c r="K34" s="11">
        <f t="shared" si="25"/>
        <v>2464838</v>
      </c>
      <c r="L34" s="11">
        <f t="shared" si="25"/>
        <v>2602050</v>
      </c>
      <c r="M34" s="11">
        <f t="shared" si="25"/>
        <v>2789790</v>
      </c>
      <c r="N34" s="11">
        <f t="shared" si="25"/>
        <v>3010197</v>
      </c>
      <c r="O34" s="11">
        <f t="shared" si="25"/>
        <v>3146697</v>
      </c>
      <c r="P34" s="11">
        <f t="shared" si="25"/>
        <v>3351681</v>
      </c>
      <c r="Q34" s="11">
        <f t="shared" si="25"/>
        <v>3574004</v>
      </c>
      <c r="R34" s="11">
        <f t="shared" si="25"/>
        <v>4037055</v>
      </c>
      <c r="S34" s="11">
        <f t="shared" si="25"/>
        <v>4741834</v>
      </c>
      <c r="T34" s="11">
        <f t="shared" si="25"/>
        <v>5199632</v>
      </c>
      <c r="U34" s="11">
        <f t="shared" si="25"/>
        <v>5634831</v>
      </c>
      <c r="V34" s="11">
        <f t="shared" si="25"/>
        <v>1071988</v>
      </c>
      <c r="W34" s="11">
        <f t="shared" ref="W34" si="26">SUM(W35:W37)</f>
        <v>2350028</v>
      </c>
      <c r="DA34" s="189" t="s">
        <v>215</v>
      </c>
    </row>
    <row r="35" spans="1:105" ht="11.45" customHeight="1" x14ac:dyDescent="0.25">
      <c r="A35" s="83" t="s">
        <v>27</v>
      </c>
      <c r="B35" s="84">
        <v>359091</v>
      </c>
      <c r="C35" s="84">
        <v>357217</v>
      </c>
      <c r="D35" s="84">
        <v>423572</v>
      </c>
      <c r="E35" s="84">
        <v>468771</v>
      </c>
      <c r="F35" s="84">
        <v>513906</v>
      </c>
      <c r="G35" s="84">
        <v>516328</v>
      </c>
      <c r="H35" s="84">
        <v>491653</v>
      </c>
      <c r="I35" s="84">
        <v>512010</v>
      </c>
      <c r="J35" s="84">
        <v>562269</v>
      </c>
      <c r="K35" s="84">
        <v>521553</v>
      </c>
      <c r="L35" s="84">
        <v>469925</v>
      </c>
      <c r="M35" s="84">
        <v>532196</v>
      </c>
      <c r="N35" s="84">
        <v>534517</v>
      </c>
      <c r="O35" s="84">
        <v>507646</v>
      </c>
      <c r="P35" s="84">
        <v>510768</v>
      </c>
      <c r="Q35" s="84">
        <v>505628</v>
      </c>
      <c r="R35" s="84">
        <v>528594</v>
      </c>
      <c r="S35" s="84">
        <v>557405</v>
      </c>
      <c r="T35" s="84">
        <v>559416</v>
      </c>
      <c r="U35" s="84">
        <v>542215</v>
      </c>
      <c r="V35" s="84">
        <v>182975</v>
      </c>
      <c r="W35" s="84">
        <v>248825</v>
      </c>
      <c r="DA35" s="171" t="s">
        <v>216</v>
      </c>
    </row>
    <row r="36" spans="1:105" ht="11.45" customHeight="1" x14ac:dyDescent="0.25">
      <c r="A36" s="83" t="s">
        <v>173</v>
      </c>
      <c r="B36" s="84">
        <v>956139</v>
      </c>
      <c r="C36" s="84">
        <v>963395</v>
      </c>
      <c r="D36" s="84">
        <v>913293</v>
      </c>
      <c r="E36" s="84">
        <v>895466</v>
      </c>
      <c r="F36" s="84">
        <v>1050211</v>
      </c>
      <c r="G36" s="84">
        <v>1387189</v>
      </c>
      <c r="H36" s="84">
        <v>1639335</v>
      </c>
      <c r="I36" s="84">
        <v>1732166</v>
      </c>
      <c r="J36" s="84">
        <v>1680068</v>
      </c>
      <c r="K36" s="84">
        <v>1645241</v>
      </c>
      <c r="L36" s="84">
        <v>1767288</v>
      </c>
      <c r="M36" s="84">
        <v>1869644</v>
      </c>
      <c r="N36" s="84">
        <v>2044451</v>
      </c>
      <c r="O36" s="84">
        <v>2287148</v>
      </c>
      <c r="P36" s="84">
        <v>2464891</v>
      </c>
      <c r="Q36" s="84">
        <v>2637619</v>
      </c>
      <c r="R36" s="84">
        <v>3009829</v>
      </c>
      <c r="S36" s="84">
        <v>3607577</v>
      </c>
      <c r="T36" s="84">
        <v>3945094</v>
      </c>
      <c r="U36" s="84">
        <v>4355927</v>
      </c>
      <c r="V36" s="84">
        <v>765067</v>
      </c>
      <c r="W36" s="84">
        <v>1801003</v>
      </c>
      <c r="DA36" s="171" t="s">
        <v>217</v>
      </c>
    </row>
    <row r="37" spans="1:105" ht="11.45" customHeight="1" x14ac:dyDescent="0.25">
      <c r="A37" s="83" t="s">
        <v>174</v>
      </c>
      <c r="B37" s="84">
        <v>181782</v>
      </c>
      <c r="C37" s="84">
        <v>182618</v>
      </c>
      <c r="D37" s="84">
        <v>172474</v>
      </c>
      <c r="E37" s="84">
        <v>168139</v>
      </c>
      <c r="F37" s="84">
        <v>194884</v>
      </c>
      <c r="G37" s="84">
        <v>211603</v>
      </c>
      <c r="H37" s="84">
        <v>252943</v>
      </c>
      <c r="I37" s="84">
        <v>278153</v>
      </c>
      <c r="J37" s="84">
        <v>323984</v>
      </c>
      <c r="K37" s="84">
        <v>298044</v>
      </c>
      <c r="L37" s="84">
        <v>364837</v>
      </c>
      <c r="M37" s="84">
        <v>387950</v>
      </c>
      <c r="N37" s="84">
        <v>431229</v>
      </c>
      <c r="O37" s="84">
        <v>351903</v>
      </c>
      <c r="P37" s="84">
        <v>376022</v>
      </c>
      <c r="Q37" s="84">
        <v>430757</v>
      </c>
      <c r="R37" s="84">
        <v>498632</v>
      </c>
      <c r="S37" s="84">
        <v>576852</v>
      </c>
      <c r="T37" s="84">
        <v>695122</v>
      </c>
      <c r="U37" s="84">
        <v>736689</v>
      </c>
      <c r="V37" s="84">
        <v>123946</v>
      </c>
      <c r="W37" s="84">
        <v>300200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2247.6379344026491</v>
      </c>
      <c r="C38" s="13">
        <f t="shared" si="27"/>
        <v>2701.2562765227003</v>
      </c>
      <c r="D38" s="13">
        <f t="shared" ref="D38:V38" si="28">SUM(D39:D41)</f>
        <v>2743.9192699162027</v>
      </c>
      <c r="E38" s="13">
        <f t="shared" si="28"/>
        <v>2683.0049048922988</v>
      </c>
      <c r="F38" s="13">
        <f t="shared" si="28"/>
        <v>2589.3453118949187</v>
      </c>
      <c r="G38" s="13">
        <f t="shared" si="28"/>
        <v>3061.7473164819207</v>
      </c>
      <c r="H38" s="13">
        <f t="shared" si="28"/>
        <v>3277.8427172085594</v>
      </c>
      <c r="I38" s="13">
        <f t="shared" si="28"/>
        <v>3973.528431460767</v>
      </c>
      <c r="J38" s="13">
        <f t="shared" si="28"/>
        <v>3863.3578002171853</v>
      </c>
      <c r="K38" s="13">
        <f t="shared" si="28"/>
        <v>4149.1804401158643</v>
      </c>
      <c r="L38" s="13">
        <f t="shared" si="28"/>
        <v>3382.8593015501619</v>
      </c>
      <c r="M38" s="13">
        <f t="shared" si="28"/>
        <v>3598.7032944803459</v>
      </c>
      <c r="N38" s="13">
        <f t="shared" si="28"/>
        <v>3316.3890207214426</v>
      </c>
      <c r="O38" s="13">
        <f t="shared" si="28"/>
        <v>3437.235954271468</v>
      </c>
      <c r="P38" s="13">
        <f t="shared" si="28"/>
        <v>3350.754732692782</v>
      </c>
      <c r="Q38" s="13">
        <f t="shared" si="28"/>
        <v>3244.3472949241686</v>
      </c>
      <c r="R38" s="13">
        <f t="shared" si="28"/>
        <v>3503.4792114249494</v>
      </c>
      <c r="S38" s="13">
        <f t="shared" si="28"/>
        <v>3163.8627772217601</v>
      </c>
      <c r="T38" s="13">
        <f t="shared" si="28"/>
        <v>5811.904525830997</v>
      </c>
      <c r="U38" s="13">
        <f t="shared" si="28"/>
        <v>4439.0330785069518</v>
      </c>
      <c r="V38" s="13">
        <f t="shared" si="28"/>
        <v>3071.0825068948502</v>
      </c>
      <c r="W38" s="13">
        <f t="shared" ref="W38" si="29">SUM(W39:W41)</f>
        <v>4267.1580858527259</v>
      </c>
      <c r="DA38" s="193" t="s">
        <v>219</v>
      </c>
    </row>
    <row r="39" spans="1:105" ht="11.45" customHeight="1" x14ac:dyDescent="0.25">
      <c r="A39" s="92" t="s">
        <v>27</v>
      </c>
      <c r="B39" s="102">
        <v>902.09346461163545</v>
      </c>
      <c r="C39" s="102">
        <v>1084.2052169839508</v>
      </c>
      <c r="D39" s="102">
        <v>1114.9197168868213</v>
      </c>
      <c r="E39" s="102">
        <v>1077.1255371418561</v>
      </c>
      <c r="F39" s="102">
        <v>1034.7746203357458</v>
      </c>
      <c r="G39" s="102">
        <v>1253.295781455962</v>
      </c>
      <c r="H39" s="102">
        <v>1340.5574104402224</v>
      </c>
      <c r="I39" s="102">
        <v>1643.051687732237</v>
      </c>
      <c r="J39" s="102">
        <v>1590.0115434444706</v>
      </c>
      <c r="K39" s="102">
        <v>1165.5139880025458</v>
      </c>
      <c r="L39" s="102">
        <v>997.26891566980316</v>
      </c>
      <c r="M39" s="102">
        <v>1024.1688758571768</v>
      </c>
      <c r="N39" s="102">
        <v>906.49605885276515</v>
      </c>
      <c r="O39" s="102">
        <v>734.24002286123732</v>
      </c>
      <c r="P39" s="102">
        <v>707.68602812666461</v>
      </c>
      <c r="Q39" s="102">
        <v>635.53156823461416</v>
      </c>
      <c r="R39" s="102">
        <v>549.40777178764858</v>
      </c>
      <c r="S39" s="102">
        <v>491.30551271202359</v>
      </c>
      <c r="T39" s="102">
        <v>414.34694730347343</v>
      </c>
      <c r="U39" s="102">
        <v>363.4763620850697</v>
      </c>
      <c r="V39" s="102">
        <v>72.827400892689894</v>
      </c>
      <c r="W39" s="102">
        <v>58.935526739417618</v>
      </c>
      <c r="DA39" s="175" t="s">
        <v>220</v>
      </c>
    </row>
    <row r="40" spans="1:105" ht="11.45" customHeight="1" x14ac:dyDescent="0.25">
      <c r="A40" s="92" t="s">
        <v>173</v>
      </c>
      <c r="B40" s="102">
        <v>980.64060290160614</v>
      </c>
      <c r="C40" s="102">
        <v>1186.3405164226742</v>
      </c>
      <c r="D40" s="102">
        <v>1205.8962035013519</v>
      </c>
      <c r="E40" s="102">
        <v>1167.3903583940169</v>
      </c>
      <c r="F40" s="102">
        <v>1122.035842946811</v>
      </c>
      <c r="G40" s="102">
        <v>1366.2919776689278</v>
      </c>
      <c r="H40" s="102">
        <v>1440.4831749191833</v>
      </c>
      <c r="I40" s="102">
        <v>1788.2325676853393</v>
      </c>
      <c r="J40" s="102">
        <v>1734.3913685472724</v>
      </c>
      <c r="K40" s="102">
        <v>2534.5774148917881</v>
      </c>
      <c r="L40" s="102">
        <v>1860.2815050139327</v>
      </c>
      <c r="M40" s="102">
        <v>1363.0939112747553</v>
      </c>
      <c r="N40" s="102">
        <v>1646.182211590223</v>
      </c>
      <c r="O40" s="102">
        <v>1753.4565765255252</v>
      </c>
      <c r="P40" s="102">
        <v>1783.3797949821935</v>
      </c>
      <c r="Q40" s="102">
        <v>1817.5765763019097</v>
      </c>
      <c r="R40" s="102">
        <v>2077.924706292381</v>
      </c>
      <c r="S40" s="102">
        <v>1798.0408433374257</v>
      </c>
      <c r="T40" s="102">
        <v>2034.1796153005582</v>
      </c>
      <c r="U40" s="102">
        <v>2202.6684167219864</v>
      </c>
      <c r="V40" s="102">
        <v>2295.0105382527636</v>
      </c>
      <c r="W40" s="102">
        <v>2929.9545745564292</v>
      </c>
      <c r="DA40" s="175" t="s">
        <v>221</v>
      </c>
    </row>
    <row r="41" spans="1:105" ht="11.45" customHeight="1" x14ac:dyDescent="0.25">
      <c r="A41" s="85" t="s">
        <v>174</v>
      </c>
      <c r="B41" s="86">
        <v>364.90386688940771</v>
      </c>
      <c r="C41" s="86">
        <v>430.71054311607554</v>
      </c>
      <c r="D41" s="86">
        <v>423.10334952802936</v>
      </c>
      <c r="E41" s="86">
        <v>438.48900935642592</v>
      </c>
      <c r="F41" s="86">
        <v>432.53484861236171</v>
      </c>
      <c r="G41" s="86">
        <v>442.15955735703068</v>
      </c>
      <c r="H41" s="86">
        <v>496.80213184915374</v>
      </c>
      <c r="I41" s="86">
        <v>542.24417604319058</v>
      </c>
      <c r="J41" s="86">
        <v>538.95488822544235</v>
      </c>
      <c r="K41" s="86">
        <v>449.08903722153025</v>
      </c>
      <c r="L41" s="86">
        <v>525.30888086642608</v>
      </c>
      <c r="M41" s="86">
        <v>1211.4405073484138</v>
      </c>
      <c r="N41" s="86">
        <v>763.71075027845484</v>
      </c>
      <c r="O41" s="86">
        <v>949.53935488470563</v>
      </c>
      <c r="P41" s="86">
        <v>859.68890958392387</v>
      </c>
      <c r="Q41" s="86">
        <v>791.23915038764494</v>
      </c>
      <c r="R41" s="86">
        <v>876.14673334491988</v>
      </c>
      <c r="S41" s="86">
        <v>874.51642117231074</v>
      </c>
      <c r="T41" s="86">
        <v>3363.3779632269652</v>
      </c>
      <c r="U41" s="86">
        <v>1872.8882996998952</v>
      </c>
      <c r="V41" s="86">
        <v>703.24456774939654</v>
      </c>
      <c r="W41" s="86">
        <v>1278.2679845568791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13.785472628680008</v>
      </c>
      <c r="C43" s="54">
        <f t="shared" si="30"/>
        <v>13.825263218935662</v>
      </c>
      <c r="D43" s="54">
        <f t="shared" ref="D43:V43" si="31">SUM(D44,D48)</f>
        <v>13.499288448274726</v>
      </c>
      <c r="E43" s="54">
        <f t="shared" si="31"/>
        <v>13.395673026502806</v>
      </c>
      <c r="F43" s="54">
        <f t="shared" si="31"/>
        <v>15.30687355384554</v>
      </c>
      <c r="G43" s="54">
        <f t="shared" si="31"/>
        <v>18.394599801047583</v>
      </c>
      <c r="H43" s="54">
        <f t="shared" si="31"/>
        <v>20.475151612075926</v>
      </c>
      <c r="I43" s="54">
        <f t="shared" si="31"/>
        <v>21.535797783336047</v>
      </c>
      <c r="J43" s="54">
        <f t="shared" si="31"/>
        <v>22.174486754244203</v>
      </c>
      <c r="K43" s="54">
        <f t="shared" si="31"/>
        <v>21.805754299069697</v>
      </c>
      <c r="L43" s="54">
        <f t="shared" si="31"/>
        <v>22.871294682189731</v>
      </c>
      <c r="M43" s="54">
        <f t="shared" si="31"/>
        <v>22.565643669860879</v>
      </c>
      <c r="N43" s="54">
        <f t="shared" si="31"/>
        <v>23.078744512531234</v>
      </c>
      <c r="O43" s="54">
        <f t="shared" si="31"/>
        <v>24.147647115442197</v>
      </c>
      <c r="P43" s="54">
        <f t="shared" si="31"/>
        <v>25.237290766804847</v>
      </c>
      <c r="Q43" s="54">
        <f t="shared" si="31"/>
        <v>26.708543131797288</v>
      </c>
      <c r="R43" s="54">
        <f t="shared" si="31"/>
        <v>29.827319249097229</v>
      </c>
      <c r="S43" s="54">
        <f t="shared" si="31"/>
        <v>33.396278881911961</v>
      </c>
      <c r="T43" s="54">
        <f t="shared" si="31"/>
        <v>37.299481240876588</v>
      </c>
      <c r="U43" s="54">
        <f t="shared" si="31"/>
        <v>39.245917505412045</v>
      </c>
      <c r="V43" s="54">
        <f t="shared" si="31"/>
        <v>38.34106191253224</v>
      </c>
      <c r="W43" s="54">
        <f t="shared" ref="W43" si="32">SUM(W44,W48)</f>
        <v>37.459628524727009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13.656737176001272</v>
      </c>
      <c r="C44" s="11">
        <f t="shared" si="33"/>
        <v>13.670827588033283</v>
      </c>
      <c r="D44" s="11">
        <f t="shared" ref="D44:V44" si="34">SUM(D45:D47)</f>
        <v>13.343860753880284</v>
      </c>
      <c r="E44" s="11">
        <f t="shared" si="34"/>
        <v>13.250499544683827</v>
      </c>
      <c r="F44" s="11">
        <f t="shared" si="34"/>
        <v>15.15926458516125</v>
      </c>
      <c r="G44" s="11">
        <f t="shared" si="34"/>
        <v>18.210046157372645</v>
      </c>
      <c r="H44" s="11">
        <f t="shared" si="34"/>
        <v>20.270156088057718</v>
      </c>
      <c r="I44" s="11">
        <f t="shared" si="34"/>
        <v>21.284113949213719</v>
      </c>
      <c r="J44" s="11">
        <f t="shared" si="34"/>
        <v>21.925356282909068</v>
      </c>
      <c r="K44" s="11">
        <f t="shared" si="34"/>
        <v>21.514622928837166</v>
      </c>
      <c r="L44" s="11">
        <f t="shared" si="34"/>
        <v>22.59251116244517</v>
      </c>
      <c r="M44" s="11">
        <f t="shared" si="34"/>
        <v>22.280626450427889</v>
      </c>
      <c r="N44" s="11">
        <f t="shared" si="34"/>
        <v>22.806600838366119</v>
      </c>
      <c r="O44" s="11">
        <f t="shared" si="34"/>
        <v>23.888376986544955</v>
      </c>
      <c r="P44" s="11">
        <f t="shared" si="34"/>
        <v>24.990894183175477</v>
      </c>
      <c r="Q44" s="11">
        <f t="shared" si="34"/>
        <v>26.475020093435795</v>
      </c>
      <c r="R44" s="11">
        <f t="shared" si="34"/>
        <v>29.606669756003608</v>
      </c>
      <c r="S44" s="11">
        <f t="shared" si="34"/>
        <v>33.186233744978722</v>
      </c>
      <c r="T44" s="11">
        <f t="shared" si="34"/>
        <v>37.011151708141817</v>
      </c>
      <c r="U44" s="11">
        <f t="shared" si="34"/>
        <v>38.970461517945147</v>
      </c>
      <c r="V44" s="11">
        <f t="shared" si="34"/>
        <v>38.060012372878397</v>
      </c>
      <c r="W44" s="11">
        <f t="shared" ref="W44" si="35">SUM(W45:W47)</f>
        <v>37.149563227811647</v>
      </c>
      <c r="DA44" s="189" t="s">
        <v>224</v>
      </c>
    </row>
    <row r="45" spans="1:105" ht="11.45" customHeight="1" x14ac:dyDescent="0.25">
      <c r="A45" s="83" t="s">
        <v>27</v>
      </c>
      <c r="B45" s="84">
        <v>2.0515638207945899</v>
      </c>
      <c r="C45" s="84">
        <v>2.0536770921386305</v>
      </c>
      <c r="D45" s="84">
        <v>2.4420963651732883</v>
      </c>
      <c r="E45" s="84">
        <v>2.7024513947590871</v>
      </c>
      <c r="F45" s="84">
        <v>2.9623837700760776</v>
      </c>
      <c r="G45" s="84">
        <v>3.0008481764206953</v>
      </c>
      <c r="H45" s="84">
        <v>2.8540700126528891</v>
      </c>
      <c r="I45" s="84">
        <v>2.9902953586497891</v>
      </c>
      <c r="J45" s="84">
        <v>3.2845117845117846</v>
      </c>
      <c r="K45" s="84">
        <v>3.4103101424979045</v>
      </c>
      <c r="L45" s="84">
        <v>3.2051537604184457</v>
      </c>
      <c r="M45" s="84">
        <v>3.1980857261756137</v>
      </c>
      <c r="N45" s="84">
        <v>2.9962947715109101</v>
      </c>
      <c r="O45" s="84">
        <v>2.8569656883009507</v>
      </c>
      <c r="P45" s="84">
        <v>3.1847107438016531</v>
      </c>
      <c r="Q45" s="84">
        <v>3.139015308233347</v>
      </c>
      <c r="R45" s="84">
        <v>3.4078235538909696</v>
      </c>
      <c r="S45" s="84">
        <v>3.4092615769712142</v>
      </c>
      <c r="T45" s="84">
        <v>3.4612176814011675</v>
      </c>
      <c r="U45" s="84">
        <v>3.5006268282490596</v>
      </c>
      <c r="V45" s="84">
        <v>3.3638559068627538</v>
      </c>
      <c r="W45" s="84">
        <v>3.2270849854764476</v>
      </c>
      <c r="DA45" s="171" t="s">
        <v>225</v>
      </c>
    </row>
    <row r="46" spans="1:105" ht="11.45" customHeight="1" x14ac:dyDescent="0.25">
      <c r="A46" s="83" t="s">
        <v>173</v>
      </c>
      <c r="B46" s="84">
        <v>9.033024011109811</v>
      </c>
      <c r="C46" s="84">
        <v>9.0419739065909202</v>
      </c>
      <c r="D46" s="84">
        <v>8.4850136318956935</v>
      </c>
      <c r="E46" s="84">
        <v>8.2100057684918433</v>
      </c>
      <c r="F46" s="84">
        <v>9.4935508453576229</v>
      </c>
      <c r="G46" s="84">
        <v>12.41556249397027</v>
      </c>
      <c r="H46" s="84">
        <v>14.346814316967883</v>
      </c>
      <c r="I46" s="84">
        <v>14.855636772382111</v>
      </c>
      <c r="J46" s="84">
        <v>14.555478644738745</v>
      </c>
      <c r="K46" s="84">
        <v>14.12735426099364</v>
      </c>
      <c r="L46" s="84">
        <v>14.777483249074159</v>
      </c>
      <c r="M46" s="84">
        <v>14.375199454411005</v>
      </c>
      <c r="N46" s="84">
        <v>14.771768517448095</v>
      </c>
      <c r="O46" s="84">
        <v>16.250088683246577</v>
      </c>
      <c r="P46" s="84">
        <v>17.217208584441522</v>
      </c>
      <c r="Q46" s="84">
        <v>17.722300713702943</v>
      </c>
      <c r="R46" s="84">
        <v>19.870656901701114</v>
      </c>
      <c r="S46" s="84">
        <v>23.051781328312849</v>
      </c>
      <c r="T46" s="84">
        <v>25.058247565933048</v>
      </c>
      <c r="U46" s="84">
        <v>26.907918801845618</v>
      </c>
      <c r="V46" s="84">
        <v>26.305717201104965</v>
      </c>
      <c r="W46" s="84">
        <v>25.703515600364312</v>
      </c>
      <c r="DA46" s="171" t="s">
        <v>226</v>
      </c>
    </row>
    <row r="47" spans="1:105" ht="11.45" customHeight="1" x14ac:dyDescent="0.25">
      <c r="A47" s="83" t="s">
        <v>174</v>
      </c>
      <c r="B47" s="84">
        <v>2.5721493440968719</v>
      </c>
      <c r="C47" s="84">
        <v>2.5751765893037337</v>
      </c>
      <c r="D47" s="84">
        <v>2.4167507568113016</v>
      </c>
      <c r="E47" s="84">
        <v>2.3380423814328961</v>
      </c>
      <c r="F47" s="84">
        <v>2.7033299697275481</v>
      </c>
      <c r="G47" s="84">
        <v>2.7936354869816777</v>
      </c>
      <c r="H47" s="84">
        <v>3.0692717584369449</v>
      </c>
      <c r="I47" s="84">
        <v>3.438181818181818</v>
      </c>
      <c r="J47" s="84">
        <v>4.0853658536585362</v>
      </c>
      <c r="K47" s="84">
        <v>3.9769585253456223</v>
      </c>
      <c r="L47" s="84">
        <v>4.6098741529525658</v>
      </c>
      <c r="M47" s="84">
        <v>4.7073412698412698</v>
      </c>
      <c r="N47" s="84">
        <v>5.0385375494071143</v>
      </c>
      <c r="O47" s="84">
        <v>4.7813226149974275</v>
      </c>
      <c r="P47" s="84">
        <v>4.5889748549323022</v>
      </c>
      <c r="Q47" s="84">
        <v>5.6137040714995035</v>
      </c>
      <c r="R47" s="84">
        <v>6.3281893004115224</v>
      </c>
      <c r="S47" s="84">
        <v>6.7251908396946565</v>
      </c>
      <c r="T47" s="84">
        <v>8.4916864608076015</v>
      </c>
      <c r="U47" s="84">
        <v>8.5619158878504678</v>
      </c>
      <c r="V47" s="84">
        <v>8.3904392649106772</v>
      </c>
      <c r="W47" s="84">
        <v>8.2189626419708866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0.1287354526787359</v>
      </c>
      <c r="C48" s="13">
        <f t="shared" si="36"/>
        <v>0.15443563090237863</v>
      </c>
      <c r="D48" s="13">
        <f t="shared" ref="D48:V48" si="37">SUM(D49:D51)</f>
        <v>0.15542769439444212</v>
      </c>
      <c r="E48" s="13">
        <f t="shared" si="37"/>
        <v>0.14517348181897827</v>
      </c>
      <c r="F48" s="13">
        <f t="shared" si="37"/>
        <v>0.14760896868428972</v>
      </c>
      <c r="G48" s="13">
        <f t="shared" si="37"/>
        <v>0.18455364367493854</v>
      </c>
      <c r="H48" s="13">
        <f t="shared" si="37"/>
        <v>0.20499552401821022</v>
      </c>
      <c r="I48" s="13">
        <f t="shared" si="37"/>
        <v>0.25168383412232814</v>
      </c>
      <c r="J48" s="13">
        <f t="shared" si="37"/>
        <v>0.24913047133513633</v>
      </c>
      <c r="K48" s="13">
        <f t="shared" si="37"/>
        <v>0.29113137023253149</v>
      </c>
      <c r="L48" s="13">
        <f t="shared" si="37"/>
        <v>0.27878351974456117</v>
      </c>
      <c r="M48" s="13">
        <f t="shared" si="37"/>
        <v>0.28501721943298913</v>
      </c>
      <c r="N48" s="13">
        <f t="shared" si="37"/>
        <v>0.27214367416511553</v>
      </c>
      <c r="O48" s="13">
        <f t="shared" si="37"/>
        <v>0.25927012889724194</v>
      </c>
      <c r="P48" s="13">
        <f t="shared" si="37"/>
        <v>0.24639658362936834</v>
      </c>
      <c r="Q48" s="13">
        <f t="shared" si="37"/>
        <v>0.23352303836149474</v>
      </c>
      <c r="R48" s="13">
        <f t="shared" si="37"/>
        <v>0.22064949309362114</v>
      </c>
      <c r="S48" s="13">
        <f t="shared" si="37"/>
        <v>0.21004513693323679</v>
      </c>
      <c r="T48" s="13">
        <f t="shared" si="37"/>
        <v>0.28832953273477374</v>
      </c>
      <c r="U48" s="13">
        <f t="shared" si="37"/>
        <v>0.27545598746690014</v>
      </c>
      <c r="V48" s="13">
        <f t="shared" si="37"/>
        <v>0.28104953965384027</v>
      </c>
      <c r="W48" s="13">
        <f t="shared" ref="W48" si="38">SUM(W49:W51)</f>
        <v>0.31006529691536161</v>
      </c>
      <c r="DA48" s="193" t="s">
        <v>228</v>
      </c>
    </row>
    <row r="49" spans="1:105" ht="11.45" customHeight="1" x14ac:dyDescent="0.25">
      <c r="A49" s="92" t="s">
        <v>27</v>
      </c>
      <c r="B49" s="102">
        <v>5.8479532163742687E-2</v>
      </c>
      <c r="C49" s="102">
        <v>7.0825211176088365E-2</v>
      </c>
      <c r="D49" s="102">
        <v>7.0825211176088365E-2</v>
      </c>
      <c r="E49" s="102">
        <v>6.4977257959714096E-2</v>
      </c>
      <c r="F49" s="102">
        <v>6.5627030539311237E-2</v>
      </c>
      <c r="G49" s="102">
        <v>8.143322475570032E-2</v>
      </c>
      <c r="H49" s="102">
        <v>9.1688654353562007E-2</v>
      </c>
      <c r="I49" s="102">
        <v>0.11468812877263582</v>
      </c>
      <c r="J49" s="102">
        <v>0.11708645336963922</v>
      </c>
      <c r="K49" s="102">
        <v>0.11123850015326495</v>
      </c>
      <c r="L49" s="102">
        <v>0.10539054693689068</v>
      </c>
      <c r="M49" s="102">
        <v>9.9542593720516409E-2</v>
      </c>
      <c r="N49" s="102">
        <v>9.369464050414214E-2</v>
      </c>
      <c r="O49" s="102">
        <v>8.7846687287767872E-2</v>
      </c>
      <c r="P49" s="102">
        <v>8.1998734071393603E-2</v>
      </c>
      <c r="Q49" s="102">
        <v>7.6150780855019334E-2</v>
      </c>
      <c r="R49" s="102">
        <v>7.0302827638645066E-2</v>
      </c>
      <c r="S49" s="102">
        <v>6.4454874422270797E-2</v>
      </c>
      <c r="T49" s="102">
        <v>5.8606921205896528E-2</v>
      </c>
      <c r="U49" s="102">
        <v>5.275896798952226E-2</v>
      </c>
      <c r="V49" s="102">
        <v>4.8860332511939414E-2</v>
      </c>
      <c r="W49" s="102">
        <v>4.4961697034356568E-2</v>
      </c>
      <c r="DA49" s="175" t="s">
        <v>229</v>
      </c>
    </row>
    <row r="50" spans="1:105" ht="11.45" customHeight="1" x14ac:dyDescent="0.25">
      <c r="A50" s="92" t="s">
        <v>173</v>
      </c>
      <c r="B50" s="102">
        <v>6.0821958250842273E-2</v>
      </c>
      <c r="C50" s="102">
        <v>7.2828748567260612E-2</v>
      </c>
      <c r="D50" s="102">
        <v>7.3820812059324101E-2</v>
      </c>
      <c r="E50" s="102">
        <v>6.8066843805355839E-2</v>
      </c>
      <c r="F50" s="102">
        <v>6.9852558091070133E-2</v>
      </c>
      <c r="G50" s="102">
        <v>9.0065588632031943E-2</v>
      </c>
      <c r="H50" s="102">
        <v>9.9809937149310801E-2</v>
      </c>
      <c r="I50" s="102">
        <v>0.12210736788070971</v>
      </c>
      <c r="J50" s="102">
        <v>0.11689250281398195</v>
      </c>
      <c r="K50" s="102">
        <v>0.1656847511541665</v>
      </c>
      <c r="L50" s="102">
        <v>0.16012825010898554</v>
      </c>
      <c r="M50" s="102">
        <v>0.15404605428390131</v>
      </c>
      <c r="N50" s="102">
        <v>0.14796385845881707</v>
      </c>
      <c r="O50" s="102">
        <v>0.14188166263373284</v>
      </c>
      <c r="P50" s="102">
        <v>0.1357994668086486</v>
      </c>
      <c r="Q50" s="102">
        <v>0.12971727098356436</v>
      </c>
      <c r="R50" s="102">
        <v>0.12363507515848013</v>
      </c>
      <c r="S50" s="102">
        <v>0.11755287933339589</v>
      </c>
      <c r="T50" s="102">
        <v>0.11147068350831166</v>
      </c>
      <c r="U50" s="102">
        <v>0.10538848768322742</v>
      </c>
      <c r="V50" s="102">
        <v>0.11550960616536045</v>
      </c>
      <c r="W50" s="102">
        <v>0.14905292972207471</v>
      </c>
      <c r="DA50" s="175" t="s">
        <v>230</v>
      </c>
    </row>
    <row r="51" spans="1:105" ht="11.45" customHeight="1" x14ac:dyDescent="0.25">
      <c r="A51" s="85" t="s">
        <v>174</v>
      </c>
      <c r="B51" s="86">
        <v>9.433962264150943E-3</v>
      </c>
      <c r="C51" s="86">
        <v>1.078167115902965E-2</v>
      </c>
      <c r="D51" s="86">
        <v>1.078167115902965E-2</v>
      </c>
      <c r="E51" s="86">
        <v>1.2129380053908356E-2</v>
      </c>
      <c r="F51" s="86">
        <v>1.2129380053908356E-2</v>
      </c>
      <c r="G51" s="86">
        <v>1.3054830287206266E-2</v>
      </c>
      <c r="H51" s="86">
        <v>1.3496932515337423E-2</v>
      </c>
      <c r="I51" s="86">
        <v>1.488833746898263E-2</v>
      </c>
      <c r="J51" s="86">
        <v>1.5151515151515152E-2</v>
      </c>
      <c r="K51" s="86">
        <v>1.4208118925100058E-2</v>
      </c>
      <c r="L51" s="86">
        <v>1.3264722698684964E-2</v>
      </c>
      <c r="M51" s="86">
        <v>3.1428571428571431E-2</v>
      </c>
      <c r="N51" s="86">
        <v>3.0485175202156337E-2</v>
      </c>
      <c r="O51" s="86">
        <v>2.9541778975741242E-2</v>
      </c>
      <c r="P51" s="86">
        <v>2.8598382749326148E-2</v>
      </c>
      <c r="Q51" s="86">
        <v>2.7654986522911054E-2</v>
      </c>
      <c r="R51" s="86">
        <v>2.671159029649596E-2</v>
      </c>
      <c r="S51" s="86">
        <v>2.8037383177570093E-2</v>
      </c>
      <c r="T51" s="86">
        <v>0.11825192802056556</v>
      </c>
      <c r="U51" s="86">
        <v>0.11730853179415046</v>
      </c>
      <c r="V51" s="86">
        <v>0.1166796009765404</v>
      </c>
      <c r="W51" s="86">
        <v>0.11605067015893034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7.1725216687155813E-2</v>
      </c>
      <c r="C53" s="54">
        <f t="shared" si="39"/>
        <v>0.50063269755365425</v>
      </c>
      <c r="D53" s="54">
        <f t="shared" ref="D53:V53" si="40">SUM(D54,D58)</f>
        <v>0.46301509396172125</v>
      </c>
      <c r="E53" s="54">
        <f t="shared" si="40"/>
        <v>0.36418602059142141</v>
      </c>
      <c r="F53" s="54">
        <f t="shared" si="40"/>
        <v>2.3720426346407342</v>
      </c>
      <c r="G53" s="54">
        <f t="shared" si="40"/>
        <v>3.5485683545000426</v>
      </c>
      <c r="H53" s="54">
        <f t="shared" si="40"/>
        <v>2.6197161790231531</v>
      </c>
      <c r="I53" s="54">
        <f t="shared" si="40"/>
        <v>1.5214882785581165</v>
      </c>
      <c r="J53" s="54">
        <f t="shared" si="40"/>
        <v>1.177933438719641</v>
      </c>
      <c r="K53" s="54">
        <f t="shared" si="40"/>
        <v>0.33907094476748117</v>
      </c>
      <c r="L53" s="54">
        <f t="shared" si="40"/>
        <v>1.6952382586118446</v>
      </c>
      <c r="M53" s="54">
        <f t="shared" si="40"/>
        <v>0.26321744312875822</v>
      </c>
      <c r="N53" s="54">
        <f t="shared" si="40"/>
        <v>1.1150036924659337</v>
      </c>
      <c r="O53" s="54">
        <f t="shared" si="40"/>
        <v>1.7797192960184833</v>
      </c>
      <c r="P53" s="54">
        <f t="shared" si="40"/>
        <v>1.6647199899866478</v>
      </c>
      <c r="Q53" s="54">
        <f t="shared" si="40"/>
        <v>1.9512528177135233</v>
      </c>
      <c r="R53" s="54">
        <f t="shared" si="40"/>
        <v>3.5987765700210144</v>
      </c>
      <c r="S53" s="54">
        <f t="shared" si="40"/>
        <v>4.0369434238291912</v>
      </c>
      <c r="T53" s="54">
        <f t="shared" si="40"/>
        <v>4.3711861499790912</v>
      </c>
      <c r="U53" s="54">
        <f t="shared" si="40"/>
        <v>2.4150040627373337</v>
      </c>
      <c r="V53" s="54">
        <f t="shared" si="40"/>
        <v>1.2621682894877001E-2</v>
      </c>
      <c r="W53" s="54">
        <f t="shared" ref="W53" si="41">SUM(W54,W58)</f>
        <v>3.597094850871424E-2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6.6765285995767254E-2</v>
      </c>
      <c r="C54" s="11">
        <f t="shared" si="42"/>
        <v>0.46978466496601151</v>
      </c>
      <c r="D54" s="11">
        <f t="shared" ref="D54:V54" si="43">SUM(D55:D57)</f>
        <v>0.45687517610565775</v>
      </c>
      <c r="E54" s="11">
        <f t="shared" si="43"/>
        <v>0.36233304373754271</v>
      </c>
      <c r="F54" s="11">
        <f t="shared" si="43"/>
        <v>2.3644592934114228</v>
      </c>
      <c r="G54" s="11">
        <f t="shared" si="43"/>
        <v>3.5064758251453938</v>
      </c>
      <c r="H54" s="11">
        <f t="shared" si="43"/>
        <v>2.5941264443158816</v>
      </c>
      <c r="I54" s="11">
        <f t="shared" si="43"/>
        <v>1.4696521140899985</v>
      </c>
      <c r="J54" s="11">
        <f t="shared" si="43"/>
        <v>1.1723002511299192</v>
      </c>
      <c r="K54" s="11">
        <f t="shared" si="43"/>
        <v>0.28785107147529665</v>
      </c>
      <c r="L54" s="11">
        <f t="shared" si="43"/>
        <v>1.6948949124830572</v>
      </c>
      <c r="M54" s="11">
        <f t="shared" si="43"/>
        <v>0.24469420535987174</v>
      </c>
      <c r="N54" s="11">
        <f t="shared" si="43"/>
        <v>1.1150036924659337</v>
      </c>
      <c r="O54" s="11">
        <f t="shared" si="43"/>
        <v>1.7797192960184833</v>
      </c>
      <c r="P54" s="11">
        <f t="shared" si="43"/>
        <v>1.6647199899866478</v>
      </c>
      <c r="Q54" s="11">
        <f t="shared" si="43"/>
        <v>1.9512528177135233</v>
      </c>
      <c r="R54" s="11">
        <f t="shared" si="43"/>
        <v>3.5987765700210144</v>
      </c>
      <c r="S54" s="11">
        <f t="shared" si="43"/>
        <v>4.0352582419091174</v>
      </c>
      <c r="T54" s="11">
        <f t="shared" si="43"/>
        <v>4.2806122160970954</v>
      </c>
      <c r="U54" s="11">
        <f t="shared" si="43"/>
        <v>2.4150040627373337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6.6765285995767254E-2</v>
      </c>
      <c r="C55" s="84">
        <v>7.0569174415040514E-2</v>
      </c>
      <c r="D55" s="84">
        <v>0.45687517610565775</v>
      </c>
      <c r="E55" s="84">
        <v>0.32881093265679873</v>
      </c>
      <c r="F55" s="84">
        <v>0.32838827838799034</v>
      </c>
      <c r="G55" s="84">
        <v>0.1069203094156177</v>
      </c>
      <c r="H55" s="84">
        <v>0</v>
      </c>
      <c r="I55" s="84">
        <v>0.20468124906789997</v>
      </c>
      <c r="J55" s="84">
        <v>0.36267232893299539</v>
      </c>
      <c r="K55" s="84">
        <v>0.19425426105711985</v>
      </c>
      <c r="L55" s="84">
        <v>0</v>
      </c>
      <c r="M55" s="84">
        <v>6.1387868828167935E-2</v>
      </c>
      <c r="N55" s="84">
        <v>0</v>
      </c>
      <c r="O55" s="84">
        <v>0</v>
      </c>
      <c r="P55" s="84">
        <v>0.39620095857170234</v>
      </c>
      <c r="Q55" s="84">
        <v>2.2760467502693782E-2</v>
      </c>
      <c r="R55" s="84">
        <v>0.33726414872862254</v>
      </c>
      <c r="S55" s="84">
        <v>6.9893926151244568E-2</v>
      </c>
      <c r="T55" s="84">
        <v>0.12041200750095316</v>
      </c>
      <c r="U55" s="84">
        <v>0.10786504991889201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0</v>
      </c>
      <c r="C56" s="84">
        <v>0.31034902570110939</v>
      </c>
      <c r="D56" s="84">
        <v>0</v>
      </c>
      <c r="E56" s="84">
        <v>2.63912668161497E-2</v>
      </c>
      <c r="F56" s="84">
        <v>1.5849442070857807</v>
      </c>
      <c r="G56" s="84">
        <v>3.2234107788326467</v>
      </c>
      <c r="H56" s="84">
        <v>2.2326509532176146</v>
      </c>
      <c r="I56" s="84">
        <v>0.81022158563422564</v>
      </c>
      <c r="J56" s="84">
        <v>7.6604667077205812E-2</v>
      </c>
      <c r="K56" s="84">
        <v>9.3596810418176801E-2</v>
      </c>
      <c r="L56" s="84">
        <v>0.97614006523311392</v>
      </c>
      <c r="M56" s="84">
        <v>0</v>
      </c>
      <c r="N56" s="84">
        <v>0.69796819325708948</v>
      </c>
      <c r="O56" s="84">
        <v>1.7797192960184833</v>
      </c>
      <c r="P56" s="84">
        <v>1.2685190314149455</v>
      </c>
      <c r="Q56" s="84">
        <v>0.81792391400062847</v>
      </c>
      <c r="R56" s="84">
        <v>2.4611879727373731</v>
      </c>
      <c r="S56" s="84">
        <v>3.4825235568317385</v>
      </c>
      <c r="T56" s="84">
        <v>2.307865367840197</v>
      </c>
      <c r="U56" s="84">
        <v>2.1510703661325747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8.8866464849861604E-2</v>
      </c>
      <c r="D57" s="84">
        <v>0</v>
      </c>
      <c r="E57" s="84">
        <v>7.130844264594316E-3</v>
      </c>
      <c r="F57" s="84">
        <v>0.45112680793765181</v>
      </c>
      <c r="G57" s="84">
        <v>0.17614473689712939</v>
      </c>
      <c r="H57" s="84">
        <v>0.36147549109826693</v>
      </c>
      <c r="I57" s="84">
        <v>0.45474927938787291</v>
      </c>
      <c r="J57" s="84">
        <v>0.733023255119718</v>
      </c>
      <c r="K57" s="84">
        <v>0</v>
      </c>
      <c r="L57" s="84">
        <v>0.71875484724994321</v>
      </c>
      <c r="M57" s="84">
        <v>0.18330633653170381</v>
      </c>
      <c r="N57" s="84">
        <v>0.41703549920884431</v>
      </c>
      <c r="O57" s="84">
        <v>0</v>
      </c>
      <c r="P57" s="84">
        <v>0</v>
      </c>
      <c r="Q57" s="84">
        <v>1.1105684362102011</v>
      </c>
      <c r="R57" s="84">
        <v>0.80032444855501872</v>
      </c>
      <c r="S57" s="84">
        <v>0.48284075892613387</v>
      </c>
      <c r="T57" s="84">
        <v>1.8523348407559457</v>
      </c>
      <c r="U57" s="84">
        <v>0.15606864668586695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4.9599306913885657E-3</v>
      </c>
      <c r="C58" s="13">
        <f t="shared" si="45"/>
        <v>3.0848032587642717E-2</v>
      </c>
      <c r="D58" s="13">
        <f t="shared" ref="D58:V58" si="46">SUM(D59:D61)</f>
        <v>6.1399178560634839E-3</v>
      </c>
      <c r="E58" s="13">
        <f t="shared" si="46"/>
        <v>1.8529768538787048E-3</v>
      </c>
      <c r="F58" s="13">
        <f t="shared" si="46"/>
        <v>7.5833412293114296E-3</v>
      </c>
      <c r="G58" s="13">
        <f t="shared" si="46"/>
        <v>4.20925293546488E-2</v>
      </c>
      <c r="H58" s="13">
        <f t="shared" si="46"/>
        <v>2.5589734707271702E-2</v>
      </c>
      <c r="I58" s="13">
        <f t="shared" si="46"/>
        <v>5.1836164468117923E-2</v>
      </c>
      <c r="J58" s="13">
        <f t="shared" si="46"/>
        <v>5.6331875897216999E-3</v>
      </c>
      <c r="K58" s="13">
        <f t="shared" si="46"/>
        <v>5.1219873292184546E-2</v>
      </c>
      <c r="L58" s="13">
        <f t="shared" si="46"/>
        <v>3.4334612878729118E-4</v>
      </c>
      <c r="M58" s="13">
        <f t="shared" si="46"/>
        <v>1.8523237768886466E-2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0</v>
      </c>
      <c r="R58" s="13">
        <f t="shared" si="46"/>
        <v>0</v>
      </c>
      <c r="S58" s="13">
        <f t="shared" si="46"/>
        <v>1.6851819200741323E-3</v>
      </c>
      <c r="T58" s="13">
        <f t="shared" si="46"/>
        <v>9.0573933881995458E-2</v>
      </c>
      <c r="U58" s="13">
        <f t="shared" si="46"/>
        <v>0</v>
      </c>
      <c r="V58" s="13">
        <f t="shared" si="46"/>
        <v>1.2621682894877001E-2</v>
      </c>
      <c r="W58" s="13">
        <f t="shared" ref="W58" si="47">SUM(W59:W61)</f>
        <v>3.597094850871424E-2</v>
      </c>
      <c r="DA58" s="193" t="s">
        <v>237</v>
      </c>
    </row>
    <row r="59" spans="1:105" ht="11.45" customHeight="1" x14ac:dyDescent="0.25">
      <c r="A59" s="92" t="s">
        <v>27</v>
      </c>
      <c r="B59" s="102">
        <v>4.9599306913885657E-3</v>
      </c>
      <c r="C59" s="102">
        <v>1.4706519385345673E-2</v>
      </c>
      <c r="D59" s="102">
        <v>2.3608403729999949E-3</v>
      </c>
      <c r="E59" s="102">
        <v>0</v>
      </c>
      <c r="F59" s="102">
        <v>3.0106129525971359E-3</v>
      </c>
      <c r="G59" s="102">
        <v>1.8167034589389078E-2</v>
      </c>
      <c r="H59" s="102">
        <v>1.2616269970861682E-2</v>
      </c>
      <c r="I59" s="102">
        <v>2.5360314792073804E-2</v>
      </c>
      <c r="J59" s="102">
        <v>4.7591649700033933E-3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</v>
      </c>
      <c r="C60" s="102">
        <v>1.4434415268418335E-2</v>
      </c>
      <c r="D60" s="102">
        <v>3.4196884440634897E-3</v>
      </c>
      <c r="E60" s="102">
        <v>1.4587892000000012E-4</v>
      </c>
      <c r="F60" s="102">
        <v>4.2133392377142944E-3</v>
      </c>
      <c r="G60" s="102">
        <v>2.2640655492961813E-2</v>
      </c>
      <c r="H60" s="102">
        <v>1.217197346927886E-2</v>
      </c>
      <c r="I60" s="102">
        <v>2.472505568339891E-2</v>
      </c>
      <c r="J60" s="102">
        <v>2.5145589818578555E-4</v>
      </c>
      <c r="K60" s="102">
        <v>5.1219873292184546E-2</v>
      </c>
      <c r="L60" s="102">
        <v>3.4334612878729118E-4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0</v>
      </c>
      <c r="U60" s="102">
        <v>0</v>
      </c>
      <c r="V60" s="102">
        <v>1.2621682894877001E-2</v>
      </c>
      <c r="W60" s="102">
        <v>3.597094850871424E-2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1.7070979338787064E-3</v>
      </c>
      <c r="D61" s="86">
        <v>3.593890389999993E-4</v>
      </c>
      <c r="E61" s="86">
        <v>1.7070979338787047E-3</v>
      </c>
      <c r="F61" s="86">
        <v>3.593890389999993E-4</v>
      </c>
      <c r="G61" s="86">
        <v>1.2848392722979093E-3</v>
      </c>
      <c r="H61" s="86">
        <v>8.0149126713115713E-4</v>
      </c>
      <c r="I61" s="86">
        <v>1.7507939926452061E-3</v>
      </c>
      <c r="J61" s="86">
        <v>6.2256672153252098E-4</v>
      </c>
      <c r="K61" s="86">
        <v>0</v>
      </c>
      <c r="L61" s="86">
        <v>0</v>
      </c>
      <c r="M61" s="86">
        <v>1.8523237768886466E-2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1.6851819200741323E-3</v>
      </c>
      <c r="T61" s="86">
        <v>9.0573933881995458E-2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73.577705691536423</v>
      </c>
      <c r="C66" s="14">
        <f t="shared" si="48"/>
        <v>73.807138999361712</v>
      </c>
      <c r="D66" s="14">
        <f t="shared" ref="D66:V66" si="49">IF(D34=0,0,D34/D24)</f>
        <v>74.238306035118782</v>
      </c>
      <c r="E66" s="14">
        <f t="shared" si="49"/>
        <v>74.841318681318683</v>
      </c>
      <c r="F66" s="14">
        <f t="shared" si="49"/>
        <v>75.52277703834099</v>
      </c>
      <c r="G66" s="14">
        <f t="shared" si="49"/>
        <v>76.793377627709404</v>
      </c>
      <c r="H66" s="14">
        <f t="shared" si="49"/>
        <v>78.413624103677392</v>
      </c>
      <c r="I66" s="14">
        <f t="shared" si="49"/>
        <v>79.4259218440029</v>
      </c>
      <c r="J66" s="14">
        <f t="shared" si="49"/>
        <v>79.75885753356539</v>
      </c>
      <c r="K66" s="14">
        <f t="shared" si="49"/>
        <v>77.134658112971366</v>
      </c>
      <c r="L66" s="14">
        <f t="shared" si="49"/>
        <v>80.593755807470728</v>
      </c>
      <c r="M66" s="14">
        <f t="shared" si="49"/>
        <v>86.430076212900431</v>
      </c>
      <c r="N66" s="14">
        <f t="shared" si="49"/>
        <v>92.767019014453453</v>
      </c>
      <c r="O66" s="14">
        <f t="shared" si="49"/>
        <v>94.780030120481925</v>
      </c>
      <c r="P66" s="14">
        <f t="shared" si="49"/>
        <v>94.916204123244228</v>
      </c>
      <c r="Q66" s="14">
        <f t="shared" si="49"/>
        <v>97.907188253342099</v>
      </c>
      <c r="R66" s="14">
        <f t="shared" si="49"/>
        <v>99.993931587942441</v>
      </c>
      <c r="S66" s="14">
        <f t="shared" si="49"/>
        <v>107.16009039548022</v>
      </c>
      <c r="T66" s="14">
        <f t="shared" si="49"/>
        <v>108.82672303731765</v>
      </c>
      <c r="U66" s="14">
        <f t="shared" si="49"/>
        <v>111.80663915234732</v>
      </c>
      <c r="V66" s="14">
        <f t="shared" si="49"/>
        <v>62.943338617814575</v>
      </c>
      <c r="W66" s="14">
        <f t="shared" ref="W66" si="50">IF(W34=0,0,W34/W24)</f>
        <v>83.908594280001424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73.978368355995059</v>
      </c>
      <c r="C67" s="87">
        <f t="shared" si="48"/>
        <v>73.516567194896069</v>
      </c>
      <c r="D67" s="87">
        <f t="shared" ref="D67:V67" si="51">IF(D35=0,0,D35/D25)</f>
        <v>73.307718933887159</v>
      </c>
      <c r="E67" s="87">
        <f t="shared" si="51"/>
        <v>73.314200813262431</v>
      </c>
      <c r="F67" s="87">
        <f t="shared" si="51"/>
        <v>73.320873163076044</v>
      </c>
      <c r="G67" s="87">
        <f t="shared" si="51"/>
        <v>72.968908988128888</v>
      </c>
      <c r="H67" s="87">
        <f t="shared" si="51"/>
        <v>72.654499778336046</v>
      </c>
      <c r="I67" s="87">
        <f t="shared" si="51"/>
        <v>72.246366586708064</v>
      </c>
      <c r="J67" s="87">
        <f t="shared" si="51"/>
        <v>72.048821117375709</v>
      </c>
      <c r="K67" s="87">
        <f t="shared" si="51"/>
        <v>64.096472901560773</v>
      </c>
      <c r="L67" s="87">
        <f t="shared" si="51"/>
        <v>64.861973775017248</v>
      </c>
      <c r="M67" s="87">
        <f t="shared" si="51"/>
        <v>69.251268705270007</v>
      </c>
      <c r="N67" s="87">
        <f t="shared" si="51"/>
        <v>73.442841439956027</v>
      </c>
      <c r="O67" s="87">
        <f t="shared" si="51"/>
        <v>73.454782231225579</v>
      </c>
      <c r="P67" s="87">
        <f t="shared" si="51"/>
        <v>66.273258077072796</v>
      </c>
      <c r="Q67" s="87">
        <f t="shared" si="51"/>
        <v>66.643996309476734</v>
      </c>
      <c r="R67" s="87">
        <f t="shared" si="51"/>
        <v>64.549273415557451</v>
      </c>
      <c r="S67" s="87">
        <f t="shared" si="51"/>
        <v>68.209128732256488</v>
      </c>
      <c r="T67" s="87">
        <f t="shared" si="51"/>
        <v>67.399518072289155</v>
      </c>
      <c r="U67" s="87">
        <f t="shared" si="51"/>
        <v>64.726632445983043</v>
      </c>
      <c r="V67" s="87">
        <f t="shared" si="51"/>
        <v>36.025792478834418</v>
      </c>
      <c r="W67" s="87">
        <f t="shared" ref="W67" si="52">IF(W35=0,0,W35/W25)</f>
        <v>37.349894926448513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73.873058796260523</v>
      </c>
      <c r="C68" s="87">
        <f t="shared" si="48"/>
        <v>74.358984254399502</v>
      </c>
      <c r="D68" s="87">
        <f t="shared" ref="D68:V68" si="53">IF(D36=0,0,D36/D26)</f>
        <v>75.118687284092772</v>
      </c>
      <c r="E68" s="87">
        <f t="shared" si="53"/>
        <v>76.119177150629042</v>
      </c>
      <c r="F68" s="87">
        <f t="shared" si="53"/>
        <v>77.204366683819742</v>
      </c>
      <c r="G68" s="87">
        <f t="shared" si="53"/>
        <v>78.952134319863404</v>
      </c>
      <c r="H68" s="87">
        <f t="shared" si="53"/>
        <v>81.239655086971609</v>
      </c>
      <c r="I68" s="87">
        <f t="shared" si="53"/>
        <v>82.92636920720031</v>
      </c>
      <c r="J68" s="87">
        <f t="shared" si="53"/>
        <v>83.932057750911724</v>
      </c>
      <c r="K68" s="87">
        <f t="shared" si="53"/>
        <v>84.358355124852594</v>
      </c>
      <c r="L68" s="87">
        <f t="shared" si="53"/>
        <v>87.148675970215493</v>
      </c>
      <c r="M68" s="87">
        <f t="shared" si="53"/>
        <v>94.198105602579602</v>
      </c>
      <c r="N68" s="87">
        <f t="shared" si="53"/>
        <v>101.85586887206058</v>
      </c>
      <c r="O68" s="87">
        <f t="shared" si="53"/>
        <v>105.48602527442118</v>
      </c>
      <c r="P68" s="87">
        <f t="shared" si="53"/>
        <v>107.82550306211724</v>
      </c>
      <c r="Q68" s="87">
        <f t="shared" si="53"/>
        <v>113.37770804676754</v>
      </c>
      <c r="R68" s="87">
        <f t="shared" si="53"/>
        <v>115.61591057503938</v>
      </c>
      <c r="S68" s="87">
        <f t="shared" si="53"/>
        <v>120.6103774531109</v>
      </c>
      <c r="T68" s="87">
        <f t="shared" si="53"/>
        <v>122.02957097342943</v>
      </c>
      <c r="U68" s="87">
        <f t="shared" si="53"/>
        <v>125.55998501095354</v>
      </c>
      <c r="V68" s="87">
        <f t="shared" si="53"/>
        <v>76.660020040080155</v>
      </c>
      <c r="W68" s="87">
        <f t="shared" ref="W68" si="54">IF(W36=0,0,W36/W26)</f>
        <v>100.77232542524619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71.315025500196157</v>
      </c>
      <c r="C69" s="87">
        <f t="shared" si="48"/>
        <v>71.558777429467085</v>
      </c>
      <c r="D69" s="87">
        <f t="shared" ref="D69:V69" si="55">IF(D37=0,0,D37/D27)</f>
        <v>72.014196242171195</v>
      </c>
      <c r="E69" s="87">
        <f t="shared" si="55"/>
        <v>72.567544238239108</v>
      </c>
      <c r="F69" s="87">
        <f t="shared" si="55"/>
        <v>72.745054124673388</v>
      </c>
      <c r="G69" s="87">
        <f t="shared" si="55"/>
        <v>73.042112530203653</v>
      </c>
      <c r="H69" s="87">
        <f t="shared" si="55"/>
        <v>73.189525462962962</v>
      </c>
      <c r="I69" s="87">
        <f t="shared" si="55"/>
        <v>73.546536224219992</v>
      </c>
      <c r="J69" s="87">
        <f t="shared" si="55"/>
        <v>74.393570608495978</v>
      </c>
      <c r="K69" s="87">
        <f t="shared" si="55"/>
        <v>69.07161066048667</v>
      </c>
      <c r="L69" s="87">
        <f t="shared" si="55"/>
        <v>76.614237715245693</v>
      </c>
      <c r="M69" s="87">
        <f t="shared" si="55"/>
        <v>81.759747102212856</v>
      </c>
      <c r="N69" s="87">
        <f t="shared" si="55"/>
        <v>84.571288487938816</v>
      </c>
      <c r="O69" s="87">
        <f t="shared" si="55"/>
        <v>76.384415020620793</v>
      </c>
      <c r="P69" s="87">
        <f t="shared" si="55"/>
        <v>79.245943097997895</v>
      </c>
      <c r="Q69" s="87">
        <f t="shared" si="55"/>
        <v>76.199716964443653</v>
      </c>
      <c r="R69" s="87">
        <f t="shared" si="55"/>
        <v>81.065192651601365</v>
      </c>
      <c r="S69" s="87">
        <f t="shared" si="55"/>
        <v>93.538511431814499</v>
      </c>
      <c r="T69" s="87">
        <f t="shared" si="55"/>
        <v>97.219860139860145</v>
      </c>
      <c r="U69" s="87">
        <f t="shared" si="55"/>
        <v>100.51698731068359</v>
      </c>
      <c r="V69" s="87">
        <f t="shared" si="55"/>
        <v>62.852941176470587</v>
      </c>
      <c r="W69" s="87">
        <f t="shared" ref="W69" si="56">IF(W37=0,0,W37/W27)</f>
        <v>86.438237834725015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14.225556546852209</v>
      </c>
      <c r="C70" s="15">
        <f t="shared" si="48"/>
        <v>14.217138297487896</v>
      </c>
      <c r="D70" s="15">
        <f t="shared" ref="D70:V70" si="57">IF(D38=0,0,D38/D28)</f>
        <v>14.36606947600106</v>
      </c>
      <c r="E70" s="15">
        <f t="shared" si="57"/>
        <v>15.244346050524426</v>
      </c>
      <c r="F70" s="15">
        <f t="shared" si="57"/>
        <v>14.385251732749548</v>
      </c>
      <c r="G70" s="15">
        <f t="shared" si="57"/>
        <v>13.607765851030759</v>
      </c>
      <c r="H70" s="15">
        <f t="shared" si="57"/>
        <v>12.955900068018021</v>
      </c>
      <c r="I70" s="15">
        <f t="shared" si="57"/>
        <v>12.694979014251652</v>
      </c>
      <c r="J70" s="15">
        <f t="shared" si="57"/>
        <v>12.422372347965226</v>
      </c>
      <c r="K70" s="15">
        <f t="shared" si="57"/>
        <v>12.966188875362075</v>
      </c>
      <c r="L70" s="15">
        <f t="shared" si="57"/>
        <v>14.154223019038335</v>
      </c>
      <c r="M70" s="15">
        <f t="shared" si="57"/>
        <v>17.640702423923265</v>
      </c>
      <c r="N70" s="15">
        <f t="shared" si="57"/>
        <v>17.094788766605376</v>
      </c>
      <c r="O70" s="15">
        <f t="shared" si="57"/>
        <v>18.479763195007891</v>
      </c>
      <c r="P70" s="15">
        <f t="shared" si="57"/>
        <v>20.185269474052905</v>
      </c>
      <c r="Q70" s="15">
        <f t="shared" si="57"/>
        <v>20.277170593276054</v>
      </c>
      <c r="R70" s="15">
        <f t="shared" si="57"/>
        <v>23.513283298154022</v>
      </c>
      <c r="S70" s="15">
        <f t="shared" si="57"/>
        <v>22.438743100863547</v>
      </c>
      <c r="T70" s="15">
        <f t="shared" si="57"/>
        <v>31.933541350719764</v>
      </c>
      <c r="U70" s="15">
        <f t="shared" si="57"/>
        <v>27.57163402799349</v>
      </c>
      <c r="V70" s="15">
        <f t="shared" si="57"/>
        <v>20.473883379299</v>
      </c>
      <c r="W70" s="15">
        <f t="shared" ref="W70" si="58">IF(W38=0,0,W38/W28)</f>
        <v>21.995660236354258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14.287825769085291</v>
      </c>
      <c r="U71" s="41">
        <f t="shared" si="59"/>
        <v>15.803320090655204</v>
      </c>
      <c r="V71" s="41">
        <f t="shared" si="59"/>
        <v>14.565480178537978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16.251239950995537</v>
      </c>
      <c r="D72" s="41">
        <f t="shared" ref="D72:V72" si="61">IF(D40=0,0,D40/D30)</f>
        <v>16.295894641910159</v>
      </c>
      <c r="E72" s="41">
        <f t="shared" si="61"/>
        <v>17.167505270500246</v>
      </c>
      <c r="F72" s="41">
        <f t="shared" si="61"/>
        <v>16.029083470668731</v>
      </c>
      <c r="G72" s="41">
        <f t="shared" si="61"/>
        <v>15.181021974099197</v>
      </c>
      <c r="H72" s="41">
        <f t="shared" si="61"/>
        <v>13.985273542904691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13.62676029511714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52.129123841343961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44.912907352120193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55.065477606746079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53.261166023203295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846.92211075965224</v>
      </c>
      <c r="C75" s="62">
        <f t="shared" si="65"/>
        <v>846.53786194368911</v>
      </c>
      <c r="D75" s="62">
        <f t="shared" ref="D75:V75" si="66">IF(D13=0,0,D13*1000000/D23)</f>
        <v>816.44291015946294</v>
      </c>
      <c r="E75" s="62">
        <f t="shared" si="66"/>
        <v>798.1437150287228</v>
      </c>
      <c r="F75" s="62">
        <f t="shared" si="66"/>
        <v>805.79622110292337</v>
      </c>
      <c r="G75" s="62">
        <f t="shared" si="66"/>
        <v>838.86618669840834</v>
      </c>
      <c r="H75" s="62">
        <f t="shared" si="66"/>
        <v>850.97495550724739</v>
      </c>
      <c r="I75" s="62">
        <f t="shared" si="66"/>
        <v>855.59397341613487</v>
      </c>
      <c r="J75" s="62">
        <f t="shared" si="66"/>
        <v>860.01917376740266</v>
      </c>
      <c r="K75" s="62">
        <f t="shared" si="66"/>
        <v>857.25044568129567</v>
      </c>
      <c r="L75" s="62">
        <f t="shared" si="66"/>
        <v>909.53207064551555</v>
      </c>
      <c r="M75" s="62">
        <f t="shared" si="66"/>
        <v>887.15281272147899</v>
      </c>
      <c r="N75" s="62">
        <f t="shared" si="66"/>
        <v>924.95377686061215</v>
      </c>
      <c r="O75" s="62">
        <f t="shared" si="66"/>
        <v>962.06817429243688</v>
      </c>
      <c r="P75" s="62">
        <f t="shared" si="66"/>
        <v>957.94963726600838</v>
      </c>
      <c r="Q75" s="62">
        <f t="shared" si="66"/>
        <v>978.64141717138989</v>
      </c>
      <c r="R75" s="62">
        <f t="shared" si="66"/>
        <v>1007.549316843889</v>
      </c>
      <c r="S75" s="62">
        <f t="shared" si="66"/>
        <v>1063.1041008664379</v>
      </c>
      <c r="T75" s="62">
        <f t="shared" si="66"/>
        <v>1118.3600697673908</v>
      </c>
      <c r="U75" s="62">
        <f t="shared" si="66"/>
        <v>1117.9019950542936</v>
      </c>
      <c r="V75" s="62">
        <f t="shared" si="66"/>
        <v>867.98667758201452</v>
      </c>
      <c r="W75" s="62">
        <f t="shared" ref="W75" si="67">IF(W13=0,0,W13*1000000/W23)</f>
        <v>975.91358641881072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848.57488932061176</v>
      </c>
      <c r="C76" s="14">
        <f t="shared" si="65"/>
        <v>848.56116682018785</v>
      </c>
      <c r="D76" s="14">
        <f t="shared" ref="D76:V76" si="68">IF(D14=0,0,D14*1000000/D24)</f>
        <v>818.17173250332542</v>
      </c>
      <c r="E76" s="14">
        <f t="shared" si="68"/>
        <v>799.45595997596513</v>
      </c>
      <c r="F76" s="14">
        <f t="shared" si="68"/>
        <v>807.03028388232747</v>
      </c>
      <c r="G76" s="14">
        <f t="shared" si="68"/>
        <v>840.40440702169496</v>
      </c>
      <c r="H76" s="14">
        <f t="shared" si="68"/>
        <v>852.85314894719966</v>
      </c>
      <c r="I76" s="14">
        <f t="shared" si="68"/>
        <v>858.01853312797175</v>
      </c>
      <c r="J76" s="14">
        <f t="shared" si="68"/>
        <v>862.53359150502649</v>
      </c>
      <c r="K76" s="14">
        <f t="shared" si="68"/>
        <v>859.17983839019223</v>
      </c>
      <c r="L76" s="14">
        <f t="shared" si="68"/>
        <v>911.4342799042364</v>
      </c>
      <c r="M76" s="14">
        <f t="shared" si="68"/>
        <v>888.76300828082731</v>
      </c>
      <c r="N76" s="14">
        <f t="shared" si="68"/>
        <v>927.09933980749861</v>
      </c>
      <c r="O76" s="14">
        <f t="shared" si="68"/>
        <v>963.61368831861262</v>
      </c>
      <c r="P76" s="14">
        <f t="shared" si="68"/>
        <v>959.11717288330317</v>
      </c>
      <c r="Q76" s="14">
        <f t="shared" si="68"/>
        <v>979.59487721119126</v>
      </c>
      <c r="R76" s="14">
        <f t="shared" si="68"/>
        <v>1008.1102109250581</v>
      </c>
      <c r="S76" s="14">
        <f t="shared" si="68"/>
        <v>1063.5598116870096</v>
      </c>
      <c r="T76" s="14">
        <f t="shared" si="68"/>
        <v>1116.3895815027458</v>
      </c>
      <c r="U76" s="14">
        <f t="shared" si="68"/>
        <v>1116.6574537258612</v>
      </c>
      <c r="V76" s="14">
        <f t="shared" si="68"/>
        <v>865.29545197148786</v>
      </c>
      <c r="W76" s="14">
        <f t="shared" ref="W76" si="69">IF(W14=0,0,W14*1000000/W24)</f>
        <v>972.89531401741681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341.45065168105816</v>
      </c>
      <c r="C77" s="39">
        <f t="shared" si="65"/>
        <v>341.45065168105816</v>
      </c>
      <c r="D77" s="39">
        <f t="shared" ref="D77:V77" si="70">IF(D15=0,0,D15*1000000/D25)</f>
        <v>341.45065168105816</v>
      </c>
      <c r="E77" s="39">
        <f t="shared" si="70"/>
        <v>341.45065168105816</v>
      </c>
      <c r="F77" s="39">
        <f t="shared" si="70"/>
        <v>341.45065168105816</v>
      </c>
      <c r="G77" s="39">
        <f t="shared" si="70"/>
        <v>345.9735428417942</v>
      </c>
      <c r="H77" s="39">
        <f t="shared" si="70"/>
        <v>339.09654950848511</v>
      </c>
      <c r="I77" s="39">
        <f t="shared" si="70"/>
        <v>339.27807621115414</v>
      </c>
      <c r="J77" s="39">
        <f t="shared" si="70"/>
        <v>336.62128798358935</v>
      </c>
      <c r="K77" s="39">
        <f t="shared" si="70"/>
        <v>331.43440914306802</v>
      </c>
      <c r="L77" s="39">
        <f t="shared" si="70"/>
        <v>338.50245834471446</v>
      </c>
      <c r="M77" s="39">
        <f t="shared" si="70"/>
        <v>322.62343051754203</v>
      </c>
      <c r="N77" s="39">
        <f t="shared" si="70"/>
        <v>309.27059137631824</v>
      </c>
      <c r="O77" s="39">
        <f t="shared" si="70"/>
        <v>314.35763286262136</v>
      </c>
      <c r="P77" s="39">
        <f t="shared" si="70"/>
        <v>314.13297617038734</v>
      </c>
      <c r="Q77" s="39">
        <f t="shared" si="70"/>
        <v>315.45653716335124</v>
      </c>
      <c r="R77" s="39">
        <f t="shared" si="70"/>
        <v>322.21827948756408</v>
      </c>
      <c r="S77" s="39">
        <f t="shared" si="70"/>
        <v>325.50417129540568</v>
      </c>
      <c r="T77" s="39">
        <f t="shared" si="70"/>
        <v>324.88457974851093</v>
      </c>
      <c r="U77" s="39">
        <f t="shared" si="70"/>
        <v>327.53182055294729</v>
      </c>
      <c r="V77" s="39">
        <f t="shared" si="70"/>
        <v>323.77789956413511</v>
      </c>
      <c r="W77" s="39">
        <f t="shared" ref="W77" si="71">IF(W15=0,0,W15*1000000/W25)</f>
        <v>329.83088178845207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961.04795106017957</v>
      </c>
      <c r="C78" s="39">
        <f t="shared" si="65"/>
        <v>961.01786285416586</v>
      </c>
      <c r="D78" s="39">
        <f t="shared" ref="D78:V78" si="72">IF(D16=0,0,D16*1000000/D26)</f>
        <v>961.00817307936074</v>
      </c>
      <c r="E78" s="39">
        <f t="shared" si="72"/>
        <v>960.99820670212387</v>
      </c>
      <c r="F78" s="39">
        <f t="shared" si="72"/>
        <v>961.02639395642325</v>
      </c>
      <c r="G78" s="39">
        <f t="shared" si="72"/>
        <v>989.2064683539902</v>
      </c>
      <c r="H78" s="39">
        <f t="shared" si="72"/>
        <v>1003.1112759327185</v>
      </c>
      <c r="I78" s="39">
        <f t="shared" si="72"/>
        <v>1003.5824119603305</v>
      </c>
      <c r="J78" s="39">
        <f t="shared" si="72"/>
        <v>1018.3988628617359</v>
      </c>
      <c r="K78" s="39">
        <f t="shared" si="72"/>
        <v>1036.5135541088903</v>
      </c>
      <c r="L78" s="39">
        <f t="shared" si="72"/>
        <v>1059.0440999278242</v>
      </c>
      <c r="M78" s="39">
        <f t="shared" si="72"/>
        <v>1032.4276222946942</v>
      </c>
      <c r="N78" s="39">
        <f t="shared" si="72"/>
        <v>1082.596779744538</v>
      </c>
      <c r="O78" s="39">
        <f t="shared" si="72"/>
        <v>1124.9395122922597</v>
      </c>
      <c r="P78" s="39">
        <f t="shared" si="72"/>
        <v>1136.4760107438924</v>
      </c>
      <c r="Q78" s="39">
        <f t="shared" si="72"/>
        <v>1140.8629899286236</v>
      </c>
      <c r="R78" s="39">
        <f t="shared" si="72"/>
        <v>1158.511951651232</v>
      </c>
      <c r="S78" s="39">
        <f t="shared" si="72"/>
        <v>1192.3648393817186</v>
      </c>
      <c r="T78" s="39">
        <f t="shared" si="72"/>
        <v>1206.1522661115066</v>
      </c>
      <c r="U78" s="39">
        <f t="shared" si="72"/>
        <v>1207.8553558841579</v>
      </c>
      <c r="V78" s="39">
        <f t="shared" si="72"/>
        <v>1058.2050268674031</v>
      </c>
      <c r="W78" s="39">
        <f t="shared" ref="W78" si="73">IF(W16=0,0,W16*1000000/W26)</f>
        <v>1132.4086994912598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1243.1775615085946</v>
      </c>
      <c r="C79" s="39">
        <f t="shared" si="65"/>
        <v>1243.1775615085946</v>
      </c>
      <c r="D79" s="39">
        <f t="shared" ref="D79:V79" si="74">IF(D17=0,0,D17*1000000/D27)</f>
        <v>1243.1775615085946</v>
      </c>
      <c r="E79" s="39">
        <f t="shared" si="74"/>
        <v>1243.1775615085946</v>
      </c>
      <c r="F79" s="39">
        <f t="shared" si="74"/>
        <v>1243.1775615085946</v>
      </c>
      <c r="G79" s="39">
        <f t="shared" si="74"/>
        <v>1145.5961838006231</v>
      </c>
      <c r="H79" s="39">
        <f t="shared" si="74"/>
        <v>981.47935379702551</v>
      </c>
      <c r="I79" s="39">
        <f t="shared" si="74"/>
        <v>1026.1241167131586</v>
      </c>
      <c r="J79" s="39">
        <f t="shared" si="74"/>
        <v>1088.5415088262766</v>
      </c>
      <c r="K79" s="39">
        <f t="shared" si="74"/>
        <v>1052.8588882446725</v>
      </c>
      <c r="L79" s="39">
        <f t="shared" si="74"/>
        <v>1154.5068349106205</v>
      </c>
      <c r="M79" s="39">
        <f t="shared" si="74"/>
        <v>1204.7434921930746</v>
      </c>
      <c r="N79" s="39">
        <f t="shared" si="74"/>
        <v>1196.8410571375396</v>
      </c>
      <c r="O79" s="39">
        <f t="shared" si="74"/>
        <v>1178.3178523862794</v>
      </c>
      <c r="P79" s="39">
        <f t="shared" si="74"/>
        <v>1152.2615713181556</v>
      </c>
      <c r="Q79" s="39">
        <f t="shared" si="74"/>
        <v>1207.2750844789452</v>
      </c>
      <c r="R79" s="39">
        <f t="shared" si="74"/>
        <v>1284.7092208774475</v>
      </c>
      <c r="S79" s="39">
        <f t="shared" si="74"/>
        <v>1416.8439871213786</v>
      </c>
      <c r="T79" s="39">
        <f t="shared" si="74"/>
        <v>1629.3341526696709</v>
      </c>
      <c r="U79" s="39">
        <f t="shared" si="74"/>
        <v>1586.935500855601</v>
      </c>
      <c r="V79" s="39">
        <f t="shared" si="74"/>
        <v>1283.7184191194149</v>
      </c>
      <c r="W79" s="39">
        <f t="shared" ref="W79" si="75">IF(W17=0,0,W17*1000000/W27)</f>
        <v>1385.5852139082449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634.09025885279482</v>
      </c>
      <c r="C80" s="15">
        <f t="shared" si="65"/>
        <v>629.65022815605607</v>
      </c>
      <c r="D80" s="15">
        <f t="shared" ref="D80:V80" si="76">IF(D18=0,0,D18*1000000/D28)</f>
        <v>632.41837050989591</v>
      </c>
      <c r="E80" s="15">
        <f t="shared" si="76"/>
        <v>645.48340085379925</v>
      </c>
      <c r="F80" s="15">
        <f t="shared" si="76"/>
        <v>646.11535335236738</v>
      </c>
      <c r="G80" s="15">
        <f t="shared" si="76"/>
        <v>650.56750952380958</v>
      </c>
      <c r="H80" s="15">
        <f t="shared" si="76"/>
        <v>625.27994775457</v>
      </c>
      <c r="I80" s="15">
        <f t="shared" si="76"/>
        <v>609.59799012921133</v>
      </c>
      <c r="J80" s="15">
        <f t="shared" si="76"/>
        <v>599.87799972950882</v>
      </c>
      <c r="K80" s="15">
        <f t="shared" si="76"/>
        <v>664.58249564132677</v>
      </c>
      <c r="L80" s="15">
        <f t="shared" si="76"/>
        <v>652.56668099253409</v>
      </c>
      <c r="M80" s="15">
        <f t="shared" si="76"/>
        <v>632.37883103204729</v>
      </c>
      <c r="N80" s="15">
        <f t="shared" si="76"/>
        <v>566.08072498677564</v>
      </c>
      <c r="O80" s="15">
        <f t="shared" si="76"/>
        <v>686.20222983526605</v>
      </c>
      <c r="P80" s="15">
        <f t="shared" si="76"/>
        <v>709.58808474845659</v>
      </c>
      <c r="Q80" s="15">
        <f t="shared" si="76"/>
        <v>761.10950909069913</v>
      </c>
      <c r="R80" s="15">
        <f t="shared" si="76"/>
        <v>855.56960718588277</v>
      </c>
      <c r="S80" s="15">
        <f t="shared" si="76"/>
        <v>920.08847100612729</v>
      </c>
      <c r="T80" s="15">
        <f t="shared" si="76"/>
        <v>1635.6565466711111</v>
      </c>
      <c r="U80" s="15">
        <f t="shared" si="76"/>
        <v>1507.4820812054822</v>
      </c>
      <c r="V80" s="15">
        <f t="shared" si="76"/>
        <v>1173.5484334012096</v>
      </c>
      <c r="W80" s="15">
        <f t="shared" ref="W80" si="77">IF(W18=0,0,W18*1000000/W28)</f>
        <v>1411.6494376860267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189.47710883926391</v>
      </c>
      <c r="C81" s="41">
        <f t="shared" si="65"/>
        <v>189.47710883926388</v>
      </c>
      <c r="D81" s="41">
        <f t="shared" ref="D81:V81" si="78">IF(D19=0,0,D19*1000000/D29)</f>
        <v>189.47710883926388</v>
      </c>
      <c r="E81" s="41">
        <f t="shared" si="78"/>
        <v>189.47710883926391</v>
      </c>
      <c r="F81" s="41">
        <f t="shared" si="78"/>
        <v>189.47710883926391</v>
      </c>
      <c r="G81" s="41">
        <f t="shared" si="78"/>
        <v>194</v>
      </c>
      <c r="H81" s="41">
        <f t="shared" si="78"/>
        <v>217.86722356610684</v>
      </c>
      <c r="I81" s="41">
        <f t="shared" si="78"/>
        <v>248.79296716819175</v>
      </c>
      <c r="J81" s="41">
        <f t="shared" si="78"/>
        <v>276.88039584004292</v>
      </c>
      <c r="K81" s="41">
        <f t="shared" si="78"/>
        <v>302.43773389893749</v>
      </c>
      <c r="L81" s="41">
        <f t="shared" si="78"/>
        <v>340.25</v>
      </c>
      <c r="M81" s="41">
        <f t="shared" si="78"/>
        <v>237.3619056570256</v>
      </c>
      <c r="N81" s="41">
        <f t="shared" si="78"/>
        <v>137</v>
      </c>
      <c r="O81" s="41">
        <f t="shared" si="78"/>
        <v>152.48471009093771</v>
      </c>
      <c r="P81" s="41">
        <f t="shared" si="78"/>
        <v>162.65772200333816</v>
      </c>
      <c r="Q81" s="41">
        <f t="shared" si="78"/>
        <v>174.3789516009366</v>
      </c>
      <c r="R81" s="41">
        <f t="shared" si="78"/>
        <v>191.53836252978408</v>
      </c>
      <c r="S81" s="41">
        <f t="shared" si="78"/>
        <v>205.22192294226025</v>
      </c>
      <c r="T81" s="41">
        <f t="shared" si="78"/>
        <v>215</v>
      </c>
      <c r="U81" s="41">
        <f t="shared" si="78"/>
        <v>215</v>
      </c>
      <c r="V81" s="41">
        <f t="shared" si="78"/>
        <v>211.24607901118787</v>
      </c>
      <c r="W81" s="41">
        <f t="shared" ref="W81" si="79">IF(W19=0,0,W19*1000000/W29)</f>
        <v>217.29906123550484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1172.563728840197</v>
      </c>
      <c r="C82" s="41">
        <f t="shared" si="65"/>
        <v>1174.1845406096866</v>
      </c>
      <c r="D82" s="41">
        <f t="shared" ref="D82:V82" si="80">IF(D20=0,0,D20*1000000/D30)</f>
        <v>1173.970768679008</v>
      </c>
      <c r="E82" s="41">
        <f t="shared" si="80"/>
        <v>1175.3477114089678</v>
      </c>
      <c r="F82" s="41">
        <f t="shared" si="80"/>
        <v>1174.8625030184107</v>
      </c>
      <c r="G82" s="41">
        <f t="shared" si="80"/>
        <v>1183.5796626984129</v>
      </c>
      <c r="H82" s="41">
        <f t="shared" si="80"/>
        <v>1094.1390698545119</v>
      </c>
      <c r="I82" s="41">
        <f t="shared" si="80"/>
        <v>1009.8738728931738</v>
      </c>
      <c r="J82" s="41">
        <f t="shared" si="80"/>
        <v>955.67437520199178</v>
      </c>
      <c r="K82" s="41">
        <f t="shared" si="80"/>
        <v>871.64157659909608</v>
      </c>
      <c r="L82" s="41">
        <f t="shared" si="80"/>
        <v>828.69861215303831</v>
      </c>
      <c r="M82" s="41">
        <f t="shared" si="80"/>
        <v>752.72841822854537</v>
      </c>
      <c r="N82" s="41">
        <f t="shared" si="80"/>
        <v>712.17397489539724</v>
      </c>
      <c r="O82" s="41">
        <f t="shared" si="80"/>
        <v>748.12568941190841</v>
      </c>
      <c r="P82" s="41">
        <f t="shared" si="80"/>
        <v>752.72526929616095</v>
      </c>
      <c r="Q82" s="41">
        <f t="shared" si="80"/>
        <v>766.04377438722111</v>
      </c>
      <c r="R82" s="41">
        <f t="shared" si="80"/>
        <v>783.06503962064346</v>
      </c>
      <c r="S82" s="41">
        <f t="shared" si="80"/>
        <v>805.38735163623267</v>
      </c>
      <c r="T82" s="41">
        <f t="shared" si="80"/>
        <v>819.53338447947192</v>
      </c>
      <c r="U82" s="41">
        <f t="shared" si="80"/>
        <v>906.81998246785759</v>
      </c>
      <c r="V82" s="41">
        <f t="shared" si="80"/>
        <v>789.76532678253307</v>
      </c>
      <c r="W82" s="41">
        <f t="shared" ref="W82" si="81">IF(W20=0,0,W20*1000000/W30)</f>
        <v>891.23977578239453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1658.1333777079715</v>
      </c>
      <c r="C83" s="40">
        <f t="shared" si="65"/>
        <v>1658.1333777079715</v>
      </c>
      <c r="D83" s="40">
        <f t="shared" ref="D83:V83" si="82">IF(D21=0,0,D21*1000000/D31)</f>
        <v>1658.1333777079715</v>
      </c>
      <c r="E83" s="40">
        <f t="shared" si="82"/>
        <v>1658.1333777079715</v>
      </c>
      <c r="F83" s="40">
        <f t="shared" si="82"/>
        <v>1658.1333777079715</v>
      </c>
      <c r="G83" s="40">
        <f t="shared" si="82"/>
        <v>1560.5519999999999</v>
      </c>
      <c r="H83" s="40">
        <f t="shared" si="82"/>
        <v>1383.2689555638763</v>
      </c>
      <c r="I83" s="40">
        <f t="shared" si="82"/>
        <v>1414.7475040474837</v>
      </c>
      <c r="J83" s="40">
        <f t="shared" si="82"/>
        <v>1463.998681728076</v>
      </c>
      <c r="K83" s="40">
        <f t="shared" si="82"/>
        <v>1415.1498467139463</v>
      </c>
      <c r="L83" s="40">
        <f t="shared" si="82"/>
        <v>1503.6315789473683</v>
      </c>
      <c r="M83" s="40">
        <f t="shared" si="82"/>
        <v>1838.7800724847837</v>
      </c>
      <c r="N83" s="40">
        <f t="shared" si="82"/>
        <v>2115.7894736842109</v>
      </c>
      <c r="O83" s="40">
        <f t="shared" si="82"/>
        <v>2410.8293891173225</v>
      </c>
      <c r="P83" s="40">
        <f t="shared" si="82"/>
        <v>2698.336228233572</v>
      </c>
      <c r="Q83" s="40">
        <f t="shared" si="82"/>
        <v>3066.9128615787354</v>
      </c>
      <c r="R83" s="40">
        <f t="shared" si="82"/>
        <v>3457.9101181616111</v>
      </c>
      <c r="S83" s="40">
        <f t="shared" si="82"/>
        <v>3903.6080045899143</v>
      </c>
      <c r="T83" s="40">
        <f t="shared" si="82"/>
        <v>4429.6612903225805</v>
      </c>
      <c r="U83" s="40">
        <f t="shared" si="82"/>
        <v>5411.558282208588</v>
      </c>
      <c r="V83" s="40">
        <f t="shared" si="82"/>
        <v>5108.3412004724032</v>
      </c>
      <c r="W83" s="40">
        <f t="shared" ref="W83" si="83">IF(W21=0,0,W21*1000000/W31)</f>
        <v>5210.2079952612321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83877.791826631146</v>
      </c>
      <c r="C86" s="11">
        <f t="shared" si="84"/>
        <v>84437.739619146218</v>
      </c>
      <c r="D86" s="11">
        <f t="shared" ref="D86:V86" si="85">IF(D4=0,0,D4*1000000/D24)</f>
        <v>81068.715641655857</v>
      </c>
      <c r="E86" s="11">
        <f t="shared" si="85"/>
        <v>78559.7751389185</v>
      </c>
      <c r="F86" s="11">
        <f t="shared" si="85"/>
        <v>78928.943757235291</v>
      </c>
      <c r="G86" s="11">
        <f t="shared" si="85"/>
        <v>83102.192180144659</v>
      </c>
      <c r="H86" s="11">
        <f t="shared" si="85"/>
        <v>83338.44726517472</v>
      </c>
      <c r="I86" s="11">
        <f t="shared" si="85"/>
        <v>81957.50369861268</v>
      </c>
      <c r="J86" s="11">
        <f t="shared" si="85"/>
        <v>81343.105585136815</v>
      </c>
      <c r="K86" s="11">
        <f t="shared" si="85"/>
        <v>79685.885320749847</v>
      </c>
      <c r="L86" s="11">
        <f t="shared" si="85"/>
        <v>88382.285791193091</v>
      </c>
      <c r="M86" s="11">
        <f t="shared" si="85"/>
        <v>93638.150443853461</v>
      </c>
      <c r="N86" s="11">
        <f t="shared" si="85"/>
        <v>102670.69053373623</v>
      </c>
      <c r="O86" s="11">
        <f t="shared" si="85"/>
        <v>106193.38198586044</v>
      </c>
      <c r="P86" s="11">
        <f t="shared" si="85"/>
        <v>106530.61700626579</v>
      </c>
      <c r="Q86" s="11">
        <f t="shared" si="85"/>
        <v>111386.41308554089</v>
      </c>
      <c r="R86" s="11">
        <f t="shared" si="85"/>
        <v>117739.60903731667</v>
      </c>
      <c r="S86" s="11">
        <f t="shared" si="85"/>
        <v>132514.27339971458</v>
      </c>
      <c r="T86" s="11">
        <f t="shared" si="85"/>
        <v>140569.05828931593</v>
      </c>
      <c r="U86" s="11">
        <f t="shared" si="85"/>
        <v>144048.59898080098</v>
      </c>
      <c r="V86" s="11">
        <f t="shared" si="85"/>
        <v>67079.830357006242</v>
      </c>
      <c r="W86" s="11">
        <f t="shared" ref="W86" si="86">IF(W4=0,0,W4*1000000/W24)</f>
        <v>97647.921671628166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27417.284874919689</v>
      </c>
      <c r="C87" s="36">
        <f t="shared" si="84"/>
        <v>27246.135736721728</v>
      </c>
      <c r="D87" s="36">
        <f t="shared" ref="D87:V87" si="87">IF(D5=0,0,D5*1000000/D25)</f>
        <v>27168.734025992471</v>
      </c>
      <c r="E87" s="36">
        <f t="shared" si="87"/>
        <v>27171.136289482547</v>
      </c>
      <c r="F87" s="36">
        <f t="shared" si="87"/>
        <v>27173.609143638303</v>
      </c>
      <c r="G87" s="36">
        <f t="shared" si="87"/>
        <v>27401.383557893998</v>
      </c>
      <c r="H87" s="36">
        <f t="shared" si="87"/>
        <v>26740.999619956685</v>
      </c>
      <c r="I87" s="36">
        <f t="shared" si="87"/>
        <v>26605.018027110877</v>
      </c>
      <c r="J87" s="36">
        <f t="shared" si="87"/>
        <v>26324.504584483271</v>
      </c>
      <c r="K87" s="36">
        <f t="shared" si="87"/>
        <v>23058.097773729405</v>
      </c>
      <c r="L87" s="36">
        <f t="shared" si="87"/>
        <v>23831.080711001181</v>
      </c>
      <c r="M87" s="36">
        <f t="shared" si="87"/>
        <v>24526.738918365339</v>
      </c>
      <c r="N87" s="36">
        <f t="shared" si="87"/>
        <v>24898.776064004258</v>
      </c>
      <c r="O87" s="36">
        <f t="shared" si="87"/>
        <v>25414.918657619441</v>
      </c>
      <c r="P87" s="36">
        <f t="shared" si="87"/>
        <v>22703.742774308412</v>
      </c>
      <c r="Q87" s="36">
        <f t="shared" si="87"/>
        <v>23023.924148398059</v>
      </c>
      <c r="R87" s="36">
        <f t="shared" si="87"/>
        <v>22912.945908707497</v>
      </c>
      <c r="S87" s="36">
        <f t="shared" si="87"/>
        <v>24472.419830930394</v>
      </c>
      <c r="T87" s="36">
        <f t="shared" si="87"/>
        <v>23993.486387272951</v>
      </c>
      <c r="U87" s="36">
        <f t="shared" si="87"/>
        <v>23121.486336394617</v>
      </c>
      <c r="V87" s="36">
        <f t="shared" si="87"/>
        <v>12610.82637975656</v>
      </c>
      <c r="W87" s="36">
        <f t="shared" ref="W87" si="88">IF(W5=0,0,W5*1000000/W25)</f>
        <v>13039.995612758557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99182.813373210316</v>
      </c>
      <c r="C88" s="36">
        <f t="shared" si="84"/>
        <v>100050.24230181439</v>
      </c>
      <c r="D88" s="36">
        <f t="shared" ref="D88:V88" si="89">IF(D6=0,0,D6*1000000/D26)</f>
        <v>100040.60686785907</v>
      </c>
      <c r="E88" s="36">
        <f t="shared" si="89"/>
        <v>99180.208611351292</v>
      </c>
      <c r="F88" s="36">
        <f t="shared" si="89"/>
        <v>98303.16602588637</v>
      </c>
      <c r="G88" s="36">
        <f t="shared" si="89"/>
        <v>101545.85353018272</v>
      </c>
      <c r="H88" s="36">
        <f t="shared" si="89"/>
        <v>100816.26120188099</v>
      </c>
      <c r="I88" s="36">
        <f t="shared" si="89"/>
        <v>98056.166015318391</v>
      </c>
      <c r="J88" s="36">
        <f t="shared" si="89"/>
        <v>97899.297861847866</v>
      </c>
      <c r="K88" s="36">
        <f t="shared" si="89"/>
        <v>100311.37371652889</v>
      </c>
      <c r="L88" s="36">
        <f t="shared" si="89"/>
        <v>105565.57672467452</v>
      </c>
      <c r="M88" s="36">
        <f t="shared" si="89"/>
        <v>111239.96911881251</v>
      </c>
      <c r="N88" s="36">
        <f t="shared" si="89"/>
        <v>122952.76257034919</v>
      </c>
      <c r="O88" s="36">
        <f t="shared" si="89"/>
        <v>130323.66257867684</v>
      </c>
      <c r="P88" s="36">
        <f t="shared" si="89"/>
        <v>133919.87301065287</v>
      </c>
      <c r="Q88" s="36">
        <f t="shared" si="89"/>
        <v>138721.9944748845</v>
      </c>
      <c r="R88" s="36">
        <f t="shared" si="89"/>
        <v>145366.77157724573</v>
      </c>
      <c r="S88" s="36">
        <f t="shared" si="89"/>
        <v>153702.58729467745</v>
      </c>
      <c r="T88" s="36">
        <f t="shared" si="89"/>
        <v>155828.4622033684</v>
      </c>
      <c r="U88" s="36">
        <f t="shared" si="89"/>
        <v>158513.88625436637</v>
      </c>
      <c r="V88" s="36">
        <f t="shared" si="89"/>
        <v>87900.230737708815</v>
      </c>
      <c r="W88" s="36">
        <f t="shared" ref="W88" si="90">IF(W6=0,0,W6*1000000/W26)</f>
        <v>119648.87919345671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113680.22684673044</v>
      </c>
      <c r="C89" s="36">
        <f t="shared" si="84"/>
        <v>114068.78135427627</v>
      </c>
      <c r="D89" s="36">
        <f t="shared" ref="D89:V89" si="91">IF(D7=0,0,D7*1000000/D27)</f>
        <v>114794.74497239667</v>
      </c>
      <c r="E89" s="36">
        <f t="shared" si="91"/>
        <v>115676.81330620118</v>
      </c>
      <c r="F89" s="36">
        <f t="shared" si="91"/>
        <v>115959.77421122578</v>
      </c>
      <c r="G89" s="36">
        <f t="shared" si="91"/>
        <v>107294.04302269801</v>
      </c>
      <c r="H89" s="36">
        <f t="shared" si="91"/>
        <v>92108.736844571293</v>
      </c>
      <c r="I89" s="36">
        <f t="shared" si="91"/>
        <v>96768.24073789992</v>
      </c>
      <c r="J89" s="36">
        <f t="shared" si="91"/>
        <v>103836.75918012536</v>
      </c>
      <c r="K89" s="36">
        <f t="shared" si="91"/>
        <v>93248.204460315741</v>
      </c>
      <c r="L89" s="36">
        <f t="shared" si="91"/>
        <v>113416.62513724947</v>
      </c>
      <c r="M89" s="36">
        <f t="shared" si="91"/>
        <v>131943.7986025023</v>
      </c>
      <c r="N89" s="36">
        <f t="shared" si="91"/>
        <v>133838.02600967546</v>
      </c>
      <c r="O89" s="36">
        <f t="shared" si="91"/>
        <v>113805.10680635714</v>
      </c>
      <c r="P89" s="36">
        <f t="shared" si="91"/>
        <v>110731.95050371706</v>
      </c>
      <c r="Q89" s="36">
        <f t="shared" si="91"/>
        <v>117484.27937324882</v>
      </c>
      <c r="R89" s="36">
        <f t="shared" si="91"/>
        <v>127058.03237631955</v>
      </c>
      <c r="S89" s="36">
        <f t="shared" si="91"/>
        <v>172915.50097420314</v>
      </c>
      <c r="T89" s="36">
        <f t="shared" si="91"/>
        <v>206898.56565288999</v>
      </c>
      <c r="U89" s="36">
        <f t="shared" si="91"/>
        <v>213795.72362640908</v>
      </c>
      <c r="V89" s="36">
        <f t="shared" si="91"/>
        <v>101998.93552994718</v>
      </c>
      <c r="W89" s="36">
        <f t="shared" ref="W89" si="92">IF(W7=0,0,W7*1000000/W27)</f>
        <v>146728.51210470311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19801.559138916968</v>
      </c>
      <c r="C90" s="13">
        <f t="shared" si="84"/>
        <v>20185.586042166</v>
      </c>
      <c r="D90" s="13">
        <f t="shared" ref="D90:V90" si="93">IF(D8=0,0,D8*1000000/D28)</f>
        <v>19162.674550412361</v>
      </c>
      <c r="E90" s="13">
        <f t="shared" si="93"/>
        <v>20133.571719491079</v>
      </c>
      <c r="F90" s="13">
        <f t="shared" si="93"/>
        <v>18652.179555070823</v>
      </c>
      <c r="G90" s="13">
        <f t="shared" si="93"/>
        <v>17570.238503188521</v>
      </c>
      <c r="H90" s="13">
        <f t="shared" si="93"/>
        <v>14469.352021578701</v>
      </c>
      <c r="I90" s="13">
        <f t="shared" si="93"/>
        <v>13237.155827003258</v>
      </c>
      <c r="J90" s="13">
        <f t="shared" si="93"/>
        <v>12592.713998012809</v>
      </c>
      <c r="K90" s="13">
        <f t="shared" si="93"/>
        <v>13983.065090683294</v>
      </c>
      <c r="L90" s="13">
        <f t="shared" si="93"/>
        <v>14848.573384018749</v>
      </c>
      <c r="M90" s="13">
        <f t="shared" si="93"/>
        <v>23716.676829545293</v>
      </c>
      <c r="N90" s="13">
        <f t="shared" si="93"/>
        <v>20794.122814003909</v>
      </c>
      <c r="O90" s="13">
        <f t="shared" si="93"/>
        <v>26907.984679759094</v>
      </c>
      <c r="P90" s="13">
        <f t="shared" si="93"/>
        <v>31093.295324431132</v>
      </c>
      <c r="Q90" s="13">
        <f t="shared" si="93"/>
        <v>34570.468957501485</v>
      </c>
      <c r="R90" s="13">
        <f t="shared" si="93"/>
        <v>42952.737608243027</v>
      </c>
      <c r="S90" s="13">
        <f t="shared" si="93"/>
        <v>49274.331192043355</v>
      </c>
      <c r="T90" s="13">
        <f t="shared" si="93"/>
        <v>132933.79111846158</v>
      </c>
      <c r="U90" s="13">
        <f t="shared" si="93"/>
        <v>113910.98516292415</v>
      </c>
      <c r="V90" s="13">
        <f t="shared" si="93"/>
        <v>48432.89222372177</v>
      </c>
      <c r="W90" s="13">
        <f t="shared" ref="W90" si="94">IF(W8=0,0,W8*1000000/W28)</f>
        <v>59019.465913994769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2061.3774772907118</v>
      </c>
      <c r="C91" s="34">
        <f t="shared" si="84"/>
        <v>2045.6601934497332</v>
      </c>
      <c r="D91" s="34">
        <f t="shared" ref="D91:V91" si="95">IF(D9=0,0,D9*1000000/D29)</f>
        <v>2103.6117959957924</v>
      </c>
      <c r="E91" s="34">
        <f t="shared" si="95"/>
        <v>2237.5854403540411</v>
      </c>
      <c r="F91" s="34">
        <f t="shared" si="95"/>
        <v>2107.040552045808</v>
      </c>
      <c r="G91" s="34">
        <f t="shared" si="95"/>
        <v>2111.2372749109136</v>
      </c>
      <c r="H91" s="34">
        <f t="shared" si="95"/>
        <v>2280.6270263235851</v>
      </c>
      <c r="I91" s="34">
        <f t="shared" si="95"/>
        <v>2594.6869364474924</v>
      </c>
      <c r="J91" s="34">
        <f t="shared" si="95"/>
        <v>2778.1506201921566</v>
      </c>
      <c r="K91" s="34">
        <f t="shared" si="95"/>
        <v>3060.8017613967231</v>
      </c>
      <c r="L91" s="34">
        <f t="shared" si="95"/>
        <v>3683.0037969476143</v>
      </c>
      <c r="M91" s="34">
        <f t="shared" si="95"/>
        <v>2839.0360628128592</v>
      </c>
      <c r="N91" s="34">
        <f t="shared" si="95"/>
        <v>1680.7045353020405</v>
      </c>
      <c r="O91" s="34">
        <f t="shared" si="95"/>
        <v>1925.4356868495292</v>
      </c>
      <c r="P91" s="34">
        <f t="shared" si="95"/>
        <v>2282.4339830808408</v>
      </c>
      <c r="Q91" s="34">
        <f t="shared" si="95"/>
        <v>2528.5336356340972</v>
      </c>
      <c r="R91" s="34">
        <f t="shared" si="95"/>
        <v>3220.2342550424114</v>
      </c>
      <c r="S91" s="34">
        <f t="shared" si="95"/>
        <v>3175.3031884579509</v>
      </c>
      <c r="T91" s="34">
        <f t="shared" si="95"/>
        <v>3365.9842052177401</v>
      </c>
      <c r="U91" s="34">
        <f t="shared" si="95"/>
        <v>3705.6639598227534</v>
      </c>
      <c r="V91" s="34">
        <f t="shared" si="95"/>
        <v>3326.5669268528254</v>
      </c>
      <c r="W91" s="34">
        <f t="shared" ref="W91" si="96">IF(W9=0,0,W9*1000000/W29)</f>
        <v>3389.0015951104201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32368.067408741728</v>
      </c>
      <c r="C92" s="34">
        <f t="shared" si="84"/>
        <v>33596.870048684861</v>
      </c>
      <c r="D92" s="34">
        <f t="shared" ref="D92:V92" si="97">IF(D10=0,0,D10*1000000/D30)</f>
        <v>31561.066794352733</v>
      </c>
      <c r="E92" s="34">
        <f t="shared" si="97"/>
        <v>32385.707192051868</v>
      </c>
      <c r="F92" s="34">
        <f t="shared" si="97"/>
        <v>29395.02456619724</v>
      </c>
      <c r="G92" s="34">
        <f t="shared" si="97"/>
        <v>29116.302813609778</v>
      </c>
      <c r="H92" s="34">
        <f t="shared" si="97"/>
        <v>22681.6647108978</v>
      </c>
      <c r="I92" s="34">
        <f t="shared" si="97"/>
        <v>19954.838813701183</v>
      </c>
      <c r="J92" s="34">
        <f t="shared" si="97"/>
        <v>18249.432150932229</v>
      </c>
      <c r="K92" s="34">
        <f t="shared" si="97"/>
        <v>17073.093835376643</v>
      </c>
      <c r="L92" s="34">
        <f t="shared" si="97"/>
        <v>16128.858794938489</v>
      </c>
      <c r="M92" s="34">
        <f t="shared" si="97"/>
        <v>15316.735799105147</v>
      </c>
      <c r="N92" s="34">
        <f t="shared" si="97"/>
        <v>15522.705808730538</v>
      </c>
      <c r="O92" s="34">
        <f t="shared" si="97"/>
        <v>16158.676218456641</v>
      </c>
      <c r="P92" s="34">
        <f t="shared" si="97"/>
        <v>18911.743934133119</v>
      </c>
      <c r="Q92" s="34">
        <f t="shared" si="97"/>
        <v>19003.859206112382</v>
      </c>
      <c r="R92" s="34">
        <f t="shared" si="97"/>
        <v>21519.995772268383</v>
      </c>
      <c r="S92" s="34">
        <f t="shared" si="97"/>
        <v>20222.644834922809</v>
      </c>
      <c r="T92" s="34">
        <f t="shared" si="97"/>
        <v>20764.991591201473</v>
      </c>
      <c r="U92" s="34">
        <f t="shared" si="97"/>
        <v>24009.803795332409</v>
      </c>
      <c r="V92" s="34">
        <f t="shared" si="97"/>
        <v>17197.439637169879</v>
      </c>
      <c r="W92" s="34">
        <f t="shared" ref="W92" si="98">IF(W10=0,0,W10*1000000/W30)</f>
        <v>17676.188698200243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138381.46557992455</v>
      </c>
      <c r="C93" s="35">
        <f t="shared" si="84"/>
        <v>144964.10917144045</v>
      </c>
      <c r="D93" s="35">
        <f t="shared" ref="D93:V93" si="99">IF(D11=0,0,D11*1000000/D31)</f>
        <v>136907.27632288969</v>
      </c>
      <c r="E93" s="35">
        <f t="shared" si="99"/>
        <v>124417.73055287257</v>
      </c>
      <c r="F93" s="35">
        <f t="shared" si="99"/>
        <v>120769.94494692383</v>
      </c>
      <c r="G93" s="35">
        <f t="shared" si="99"/>
        <v>106893.17506286735</v>
      </c>
      <c r="H93" s="35">
        <f t="shared" si="99"/>
        <v>91593.403597996294</v>
      </c>
      <c r="I93" s="35">
        <f t="shared" si="99"/>
        <v>92117.438494862057</v>
      </c>
      <c r="J93" s="35">
        <f t="shared" si="99"/>
        <v>93401.188628378222</v>
      </c>
      <c r="K93" s="35">
        <f t="shared" si="99"/>
        <v>101820.57282933418</v>
      </c>
      <c r="L93" s="35">
        <f t="shared" si="99"/>
        <v>109988.58745386545</v>
      </c>
      <c r="M93" s="35">
        <f t="shared" si="99"/>
        <v>146520.9060455263</v>
      </c>
      <c r="N93" s="35">
        <f t="shared" si="99"/>
        <v>180434.78289878767</v>
      </c>
      <c r="O93" s="35">
        <f t="shared" si="99"/>
        <v>198052.34920752613</v>
      </c>
      <c r="P93" s="35">
        <f t="shared" si="99"/>
        <v>244815.5576339289</v>
      </c>
      <c r="Q93" s="35">
        <f t="shared" si="99"/>
        <v>292459.95817321358</v>
      </c>
      <c r="R93" s="35">
        <f t="shared" si="99"/>
        <v>342542.49145396479</v>
      </c>
      <c r="S93" s="35">
        <f t="shared" si="99"/>
        <v>411301.37266661174</v>
      </c>
      <c r="T93" s="35">
        <f t="shared" si="99"/>
        <v>475532.22481195943</v>
      </c>
      <c r="U93" s="35">
        <f t="shared" si="99"/>
        <v>621653.22045129212</v>
      </c>
      <c r="V93" s="35">
        <f t="shared" si="99"/>
        <v>356816.88617533911</v>
      </c>
      <c r="W93" s="35">
        <f t="shared" ref="W93" si="100">IF(W11=0,0,W11*1000000/W31)</f>
        <v>354248.87737638765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1487.3628603304048</v>
      </c>
      <c r="C95" s="62">
        <f t="shared" si="101"/>
        <v>1486.9156322350716</v>
      </c>
      <c r="D95" s="62">
        <f t="shared" ref="D95:V95" si="102">IF(D23=0,0,D23/D43)</f>
        <v>1520.2282756335064</v>
      </c>
      <c r="E95" s="62">
        <f t="shared" si="102"/>
        <v>1541.6172042377279</v>
      </c>
      <c r="F95" s="62">
        <f t="shared" si="102"/>
        <v>1533.363421173842</v>
      </c>
      <c r="G95" s="62">
        <f t="shared" si="102"/>
        <v>1509.573478104079</v>
      </c>
      <c r="H95" s="62">
        <f t="shared" si="102"/>
        <v>1497.180610956754</v>
      </c>
      <c r="I95" s="62">
        <f t="shared" si="102"/>
        <v>1489.148455174254</v>
      </c>
      <c r="J95" s="62">
        <f t="shared" si="102"/>
        <v>1465.0620941105651</v>
      </c>
      <c r="K95" s="62">
        <f t="shared" si="102"/>
        <v>1480.1138982556065</v>
      </c>
      <c r="L95" s="62">
        <f t="shared" si="102"/>
        <v>1422.0882749295245</v>
      </c>
      <c r="M95" s="62">
        <f t="shared" si="102"/>
        <v>1439.4448691655803</v>
      </c>
      <c r="N95" s="62">
        <f t="shared" si="102"/>
        <v>1414.4183615480292</v>
      </c>
      <c r="O95" s="62">
        <f t="shared" si="102"/>
        <v>1382.5777658747531</v>
      </c>
      <c r="P95" s="62">
        <f t="shared" si="102"/>
        <v>1405.7768850000721</v>
      </c>
      <c r="Q95" s="62">
        <f t="shared" si="102"/>
        <v>1372.7442870648551</v>
      </c>
      <c r="R95" s="62">
        <f t="shared" si="102"/>
        <v>1358.5531995546821</v>
      </c>
      <c r="S95" s="62">
        <f t="shared" si="102"/>
        <v>1329.2199456402006</v>
      </c>
      <c r="T95" s="62">
        <f t="shared" si="102"/>
        <v>1285.8355774513943</v>
      </c>
      <c r="U95" s="62">
        <f t="shared" si="102"/>
        <v>1288.2613839523021</v>
      </c>
      <c r="V95" s="62">
        <f t="shared" si="102"/>
        <v>448.10965432295922</v>
      </c>
      <c r="W95" s="62">
        <f t="shared" ref="W95" si="103">IF(W23=0,0,W23/W43)</f>
        <v>752.83715057090296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1489.8141289380339</v>
      </c>
      <c r="C96" s="11">
        <f t="shared" si="104"/>
        <v>1489.8147071818967</v>
      </c>
      <c r="D96" s="11">
        <f t="shared" ref="D96:V96" si="105">IF(D24=0,0,D24/D44)</f>
        <v>1523.622014272587</v>
      </c>
      <c r="E96" s="11">
        <f t="shared" si="105"/>
        <v>1545.2247615988699</v>
      </c>
      <c r="F96" s="11">
        <f t="shared" si="105"/>
        <v>1536.4201785090918</v>
      </c>
      <c r="G96" s="11">
        <f t="shared" si="105"/>
        <v>1512.5167592641576</v>
      </c>
      <c r="H96" s="11">
        <f t="shared" si="105"/>
        <v>1499.8404485849776</v>
      </c>
      <c r="I96" s="11">
        <f t="shared" si="105"/>
        <v>1492.0517751303043</v>
      </c>
      <c r="J96" s="11">
        <f t="shared" si="105"/>
        <v>1467.5246132753321</v>
      </c>
      <c r="K96" s="11">
        <f t="shared" si="105"/>
        <v>1485.2688845951864</v>
      </c>
      <c r="L96" s="11">
        <f t="shared" si="105"/>
        <v>1429.057609747606</v>
      </c>
      <c r="M96" s="11">
        <f t="shared" si="105"/>
        <v>1448.7025340968416</v>
      </c>
      <c r="N96" s="11">
        <f t="shared" si="105"/>
        <v>1422.7898418519728</v>
      </c>
      <c r="O96" s="11">
        <f t="shared" si="105"/>
        <v>1389.7972230888597</v>
      </c>
      <c r="P96" s="11">
        <f t="shared" si="105"/>
        <v>1412.9946588214902</v>
      </c>
      <c r="Q96" s="11">
        <f t="shared" si="105"/>
        <v>1378.8091518408626</v>
      </c>
      <c r="R96" s="11">
        <f t="shared" si="105"/>
        <v>1363.6454330299412</v>
      </c>
      <c r="S96" s="11">
        <f t="shared" si="105"/>
        <v>1333.3842080436527</v>
      </c>
      <c r="T96" s="11">
        <f t="shared" si="105"/>
        <v>1290.9352396480394</v>
      </c>
      <c r="U96" s="11">
        <f t="shared" si="105"/>
        <v>1293.2359032184593</v>
      </c>
      <c r="V96" s="11">
        <f t="shared" si="105"/>
        <v>447.47752137191389</v>
      </c>
      <c r="W96" s="11">
        <f t="shared" ref="W96" si="106">IF(W24=0,0,W24/W44)</f>
        <v>753.89850018567222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2366</v>
      </c>
      <c r="C97" s="36">
        <f t="shared" si="104"/>
        <v>2366</v>
      </c>
      <c r="D97" s="36">
        <f t="shared" ref="D97:V97" si="107">IF(D25=0,0,D25/D45)</f>
        <v>2366</v>
      </c>
      <c r="E97" s="36">
        <f t="shared" si="107"/>
        <v>2366</v>
      </c>
      <c r="F97" s="36">
        <f t="shared" si="107"/>
        <v>2366</v>
      </c>
      <c r="G97" s="36">
        <f t="shared" si="107"/>
        <v>2358</v>
      </c>
      <c r="H97" s="36">
        <f t="shared" si="107"/>
        <v>2371</v>
      </c>
      <c r="I97" s="36">
        <f t="shared" si="107"/>
        <v>2370</v>
      </c>
      <c r="J97" s="36">
        <f t="shared" si="107"/>
        <v>2376</v>
      </c>
      <c r="K97" s="36">
        <f t="shared" si="107"/>
        <v>2386</v>
      </c>
      <c r="L97" s="36">
        <f t="shared" si="107"/>
        <v>2260.4219770892164</v>
      </c>
      <c r="M97" s="36">
        <f t="shared" si="107"/>
        <v>2403</v>
      </c>
      <c r="N97" s="36">
        <f t="shared" si="107"/>
        <v>2429</v>
      </c>
      <c r="O97" s="36">
        <f t="shared" si="107"/>
        <v>2419</v>
      </c>
      <c r="P97" s="36">
        <f t="shared" si="107"/>
        <v>2420</v>
      </c>
      <c r="Q97" s="36">
        <f t="shared" si="107"/>
        <v>2417</v>
      </c>
      <c r="R97" s="36">
        <f t="shared" si="107"/>
        <v>2403</v>
      </c>
      <c r="S97" s="36">
        <f t="shared" si="107"/>
        <v>2397</v>
      </c>
      <c r="T97" s="36">
        <f t="shared" si="107"/>
        <v>2398</v>
      </c>
      <c r="U97" s="36">
        <f t="shared" si="107"/>
        <v>2393</v>
      </c>
      <c r="V97" s="36">
        <f t="shared" si="107"/>
        <v>1509.8744240614183</v>
      </c>
      <c r="W97" s="36">
        <f t="shared" ref="W97" si="108">IF(W25=0,0,W25/W45)</f>
        <v>2064.40178364761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1432.8534922614253</v>
      </c>
      <c r="C98" s="36">
        <f t="shared" si="104"/>
        <v>1432.8729693143716</v>
      </c>
      <c r="D98" s="36">
        <f t="shared" ref="D98:V98" si="109">IF(D26=0,0,D26/D46)</f>
        <v>1432.8792536404801</v>
      </c>
      <c r="E98" s="36">
        <f t="shared" si="109"/>
        <v>1432.8857167369586</v>
      </c>
      <c r="F98" s="36">
        <f t="shared" si="109"/>
        <v>1432.8674509234772</v>
      </c>
      <c r="G98" s="36">
        <f t="shared" si="109"/>
        <v>1415.159402446166</v>
      </c>
      <c r="H98" s="36">
        <f t="shared" si="109"/>
        <v>1406.5143351116233</v>
      </c>
      <c r="I98" s="36">
        <f t="shared" si="109"/>
        <v>1406.0656113262385</v>
      </c>
      <c r="J98" s="36">
        <f t="shared" si="109"/>
        <v>1375.2210070560193</v>
      </c>
      <c r="K98" s="36">
        <f t="shared" si="109"/>
        <v>1380.5132680680911</v>
      </c>
      <c r="L98" s="36">
        <f t="shared" si="109"/>
        <v>1372.2905083496219</v>
      </c>
      <c r="M98" s="36">
        <f t="shared" si="109"/>
        <v>1380.7112772901162</v>
      </c>
      <c r="N98" s="36">
        <f t="shared" si="109"/>
        <v>1358.8081871369286</v>
      </c>
      <c r="O98" s="36">
        <f t="shared" si="109"/>
        <v>1334.2696413930087</v>
      </c>
      <c r="P98" s="36">
        <f t="shared" si="109"/>
        <v>1327.7413634087952</v>
      </c>
      <c r="Q98" s="36">
        <f t="shared" si="109"/>
        <v>1312.6963804429861</v>
      </c>
      <c r="R98" s="36">
        <f t="shared" si="109"/>
        <v>1310.1227668910801</v>
      </c>
      <c r="S98" s="36">
        <f t="shared" si="109"/>
        <v>1297.5569902384275</v>
      </c>
      <c r="T98" s="36">
        <f t="shared" si="109"/>
        <v>1290.1540666375895</v>
      </c>
      <c r="U98" s="36">
        <f t="shared" si="109"/>
        <v>1289.2858884954146</v>
      </c>
      <c r="V98" s="36">
        <f t="shared" si="109"/>
        <v>379.38520830676276</v>
      </c>
      <c r="W98" s="36">
        <f t="shared" ref="W98" si="110">IF(W26=0,0,W26/W46)</f>
        <v>695.31344575084847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991</v>
      </c>
      <c r="C99" s="36">
        <f t="shared" si="104"/>
        <v>991</v>
      </c>
      <c r="D99" s="36">
        <f t="shared" ref="D99:V99" si="111">IF(D27=0,0,D27/D47)</f>
        <v>991</v>
      </c>
      <c r="E99" s="36">
        <f t="shared" si="111"/>
        <v>991</v>
      </c>
      <c r="F99" s="36">
        <f t="shared" si="111"/>
        <v>990.99999999999989</v>
      </c>
      <c r="G99" s="36">
        <f t="shared" si="111"/>
        <v>1037</v>
      </c>
      <c r="H99" s="36">
        <f t="shared" si="111"/>
        <v>1126</v>
      </c>
      <c r="I99" s="36">
        <f t="shared" si="111"/>
        <v>1100</v>
      </c>
      <c r="J99" s="36">
        <f t="shared" si="111"/>
        <v>1066</v>
      </c>
      <c r="K99" s="36">
        <f t="shared" si="111"/>
        <v>1085</v>
      </c>
      <c r="L99" s="36">
        <f t="shared" si="111"/>
        <v>1033</v>
      </c>
      <c r="M99" s="36">
        <f t="shared" si="111"/>
        <v>1008</v>
      </c>
      <c r="N99" s="36">
        <f t="shared" si="111"/>
        <v>1012.0000000000001</v>
      </c>
      <c r="O99" s="36">
        <f t="shared" si="111"/>
        <v>963.5409218255561</v>
      </c>
      <c r="P99" s="36">
        <f t="shared" si="111"/>
        <v>1034</v>
      </c>
      <c r="Q99" s="36">
        <f t="shared" si="111"/>
        <v>1007</v>
      </c>
      <c r="R99" s="36">
        <f t="shared" si="111"/>
        <v>972</v>
      </c>
      <c r="S99" s="36">
        <f t="shared" si="111"/>
        <v>917</v>
      </c>
      <c r="T99" s="36">
        <f t="shared" si="111"/>
        <v>842</v>
      </c>
      <c r="U99" s="36">
        <f t="shared" si="111"/>
        <v>856</v>
      </c>
      <c r="V99" s="36">
        <f t="shared" si="111"/>
        <v>235.02941118315735</v>
      </c>
      <c r="W99" s="36">
        <f t="shared" ref="W99" si="112">IF(W27=0,0,W27/W47)</f>
        <v>422.55940941558816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1227.32313991465</v>
      </c>
      <c r="C100" s="13">
        <f t="shared" si="104"/>
        <v>1230.2860349636685</v>
      </c>
      <c r="D100" s="13">
        <f t="shared" ref="D100:V100" si="113">IF(D28=0,0,D28/D48)</f>
        <v>1228.8672282256405</v>
      </c>
      <c r="E100" s="13">
        <f t="shared" si="113"/>
        <v>1212.3426248015485</v>
      </c>
      <c r="F100" s="13">
        <f t="shared" si="113"/>
        <v>1219.4380978637494</v>
      </c>
      <c r="G100" s="13">
        <f t="shared" si="113"/>
        <v>1219.1577230320156</v>
      </c>
      <c r="H100" s="13">
        <f t="shared" si="113"/>
        <v>1234.1732884739738</v>
      </c>
      <c r="I100" s="13">
        <f t="shared" si="113"/>
        <v>1243.6237754065278</v>
      </c>
      <c r="J100" s="13">
        <f t="shared" si="113"/>
        <v>1248.3418761795513</v>
      </c>
      <c r="K100" s="13">
        <f t="shared" si="113"/>
        <v>1099.1601480266818</v>
      </c>
      <c r="L100" s="13">
        <f t="shared" si="113"/>
        <v>857.29601311794431</v>
      </c>
      <c r="M100" s="13">
        <f t="shared" si="113"/>
        <v>715.7462289676248</v>
      </c>
      <c r="N100" s="13">
        <f t="shared" si="113"/>
        <v>712.85875225707412</v>
      </c>
      <c r="O100" s="13">
        <f t="shared" si="113"/>
        <v>717.39849396117086</v>
      </c>
      <c r="P100" s="13">
        <f t="shared" si="113"/>
        <v>673.71063979400992</v>
      </c>
      <c r="Q100" s="13">
        <f t="shared" si="113"/>
        <v>685.1572381150645</v>
      </c>
      <c r="R100" s="13">
        <f t="shared" si="113"/>
        <v>675.27914028236444</v>
      </c>
      <c r="S100" s="13">
        <f t="shared" si="113"/>
        <v>671.28428707595879</v>
      </c>
      <c r="T100" s="13">
        <f t="shared" si="113"/>
        <v>631.22219314043252</v>
      </c>
      <c r="U100" s="13">
        <f t="shared" si="113"/>
        <v>584.48538904730242</v>
      </c>
      <c r="V100" s="13">
        <f t="shared" si="113"/>
        <v>533.71373667699368</v>
      </c>
      <c r="W100" s="13">
        <f t="shared" ref="W100" si="114">IF(W28=0,0,W28/W48)</f>
        <v>625.67466249844813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1539</v>
      </c>
      <c r="C101" s="34">
        <f t="shared" si="104"/>
        <v>1539</v>
      </c>
      <c r="D101" s="34">
        <f t="shared" ref="D101:V101" si="115">IF(D29=0,0,D29/D49)</f>
        <v>1539</v>
      </c>
      <c r="E101" s="34">
        <f t="shared" si="115"/>
        <v>1523.6100000000001</v>
      </c>
      <c r="F101" s="34">
        <f t="shared" si="115"/>
        <v>1539</v>
      </c>
      <c r="G101" s="34">
        <f t="shared" si="115"/>
        <v>1535</v>
      </c>
      <c r="H101" s="34">
        <f t="shared" si="115"/>
        <v>1516</v>
      </c>
      <c r="I101" s="34">
        <f t="shared" si="115"/>
        <v>1491</v>
      </c>
      <c r="J101" s="34">
        <f t="shared" si="115"/>
        <v>1469</v>
      </c>
      <c r="K101" s="34">
        <f t="shared" si="115"/>
        <v>1123.7116630283076</v>
      </c>
      <c r="L101" s="34">
        <f t="shared" si="115"/>
        <v>948.85170355820799</v>
      </c>
      <c r="M101" s="34">
        <f t="shared" si="115"/>
        <v>944.31937612477498</v>
      </c>
      <c r="N101" s="34">
        <f t="shared" si="115"/>
        <v>864.51049456152271</v>
      </c>
      <c r="O101" s="34">
        <f t="shared" si="115"/>
        <v>728.54198577060765</v>
      </c>
      <c r="P101" s="34">
        <f t="shared" si="115"/>
        <v>670.74206233614905</v>
      </c>
      <c r="Q101" s="34">
        <f t="shared" si="115"/>
        <v>630.32840190286993</v>
      </c>
      <c r="R101" s="34">
        <f t="shared" si="115"/>
        <v>512.07044167610411</v>
      </c>
      <c r="S101" s="34">
        <f t="shared" si="115"/>
        <v>543.01556420233453</v>
      </c>
      <c r="T101" s="34">
        <f t="shared" si="115"/>
        <v>494.82210297513916</v>
      </c>
      <c r="U101" s="34">
        <f t="shared" si="115"/>
        <v>435.94484267712966</v>
      </c>
      <c r="V101" s="34">
        <f t="shared" si="115"/>
        <v>102.33250047527224</v>
      </c>
      <c r="W101" s="34">
        <f t="shared" ref="W101" si="116">IF(W29=0,0,W29/W49)</f>
        <v>88.964613523005625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1002.9272610464702</v>
      </c>
      <c r="C102" s="34">
        <f t="shared" si="104"/>
        <v>1002.3514262720199</v>
      </c>
      <c r="D102" s="34">
        <f t="shared" ref="D102:V102" si="117">IF(D30=0,0,D30/D50)</f>
        <v>1002.4273363524084</v>
      </c>
      <c r="E102" s="34">
        <f t="shared" si="117"/>
        <v>999.01796819686558</v>
      </c>
      <c r="F102" s="34">
        <f t="shared" si="117"/>
        <v>1002.1107589035986</v>
      </c>
      <c r="G102" s="34">
        <f t="shared" si="117"/>
        <v>999.27176813000233</v>
      </c>
      <c r="H102" s="34">
        <f t="shared" si="117"/>
        <v>1031.9613752077312</v>
      </c>
      <c r="I102" s="34">
        <f t="shared" si="117"/>
        <v>1064.6368213177834</v>
      </c>
      <c r="J102" s="34">
        <f t="shared" si="117"/>
        <v>1086.4683101370729</v>
      </c>
      <c r="K102" s="34">
        <f t="shared" si="117"/>
        <v>1122.6138718519155</v>
      </c>
      <c r="L102" s="34">
        <f t="shared" si="117"/>
        <v>805.60425728877192</v>
      </c>
      <c r="M102" s="34">
        <f t="shared" si="117"/>
        <v>571.25773463706628</v>
      </c>
      <c r="N102" s="34">
        <f t="shared" si="117"/>
        <v>675.84071570986441</v>
      </c>
      <c r="O102" s="34">
        <f t="shared" si="117"/>
        <v>747.10147902367578</v>
      </c>
      <c r="P102" s="34">
        <f t="shared" si="117"/>
        <v>721.65231795857619</v>
      </c>
      <c r="Q102" s="34">
        <f t="shared" si="117"/>
        <v>770.9073683231461</v>
      </c>
      <c r="R102" s="34">
        <f t="shared" si="117"/>
        <v>816.92027825060461</v>
      </c>
      <c r="S102" s="34">
        <f t="shared" si="117"/>
        <v>799.64013244969749</v>
      </c>
      <c r="T102" s="34">
        <f t="shared" si="117"/>
        <v>959.89363868950977</v>
      </c>
      <c r="U102" s="34">
        <f t="shared" si="117"/>
        <v>1072.223375475801</v>
      </c>
      <c r="V102" s="34">
        <f t="shared" si="117"/>
        <v>1134.104810403941</v>
      </c>
      <c r="W102" s="34">
        <f t="shared" ref="W102" si="118">IF(W30=0,0,W30/W50)</f>
        <v>1113.6983372921616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742</v>
      </c>
      <c r="C103" s="35">
        <f t="shared" si="104"/>
        <v>742</v>
      </c>
      <c r="D103" s="35">
        <f t="shared" ref="D103:V103" si="119">IF(D31=0,0,D31/D51)</f>
        <v>742</v>
      </c>
      <c r="E103" s="35">
        <f t="shared" si="119"/>
        <v>742</v>
      </c>
      <c r="F103" s="35">
        <f t="shared" si="119"/>
        <v>742</v>
      </c>
      <c r="G103" s="35">
        <f t="shared" si="119"/>
        <v>766</v>
      </c>
      <c r="H103" s="35">
        <f t="shared" si="119"/>
        <v>815</v>
      </c>
      <c r="I103" s="35">
        <f t="shared" si="119"/>
        <v>806</v>
      </c>
      <c r="J103" s="35">
        <f t="shared" si="119"/>
        <v>792</v>
      </c>
      <c r="K103" s="35">
        <f t="shared" si="119"/>
        <v>633.44064386317905</v>
      </c>
      <c r="L103" s="35">
        <f t="shared" si="119"/>
        <v>753.87931034482756</v>
      </c>
      <c r="M103" s="35">
        <f t="shared" si="119"/>
        <v>700</v>
      </c>
      <c r="N103" s="35">
        <f t="shared" si="119"/>
        <v>426.43678160919535</v>
      </c>
      <c r="O103" s="35">
        <f t="shared" si="119"/>
        <v>541.6058394160583</v>
      </c>
      <c r="P103" s="35">
        <f t="shared" si="119"/>
        <v>454.57115928369456</v>
      </c>
      <c r="Q103" s="35">
        <f t="shared" si="119"/>
        <v>433.9181286549707</v>
      </c>
      <c r="R103" s="35">
        <f t="shared" si="119"/>
        <v>449.24318869828448</v>
      </c>
      <c r="S103" s="35">
        <f t="shared" si="119"/>
        <v>428</v>
      </c>
      <c r="T103" s="35">
        <f t="shared" si="119"/>
        <v>389</v>
      </c>
      <c r="U103" s="35">
        <f t="shared" si="119"/>
        <v>213.11322900084761</v>
      </c>
      <c r="V103" s="35">
        <f t="shared" si="119"/>
        <v>119.98669761319152</v>
      </c>
      <c r="W103" s="35">
        <f t="shared" ref="W103" si="120">IF(W31=0,0,W31/W51)</f>
        <v>206.80621634612035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7.7982685631568183E-2</v>
      </c>
      <c r="C107" s="43">
        <f t="shared" si="124"/>
        <v>7.6981816152413757E-2</v>
      </c>
      <c r="D107" s="43">
        <f t="shared" ref="D107:V107" si="125">IF(D5=0,0,D5/D$4)</f>
        <v>9.5243403566564147E-2</v>
      </c>
      <c r="E107" s="43">
        <f t="shared" si="125"/>
        <v>0.10800809112717109</v>
      </c>
      <c r="F107" s="43">
        <f t="shared" si="125"/>
        <v>0.10360458082049938</v>
      </c>
      <c r="G107" s="43">
        <f t="shared" si="125"/>
        <v>8.4710372928136213E-2</v>
      </c>
      <c r="H107" s="43">
        <f t="shared" si="125"/>
        <v>7.1421054007789281E-2</v>
      </c>
      <c r="I107" s="43">
        <f t="shared" si="125"/>
        <v>7.2443228910950355E-2</v>
      </c>
      <c r="J107" s="43">
        <f t="shared" si="125"/>
        <v>7.8491868019043703E-2</v>
      </c>
      <c r="K107" s="43">
        <f t="shared" si="125"/>
        <v>7.368304557283567E-2</v>
      </c>
      <c r="L107" s="43">
        <f t="shared" si="125"/>
        <v>6.0506586893073186E-2</v>
      </c>
      <c r="M107" s="43">
        <f t="shared" si="125"/>
        <v>6.236260323280559E-2</v>
      </c>
      <c r="N107" s="43">
        <f t="shared" si="125"/>
        <v>5.4392904496023541E-2</v>
      </c>
      <c r="O107" s="43">
        <f t="shared" si="125"/>
        <v>4.981889392428536E-2</v>
      </c>
      <c r="P107" s="43">
        <f t="shared" si="125"/>
        <v>4.6514253831139434E-2</v>
      </c>
      <c r="Q107" s="43">
        <f t="shared" si="125"/>
        <v>4.296123478523016E-2</v>
      </c>
      <c r="R107" s="43">
        <f t="shared" si="125"/>
        <v>3.947282323998641E-2</v>
      </c>
      <c r="S107" s="43">
        <f t="shared" si="125"/>
        <v>3.4105886135981665E-2</v>
      </c>
      <c r="T107" s="43">
        <f t="shared" si="125"/>
        <v>2.9651362828680337E-2</v>
      </c>
      <c r="U107" s="43">
        <f t="shared" si="125"/>
        <v>2.6679760293014818E-2</v>
      </c>
      <c r="V107" s="43">
        <f t="shared" si="125"/>
        <v>5.6064719650971109E-2</v>
      </c>
      <c r="W107" s="43">
        <f t="shared" ref="W107" si="126">IF(W5=0,0,W5/W$4)</f>
        <v>3.1765264651414306E-2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0.75222081270518348</v>
      </c>
      <c r="C108" s="43">
        <f t="shared" si="127"/>
        <v>0.75374669673655881</v>
      </c>
      <c r="D108" s="43">
        <f t="shared" ref="D108:V108" si="128">IF(D6=0,0,D6/D$4)</f>
        <v>0.73794912760526199</v>
      </c>
      <c r="E108" s="43">
        <f t="shared" si="128"/>
        <v>0.72536382212001727</v>
      </c>
      <c r="F108" s="43">
        <f t="shared" si="128"/>
        <v>0.72740750392426712</v>
      </c>
      <c r="G108" s="43">
        <f t="shared" si="128"/>
        <v>0.77948943527575243</v>
      </c>
      <c r="H108" s="43">
        <f t="shared" si="128"/>
        <v>0.80293921405858859</v>
      </c>
      <c r="I108" s="43">
        <f t="shared" si="128"/>
        <v>0.78694354283130141</v>
      </c>
      <c r="J108" s="43">
        <f t="shared" si="128"/>
        <v>0.74873091198788433</v>
      </c>
      <c r="K108" s="43">
        <f t="shared" si="128"/>
        <v>0.76830095799706666</v>
      </c>
      <c r="L108" s="43">
        <f t="shared" si="128"/>
        <v>0.75022129622914113</v>
      </c>
      <c r="M108" s="43">
        <f t="shared" si="128"/>
        <v>0.73049654596382185</v>
      </c>
      <c r="N108" s="43">
        <f t="shared" si="128"/>
        <v>0.74076616776782878</v>
      </c>
      <c r="O108" s="43">
        <f t="shared" si="128"/>
        <v>0.80146964961399092</v>
      </c>
      <c r="P108" s="43">
        <f t="shared" si="128"/>
        <v>0.81381276316868423</v>
      </c>
      <c r="Q108" s="43">
        <f t="shared" si="128"/>
        <v>0.79370120349506978</v>
      </c>
      <c r="R108" s="43">
        <f t="shared" si="128"/>
        <v>0.79611490075528468</v>
      </c>
      <c r="S108" s="43">
        <f t="shared" si="128"/>
        <v>0.78403631047514377</v>
      </c>
      <c r="T108" s="43">
        <f t="shared" si="128"/>
        <v>0.75008808154158757</v>
      </c>
      <c r="U108" s="43">
        <f t="shared" si="128"/>
        <v>0.75748547661267995</v>
      </c>
      <c r="V108" s="43">
        <f t="shared" si="128"/>
        <v>0.76787132854369189</v>
      </c>
      <c r="W108" s="43">
        <f t="shared" ref="W108" si="129">IF(W6=0,0,W6/W$4)</f>
        <v>0.78190176751122231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0.16979650166324833</v>
      </c>
      <c r="C109" s="43">
        <f t="shared" si="130"/>
        <v>0.16927148711102749</v>
      </c>
      <c r="D109" s="43">
        <f t="shared" ref="D109:V109" si="131">IF(D7=0,0,D7/D$4)</f>
        <v>0.16680746882817382</v>
      </c>
      <c r="E109" s="43">
        <f t="shared" si="131"/>
        <v>0.16662808675281168</v>
      </c>
      <c r="F109" s="43">
        <f t="shared" si="131"/>
        <v>0.16898791525523341</v>
      </c>
      <c r="G109" s="43">
        <f t="shared" si="131"/>
        <v>0.13580019179611141</v>
      </c>
      <c r="H109" s="43">
        <f t="shared" si="131"/>
        <v>0.12563973193362216</v>
      </c>
      <c r="I109" s="43">
        <f t="shared" si="131"/>
        <v>0.14061322825774819</v>
      </c>
      <c r="J109" s="43">
        <f t="shared" si="131"/>
        <v>0.17277721999307202</v>
      </c>
      <c r="K109" s="43">
        <f t="shared" si="131"/>
        <v>0.15801599643009775</v>
      </c>
      <c r="L109" s="43">
        <f t="shared" si="131"/>
        <v>0.18927211687778567</v>
      </c>
      <c r="M109" s="43">
        <f t="shared" si="131"/>
        <v>0.20714085080337261</v>
      </c>
      <c r="N109" s="43">
        <f t="shared" si="131"/>
        <v>0.20484092773614782</v>
      </c>
      <c r="O109" s="43">
        <f t="shared" si="131"/>
        <v>0.14871145646172365</v>
      </c>
      <c r="P109" s="43">
        <f t="shared" si="131"/>
        <v>0.13967298300017625</v>
      </c>
      <c r="Q109" s="43">
        <f t="shared" si="131"/>
        <v>0.16333756171970004</v>
      </c>
      <c r="R109" s="43">
        <f t="shared" si="131"/>
        <v>0.16441227600472896</v>
      </c>
      <c r="S109" s="43">
        <f t="shared" si="131"/>
        <v>0.18185780338887467</v>
      </c>
      <c r="T109" s="43">
        <f t="shared" si="131"/>
        <v>0.22026055562973204</v>
      </c>
      <c r="U109" s="43">
        <f t="shared" si="131"/>
        <v>0.2158347630943051</v>
      </c>
      <c r="V109" s="43">
        <f t="shared" si="131"/>
        <v>0.17606395180533696</v>
      </c>
      <c r="W109" s="43">
        <f t="shared" ref="W109" si="132">IF(W7=0,0,W7/W$4)</f>
        <v>0.18633296783736339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5.9298480096667439E-2</v>
      </c>
      <c r="C111" s="44">
        <f t="shared" si="136"/>
        <v>5.8138661450445182E-2</v>
      </c>
      <c r="D111" s="44">
        <f t="shared" ref="D111:V111" si="137">IF(D9=0,0,D9/D$8)</f>
        <v>6.2647335486578221E-2</v>
      </c>
      <c r="E111" s="44">
        <f t="shared" si="137"/>
        <v>6.2514581502728178E-2</v>
      </c>
      <c r="F111" s="44">
        <f t="shared" si="137"/>
        <v>6.3385829083613662E-2</v>
      </c>
      <c r="G111" s="44">
        <f t="shared" si="137"/>
        <v>6.6755473863367221E-2</v>
      </c>
      <c r="H111" s="44">
        <f t="shared" si="137"/>
        <v>8.6596325267259494E-2</v>
      </c>
      <c r="I111" s="44">
        <f t="shared" si="137"/>
        <v>0.10708830799891045</v>
      </c>
      <c r="J111" s="44">
        <f t="shared" si="137"/>
        <v>0.12201255055359911</v>
      </c>
      <c r="K111" s="44">
        <f t="shared" si="137"/>
        <v>8.5505265139774134E-2</v>
      </c>
      <c r="L111" s="44">
        <f t="shared" si="137"/>
        <v>0.10378140262551992</v>
      </c>
      <c r="M111" s="44">
        <f t="shared" si="137"/>
        <v>5.5158793672790543E-2</v>
      </c>
      <c r="N111" s="44">
        <f t="shared" si="137"/>
        <v>3.3746913341456838E-2</v>
      </c>
      <c r="O111" s="44">
        <f t="shared" si="137"/>
        <v>2.462152082503927E-2</v>
      </c>
      <c r="P111" s="44">
        <f t="shared" si="137"/>
        <v>2.4321260227769398E-2</v>
      </c>
      <c r="Q111" s="44">
        <f t="shared" si="137"/>
        <v>2.1942429870498714E-2</v>
      </c>
      <c r="R111" s="44">
        <f t="shared" si="137"/>
        <v>1.8113936830085338E-2</v>
      </c>
      <c r="S111" s="44">
        <f t="shared" si="137"/>
        <v>1.5996073571252479E-2</v>
      </c>
      <c r="T111" s="44">
        <f t="shared" si="137"/>
        <v>4.0346260952694238E-3</v>
      </c>
      <c r="U111" s="44">
        <f t="shared" si="137"/>
        <v>4.6473179468319451E-3</v>
      </c>
      <c r="V111" s="44">
        <f t="shared" si="137"/>
        <v>2.289468151441868E-3</v>
      </c>
      <c r="W111" s="44">
        <f t="shared" ref="W111" si="138">IF(W9=0,0,W9/W$8)</f>
        <v>1.1839538102648146E-3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0.6310883030138692</v>
      </c>
      <c r="C112" s="44">
        <f t="shared" si="139"/>
        <v>0.63947963150557519</v>
      </c>
      <c r="D112" s="44">
        <f t="shared" ref="D112:V112" si="140">IF(D10=0,0,D10/D$8)</f>
        <v>0.63810757917954575</v>
      </c>
      <c r="E112" s="44">
        <f t="shared" si="140"/>
        <v>0.62148235649692352</v>
      </c>
      <c r="F112" s="44">
        <f t="shared" si="140"/>
        <v>0.61287199217971677</v>
      </c>
      <c r="G112" s="44">
        <f t="shared" si="140"/>
        <v>0.66285503883913599</v>
      </c>
      <c r="H112" s="44">
        <f t="shared" si="140"/>
        <v>0.63817905585374246</v>
      </c>
      <c r="I112" s="44">
        <f t="shared" si="140"/>
        <v>0.62611276404527161</v>
      </c>
      <c r="J112" s="44">
        <f t="shared" si="140"/>
        <v>0.59179780161167383</v>
      </c>
      <c r="K112" s="44">
        <f t="shared" si="140"/>
        <v>0.70969674584613851</v>
      </c>
      <c r="L112" s="44">
        <f t="shared" si="140"/>
        <v>0.58628761418564634</v>
      </c>
      <c r="M112" s="44">
        <f t="shared" si="140"/>
        <v>0.27858959380383574</v>
      </c>
      <c r="N112" s="44">
        <f t="shared" si="140"/>
        <v>0.38479116519306783</v>
      </c>
      <c r="O112" s="44">
        <f t="shared" si="140"/>
        <v>0.342229567247406</v>
      </c>
      <c r="P112" s="44">
        <f t="shared" si="140"/>
        <v>0.35907305336217143</v>
      </c>
      <c r="Q112" s="44">
        <f t="shared" si="140"/>
        <v>0.3435710408910419</v>
      </c>
      <c r="R112" s="44">
        <f t="shared" si="140"/>
        <v>0.33961466711631227</v>
      </c>
      <c r="S112" s="44">
        <f t="shared" si="140"/>
        <v>0.27360621437432847</v>
      </c>
      <c r="T112" s="44">
        <f t="shared" si="140"/>
        <v>9.1835111743569203E-2</v>
      </c>
      <c r="U112" s="44">
        <f t="shared" si="140"/>
        <v>0.14793657870192475</v>
      </c>
      <c r="V112" s="44">
        <f t="shared" si="140"/>
        <v>0.3101011852389895</v>
      </c>
      <c r="W112" s="44">
        <f t="shared" ref="W112" si="141">IF(W10=0,0,W10/W$8)</f>
        <v>0.25627114667078071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0.30961321688946347</v>
      </c>
      <c r="C113" s="45">
        <f t="shared" si="142"/>
        <v>0.3023817070439796</v>
      </c>
      <c r="D113" s="45">
        <f t="shared" ref="D113:V113" si="143">IF(D11=0,0,D11/D$8)</f>
        <v>0.29924508533387606</v>
      </c>
      <c r="E113" s="45">
        <f t="shared" si="143"/>
        <v>0.31600306200034844</v>
      </c>
      <c r="F113" s="45">
        <f t="shared" si="143"/>
        <v>0.32374217873666961</v>
      </c>
      <c r="G113" s="45">
        <f t="shared" si="143"/>
        <v>0.27038948729749679</v>
      </c>
      <c r="H113" s="45">
        <f t="shared" si="143"/>
        <v>0.27522461887899791</v>
      </c>
      <c r="I113" s="45">
        <f t="shared" si="143"/>
        <v>0.26679892795581789</v>
      </c>
      <c r="J113" s="45">
        <f t="shared" si="143"/>
        <v>0.286189647834727</v>
      </c>
      <c r="K113" s="45">
        <f t="shared" si="143"/>
        <v>0.20479798901408724</v>
      </c>
      <c r="L113" s="45">
        <f t="shared" si="143"/>
        <v>0.30993098318883372</v>
      </c>
      <c r="M113" s="45">
        <f t="shared" si="143"/>
        <v>0.66625161252337362</v>
      </c>
      <c r="N113" s="45">
        <f t="shared" si="143"/>
        <v>0.58146192146547548</v>
      </c>
      <c r="O113" s="45">
        <f t="shared" si="143"/>
        <v>0.63314891192755485</v>
      </c>
      <c r="P113" s="45">
        <f t="shared" si="143"/>
        <v>0.61660568641005919</v>
      </c>
      <c r="Q113" s="45">
        <f t="shared" si="143"/>
        <v>0.63448652923845938</v>
      </c>
      <c r="R113" s="45">
        <f t="shared" si="143"/>
        <v>0.64227139605360228</v>
      </c>
      <c r="S113" s="45">
        <f t="shared" si="143"/>
        <v>0.71039771205441904</v>
      </c>
      <c r="T113" s="45">
        <f t="shared" si="143"/>
        <v>0.90413026216116132</v>
      </c>
      <c r="U113" s="45">
        <f t="shared" si="143"/>
        <v>0.84741610335124329</v>
      </c>
      <c r="V113" s="45">
        <f t="shared" si="143"/>
        <v>0.68760934660956863</v>
      </c>
      <c r="W113" s="45">
        <f t="shared" ref="W113" si="144">IF(W11=0,0,W11/W$8)</f>
        <v>0.74254489951895453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9.5997185782522532E-2</v>
      </c>
      <c r="C117" s="43">
        <f t="shared" si="148"/>
        <v>9.5998540107402983E-2</v>
      </c>
      <c r="D117" s="43">
        <f t="shared" ref="D117:V117" si="149">IF(D15=0,0,D15/D$14)</f>
        <v>0.11860480186864501</v>
      </c>
      <c r="E117" s="43">
        <f t="shared" si="149"/>
        <v>0.13337736181668136</v>
      </c>
      <c r="F117" s="43">
        <f t="shared" si="149"/>
        <v>0.12732275830844136</v>
      </c>
      <c r="G117" s="43">
        <f t="shared" si="149"/>
        <v>0.10576236405761476</v>
      </c>
      <c r="H117" s="43">
        <f t="shared" si="149"/>
        <v>8.8499972369685515E-2</v>
      </c>
      <c r="I117" s="43">
        <f t="shared" si="149"/>
        <v>8.8243371334414886E-2</v>
      </c>
      <c r="J117" s="43">
        <f t="shared" si="149"/>
        <v>9.4656570845521579E-2</v>
      </c>
      <c r="K117" s="43">
        <f t="shared" si="149"/>
        <v>9.8228839049356351E-2</v>
      </c>
      <c r="L117" s="43">
        <f t="shared" si="149"/>
        <v>8.3341366231761985E-2</v>
      </c>
      <c r="M117" s="43">
        <f t="shared" si="149"/>
        <v>8.6426552400393056E-2</v>
      </c>
      <c r="N117" s="43">
        <f t="shared" si="149"/>
        <v>7.4820927373689894E-2</v>
      </c>
      <c r="O117" s="43">
        <f t="shared" si="149"/>
        <v>6.7908456352423582E-2</v>
      </c>
      <c r="P117" s="43">
        <f t="shared" si="149"/>
        <v>7.1483351307014414E-2</v>
      </c>
      <c r="Q117" s="43">
        <f t="shared" si="149"/>
        <v>6.6930281970191408E-2</v>
      </c>
      <c r="R117" s="43">
        <f t="shared" si="149"/>
        <v>6.4830893945204721E-2</v>
      </c>
      <c r="S117" s="43">
        <f t="shared" si="149"/>
        <v>5.6520985140555265E-2</v>
      </c>
      <c r="T117" s="43">
        <f t="shared" si="149"/>
        <v>5.0553864519485403E-2</v>
      </c>
      <c r="U117" s="43">
        <f t="shared" si="149"/>
        <v>4.8753830515328986E-2</v>
      </c>
      <c r="V117" s="43">
        <f t="shared" si="149"/>
        <v>0.11158886086410076</v>
      </c>
      <c r="W117" s="43">
        <f t="shared" ref="W117" si="150">IF(W15=0,0,W15/W$14)</f>
        <v>8.0642362279334273E-2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0.72046152329029389</v>
      </c>
      <c r="C118" s="43">
        <f t="shared" si="151"/>
        <v>0.7204306531832787</v>
      </c>
      <c r="D118" s="43">
        <f t="shared" ref="D118:V118" si="152">IF(D16=0,0,D16/D$14)</f>
        <v>0.70240243618125653</v>
      </c>
      <c r="E118" s="43">
        <f t="shared" si="152"/>
        <v>0.69065178421616535</v>
      </c>
      <c r="F118" s="43">
        <f t="shared" si="152"/>
        <v>0.69549185159686688</v>
      </c>
      <c r="G118" s="43">
        <f t="shared" si="152"/>
        <v>0.75086030542060256</v>
      </c>
      <c r="H118" s="43">
        <f t="shared" si="152"/>
        <v>0.78067871870905026</v>
      </c>
      <c r="I118" s="43">
        <f t="shared" si="152"/>
        <v>0.76933193906551922</v>
      </c>
      <c r="J118" s="43">
        <f t="shared" si="152"/>
        <v>0.73452879199218224</v>
      </c>
      <c r="K118" s="43">
        <f t="shared" si="152"/>
        <v>0.73629780735559192</v>
      </c>
      <c r="L118" s="43">
        <f t="shared" si="152"/>
        <v>0.72982876952457776</v>
      </c>
      <c r="M118" s="43">
        <f t="shared" si="152"/>
        <v>0.71430514647110743</v>
      </c>
      <c r="N118" s="43">
        <f t="shared" si="152"/>
        <v>0.72232024942178863</v>
      </c>
      <c r="O118" s="43">
        <f t="shared" si="152"/>
        <v>0.76240803899055043</v>
      </c>
      <c r="P118" s="43">
        <f t="shared" si="152"/>
        <v>0.76708327904899798</v>
      </c>
      <c r="Q118" s="43">
        <f t="shared" si="152"/>
        <v>0.74221703828616314</v>
      </c>
      <c r="R118" s="43">
        <f t="shared" si="152"/>
        <v>0.74101278561293482</v>
      </c>
      <c r="S118" s="43">
        <f t="shared" si="152"/>
        <v>0.7578179716545187</v>
      </c>
      <c r="T118" s="43">
        <f t="shared" si="152"/>
        <v>0.73104073546186055</v>
      </c>
      <c r="U118" s="43">
        <f t="shared" si="152"/>
        <v>0.74457936422732307</v>
      </c>
      <c r="V118" s="43">
        <f t="shared" si="152"/>
        <v>0.71663133104301013</v>
      </c>
      <c r="W118" s="43">
        <f t="shared" ref="W118" si="153">IF(W16=0,0,W16/W$14)</f>
        <v>0.74275169208495351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0.18354129092718363</v>
      </c>
      <c r="C119" s="43">
        <f t="shared" si="154"/>
        <v>0.18357080670931841</v>
      </c>
      <c r="D119" s="43">
        <f t="shared" ref="D119:V119" si="155">IF(D17=0,0,D17/D$14)</f>
        <v>0.17899276195009839</v>
      </c>
      <c r="E119" s="43">
        <f t="shared" si="155"/>
        <v>0.17597085396715315</v>
      </c>
      <c r="F119" s="43">
        <f t="shared" si="155"/>
        <v>0.17718539009469178</v>
      </c>
      <c r="G119" s="43">
        <f t="shared" si="155"/>
        <v>0.14337733052178278</v>
      </c>
      <c r="H119" s="43">
        <f t="shared" si="155"/>
        <v>0.1308213089212642</v>
      </c>
      <c r="I119" s="43">
        <f t="shared" si="155"/>
        <v>0.14242468960006585</v>
      </c>
      <c r="J119" s="43">
        <f t="shared" si="155"/>
        <v>0.17081463716229625</v>
      </c>
      <c r="K119" s="43">
        <f t="shared" si="155"/>
        <v>0.16547335359505164</v>
      </c>
      <c r="L119" s="43">
        <f t="shared" si="155"/>
        <v>0.18682986424366035</v>
      </c>
      <c r="M119" s="43">
        <f t="shared" si="155"/>
        <v>0.19926830112849944</v>
      </c>
      <c r="N119" s="43">
        <f t="shared" si="155"/>
        <v>0.20285882320452148</v>
      </c>
      <c r="O119" s="43">
        <f t="shared" si="155"/>
        <v>0.16968350465702589</v>
      </c>
      <c r="P119" s="43">
        <f t="shared" si="155"/>
        <v>0.16143336964398766</v>
      </c>
      <c r="Q119" s="43">
        <f t="shared" si="155"/>
        <v>0.19085267974364531</v>
      </c>
      <c r="R119" s="43">
        <f t="shared" si="155"/>
        <v>0.1941563204418604</v>
      </c>
      <c r="S119" s="43">
        <f t="shared" si="155"/>
        <v>0.18566104320492613</v>
      </c>
      <c r="T119" s="43">
        <f t="shared" si="155"/>
        <v>0.21840540001865408</v>
      </c>
      <c r="U119" s="43">
        <f t="shared" si="155"/>
        <v>0.20666680525734787</v>
      </c>
      <c r="V119" s="43">
        <f t="shared" si="155"/>
        <v>0.17177980809288915</v>
      </c>
      <c r="W119" s="43">
        <f t="shared" ref="W119" si="156">IF(W17=0,0,W17/W$14)</f>
        <v>0.17660594563571233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0.17021235888590741</v>
      </c>
      <c r="C121" s="44">
        <f t="shared" si="160"/>
        <v>0.17263556929946997</v>
      </c>
      <c r="D121" s="44">
        <f t="shared" ref="D121:V121" si="161">IF(D19=0,0,D19/D$18)</f>
        <v>0.17098003561853969</v>
      </c>
      <c r="E121" s="44">
        <f t="shared" si="161"/>
        <v>0.1651179156289819</v>
      </c>
      <c r="F121" s="44">
        <f t="shared" si="161"/>
        <v>0.16454911730435007</v>
      </c>
      <c r="G121" s="44">
        <f t="shared" si="161"/>
        <v>0.16566732306792722</v>
      </c>
      <c r="H121" s="44">
        <f t="shared" si="161"/>
        <v>0.1914307393041329</v>
      </c>
      <c r="I121" s="44">
        <f t="shared" si="161"/>
        <v>0.22296995491639054</v>
      </c>
      <c r="J121" s="44">
        <f t="shared" si="161"/>
        <v>0.25526856112383406</v>
      </c>
      <c r="K121" s="44">
        <f t="shared" si="161"/>
        <v>0.177765349793432</v>
      </c>
      <c r="L121" s="44">
        <f t="shared" si="161"/>
        <v>0.21816010667273164</v>
      </c>
      <c r="M121" s="44">
        <f t="shared" si="161"/>
        <v>0.1729543075062302</v>
      </c>
      <c r="N121" s="44">
        <f t="shared" si="161"/>
        <v>0.10104748033802306</v>
      </c>
      <c r="O121" s="44">
        <f t="shared" si="161"/>
        <v>7.6461216467027859E-2</v>
      </c>
      <c r="P121" s="44">
        <f t="shared" si="161"/>
        <v>7.5949159652462711E-2</v>
      </c>
      <c r="Q121" s="44">
        <f t="shared" si="161"/>
        <v>6.8733454063371724E-2</v>
      </c>
      <c r="R121" s="44">
        <f t="shared" si="161"/>
        <v>5.4089959234523158E-2</v>
      </c>
      <c r="S121" s="44">
        <f t="shared" si="161"/>
        <v>5.5365993252975754E-2</v>
      </c>
      <c r="T121" s="44">
        <f t="shared" si="161"/>
        <v>2.0944642582799031E-2</v>
      </c>
      <c r="U121" s="44">
        <f t="shared" si="161"/>
        <v>2.0374561062592892E-2</v>
      </c>
      <c r="V121" s="44">
        <f t="shared" si="161"/>
        <v>6.0002090809593836E-3</v>
      </c>
      <c r="W121" s="44">
        <f t="shared" ref="W121" si="162">IF(W19=0,0,W19/W$18)</f>
        <v>3.173870860253592E-3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0.71393409453162304</v>
      </c>
      <c r="C122" s="44">
        <f t="shared" si="163"/>
        <v>0.71648359702920583</v>
      </c>
      <c r="D122" s="44">
        <f t="shared" ref="D122:V122" si="164">IF(D20=0,0,D20/D$18)</f>
        <v>0.71920245129613924</v>
      </c>
      <c r="E122" s="44">
        <f t="shared" si="164"/>
        <v>0.70352175620779756</v>
      </c>
      <c r="F122" s="44">
        <f t="shared" si="164"/>
        <v>0.70713529871325798</v>
      </c>
      <c r="G122" s="44">
        <f t="shared" si="164"/>
        <v>0.72772134812865008</v>
      </c>
      <c r="H122" s="44">
        <f t="shared" si="164"/>
        <v>0.71238493762785193</v>
      </c>
      <c r="I122" s="44">
        <f t="shared" si="164"/>
        <v>0.68805415966369288</v>
      </c>
      <c r="J122" s="44">
        <f t="shared" si="164"/>
        <v>0.65056446635778553</v>
      </c>
      <c r="K122" s="44">
        <f t="shared" si="164"/>
        <v>0.7623457881016138</v>
      </c>
      <c r="L122" s="44">
        <f t="shared" si="164"/>
        <v>0.68543065727740915</v>
      </c>
      <c r="M122" s="44">
        <f t="shared" si="164"/>
        <v>0.51346813105812172</v>
      </c>
      <c r="N122" s="44">
        <f t="shared" si="164"/>
        <v>0.64849405898435963</v>
      </c>
      <c r="O122" s="44">
        <f t="shared" si="164"/>
        <v>0.62132004357465143</v>
      </c>
      <c r="P122" s="44">
        <f t="shared" si="164"/>
        <v>0.62625062033941636</v>
      </c>
      <c r="Q122" s="44">
        <f t="shared" si="164"/>
        <v>0.62905186871730256</v>
      </c>
      <c r="R122" s="44">
        <f t="shared" si="164"/>
        <v>0.62040828947544946</v>
      </c>
      <c r="S122" s="44">
        <f t="shared" si="164"/>
        <v>0.58355790558237108</v>
      </c>
      <c r="T122" s="44">
        <f t="shared" si="164"/>
        <v>0.29456892045189648</v>
      </c>
      <c r="U122" s="44">
        <f t="shared" si="164"/>
        <v>0.42220317066319479</v>
      </c>
      <c r="V122" s="44">
        <f t="shared" si="164"/>
        <v>0.58772894731842429</v>
      </c>
      <c r="W122" s="44">
        <f t="shared" ref="W122" si="165">IF(W20=0,0,W20/W$18)</f>
        <v>0.54022423022685817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0.11585354658246953</v>
      </c>
      <c r="C123" s="45">
        <f t="shared" si="166"/>
        <v>0.11088083367132423</v>
      </c>
      <c r="D123" s="45">
        <f t="shared" ref="D123:V123" si="167">IF(D21=0,0,D21/D$18)</f>
        <v>0.10981751308532105</v>
      </c>
      <c r="E123" s="45">
        <f t="shared" si="167"/>
        <v>0.13136032816322057</v>
      </c>
      <c r="F123" s="45">
        <f t="shared" si="167"/>
        <v>0.12831558398239198</v>
      </c>
      <c r="G123" s="45">
        <f t="shared" si="167"/>
        <v>0.10661132880342265</v>
      </c>
      <c r="H123" s="45">
        <f t="shared" si="167"/>
        <v>9.6184323068015207E-2</v>
      </c>
      <c r="I123" s="45">
        <f t="shared" si="167"/>
        <v>8.8975885419916759E-2</v>
      </c>
      <c r="J123" s="45">
        <f t="shared" si="167"/>
        <v>9.4166972518380451E-2</v>
      </c>
      <c r="K123" s="45">
        <f t="shared" si="167"/>
        <v>5.9888862104954192E-2</v>
      </c>
      <c r="L123" s="45">
        <f t="shared" si="167"/>
        <v>9.6409236049859168E-2</v>
      </c>
      <c r="M123" s="45">
        <f t="shared" si="167"/>
        <v>0.31357756143564802</v>
      </c>
      <c r="N123" s="45">
        <f t="shared" si="167"/>
        <v>0.25045846067761729</v>
      </c>
      <c r="O123" s="45">
        <f t="shared" si="167"/>
        <v>0.30221873995832077</v>
      </c>
      <c r="P123" s="45">
        <f t="shared" si="167"/>
        <v>0.2978002200081209</v>
      </c>
      <c r="Q123" s="45">
        <f t="shared" si="167"/>
        <v>0.30221467721932577</v>
      </c>
      <c r="R123" s="45">
        <f t="shared" si="167"/>
        <v>0.32550175129002751</v>
      </c>
      <c r="S123" s="45">
        <f t="shared" si="167"/>
        <v>0.36107610116465322</v>
      </c>
      <c r="T123" s="45">
        <f t="shared" si="167"/>
        <v>0.68448643696530442</v>
      </c>
      <c r="U123" s="45">
        <f t="shared" si="167"/>
        <v>0.55742226827421226</v>
      </c>
      <c r="V123" s="45">
        <f t="shared" si="167"/>
        <v>0.40627084360061627</v>
      </c>
      <c r="W123" s="45">
        <f t="shared" ref="W123" si="168">IF(W21=0,0,W21/W$18)</f>
        <v>0.4566018989128881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75.597592433361982</v>
      </c>
      <c r="C3" s="79">
        <f t="shared" si="0"/>
        <v>75.597592433361996</v>
      </c>
      <c r="D3" s="79">
        <f t="shared" ref="D3" si="1">SUM(D4:D5)</f>
        <v>72.976784178847794</v>
      </c>
      <c r="E3" s="79">
        <f t="shared" ref="E3" si="2">SUM(E4:E5)</f>
        <v>71.930180567497871</v>
      </c>
      <c r="F3" s="79">
        <f t="shared" ref="F3" si="3">SUM(F4:F5)</f>
        <v>82.42983662940668</v>
      </c>
      <c r="G3" s="79">
        <f t="shared" ref="G3" si="4">SUM(G4:G5)</f>
        <v>98.179363714531391</v>
      </c>
      <c r="H3" s="79">
        <f t="shared" ref="H3" si="5">SUM(H4:H5)</f>
        <v>101.32923473774717</v>
      </c>
      <c r="I3" s="79">
        <f t="shared" ref="I3" si="6">SUM(I4:I5)</f>
        <v>105.5291487532244</v>
      </c>
      <c r="J3" s="79">
        <f t="shared" ref="J3" si="7">SUM(J4:J5)</f>
        <v>119.17867583834904</v>
      </c>
      <c r="K3" s="79">
        <f t="shared" ref="K3" si="8">SUM(K4:K5)</f>
        <v>102.3792777300086</v>
      </c>
      <c r="L3" s="79">
        <f t="shared" ref="L3" si="9">SUM(L4:L5)</f>
        <v>108.67901977644023</v>
      </c>
      <c r="M3" s="79">
        <f t="shared" ref="M3" si="10">SUM(M4:M5)</f>
        <v>114.97884780739463</v>
      </c>
      <c r="N3" s="79">
        <f t="shared" ref="N3" si="11">SUM(N4:N5)</f>
        <v>120.22871883061053</v>
      </c>
      <c r="O3" s="79">
        <f t="shared" ref="O3" si="12">SUM(O4:O5)</f>
        <v>130.7283748925193</v>
      </c>
      <c r="P3" s="79">
        <f t="shared" ref="P3" si="13">SUM(P4:P5)</f>
        <v>130.72837489251933</v>
      </c>
      <c r="Q3" s="79">
        <f t="shared" ref="Q3" si="14">SUM(Q4:Q5)</f>
        <v>127.471883061049</v>
      </c>
      <c r="R3" s="79">
        <f t="shared" ref="R3" si="15">SUM(R4:R5)</f>
        <v>134.92820292347375</v>
      </c>
      <c r="S3" s="79">
        <f t="shared" ref="S3" si="16">SUM(S4:S5)</f>
        <v>158.44746345657785</v>
      </c>
      <c r="T3" s="79">
        <f t="shared" ref="T3" si="17">SUM(T4:T5)</f>
        <v>194.98632846087708</v>
      </c>
      <c r="U3" s="79">
        <f t="shared" ref="U3" si="18">SUM(U4:U5)</f>
        <v>210.31582115219254</v>
      </c>
      <c r="V3" s="79">
        <f t="shared" ref="V3:W3" si="19">SUM(V4:V5)</f>
        <v>59.539036973344771</v>
      </c>
      <c r="W3" s="79">
        <f t="shared" si="19"/>
        <v>105.73912295786758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8.3997420464316406</v>
      </c>
      <c r="C4" s="96">
        <f t="shared" si="20"/>
        <v>8.3997420464316406</v>
      </c>
      <c r="D4" s="96">
        <f t="shared" ref="D4:V4" si="21">SUM(D7,D11)</f>
        <v>9.9787618228718831</v>
      </c>
      <c r="E4" s="96">
        <f t="shared" si="21"/>
        <v>11.03215821152193</v>
      </c>
      <c r="F4" s="96">
        <f t="shared" si="21"/>
        <v>12.08211521926053</v>
      </c>
      <c r="G4" s="96">
        <f t="shared" si="21"/>
        <v>12.08211521926053</v>
      </c>
      <c r="H4" s="96">
        <f t="shared" si="21"/>
        <v>13.13207222699914</v>
      </c>
      <c r="I4" s="96">
        <f t="shared" si="21"/>
        <v>13.13207222699914</v>
      </c>
      <c r="J4" s="96">
        <f t="shared" si="21"/>
        <v>13.13207222699914</v>
      </c>
      <c r="K4" s="96">
        <f t="shared" si="21"/>
        <v>12.08211521926053</v>
      </c>
      <c r="L4" s="96">
        <f t="shared" si="21"/>
        <v>9.982201203783319</v>
      </c>
      <c r="M4" s="96">
        <f t="shared" si="21"/>
        <v>11.03215821152193</v>
      </c>
      <c r="N4" s="96">
        <f t="shared" si="21"/>
        <v>9.982201203783319</v>
      </c>
      <c r="O4" s="96">
        <f t="shared" si="21"/>
        <v>9.982201203783319</v>
      </c>
      <c r="P4" s="96">
        <f t="shared" si="21"/>
        <v>9.982201203783319</v>
      </c>
      <c r="Q4" s="96">
        <f t="shared" si="21"/>
        <v>10.925623387790202</v>
      </c>
      <c r="R4" s="96">
        <f t="shared" si="21"/>
        <v>11.03215821152193</v>
      </c>
      <c r="S4" s="96">
        <f t="shared" si="21"/>
        <v>10.612209802235599</v>
      </c>
      <c r="T4" s="96">
        <f t="shared" si="21"/>
        <v>10.717196904557179</v>
      </c>
      <c r="U4" s="96">
        <f t="shared" si="21"/>
        <v>10.715649183147031</v>
      </c>
      <c r="V4" s="96">
        <f t="shared" si="21"/>
        <v>5.5707652622527943</v>
      </c>
      <c r="W4" s="96">
        <f t="shared" ref="W4" si="22">SUM(W7,W11)</f>
        <v>7.4622527944969903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67.197850386930341</v>
      </c>
      <c r="C5" s="96">
        <f t="shared" si="23"/>
        <v>67.197850386930355</v>
      </c>
      <c r="D5" s="96">
        <f t="shared" ref="D5:V5" si="24">SUM(D8:D9,D12:D13)</f>
        <v>62.998022355975912</v>
      </c>
      <c r="E5" s="96">
        <f t="shared" si="24"/>
        <v>60.898022355975939</v>
      </c>
      <c r="F5" s="96">
        <f t="shared" si="24"/>
        <v>70.34772141014615</v>
      </c>
      <c r="G5" s="96">
        <f t="shared" si="24"/>
        <v>86.097248495270861</v>
      </c>
      <c r="H5" s="96">
        <f t="shared" si="24"/>
        <v>88.197162510748029</v>
      </c>
      <c r="I5" s="96">
        <f t="shared" si="24"/>
        <v>92.397076526225263</v>
      </c>
      <c r="J5" s="96">
        <f t="shared" si="24"/>
        <v>106.04660361134989</v>
      </c>
      <c r="K5" s="96">
        <f t="shared" si="24"/>
        <v>90.297162510748066</v>
      </c>
      <c r="L5" s="96">
        <f t="shared" si="24"/>
        <v>98.696818572656909</v>
      </c>
      <c r="M5" s="96">
        <f t="shared" si="24"/>
        <v>103.9466895958727</v>
      </c>
      <c r="N5" s="96">
        <f t="shared" si="24"/>
        <v>110.24651762682721</v>
      </c>
      <c r="O5" s="96">
        <f t="shared" si="24"/>
        <v>120.74617368873599</v>
      </c>
      <c r="P5" s="96">
        <f t="shared" si="24"/>
        <v>120.74617368873601</v>
      </c>
      <c r="Q5" s="96">
        <f t="shared" si="24"/>
        <v>116.5462596732588</v>
      </c>
      <c r="R5" s="96">
        <f t="shared" si="24"/>
        <v>123.89604471195182</v>
      </c>
      <c r="S5" s="96">
        <f t="shared" si="24"/>
        <v>147.83525365434224</v>
      </c>
      <c r="T5" s="96">
        <f t="shared" si="24"/>
        <v>184.26913155631991</v>
      </c>
      <c r="U5" s="96">
        <f t="shared" si="24"/>
        <v>199.6001719690455</v>
      </c>
      <c r="V5" s="96">
        <f t="shared" si="24"/>
        <v>53.96827171109198</v>
      </c>
      <c r="W5" s="96">
        <f t="shared" ref="W5" si="25">SUM(W8:W9,W12:W13)</f>
        <v>98.276870163370589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75.132946588969403</v>
      </c>
      <c r="C6" s="21">
        <f t="shared" si="26"/>
        <v>75.042330153770308</v>
      </c>
      <c r="D6" s="21">
        <f t="shared" ref="D6:V6" si="27">SUM(D7:D9)</f>
        <v>72.417180620562746</v>
      </c>
      <c r="E6" s="21">
        <f t="shared" si="27"/>
        <v>71.40710422006768</v>
      </c>
      <c r="F6" s="21">
        <f t="shared" si="27"/>
        <v>81.894751067543154</v>
      </c>
      <c r="G6" s="21">
        <f t="shared" si="27"/>
        <v>97.547456686618403</v>
      </c>
      <c r="H6" s="21">
        <f t="shared" si="27"/>
        <v>100.67842393903553</v>
      </c>
      <c r="I6" s="21">
        <f t="shared" si="27"/>
        <v>104.75508572214365</v>
      </c>
      <c r="J6" s="21">
        <f t="shared" si="27"/>
        <v>118.36651308004038</v>
      </c>
      <c r="K6" s="21">
        <f t="shared" si="27"/>
        <v>101.59595029585351</v>
      </c>
      <c r="L6" s="21">
        <f t="shared" si="27"/>
        <v>108.10057123821797</v>
      </c>
      <c r="M6" s="21">
        <f t="shared" si="27"/>
        <v>114.43547361663033</v>
      </c>
      <c r="N6" s="21">
        <f t="shared" si="27"/>
        <v>119.70206255181652</v>
      </c>
      <c r="O6" s="21">
        <f t="shared" si="27"/>
        <v>130.15270043491054</v>
      </c>
      <c r="P6" s="21">
        <f t="shared" si="27"/>
        <v>130.24777703187203</v>
      </c>
      <c r="Q6" s="21">
        <f t="shared" si="27"/>
        <v>127.02310174362424</v>
      </c>
      <c r="R6" s="21">
        <f t="shared" si="27"/>
        <v>134.51422719271918</v>
      </c>
      <c r="S6" s="21">
        <f t="shared" si="27"/>
        <v>158.04073133711759</v>
      </c>
      <c r="T6" s="21">
        <f t="shared" si="27"/>
        <v>194.10928653165089</v>
      </c>
      <c r="U6" s="21">
        <f t="shared" si="27"/>
        <v>209.57792375560518</v>
      </c>
      <c r="V6" s="21">
        <f t="shared" si="27"/>
        <v>58.642415239356843</v>
      </c>
      <c r="W6" s="21">
        <f t="shared" ref="W6" si="28">SUM(W7:W9)</f>
        <v>104.53371736909575</v>
      </c>
      <c r="DA6" s="189" t="s">
        <v>279</v>
      </c>
    </row>
    <row r="7" spans="1:105" ht="11.45" customHeight="1" x14ac:dyDescent="0.25">
      <c r="A7" s="83" t="s">
        <v>27</v>
      </c>
      <c r="B7" s="96">
        <v>8.2610578795827241</v>
      </c>
      <c r="C7" s="96">
        <v>8.2325323251633211</v>
      </c>
      <c r="D7" s="96">
        <v>9.8111831211412728</v>
      </c>
      <c r="E7" s="96">
        <v>10.879638662050702</v>
      </c>
      <c r="F7" s="96">
        <v>11.926508935424586</v>
      </c>
      <c r="G7" s="96">
        <v>11.891910063786895</v>
      </c>
      <c r="H7" s="96">
        <v>12.887376468588378</v>
      </c>
      <c r="I7" s="96">
        <v>12.839706381915153</v>
      </c>
      <c r="J7" s="96">
        <v>12.859016610247798</v>
      </c>
      <c r="K7" s="96">
        <v>11.902268851632298</v>
      </c>
      <c r="L7" s="96">
        <v>9.8457335591586173</v>
      </c>
      <c r="M7" s="96">
        <v>10.905852629383931</v>
      </c>
      <c r="N7" s="96">
        <v>9.8839944665024895</v>
      </c>
      <c r="O7" s="96">
        <v>9.8997973556021091</v>
      </c>
      <c r="P7" s="96">
        <v>9.9181486662485963</v>
      </c>
      <c r="Q7" s="96">
        <v>10.863005869286694</v>
      </c>
      <c r="R7" s="96">
        <v>10.987847855023773</v>
      </c>
      <c r="S7" s="96">
        <v>10.570398056594213</v>
      </c>
      <c r="T7" s="96">
        <v>10.682490789695636</v>
      </c>
      <c r="U7" s="96">
        <v>10.688414279099131</v>
      </c>
      <c r="V7" s="96">
        <v>5.5656803518820341</v>
      </c>
      <c r="W7" s="96">
        <v>7.4580969753521389</v>
      </c>
      <c r="DA7" s="171" t="s">
        <v>280</v>
      </c>
    </row>
    <row r="8" spans="1:105" ht="11.45" customHeight="1" x14ac:dyDescent="0.25">
      <c r="A8" s="83" t="s">
        <v>173</v>
      </c>
      <c r="B8" s="96">
        <v>54.607713362179368</v>
      </c>
      <c r="C8" s="96">
        <v>54.55493002821072</v>
      </c>
      <c r="D8" s="96">
        <v>51.121411011921623</v>
      </c>
      <c r="E8" s="96">
        <v>49.425588031916618</v>
      </c>
      <c r="F8" s="96">
        <v>57.135865439472752</v>
      </c>
      <c r="G8" s="96">
        <v>71.263383764033421</v>
      </c>
      <c r="H8" s="96">
        <v>74.382366869342746</v>
      </c>
      <c r="I8" s="96">
        <v>78.475957115957101</v>
      </c>
      <c r="J8" s="96">
        <v>89.127686219616876</v>
      </c>
      <c r="K8" s="96">
        <v>75.585445727263306</v>
      </c>
      <c r="L8" s="96">
        <v>83.004098024469911</v>
      </c>
      <c r="M8" s="96">
        <v>87.141858553450106</v>
      </c>
      <c r="N8" s="96">
        <v>92.90933526803515</v>
      </c>
      <c r="O8" s="96">
        <v>102.99947087625397</v>
      </c>
      <c r="P8" s="96">
        <v>103.53889857975751</v>
      </c>
      <c r="Q8" s="96">
        <v>99.801967013022647</v>
      </c>
      <c r="R8" s="96">
        <v>107.44072049786853</v>
      </c>
      <c r="S8" s="96">
        <v>130.56326482550878</v>
      </c>
      <c r="T8" s="96">
        <v>162.44035975241084</v>
      </c>
      <c r="U8" s="96">
        <v>176.27353656881726</v>
      </c>
      <c r="V8" s="96">
        <v>42.068462102999653</v>
      </c>
      <c r="W8" s="96">
        <v>80.491620042536113</v>
      </c>
      <c r="DA8" s="171" t="s">
        <v>281</v>
      </c>
    </row>
    <row r="9" spans="1:105" ht="11.45" customHeight="1" x14ac:dyDescent="0.25">
      <c r="A9" s="83" t="s">
        <v>174</v>
      </c>
      <c r="B9" s="96">
        <v>12.264175347207319</v>
      </c>
      <c r="C9" s="96">
        <v>12.254867800396271</v>
      </c>
      <c r="D9" s="96">
        <v>11.484586487499856</v>
      </c>
      <c r="E9" s="96">
        <v>11.101877526100353</v>
      </c>
      <c r="F9" s="96">
        <v>12.832376692645829</v>
      </c>
      <c r="G9" s="96">
        <v>14.392162858798091</v>
      </c>
      <c r="H9" s="96">
        <v>13.408680601104411</v>
      </c>
      <c r="I9" s="96">
        <v>13.439422224271393</v>
      </c>
      <c r="J9" s="96">
        <v>16.379810250175712</v>
      </c>
      <c r="K9" s="96">
        <v>14.108235716957909</v>
      </c>
      <c r="L9" s="96">
        <v>15.250739654589438</v>
      </c>
      <c r="M9" s="96">
        <v>16.387762433796304</v>
      </c>
      <c r="N9" s="96">
        <v>16.908732817278892</v>
      </c>
      <c r="O9" s="96">
        <v>17.253432203054469</v>
      </c>
      <c r="P9" s="96">
        <v>16.790729785865924</v>
      </c>
      <c r="Q9" s="96">
        <v>16.358128861314903</v>
      </c>
      <c r="R9" s="96">
        <v>16.085658839826873</v>
      </c>
      <c r="S9" s="96">
        <v>16.907068455014613</v>
      </c>
      <c r="T9" s="96">
        <v>20.986435989544407</v>
      </c>
      <c r="U9" s="96">
        <v>22.615972907688796</v>
      </c>
      <c r="V9" s="96">
        <v>11.008272784475153</v>
      </c>
      <c r="W9" s="96">
        <v>16.584000351207504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0.46464584439257228</v>
      </c>
      <c r="C10" s="22">
        <f t="shared" si="29"/>
        <v>0.55526227959167562</v>
      </c>
      <c r="D10" s="22">
        <f t="shared" ref="D10:V10" si="30">SUM(D11:D13)</f>
        <v>0.55960355828504349</v>
      </c>
      <c r="E10" s="22">
        <f t="shared" si="30"/>
        <v>0.5230763474301976</v>
      </c>
      <c r="F10" s="22">
        <f t="shared" si="30"/>
        <v>0.53508556186351597</v>
      </c>
      <c r="G10" s="22">
        <f t="shared" si="30"/>
        <v>0.63190702791297715</v>
      </c>
      <c r="H10" s="22">
        <f t="shared" si="30"/>
        <v>0.65081079871164704</v>
      </c>
      <c r="I10" s="22">
        <f t="shared" si="30"/>
        <v>0.77406303108075292</v>
      </c>
      <c r="J10" s="22">
        <f t="shared" si="30"/>
        <v>0.81216275830865059</v>
      </c>
      <c r="K10" s="22">
        <f t="shared" si="30"/>
        <v>0.78332743415509198</v>
      </c>
      <c r="L10" s="22">
        <f t="shared" si="30"/>
        <v>0.5784485382222706</v>
      </c>
      <c r="M10" s="22">
        <f t="shared" si="30"/>
        <v>0.54337419076429438</v>
      </c>
      <c r="N10" s="22">
        <f t="shared" si="30"/>
        <v>0.52665627879400512</v>
      </c>
      <c r="O10" s="22">
        <f t="shared" si="30"/>
        <v>0.57567445760875779</v>
      </c>
      <c r="P10" s="22">
        <f t="shared" si="30"/>
        <v>0.48059786064729937</v>
      </c>
      <c r="Q10" s="22">
        <f t="shared" si="30"/>
        <v>0.4487813174247694</v>
      </c>
      <c r="R10" s="22">
        <f t="shared" si="30"/>
        <v>0.41397573075456107</v>
      </c>
      <c r="S10" s="22">
        <f t="shared" si="30"/>
        <v>0.40673211946024301</v>
      </c>
      <c r="T10" s="22">
        <f t="shared" si="30"/>
        <v>0.87704192922620949</v>
      </c>
      <c r="U10" s="22">
        <f t="shared" si="30"/>
        <v>0.73789739658736919</v>
      </c>
      <c r="V10" s="22">
        <f t="shared" si="30"/>
        <v>0.8966217339879301</v>
      </c>
      <c r="W10" s="22">
        <f t="shared" ref="W10" si="31">SUM(W11:W13)</f>
        <v>1.2054055887718254</v>
      </c>
      <c r="DA10" s="193" t="s">
        <v>283</v>
      </c>
    </row>
    <row r="11" spans="1:105" ht="11.45" customHeight="1" x14ac:dyDescent="0.25">
      <c r="A11" s="92" t="s">
        <v>27</v>
      </c>
      <c r="B11" s="97">
        <v>0.13868416684891563</v>
      </c>
      <c r="C11" s="97">
        <v>0.16720972126831948</v>
      </c>
      <c r="D11" s="97">
        <v>0.16757870173061104</v>
      </c>
      <c r="E11" s="97">
        <v>0.15251954947122817</v>
      </c>
      <c r="F11" s="97">
        <v>0.15560628383594385</v>
      </c>
      <c r="G11" s="97">
        <v>0.19020515547363534</v>
      </c>
      <c r="H11" s="97">
        <v>0.24469575841076183</v>
      </c>
      <c r="I11" s="97">
        <v>0.29236584508398739</v>
      </c>
      <c r="J11" s="97">
        <v>0.27305561675134254</v>
      </c>
      <c r="K11" s="97">
        <v>0.17984636762823097</v>
      </c>
      <c r="L11" s="97">
        <v>0.13646764462470243</v>
      </c>
      <c r="M11" s="97">
        <v>0.1263055821379982</v>
      </c>
      <c r="N11" s="97">
        <v>9.8206737280830181E-2</v>
      </c>
      <c r="O11" s="97">
        <v>8.2403848181210645E-2</v>
      </c>
      <c r="P11" s="97">
        <v>6.4052537534722606E-2</v>
      </c>
      <c r="Q11" s="97">
        <v>6.2617518503508371E-2</v>
      </c>
      <c r="R11" s="97">
        <v>4.431035649815742E-2</v>
      </c>
      <c r="S11" s="97">
        <v>4.1811745641386878E-2</v>
      </c>
      <c r="T11" s="97">
        <v>3.4706114861541619E-2</v>
      </c>
      <c r="U11" s="97">
        <v>2.7234904047899921E-2</v>
      </c>
      <c r="V11" s="97">
        <v>5.08491037075988E-3</v>
      </c>
      <c r="W11" s="97">
        <v>4.1558191448510633E-3</v>
      </c>
      <c r="DA11" s="175" t="s">
        <v>284</v>
      </c>
    </row>
    <row r="12" spans="1:105" ht="11.45" customHeight="1" x14ac:dyDescent="0.25">
      <c r="A12" s="92" t="s">
        <v>173</v>
      </c>
      <c r="B12" s="97">
        <v>0.28405269005945311</v>
      </c>
      <c r="C12" s="97">
        <v>0.34024918325028736</v>
      </c>
      <c r="D12" s="97">
        <v>0.34428946990897119</v>
      </c>
      <c r="E12" s="97">
        <v>0.31689644557748581</v>
      </c>
      <c r="F12" s="97">
        <v>0.32583572832135038</v>
      </c>
      <c r="G12" s="97">
        <v>0.37988341238587442</v>
      </c>
      <c r="H12" s="97">
        <v>0.35499663476081245</v>
      </c>
      <c r="I12" s="97">
        <v>0.43257419075316078</v>
      </c>
      <c r="J12" s="97">
        <v>0.48914540317734856</v>
      </c>
      <c r="K12" s="97">
        <v>0.57220902568293897</v>
      </c>
      <c r="L12" s="97">
        <v>0.40933874607725662</v>
      </c>
      <c r="M12" s="97">
        <v>0.30052970890535785</v>
      </c>
      <c r="N12" s="97">
        <v>0.33320788913659127</v>
      </c>
      <c r="O12" s="97">
        <v>0.34802592465946525</v>
      </c>
      <c r="P12" s="97">
        <v>0.29390524645652399</v>
      </c>
      <c r="Q12" s="97">
        <v>0.28416614197481183</v>
      </c>
      <c r="R12" s="97">
        <v>0.26798923943671282</v>
      </c>
      <c r="S12" s="97">
        <v>0.24728308145530395</v>
      </c>
      <c r="T12" s="97">
        <v>0.30952927753484599</v>
      </c>
      <c r="U12" s="97">
        <v>0.33000281172454904</v>
      </c>
      <c r="V12" s="97">
        <v>0.4571666408607899</v>
      </c>
      <c r="W12" s="97">
        <v>0.5889465383619239</v>
      </c>
      <c r="DA12" s="175" t="s">
        <v>285</v>
      </c>
    </row>
    <row r="13" spans="1:105" ht="11.45" customHeight="1" x14ac:dyDescent="0.25">
      <c r="A13" s="85" t="s">
        <v>174</v>
      </c>
      <c r="B13" s="98">
        <v>4.1908987484203575E-2</v>
      </c>
      <c r="C13" s="98">
        <v>4.7803375073068768E-2</v>
      </c>
      <c r="D13" s="98">
        <v>4.7735386645461307E-2</v>
      </c>
      <c r="E13" s="98">
        <v>5.3660352381483589E-2</v>
      </c>
      <c r="F13" s="98">
        <v>5.3643549706221712E-2</v>
      </c>
      <c r="G13" s="98">
        <v>6.181846005346734E-2</v>
      </c>
      <c r="H13" s="98">
        <v>5.1118405540072742E-2</v>
      </c>
      <c r="I13" s="98">
        <v>4.9122995243604729E-2</v>
      </c>
      <c r="J13" s="98">
        <v>4.9961738379959549E-2</v>
      </c>
      <c r="K13" s="98">
        <v>3.1272040843921961E-2</v>
      </c>
      <c r="L13" s="98">
        <v>3.2642147520311533E-2</v>
      </c>
      <c r="M13" s="98">
        <v>0.1165388997209383</v>
      </c>
      <c r="N13" s="98">
        <v>9.5241652376583649E-2</v>
      </c>
      <c r="O13" s="98">
        <v>0.14524468476808183</v>
      </c>
      <c r="P13" s="98">
        <v>0.12264007665605274</v>
      </c>
      <c r="Q13" s="98">
        <v>0.1019976569464492</v>
      </c>
      <c r="R13" s="98">
        <v>0.10167613481969087</v>
      </c>
      <c r="S13" s="98">
        <v>0.11763729236355221</v>
      </c>
      <c r="T13" s="98">
        <v>0.53280653682982193</v>
      </c>
      <c r="U13" s="98">
        <v>0.38065968081492024</v>
      </c>
      <c r="V13" s="98">
        <v>0.43437018275638034</v>
      </c>
      <c r="W13" s="98">
        <v>0.61230323126505037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435.33732093393098</v>
      </c>
      <c r="C17" s="62">
        <f>IF(C3=0,0,C3/TrAvia_act!C13*100)</f>
        <v>434.41202833636402</v>
      </c>
      <c r="D17" s="62">
        <f>IF(D3=0,0,D3/TrAvia_act!D13*100)</f>
        <v>435.55120173479719</v>
      </c>
      <c r="E17" s="62">
        <f>IF(E3=0,0,E3/TrAvia_act!E13*100)</f>
        <v>436.40424425916643</v>
      </c>
      <c r="F17" s="62">
        <f>IF(F3=0,0,F3/TrAvia_act!F13*100)</f>
        <v>435.8405352889867</v>
      </c>
      <c r="G17" s="62">
        <f>IF(G3=0,0,G3/TrAvia_act!G13*100)</f>
        <v>421.48577648879115</v>
      </c>
      <c r="H17" s="62">
        <f>IF(H3=0,0,H3/TrAvia_act!H13*100)</f>
        <v>388.4334869368011</v>
      </c>
      <c r="I17" s="62">
        <f>IF(I3=0,0,I3/TrAvia_act!I13*100)</f>
        <v>384.59688124302022</v>
      </c>
      <c r="J17" s="62">
        <f>IF(J3=0,0,J3/TrAvia_act!J13*100)</f>
        <v>426.56067364215619</v>
      </c>
      <c r="K17" s="62">
        <f>IF(K3=0,0,K3/TrAvia_act!K13*100)</f>
        <v>370.03098419763842</v>
      </c>
      <c r="L17" s="62">
        <f>IF(L3=0,0,L3/TrAvia_act!L13*100)</f>
        <v>367.37566929018271</v>
      </c>
      <c r="M17" s="62">
        <f>IF(M3=0,0,M3/TrAvia_act!M13*100)</f>
        <v>399.00354704016587</v>
      </c>
      <c r="N17" s="62">
        <f>IF(N3=0,0,N3/TrAvia_act!N13*100)</f>
        <v>398.19712872683516</v>
      </c>
      <c r="O17" s="62">
        <f>IF(O3=0,0,O3/TrAvia_act!O13*100)</f>
        <v>407.00488816713431</v>
      </c>
      <c r="P17" s="62">
        <f>IF(P3=0,0,P3/TrAvia_act!P13*100)</f>
        <v>384.65205387793134</v>
      </c>
      <c r="Q17" s="62">
        <f>IF(Q3=0,0,Q3/TrAvia_act!Q13*100)</f>
        <v>355.26380713543853</v>
      </c>
      <c r="R17" s="62">
        <f>IF(R3=0,0,R3/TrAvia_act!R13*100)</f>
        <v>330.48028084335743</v>
      </c>
      <c r="S17" s="62">
        <f>IF(S3=0,0,S3/TrAvia_act!S13*100)</f>
        <v>335.74887730788379</v>
      </c>
      <c r="T17" s="62">
        <f>IF(T3=0,0,T3/TrAvia_act!T13*100)</f>
        <v>363.52499699152986</v>
      </c>
      <c r="U17" s="62">
        <f>IF(U3=0,0,U3/TrAvia_act!U13*100)</f>
        <v>372.10862566144624</v>
      </c>
      <c r="V17" s="62">
        <f>IF(V3=0,0,V3/TrAvia_act!V13*100)</f>
        <v>399.24575626215091</v>
      </c>
      <c r="W17" s="62">
        <f>IF(W3=0,0,W3/TrAvia_act!W13*100)</f>
        <v>384.2021856375909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435.17226163802513</v>
      </c>
      <c r="C18" s="14">
        <f>IF(C6=0,0,C6/TrAvia_act!C14*100)</f>
        <v>434.20627408537882</v>
      </c>
      <c r="D18" s="14">
        <f>IF(D6=0,0,D6/TrAvia_act!D14*100)</f>
        <v>435.34985241595166</v>
      </c>
      <c r="E18" s="14">
        <f>IF(E6=0,0,E6/TrAvia_act!E14*100)</f>
        <v>436.23747050924635</v>
      </c>
      <c r="F18" s="14">
        <f>IF(F6=0,0,F6/TrAvia_act!F14*100)</f>
        <v>435.69050933891447</v>
      </c>
      <c r="G18" s="14">
        <f>IF(G6=0,0,G6/TrAvia_act!G14*100)</f>
        <v>421.4212077794466</v>
      </c>
      <c r="H18" s="14">
        <f>IF(H6=0,0,H6/TrAvia_act!H14*100)</f>
        <v>388.2933889187762</v>
      </c>
      <c r="I18" s="14">
        <f>IF(I6=0,0,I6/TrAvia_act!I14*100)</f>
        <v>384.44921535616675</v>
      </c>
      <c r="J18" s="14">
        <f>IF(J6=0,0,J6/TrAvia_act!J14*100)</f>
        <v>426.50171620492222</v>
      </c>
      <c r="K18" s="14">
        <f>IF(K6=0,0,K6/TrAvia_act!K14*100)</f>
        <v>370.04411157559872</v>
      </c>
      <c r="L18" s="14">
        <f>IF(L6=0,0,L6/TrAvia_act!L14*100)</f>
        <v>367.35705747400482</v>
      </c>
      <c r="M18" s="14">
        <f>IF(M6=0,0,M6/TrAvia_act!M14*100)</f>
        <v>398.90371767478371</v>
      </c>
      <c r="N18" s="14">
        <f>IF(N6=0,0,N6/TrAvia_act!N14*100)</f>
        <v>397.90009645898829</v>
      </c>
      <c r="O18" s="14">
        <f>IF(O6=0,0,O6/TrAvia_act!O14*100)</f>
        <v>406.82922096435357</v>
      </c>
      <c r="P18" s="14">
        <f>IF(P6=0,0,P6/TrAvia_act!P14*100)</f>
        <v>384.57082768701139</v>
      </c>
      <c r="Q18" s="14">
        <f>IF(Q6=0,0,Q6/TrAvia_act!Q14*100)</f>
        <v>355.21864424182496</v>
      </c>
      <c r="R18" s="14">
        <f>IF(R6=0,0,R6/TrAvia_act!R14*100)</f>
        <v>330.498266171431</v>
      </c>
      <c r="S18" s="14">
        <f>IF(S6=0,0,S6/TrAvia_act!S14*100)</f>
        <v>335.81016430624169</v>
      </c>
      <c r="T18" s="14">
        <f>IF(T6=0,0,T6/TrAvia_act!T14*100)</f>
        <v>363.90957492758548</v>
      </c>
      <c r="U18" s="14">
        <f>IF(U6=0,0,U6/TrAvia_act!U14*100)</f>
        <v>372.40222077719238</v>
      </c>
      <c r="V18" s="14">
        <f>IF(V6=0,0,V6/TrAvia_act!V14*100)</f>
        <v>397.93054692087367</v>
      </c>
      <c r="W18" s="14">
        <f>IF(W6=0,0,W6/TrAvia_act!W14*100)</f>
        <v>383.63983170990036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498.43433004665519</v>
      </c>
      <c r="C19" s="87">
        <f>IF(C7=0,0,C7/TrAvia_act!C15*100)</f>
        <v>496.20210195988727</v>
      </c>
      <c r="D19" s="87">
        <f>IF(D7=0,0,D7/TrAvia_act!D15*100)</f>
        <v>497.29706748929806</v>
      </c>
      <c r="E19" s="87">
        <f>IF(E7=0,0,E7/TrAvia_act!E15*100)</f>
        <v>498.32639801122934</v>
      </c>
      <c r="F19" s="87">
        <f>IF(F7=0,0,F7/TrAvia_act!F15*100)</f>
        <v>498.34411267669975</v>
      </c>
      <c r="G19" s="87">
        <f>IF(G7=0,0,G7/TrAvia_act!G15*100)</f>
        <v>485.75905272261048</v>
      </c>
      <c r="H19" s="87">
        <f>IF(H7=0,0,H7/TrAvia_act!H15*100)</f>
        <v>561.62310767514987</v>
      </c>
      <c r="I19" s="87">
        <f>IF(I7=0,0,I7/TrAvia_act!I15*100)</f>
        <v>533.99459690314495</v>
      </c>
      <c r="J19" s="87">
        <f>IF(J7=0,0,J7/TrAvia_act!J15*100)</f>
        <v>489.49574299998915</v>
      </c>
      <c r="K19" s="87">
        <f>IF(K7=0,0,K7/TrAvia_act!K15*100)</f>
        <v>441.33446664721123</v>
      </c>
      <c r="L19" s="87">
        <f>IF(L7=0,0,L7/TrAvia_act!L15*100)</f>
        <v>401.46515981065585</v>
      </c>
      <c r="M19" s="87">
        <f>IF(M7=0,0,M7/TrAvia_act!M15*100)</f>
        <v>439.86544718373972</v>
      </c>
      <c r="N19" s="87">
        <f>IF(N7=0,0,N7/TrAvia_act!N15*100)</f>
        <v>439.11858422579763</v>
      </c>
      <c r="O19" s="87">
        <f>IF(O7=0,0,O7/TrAvia_act!O15*100)</f>
        <v>455.6815050810207</v>
      </c>
      <c r="P19" s="87">
        <f>IF(P7=0,0,P7/TrAvia_act!P15*100)</f>
        <v>409.66770210882385</v>
      </c>
      <c r="Q19" s="87">
        <f>IF(Q7=0,0,Q7/TrAvia_act!Q15*100)</f>
        <v>453.87932305971395</v>
      </c>
      <c r="R19" s="87">
        <f>IF(R7=0,0,R7/TrAvia_act!R15*100)</f>
        <v>416.42001146619737</v>
      </c>
      <c r="S19" s="87">
        <f>IF(S7=0,0,S7/TrAvia_act!S15*100)</f>
        <v>397.38038464337467</v>
      </c>
      <c r="T19" s="87">
        <f>IF(T7=0,0,T7/TrAvia_act!T15*100)</f>
        <v>396.15517735318394</v>
      </c>
      <c r="U19" s="87">
        <f>IF(U7=0,0,U7/TrAvia_act!U15*100)</f>
        <v>389.55722538545137</v>
      </c>
      <c r="V19" s="87">
        <f>IF(V7=0,0,V7/TrAvia_act!V15*100)</f>
        <v>338.44869676530163</v>
      </c>
      <c r="W19" s="87">
        <f>IF(W7=0,0,W7/TrAvia_act!W15*100)</f>
        <v>339.41582091072218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439.00956539051413</v>
      </c>
      <c r="C20" s="87">
        <f>IF(C8=0,0,C8/TrAvia_act!C16*100)</f>
        <v>438.15886566008862</v>
      </c>
      <c r="D20" s="87">
        <f>IF(D8=0,0,D8/TrAvia_act!D16*100)</f>
        <v>437.53581862416888</v>
      </c>
      <c r="E20" s="87">
        <f>IF(E8=0,0,E8/TrAvia_act!E16*100)</f>
        <v>437.19405916012386</v>
      </c>
      <c r="F20" s="87">
        <f>IF(F8=0,0,F8/TrAvia_act!F16*100)</f>
        <v>437.05772071450485</v>
      </c>
      <c r="G20" s="87">
        <f>IF(G8=0,0,G8/TrAvia_act!G16*100)</f>
        <v>410.02253925549832</v>
      </c>
      <c r="H20" s="87">
        <f>IF(H8=0,0,H8/TrAvia_act!H16*100)</f>
        <v>367.46945137207291</v>
      </c>
      <c r="I20" s="87">
        <f>IF(I8=0,0,I8/TrAvia_act!I16*100)</f>
        <v>374.3576572599473</v>
      </c>
      <c r="J20" s="87">
        <f>IF(J8=0,0,J8/TrAvia_act!J16*100)</f>
        <v>437.2156886357634</v>
      </c>
      <c r="K20" s="87">
        <f>IF(K8=0,0,K8/TrAvia_act!K16*100)</f>
        <v>373.90542993393956</v>
      </c>
      <c r="L20" s="87">
        <f>IF(L8=0,0,L8/TrAvia_act!L16*100)</f>
        <v>386.49061656683273</v>
      </c>
      <c r="M20" s="87">
        <f>IF(M8=0,0,M8/TrAvia_act!M16*100)</f>
        <v>425.25600169034129</v>
      </c>
      <c r="N20" s="87">
        <f>IF(N8=0,0,N8/TrAvia_act!N16*100)</f>
        <v>427.5648292094121</v>
      </c>
      <c r="O20" s="87">
        <f>IF(O8=0,0,O8/TrAvia_act!O16*100)</f>
        <v>422.2858044307747</v>
      </c>
      <c r="P20" s="87">
        <f>IF(P8=0,0,P8/TrAvia_act!P16*100)</f>
        <v>398.53552670397374</v>
      </c>
      <c r="Q20" s="87">
        <f>IF(Q8=0,0,Q8/TrAvia_act!Q16*100)</f>
        <v>376.02889640592713</v>
      </c>
      <c r="R20" s="87">
        <f>IF(R8=0,0,R8/TrAvia_act!R16*100)</f>
        <v>356.24122471695796</v>
      </c>
      <c r="S20" s="87">
        <f>IF(S8=0,0,S8/TrAvia_act!S16*100)</f>
        <v>366.08413439409736</v>
      </c>
      <c r="T20" s="87">
        <f>IF(T8=0,0,T8/TrAvia_act!T16*100)</f>
        <v>416.5810730190982</v>
      </c>
      <c r="U20" s="87">
        <f>IF(U8=0,0,U8/TrAvia_act!U16*100)</f>
        <v>420.67126814933334</v>
      </c>
      <c r="V20" s="87">
        <f>IF(V8=0,0,V8/TrAvia_act!V16*100)</f>
        <v>398.34216024337701</v>
      </c>
      <c r="W20" s="87">
        <f>IF(W8=0,0,W8/TrAvia_act!W16*100)</f>
        <v>397.71714721649778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387.02173269594715</v>
      </c>
      <c r="C21" s="87">
        <f>IF(C9=0,0,C9/TrAvia_act!C17*100)</f>
        <v>386.27339599670358</v>
      </c>
      <c r="D21" s="87">
        <f>IF(D9=0,0,D9/TrAvia_act!D17*100)</f>
        <v>385.72401803374032</v>
      </c>
      <c r="E21" s="87">
        <f>IF(E9=0,0,E9/TrAvia_act!E17*100)</f>
        <v>385.42265200299369</v>
      </c>
      <c r="F21" s="87">
        <f>IF(F9=0,0,F9/TrAvia_act!F17*100)</f>
        <v>385.30196454246152</v>
      </c>
      <c r="G21" s="87">
        <f>IF(G9=0,0,G9/TrAvia_act!G17*100)</f>
        <v>433.65665074197398</v>
      </c>
      <c r="H21" s="87">
        <f>IF(H9=0,0,H9/TrAvia_act!H17*100)</f>
        <v>395.30394071049705</v>
      </c>
      <c r="I21" s="87">
        <f>IF(I9=0,0,I9/TrAvia_act!I17*100)</f>
        <v>346.30533249361719</v>
      </c>
      <c r="J21" s="87">
        <f>IF(J9=0,0,J9/TrAvia_act!J17*100)</f>
        <v>345.52200616934397</v>
      </c>
      <c r="K21" s="87">
        <f>IF(K9=0,0,K9/TrAvia_act!K17*100)</f>
        <v>310.54299649610374</v>
      </c>
      <c r="L21" s="87">
        <f>IF(L9=0,0,L9/TrAvia_act!L17*100)</f>
        <v>277.39907454824271</v>
      </c>
      <c r="M21" s="87">
        <f>IF(M9=0,0,M9/TrAvia_act!M17*100)</f>
        <v>286.67436143123285</v>
      </c>
      <c r="N21" s="87">
        <f>IF(N9=0,0,N9/TrAvia_act!N17*100)</f>
        <v>277.07004208044037</v>
      </c>
      <c r="O21" s="87">
        <f>IF(O9=0,0,O9/TrAvia_act!O17*100)</f>
        <v>317.82995893057404</v>
      </c>
      <c r="P21" s="87">
        <f>IF(P9=0,0,P9/TrAvia_act!P17*100)</f>
        <v>307.10174040074463</v>
      </c>
      <c r="Q21" s="87">
        <f>IF(Q9=0,0,Q9/TrAvia_act!Q17*100)</f>
        <v>239.68916459555345</v>
      </c>
      <c r="R21" s="87">
        <f>IF(R9=0,0,R9/TrAvia_act!R17*100)</f>
        <v>203.55805159360364</v>
      </c>
      <c r="S21" s="87">
        <f>IF(S9=0,0,S9/TrAvia_act!S17*100)</f>
        <v>193.49615131472601</v>
      </c>
      <c r="T21" s="87">
        <f>IF(T9=0,0,T9/TrAvia_act!T17*100)</f>
        <v>180.14511436185586</v>
      </c>
      <c r="U21" s="87">
        <f>IF(U9=0,0,U9/TrAvia_act!U17*100)</f>
        <v>194.45149112047403</v>
      </c>
      <c r="V21" s="87">
        <f>IF(V9=0,0,V9/TrAvia_act!V17*100)</f>
        <v>434.85302906929428</v>
      </c>
      <c r="W21" s="87">
        <f>IF(W9=0,0,W9/TrAvia_act!W17*100)</f>
        <v>344.62856746606883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463.78199987141022</v>
      </c>
      <c r="C22" s="15">
        <f>IF(C10=0,0,C10/TrAvia_act!C18*100)</f>
        <v>464.13594719736852</v>
      </c>
      <c r="D22" s="15">
        <f>IF(D10=0,0,D10/TrAvia_act!D18*100)</f>
        <v>463.27900932725237</v>
      </c>
      <c r="E22" s="15">
        <f>IF(E10=0,0,E10/TrAvia_act!E18*100)</f>
        <v>460.43394723656081</v>
      </c>
      <c r="F22" s="15">
        <f>IF(F10=0,0,F10/TrAvia_act!F18*100)</f>
        <v>460.08774601695973</v>
      </c>
      <c r="G22" s="15">
        <f>IF(G10=0,0,G10/TrAvia_act!G18*100)</f>
        <v>431.69627110166135</v>
      </c>
      <c r="H22" s="15">
        <f>IF(H10=0,0,H10/TrAvia_act!H18*100)</f>
        <v>411.3956808790382</v>
      </c>
      <c r="I22" s="15">
        <f>IF(I10=0,0,I10/TrAvia_act!I18*100)</f>
        <v>405.68454420426229</v>
      </c>
      <c r="J22" s="15">
        <f>IF(J10=0,0,J10/TrAvia_act!J18*100)</f>
        <v>435.3311532803005</v>
      </c>
      <c r="K22" s="15">
        <f>IF(K10=0,0,K10/TrAvia_act!K18*100)</f>
        <v>368.33624836483591</v>
      </c>
      <c r="L22" s="15">
        <f>IF(L10=0,0,L10/TrAvia_act!L18*100)</f>
        <v>370.88727348495587</v>
      </c>
      <c r="M22" s="15">
        <f>IF(M10=0,0,M10/TrAvia_act!M18*100)</f>
        <v>421.2030579815206</v>
      </c>
      <c r="N22" s="15">
        <f>IF(N10=0,0,N10/TrAvia_act!N18*100)</f>
        <v>479.5646569012672</v>
      </c>
      <c r="O22" s="15">
        <f>IF(O10=0,0,O10/TrAvia_act!O18*100)</f>
        <v>451.03671061831056</v>
      </c>
      <c r="P22" s="15">
        <f>IF(P10=0,0,P10/TrAvia_act!P18*100)</f>
        <v>408.0068278275852</v>
      </c>
      <c r="Q22" s="15">
        <f>IF(Q10=0,0,Q10/TrAvia_act!Q18*100)</f>
        <v>368.52558014362671</v>
      </c>
      <c r="R22" s="15">
        <f>IF(R10=0,0,R10/TrAvia_act!R18*100)</f>
        <v>324.73811432240154</v>
      </c>
      <c r="S22" s="15">
        <f>IF(S10=0,0,S10/TrAvia_act!S18*100)</f>
        <v>313.51604238194324</v>
      </c>
      <c r="T22" s="15">
        <f>IF(T10=0,0,T10/TrAvia_act!T18*100)</f>
        <v>294.61635505647922</v>
      </c>
      <c r="U22" s="15">
        <f>IF(U10=0,0,U10/TrAvia_act!U18*100)</f>
        <v>304.03105287558498</v>
      </c>
      <c r="V22" s="15">
        <f>IF(V10=0,0,V10/TrAvia_act!V18*100)</f>
        <v>509.35079085420557</v>
      </c>
      <c r="W22" s="15">
        <f>IF(W10=0,0,W10/TrAvia_act!W18*100)</f>
        <v>440.1539577802622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813.2566496554316</v>
      </c>
      <c r="C23" s="101">
        <f>IF(C11=0,0,C11/TrAvia_act!C19*100)</f>
        <v>809.61449616463619</v>
      </c>
      <c r="D23" s="101">
        <f>IF(D11=0,0,D11/TrAvia_act!D19*100)</f>
        <v>811.4010665195583</v>
      </c>
      <c r="E23" s="101">
        <f>IF(E11=0,0,E11/TrAvia_act!E19*100)</f>
        <v>813.08054532186236</v>
      </c>
      <c r="F23" s="101">
        <f>IF(F11=0,0,F11/TrAvia_act!F19*100)</f>
        <v>813.10944896798321</v>
      </c>
      <c r="G23" s="101">
        <f>IF(G11=0,0,G11/TrAvia_act!G19*100)</f>
        <v>784.35115659231064</v>
      </c>
      <c r="H23" s="101">
        <f>IF(H11=0,0,H11/TrAvia_act!H19*100)</f>
        <v>808.01559354870778</v>
      </c>
      <c r="I23" s="101">
        <f>IF(I11=0,0,I11/TrAvia_act!I19*100)</f>
        <v>687.21467635419413</v>
      </c>
      <c r="J23" s="101">
        <f>IF(J11=0,0,J11/TrAvia_act!J19*100)</f>
        <v>573.36405154816305</v>
      </c>
      <c r="K23" s="101">
        <f>IF(K11=0,0,K11/TrAvia_act!K19*100)</f>
        <v>475.72467974734502</v>
      </c>
      <c r="L23" s="101">
        <f>IF(L11=0,0,L11/TrAvia_act!L19*100)</f>
        <v>401.08051322469487</v>
      </c>
      <c r="M23" s="101">
        <f>IF(M11=0,0,M11/TrAvia_act!M19*100)</f>
        <v>566.08763820127081</v>
      </c>
      <c r="N23" s="101">
        <f>IF(N11=0,0,N11/TrAvia_act!N19*100)</f>
        <v>884.984565926198</v>
      </c>
      <c r="O23" s="101">
        <f>IF(O11=0,0,O11/TrAvia_act!O19*100)</f>
        <v>844.3863827812969</v>
      </c>
      <c r="P23" s="101">
        <f>IF(P11=0,0,P11/TrAvia_act!P19*100)</f>
        <v>715.97682372344457</v>
      </c>
      <c r="Q23" s="101">
        <f>IF(Q11=0,0,Q11/TrAvia_act!Q19*100)</f>
        <v>748.10154752802805</v>
      </c>
      <c r="R23" s="101">
        <f>IF(R11=0,0,R11/TrAvia_act!R19*100)</f>
        <v>642.60925059779242</v>
      </c>
      <c r="S23" s="101">
        <f>IF(S11=0,0,S11/TrAvia_act!S19*100)</f>
        <v>582.11193371174829</v>
      </c>
      <c r="T23" s="101">
        <f>IF(T11=0,0,T11/TrAvia_act!T19*100)</f>
        <v>556.63375880579974</v>
      </c>
      <c r="U23" s="101">
        <f>IF(U11=0,0,U11/TrAvia_act!U19*100)</f>
        <v>550.75640137310256</v>
      </c>
      <c r="V23" s="101">
        <f>IF(V11=0,0,V11/TrAvia_act!V19*100)</f>
        <v>481.42056833069802</v>
      </c>
      <c r="W23" s="101">
        <f>IF(W11=0,0,W11/TrAvia_act!W19*100)</f>
        <v>478.12207761301153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397.1299266599695</v>
      </c>
      <c r="C24" s="101">
        <f>IF(C12=0,0,C12/TrAvia_act!C20*100)</f>
        <v>396.95188912444701</v>
      </c>
      <c r="D24" s="101">
        <f>IF(D12=0,0,D12/TrAvia_act!D20*100)</f>
        <v>396.30973175000827</v>
      </c>
      <c r="E24" s="101">
        <f>IF(E12=0,0,E12/TrAvia_act!E20*100)</f>
        <v>396.49899357367099</v>
      </c>
      <c r="F24" s="101">
        <f>IF(F12=0,0,F12/TrAvia_act!F20*100)</f>
        <v>396.19922390216004</v>
      </c>
      <c r="G24" s="101">
        <f>IF(G12=0,0,G12/TrAvia_act!G20*100)</f>
        <v>356.62380296940142</v>
      </c>
      <c r="H24" s="101">
        <f>IF(H12=0,0,H12/TrAvia_act!H20*100)</f>
        <v>315.00285150961133</v>
      </c>
      <c r="I24" s="101">
        <f>IF(I12=0,0,I12/TrAvia_act!I20*100)</f>
        <v>329.49597611545516</v>
      </c>
      <c r="J24" s="101">
        <f>IF(J12=0,0,J12/TrAvia_act!J20*100)</f>
        <v>403.01788011022006</v>
      </c>
      <c r="K24" s="101">
        <f>IF(K12=0,0,K12/TrAvia_act!K20*100)</f>
        <v>352.94238982975412</v>
      </c>
      <c r="L24" s="101">
        <f>IF(L12=0,0,L12/TrAvia_act!L20*100)</f>
        <v>382.90984535356029</v>
      </c>
      <c r="M24" s="101">
        <f>IF(M12=0,0,M12/TrAvia_act!M20*100)</f>
        <v>453.69754160564594</v>
      </c>
      <c r="N24" s="101">
        <f>IF(N12=0,0,N12/TrAvia_act!N20*100)</f>
        <v>467.87428477084154</v>
      </c>
      <c r="O24" s="101">
        <f>IF(O12=0,0,O12/TrAvia_act!O20*100)</f>
        <v>438.86521832508703</v>
      </c>
      <c r="P24" s="101">
        <f>IF(P12=0,0,P12/TrAvia_act!P20*100)</f>
        <v>398.42333576919066</v>
      </c>
      <c r="Q24" s="101">
        <f>IF(Q12=0,0,Q12/TrAvia_act!Q20*100)</f>
        <v>370.95287694508573</v>
      </c>
      <c r="R24" s="101">
        <f>IF(R12=0,0,R12/TrAvia_act!R20*100)</f>
        <v>338.8427106373577</v>
      </c>
      <c r="S24" s="101">
        <f>IF(S12=0,0,S12/TrAvia_act!S20*100)</f>
        <v>326.63426784233047</v>
      </c>
      <c r="T24" s="101">
        <f>IF(T12=0,0,T12/TrAvia_act!T20*100)</f>
        <v>352.98098175028429</v>
      </c>
      <c r="U24" s="101">
        <f>IF(U12=0,0,U12/TrAvia_act!U20*100)</f>
        <v>322.04615263013693</v>
      </c>
      <c r="V24" s="101">
        <f>IF(V12=0,0,V12/TrAvia_act!V20*100)</f>
        <v>441.88084328513105</v>
      </c>
      <c r="W24" s="101">
        <f>IF(W12=0,0,W12/TrAvia_act!W20*100)</f>
        <v>398.08262708080559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361.06855410539265</v>
      </c>
      <c r="C25" s="88">
        <f>IF(C13=0,0,C13/TrAvia_act!C21*100)</f>
        <v>360.37039990072384</v>
      </c>
      <c r="D25" s="88">
        <f>IF(D13=0,0,D13/TrAvia_act!D21*100)</f>
        <v>359.85786251590378</v>
      </c>
      <c r="E25" s="88">
        <f>IF(E13=0,0,E13/TrAvia_act!E21*100)</f>
        <v>359.57670570277037</v>
      </c>
      <c r="F25" s="88">
        <f>IF(F13=0,0,F13/TrAvia_act!F21*100)</f>
        <v>359.46411138779632</v>
      </c>
      <c r="G25" s="88">
        <f>IF(G13=0,0,G13/TrAvia_act!G21*100)</f>
        <v>396.13201004175028</v>
      </c>
      <c r="H25" s="88">
        <f>IF(H13=0,0,H13/TrAvia_act!H21*100)</f>
        <v>335.95258229993982</v>
      </c>
      <c r="I25" s="88">
        <f>IF(I13=0,0,I13/TrAvia_act!I21*100)</f>
        <v>289.35077992755845</v>
      </c>
      <c r="J25" s="88">
        <f>IF(J13=0,0,J13/TrAvia_act!J21*100)</f>
        <v>284.39084339990472</v>
      </c>
      <c r="K25" s="88">
        <f>IF(K13=0,0,K13/TrAvia_act!K21*100)</f>
        <v>245.53380074545396</v>
      </c>
      <c r="L25" s="88">
        <f>IF(L13=0,0,L13/TrAvia_act!L21*100)</f>
        <v>217.08873355242363</v>
      </c>
      <c r="M25" s="88">
        <f>IF(M13=0,0,M13/TrAvia_act!M21*100)</f>
        <v>288.08353939956788</v>
      </c>
      <c r="N25" s="88">
        <f>IF(N13=0,0,N13/TrAvia_act!N21*100)</f>
        <v>346.26701017127613</v>
      </c>
      <c r="O25" s="88">
        <f>IF(O13=0,0,O13/TrAvia_act!O21*100)</f>
        <v>376.54231522906593</v>
      </c>
      <c r="P25" s="88">
        <f>IF(P13=0,0,P13/TrAvia_act!P21*100)</f>
        <v>349.6173661293995</v>
      </c>
      <c r="Q25" s="88">
        <f>IF(Q13=0,0,Q13/TrAvia_act!Q21*100)</f>
        <v>277.14529656255189</v>
      </c>
      <c r="R25" s="88">
        <f>IF(R13=0,0,R13/TrAvia_act!R21*100)</f>
        <v>245.03272049994447</v>
      </c>
      <c r="S25" s="88">
        <f>IF(S13=0,0,S13/TrAvia_act!S21*100)</f>
        <v>251.12940862494543</v>
      </c>
      <c r="T25" s="88">
        <f>IF(T13=0,0,T13/TrAvia_act!T21*100)</f>
        <v>261.48163576192559</v>
      </c>
      <c r="U25" s="88">
        <f>IF(U13=0,0,U13/TrAvia_act!U21*100)</f>
        <v>281.36788774235566</v>
      </c>
      <c r="V25" s="88">
        <f>IF(V13=0,0,V13/TrAvia_act!V21*100)</f>
        <v>607.36823183593356</v>
      </c>
      <c r="W25" s="88">
        <f>IF(W13=0,0,W13/TrAvia_act!W21*100)</f>
        <v>489.66633691491614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44.025509698461391</v>
      </c>
      <c r="C28" s="14">
        <f>IF(C6=0,0,C6/TrAvia_act!C4*1000)</f>
        <v>43.635770478984902</v>
      </c>
      <c r="D28" s="14">
        <f>IF(D6=0,0,D6/TrAvia_act!D4*1000)</f>
        <v>43.936916994057228</v>
      </c>
      <c r="E28" s="14">
        <f>IF(E6=0,0,E6/TrAvia_act!E4*1000)</f>
        <v>44.3932846226649</v>
      </c>
      <c r="F28" s="14">
        <f>IF(F6=0,0,F6/TrAvia_act!F4*1000)</f>
        <v>44.548351808443897</v>
      </c>
      <c r="G28" s="14">
        <f>IF(G6=0,0,G6/TrAvia_act!G4*1000)</f>
        <v>42.617917883864394</v>
      </c>
      <c r="H28" s="14">
        <f>IF(H6=0,0,H6/TrAvia_act!H4*1000)</f>
        <v>39.736430221821671</v>
      </c>
      <c r="I28" s="14">
        <f>IF(I6=0,0,I6/TrAvia_act!I4*1000)</f>
        <v>40.248242922957843</v>
      </c>
      <c r="J28" s="14">
        <f>IF(J6=0,0,J6/TrAvia_act!J4*1000)</f>
        <v>45.22473716918271</v>
      </c>
      <c r="K28" s="14">
        <f>IF(K6=0,0,K6/TrAvia_act!K4*1000)</f>
        <v>39.89846366154088</v>
      </c>
      <c r="L28" s="14">
        <f>IF(L6=0,0,L6/TrAvia_act!L4*1000)</f>
        <v>37.883362276643261</v>
      </c>
      <c r="M28" s="14">
        <f>IF(M6=0,0,M6/TrAvia_act!M4*1000)</f>
        <v>37.861797403572972</v>
      </c>
      <c r="N28" s="14">
        <f>IF(N6=0,0,N6/TrAvia_act!N4*1000)</f>
        <v>35.929720041695319</v>
      </c>
      <c r="O28" s="14">
        <f>IF(O6=0,0,O6/TrAvia_act!O4*1000)</f>
        <v>36.916255871900432</v>
      </c>
      <c r="P28" s="14">
        <f>IF(P6=0,0,P6/TrAvia_act!P4*1000)</f>
        <v>34.623706816873479</v>
      </c>
      <c r="Q28" s="14">
        <f>IF(Q6=0,0,Q6/TrAvia_act!Q4*1000)</f>
        <v>31.239929049691835</v>
      </c>
      <c r="R28" s="14">
        <f>IF(R6=0,0,R6/TrAvia_act!R4*1000)</f>
        <v>28.297926207216204</v>
      </c>
      <c r="S28" s="14">
        <f>IF(S6=0,0,S6/TrAvia_act!S4*1000)</f>
        <v>26.952130208254186</v>
      </c>
      <c r="T28" s="14">
        <f>IF(T6=0,0,T6/TrAvia_act!T4*1000)</f>
        <v>28.901442678948907</v>
      </c>
      <c r="U28" s="14">
        <f>IF(U6=0,0,U6/TrAvia_act!U4*1000)</f>
        <v>28.868431804070525</v>
      </c>
      <c r="V28" s="14">
        <f>IF(V6=0,0,V6/TrAvia_act!V4*1000)</f>
        <v>51.331002272756194</v>
      </c>
      <c r="W28" s="14">
        <f>IF(W6=0,0,W6/TrAvia_act!W4*1000)</f>
        <v>38.223178553265477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62.074245349628391</v>
      </c>
      <c r="C29" s="87">
        <f>IF(C7=0,0,C7/TrAvia_act!C5*1000)</f>
        <v>62.184425973978549</v>
      </c>
      <c r="D29" s="87">
        <f>IF(D7=0,0,D7/TrAvia_act!D5*1000)</f>
        <v>62.499197647873146</v>
      </c>
      <c r="E29" s="87">
        <f>IF(E7=0,0,E7/TrAvia_act!E5*1000)</f>
        <v>62.623024498490359</v>
      </c>
      <c r="F29" s="87">
        <f>IF(F7=0,0,F7/TrAvia_act!F5*1000)</f>
        <v>62.619551615474109</v>
      </c>
      <c r="G29" s="87">
        <f>IF(G7=0,0,G7/TrAvia_act!G5*1000)</f>
        <v>61.33258931354198</v>
      </c>
      <c r="H29" s="87">
        <f>IF(H7=0,0,H7/TrAvia_act!H5*1000)</f>
        <v>71.218152142206335</v>
      </c>
      <c r="I29" s="87">
        <f>IF(I7=0,0,I7/TrAvia_act!I5*1000)</f>
        <v>68.097176013875398</v>
      </c>
      <c r="J29" s="87">
        <f>IF(J7=0,0,J7/TrAvia_act!J5*1000)</f>
        <v>62.593651835812807</v>
      </c>
      <c r="K29" s="87">
        <f>IF(K7=0,0,K7/TrAvia_act!K5*1000)</f>
        <v>63.436901700686718</v>
      </c>
      <c r="L29" s="87">
        <f>IF(L7=0,0,L7/TrAvia_act!L5*1000)</f>
        <v>57.025086349913764</v>
      </c>
      <c r="M29" s="87">
        <f>IF(M7=0,0,M7/TrAvia_act!M5*1000)</f>
        <v>57.859668995901281</v>
      </c>
      <c r="N29" s="87">
        <f>IF(N7=0,0,N7/TrAvia_act!N5*1000)</f>
        <v>54.543429716682809</v>
      </c>
      <c r="O29" s="87">
        <f>IF(O7=0,0,O7/TrAvia_act!O5*1000)</f>
        <v>56.363335726671913</v>
      </c>
      <c r="P29" s="87">
        <f>IF(P7=0,0,P7/TrAvia_act!P5*1000)</f>
        <v>56.682343428394731</v>
      </c>
      <c r="Q29" s="87">
        <f>IF(Q7=0,0,Q7/TrAvia_act!Q5*1000)</f>
        <v>62.187140045987924</v>
      </c>
      <c r="R29" s="87">
        <f>IF(R7=0,0,R7/TrAvia_act!R5*1000)</f>
        <v>58.559968750172246</v>
      </c>
      <c r="S29" s="87">
        <f>IF(S7=0,0,S7/TrAvia_act!S5*1000)</f>
        <v>52.854999091225402</v>
      </c>
      <c r="T29" s="87">
        <f>IF(T7=0,0,T7/TrAvia_act!T5*1000)</f>
        <v>53.641520132670585</v>
      </c>
      <c r="U29" s="87">
        <f>IF(U7=0,0,U7/TrAvia_act!U5*1000)</f>
        <v>55.183471072624592</v>
      </c>
      <c r="V29" s="87">
        <f>IF(V7=0,0,V7/TrAvia_act!V5*1000)</f>
        <v>86.89534281813151</v>
      </c>
      <c r="W29" s="87">
        <f>IF(W7=0,0,W7/TrAvia_act!W5*1000)</f>
        <v>85.85111746080743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42.538543621140406</v>
      </c>
      <c r="C30" s="87">
        <f>IF(C8=0,0,C8/TrAvia_act!C6*1000)</f>
        <v>42.086704337709314</v>
      </c>
      <c r="D30" s="87">
        <f>IF(D8=0,0,D8/TrAvia_act!D6*1000)</f>
        <v>42.030482508786633</v>
      </c>
      <c r="E30" s="87">
        <f>IF(E8=0,0,E8/TrAvia_act!E6*1000)</f>
        <v>42.361546997756101</v>
      </c>
      <c r="F30" s="87">
        <f>IF(F8=0,0,F8/TrAvia_act!F6*1000)</f>
        <v>42.727413802569522</v>
      </c>
      <c r="G30" s="87">
        <f>IF(G8=0,0,G8/TrAvia_act!G6*1000)</f>
        <v>39.942246177674818</v>
      </c>
      <c r="H30" s="87">
        <f>IF(H8=0,0,H8/TrAvia_act!H6*1000)</f>
        <v>36.562826853299207</v>
      </c>
      <c r="I30" s="87">
        <f>IF(I8=0,0,I8/TrAvia_act!I6*1000)</f>
        <v>38.314649233793702</v>
      </c>
      <c r="J30" s="87">
        <f>IF(J8=0,0,J8/TrAvia_act!J6*1000)</f>
        <v>45.481425286656069</v>
      </c>
      <c r="K30" s="87">
        <f>IF(K8=0,0,K8/TrAvia_act!K6*1000)</f>
        <v>38.635503804049705</v>
      </c>
      <c r="L30" s="87">
        <f>IF(L8=0,0,L8/TrAvia_act!L6*1000)</f>
        <v>38.773113343575417</v>
      </c>
      <c r="M30" s="87">
        <f>IF(M8=0,0,M8/TrAvia_act!M6*1000)</f>
        <v>39.468371500784379</v>
      </c>
      <c r="N30" s="87">
        <f>IF(N8=0,0,N8/TrAvia_act!N6*1000)</f>
        <v>37.647003414769898</v>
      </c>
      <c r="O30" s="87">
        <f>IF(O8=0,0,O8/TrAvia_act!O6*1000)</f>
        <v>36.451245881576824</v>
      </c>
      <c r="P30" s="87">
        <f>IF(P8=0,0,P8/TrAvia_act!P6*1000)</f>
        <v>33.82067615104588</v>
      </c>
      <c r="Q30" s="87">
        <f>IF(Q8=0,0,Q8/TrAvia_act!Q6*1000)</f>
        <v>30.924977158607412</v>
      </c>
      <c r="R30" s="87">
        <f>IF(R8=0,0,R8/TrAvia_act!R6*1000)</f>
        <v>28.390925383257919</v>
      </c>
      <c r="S30" s="87">
        <f>IF(S8=0,0,S8/TrAvia_act!S6*1000)</f>
        <v>28.399382065712903</v>
      </c>
      <c r="T30" s="87">
        <f>IF(T8=0,0,T8/TrAvia_act!T6*1000)</f>
        <v>32.244443546224453</v>
      </c>
      <c r="U30" s="87">
        <f>IF(U8=0,0,U8/TrAvia_act!U6*1000)</f>
        <v>32.054607726000214</v>
      </c>
      <c r="V30" s="87">
        <f>IF(V8=0,0,V8/TrAvia_act!V6*1000)</f>
        <v>47.955241168886772</v>
      </c>
      <c r="W30" s="87">
        <f>IF(W8=0,0,W8/TrAvia_act!W6*1000)</f>
        <v>37.641669565212126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42.323695795617304</v>
      </c>
      <c r="C31" s="87">
        <f>IF(C9=0,0,C9/TrAvia_act!C7*1000)</f>
        <v>42.097970435871886</v>
      </c>
      <c r="D31" s="87">
        <f>IF(D9=0,0,D9/TrAvia_act!D7*1000)</f>
        <v>41.772247002228873</v>
      </c>
      <c r="E31" s="87">
        <f>IF(E9=0,0,E9/TrAvia_act!E7*1000)</f>
        <v>41.421334057580857</v>
      </c>
      <c r="F31" s="87">
        <f>IF(F9=0,0,F9/TrAvia_act!F7*1000)</f>
        <v>41.307320575827553</v>
      </c>
      <c r="G31" s="87">
        <f>IF(G9=0,0,G9/TrAvia_act!G7*1000)</f>
        <v>46.302235443273219</v>
      </c>
      <c r="H31" s="87">
        <f>IF(H9=0,0,H9/TrAvia_act!H7*1000)</f>
        <v>42.12224264204783</v>
      </c>
      <c r="I31" s="87">
        <f>IF(I9=0,0,I9/TrAvia_act!I7*1000)</f>
        <v>36.721991710126602</v>
      </c>
      <c r="J31" s="87">
        <f>IF(J9=0,0,J9/TrAvia_act!J7*1000)</f>
        <v>36.221762784007346</v>
      </c>
      <c r="K31" s="87">
        <f>IF(K9=0,0,K9/TrAvia_act!K7*1000)</f>
        <v>35.063190324721234</v>
      </c>
      <c r="L31" s="87">
        <f>IF(L9=0,0,L9/TrAvia_act!L7*1000)</f>
        <v>28.237405863229487</v>
      </c>
      <c r="M31" s="87">
        <f>IF(M9=0,0,M9/TrAvia_act!M7*1000)</f>
        <v>26.175468265344701</v>
      </c>
      <c r="N31" s="87">
        <f>IF(N9=0,0,N9/TrAvia_act!N7*1000)</f>
        <v>24.776874850255496</v>
      </c>
      <c r="O31" s="87">
        <f>IF(O9=0,0,O9/TrAvia_act!O7*1000)</f>
        <v>32.907549154918371</v>
      </c>
      <c r="P31" s="87">
        <f>IF(P9=0,0,P9/TrAvia_act!P7*1000)</f>
        <v>31.956588169809571</v>
      </c>
      <c r="Q31" s="87">
        <f>IF(Q9=0,0,Q9/TrAvia_act!Q7*1000)</f>
        <v>24.63059381046638</v>
      </c>
      <c r="R31" s="87">
        <f>IF(R9=0,0,R9/TrAvia_act!R7*1000)</f>
        <v>20.582162416273125</v>
      </c>
      <c r="S31" s="87">
        <f>IF(S9=0,0,S9/TrAvia_act!S7*1000)</f>
        <v>15.854787857469084</v>
      </c>
      <c r="T31" s="87">
        <f>IF(T9=0,0,T9/TrAvia_act!T7*1000)</f>
        <v>14.186496960002268</v>
      </c>
      <c r="U31" s="87">
        <f>IF(U9=0,0,U9/TrAvia_act!U7*1000)</f>
        <v>14.433496106433365</v>
      </c>
      <c r="V31" s="87">
        <f>IF(V9=0,0,V9/TrAvia_act!V7*1000)</f>
        <v>54.728889093379401</v>
      </c>
      <c r="W31" s="87">
        <f>IF(W9=0,0,W9/TrAvia_act!W7*1000)</f>
        <v>32.543930318779481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148.51338032860264</v>
      </c>
      <c r="C32" s="15">
        <f>IF(C10=0,0,C10/TrAvia_act!C8*1000)</f>
        <v>144.77821175851847</v>
      </c>
      <c r="D32" s="15">
        <f>IF(D10=0,0,D10/TrAvia_act!D8*1000)</f>
        <v>152.89418781256455</v>
      </c>
      <c r="E32" s="15">
        <f>IF(E10=0,0,E10/TrAvia_act!E8*1000)</f>
        <v>147.61537310494975</v>
      </c>
      <c r="F32" s="15">
        <f>IF(F10=0,0,F10/TrAvia_act!F8*1000)</f>
        <v>159.37534576758125</v>
      </c>
      <c r="G32" s="15">
        <f>IF(G10=0,0,G10/TrAvia_act!G8*1000)</f>
        <v>159.84277499156141</v>
      </c>
      <c r="H32" s="15">
        <f>IF(H10=0,0,H10/TrAvia_act!H8*1000)</f>
        <v>177.7809189125212</v>
      </c>
      <c r="I32" s="15">
        <f>IF(I10=0,0,I10/TrAvia_act!I8*1000)</f>
        <v>186.82599646437072</v>
      </c>
      <c r="J32" s="15">
        <f>IF(J10=0,0,J10/TrAvia_act!J8*1000)</f>
        <v>207.37831534245672</v>
      </c>
      <c r="K32" s="15">
        <f>IF(K10=0,0,K10/TrAvia_act!K8*1000)</f>
        <v>175.06163461726715</v>
      </c>
      <c r="L32" s="15">
        <f>IF(L10=0,0,L10/TrAvia_act!L8*1000)</f>
        <v>162.99793308153028</v>
      </c>
      <c r="M32" s="15">
        <f>IF(M10=0,0,M10/TrAvia_act!M8*1000)</f>
        <v>112.30911453060618</v>
      </c>
      <c r="N32" s="15">
        <f>IF(N10=0,0,N10/TrAvia_act!N8*1000)</f>
        <v>130.55242151108163</v>
      </c>
      <c r="O32" s="15">
        <f>IF(O10=0,0,O10/TrAvia_act!O8*1000)</f>
        <v>115.02251106775168</v>
      </c>
      <c r="P32" s="15">
        <f>IF(P10=0,0,P10/TrAvia_act!P8*1000)</f>
        <v>93.112286909964695</v>
      </c>
      <c r="Q32" s="15">
        <f>IF(Q10=0,0,Q10/TrAvia_act!Q8*1000)</f>
        <v>81.135238210188461</v>
      </c>
      <c r="R32" s="15">
        <f>IF(R10=0,0,R10/TrAvia_act!R8*1000)</f>
        <v>64.684133394045205</v>
      </c>
      <c r="S32" s="15">
        <f>IF(S10=0,0,S10/TrAvia_act!S8*1000)</f>
        <v>58.542143361993361</v>
      </c>
      <c r="T32" s="15">
        <f>IF(T10=0,0,T10/TrAvia_act!T8*1000)</f>
        <v>36.250464674935955</v>
      </c>
      <c r="U32" s="15">
        <f>IF(U10=0,0,U10/TrAvia_act!U8*1000)</f>
        <v>40.23504525787876</v>
      </c>
      <c r="V32" s="15">
        <f>IF(V10=0,0,V10/TrAvia_act!V8*1000)</f>
        <v>123.41774261538966</v>
      </c>
      <c r="W32" s="15">
        <f>IF(W10=0,0,W10/TrAvia_act!W8*1000)</f>
        <v>105.27765329175109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747.52693487048271</v>
      </c>
      <c r="C33" s="101">
        <f>IF(C11=0,0,C11/TrAvia_act!C9*1000)</f>
        <v>749.8968523649969</v>
      </c>
      <c r="D33" s="101">
        <f>IF(D11=0,0,D11/TrAvia_act!D9*1000)</f>
        <v>730.84743338037765</v>
      </c>
      <c r="E33" s="101">
        <f>IF(E11=0,0,E11/TrAvia_act!E9*1000)</f>
        <v>688.51069640792105</v>
      </c>
      <c r="F33" s="101">
        <f>IF(F11=0,0,F11/TrAvia_act!F9*1000)</f>
        <v>731.19441109356967</v>
      </c>
      <c r="G33" s="101">
        <f>IF(G11=0,0,G11/TrAvia_act!G9*1000)</f>
        <v>720.73435888597135</v>
      </c>
      <c r="H33" s="101">
        <f>IF(H11=0,0,H11/TrAvia_act!H9*1000)</f>
        <v>771.89348338275602</v>
      </c>
      <c r="I33" s="101">
        <f>IF(I11=0,0,I11/TrAvia_act!I9*1000)</f>
        <v>658.93952757852685</v>
      </c>
      <c r="J33" s="101">
        <f>IF(J11=0,0,J11/TrAvia_act!J9*1000)</f>
        <v>571.43505610982902</v>
      </c>
      <c r="K33" s="101">
        <f>IF(K11=0,0,K11/TrAvia_act!K9*1000)</f>
        <v>470.06341905961904</v>
      </c>
      <c r="L33" s="101">
        <f>IF(L11=0,0,L11/TrAvia_act!L9*1000)</f>
        <v>370.53354313075528</v>
      </c>
      <c r="M33" s="101">
        <f>IF(M11=0,0,M11/TrAvia_act!M9*1000)</f>
        <v>473.28613515113216</v>
      </c>
      <c r="N33" s="101">
        <f>IF(N11=0,0,N11/TrAvia_act!N9*1000)</f>
        <v>721.38131947207762</v>
      </c>
      <c r="O33" s="101">
        <f>IF(O11=0,0,O11/TrAvia_act!O9*1000)</f>
        <v>668.71105413973658</v>
      </c>
      <c r="P33" s="101">
        <f>IF(P11=0,0,P11/TrAvia_act!P9*1000)</f>
        <v>510.24108481264352</v>
      </c>
      <c r="Q33" s="101">
        <f>IF(Q11=0,0,Q11/TrAvia_act!Q9*1000)</f>
        <v>515.92417720107233</v>
      </c>
      <c r="R33" s="101">
        <f>IF(R11=0,0,R11/TrAvia_act!R9*1000)</f>
        <v>382.22164556277534</v>
      </c>
      <c r="S33" s="101">
        <f>IF(S11=0,0,S11/TrAvia_act!S9*1000)</f>
        <v>376.22275201373105</v>
      </c>
      <c r="T33" s="101">
        <f>IF(T11=0,0,T11/TrAvia_act!T9*1000)</f>
        <v>355.54610731010638</v>
      </c>
      <c r="U33" s="101">
        <f>IF(U11=0,0,U11/TrAvia_act!U9*1000)</f>
        <v>319.54496570401614</v>
      </c>
      <c r="V33" s="101">
        <f>IF(V11=0,0,V11/TrAvia_act!V9*1000)</f>
        <v>305.71520023921931</v>
      </c>
      <c r="W33" s="101">
        <f>IF(W11=0,0,W11/TrAvia_act!W9*1000)</f>
        <v>306.56662649901017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143.86405643504244</v>
      </c>
      <c r="C34" s="101">
        <f>IF(C12=0,0,C12/TrAvia_act!C10*1000)</f>
        <v>138.73160532523514</v>
      </c>
      <c r="D34" s="101">
        <f>IF(D12=0,0,D12/TrAvia_act!D10*1000)</f>
        <v>147.41454826260104</v>
      </c>
      <c r="E34" s="101">
        <f>IF(E12=0,0,E12/TrAvia_act!E10*1000)</f>
        <v>143.89810353968289</v>
      </c>
      <c r="F34" s="101">
        <f>IF(F12=0,0,F12/TrAvia_act!F10*1000)</f>
        <v>158.3531970995258</v>
      </c>
      <c r="G34" s="101">
        <f>IF(G12=0,0,G12/TrAvia_act!G10*1000)</f>
        <v>144.96781515524404</v>
      </c>
      <c r="H34" s="101">
        <f>IF(H12=0,0,H12/TrAvia_act!H10*1000)</f>
        <v>151.95398192560739</v>
      </c>
      <c r="I34" s="101">
        <f>IF(I12=0,0,I12/TrAvia_act!I10*1000)</f>
        <v>166.75122290337043</v>
      </c>
      <c r="J34" s="101">
        <f>IF(J12=0,0,J12/TrAvia_act!J10*1000)</f>
        <v>211.04977819810745</v>
      </c>
      <c r="K34" s="101">
        <f>IF(K12=0,0,K12/TrAvia_act!K10*1000)</f>
        <v>180.18952164511015</v>
      </c>
      <c r="L34" s="101">
        <f>IF(L12=0,0,L12/TrAvia_act!L10*1000)</f>
        <v>196.73856747001182</v>
      </c>
      <c r="M34" s="101">
        <f>IF(M12=0,0,M12/TrAvia_act!M10*1000)</f>
        <v>222.96593564468856</v>
      </c>
      <c r="N34" s="101">
        <f>IF(N12=0,0,N12/TrAvia_act!N10*1000)</f>
        <v>214.65838059572255</v>
      </c>
      <c r="O34" s="101">
        <f>IF(O12=0,0,O12/TrAvia_act!O10*1000)</f>
        <v>203.18888724519712</v>
      </c>
      <c r="P34" s="101">
        <f>IF(P12=0,0,P12/TrAvia_act!P10*1000)</f>
        <v>158.58046394624355</v>
      </c>
      <c r="Q34" s="101">
        <f>IF(Q12=0,0,Q12/TrAvia_act!Q10*1000)</f>
        <v>149.53075524965632</v>
      </c>
      <c r="R34" s="101">
        <f>IF(R12=0,0,R12/TrAvia_act!R10*1000)</f>
        <v>123.29736652287464</v>
      </c>
      <c r="S34" s="101">
        <f>IF(S12=0,0,S12/TrAvia_act!S10*1000)</f>
        <v>130.0854117147326</v>
      </c>
      <c r="T34" s="101">
        <f>IF(T12=0,0,T12/TrAvia_act!T10*1000)</f>
        <v>139.31125248000129</v>
      </c>
      <c r="U34" s="101">
        <f>IF(U12=0,0,U12/TrAvia_act!U10*1000)</f>
        <v>121.63276675283575</v>
      </c>
      <c r="V34" s="101">
        <f>IF(V12=0,0,V12/TrAvia_act!V10*1000)</f>
        <v>202.92681699067944</v>
      </c>
      <c r="W34" s="101">
        <f>IF(W12=0,0,W12/TrAvia_act!W10*1000)</f>
        <v>200.7146887600762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43.264451542979153</v>
      </c>
      <c r="C35" s="88">
        <f>IF(C13=0,0,C13/TrAvia_act!C11*1000)</f>
        <v>41.220008995928914</v>
      </c>
      <c r="D35" s="88">
        <f>IF(D13=0,0,D13/TrAvia_act!D11*1000)</f>
        <v>43.583682992932694</v>
      </c>
      <c r="E35" s="88">
        <f>IF(E13=0,0,E13/TrAvia_act!E11*1000)</f>
        <v>47.921315950918071</v>
      </c>
      <c r="F35" s="88">
        <f>IF(F13=0,0,F13/TrAvia_act!F11*1000)</f>
        <v>49.353292447238388</v>
      </c>
      <c r="G35" s="88">
        <f>IF(G13=0,0,G13/TrAvia_act!G11*1000)</f>
        <v>57.831999112300565</v>
      </c>
      <c r="H35" s="88">
        <f>IF(H13=0,0,H13/TrAvia_act!H11*1000)</f>
        <v>50.736489679611715</v>
      </c>
      <c r="I35" s="88">
        <f>IF(I13=0,0,I13/TrAvia_act!I11*1000)</f>
        <v>44.43874041499086</v>
      </c>
      <c r="J35" s="88">
        <f>IF(J13=0,0,J13/TrAvia_act!J11*1000)</f>
        <v>44.576287084476846</v>
      </c>
      <c r="K35" s="88">
        <f>IF(K13=0,0,K13/TrAvia_act!K11*1000)</f>
        <v>34.125433675415117</v>
      </c>
      <c r="L35" s="88">
        <f>IF(L13=0,0,L13/TrAvia_act!L11*1000)</f>
        <v>29.677758643825875</v>
      </c>
      <c r="M35" s="88">
        <f>IF(M13=0,0,M13/TrAvia_act!M11*1000)</f>
        <v>36.15335761670881</v>
      </c>
      <c r="N35" s="88">
        <f>IF(N13=0,0,N13/TrAvia_act!N11*1000)</f>
        <v>40.603484729185887</v>
      </c>
      <c r="O35" s="88">
        <f>IF(O13=0,0,O13/TrAvia_act!O11*1000)</f>
        <v>45.835319976402246</v>
      </c>
      <c r="P35" s="88">
        <f>IF(P13=0,0,P13/TrAvia_act!P11*1000)</f>
        <v>38.534528367563851</v>
      </c>
      <c r="Q35" s="88">
        <f>IF(Q13=0,0,Q13/TrAvia_act!Q11*1000)</f>
        <v>29.063140125675947</v>
      </c>
      <c r="R35" s="88">
        <f>IF(R13=0,0,R13/TrAvia_act!R11*1000)</f>
        <v>24.735650164186861</v>
      </c>
      <c r="S35" s="88">
        <f>IF(S13=0,0,S13/TrAvia_act!S11*1000)</f>
        <v>23.834366594513611</v>
      </c>
      <c r="T35" s="88">
        <f>IF(T13=0,0,T13/TrAvia_act!T11*1000)</f>
        <v>24.357446659326801</v>
      </c>
      <c r="U35" s="88">
        <f>IF(U13=0,0,U13/TrAvia_act!U11*1000)</f>
        <v>24.493377869969276</v>
      </c>
      <c r="V35" s="88">
        <f>IF(V13=0,0,V13/TrAvia_act!V11*1000)</f>
        <v>86.953400546770652</v>
      </c>
      <c r="W35" s="88">
        <f>IF(W13=0,0,W13/TrAvia_act!W11*1000)</f>
        <v>72.01895691242153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3686.9680273781692</v>
      </c>
      <c r="C37" s="62">
        <f>IF(C3=0,0,C3/TrAvia_act!C23*1000000)</f>
        <v>3677.4622967048695</v>
      </c>
      <c r="D37" s="62">
        <f>IF(D3=0,0,D3/TrAvia_act!D23*1000000)</f>
        <v>3556.0269066780916</v>
      </c>
      <c r="E37" s="62">
        <f>IF(E3=0,0,E3/TrAvia_act!E23*1000000)</f>
        <v>3483.1330476731332</v>
      </c>
      <c r="F37" s="62">
        <f>IF(F3=0,0,F3/TrAvia_act!F23*1000000)</f>
        <v>3511.9865633934078</v>
      </c>
      <c r="G37" s="62">
        <f>IF(G3=0,0,G3/TrAvia_act!G23*1000000)</f>
        <v>3535.7016607076989</v>
      </c>
      <c r="H37" s="62">
        <f>IF(H3=0,0,H3/TrAvia_act!H23*1000000)</f>
        <v>3305.4716926356932</v>
      </c>
      <c r="I37" s="62">
        <f>IF(I3=0,0,I3/TrAvia_act!I23*1000000)</f>
        <v>3290.5877378616901</v>
      </c>
      <c r="J37" s="62">
        <f>IF(J3=0,0,J3/TrAvia_act!J23*1000000)</f>
        <v>3668.5035810739387</v>
      </c>
      <c r="K37" s="62">
        <f>IF(K3=0,0,K3/TrAvia_act!K23*1000000)</f>
        <v>3172.0922611931401</v>
      </c>
      <c r="L37" s="62">
        <f>IF(L3=0,0,L3/TrAvia_act!L23*1000000)</f>
        <v>3341.39953194282</v>
      </c>
      <c r="M37" s="62">
        <f>IF(M3=0,0,M3/TrAvia_act!M23*1000000)</f>
        <v>3539.771190425301</v>
      </c>
      <c r="N37" s="62">
        <f>IF(N3=0,0,N3/TrAvia_act!N23*1000000)</f>
        <v>3683.1393815093752</v>
      </c>
      <c r="O37" s="62">
        <f>IF(O3=0,0,O3/TrAvia_act!O23*1000000)</f>
        <v>3915.6644968705232</v>
      </c>
      <c r="P37" s="62">
        <f>IF(P3=0,0,P3/TrAvia_act!P23*1000000)</f>
        <v>3684.7729548598941</v>
      </c>
      <c r="Q37" s="62">
        <f>IF(Q3=0,0,Q3/TrAvia_act!Q23*1000000)</f>
        <v>3476.7587568472886</v>
      </c>
      <c r="R37" s="62">
        <f>IF(R3=0,0,R3/TrAvia_act!R23*1000000)</f>
        <v>3329.7518119410133</v>
      </c>
      <c r="S37" s="62">
        <f>IF(S3=0,0,S3/TrAvia_act!S23*1000000)</f>
        <v>3569.3600832731377</v>
      </c>
      <c r="T37" s="62">
        <f>IF(T3=0,0,T3/TrAvia_act!T23*1000000)</f>
        <v>4065.5184099763783</v>
      </c>
      <c r="U37" s="62">
        <f>IF(U3=0,0,U3/TrAvia_act!U23*1000000)</f>
        <v>4159.809750038422</v>
      </c>
      <c r="V37" s="62">
        <f>IF(V3=0,0,V3/TrAvia_act!V23*1000000)</f>
        <v>3465.3999751670317</v>
      </c>
      <c r="W37" s="62">
        <f>IF(W3=0,0,W3/TrAvia_act!W23*1000000)</f>
        <v>3749.4813289552703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3692.7625375488747</v>
      </c>
      <c r="C38" s="14">
        <f>IF(C6=0,0,C6/TrAvia_act!C24*1000000)</f>
        <v>3684.5058257853539</v>
      </c>
      <c r="D38" s="14">
        <f>IF(D6=0,0,D6/TrAvia_act!D24*1000000)</f>
        <v>3561.9094299622616</v>
      </c>
      <c r="E38" s="14">
        <f>IF(E6=0,0,E6/TrAvia_act!E24*1000000)</f>
        <v>3487.526457634563</v>
      </c>
      <c r="F38" s="14">
        <f>IF(F6=0,0,F6/TrAvia_act!F24*1000000)</f>
        <v>3516.1543543661996</v>
      </c>
      <c r="G38" s="14">
        <f>IF(G6=0,0,G6/TrAvia_act!G24*1000000)</f>
        <v>3541.6424023025234</v>
      </c>
      <c r="H38" s="14">
        <f>IF(H6=0,0,H6/TrAvia_act!H24*1000000)</f>
        <v>3311.5723945475802</v>
      </c>
      <c r="I38" s="14">
        <f>IF(I6=0,0,I6/TrAvia_act!I24*1000000)</f>
        <v>3298.6455182209793</v>
      </c>
      <c r="J38" s="14">
        <f>IF(J6=0,0,J6/TrAvia_act!J24*1000000)</f>
        <v>3678.7205706128912</v>
      </c>
      <c r="K38" s="14">
        <f>IF(K6=0,0,K6/TrAvia_act!K24*1000000)</f>
        <v>3179.3443998076514</v>
      </c>
      <c r="L38" s="14">
        <f>IF(L6=0,0,L6/TrAvia_act!L24*1000000)</f>
        <v>3348.2181514655881</v>
      </c>
      <c r="M38" s="14">
        <f>IF(M6=0,0,M6/TrAvia_act!M24*1000000)</f>
        <v>3545.3086813504656</v>
      </c>
      <c r="N38" s="14">
        <f>IF(N6=0,0,N6/TrAvia_act!N24*1000000)</f>
        <v>3688.9291673646808</v>
      </c>
      <c r="O38" s="14">
        <f>IF(O6=0,0,O6/TrAvia_act!O24*1000000)</f>
        <v>3920.2620612924866</v>
      </c>
      <c r="P38" s="14">
        <f>IF(P6=0,0,P6/TrAvia_act!P24*1000000)</f>
        <v>3688.4848502455834</v>
      </c>
      <c r="Q38" s="14">
        <f>IF(Q6=0,0,Q6/TrAvia_act!Q24*1000000)</f>
        <v>3479.7036418919633</v>
      </c>
      <c r="R38" s="14">
        <f>IF(R6=0,0,R6/TrAvia_act!R24*1000000)</f>
        <v>3331.786768204473</v>
      </c>
      <c r="S38" s="14">
        <f>IF(S6=0,0,S6/TrAvia_act!S24*1000000)</f>
        <v>3571.5419511213017</v>
      </c>
      <c r="T38" s="14">
        <f>IF(T6=0,0,T6/TrAvia_act!T24*1000000)</f>
        <v>4062.6485805824923</v>
      </c>
      <c r="U38" s="14">
        <f>IF(U6=0,0,U6/TrAvia_act!U24*1000000)</f>
        <v>4158.4571561491557</v>
      </c>
      <c r="V38" s="14">
        <f>IF(V6=0,0,V6/TrAvia_act!V24*1000000)</f>
        <v>3443.274924511587</v>
      </c>
      <c r="W38" s="14">
        <f>IF(W6=0,0,W6/TrAvia_act!W24*1000000)</f>
        <v>3732.4139454099245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1701.9072681464204</v>
      </c>
      <c r="C39" s="87">
        <f>IF(C7=0,0,C7/TrAvia_act!C25*1000000)</f>
        <v>1694.2853107971437</v>
      </c>
      <c r="D39" s="87">
        <f>IF(D7=0,0,D7/TrAvia_act!D25*1000000)</f>
        <v>1698.0240777329998</v>
      </c>
      <c r="E39" s="87">
        <f>IF(E7=0,0,E7/TrAvia_act!E25*1000000)</f>
        <v>1701.5387335080861</v>
      </c>
      <c r="F39" s="87">
        <f>IF(F7=0,0,F7/TrAvia_act!F25*1000000)</f>
        <v>1701.5992203487781</v>
      </c>
      <c r="G39" s="87">
        <f>IF(G7=0,0,G7/TrAvia_act!G25*1000000)</f>
        <v>1680.5978043791542</v>
      </c>
      <c r="H39" s="87">
        <f>IF(H7=0,0,H7/TrAvia_act!H25*1000000)</f>
        <v>1904.4445793687569</v>
      </c>
      <c r="I39" s="87">
        <f>IF(I7=0,0,I7/TrAvia_act!I25*1000000)</f>
        <v>1811.7265954444974</v>
      </c>
      <c r="J39" s="87">
        <f>IF(J7=0,0,J7/TrAvia_act!J25*1000000)</f>
        <v>1647.746874711404</v>
      </c>
      <c r="K39" s="87">
        <f>IF(K7=0,0,K7/TrAvia_act!K25*1000000)</f>
        <v>1462.7342818768955</v>
      </c>
      <c r="L39" s="87">
        <f>IF(L7=0,0,L7/TrAvia_act!L25*1000000)</f>
        <v>1358.9694353566069</v>
      </c>
      <c r="M39" s="87">
        <f>IF(M7=0,0,M7/TrAvia_act!M25*1000000)</f>
        <v>1419.1089953655082</v>
      </c>
      <c r="N39" s="87">
        <f>IF(N7=0,0,N7/TrAvia_act!N25*1000000)</f>
        <v>1358.0646422784405</v>
      </c>
      <c r="O39" s="87">
        <f>IF(O7=0,0,O7/TrAvia_act!O25*1000000)</f>
        <v>1432.4695927654623</v>
      </c>
      <c r="P39" s="87">
        <f>IF(P7=0,0,P7/TrAvia_act!P25*1000000)</f>
        <v>1286.9013450432847</v>
      </c>
      <c r="Q39" s="87">
        <f>IF(Q7=0,0,Q7/TrAvia_act!Q25*1000000)</f>
        <v>1431.7919954246333</v>
      </c>
      <c r="R39" s="87">
        <f>IF(R7=0,0,R7/TrAvia_act!R25*1000000)</f>
        <v>1341.7813963882982</v>
      </c>
      <c r="S39" s="87">
        <f>IF(S7=0,0,S7/TrAvia_act!S25*1000000)</f>
        <v>1293.4897279239124</v>
      </c>
      <c r="T39" s="87">
        <f>IF(T7=0,0,T7/TrAvia_act!T25*1000000)</f>
        <v>1287.0470830958598</v>
      </c>
      <c r="U39" s="87">
        <f>IF(U7=0,0,U7/TrAvia_act!U25*1000000)</f>
        <v>1275.923872400517</v>
      </c>
      <c r="V39" s="87">
        <f>IF(V7=0,0,V7/TrAvia_act!V25*1000000)</f>
        <v>1095.8220814888825</v>
      </c>
      <c r="W39" s="87">
        <f>IF(W7=0,0,W7/TrAvia_act!W25*1000000)</f>
        <v>1119.4981950393485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4219.0924331437354</v>
      </c>
      <c r="C40" s="87">
        <f>IF(C8=0,0,C8/TrAvia_act!C26*1000000)</f>
        <v>4210.7849666726397</v>
      </c>
      <c r="D40" s="87">
        <f>IF(D8=0,0,D8/TrAvia_act!D26*1000000)</f>
        <v>4204.75497712795</v>
      </c>
      <c r="E40" s="87">
        <f>IF(E8=0,0,E8/TrAvia_act!E26*1000000)</f>
        <v>4201.4270683370132</v>
      </c>
      <c r="F40" s="87">
        <f>IF(F8=0,0,F8/TrAvia_act!F26*1000000)</f>
        <v>4200.240052890741</v>
      </c>
      <c r="G40" s="87">
        <f>IF(G8=0,0,G8/TrAvia_act!G26*1000000)</f>
        <v>4055.969480024668</v>
      </c>
      <c r="H40" s="87">
        <f>IF(H8=0,0,H8/TrAvia_act!H26*1000000)</f>
        <v>3686.1275023213611</v>
      </c>
      <c r="I40" s="87">
        <f>IF(I8=0,0,I8/TrAvia_act!I26*1000000)</f>
        <v>3756.9876060875672</v>
      </c>
      <c r="J40" s="87">
        <f>IF(J8=0,0,J8/TrAvia_act!J26*1000000)</f>
        <v>4452.5996013197218</v>
      </c>
      <c r="K40" s="87">
        <f>IF(K8=0,0,K8/TrAvia_act!K26*1000000)</f>
        <v>3875.5804608144031</v>
      </c>
      <c r="L40" s="87">
        <f>IF(L8=0,0,L8/TrAvia_act!L26*1000000)</f>
        <v>4093.1060715257117</v>
      </c>
      <c r="M40" s="87">
        <f>IF(M8=0,0,M8/TrAvia_act!M26*1000000)</f>
        <v>4390.460426917075</v>
      </c>
      <c r="N40" s="87">
        <f>IF(N8=0,0,N8/TrAvia_act!N26*1000000)</f>
        <v>4628.8030723413294</v>
      </c>
      <c r="O40" s="87">
        <f>IF(O8=0,0,O8/TrAvia_act!O26*1000000)</f>
        <v>4750.4598688430024</v>
      </c>
      <c r="P40" s="87">
        <f>IF(P8=0,0,P8/TrAvia_act!P26*1000000)</f>
        <v>4529.2606552824809</v>
      </c>
      <c r="Q40" s="87">
        <f>IF(Q8=0,0,Q8/TrAvia_act!Q26*1000000)</f>
        <v>4289.9745105322672</v>
      </c>
      <c r="R40" s="87">
        <f>IF(R8=0,0,R8/TrAvia_act!R26*1000000)</f>
        <v>4127.0971650546817</v>
      </c>
      <c r="S40" s="87">
        <f>IF(S8=0,0,S8/TrAvia_act!S26*1000000)</f>
        <v>4365.0585010701343</v>
      </c>
      <c r="T40" s="87">
        <f>IF(T8=0,0,T8/TrAvia_act!T26*1000000)</f>
        <v>5024.6020524114838</v>
      </c>
      <c r="U40" s="87">
        <f>IF(U8=0,0,U8/TrAvia_act!U26*1000000)</f>
        <v>5081.1004430075309</v>
      </c>
      <c r="V40" s="87">
        <f>IF(V8=0,0,V8/TrAvia_act!V26*1000000)</f>
        <v>4215.2767638276209</v>
      </c>
      <c r="W40" s="87">
        <f>IF(W8=0,0,W8/TrAvia_act!W26*1000000)</f>
        <v>4503.7835744480817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4811.3673390377871</v>
      </c>
      <c r="C41" s="87">
        <f>IF(C9=0,0,C9/TrAvia_act!C27*1000000)</f>
        <v>4802.0641851082564</v>
      </c>
      <c r="D41" s="87">
        <f>IF(D9=0,0,D9/TrAvia_act!D27*1000000)</f>
        <v>4795.2344415448251</v>
      </c>
      <c r="E41" s="87">
        <f>IF(E9=0,0,E9/TrAvia_act!E27*1000000)</f>
        <v>4791.4879266725738</v>
      </c>
      <c r="F41" s="87">
        <f>IF(F9=0,0,F9/TrAvia_act!F27*1000000)</f>
        <v>4789.9875672436838</v>
      </c>
      <c r="G41" s="87">
        <f>IF(G9=0,0,G9/TrAvia_act!G27*1000000)</f>
        <v>4967.9540416976497</v>
      </c>
      <c r="H41" s="87">
        <f>IF(H9=0,0,H9/TrAvia_act!H27*1000000)</f>
        <v>3879.8265628195632</v>
      </c>
      <c r="I41" s="87">
        <f>IF(I9=0,0,I9/TrAvia_act!I27*1000000)</f>
        <v>3553.5225341806963</v>
      </c>
      <c r="J41" s="87">
        <f>IF(J9=0,0,J9/TrAvia_act!J27*1000000)</f>
        <v>3761.1504592825977</v>
      </c>
      <c r="K41" s="87">
        <f>IF(K9=0,0,K9/TrAvia_act!K27*1000000)</f>
        <v>3269.57954043057</v>
      </c>
      <c r="L41" s="87">
        <f>IF(L9=0,0,L9/TrAvia_act!L27*1000000)</f>
        <v>3202.5912756382691</v>
      </c>
      <c r="M41" s="87">
        <f>IF(M9=0,0,M9/TrAvia_act!M27*1000000)</f>
        <v>3453.6907131288312</v>
      </c>
      <c r="N41" s="87">
        <f>IF(N9=0,0,N9/TrAvia_act!N27*1000000)</f>
        <v>3316.0880206469687</v>
      </c>
      <c r="O41" s="87">
        <f>IF(O9=0,0,O9/TrAvia_act!O27*1000000)</f>
        <v>3745.0471463109329</v>
      </c>
      <c r="P41" s="87">
        <f>IF(P9=0,0,P9/TrAvia_act!P27*1000000)</f>
        <v>3538.615339487023</v>
      </c>
      <c r="Q41" s="87">
        <f>IF(Q9=0,0,Q9/TrAvia_act!Q27*1000000)</f>
        <v>2893.707564357846</v>
      </c>
      <c r="R41" s="87">
        <f>IF(R9=0,0,R9/TrAvia_act!R27*1000000)</f>
        <v>2615.1290586614978</v>
      </c>
      <c r="S41" s="87">
        <f>IF(S9=0,0,S9/TrAvia_act!S27*1000000)</f>
        <v>2741.5385852139798</v>
      </c>
      <c r="T41" s="87">
        <f>IF(T9=0,0,T9/TrAvia_act!T27*1000000)</f>
        <v>2935.1658726635533</v>
      </c>
      <c r="U41" s="87">
        <f>IF(U9=0,0,U9/TrAvia_act!U27*1000000)</f>
        <v>3085.8197445338787</v>
      </c>
      <c r="V41" s="87">
        <f>IF(V9=0,0,V9/TrAvia_act!V27*1000000)</f>
        <v>5582.2884302612338</v>
      </c>
      <c r="W41" s="87">
        <f>IF(W9=0,0,W9/TrAvia_act!W27*1000000)</f>
        <v>4775.1224737136499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2940.7964834972927</v>
      </c>
      <c r="C42" s="15">
        <f>IF(C10=0,0,C10/TrAvia_act!C28*1000000)</f>
        <v>2922.4330504825034</v>
      </c>
      <c r="D42" s="15">
        <f>IF(D10=0,0,D10/TrAvia_act!D28*1000000)</f>
        <v>2929.8615617017986</v>
      </c>
      <c r="E42" s="15">
        <f>IF(E10=0,0,E10/TrAvia_act!E28*1000000)</f>
        <v>2972.0247013079406</v>
      </c>
      <c r="F42" s="15">
        <f>IF(F10=0,0,F10/TrAvia_act!F28*1000000)</f>
        <v>2972.6975659084219</v>
      </c>
      <c r="G42" s="15">
        <f>IF(G10=0,0,G10/TrAvia_act!G28*1000000)</f>
        <v>2808.4756796132319</v>
      </c>
      <c r="H42" s="15">
        <f>IF(H10=0,0,H10/TrAvia_act!H28*1000000)</f>
        <v>2572.3746984650084</v>
      </c>
      <c r="I42" s="15">
        <f>IF(I10=0,0,I10/TrAvia_act!I28*1000000)</f>
        <v>2473.0448277340347</v>
      </c>
      <c r="J42" s="15">
        <f>IF(J10=0,0,J10/TrAvia_act!J28*1000000)</f>
        <v>2611.4558144972684</v>
      </c>
      <c r="K42" s="15">
        <f>IF(K10=0,0,K10/TrAvia_act!K28*1000000)</f>
        <v>2447.8982317346622</v>
      </c>
      <c r="L42" s="15">
        <f>IF(L10=0,0,L10/TrAvia_act!L28*1000000)</f>
        <v>2420.2867708044796</v>
      </c>
      <c r="M42" s="15">
        <f>IF(M10=0,0,M10/TrAvia_act!M28*1000000)</f>
        <v>2663.5989743347764</v>
      </c>
      <c r="N42" s="15">
        <f>IF(N10=0,0,N10/TrAvia_act!N28*1000000)</f>
        <v>2714.7230865670367</v>
      </c>
      <c r="O42" s="15">
        <f>IF(O10=0,0,O10/TrAvia_act!O28*1000000)</f>
        <v>3095.0239656384829</v>
      </c>
      <c r="P42" s="15">
        <f>IF(P10=0,0,P10/TrAvia_act!P28*1000000)</f>
        <v>2895.167835224695</v>
      </c>
      <c r="Q42" s="15">
        <f>IF(Q10=0,0,Q10/TrAvia_act!Q28*1000000)</f>
        <v>2804.883233904809</v>
      </c>
      <c r="R42" s="15">
        <f>IF(R10=0,0,R10/TrAvia_act!R28*1000000)</f>
        <v>2778.3606090910139</v>
      </c>
      <c r="S42" s="15">
        <f>IF(S10=0,0,S10/TrAvia_act!S28*1000000)</f>
        <v>2884.624960710943</v>
      </c>
      <c r="T42" s="15">
        <f>IF(T10=0,0,T10/TrAvia_act!T28*1000000)</f>
        <v>4818.9116990451066</v>
      </c>
      <c r="U42" s="15">
        <f>IF(U10=0,0,U10/TrAvia_act!U28*1000000)</f>
        <v>4583.2136433998085</v>
      </c>
      <c r="V42" s="15">
        <f>IF(V10=0,0,V10/TrAvia_act!V28*1000000)</f>
        <v>5977.4782265862004</v>
      </c>
      <c r="W42" s="15">
        <f>IF(W10=0,0,W10/TrAvia_act!W28*1000000)</f>
        <v>6213.4308699578623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1540.9351872101736</v>
      </c>
      <c r="C43" s="101">
        <f>IF(C11=0,0,C11/TrAvia_act!C29*1000000)</f>
        <v>1534.0341400763257</v>
      </c>
      <c r="D43" s="101">
        <f>IF(D11=0,0,D11/TrAvia_act!D29*1000000)</f>
        <v>1537.4192819322116</v>
      </c>
      <c r="E43" s="101">
        <f>IF(E11=0,0,E11/TrAvia_act!E29*1000000)</f>
        <v>1540.6015098103856</v>
      </c>
      <c r="F43" s="101">
        <f>IF(F11=0,0,F11/TrAvia_act!F29*1000000)</f>
        <v>1540.6562756034045</v>
      </c>
      <c r="G43" s="101">
        <f>IF(G11=0,0,G11/TrAvia_act!G29*1000000)</f>
        <v>1521.6412437890826</v>
      </c>
      <c r="H43" s="101">
        <f>IF(H11=0,0,H11/TrAvia_act!H29*1000000)</f>
        <v>1760.4011396457684</v>
      </c>
      <c r="I43" s="101">
        <f>IF(I11=0,0,I11/TrAvia_act!I29*1000000)</f>
        <v>1709.7417841168851</v>
      </c>
      <c r="J43" s="101">
        <f>IF(J11=0,0,J11/TrAvia_act!J29*1000000)</f>
        <v>1587.5326555310612</v>
      </c>
      <c r="K43" s="101">
        <f>IF(K11=0,0,K11/TrAvia_act!K29*1000000)</f>
        <v>1438.7709410258478</v>
      </c>
      <c r="L43" s="101">
        <f>IF(L11=0,0,L11/TrAvia_act!L29*1000000)</f>
        <v>1364.6764462470244</v>
      </c>
      <c r="M43" s="101">
        <f>IF(M11=0,0,M11/TrAvia_act!M29*1000000)</f>
        <v>1343.676405723385</v>
      </c>
      <c r="N43" s="101">
        <f>IF(N11=0,0,N11/TrAvia_act!N29*1000000)</f>
        <v>1212.4288553188912</v>
      </c>
      <c r="O43" s="101">
        <f>IF(O11=0,0,O11/TrAvia_act!O29*1000000)</f>
        <v>1287.5601278314164</v>
      </c>
      <c r="P43" s="101">
        <f>IF(P11=0,0,P11/TrAvia_act!P29*1000000)</f>
        <v>1164.5915915404109</v>
      </c>
      <c r="Q43" s="101">
        <f>IF(Q11=0,0,Q11/TrAvia_act!Q29*1000000)</f>
        <v>1304.5316354897577</v>
      </c>
      <c r="R43" s="101">
        <f>IF(R11=0,0,R11/TrAvia_act!R29*1000000)</f>
        <v>1230.8432360599281</v>
      </c>
      <c r="S43" s="101">
        <f>IF(S11=0,0,S11/TrAvia_act!S29*1000000)</f>
        <v>1194.6213040396251</v>
      </c>
      <c r="T43" s="101">
        <f>IF(T11=0,0,T11/TrAvia_act!T29*1000000)</f>
        <v>1196.7625814324695</v>
      </c>
      <c r="U43" s="101">
        <f>IF(U11=0,0,U11/TrAvia_act!U29*1000000)</f>
        <v>1184.1262629521705</v>
      </c>
      <c r="V43" s="101">
        <f>IF(V11=0,0,V11/TrAvia_act!V29*1000000)</f>
        <v>1016.982074151976</v>
      </c>
      <c r="W43" s="101">
        <f>IF(W11=0,0,W11/TrAvia_act!W29*1000000)</f>
        <v>1038.9547862127658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4656.6014763844769</v>
      </c>
      <c r="C44" s="101">
        <f>IF(C12=0,0,C12/TrAvia_act!C30*1000000)</f>
        <v>4660.947715757361</v>
      </c>
      <c r="D44" s="101">
        <f>IF(D12=0,0,D12/TrAvia_act!D30*1000000)</f>
        <v>4652.5604041752858</v>
      </c>
      <c r="E44" s="101">
        <f>IF(E12=0,0,E12/TrAvia_act!E30*1000000)</f>
        <v>4660.2418467277321</v>
      </c>
      <c r="F44" s="101">
        <f>IF(F12=0,0,F12/TrAvia_act!F30*1000000)</f>
        <v>4654.7961188764339</v>
      </c>
      <c r="G44" s="101">
        <f>IF(G12=0,0,G12/TrAvia_act!G30*1000000)</f>
        <v>4220.9268042874928</v>
      </c>
      <c r="H44" s="101">
        <f>IF(H12=0,0,H12/TrAvia_act!H30*1000000)</f>
        <v>3446.5692695224507</v>
      </c>
      <c r="I44" s="101">
        <f>IF(I12=0,0,I12/TrAvia_act!I30*1000000)</f>
        <v>3327.4937750243139</v>
      </c>
      <c r="J44" s="101">
        <f>IF(J12=0,0,J12/TrAvia_act!J30*1000000)</f>
        <v>3851.5386076956579</v>
      </c>
      <c r="K44" s="101">
        <f>IF(K12=0,0,K12/TrAvia_act!K30*1000000)</f>
        <v>3076.3926111985966</v>
      </c>
      <c r="L44" s="101">
        <f>IF(L12=0,0,L12/TrAvia_act!L30*1000000)</f>
        <v>3173.1685742422992</v>
      </c>
      <c r="M44" s="101">
        <f>IF(M12=0,0,M12/TrAvia_act!M30*1000000)</f>
        <v>3415.1103284699757</v>
      </c>
      <c r="N44" s="101">
        <f>IF(N12=0,0,N12/TrAvia_act!N30*1000000)</f>
        <v>3332.0788913659126</v>
      </c>
      <c r="O44" s="101">
        <f>IF(O12=0,0,O12/TrAvia_act!O30*1000000)</f>
        <v>3283.2634401836344</v>
      </c>
      <c r="P44" s="101">
        <f>IF(P12=0,0,P12/TrAvia_act!P30*1000000)</f>
        <v>2999.0331271073878</v>
      </c>
      <c r="Q44" s="101">
        <f>IF(Q12=0,0,Q12/TrAvia_act!Q30*1000000)</f>
        <v>2841.6614197481185</v>
      </c>
      <c r="R44" s="101">
        <f>IF(R12=0,0,R12/TrAvia_act!R30*1000000)</f>
        <v>2653.3588063040875</v>
      </c>
      <c r="S44" s="101">
        <f>IF(S12=0,0,S12/TrAvia_act!S30*1000000)</f>
        <v>2630.6710793117441</v>
      </c>
      <c r="T44" s="101">
        <f>IF(T12=0,0,T12/TrAvia_act!T30*1000000)</f>
        <v>2892.796986306972</v>
      </c>
      <c r="U44" s="101">
        <f>IF(U12=0,0,U12/TrAvia_act!U30*1000000)</f>
        <v>2920.378864819018</v>
      </c>
      <c r="V44" s="101">
        <f>IF(V12=0,0,V12/TrAvia_act!V30*1000000)</f>
        <v>3489.821685960228</v>
      </c>
      <c r="W44" s="101">
        <f>IF(W12=0,0,W12/TrAvia_act!W30*1000000)</f>
        <v>3547.870713023638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5986.9982120290824</v>
      </c>
      <c r="C45" s="88">
        <f>IF(C13=0,0,C13/TrAvia_act!C31*1000000)</f>
        <v>5975.421884133596</v>
      </c>
      <c r="D45" s="88">
        <f>IF(D13=0,0,D13/TrAvia_act!D31*1000000)</f>
        <v>5966.9233306826636</v>
      </c>
      <c r="E45" s="88">
        <f>IF(E13=0,0,E13/TrAvia_act!E31*1000000)</f>
        <v>5962.261375720399</v>
      </c>
      <c r="F45" s="88">
        <f>IF(F13=0,0,F13/TrAvia_act!F31*1000000)</f>
        <v>5960.3944118024128</v>
      </c>
      <c r="G45" s="88">
        <f>IF(G13=0,0,G13/TrAvia_act!G31*1000000)</f>
        <v>6181.8460053467343</v>
      </c>
      <c r="H45" s="88">
        <f>IF(H13=0,0,H13/TrAvia_act!H31*1000000)</f>
        <v>4647.1277763702492</v>
      </c>
      <c r="I45" s="88">
        <f>IF(I13=0,0,I13/TrAvia_act!I31*1000000)</f>
        <v>4093.5829369670605</v>
      </c>
      <c r="J45" s="88">
        <f>IF(J13=0,0,J13/TrAvia_act!J31*1000000)</f>
        <v>4163.4781983299627</v>
      </c>
      <c r="K45" s="88">
        <f>IF(K13=0,0,K13/TrAvia_act!K31*1000000)</f>
        <v>3474.6712048802178</v>
      </c>
      <c r="L45" s="88">
        <f>IF(L13=0,0,L13/TrAvia_act!L31*1000000)</f>
        <v>3264.2147520311532</v>
      </c>
      <c r="M45" s="88">
        <f>IF(M13=0,0,M13/TrAvia_act!M31*1000000)</f>
        <v>5297.2227145881043</v>
      </c>
      <c r="N45" s="88">
        <f>IF(N13=0,0,N13/TrAvia_act!N31*1000000)</f>
        <v>7326.2809520448964</v>
      </c>
      <c r="O45" s="88">
        <f>IF(O13=0,0,O13/TrAvia_act!O31*1000000)</f>
        <v>9077.7927980051154</v>
      </c>
      <c r="P45" s="88">
        <f>IF(P13=0,0,P13/TrAvia_act!P31*1000000)</f>
        <v>9433.8520504655953</v>
      </c>
      <c r="Q45" s="88">
        <f>IF(Q13=0,0,Q13/TrAvia_act!Q31*1000000)</f>
        <v>8499.8047455374344</v>
      </c>
      <c r="R45" s="88">
        <f>IF(R13=0,0,R13/TrAvia_act!R31*1000000)</f>
        <v>8473.0112349742394</v>
      </c>
      <c r="S45" s="88">
        <f>IF(S13=0,0,S13/TrAvia_act!S31*1000000)</f>
        <v>9803.1076969626847</v>
      </c>
      <c r="T45" s="88">
        <f>IF(T13=0,0,T13/TrAvia_act!T31*1000000)</f>
        <v>11582.750800648302</v>
      </c>
      <c r="U45" s="88">
        <f>IF(U13=0,0,U13/TrAvia_act!U31*1000000)</f>
        <v>15226.38723259681</v>
      </c>
      <c r="V45" s="88">
        <f>IF(V13=0,0,V13/TrAvia_act!V31*1000000)</f>
        <v>31026.441625455736</v>
      </c>
      <c r="W45" s="88">
        <f>IF(W13=0,0,W13/TrAvia_act!W31*1000000)</f>
        <v>25512.634636043767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0.99385369521123101</v>
      </c>
      <c r="C48" s="16">
        <f t="shared" si="35"/>
        <v>0.99265502694307173</v>
      </c>
      <c r="D48" s="16">
        <f t="shared" ref="D48:V48" si="36">IF(D6=0,0,D6/D$3)</f>
        <v>0.99233175913981631</v>
      </c>
      <c r="E48" s="16">
        <f t="shared" si="36"/>
        <v>0.99272799896645125</v>
      </c>
      <c r="F48" s="16">
        <f t="shared" si="36"/>
        <v>0.99350859368714761</v>
      </c>
      <c r="G48" s="16">
        <f t="shared" si="36"/>
        <v>0.99356374899973543</v>
      </c>
      <c r="H48" s="16">
        <f t="shared" si="36"/>
        <v>0.99357726523449996</v>
      </c>
      <c r="I48" s="16">
        <f t="shared" si="36"/>
        <v>0.99266493627376007</v>
      </c>
      <c r="J48" s="16">
        <f t="shared" si="36"/>
        <v>0.99318533493852323</v>
      </c>
      <c r="K48" s="16">
        <f t="shared" si="36"/>
        <v>0.99234876967758212</v>
      </c>
      <c r="L48" s="16">
        <f t="shared" si="36"/>
        <v>0.99467745900347493</v>
      </c>
      <c r="M48" s="16">
        <f t="shared" si="36"/>
        <v>0.99527413779902785</v>
      </c>
      <c r="N48" s="16">
        <f t="shared" si="36"/>
        <v>0.9956195467778709</v>
      </c>
      <c r="O48" s="16">
        <f t="shared" si="36"/>
        <v>0.99559640775706071</v>
      </c>
      <c r="P48" s="16">
        <f t="shared" si="36"/>
        <v>0.99632369130999732</v>
      </c>
      <c r="Q48" s="16">
        <f t="shared" si="36"/>
        <v>0.99647937014306265</v>
      </c>
      <c r="R48" s="16">
        <f t="shared" si="36"/>
        <v>0.99693188138739708</v>
      </c>
      <c r="S48" s="16">
        <f t="shared" si="36"/>
        <v>0.99743301589948319</v>
      </c>
      <c r="T48" s="16">
        <f t="shared" si="36"/>
        <v>0.99550203372642021</v>
      </c>
      <c r="U48" s="16">
        <f t="shared" si="36"/>
        <v>0.99649147937352089</v>
      </c>
      <c r="V48" s="16">
        <f t="shared" si="36"/>
        <v>0.98494060738017408</v>
      </c>
      <c r="W48" s="16">
        <f t="shared" ref="W48" si="37">IF(W6=0,0,W6/W$3)</f>
        <v>0.98860019305009628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0.10927673241531745</v>
      </c>
      <c r="C49" s="103">
        <f t="shared" si="38"/>
        <v>0.10889939825028369</v>
      </c>
      <c r="D49" s="103">
        <f t="shared" ref="D49:V49" si="39">IF(D7=0,0,D7/D$3)</f>
        <v>0.13444252485963926</v>
      </c>
      <c r="E49" s="103">
        <f t="shared" si="39"/>
        <v>0.15125276450323188</v>
      </c>
      <c r="F49" s="103">
        <f t="shared" si="39"/>
        <v>0.14468679574174756</v>
      </c>
      <c r="G49" s="103">
        <f t="shared" si="39"/>
        <v>0.12112433421715882</v>
      </c>
      <c r="H49" s="103">
        <f t="shared" si="39"/>
        <v>0.12718320139239711</v>
      </c>
      <c r="I49" s="103">
        <f t="shared" si="39"/>
        <v>0.12166976170669472</v>
      </c>
      <c r="J49" s="103">
        <f t="shared" si="39"/>
        <v>0.10789695824183719</v>
      </c>
      <c r="K49" s="103">
        <f t="shared" si="39"/>
        <v>0.11625662063196604</v>
      </c>
      <c r="L49" s="103">
        <f t="shared" si="39"/>
        <v>9.0594611355640925E-2</v>
      </c>
      <c r="M49" s="103">
        <f t="shared" si="39"/>
        <v>9.4850947259905866E-2</v>
      </c>
      <c r="N49" s="103">
        <f t="shared" si="39"/>
        <v>8.2209929230203191E-2</v>
      </c>
      <c r="O49" s="103">
        <f t="shared" si="39"/>
        <v>7.5727992210883111E-2</v>
      </c>
      <c r="P49" s="103">
        <f t="shared" si="39"/>
        <v>7.5868369620619699E-2</v>
      </c>
      <c r="Q49" s="103">
        <f t="shared" si="39"/>
        <v>8.5218838919043569E-2</v>
      </c>
      <c r="R49" s="103">
        <f t="shared" si="39"/>
        <v>8.1434775065192797E-2</v>
      </c>
      <c r="S49" s="103">
        <f t="shared" si="39"/>
        <v>6.6712321081056652E-2</v>
      </c>
      <c r="T49" s="103">
        <f t="shared" si="39"/>
        <v>5.4785845110361255E-2</v>
      </c>
      <c r="U49" s="103">
        <f t="shared" si="39"/>
        <v>5.0820780959529369E-2</v>
      </c>
      <c r="V49" s="103">
        <f t="shared" si="39"/>
        <v>9.3479515874160882E-2</v>
      </c>
      <c r="W49" s="103">
        <f t="shared" ref="W49" si="40">IF(W7=0,0,W7/W$3)</f>
        <v>7.0532994474749561E-2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0.72234725477951112</v>
      </c>
      <c r="C50" s="103">
        <f t="shared" si="41"/>
        <v>0.72164904029582655</v>
      </c>
      <c r="D50" s="103">
        <f t="shared" ref="D50:V50" si="42">IF(D8=0,0,D8/D$3)</f>
        <v>0.70051608312358449</v>
      </c>
      <c r="E50" s="103">
        <f t="shared" si="42"/>
        <v>0.68713282299544087</v>
      </c>
      <c r="F50" s="103">
        <f t="shared" si="42"/>
        <v>0.69314544072612716</v>
      </c>
      <c r="G50" s="103">
        <f t="shared" si="42"/>
        <v>0.72584890620436793</v>
      </c>
      <c r="H50" s="103">
        <f t="shared" si="42"/>
        <v>0.73406620568934211</v>
      </c>
      <c r="I50" s="103">
        <f t="shared" si="42"/>
        <v>0.74364247265435557</v>
      </c>
      <c r="J50" s="103">
        <f t="shared" si="42"/>
        <v>0.74784927414789737</v>
      </c>
      <c r="K50" s="103">
        <f t="shared" si="42"/>
        <v>0.7382885228648991</v>
      </c>
      <c r="L50" s="103">
        <f t="shared" si="42"/>
        <v>0.76375457006526848</v>
      </c>
      <c r="M50" s="103">
        <f t="shared" si="42"/>
        <v>0.75789469293886724</v>
      </c>
      <c r="N50" s="103">
        <f t="shared" si="42"/>
        <v>0.77277156549371961</v>
      </c>
      <c r="O50" s="103">
        <f t="shared" si="42"/>
        <v>0.78788917066349862</v>
      </c>
      <c r="P50" s="103">
        <f t="shared" si="42"/>
        <v>0.79201549521964054</v>
      </c>
      <c r="Q50" s="103">
        <f t="shared" si="42"/>
        <v>0.78293318194119221</v>
      </c>
      <c r="R50" s="103">
        <f t="shared" si="42"/>
        <v>0.79628067498093713</v>
      </c>
      <c r="S50" s="103">
        <f t="shared" si="42"/>
        <v>0.82401612482290909</v>
      </c>
      <c r="T50" s="103">
        <f t="shared" si="42"/>
        <v>0.83308589394257759</v>
      </c>
      <c r="U50" s="103">
        <f t="shared" si="42"/>
        <v>0.83813730989481294</v>
      </c>
      <c r="V50" s="103">
        <f t="shared" si="42"/>
        <v>0.70656940793035372</v>
      </c>
      <c r="W50" s="103">
        <f t="shared" ref="W50" si="43">IF(W8=0,0,W8/W$3)</f>
        <v>0.76122836837419683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0.16222970801640257</v>
      </c>
      <c r="C51" s="103">
        <f t="shared" si="44"/>
        <v>0.1621065883969616</v>
      </c>
      <c r="D51" s="103">
        <f t="shared" ref="D51:V51" si="45">IF(D9=0,0,D9/D$3)</f>
        <v>0.1573731511565927</v>
      </c>
      <c r="E51" s="103">
        <f t="shared" si="45"/>
        <v>0.15434241146777838</v>
      </c>
      <c r="F51" s="103">
        <f t="shared" si="45"/>
        <v>0.155676357219273</v>
      </c>
      <c r="G51" s="103">
        <f t="shared" si="45"/>
        <v>0.14659050857820877</v>
      </c>
      <c r="H51" s="103">
        <f t="shared" si="45"/>
        <v>0.13232785815276082</v>
      </c>
      <c r="I51" s="103">
        <f t="shared" si="45"/>
        <v>0.12735270191270975</v>
      </c>
      <c r="J51" s="103">
        <f t="shared" si="45"/>
        <v>0.1374391025487888</v>
      </c>
      <c r="K51" s="103">
        <f t="shared" si="45"/>
        <v>0.13780362618071698</v>
      </c>
      <c r="L51" s="103">
        <f t="shared" si="45"/>
        <v>0.14032827758256558</v>
      </c>
      <c r="M51" s="103">
        <f t="shared" si="45"/>
        <v>0.14252849760025477</v>
      </c>
      <c r="N51" s="103">
        <f t="shared" si="45"/>
        <v>0.14063805205394808</v>
      </c>
      <c r="O51" s="103">
        <f t="shared" si="45"/>
        <v>0.13197924488267901</v>
      </c>
      <c r="P51" s="103">
        <f t="shared" si="45"/>
        <v>0.12843982646973715</v>
      </c>
      <c r="Q51" s="103">
        <f t="shared" si="45"/>
        <v>0.12832734928282691</v>
      </c>
      <c r="R51" s="103">
        <f t="shared" si="45"/>
        <v>0.11921643134126718</v>
      </c>
      <c r="S51" s="103">
        <f t="shared" si="45"/>
        <v>0.1067045699955175</v>
      </c>
      <c r="T51" s="103">
        <f t="shared" si="45"/>
        <v>0.10763029467348127</v>
      </c>
      <c r="U51" s="103">
        <f t="shared" si="45"/>
        <v>0.10753338851917858</v>
      </c>
      <c r="V51" s="103">
        <f t="shared" si="45"/>
        <v>0.18489168357565949</v>
      </c>
      <c r="W51" s="103">
        <f t="shared" ref="W51" si="46">IF(W9=0,0,W9/W$3)</f>
        <v>0.15683883020114989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6.1463047887689E-3</v>
      </c>
      <c r="C52" s="17">
        <f t="shared" si="47"/>
        <v>7.3449730569281023E-3</v>
      </c>
      <c r="D52" s="17">
        <f t="shared" ref="D52:V52" si="48">IF(D10=0,0,D10/D$3)</f>
        <v>7.6682408601836376E-3</v>
      </c>
      <c r="E52" s="17">
        <f t="shared" si="48"/>
        <v>7.2720010335488175E-3</v>
      </c>
      <c r="F52" s="17">
        <f t="shared" si="48"/>
        <v>6.4914063128523204E-3</v>
      </c>
      <c r="G52" s="17">
        <f t="shared" si="48"/>
        <v>6.4362510002644218E-3</v>
      </c>
      <c r="H52" s="17">
        <f t="shared" si="48"/>
        <v>6.4227347655000794E-3</v>
      </c>
      <c r="I52" s="17">
        <f t="shared" si="48"/>
        <v>7.3350637262399191E-3</v>
      </c>
      <c r="J52" s="17">
        <f t="shared" si="48"/>
        <v>6.8146650614766668E-3</v>
      </c>
      <c r="K52" s="17">
        <f t="shared" si="48"/>
        <v>7.651230322417964E-3</v>
      </c>
      <c r="L52" s="17">
        <f t="shared" si="48"/>
        <v>5.3225409965251495E-3</v>
      </c>
      <c r="M52" s="17">
        <f t="shared" si="48"/>
        <v>4.7258622009721373E-3</v>
      </c>
      <c r="N52" s="17">
        <f t="shared" si="48"/>
        <v>4.3804532221291296E-3</v>
      </c>
      <c r="O52" s="17">
        <f t="shared" si="48"/>
        <v>4.4035922429392933E-3</v>
      </c>
      <c r="P52" s="17">
        <f t="shared" si="48"/>
        <v>3.6763086900026983E-3</v>
      </c>
      <c r="Q52" s="17">
        <f t="shared" si="48"/>
        <v>3.5206298569374589E-3</v>
      </c>
      <c r="R52" s="17">
        <f t="shared" si="48"/>
        <v>3.0681186126028277E-3</v>
      </c>
      <c r="S52" s="17">
        <f t="shared" si="48"/>
        <v>2.566984100516743E-3</v>
      </c>
      <c r="T52" s="17">
        <f t="shared" si="48"/>
        <v>4.4979662735799607E-3</v>
      </c>
      <c r="U52" s="17">
        <f t="shared" si="48"/>
        <v>3.5085206264791583E-3</v>
      </c>
      <c r="V52" s="17">
        <f t="shared" si="48"/>
        <v>1.5059392619825907E-2</v>
      </c>
      <c r="W52" s="17">
        <f t="shared" ref="W52" si="49">IF(W10=0,0,W10/W$3)</f>
        <v>1.1399806949903744E-2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1.8345050733085636E-3</v>
      </c>
      <c r="C53" s="104">
        <f t="shared" si="50"/>
        <v>2.2118392383423061E-3</v>
      </c>
      <c r="D53" s="104">
        <f t="shared" ref="D53:V53" si="51">IF(D11=0,0,D11/D$3)</f>
        <v>2.2963289437352799E-3</v>
      </c>
      <c r="E53" s="104">
        <f t="shared" si="51"/>
        <v>2.1203832420260203E-3</v>
      </c>
      <c r="F53" s="104">
        <f t="shared" si="51"/>
        <v>1.8877422326520981E-3</v>
      </c>
      <c r="G53" s="104">
        <f t="shared" si="51"/>
        <v>1.9373231632125901E-3</v>
      </c>
      <c r="H53" s="104">
        <f t="shared" si="51"/>
        <v>2.4148584467657856E-3</v>
      </c>
      <c r="I53" s="104">
        <f t="shared" si="51"/>
        <v>2.7704747791311474E-3</v>
      </c>
      <c r="J53" s="104">
        <f t="shared" si="51"/>
        <v>2.291144911877594E-3</v>
      </c>
      <c r="K53" s="104">
        <f t="shared" si="51"/>
        <v>1.7566676735356168E-3</v>
      </c>
      <c r="L53" s="104">
        <f t="shared" si="51"/>
        <v>1.2556944744756182E-3</v>
      </c>
      <c r="M53" s="104">
        <f t="shared" si="51"/>
        <v>1.0985114614261696E-3</v>
      </c>
      <c r="N53" s="104">
        <f t="shared" si="51"/>
        <v>8.168326023601151E-4</v>
      </c>
      <c r="O53" s="104">
        <f t="shared" si="51"/>
        <v>6.3034401099960479E-4</v>
      </c>
      <c r="P53" s="104">
        <f t="shared" si="51"/>
        <v>4.8996660126299696E-4</v>
      </c>
      <c r="Q53" s="104">
        <f t="shared" si="51"/>
        <v>4.9122611983004529E-4</v>
      </c>
      <c r="R53" s="104">
        <f t="shared" si="51"/>
        <v>3.2839951572829145E-4</v>
      </c>
      <c r="S53" s="104">
        <f t="shared" si="51"/>
        <v>2.6388396967203762E-4</v>
      </c>
      <c r="T53" s="104">
        <f t="shared" si="51"/>
        <v>1.7799255535243954E-4</v>
      </c>
      <c r="U53" s="104">
        <f t="shared" si="51"/>
        <v>1.2949527001200592E-4</v>
      </c>
      <c r="V53" s="104">
        <f t="shared" si="51"/>
        <v>8.5404645913845736E-5</v>
      </c>
      <c r="W53" s="104">
        <f t="shared" ref="W53" si="52">IF(W11=0,0,W11/W$3)</f>
        <v>3.9302568704934081E-5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3.7574303746490448E-3</v>
      </c>
      <c r="C54" s="104">
        <f t="shared" si="53"/>
        <v>4.5007939049145152E-3</v>
      </c>
      <c r="D54" s="104">
        <f t="shared" ref="D54:V54" si="54">IF(D12=0,0,D12/D$3)</f>
        <v>4.7177944846843898E-3</v>
      </c>
      <c r="E54" s="104">
        <f t="shared" si="54"/>
        <v>4.405611706759396E-3</v>
      </c>
      <c r="F54" s="104">
        <f t="shared" si="54"/>
        <v>3.9528857710377794E-3</v>
      </c>
      <c r="G54" s="104">
        <f t="shared" si="54"/>
        <v>3.8692796328404847E-3</v>
      </c>
      <c r="H54" s="104">
        <f t="shared" si="54"/>
        <v>3.5033979648577082E-3</v>
      </c>
      <c r="I54" s="104">
        <f t="shared" si="54"/>
        <v>4.0990967506496032E-3</v>
      </c>
      <c r="J54" s="104">
        <f t="shared" si="54"/>
        <v>4.1043030536839749E-3</v>
      </c>
      <c r="K54" s="104">
        <f t="shared" si="54"/>
        <v>5.5891098117721687E-3</v>
      </c>
      <c r="L54" s="104">
        <f t="shared" si="54"/>
        <v>3.7664928053205934E-3</v>
      </c>
      <c r="M54" s="104">
        <f t="shared" si="54"/>
        <v>2.6137825751114362E-3</v>
      </c>
      <c r="N54" s="104">
        <f t="shared" si="54"/>
        <v>2.7714500526787259E-3</v>
      </c>
      <c r="O54" s="104">
        <f t="shared" si="54"/>
        <v>2.6622064639417499E-3</v>
      </c>
      <c r="P54" s="104">
        <f t="shared" si="54"/>
        <v>2.248213111332283E-3</v>
      </c>
      <c r="Q54" s="104">
        <f t="shared" si="54"/>
        <v>2.2292456591287554E-3</v>
      </c>
      <c r="R54" s="104">
        <f t="shared" si="54"/>
        <v>1.9861617781177028E-3</v>
      </c>
      <c r="S54" s="104">
        <f t="shared" si="54"/>
        <v>1.5606629229698668E-3</v>
      </c>
      <c r="T54" s="104">
        <f t="shared" si="54"/>
        <v>1.5874409245925738E-3</v>
      </c>
      <c r="U54" s="104">
        <f t="shared" si="54"/>
        <v>1.5690822017890248E-3</v>
      </c>
      <c r="V54" s="104">
        <f t="shared" si="54"/>
        <v>7.678435260305946E-3</v>
      </c>
      <c r="W54" s="104">
        <f t="shared" ref="W54" si="55">IF(W12=0,0,W12/W$3)</f>
        <v>5.5698072944731477E-3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5.5436934081129171E-4</v>
      </c>
      <c r="C55" s="105">
        <f t="shared" si="56"/>
        <v>6.3233991367128044E-4</v>
      </c>
      <c r="D55" s="105">
        <f t="shared" ref="D55:V55" si="57">IF(D13=0,0,D13/D$3)</f>
        <v>6.5411743176396818E-4</v>
      </c>
      <c r="E55" s="105">
        <f t="shared" si="57"/>
        <v>7.460060847634015E-4</v>
      </c>
      <c r="F55" s="105">
        <f t="shared" si="57"/>
        <v>6.5077830916244334E-4</v>
      </c>
      <c r="G55" s="105">
        <f t="shared" si="57"/>
        <v>6.2964820421134663E-4</v>
      </c>
      <c r="H55" s="105">
        <f t="shared" si="57"/>
        <v>5.0447835387658476E-4</v>
      </c>
      <c r="I55" s="105">
        <f t="shared" si="57"/>
        <v>4.6549219645916829E-4</v>
      </c>
      <c r="J55" s="105">
        <f t="shared" si="57"/>
        <v>4.1921709591509807E-4</v>
      </c>
      <c r="K55" s="105">
        <f t="shared" si="57"/>
        <v>3.0545283711017773E-4</v>
      </c>
      <c r="L55" s="105">
        <f t="shared" si="57"/>
        <v>3.003537167289376E-4</v>
      </c>
      <c r="M55" s="105">
        <f t="shared" si="57"/>
        <v>1.0135681644345312E-3</v>
      </c>
      <c r="N55" s="105">
        <f t="shared" si="57"/>
        <v>7.9217056709028893E-4</v>
      </c>
      <c r="O55" s="105">
        <f t="shared" si="57"/>
        <v>1.1110417679979375E-3</v>
      </c>
      <c r="P55" s="105">
        <f t="shared" si="57"/>
        <v>9.3812897740741801E-4</v>
      </c>
      <c r="Q55" s="105">
        <f t="shared" si="57"/>
        <v>8.0015807797865785E-4</v>
      </c>
      <c r="R55" s="105">
        <f t="shared" si="57"/>
        <v>7.5355731875683383E-4</v>
      </c>
      <c r="S55" s="105">
        <f t="shared" si="57"/>
        <v>7.4243720787483874E-4</v>
      </c>
      <c r="T55" s="105">
        <f t="shared" si="57"/>
        <v>2.7325327936349474E-3</v>
      </c>
      <c r="U55" s="105">
        <f t="shared" si="57"/>
        <v>1.8099431546781276E-3</v>
      </c>
      <c r="V55" s="105">
        <f t="shared" si="57"/>
        <v>7.2955527136061163E-3</v>
      </c>
      <c r="W55" s="105">
        <f t="shared" ref="W55" si="58">IF(W13=0,0,W13/W$3)</f>
        <v>5.7906970867256623E-3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374.51789353037492</v>
      </c>
      <c r="C57" s="62">
        <v>374.47807468254979</v>
      </c>
      <c r="D57" s="62">
        <v>380.49478664176956</v>
      </c>
      <c r="E57" s="62">
        <v>384.45291479239023</v>
      </c>
      <c r="F57" s="62">
        <v>382.86807248712523</v>
      </c>
      <c r="G57" s="62">
        <v>375.28491569310376</v>
      </c>
      <c r="H57" s="62">
        <v>372.41466828390406</v>
      </c>
      <c r="I57" s="62">
        <v>371.71156257049461</v>
      </c>
      <c r="J57" s="62">
        <v>371.79824810994148</v>
      </c>
      <c r="K57" s="62">
        <v>372.76207227782641</v>
      </c>
      <c r="L57" s="62">
        <v>365.00305893463275</v>
      </c>
      <c r="M57" s="62">
        <v>369.91304304687714</v>
      </c>
      <c r="N57" s="62">
        <v>365.55980954896472</v>
      </c>
      <c r="O57" s="62">
        <v>363.44048242757873</v>
      </c>
      <c r="P57" s="62">
        <v>367.88122316238668</v>
      </c>
      <c r="Q57" s="62">
        <v>372.5397608044442</v>
      </c>
      <c r="R57" s="62">
        <v>374.39787686728448</v>
      </c>
      <c r="S57" s="62">
        <v>372.26209920820537</v>
      </c>
      <c r="T57" s="62">
        <v>381.61347698343531</v>
      </c>
      <c r="U57" s="62">
        <v>378.74873161943265</v>
      </c>
      <c r="V57" s="62">
        <v>402.48077456664089</v>
      </c>
      <c r="W57" s="62">
        <v>386.53512842352427</v>
      </c>
      <c r="DA57" s="172" t="s">
        <v>313</v>
      </c>
    </row>
    <row r="58" spans="1:105" ht="11.45" customHeight="1" x14ac:dyDescent="0.25">
      <c r="A58" s="10" t="s">
        <v>33</v>
      </c>
      <c r="B58" s="14">
        <v>374.72975237460435</v>
      </c>
      <c r="C58" s="14">
        <v>374.73215490867938</v>
      </c>
      <c r="D58" s="14">
        <v>380.79837977487369</v>
      </c>
      <c r="E58" s="14">
        <v>384.7623008799788</v>
      </c>
      <c r="F58" s="14">
        <v>383.13653329728692</v>
      </c>
      <c r="G58" s="14">
        <v>375.5282032056503</v>
      </c>
      <c r="H58" s="14">
        <v>372.60635568005983</v>
      </c>
      <c r="I58" s="14">
        <v>371.88606601849955</v>
      </c>
      <c r="J58" s="14">
        <v>371.93579448621171</v>
      </c>
      <c r="K58" s="14">
        <v>372.865645582441</v>
      </c>
      <c r="L58" s="14">
        <v>365.01593304830641</v>
      </c>
      <c r="M58" s="14">
        <v>369.80456239500103</v>
      </c>
      <c r="N58" s="14">
        <v>365.31057528925589</v>
      </c>
      <c r="O58" s="14">
        <v>363.15813220438525</v>
      </c>
      <c r="P58" s="14">
        <v>367.64736086846221</v>
      </c>
      <c r="Q58" s="14">
        <v>372.30157874630243</v>
      </c>
      <c r="R58" s="14">
        <v>374.13403723178897</v>
      </c>
      <c r="S58" s="14">
        <v>371.9376568285536</v>
      </c>
      <c r="T58" s="14">
        <v>379.97083964720139</v>
      </c>
      <c r="U58" s="14">
        <v>377.72811526634661</v>
      </c>
      <c r="V58" s="14">
        <v>400.71559396756197</v>
      </c>
      <c r="W58" s="14">
        <v>384.75500156313581</v>
      </c>
      <c r="DA58" s="189" t="s">
        <v>314</v>
      </c>
    </row>
    <row r="59" spans="1:105" ht="11.45" customHeight="1" x14ac:dyDescent="0.25">
      <c r="A59" s="83" t="s">
        <v>27</v>
      </c>
      <c r="B59" s="87">
        <v>617.30244686433582</v>
      </c>
      <c r="C59" s="87">
        <v>617.30244686433582</v>
      </c>
      <c r="D59" s="87">
        <v>617.30244686433582</v>
      </c>
      <c r="E59" s="87">
        <v>617.30244686433582</v>
      </c>
      <c r="F59" s="87">
        <v>617.30244686433582</v>
      </c>
      <c r="G59" s="87">
        <v>611.02052424876968</v>
      </c>
      <c r="H59" s="87">
        <v>620.62942092792935</v>
      </c>
      <c r="I59" s="87">
        <v>620.35922607924681</v>
      </c>
      <c r="J59" s="87">
        <v>624.16882661325133</v>
      </c>
      <c r="K59" s="87">
        <v>631.79865725342029</v>
      </c>
      <c r="L59" s="87">
        <v>621.43491096584262</v>
      </c>
      <c r="M59" s="87">
        <v>645.50789469798144</v>
      </c>
      <c r="N59" s="87">
        <v>667.74350121048985</v>
      </c>
      <c r="O59" s="87">
        <v>659.05873136560342</v>
      </c>
      <c r="P59" s="87">
        <v>659.3859912348712</v>
      </c>
      <c r="Q59" s="87">
        <v>657.13484637984584</v>
      </c>
      <c r="R59" s="87">
        <v>646.12261531569641</v>
      </c>
      <c r="S59" s="87">
        <v>640.91662654369986</v>
      </c>
      <c r="T59" s="87">
        <v>641.83437220599342</v>
      </c>
      <c r="U59" s="87">
        <v>637.87985577272502</v>
      </c>
      <c r="V59" s="87">
        <v>643.70788749269946</v>
      </c>
      <c r="W59" s="87">
        <v>634.377874189816</v>
      </c>
      <c r="DA59" s="171" t="s">
        <v>315</v>
      </c>
    </row>
    <row r="60" spans="1:105" ht="11.45" customHeight="1" x14ac:dyDescent="0.25">
      <c r="A60" s="83" t="s">
        <v>173</v>
      </c>
      <c r="B60" s="87">
        <v>347.14974663613538</v>
      </c>
      <c r="C60" s="87">
        <v>347.15220619912503</v>
      </c>
      <c r="D60" s="87">
        <v>347.15246981191484</v>
      </c>
      <c r="E60" s="87">
        <v>347.15277155867432</v>
      </c>
      <c r="F60" s="87">
        <v>347.15132306601583</v>
      </c>
      <c r="G60" s="87">
        <v>344.79331986302549</v>
      </c>
      <c r="H60" s="87">
        <v>343.05146546907048</v>
      </c>
      <c r="I60" s="87">
        <v>342.66705426021309</v>
      </c>
      <c r="J60" s="87">
        <v>340.04505686052983</v>
      </c>
      <c r="K60" s="87">
        <v>338.16889294882122</v>
      </c>
      <c r="L60" s="87">
        <v>335.91897244173452</v>
      </c>
      <c r="M60" s="87">
        <v>338.20307272196374</v>
      </c>
      <c r="N60" s="87">
        <v>333.53891755606816</v>
      </c>
      <c r="O60" s="87">
        <v>329.90626707696117</v>
      </c>
      <c r="P60" s="87">
        <v>328.9430641827044</v>
      </c>
      <c r="Q60" s="87">
        <v>328.29777418922311</v>
      </c>
      <c r="R60" s="87">
        <v>326.86216532995718</v>
      </c>
      <c r="S60" s="87">
        <v>324.60883392794301</v>
      </c>
      <c r="T60" s="87">
        <v>323.80441083929884</v>
      </c>
      <c r="U60" s="87">
        <v>323.36918683370982</v>
      </c>
      <c r="V60" s="87">
        <v>334.22767000063607</v>
      </c>
      <c r="W60" s="87">
        <v>326.71250434568083</v>
      </c>
      <c r="DA60" s="171" t="s">
        <v>316</v>
      </c>
    </row>
    <row r="61" spans="1:105" ht="11.45" customHeight="1" x14ac:dyDescent="0.25">
      <c r="A61" s="83" t="s">
        <v>174</v>
      </c>
      <c r="B61" s="87">
        <v>356.11833771826605</v>
      </c>
      <c r="C61" s="87">
        <v>356.11833771826599</v>
      </c>
      <c r="D61" s="87">
        <v>356.11833771826605</v>
      </c>
      <c r="E61" s="87">
        <v>356.11833771826605</v>
      </c>
      <c r="F61" s="87">
        <v>356.11833771826605</v>
      </c>
      <c r="G61" s="87">
        <v>362.77429928952603</v>
      </c>
      <c r="H61" s="87">
        <v>381.18935648688176</v>
      </c>
      <c r="I61" s="87">
        <v>375.76888749599431</v>
      </c>
      <c r="J61" s="87">
        <v>369.29639016658246</v>
      </c>
      <c r="K61" s="87">
        <v>373.54523390319929</v>
      </c>
      <c r="L61" s="87">
        <v>364.29597860448939</v>
      </c>
      <c r="M61" s="87">
        <v>363.50661244744168</v>
      </c>
      <c r="N61" s="87">
        <v>366.89295532845682</v>
      </c>
      <c r="O61" s="87">
        <v>394.14132277678988</v>
      </c>
      <c r="P61" s="87">
        <v>422.37559846996368</v>
      </c>
      <c r="Q61" s="87">
        <v>443.5418809141176</v>
      </c>
      <c r="R61" s="87">
        <v>463.73090834811438</v>
      </c>
      <c r="S61" s="87">
        <v>483.23551374157915</v>
      </c>
      <c r="T61" s="87">
        <v>507.35658136442993</v>
      </c>
      <c r="U61" s="87">
        <v>512.20129528637506</v>
      </c>
      <c r="V61" s="87">
        <v>520.24126142189164</v>
      </c>
      <c r="W61" s="87">
        <v>514.88077287173735</v>
      </c>
      <c r="DA61" s="171" t="s">
        <v>317</v>
      </c>
    </row>
    <row r="62" spans="1:105" ht="11.45" customHeight="1" x14ac:dyDescent="0.25">
      <c r="A62" s="12" t="s">
        <v>34</v>
      </c>
      <c r="B62" s="15">
        <v>330.51910846676793</v>
      </c>
      <c r="C62" s="15">
        <v>330.11401595752307</v>
      </c>
      <c r="D62" s="15">
        <v>330.06439721568398</v>
      </c>
      <c r="E62" s="15">
        <v>331.05843649248641</v>
      </c>
      <c r="F62" s="15">
        <v>330.93364177450178</v>
      </c>
      <c r="G62" s="15">
        <v>329.17384146166552</v>
      </c>
      <c r="H62" s="15">
        <v>333.55870136842094</v>
      </c>
      <c r="I62" s="15">
        <v>339.64041689339496</v>
      </c>
      <c r="J62" s="15">
        <v>344.32346881154928</v>
      </c>
      <c r="K62" s="15">
        <v>356.49999273474725</v>
      </c>
      <c r="L62" s="15">
        <v>361.89623732259133</v>
      </c>
      <c r="M62" s="15">
        <v>399.08112549412465</v>
      </c>
      <c r="N62" s="15">
        <v>441.50818313531641</v>
      </c>
      <c r="O62" s="15">
        <v>440.07227282289779</v>
      </c>
      <c r="P62" s="15">
        <v>440.64980639449232</v>
      </c>
      <c r="Q62" s="15">
        <v>447.64234350489136</v>
      </c>
      <c r="R62" s="15">
        <v>463.45068551481637</v>
      </c>
      <c r="S62" s="15">
        <v>496.85706464974339</v>
      </c>
      <c r="T62" s="15">
        <v>682.23755940195451</v>
      </c>
      <c r="U62" s="15">
        <v>620.32691162706828</v>
      </c>
      <c r="V62" s="15">
        <v>551.1479688783852</v>
      </c>
      <c r="W62" s="15">
        <v>564.21394525719052</v>
      </c>
      <c r="DA62" s="193" t="s">
        <v>318</v>
      </c>
    </row>
    <row r="63" spans="1:105" ht="11.45" customHeight="1" x14ac:dyDescent="0.25">
      <c r="A63" s="92" t="s">
        <v>27</v>
      </c>
      <c r="B63" s="101">
        <v>1007.2045392900575</v>
      </c>
      <c r="C63" s="101">
        <v>1007.2045392900575</v>
      </c>
      <c r="D63" s="101">
        <v>1007.2045392900575</v>
      </c>
      <c r="E63" s="101">
        <v>1007.2045392900574</v>
      </c>
      <c r="F63" s="101">
        <v>1007.2045392900574</v>
      </c>
      <c r="G63" s="101">
        <v>986.60982684729856</v>
      </c>
      <c r="H63" s="101">
        <v>892.90886196038298</v>
      </c>
      <c r="I63" s="101">
        <v>798.36007189172608</v>
      </c>
      <c r="J63" s="101">
        <v>731.11150075322428</v>
      </c>
      <c r="K63" s="101">
        <v>681.03045785215284</v>
      </c>
      <c r="L63" s="101">
        <v>620.83950981817452</v>
      </c>
      <c r="M63" s="101">
        <v>830.74049550706127</v>
      </c>
      <c r="N63" s="101">
        <v>1345.7473989871914</v>
      </c>
      <c r="O63" s="101">
        <v>1221.2482008004388</v>
      </c>
      <c r="P63" s="101">
        <v>1152.4098316314635</v>
      </c>
      <c r="Q63" s="101">
        <v>1083.1152038328887</v>
      </c>
      <c r="R63" s="101">
        <v>997.08073144801165</v>
      </c>
      <c r="S63" s="101">
        <v>938.861683271522</v>
      </c>
      <c r="T63" s="101">
        <v>901.83518872269917</v>
      </c>
      <c r="U63" s="101">
        <v>901.83518872269917</v>
      </c>
      <c r="V63" s="101">
        <v>915.63129064310021</v>
      </c>
      <c r="W63" s="101">
        <v>893.62383399075918</v>
      </c>
      <c r="DA63" s="175" t="s">
        <v>319</v>
      </c>
    </row>
    <row r="64" spans="1:105" ht="11.45" customHeight="1" x14ac:dyDescent="0.25">
      <c r="A64" s="92" t="s">
        <v>173</v>
      </c>
      <c r="B64" s="101">
        <v>324.2498354823573</v>
      </c>
      <c r="C64" s="101">
        <v>324.0724951284908</v>
      </c>
      <c r="D64" s="101">
        <v>324.09585684993516</v>
      </c>
      <c r="E64" s="101">
        <v>323.94552879744441</v>
      </c>
      <c r="F64" s="101">
        <v>323.99846133282153</v>
      </c>
      <c r="G64" s="101">
        <v>323.45598633367638</v>
      </c>
      <c r="H64" s="101">
        <v>329.99509171011726</v>
      </c>
      <c r="I64" s="101">
        <v>338.44895182439075</v>
      </c>
      <c r="J64" s="101">
        <v>345.27753452525491</v>
      </c>
      <c r="K64" s="101">
        <v>358.72607180956254</v>
      </c>
      <c r="L64" s="101">
        <v>368.24345707910743</v>
      </c>
      <c r="M64" s="101">
        <v>394.928023016081</v>
      </c>
      <c r="N64" s="101">
        <v>415.26036894780867</v>
      </c>
      <c r="O64" s="101">
        <v>401.76147606025239</v>
      </c>
      <c r="P64" s="101">
        <v>396.12705493554495</v>
      </c>
      <c r="Q64" s="101">
        <v>388.93613088810548</v>
      </c>
      <c r="R64" s="101">
        <v>381.19035389203111</v>
      </c>
      <c r="S64" s="101">
        <v>373.10930048154916</v>
      </c>
      <c r="T64" s="101">
        <v>366.17176957983304</v>
      </c>
      <c r="U64" s="101">
        <v>352.08901354291402</v>
      </c>
      <c r="V64" s="101">
        <v>374.03405535961991</v>
      </c>
      <c r="W64" s="101">
        <v>354.06041958243975</v>
      </c>
      <c r="DA64" s="175" t="s">
        <v>320</v>
      </c>
    </row>
    <row r="65" spans="1:105" ht="11.45" customHeight="1" x14ac:dyDescent="0.25">
      <c r="A65" s="85" t="s">
        <v>174</v>
      </c>
      <c r="B65" s="88">
        <v>369.15277885087443</v>
      </c>
      <c r="C65" s="88">
        <v>369.15277885087437</v>
      </c>
      <c r="D65" s="88">
        <v>369.15277885087437</v>
      </c>
      <c r="E65" s="88">
        <v>369.15277885087443</v>
      </c>
      <c r="F65" s="88">
        <v>369.15277885087443</v>
      </c>
      <c r="G65" s="88">
        <v>368.20351390686034</v>
      </c>
      <c r="H65" s="88">
        <v>359.95241879746067</v>
      </c>
      <c r="I65" s="88">
        <v>348.85406498414847</v>
      </c>
      <c r="J65" s="88">
        <v>337.73218488993854</v>
      </c>
      <c r="K65" s="88">
        <v>328.16347160177793</v>
      </c>
      <c r="L65" s="88">
        <v>316.77007319301549</v>
      </c>
      <c r="M65" s="88">
        <v>405.88163047200243</v>
      </c>
      <c r="N65" s="88">
        <v>509.46975854335915</v>
      </c>
      <c r="O65" s="88">
        <v>518.83398666377082</v>
      </c>
      <c r="P65" s="88">
        <v>534.27767785685433</v>
      </c>
      <c r="Q65" s="88">
        <v>569.83777455307904</v>
      </c>
      <c r="R65" s="88">
        <v>620.23937077231085</v>
      </c>
      <c r="S65" s="88">
        <v>696.85364665992336</v>
      </c>
      <c r="T65" s="88">
        <v>818.25655623183263</v>
      </c>
      <c r="U65" s="88">
        <v>823.49585106285258</v>
      </c>
      <c r="V65" s="88">
        <v>807.36860490847334</v>
      </c>
      <c r="W65" s="88">
        <v>812.85510708197319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1.1623939161631094</v>
      </c>
      <c r="C67" s="59">
        <f t="shared" ref="C67:W67" si="60">IF(C3=0,0,C17/C57)</f>
        <v>1.1600466294445171</v>
      </c>
      <c r="D67" s="59">
        <f t="shared" si="60"/>
        <v>1.1446968973713232</v>
      </c>
      <c r="E67" s="59">
        <f t="shared" si="60"/>
        <v>1.1351305386638326</v>
      </c>
      <c r="F67" s="59">
        <f t="shared" si="60"/>
        <v>1.1383569605523656</v>
      </c>
      <c r="G67" s="59">
        <f t="shared" si="60"/>
        <v>1.1231087604743193</v>
      </c>
      <c r="H67" s="59">
        <f t="shared" si="60"/>
        <v>1.0430133934485237</v>
      </c>
      <c r="I67" s="59">
        <f t="shared" si="60"/>
        <v>1.034664831471531</v>
      </c>
      <c r="J67" s="59">
        <f t="shared" si="60"/>
        <v>1.1472907035216082</v>
      </c>
      <c r="K67" s="59">
        <f t="shared" si="60"/>
        <v>0.99267337456437232</v>
      </c>
      <c r="L67" s="59">
        <f t="shared" si="60"/>
        <v>1.0065002478677167</v>
      </c>
      <c r="M67" s="59">
        <f t="shared" si="60"/>
        <v>1.0786414659880004</v>
      </c>
      <c r="N67" s="59">
        <f t="shared" si="60"/>
        <v>1.0892803812819003</v>
      </c>
      <c r="O67" s="59">
        <f t="shared" si="60"/>
        <v>1.1198666847693184</v>
      </c>
      <c r="P67" s="59">
        <f t="shared" si="60"/>
        <v>1.0455876235578945</v>
      </c>
      <c r="Q67" s="59">
        <f t="shared" si="60"/>
        <v>0.9536265508097691</v>
      </c>
      <c r="R67" s="59">
        <f t="shared" si="60"/>
        <v>0.8826980633773871</v>
      </c>
      <c r="S67" s="59">
        <f t="shared" si="60"/>
        <v>0.90191528501562601</v>
      </c>
      <c r="T67" s="59">
        <f t="shared" si="60"/>
        <v>0.95259999690029129</v>
      </c>
      <c r="U67" s="59">
        <f t="shared" si="60"/>
        <v>0.98246830839645316</v>
      </c>
      <c r="V67" s="59">
        <f t="shared" si="60"/>
        <v>0.99196230352127202</v>
      </c>
      <c r="W67" s="59">
        <f t="shared" si="60"/>
        <v>0.99396447408170063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1.1612962645223817</v>
      </c>
      <c r="C68" s="23">
        <f t="shared" ref="C68:W68" si="62">IF(C6=0,0,C18/C58)</f>
        <v>1.1587110110451906</v>
      </c>
      <c r="D68" s="23">
        <f t="shared" si="62"/>
        <v>1.1432555271724858</v>
      </c>
      <c r="E68" s="23">
        <f t="shared" si="62"/>
        <v>1.1337843377886558</v>
      </c>
      <c r="F68" s="23">
        <f t="shared" si="62"/>
        <v>1.1371677495469987</v>
      </c>
      <c r="G68" s="23">
        <f t="shared" si="62"/>
        <v>1.1222092087412778</v>
      </c>
      <c r="H68" s="23">
        <f t="shared" si="62"/>
        <v>1.0421008203418465</v>
      </c>
      <c r="I68" s="23">
        <f t="shared" si="62"/>
        <v>1.0337822534524383</v>
      </c>
      <c r="J68" s="23">
        <f t="shared" si="62"/>
        <v>1.1467079063849912</v>
      </c>
      <c r="K68" s="23">
        <f t="shared" si="62"/>
        <v>0.9924328399779635</v>
      </c>
      <c r="L68" s="23">
        <f t="shared" si="62"/>
        <v>1.0064137595478293</v>
      </c>
      <c r="M68" s="23">
        <f t="shared" si="62"/>
        <v>1.0786879293519933</v>
      </c>
      <c r="N68" s="23">
        <f t="shared" si="62"/>
        <v>1.0892104509811351</v>
      </c>
      <c r="O68" s="23">
        <f t="shared" si="62"/>
        <v>1.1202536440389836</v>
      </c>
      <c r="P68" s="23">
        <f t="shared" si="62"/>
        <v>1.0460317919284727</v>
      </c>
      <c r="Q68" s="23">
        <f t="shared" si="62"/>
        <v>0.95411533154921624</v>
      </c>
      <c r="R68" s="23">
        <f t="shared" si="62"/>
        <v>0.88336861467291705</v>
      </c>
      <c r="S68" s="23">
        <f t="shared" si="62"/>
        <v>0.90286680614604975</v>
      </c>
      <c r="T68" s="23">
        <f t="shared" si="62"/>
        <v>0.95773027021092305</v>
      </c>
      <c r="U68" s="23">
        <f t="shared" si="62"/>
        <v>0.98590019044412724</v>
      </c>
      <c r="V68" s="23">
        <f t="shared" si="62"/>
        <v>0.99304981615735732</v>
      </c>
      <c r="W68" s="23">
        <f t="shared" si="62"/>
        <v>0.99710161050875268</v>
      </c>
      <c r="DA68" s="189"/>
    </row>
    <row r="69" spans="1:105" ht="11.45" customHeight="1" x14ac:dyDescent="0.25">
      <c r="A69" s="83" t="s">
        <v>27</v>
      </c>
      <c r="B69" s="91">
        <f t="shared" si="61"/>
        <v>0.80743942062519602</v>
      </c>
      <c r="C69" s="91">
        <f t="shared" ref="C69:W69" si="63">IF(C7=0,0,C19/C59)</f>
        <v>0.80382331947719832</v>
      </c>
      <c r="D69" s="91">
        <f t="shared" si="63"/>
        <v>0.80559711048511162</v>
      </c>
      <c r="E69" s="91">
        <f t="shared" si="63"/>
        <v>0.80726457596683754</v>
      </c>
      <c r="F69" s="91">
        <f t="shared" si="63"/>
        <v>0.80729327286502806</v>
      </c>
      <c r="G69" s="91">
        <f t="shared" si="63"/>
        <v>0.79499629463320531</v>
      </c>
      <c r="H69" s="91">
        <f t="shared" si="63"/>
        <v>0.90492504663321205</v>
      </c>
      <c r="I69" s="91">
        <f t="shared" si="63"/>
        <v>0.86078287297839051</v>
      </c>
      <c r="J69" s="91">
        <f t="shared" si="63"/>
        <v>0.78423612671590759</v>
      </c>
      <c r="K69" s="91">
        <f t="shared" si="63"/>
        <v>0.69853656949161236</v>
      </c>
      <c r="L69" s="91">
        <f t="shared" si="63"/>
        <v>0.64602929884755467</v>
      </c>
      <c r="M69" s="91">
        <f t="shared" si="63"/>
        <v>0.68142535636925528</v>
      </c>
      <c r="N69" s="91">
        <f t="shared" si="63"/>
        <v>0.65761566144748773</v>
      </c>
      <c r="O69" s="91">
        <f t="shared" si="63"/>
        <v>0.69141259100964392</v>
      </c>
      <c r="P69" s="91">
        <f t="shared" si="63"/>
        <v>0.62128663264685813</v>
      </c>
      <c r="Q69" s="91">
        <f t="shared" si="63"/>
        <v>0.69069434616066083</v>
      </c>
      <c r="R69" s="91">
        <f t="shared" si="63"/>
        <v>0.64449069200701781</v>
      </c>
      <c r="S69" s="91">
        <f t="shared" si="63"/>
        <v>0.62001884205492663</v>
      </c>
      <c r="T69" s="91">
        <f t="shared" si="63"/>
        <v>0.61722337492084323</v>
      </c>
      <c r="U69" s="91">
        <f t="shared" si="63"/>
        <v>0.61070626679932283</v>
      </c>
      <c r="V69" s="91">
        <f t="shared" si="63"/>
        <v>0.52577994357594404</v>
      </c>
      <c r="W69" s="91">
        <f t="shared" si="63"/>
        <v>0.53503729357553786</v>
      </c>
      <c r="DA69" s="171"/>
    </row>
    <row r="70" spans="1:105" ht="11.45" customHeight="1" x14ac:dyDescent="0.25">
      <c r="A70" s="83" t="s">
        <v>173</v>
      </c>
      <c r="B70" s="91">
        <f t="shared" si="61"/>
        <v>1.2646115102905764</v>
      </c>
      <c r="C70" s="91">
        <f t="shared" ref="C70:W70" si="64">IF(C8=0,0,C20/C60)</f>
        <v>1.2621520411964848</v>
      </c>
      <c r="D70" s="91">
        <f t="shared" si="64"/>
        <v>1.2603563467695424</v>
      </c>
      <c r="E70" s="91">
        <f t="shared" si="64"/>
        <v>1.2593707870951885</v>
      </c>
      <c r="F70" s="91">
        <f t="shared" si="64"/>
        <v>1.2589833069176926</v>
      </c>
      <c r="G70" s="91">
        <f t="shared" si="64"/>
        <v>1.1891835358596452</v>
      </c>
      <c r="H70" s="91">
        <f t="shared" si="64"/>
        <v>1.0711787832464572</v>
      </c>
      <c r="I70" s="91">
        <f t="shared" si="64"/>
        <v>1.0924821998664311</v>
      </c>
      <c r="J70" s="91">
        <f t="shared" si="64"/>
        <v>1.2857581070942852</v>
      </c>
      <c r="K70" s="91">
        <f t="shared" si="64"/>
        <v>1.1056765945368214</v>
      </c>
      <c r="L70" s="91">
        <f t="shared" si="64"/>
        <v>1.1505471505747413</v>
      </c>
      <c r="M70" s="91">
        <f t="shared" si="64"/>
        <v>1.2573983975596332</v>
      </c>
      <c r="N70" s="91">
        <f t="shared" si="64"/>
        <v>1.2819038699960346</v>
      </c>
      <c r="O70" s="91">
        <f t="shared" si="64"/>
        <v>1.2800175279248729</v>
      </c>
      <c r="P70" s="91">
        <f t="shared" si="64"/>
        <v>1.2115638543532741</v>
      </c>
      <c r="Q70" s="91">
        <f t="shared" si="64"/>
        <v>1.1453897222866729</v>
      </c>
      <c r="R70" s="91">
        <f t="shared" si="64"/>
        <v>1.0898821047622429</v>
      </c>
      <c r="S70" s="91">
        <f t="shared" si="64"/>
        <v>1.12777009166473</v>
      </c>
      <c r="T70" s="91">
        <f t="shared" si="64"/>
        <v>1.2865206867915198</v>
      </c>
      <c r="U70" s="91">
        <f t="shared" si="64"/>
        <v>1.3009009060769305</v>
      </c>
      <c r="V70" s="91">
        <f t="shared" si="64"/>
        <v>1.1918287921602031</v>
      </c>
      <c r="W70" s="91">
        <f t="shared" si="64"/>
        <v>1.2173306559325623</v>
      </c>
      <c r="DA70" s="171"/>
    </row>
    <row r="71" spans="1:105" ht="11.45" customHeight="1" x14ac:dyDescent="0.25">
      <c r="A71" s="83" t="s">
        <v>174</v>
      </c>
      <c r="B71" s="91">
        <f t="shared" si="61"/>
        <v>1.0867784432997369</v>
      </c>
      <c r="C71" s="91">
        <f t="shared" ref="C71:W71" si="65">IF(C9=0,0,C21/C61)</f>
        <v>1.0846770724351016</v>
      </c>
      <c r="D71" s="91">
        <f t="shared" si="65"/>
        <v>1.0831343887123726</v>
      </c>
      <c r="E71" s="91">
        <f t="shared" si="65"/>
        <v>1.0822881362203567</v>
      </c>
      <c r="F71" s="91">
        <f t="shared" si="65"/>
        <v>1.0819492391523049</v>
      </c>
      <c r="G71" s="91">
        <f t="shared" si="65"/>
        <v>1.1953896722873347</v>
      </c>
      <c r="H71" s="91">
        <f t="shared" si="65"/>
        <v>1.0370277500759679</v>
      </c>
      <c r="I71" s="91">
        <f t="shared" si="65"/>
        <v>0.92159128660514444</v>
      </c>
      <c r="J71" s="91">
        <f t="shared" si="65"/>
        <v>0.9356224847296386</v>
      </c>
      <c r="K71" s="91">
        <f t="shared" si="65"/>
        <v>0.83133973696095398</v>
      </c>
      <c r="L71" s="91">
        <f t="shared" si="65"/>
        <v>0.76146620012352828</v>
      </c>
      <c r="M71" s="91">
        <f t="shared" si="65"/>
        <v>0.78863589165845571</v>
      </c>
      <c r="N71" s="91">
        <f t="shared" si="65"/>
        <v>0.75517950959945934</v>
      </c>
      <c r="O71" s="91">
        <f t="shared" si="65"/>
        <v>0.80638578236712188</v>
      </c>
      <c r="P71" s="91">
        <f t="shared" si="65"/>
        <v>0.7270821077571874</v>
      </c>
      <c r="Q71" s="91">
        <f t="shared" si="65"/>
        <v>0.54039804336304409</v>
      </c>
      <c r="R71" s="91">
        <f t="shared" si="65"/>
        <v>0.43895726579604288</v>
      </c>
      <c r="S71" s="91">
        <f t="shared" si="65"/>
        <v>0.40041790351154188</v>
      </c>
      <c r="T71" s="91">
        <f t="shared" si="65"/>
        <v>0.355066083655391</v>
      </c>
      <c r="U71" s="91">
        <f t="shared" si="65"/>
        <v>0.37963881175223296</v>
      </c>
      <c r="V71" s="91">
        <f t="shared" si="65"/>
        <v>0.83586801223874585</v>
      </c>
      <c r="W71" s="91">
        <f t="shared" si="65"/>
        <v>0.6693366418479948</v>
      </c>
      <c r="DA71" s="171"/>
    </row>
    <row r="72" spans="1:105" ht="11.45" customHeight="1" x14ac:dyDescent="0.25">
      <c r="A72" s="12" t="s">
        <v>34</v>
      </c>
      <c r="B72" s="24">
        <f t="shared" si="61"/>
        <v>1.4031926989723236</v>
      </c>
      <c r="C72" s="24">
        <f t="shared" ref="C72:W72" si="66">IF(C10=0,0,C22/C62)</f>
        <v>1.4059867947475775</v>
      </c>
      <c r="D72" s="24">
        <f t="shared" si="66"/>
        <v>1.4036018826487302</v>
      </c>
      <c r="E72" s="24">
        <f t="shared" si="66"/>
        <v>1.3907935774565607</v>
      </c>
      <c r="F72" s="24">
        <f t="shared" si="66"/>
        <v>1.3902719093469003</v>
      </c>
      <c r="G72" s="24">
        <f t="shared" si="66"/>
        <v>1.3114537570323164</v>
      </c>
      <c r="H72" s="24">
        <f t="shared" si="66"/>
        <v>1.2333531674973308</v>
      </c>
      <c r="I72" s="24">
        <f t="shared" si="66"/>
        <v>1.1944530863404192</v>
      </c>
      <c r="J72" s="24">
        <f t="shared" si="66"/>
        <v>1.2643086885214914</v>
      </c>
      <c r="K72" s="24">
        <f t="shared" si="66"/>
        <v>1.0332012787413867</v>
      </c>
      <c r="L72" s="24">
        <f t="shared" si="66"/>
        <v>1.0248442377541218</v>
      </c>
      <c r="M72" s="24">
        <f t="shared" si="66"/>
        <v>1.0554321692362814</v>
      </c>
      <c r="N72" s="24">
        <f t="shared" si="66"/>
        <v>1.0861965309356156</v>
      </c>
      <c r="O72" s="24">
        <f t="shared" si="66"/>
        <v>1.0249150843453054</v>
      </c>
      <c r="P72" s="24">
        <f t="shared" si="66"/>
        <v>0.92592081491195877</v>
      </c>
      <c r="Q72" s="24">
        <f t="shared" si="66"/>
        <v>0.82325898228973027</v>
      </c>
      <c r="R72" s="24">
        <f t="shared" si="66"/>
        <v>0.70069615704996036</v>
      </c>
      <c r="S72" s="24">
        <f t="shared" si="66"/>
        <v>0.63099845949247924</v>
      </c>
      <c r="T72" s="24">
        <f t="shared" si="66"/>
        <v>0.43183836919611729</v>
      </c>
      <c r="U72" s="24">
        <f t="shared" si="66"/>
        <v>0.49011424005148452</v>
      </c>
      <c r="V72" s="24">
        <f t="shared" si="66"/>
        <v>0.92416341820284842</v>
      </c>
      <c r="W72" s="24">
        <f t="shared" si="66"/>
        <v>0.78011889192072881</v>
      </c>
      <c r="DA72" s="193"/>
    </row>
    <row r="73" spans="1:105" ht="11.45" customHeight="1" x14ac:dyDescent="0.25">
      <c r="A73" s="92" t="s">
        <v>27</v>
      </c>
      <c r="B73" s="93">
        <f t="shared" si="61"/>
        <v>0.80743942062519614</v>
      </c>
      <c r="C73" s="93">
        <f t="shared" ref="C73:W73" si="67">IF(C11=0,0,C23/C63)</f>
        <v>0.80382331947719832</v>
      </c>
      <c r="D73" s="93">
        <f t="shared" si="67"/>
        <v>0.80559711048511151</v>
      </c>
      <c r="E73" s="93">
        <f t="shared" si="67"/>
        <v>0.80726457596683776</v>
      </c>
      <c r="F73" s="93">
        <f t="shared" si="67"/>
        <v>0.80729327286502817</v>
      </c>
      <c r="G73" s="93">
        <f t="shared" si="67"/>
        <v>0.79499629463320531</v>
      </c>
      <c r="H73" s="93">
        <f t="shared" si="67"/>
        <v>0.90492504663321194</v>
      </c>
      <c r="I73" s="93">
        <f t="shared" si="67"/>
        <v>0.86078287297839018</v>
      </c>
      <c r="J73" s="93">
        <f t="shared" si="67"/>
        <v>0.7842361267159077</v>
      </c>
      <c r="K73" s="93">
        <f t="shared" si="67"/>
        <v>0.69853656949161247</v>
      </c>
      <c r="L73" s="93">
        <f t="shared" si="67"/>
        <v>0.64602929884755478</v>
      </c>
      <c r="M73" s="93">
        <f t="shared" si="67"/>
        <v>0.68142535636925516</v>
      </c>
      <c r="N73" s="93">
        <f t="shared" si="67"/>
        <v>0.65761566144748762</v>
      </c>
      <c r="O73" s="93">
        <f t="shared" si="67"/>
        <v>0.69141259100964358</v>
      </c>
      <c r="P73" s="93">
        <f t="shared" si="67"/>
        <v>0.62128663264685802</v>
      </c>
      <c r="Q73" s="93">
        <f t="shared" si="67"/>
        <v>0.69069434616066094</v>
      </c>
      <c r="R73" s="93">
        <f t="shared" si="67"/>
        <v>0.6444906920070177</v>
      </c>
      <c r="S73" s="93">
        <f t="shared" si="67"/>
        <v>0.62001884205492652</v>
      </c>
      <c r="T73" s="93">
        <f t="shared" si="67"/>
        <v>0.617223374920843</v>
      </c>
      <c r="U73" s="93">
        <f t="shared" si="67"/>
        <v>0.61070626679932305</v>
      </c>
      <c r="V73" s="93">
        <f t="shared" si="67"/>
        <v>0.52577994357594404</v>
      </c>
      <c r="W73" s="93">
        <f t="shared" si="67"/>
        <v>0.53503729357553786</v>
      </c>
      <c r="DA73" s="175"/>
    </row>
    <row r="74" spans="1:105" ht="11.45" customHeight="1" x14ac:dyDescent="0.25">
      <c r="A74" s="92" t="s">
        <v>173</v>
      </c>
      <c r="B74" s="93">
        <f t="shared" si="61"/>
        <v>1.2247652371795195</v>
      </c>
      <c r="C74" s="93">
        <f t="shared" ref="C74:W74" si="68">IF(C12=0,0,C24/C64)</f>
        <v>1.22488608287186</v>
      </c>
      <c r="D74" s="93">
        <f t="shared" si="68"/>
        <v>1.2228164087068538</v>
      </c>
      <c r="E74" s="93">
        <f t="shared" si="68"/>
        <v>1.2239681005802447</v>
      </c>
      <c r="F74" s="93">
        <f t="shared" si="68"/>
        <v>1.2228429180568594</v>
      </c>
      <c r="G74" s="93">
        <f t="shared" si="68"/>
        <v>1.1025419780034902</v>
      </c>
      <c r="H74" s="93">
        <f t="shared" si="68"/>
        <v>0.95456829335608484</v>
      </c>
      <c r="I74" s="93">
        <f t="shared" si="68"/>
        <v>0.97354704258744174</v>
      </c>
      <c r="J74" s="93">
        <f t="shared" si="68"/>
        <v>1.1672287936843508</v>
      </c>
      <c r="K74" s="93">
        <f t="shared" si="68"/>
        <v>0.98387716301011208</v>
      </c>
      <c r="L74" s="93">
        <f t="shared" si="68"/>
        <v>1.0398279670487185</v>
      </c>
      <c r="M74" s="93">
        <f t="shared" si="68"/>
        <v>1.1488107076847569</v>
      </c>
      <c r="N74" s="93">
        <f t="shared" si="68"/>
        <v>1.1267010284567887</v>
      </c>
      <c r="O74" s="93">
        <f t="shared" si="68"/>
        <v>1.0923526631489928</v>
      </c>
      <c r="P74" s="93">
        <f t="shared" si="68"/>
        <v>1.0057968290856056</v>
      </c>
      <c r="Q74" s="93">
        <f t="shared" si="68"/>
        <v>0.95376296385230042</v>
      </c>
      <c r="R74" s="93">
        <f t="shared" si="68"/>
        <v>0.88890683402060056</v>
      </c>
      <c r="S74" s="93">
        <f t="shared" si="68"/>
        <v>0.87543855760433675</v>
      </c>
      <c r="T74" s="93">
        <f t="shared" si="68"/>
        <v>0.96397650249038958</v>
      </c>
      <c r="U74" s="93">
        <f t="shared" si="68"/>
        <v>0.91467254087121541</v>
      </c>
      <c r="V74" s="93">
        <f t="shared" si="68"/>
        <v>1.1813920068328509</v>
      </c>
      <c r="W74" s="93">
        <f t="shared" si="68"/>
        <v>1.1243352972079832</v>
      </c>
      <c r="DA74" s="175"/>
    </row>
    <row r="75" spans="1:105" ht="11.45" customHeight="1" x14ac:dyDescent="0.25">
      <c r="A75" s="85" t="s">
        <v>174</v>
      </c>
      <c r="B75" s="94">
        <f t="shared" si="61"/>
        <v>0.97810059896976276</v>
      </c>
      <c r="C75" s="94">
        <f t="shared" ref="C75:W75" si="69">IF(C13=0,0,C25/C65)</f>
        <v>0.97620936519159096</v>
      </c>
      <c r="D75" s="94">
        <f t="shared" si="69"/>
        <v>0.97482094984113488</v>
      </c>
      <c r="E75" s="94">
        <f t="shared" si="69"/>
        <v>0.97405932259832051</v>
      </c>
      <c r="F75" s="94">
        <f t="shared" si="69"/>
        <v>0.97375431523707423</v>
      </c>
      <c r="G75" s="94">
        <f t="shared" si="69"/>
        <v>1.0758507050586015</v>
      </c>
      <c r="H75" s="94">
        <f t="shared" si="69"/>
        <v>0.93332497506837098</v>
      </c>
      <c r="I75" s="94">
        <f t="shared" si="69"/>
        <v>0.82943215794462999</v>
      </c>
      <c r="J75" s="94">
        <f t="shared" si="69"/>
        <v>0.84206023625667514</v>
      </c>
      <c r="K75" s="94">
        <f t="shared" si="69"/>
        <v>0.74820576326485844</v>
      </c>
      <c r="L75" s="94">
        <f t="shared" si="69"/>
        <v>0.68531958011117522</v>
      </c>
      <c r="M75" s="94">
        <f t="shared" si="69"/>
        <v>0.70977230249261003</v>
      </c>
      <c r="N75" s="94">
        <f t="shared" si="69"/>
        <v>0.67966155863951361</v>
      </c>
      <c r="O75" s="94">
        <f t="shared" si="69"/>
        <v>0.72574720413040972</v>
      </c>
      <c r="P75" s="94">
        <f t="shared" si="69"/>
        <v>0.65437389698146864</v>
      </c>
      <c r="Q75" s="94">
        <f t="shared" si="69"/>
        <v>0.4863582390267398</v>
      </c>
      <c r="R75" s="94">
        <f t="shared" si="69"/>
        <v>0.39506153921643861</v>
      </c>
      <c r="S75" s="94">
        <f t="shared" si="69"/>
        <v>0.36037611316038781</v>
      </c>
      <c r="T75" s="94">
        <f t="shared" si="69"/>
        <v>0.31955947528985185</v>
      </c>
      <c r="U75" s="94">
        <f t="shared" si="69"/>
        <v>0.34167493057700971</v>
      </c>
      <c r="V75" s="94">
        <f t="shared" si="69"/>
        <v>0.75228121101487133</v>
      </c>
      <c r="W75" s="94">
        <f t="shared" si="69"/>
        <v>0.60240297766319528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227.57212799999999</v>
      </c>
      <c r="C3" s="79">
        <f t="shared" si="0"/>
        <v>227.57212799999996</v>
      </c>
      <c r="D3" s="79">
        <f t="shared" ref="D3" si="1">SUM(D4:D5)</f>
        <v>219.64059828000001</v>
      </c>
      <c r="E3" s="79">
        <f t="shared" ref="E3" si="2">SUM(E4:E5)</f>
        <v>216.48972420000007</v>
      </c>
      <c r="F3" s="79">
        <f t="shared" ref="F3" si="3">SUM(F4:F5)</f>
        <v>248.09693544000004</v>
      </c>
      <c r="G3" s="79">
        <f t="shared" ref="G3" si="4">SUM(G4:G5)</f>
        <v>295.50788172</v>
      </c>
      <c r="H3" s="79">
        <f t="shared" ref="H3" si="5">SUM(H4:H5)</f>
        <v>304.9899674400001</v>
      </c>
      <c r="I3" s="79">
        <f t="shared" ref="I3" si="6">SUM(I4:I5)</f>
        <v>317.6330072400001</v>
      </c>
      <c r="J3" s="79">
        <f t="shared" ref="J3" si="7">SUM(J4:J5)</f>
        <v>358.72230419999988</v>
      </c>
      <c r="K3" s="79">
        <f t="shared" ref="K3" si="8">SUM(K4:K5)</f>
        <v>308.15092152000005</v>
      </c>
      <c r="L3" s="79">
        <f t="shared" ref="L3" si="9">SUM(L4:L5)</f>
        <v>327.11509296000008</v>
      </c>
      <c r="M3" s="79">
        <f t="shared" ref="M3" si="10">SUM(M4:M5)</f>
        <v>346.07952323999984</v>
      </c>
      <c r="N3" s="79">
        <f t="shared" ref="N3" si="11">SUM(N4:N5)</f>
        <v>361.88325828000018</v>
      </c>
      <c r="O3" s="79">
        <f t="shared" ref="O3" si="12">SUM(O4:O5)</f>
        <v>393.49046951999998</v>
      </c>
      <c r="P3" s="79">
        <f t="shared" ref="P3" si="13">SUM(P4:P5)</f>
        <v>393.49046951999998</v>
      </c>
      <c r="Q3" s="79">
        <f t="shared" ref="Q3" si="14">SUM(Q4:Q5)</f>
        <v>383.69589696000008</v>
      </c>
      <c r="R3" s="79">
        <f t="shared" ref="R3" si="15">SUM(R4:R5)</f>
        <v>406.13325047999996</v>
      </c>
      <c r="S3" s="79">
        <f t="shared" ref="S3" si="16">SUM(S4:S5)</f>
        <v>476.93349684000009</v>
      </c>
      <c r="T3" s="79">
        <f t="shared" ref="T3" si="17">SUM(T4:T5)</f>
        <v>586.92677832000015</v>
      </c>
      <c r="U3" s="79">
        <f t="shared" ref="U3" si="18">SUM(U4:U5)</f>
        <v>633.07329119999997</v>
      </c>
      <c r="V3" s="79">
        <f t="shared" ref="V3:W3" si="19">SUM(V4:V5)</f>
        <v>179.19702539999994</v>
      </c>
      <c r="W3" s="79">
        <f t="shared" si="19"/>
        <v>318.26509452000005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25.28582076</v>
      </c>
      <c r="C4" s="96">
        <f t="shared" si="20"/>
        <v>25.285820760000004</v>
      </c>
      <c r="D4" s="96">
        <f t="shared" ref="D4:V4" si="21">SUM(D7,D11)</f>
        <v>29.99707200000001</v>
      </c>
      <c r="E4" s="96">
        <f t="shared" si="21"/>
        <v>33.167847240000022</v>
      </c>
      <c r="F4" s="96">
        <f t="shared" si="21"/>
        <v>36.328542479999996</v>
      </c>
      <c r="G4" s="96">
        <f t="shared" si="21"/>
        <v>36.328542479999996</v>
      </c>
      <c r="H4" s="96">
        <f t="shared" si="21"/>
        <v>39.489237720000013</v>
      </c>
      <c r="I4" s="96">
        <f t="shared" si="21"/>
        <v>39.489237720000013</v>
      </c>
      <c r="J4" s="96">
        <f t="shared" si="21"/>
        <v>39.489237720000013</v>
      </c>
      <c r="K4" s="96">
        <f t="shared" si="21"/>
        <v>36.328542479999996</v>
      </c>
      <c r="L4" s="96">
        <f t="shared" si="21"/>
        <v>30.007152000000008</v>
      </c>
      <c r="M4" s="96">
        <f t="shared" si="21"/>
        <v>33.167847240000015</v>
      </c>
      <c r="N4" s="96">
        <f t="shared" si="21"/>
        <v>30.007152000000008</v>
      </c>
      <c r="O4" s="96">
        <f t="shared" si="21"/>
        <v>30.007152000000012</v>
      </c>
      <c r="P4" s="96">
        <f t="shared" si="21"/>
        <v>30.007152000000001</v>
      </c>
      <c r="Q4" s="96">
        <f t="shared" si="21"/>
        <v>32.855619240000024</v>
      </c>
      <c r="R4" s="96">
        <f t="shared" si="21"/>
        <v>33.167847240000015</v>
      </c>
      <c r="S4" s="96">
        <f t="shared" si="21"/>
        <v>31.90367268000001</v>
      </c>
      <c r="T4" s="96">
        <f t="shared" si="21"/>
        <v>32.219716320000003</v>
      </c>
      <c r="U4" s="96">
        <f t="shared" si="21"/>
        <v>32.223531959999995</v>
      </c>
      <c r="V4" s="96">
        <f t="shared" si="21"/>
        <v>16.735840560000003</v>
      </c>
      <c r="W4" s="96">
        <f t="shared" ref="W4" si="22">SUM(W7,W11)</f>
        <v>22.421328120000002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202.28630723999999</v>
      </c>
      <c r="C5" s="96">
        <f t="shared" si="23"/>
        <v>202.28630723999996</v>
      </c>
      <c r="D5" s="96">
        <f t="shared" ref="D5:V5" si="24">SUM(D8:D9,D12:D13)</f>
        <v>189.64352628</v>
      </c>
      <c r="E5" s="96">
        <f t="shared" si="24"/>
        <v>183.32187696000005</v>
      </c>
      <c r="F5" s="96">
        <f t="shared" si="24"/>
        <v>211.76839296000003</v>
      </c>
      <c r="G5" s="96">
        <f t="shared" si="24"/>
        <v>259.17933923999999</v>
      </c>
      <c r="H5" s="96">
        <f t="shared" si="24"/>
        <v>265.50072972000009</v>
      </c>
      <c r="I5" s="96">
        <f t="shared" si="24"/>
        <v>278.14376952000009</v>
      </c>
      <c r="J5" s="96">
        <f t="shared" si="24"/>
        <v>319.23306647999988</v>
      </c>
      <c r="K5" s="96">
        <f t="shared" si="24"/>
        <v>271.82237904000004</v>
      </c>
      <c r="L5" s="96">
        <f t="shared" si="24"/>
        <v>297.10794096000006</v>
      </c>
      <c r="M5" s="96">
        <f t="shared" si="24"/>
        <v>312.91167599999983</v>
      </c>
      <c r="N5" s="96">
        <f t="shared" si="24"/>
        <v>331.87610628000016</v>
      </c>
      <c r="O5" s="96">
        <f t="shared" si="24"/>
        <v>363.48331751999996</v>
      </c>
      <c r="P5" s="96">
        <f t="shared" si="24"/>
        <v>363.48331751999996</v>
      </c>
      <c r="Q5" s="96">
        <f t="shared" si="24"/>
        <v>350.84027772000007</v>
      </c>
      <c r="R5" s="96">
        <f t="shared" si="24"/>
        <v>372.96540323999994</v>
      </c>
      <c r="S5" s="96">
        <f t="shared" si="24"/>
        <v>445.02982416000009</v>
      </c>
      <c r="T5" s="96">
        <f t="shared" si="24"/>
        <v>554.70706200000018</v>
      </c>
      <c r="U5" s="96">
        <f t="shared" si="24"/>
        <v>600.84975924000003</v>
      </c>
      <c r="V5" s="96">
        <f t="shared" si="24"/>
        <v>162.46118483999993</v>
      </c>
      <c r="W5" s="96">
        <f t="shared" ref="W5" si="25">SUM(W8:W9,W12:W13)</f>
        <v>295.84376640000005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226.17340033988327</v>
      </c>
      <c r="C6" s="21">
        <f t="shared" si="26"/>
        <v>225.90061685133216</v>
      </c>
      <c r="D6" s="21">
        <f t="shared" ref="D6:V6" si="27">SUM(D7:D9)</f>
        <v>217.95672532165511</v>
      </c>
      <c r="E6" s="21">
        <f t="shared" si="27"/>
        <v>214.91568828754239</v>
      </c>
      <c r="F6" s="21">
        <f t="shared" si="27"/>
        <v>246.48670800885168</v>
      </c>
      <c r="G6" s="21">
        <f t="shared" si="27"/>
        <v>293.60631304313102</v>
      </c>
      <c r="H6" s="21">
        <f t="shared" si="27"/>
        <v>303.03161502018673</v>
      </c>
      <c r="I6" s="21">
        <f t="shared" si="27"/>
        <v>315.30378126054444</v>
      </c>
      <c r="J6" s="21">
        <f t="shared" si="27"/>
        <v>356.27832397215701</v>
      </c>
      <c r="K6" s="21">
        <f t="shared" si="27"/>
        <v>305.79349428305039</v>
      </c>
      <c r="L6" s="21">
        <f t="shared" si="27"/>
        <v>325.37436311298814</v>
      </c>
      <c r="M6" s="21">
        <f t="shared" si="27"/>
        <v>344.44428388938059</v>
      </c>
      <c r="N6" s="21">
        <f t="shared" si="27"/>
        <v>360.29827678538533</v>
      </c>
      <c r="O6" s="21">
        <f t="shared" si="27"/>
        <v>391.75786109014416</v>
      </c>
      <c r="P6" s="21">
        <f t="shared" si="27"/>
        <v>392.04399316970176</v>
      </c>
      <c r="Q6" s="21">
        <f t="shared" si="27"/>
        <v>382.34512063696002</v>
      </c>
      <c r="R6" s="21">
        <f t="shared" si="27"/>
        <v>404.88722566737613</v>
      </c>
      <c r="S6" s="21">
        <f t="shared" si="27"/>
        <v>475.70927429628529</v>
      </c>
      <c r="T6" s="21">
        <f t="shared" si="27"/>
        <v>584.28674810887651</v>
      </c>
      <c r="U6" s="21">
        <f t="shared" si="27"/>
        <v>630.85210817525183</v>
      </c>
      <c r="V6" s="21">
        <f t="shared" si="27"/>
        <v>176.49794767530082</v>
      </c>
      <c r="W6" s="21">
        <f t="shared" ref="W6" si="28">SUM(W7:W9)</f>
        <v>314.63647457725375</v>
      </c>
      <c r="DA6" s="189" t="s">
        <v>326</v>
      </c>
    </row>
    <row r="7" spans="1:105" ht="11.45" customHeight="1" x14ac:dyDescent="0.25">
      <c r="A7" s="83" t="s">
        <v>27</v>
      </c>
      <c r="B7" s="96">
        <v>24.868338536640373</v>
      </c>
      <c r="C7" s="96">
        <v>24.782467797736544</v>
      </c>
      <c r="D7" s="96">
        <v>29.493315073969587</v>
      </c>
      <c r="E7" s="96">
        <v>32.709301865560775</v>
      </c>
      <c r="F7" s="96">
        <v>35.860665010707415</v>
      </c>
      <c r="G7" s="96">
        <v>35.756633013392388</v>
      </c>
      <c r="H7" s="96">
        <v>38.753417142262727</v>
      </c>
      <c r="I7" s="96">
        <v>38.610069211164564</v>
      </c>
      <c r="J7" s="96">
        <v>38.668136680172807</v>
      </c>
      <c r="K7" s="96">
        <v>35.787779849641986</v>
      </c>
      <c r="L7" s="96">
        <v>29.596921303209065</v>
      </c>
      <c r="M7" s="96">
        <v>32.788113358959663</v>
      </c>
      <c r="N7" s="96">
        <v>29.711936101938061</v>
      </c>
      <c r="O7" s="96">
        <v>29.759440623793594</v>
      </c>
      <c r="P7" s="96">
        <v>29.814605868084563</v>
      </c>
      <c r="Q7" s="96">
        <v>32.66731535355963</v>
      </c>
      <c r="R7" s="96">
        <v>33.034629504421687</v>
      </c>
      <c r="S7" s="96">
        <v>31.777973294859585</v>
      </c>
      <c r="T7" s="96">
        <v>32.1153773603479</v>
      </c>
      <c r="U7" s="96">
        <v>32.14163260084635</v>
      </c>
      <c r="V7" s="96">
        <v>16.720564337574412</v>
      </c>
      <c r="W7" s="96">
        <v>22.40884141025964</v>
      </c>
      <c r="DA7" s="171" t="s">
        <v>327</v>
      </c>
    </row>
    <row r="8" spans="1:105" ht="11.45" customHeight="1" x14ac:dyDescent="0.25">
      <c r="A8" s="83" t="s">
        <v>173</v>
      </c>
      <c r="B8" s="96">
        <v>164.3861019251315</v>
      </c>
      <c r="C8" s="96">
        <v>164.22720776927898</v>
      </c>
      <c r="D8" s="96">
        <v>153.89125388616901</v>
      </c>
      <c r="E8" s="96">
        <v>148.78630236788848</v>
      </c>
      <c r="F8" s="96">
        <v>171.99662138240694</v>
      </c>
      <c r="G8" s="96">
        <v>214.52481976800044</v>
      </c>
      <c r="H8" s="96">
        <v>223.91392330455781</v>
      </c>
      <c r="I8" s="96">
        <v>236.23689568497122</v>
      </c>
      <c r="J8" s="96">
        <v>268.30189380162597</v>
      </c>
      <c r="K8" s="96">
        <v>227.53556265888142</v>
      </c>
      <c r="L8" s="96">
        <v>249.86799992076368</v>
      </c>
      <c r="M8" s="96">
        <v>262.32393850854953</v>
      </c>
      <c r="N8" s="96">
        <v>279.68582672325067</v>
      </c>
      <c r="O8" s="96">
        <v>310.06025477391944</v>
      </c>
      <c r="P8" s="96">
        <v>311.68409895251096</v>
      </c>
      <c r="Q8" s="96">
        <v>300.43477947739865</v>
      </c>
      <c r="R8" s="96">
        <v>323.42978936936225</v>
      </c>
      <c r="S8" s="96">
        <v>393.03579728626545</v>
      </c>
      <c r="T8" s="96">
        <v>488.99570941399207</v>
      </c>
      <c r="U8" s="96">
        <v>530.63036450781499</v>
      </c>
      <c r="V8" s="96">
        <v>126.63907849851122</v>
      </c>
      <c r="W8" s="96">
        <v>242.30466433695091</v>
      </c>
      <c r="DA8" s="171" t="s">
        <v>328</v>
      </c>
    </row>
    <row r="9" spans="1:105" ht="11.45" customHeight="1" x14ac:dyDescent="0.25">
      <c r="A9" s="83" t="s">
        <v>174</v>
      </c>
      <c r="B9" s="96">
        <v>36.918959878111387</v>
      </c>
      <c r="C9" s="96">
        <v>36.890941284316654</v>
      </c>
      <c r="D9" s="96">
        <v>34.572156361516512</v>
      </c>
      <c r="E9" s="96">
        <v>33.420084054093131</v>
      </c>
      <c r="F9" s="96">
        <v>38.629421615737321</v>
      </c>
      <c r="G9" s="96">
        <v>43.324860261738202</v>
      </c>
      <c r="H9" s="96">
        <v>40.36427457336616</v>
      </c>
      <c r="I9" s="96">
        <v>40.456816364408652</v>
      </c>
      <c r="J9" s="96">
        <v>49.308293490358253</v>
      </c>
      <c r="K9" s="96">
        <v>42.470151774526983</v>
      </c>
      <c r="L9" s="96">
        <v>45.909441889015419</v>
      </c>
      <c r="M9" s="96">
        <v>49.332232021871413</v>
      </c>
      <c r="N9" s="96">
        <v>50.900513960196577</v>
      </c>
      <c r="O9" s="96">
        <v>51.938165692431149</v>
      </c>
      <c r="P9" s="96">
        <v>50.545288349106215</v>
      </c>
      <c r="Q9" s="96">
        <v>49.243025806001782</v>
      </c>
      <c r="R9" s="96">
        <v>48.422806793592173</v>
      </c>
      <c r="S9" s="96">
        <v>50.895503715160274</v>
      </c>
      <c r="T9" s="96">
        <v>63.175661334536635</v>
      </c>
      <c r="U9" s="96">
        <v>68.080111066590462</v>
      </c>
      <c r="V9" s="96">
        <v>33.138304839215181</v>
      </c>
      <c r="W9" s="96">
        <v>49.922968830043189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1.3987276601167289</v>
      </c>
      <c r="C10" s="22">
        <f t="shared" si="29"/>
        <v>1.6715111486677936</v>
      </c>
      <c r="D10" s="22">
        <f t="shared" ref="D10:V10" si="30">SUM(D11:D13)</f>
        <v>1.6838729583449101</v>
      </c>
      <c r="E10" s="22">
        <f t="shared" si="30"/>
        <v>1.5740359124576724</v>
      </c>
      <c r="F10" s="22">
        <f t="shared" si="30"/>
        <v>1.6102274311483422</v>
      </c>
      <c r="G10" s="22">
        <f t="shared" si="30"/>
        <v>1.9015686768689866</v>
      </c>
      <c r="H10" s="22">
        <f t="shared" si="30"/>
        <v>1.9583524198134115</v>
      </c>
      <c r="I10" s="22">
        <f t="shared" si="30"/>
        <v>2.3292259794556256</v>
      </c>
      <c r="J10" s="22">
        <f t="shared" si="30"/>
        <v>2.4439802278428746</v>
      </c>
      <c r="K10" s="22">
        <f t="shared" si="30"/>
        <v>2.3574272369496327</v>
      </c>
      <c r="L10" s="22">
        <f t="shared" si="30"/>
        <v>1.7407298470119246</v>
      </c>
      <c r="M10" s="22">
        <f t="shared" si="30"/>
        <v>1.6352393506192895</v>
      </c>
      <c r="N10" s="22">
        <f t="shared" si="30"/>
        <v>1.5849814946148393</v>
      </c>
      <c r="O10" s="22">
        <f t="shared" si="30"/>
        <v>1.7326084298557687</v>
      </c>
      <c r="P10" s="22">
        <f t="shared" si="30"/>
        <v>1.4464763502982021</v>
      </c>
      <c r="Q10" s="22">
        <f t="shared" si="30"/>
        <v>1.3507763230400132</v>
      </c>
      <c r="R10" s="22">
        <f t="shared" si="30"/>
        <v>1.2460248126238249</v>
      </c>
      <c r="S10" s="22">
        <f t="shared" si="30"/>
        <v>1.2242225437147685</v>
      </c>
      <c r="T10" s="22">
        <f t="shared" si="30"/>
        <v>2.6400302111235527</v>
      </c>
      <c r="U10" s="22">
        <f t="shared" si="30"/>
        <v>2.2211830247481772</v>
      </c>
      <c r="V10" s="22">
        <f t="shared" si="30"/>
        <v>2.6990777246991362</v>
      </c>
      <c r="W10" s="22">
        <f t="shared" ref="W10" si="31">SUM(W11:W13)</f>
        <v>3.6286199427463233</v>
      </c>
      <c r="DA10" s="193" t="s">
        <v>330</v>
      </c>
    </row>
    <row r="11" spans="1:105" ht="11.45" customHeight="1" x14ac:dyDescent="0.25">
      <c r="A11" s="92" t="s">
        <v>27</v>
      </c>
      <c r="B11" s="97">
        <v>0.41748222335962581</v>
      </c>
      <c r="C11" s="97">
        <v>0.50335296226345794</v>
      </c>
      <c r="D11" s="97">
        <v>0.50375692603042155</v>
      </c>
      <c r="E11" s="97">
        <v>0.45854537443924559</v>
      </c>
      <c r="F11" s="97">
        <v>0.46787746929258345</v>
      </c>
      <c r="G11" s="97">
        <v>0.57190946660760911</v>
      </c>
      <c r="H11" s="97">
        <v>0.73582057773728526</v>
      </c>
      <c r="I11" s="97">
        <v>0.87916850883545106</v>
      </c>
      <c r="J11" s="97">
        <v>0.82110103982720728</v>
      </c>
      <c r="K11" s="97">
        <v>0.54076263035801131</v>
      </c>
      <c r="L11" s="97">
        <v>0.41023069679094382</v>
      </c>
      <c r="M11" s="97">
        <v>0.37973388104035088</v>
      </c>
      <c r="N11" s="97">
        <v>0.29521589806194676</v>
      </c>
      <c r="O11" s="97">
        <v>0.24771137620641637</v>
      </c>
      <c r="P11" s="97">
        <v>0.19254613191544001</v>
      </c>
      <c r="Q11" s="97">
        <v>0.18830388644039106</v>
      </c>
      <c r="R11" s="97">
        <v>0.13321773557832972</v>
      </c>
      <c r="S11" s="97">
        <v>0.12569938514042669</v>
      </c>
      <c r="T11" s="97">
        <v>0.10433895965210044</v>
      </c>
      <c r="U11" s="97">
        <v>8.1899359153646406E-2</v>
      </c>
      <c r="V11" s="97">
        <v>1.5276222425590711E-2</v>
      </c>
      <c r="W11" s="97">
        <v>1.2486709740361247E-2</v>
      </c>
      <c r="DA11" s="175" t="s">
        <v>331</v>
      </c>
    </row>
    <row r="12" spans="1:105" ht="11.45" customHeight="1" x14ac:dyDescent="0.25">
      <c r="A12" s="92" t="s">
        <v>173</v>
      </c>
      <c r="B12" s="97">
        <v>0.85508642617072028</v>
      </c>
      <c r="C12" s="97">
        <v>1.0242552466308259</v>
      </c>
      <c r="D12" s="97">
        <v>1.0364177587300993</v>
      </c>
      <c r="E12" s="97">
        <v>0.95395628556920475</v>
      </c>
      <c r="F12" s="97">
        <v>0.98086629065446207</v>
      </c>
      <c r="G12" s="97">
        <v>1.143566531232592</v>
      </c>
      <c r="H12" s="97">
        <v>1.0686496355895141</v>
      </c>
      <c r="I12" s="97">
        <v>1.3021820661067951</v>
      </c>
      <c r="J12" s="97">
        <v>1.472478907322482</v>
      </c>
      <c r="K12" s="97">
        <v>1.7225260943363874</v>
      </c>
      <c r="L12" s="97">
        <v>1.2322361932328298</v>
      </c>
      <c r="M12" s="97">
        <v>0.90468734759112079</v>
      </c>
      <c r="N12" s="97">
        <v>1.0030587741804609</v>
      </c>
      <c r="O12" s="97">
        <v>1.0476656428408955</v>
      </c>
      <c r="P12" s="97">
        <v>0.88474566733634152</v>
      </c>
      <c r="Q12" s="97">
        <v>0.85542795151528228</v>
      </c>
      <c r="R12" s="97">
        <v>0.80673047297733946</v>
      </c>
      <c r="S12" s="97">
        <v>0.7443985351092508</v>
      </c>
      <c r="T12" s="97">
        <v>0.93177883183250021</v>
      </c>
      <c r="U12" s="97">
        <v>0.99339648867621422</v>
      </c>
      <c r="V12" s="97">
        <v>1.3762129449163321</v>
      </c>
      <c r="W12" s="97">
        <v>1.7729111827390527</v>
      </c>
      <c r="DA12" s="175" t="s">
        <v>332</v>
      </c>
    </row>
    <row r="13" spans="1:105" ht="11.45" customHeight="1" x14ac:dyDescent="0.25">
      <c r="A13" s="85" t="s">
        <v>174</v>
      </c>
      <c r="B13" s="98">
        <v>0.12615901058638287</v>
      </c>
      <c r="C13" s="98">
        <v>0.14390293977350957</v>
      </c>
      <c r="D13" s="98">
        <v>0.14369827358438933</v>
      </c>
      <c r="E13" s="98">
        <v>0.16153425244922195</v>
      </c>
      <c r="F13" s="98">
        <v>0.16148367120129659</v>
      </c>
      <c r="G13" s="98">
        <v>0.18609267902878526</v>
      </c>
      <c r="H13" s="98">
        <v>0.15388220648661202</v>
      </c>
      <c r="I13" s="98">
        <v>0.1478754045133796</v>
      </c>
      <c r="J13" s="98">
        <v>0.15040028069318537</v>
      </c>
      <c r="K13" s="98">
        <v>9.4138512255234036E-2</v>
      </c>
      <c r="L13" s="98">
        <v>9.8262956988151018E-2</v>
      </c>
      <c r="M13" s="98">
        <v>0.35081812198781803</v>
      </c>
      <c r="N13" s="98">
        <v>0.28670682237243167</v>
      </c>
      <c r="O13" s="98">
        <v>0.43723141080845668</v>
      </c>
      <c r="P13" s="98">
        <v>0.36918455104642078</v>
      </c>
      <c r="Q13" s="98">
        <v>0.30704448508434001</v>
      </c>
      <c r="R13" s="98">
        <v>0.30607660406815584</v>
      </c>
      <c r="S13" s="98">
        <v>0.35412462346509094</v>
      </c>
      <c r="T13" s="98">
        <v>1.6039124196389518</v>
      </c>
      <c r="U13" s="98">
        <v>1.1458871769183165</v>
      </c>
      <c r="V13" s="98">
        <v>1.3075885573572135</v>
      </c>
      <c r="W13" s="98">
        <v>1.8432220502669092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3.0103092000000005</v>
      </c>
      <c r="C18" s="97">
        <f>IF(C4=0,0,C4/TrAvia_ene!C4)</f>
        <v>3.0103092000000009</v>
      </c>
      <c r="D18" s="97">
        <f>IF(D4=0,0,D4/TrAvia_ene!D4)</f>
        <v>3.0060915905663803</v>
      </c>
      <c r="E18" s="97">
        <f>IF(E4=0,0,E4/TrAvia_ene!E4)</f>
        <v>3.0064695052469146</v>
      </c>
      <c r="F18" s="97">
        <f>IF(F4=0,0,F4/TrAvia_ene!F4)</f>
        <v>3.0068031814567844</v>
      </c>
      <c r="G18" s="97">
        <f>IF(G4=0,0,G4/TrAvia_ene!G4)</f>
        <v>3.0068031814567844</v>
      </c>
      <c r="H18" s="97">
        <f>IF(H4=0,0,H4/TrAvia_ene!H4)</f>
        <v>3.0070835004098853</v>
      </c>
      <c r="I18" s="97">
        <f>IF(I4=0,0,I4/TrAvia_ene!I4)</f>
        <v>3.0070835004098853</v>
      </c>
      <c r="J18" s="97">
        <f>IF(J4=0,0,J4/TrAvia_ene!J4)</f>
        <v>3.0070835004098853</v>
      </c>
      <c r="K18" s="97">
        <f>IF(K4=0,0,K4/TrAvia_ene!K4)</f>
        <v>3.0068031814567844</v>
      </c>
      <c r="L18" s="97">
        <f>IF(L4=0,0,L4/TrAvia_ene!L4)</f>
        <v>3.0060656349650721</v>
      </c>
      <c r="M18" s="97">
        <f>IF(M4=0,0,M4/TrAvia_ene!M4)</f>
        <v>3.0064695052469141</v>
      </c>
      <c r="N18" s="97">
        <f>IF(N4=0,0,N4/TrAvia_ene!N4)</f>
        <v>3.0060656349650721</v>
      </c>
      <c r="O18" s="97">
        <f>IF(O4=0,0,O4/TrAvia_ene!O4)</f>
        <v>3.0060656349650725</v>
      </c>
      <c r="P18" s="97">
        <f>IF(P4=0,0,P4/TrAvia_ene!P4)</f>
        <v>3.0060656349650712</v>
      </c>
      <c r="Q18" s="97">
        <f>IF(Q4=0,0,Q4/TrAvia_ene!Q4)</f>
        <v>3.0072077421886449</v>
      </c>
      <c r="R18" s="97">
        <f>IF(R4=0,0,R4/TrAvia_ene!R4)</f>
        <v>3.0064695052469141</v>
      </c>
      <c r="S18" s="97">
        <f>IF(S4=0,0,S4/TrAvia_ene!S4)</f>
        <v>3.0063175601069525</v>
      </c>
      <c r="T18" s="97">
        <f>IF(T4=0,0,T4/TrAvia_ene!T4)</f>
        <v>3.0063566627482134</v>
      </c>
      <c r="U18" s="97">
        <f>IF(U4=0,0,U4/TrAvia_ene!U4)</f>
        <v>3.0071469688163504</v>
      </c>
      <c r="V18" s="97">
        <f>IF(V4=0,0,V4/TrAvia_ene!V4)</f>
        <v>3.0042264881274319</v>
      </c>
      <c r="W18" s="97">
        <f>IF(W4=0,0,W4/TrAvia_ene!W4)</f>
        <v>3.0046326139653865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3.0103091999999991</v>
      </c>
      <c r="D19" s="98">
        <f>IF(D5=0,0,D5/TrAvia_ene!D5)</f>
        <v>3.0103092000000005</v>
      </c>
      <c r="E19" s="98">
        <f>IF(E5=0,0,E5/TrAvia_ene!E5)</f>
        <v>3.0103092</v>
      </c>
      <c r="F19" s="98">
        <f>IF(F5=0,0,F5/TrAvia_ene!F5)</f>
        <v>3.0103092000000014</v>
      </c>
      <c r="G19" s="98">
        <f>IF(G5=0,0,G5/TrAvia_ene!G5)</f>
        <v>3.0103091999999996</v>
      </c>
      <c r="H19" s="98">
        <f>IF(H5=0,0,H5/TrAvia_ene!H5)</f>
        <v>3.0103092000000022</v>
      </c>
      <c r="I19" s="98">
        <f>IF(I5=0,0,I5/TrAvia_ene!I5)</f>
        <v>3.0103092000000014</v>
      </c>
      <c r="J19" s="98">
        <f>IF(J5=0,0,J5/TrAvia_ene!J5)</f>
        <v>3.0103092000000005</v>
      </c>
      <c r="K19" s="98">
        <f>IF(K5=0,0,K5/TrAvia_ene!K5)</f>
        <v>3.0103092000000005</v>
      </c>
      <c r="L19" s="98">
        <f>IF(L5=0,0,L5/TrAvia_ene!L5)</f>
        <v>3.0103092000000009</v>
      </c>
      <c r="M19" s="98">
        <f>IF(M5=0,0,M5/TrAvia_ene!M5)</f>
        <v>3.0103091999999996</v>
      </c>
      <c r="N19" s="98">
        <f>IF(N5=0,0,N5/TrAvia_ene!N5)</f>
        <v>3.0103092000000005</v>
      </c>
      <c r="O19" s="98">
        <f>IF(O5=0,0,O5/TrAvia_ene!O5)</f>
        <v>3.0103092000000005</v>
      </c>
      <c r="P19" s="98">
        <f>IF(P5=0,0,P5/TrAvia_ene!P5)</f>
        <v>3.0103092</v>
      </c>
      <c r="Q19" s="98">
        <f>IF(Q5=0,0,Q5/TrAvia_ene!Q5)</f>
        <v>3.0103092000000009</v>
      </c>
      <c r="R19" s="98">
        <f>IF(R5=0,0,R5/TrAvia_ene!R5)</f>
        <v>3.0103092000000005</v>
      </c>
      <c r="S19" s="98">
        <f>IF(S5=0,0,S5/TrAvia_ene!S5)</f>
        <v>3.0103092</v>
      </c>
      <c r="T19" s="98">
        <f>IF(T5=0,0,T5/TrAvia_ene!T5)</f>
        <v>3.0103092000000005</v>
      </c>
      <c r="U19" s="98">
        <f>IF(U5=0,0,U5/TrAvia_ene!U5)</f>
        <v>3.0102667413191475</v>
      </c>
      <c r="V19" s="98">
        <f>IF(V5=0,0,V5/TrAvia_ene!V5)</f>
        <v>3.0103092</v>
      </c>
      <c r="W19" s="98">
        <f>IF(W5=0,0,W5/TrAvia_ene!W5)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13104.999423107651</v>
      </c>
      <c r="C21" s="54">
        <f>IF(C3=0,0,C3/TrAvia_act!C13*1000)</f>
        <v>13077.145254916171</v>
      </c>
      <c r="D21" s="54">
        <f>IF(D3=0,0,D3/TrAvia_act!D13*1000)</f>
        <v>13108.926024494802</v>
      </c>
      <c r="E21" s="54">
        <f>IF(E3=0,0,E3/TrAvia_act!E13*1000)</f>
        <v>13134.547103037092</v>
      </c>
      <c r="F21" s="54">
        <f>IF(F3=0,0,F3/TrAvia_act!F13*1000)</f>
        <v>13117.907976921961</v>
      </c>
      <c r="G21" s="54">
        <f>IF(G3=0,0,G3/TrAvia_act!G13*1000)</f>
        <v>12686.206578753498</v>
      </c>
      <c r="H21" s="54">
        <f>IF(H3=0,0,H3/TrAvia_act!H13*1000)</f>
        <v>11691.425168666437</v>
      </c>
      <c r="I21" s="54">
        <f>IF(I3=0,0,I3/TrAvia_act!I13*1000)</f>
        <v>11576.011500861568</v>
      </c>
      <c r="J21" s="54">
        <f>IF(J3=0,0,J3/TrAvia_act!J13*1000)</f>
        <v>12839.279061764924</v>
      </c>
      <c r="K21" s="54">
        <f>IF(K3=0,0,K3/TrAvia_act!K13*1000)</f>
        <v>11137.545731877402</v>
      </c>
      <c r="L21" s="54">
        <f>IF(L3=0,0,L3/TrAvia_act!L13*1000)</f>
        <v>11057.711640968635</v>
      </c>
      <c r="M21" s="54">
        <f>IF(M3=0,0,M3/TrAvia_act!M13*1000)</f>
        <v>12009.770489442029</v>
      </c>
      <c r="N21" s="54">
        <f>IF(N3=0,0,N3/TrAvia_act!N13*1000)</f>
        <v>11985.561834392543</v>
      </c>
      <c r="O21" s="54">
        <f>IF(O3=0,0,O3/TrAvia_act!O13*1000)</f>
        <v>12250.786768633288</v>
      </c>
      <c r="P21" s="54">
        <f>IF(P3=0,0,P3/TrAvia_act!P13*1000)</f>
        <v>11577.969771803582</v>
      </c>
      <c r="Q21" s="54">
        <f>IF(Q3=0,0,Q3/TrAvia_act!Q13*1000)</f>
        <v>10693.594686364931</v>
      </c>
      <c r="R21" s="54">
        <f>IF(R3=0,0,R3/TrAvia_act!R13*1000)</f>
        <v>9947.4407700056654</v>
      </c>
      <c r="S21" s="54">
        <f>IF(S3=0,0,S3/TrAvia_act!S13*1000)</f>
        <v>10106.181735022623</v>
      </c>
      <c r="T21" s="54">
        <f>IF(T3=0,0,T3/TrAvia_act!T13*1000)</f>
        <v>10942.436682981925</v>
      </c>
      <c r="U21" s="54">
        <f>IF(U3=0,0,U3/TrAvia_act!U13*1000)</f>
        <v>11200.8707210349</v>
      </c>
      <c r="V21" s="54">
        <f>IF(V3=0,0,V3/TrAvia_act!V13*1000)</f>
        <v>12016.259510173209</v>
      </c>
      <c r="W21" s="54">
        <f>IF(W3=0,0,W3/TrAvia_act!W13*1000)</f>
        <v>11564.134589565394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13100.030627937544</v>
      </c>
      <c r="C22" s="11">
        <f>IF(C6=0,0,C6/TrAvia_act!C14*1000)</f>
        <v>13070.951415769376</v>
      </c>
      <c r="D22" s="11">
        <f>IF(D6=0,0,D6/TrAvia_act!D14*1000)</f>
        <v>13102.889036652656</v>
      </c>
      <c r="E22" s="11">
        <f>IF(E6=0,0,E6/TrAvia_act!E14*1000)</f>
        <v>13129.544637795745</v>
      </c>
      <c r="F22" s="11">
        <f>IF(F6=0,0,F6/TrAvia_act!F14*1000)</f>
        <v>13113.40689821217</v>
      </c>
      <c r="G22" s="11">
        <f>IF(G6=0,0,G6/TrAvia_act!G14*1000)</f>
        <v>12684.280170605427</v>
      </c>
      <c r="H22" s="11">
        <f>IF(H6=0,0,H6/TrAvia_act!H14*1000)</f>
        <v>11687.228319840289</v>
      </c>
      <c r="I22" s="11">
        <f>IF(I6=0,0,I6/TrAvia_act!I14*1000)</f>
        <v>11571.590101694224</v>
      </c>
      <c r="J22" s="11">
        <f>IF(J6=0,0,J6/TrAvia_act!J14*1000)</f>
        <v>12837.525805798316</v>
      </c>
      <c r="K22" s="11">
        <f>IF(K6=0,0,K6/TrAvia_act!K14*1000)</f>
        <v>11137.952013643171</v>
      </c>
      <c r="L22" s="11">
        <f>IF(L6=0,0,L6/TrAvia_act!L14*1000)</f>
        <v>11057.163458208208</v>
      </c>
      <c r="M22" s="11">
        <f>IF(M6=0,0,M6/TrAvia_act!M14*1000)</f>
        <v>12006.775611870658</v>
      </c>
      <c r="N22" s="11">
        <f>IF(N6=0,0,N6/TrAvia_act!N14*1000)</f>
        <v>11976.628976201086</v>
      </c>
      <c r="O22" s="11">
        <f>IF(O6=0,0,O6/TrAvia_act!O14*1000)</f>
        <v>12245.504311581311</v>
      </c>
      <c r="P22" s="11">
        <f>IF(P6=0,0,P6/TrAvia_act!P14*1000)</f>
        <v>11575.528302959035</v>
      </c>
      <c r="Q22" s="11">
        <f>IF(Q6=0,0,Q6/TrAvia_act!Q14*1000)</f>
        <v>10692.237358465785</v>
      </c>
      <c r="R22" s="11">
        <f>IF(R6=0,0,R6/TrAvia_act!R14*1000)</f>
        <v>9947.9831145527824</v>
      </c>
      <c r="S22" s="11">
        <f>IF(S6=0,0,S6/TrAvia_act!S14*1000)</f>
        <v>10108.027735120962</v>
      </c>
      <c r="T22" s="11">
        <f>IF(T6=0,0,T6/TrAvia_act!T14*1000)</f>
        <v>10954.011832167134</v>
      </c>
      <c r="U22" s="11">
        <f>IF(U6=0,0,U6/TrAvia_act!U14*1000)</f>
        <v>11209.707676100315</v>
      </c>
      <c r="V22" s="11">
        <f>IF(V6=0,0,V6/TrAvia_act!V14*1000)</f>
        <v>11976.642599418026</v>
      </c>
      <c r="W22" s="11">
        <f>IF(W6=0,0,W6/TrAvia_act!W14*1000)</f>
        <v>11547.191393798044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15004.41449335283</v>
      </c>
      <c r="C23" s="84">
        <f>IF(C7=0,0,C7/TrAvia_act!C15*1000)</f>
        <v>14937.217525891869</v>
      </c>
      <c r="D23" s="84">
        <f>IF(D7=0,0,D7/TrAvia_act!D15*1000)</f>
        <v>14949.205325929002</v>
      </c>
      <c r="E23" s="84">
        <f>IF(E7=0,0,E7/TrAvia_act!E15*1000)</f>
        <v>14982.031192802975</v>
      </c>
      <c r="F23" s="84">
        <f>IF(F7=0,0,F7/TrAvia_act!F15*1000)</f>
        <v>14984.226634565592</v>
      </c>
      <c r="G23" s="84">
        <f>IF(G7=0,0,G7/TrAvia_act!G15*1000)</f>
        <v>14605.81865147779</v>
      </c>
      <c r="H23" s="84">
        <f>IF(H7=0,0,H7/TrAvia_act!H15*1000)</f>
        <v>16888.475805388673</v>
      </c>
      <c r="I23" s="84">
        <f>IF(I7=0,0,I7/TrAvia_act!I15*1000)</f>
        <v>16057.663416554746</v>
      </c>
      <c r="J23" s="84">
        <f>IF(J7=0,0,J7/TrAvia_act!J15*1000)</f>
        <v>14719.545722961451</v>
      </c>
      <c r="K23" s="84">
        <f>IF(K7=0,0,K7/TrAvia_act!K15*1000)</f>
        <v>13270.058784013681</v>
      </c>
      <c r="L23" s="84">
        <f>IF(L7=0,0,L7/TrAvia_act!L15*1000)</f>
        <v>12068.306205425733</v>
      </c>
      <c r="M23" s="84">
        <f>IF(M7=0,0,M7/TrAvia_act!M15*1000)</f>
        <v>13224.420533697104</v>
      </c>
      <c r="N23" s="84">
        <f>IF(N7=0,0,N7/TrAvia_act!N15*1000)</f>
        <v>13200.192857156855</v>
      </c>
      <c r="O23" s="84">
        <f>IF(O7=0,0,O7/TrAvia_act!O15*1000)</f>
        <v>13698.085129132181</v>
      </c>
      <c r="P23" s="84">
        <f>IF(P7=0,0,P7/TrAvia_act!P15*1000)</f>
        <v>12314.880010644432</v>
      </c>
      <c r="Q23" s="84">
        <f>IF(Q7=0,0,Q7/TrAvia_act!Q15*1000)</f>
        <v>13649.094143245127</v>
      </c>
      <c r="R23" s="84">
        <f>IF(R7=0,0,R7/TrAvia_act!R15*1000)</f>
        <v>12519.540658476926</v>
      </c>
      <c r="S23" s="84">
        <f>IF(S7=0,0,S7/TrAvia_act!S15*1000)</f>
        <v>11946.516283954325</v>
      </c>
      <c r="T23" s="84">
        <f>IF(T7=0,0,T7/TrAvia_act!T15*1000)</f>
        <v>11909.837569179446</v>
      </c>
      <c r="U23" s="84">
        <f>IF(U7=0,0,U7/TrAvia_act!U15*1000)</f>
        <v>11714.558294983681</v>
      </c>
      <c r="V23" s="84">
        <f>IF(V7=0,0,V7/TrAvia_act!V15*1000)</f>
        <v>10167.765396945282</v>
      </c>
      <c r="W23" s="84">
        <f>IF(W7=0,0,W7/TrAvia_act!W15*1000)</f>
        <v>10198.198452041908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13215.545335830666</v>
      </c>
      <c r="C24" s="84">
        <f>IF(C8=0,0,C8/TrAvia_act!C16*1000)</f>
        <v>13189.93664358129</v>
      </c>
      <c r="D24" s="84">
        <f>IF(D8=0,0,D8/TrAvia_act!D16*1000)</f>
        <v>13171.181001338671</v>
      </c>
      <c r="E24" s="84">
        <f>IF(E8=0,0,E8/TrAvia_act!E16*1000)</f>
        <v>13160.89298475065</v>
      </c>
      <c r="F24" s="84">
        <f>IF(F8=0,0,F8/TrAvia_act!F16*1000)</f>
        <v>13156.78877597905</v>
      </c>
      <c r="G24" s="84">
        <f>IF(G8=0,0,G8/TrAvia_act!G16*1000)</f>
        <v>12342.946221281878</v>
      </c>
      <c r="H24" s="84">
        <f>IF(H8=0,0,H8/TrAvia_act!H16*1000)</f>
        <v>11061.966701843046</v>
      </c>
      <c r="I24" s="84">
        <f>IF(I8=0,0,I8/TrAvia_act!I16*1000)</f>
        <v>11269.322997400666</v>
      </c>
      <c r="J24" s="84">
        <f>IF(J8=0,0,J8/TrAvia_act!J16*1000)</f>
        <v>13161.544098845743</v>
      </c>
      <c r="K24" s="84">
        <f>IF(K8=0,0,K8/TrAvia_act!K16*1000)</f>
        <v>11255.709556600938</v>
      </c>
      <c r="L24" s="84">
        <f>IF(L8=0,0,L8/TrAvia_act!L16*1000)</f>
        <v>11634.562587648094</v>
      </c>
      <c r="M24" s="84">
        <f>IF(M8=0,0,M8/TrAvia_act!M16*1000)</f>
        <v>12801.520542436498</v>
      </c>
      <c r="N24" s="84">
        <f>IF(N8=0,0,N8/TrAvia_act!N16*1000)</f>
        <v>12871.02338965522</v>
      </c>
      <c r="O24" s="84">
        <f>IF(O8=0,0,O8/TrAvia_act!O16*1000)</f>
        <v>12712.108421073621</v>
      </c>
      <c r="P24" s="84">
        <f>IF(P8=0,0,P8/TrAvia_act!P16*1000)</f>
        <v>11997.151625638178</v>
      </c>
      <c r="Q24" s="84">
        <f>IF(Q8=0,0,Q8/TrAvia_act!Q16*1000)</f>
        <v>11319.632463166094</v>
      </c>
      <c r="R24" s="84">
        <f>IF(R8=0,0,R8/TrAvia_act!R16*1000)</f>
        <v>10723.962361847261</v>
      </c>
      <c r="S24" s="84">
        <f>IF(S8=0,0,S8/TrAvia_act!S16*1000)</f>
        <v>11020.264377405876</v>
      </c>
      <c r="T24" s="84">
        <f>IF(T8=0,0,T8/TrAvia_act!T16*1000)</f>
        <v>12540.37836655263</v>
      </c>
      <c r="U24" s="84">
        <f>IF(U8=0,0,U8/TrAvia_act!U16*1000)</f>
        <v>12663.327275384867</v>
      </c>
      <c r="V24" s="84">
        <f>IF(V8=0,0,V8/TrAvia_act!V16*1000)</f>
        <v>11991.330697285122</v>
      </c>
      <c r="W24" s="84">
        <f>IF(W8=0,0,W8/TrAvia_act!W16*1000)</f>
        <v>11972.51587263578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11650.550825345505</v>
      </c>
      <c r="C25" s="84">
        <f>IF(C9=0,0,C9/TrAvia_act!C17*1000)</f>
        <v>11628.023576841199</v>
      </c>
      <c r="D25" s="84">
        <f>IF(D9=0,0,D9/TrAvia_act!D17*1000)</f>
        <v>11611.485601479348</v>
      </c>
      <c r="E25" s="84">
        <f>IF(E9=0,0,E9/TrAvia_act!E17*1000)</f>
        <v>11602.413552130101</v>
      </c>
      <c r="F25" s="84">
        <f>IF(F9=0,0,F9/TrAvia_act!F17*1000)</f>
        <v>11598.780486402462</v>
      </c>
      <c r="G25" s="84">
        <f>IF(G9=0,0,G9/TrAvia_act!G17*1000)</f>
        <v>13054.406053697512</v>
      </c>
      <c r="H25" s="84">
        <f>IF(H9=0,0,H9/TrAvia_act!H17*1000)</f>
        <v>11899.870895170645</v>
      </c>
      <c r="I25" s="84">
        <f>IF(I9=0,0,I9/TrAvia_act!I17*1000)</f>
        <v>10424.861284145949</v>
      </c>
      <c r="J25" s="84">
        <f>IF(J9=0,0,J9/TrAvia_act!J17*1000)</f>
        <v>10401.28073974033</v>
      </c>
      <c r="K25" s="84">
        <f>IF(K9=0,0,K9/TrAvia_act!K17*1000)</f>
        <v>9348.3043934778852</v>
      </c>
      <c r="L25" s="84">
        <f>IF(L9=0,0,L9/TrAvia_act!L17*1000)</f>
        <v>8350.5698618406095</v>
      </c>
      <c r="M25" s="84">
        <f>IF(M9=0,0,M9/TrAvia_act!M17*1000)</f>
        <v>8629.7846762056561</v>
      </c>
      <c r="N25" s="84">
        <f>IF(N9=0,0,N9/TrAvia_act!N17*1000)</f>
        <v>8340.6649671913692</v>
      </c>
      <c r="O25" s="84">
        <f>IF(O9=0,0,O9/TrAvia_act!O17*1000)</f>
        <v>9567.6644940432943</v>
      </c>
      <c r="P25" s="84">
        <f>IF(P9=0,0,P9/TrAvia_act!P17*1000)</f>
        <v>9244.7119446437318</v>
      </c>
      <c r="Q25" s="84">
        <f>IF(Q9=0,0,Q9/TrAvia_act!Q17*1000)</f>
        <v>7215.3849732230901</v>
      </c>
      <c r="R25" s="84">
        <f>IF(R9=0,0,R9/TrAvia_act!R17*1000)</f>
        <v>6127.7267544629976</v>
      </c>
      <c r="S25" s="84">
        <f>IF(S9=0,0,S9/TrAvia_act!S17*1000)</f>
        <v>5824.8324446731185</v>
      </c>
      <c r="T25" s="84">
        <f>IF(T9=0,0,T9/TrAvia_act!T17*1000)</f>
        <v>5422.9249509854681</v>
      </c>
      <c r="U25" s="84">
        <f>IF(U9=0,0,U9/TrAvia_act!U17*1000)</f>
        <v>5853.5085651987838</v>
      </c>
      <c r="V25" s="84">
        <f>IF(V9=0,0,V9/TrAvia_act!V17*1000)</f>
        <v>13090.420740551644</v>
      </c>
      <c r="W25" s="84">
        <f>IF(W9=0,0,W9/TrAvia_act!W17*1000)</f>
        <v>10374.385472259279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13961.27221007305</v>
      </c>
      <c r="C26" s="13">
        <f>IF(C10=0,0,C10/TrAvia_act!C18*1000)</f>
        <v>13971.92711898953</v>
      </c>
      <c r="D26" s="13">
        <f>IF(D10=0,0,D10/TrAvia_act!D18*1000)</f>
        <v>13940.27940718742</v>
      </c>
      <c r="E26" s="13">
        <f>IF(E10=0,0,E10/TrAvia_act!E18*1000)</f>
        <v>13855.330523460563</v>
      </c>
      <c r="F26" s="13">
        <f>IF(F10=0,0,F10/TrAvia_act!F18*1000)</f>
        <v>13845.372818351007</v>
      </c>
      <c r="G26" s="13">
        <f>IF(G10=0,0,G10/TrAvia_act!G18*1000)</f>
        <v>12990.836796977537</v>
      </c>
      <c r="H26" s="13">
        <f>IF(H10=0,0,H10/TrAvia_act!H18*1000)</f>
        <v>12379.29254931142</v>
      </c>
      <c r="I26" s="13">
        <f>IF(I10=0,0,I10/TrAvia_act!I18*1000)</f>
        <v>12207.416474920159</v>
      </c>
      <c r="J26" s="13">
        <f>IF(J10=0,0,J10/TrAvia_act!J18*1000)</f>
        <v>13100.09256515004</v>
      </c>
      <c r="K26" s="13">
        <f>IF(K10=0,0,K10/TrAvia_act!K18*1000)</f>
        <v>11085.095023994627</v>
      </c>
      <c r="L26" s="13">
        <f>IF(L10=0,0,L10/TrAvia_act!L18*1000)</f>
        <v>11161.140605805418</v>
      </c>
      <c r="M26" s="13">
        <f>IF(M10=0,0,M10/TrAvia_act!M18*1000)</f>
        <v>12675.755063812654</v>
      </c>
      <c r="N26" s="13">
        <f>IF(N10=0,0,N10/TrAvia_act!N18*1000)</f>
        <v>14432.584159072127</v>
      </c>
      <c r="O26" s="13">
        <f>IF(O10=0,0,O10/TrAvia_act!O18*1000)</f>
        <v>13574.859830289841</v>
      </c>
      <c r="P26" s="13">
        <f>IF(P10=0,0,P10/TrAvia_act!P18*1000)</f>
        <v>12279.959515797915</v>
      </c>
      <c r="Q26" s="13">
        <f>IF(Q10=0,0,Q10/TrAvia_act!Q18*1000)</f>
        <v>11092.164686112248</v>
      </c>
      <c r="R26" s="13">
        <f>IF(R10=0,0,R10/TrAvia_act!R18*1000)</f>
        <v>9774.2867030599828</v>
      </c>
      <c r="S26" s="13">
        <f>IF(S10=0,0,S10/TrAvia_act!S18*1000)</f>
        <v>9436.5157934798026</v>
      </c>
      <c r="T26" s="13">
        <f>IF(T10=0,0,T10/TrAvia_act!T18*1000)</f>
        <v>8868.40243460694</v>
      </c>
      <c r="U26" s="13">
        <f>IF(U10=0,0,U10/TrAvia_act!U18*1000)</f>
        <v>9151.7955852227533</v>
      </c>
      <c r="V26" s="13">
        <f>IF(V10=0,0,V10/TrAvia_act!V18*1000)</f>
        <v>15332.858010677905</v>
      </c>
      <c r="W26" s="13">
        <f>IF(W10=0,0,W10/TrAvia_act!W18*1000)</f>
        <v>13249.908943159149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24481.539744189235</v>
      </c>
      <c r="C27" s="102">
        <f>IF(C11=0,0,C11/TrAvia_act!C19*1000)</f>
        <v>24371.899662577696</v>
      </c>
      <c r="D27" s="102">
        <f>IF(D11=0,0,D11/TrAvia_act!D19*1000)</f>
        <v>24391.459226410363</v>
      </c>
      <c r="E27" s="102">
        <f>IF(E11=0,0,E11/TrAvia_act!E19*1000)</f>
        <v>24445.018648197107</v>
      </c>
      <c r="F27" s="102">
        <f>IF(F11=0,0,F11/TrAvia_act!F19*1000)</f>
        <v>24448.600780295048</v>
      </c>
      <c r="G27" s="102">
        <f>IF(G11=0,0,G11/TrAvia_act!G19*1000)</f>
        <v>23583.895530210684</v>
      </c>
      <c r="H27" s="102">
        <f>IF(H11=0,0,H11/TrAvia_act!H19*1000)</f>
        <v>24297.703594342191</v>
      </c>
      <c r="I27" s="102">
        <f>IF(I11=0,0,I11/TrAvia_act!I19*1000)</f>
        <v>20665.119145042165</v>
      </c>
      <c r="J27" s="102">
        <f>IF(J11=0,0,J11/TrAvia_act!J19*1000)</f>
        <v>17241.535791386439</v>
      </c>
      <c r="K27" s="102">
        <f>IF(K11=0,0,K11/TrAvia_act!K19*1000)</f>
        <v>14304.104805618268</v>
      </c>
      <c r="L27" s="102">
        <f>IF(L11=0,0,L11/TrAvia_act!L19*1000)</f>
        <v>12056.74347658909</v>
      </c>
      <c r="M27" s="102">
        <f>IF(M11=0,0,M11/TrAvia_act!M19*1000)</f>
        <v>17019.252215493689</v>
      </c>
      <c r="N27" s="102">
        <f>IF(N11=0,0,N11/TrAvia_act!N19*1000)</f>
        <v>26603.216911052248</v>
      </c>
      <c r="O27" s="102">
        <f>IF(O11=0,0,O11/TrAvia_act!O19*1000)</f>
        <v>25382.808879113196</v>
      </c>
      <c r="P27" s="102">
        <f>IF(P11=0,0,P11/TrAvia_act!P19*1000)</f>
        <v>21522.733252264916</v>
      </c>
      <c r="Q27" s="102">
        <f>IF(Q11=0,0,Q11/TrAvia_act!Q19*1000)</f>
        <v>22496.967656695917</v>
      </c>
      <c r="R27" s="102">
        <f>IF(R11=0,0,R11/TrAvia_act!R19*1000)</f>
        <v>19319.851157118352</v>
      </c>
      <c r="S27" s="102">
        <f>IF(S11=0,0,S11/TrAvia_act!S19*1000)</f>
        <v>17500.133282654431</v>
      </c>
      <c r="T27" s="102">
        <f>IF(T11=0,0,T11/TrAvia_act!T19*1000)</f>
        <v>16734.396094963984</v>
      </c>
      <c r="U27" s="102">
        <f>IF(U11=0,0,U11/TrAvia_act!U19*1000)</f>
        <v>16562.05442945327</v>
      </c>
      <c r="V27" s="102">
        <f>IF(V11=0,0,V11/TrAvia_act!V19*1000)</f>
        <v>14462.964233084451</v>
      </c>
      <c r="W27" s="102">
        <f>IF(W11=0,0,W11/TrAvia_act!W19*1000)</f>
        <v>14365.811878529441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11954.838718198314</v>
      </c>
      <c r="C28" s="102">
        <f>IF(C12=0,0,C12/TrAvia_act!C20*1000)</f>
        <v>11949.479237887028</v>
      </c>
      <c r="D28" s="102">
        <f>IF(D12=0,0,D12/TrAvia_act!D20*1000)</f>
        <v>11930.148315365821</v>
      </c>
      <c r="E28" s="102">
        <f>IF(E12=0,0,E12/TrAvia_act!E20*1000)</f>
        <v>11935.845681455625</v>
      </c>
      <c r="F28" s="102">
        <f>IF(F12=0,0,F12/TrAvia_act!F20*1000)</f>
        <v>11926.821687455327</v>
      </c>
      <c r="G28" s="102">
        <f>IF(G12=0,0,G12/TrAvia_act!G20*1000)</f>
        <v>10735.479150177767</v>
      </c>
      <c r="H28" s="102">
        <f>IF(H12=0,0,H12/TrAvia_act!H20*1000)</f>
        <v>9482.5598192561738</v>
      </c>
      <c r="I28" s="102">
        <f>IF(I12=0,0,I12/TrAvia_act!I20*1000)</f>
        <v>9918.8476826333499</v>
      </c>
      <c r="J28" s="102">
        <f>IF(J12=0,0,J12/TrAvia_act!J20*1000)</f>
        <v>12132.084322602928</v>
      </c>
      <c r="K28" s="102">
        <f>IF(K12=0,0,K12/TrAvia_act!K20*1000)</f>
        <v>10624.657231744954</v>
      </c>
      <c r="L28" s="102">
        <f>IF(L12=0,0,L12/TrAvia_act!L20*1000)</f>
        <v>11526.770302384002</v>
      </c>
      <c r="M28" s="102">
        <f>IF(M12=0,0,M12/TrAvia_act!M20*1000)</f>
        <v>13657.698835128591</v>
      </c>
      <c r="N28" s="102">
        <f>IF(N12=0,0,N12/TrAvia_act!N20*1000)</f>
        <v>14084.462638890842</v>
      </c>
      <c r="O28" s="102">
        <f>IF(O12=0,0,O12/TrAvia_act!O20*1000)</f>
        <v>13211.200042840184</v>
      </c>
      <c r="P28" s="102">
        <f>IF(P12=0,0,P12/TrAvia_act!P20*1000)</f>
        <v>11993.774331606837</v>
      </c>
      <c r="Q28" s="102">
        <f>IF(Q12=0,0,Q12/TrAvia_act!Q20*1000)</f>
        <v>11166.828582342596</v>
      </c>
      <c r="R28" s="102">
        <f>IF(R12=0,0,R12/TrAvia_act!R20*1000)</f>
        <v>10200.213291845757</v>
      </c>
      <c r="S28" s="102">
        <f>IF(S12=0,0,S12/TrAvia_act!S20*1000)</f>
        <v>9832.7014152103147</v>
      </c>
      <c r="T28" s="102">
        <f>IF(T12=0,0,T12/TrAvia_act!T20*1000)</f>
        <v>10625.818967879128</v>
      </c>
      <c r="U28" s="102">
        <f>IF(U12=0,0,U12/TrAvia_act!U20*1000)</f>
        <v>9694.4482243229104</v>
      </c>
      <c r="V28" s="102">
        <f>IF(V12=0,0,V12/TrAvia_act!V20*1000)</f>
        <v>13301.979678449887</v>
      </c>
      <c r="W28" s="102">
        <f>IF(W12=0,0,W12/TrAvia_act!W20*1000)</f>
        <v>11983.517946615184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10869.279902541612</v>
      </c>
      <c r="C29" s="86">
        <f>IF(C13=0,0,C13/TrAvia_act!C21*1000)</f>
        <v>10848.263302288278</v>
      </c>
      <c r="D29" s="86">
        <f>IF(D13=0,0,D13/TrAvia_act!D21*1000)</f>
        <v>10832.834342239605</v>
      </c>
      <c r="E29" s="86">
        <f>IF(E13=0,0,E13/TrAvia_act!E21*1000)</f>
        <v>10824.370652827422</v>
      </c>
      <c r="F29" s="86">
        <f>IF(F13=0,0,F13/TrAvia_act!F21*1000)</f>
        <v>10820.981215805086</v>
      </c>
      <c r="G29" s="86">
        <f>IF(G13=0,0,G13/TrAvia_act!G21*1000)</f>
        <v>11924.798342431734</v>
      </c>
      <c r="H29" s="86">
        <f>IF(H13=0,0,H13/TrAvia_act!H21*1000)</f>
        <v>10113.211492612665</v>
      </c>
      <c r="I29" s="86">
        <f>IF(I13=0,0,I13/TrAvia_act!I21*1000)</f>
        <v>8710.3531484310479</v>
      </c>
      <c r="J29" s="86">
        <f>IF(J13=0,0,J13/TrAvia_act!J21*1000)</f>
        <v>8561.0437228249266</v>
      </c>
      <c r="K29" s="86">
        <f>IF(K13=0,0,K13/TrAvia_act!K21*1000)</f>
        <v>7391.3265929500685</v>
      </c>
      <c r="L29" s="86">
        <f>IF(L13=0,0,L13/TrAvia_act!L21*1000)</f>
        <v>6535.0421182920973</v>
      </c>
      <c r="M29" s="86">
        <f>IF(M13=0,0,M13/TrAvia_act!M21*1000)</f>
        <v>8672.2052902308187</v>
      </c>
      <c r="N29" s="86">
        <f>IF(N13=0,0,N13/TrAvia_act!N21*1000)</f>
        <v>10423.707663750862</v>
      </c>
      <c r="O29" s="86">
        <f>IF(O13=0,0,O13/TrAvia_act!O21*1000)</f>
        <v>11335.087957233576</v>
      </c>
      <c r="P29" s="86">
        <f>IF(P13=0,0,P13/TrAvia_act!P21*1000)</f>
        <v>10524.563737390998</v>
      </c>
      <c r="Q29" s="86">
        <f>IF(Q13=0,0,Q13/TrAvia_act!Q21*1000)</f>
        <v>8342.930359789787</v>
      </c>
      <c r="R29" s="86">
        <f>IF(R13=0,0,R13/TrAvia_act!R21*1000)</f>
        <v>7376.2425282201148</v>
      </c>
      <c r="S29" s="86">
        <f>IF(S13=0,0,S13/TrAvia_act!S21*1000)</f>
        <v>7559.7716917423249</v>
      </c>
      <c r="T29" s="86">
        <f>IF(T13=0,0,T13/TrAvia_act!T21*1000)</f>
        <v>7871.4057376517367</v>
      </c>
      <c r="U29" s="86">
        <f>IF(U13=0,0,U13/TrAvia_act!U21*1000)</f>
        <v>8469.9239454603248</v>
      </c>
      <c r="V29" s="86">
        <f>IF(V13=0,0,V13/TrAvia_act!V21*1000)</f>
        <v>18283.661760834442</v>
      </c>
      <c r="W29" s="86">
        <f>IF(W13=0,0,W13/TrAvia_act!W21*1000)</f>
        <v>14740.47078945272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132.53039687996755</v>
      </c>
      <c r="C32" s="14">
        <f>IF(C6=0,0,C6/TrAvia_act!C4*1000)</f>
        <v>131.35716132197663</v>
      </c>
      <c r="D32" s="14">
        <f>IF(D6=0,0,D6/TrAvia_act!D4*1000)</f>
        <v>132.2385995518155</v>
      </c>
      <c r="E32" s="14">
        <f>IF(E6=0,0,E6/TrAvia_act!E4*1000)</f>
        <v>133.61154221604082</v>
      </c>
      <c r="F32" s="14">
        <f>IF(F6=0,0,F6/TrAvia_act!F4*1000)</f>
        <v>134.08156739407167</v>
      </c>
      <c r="G32" s="14">
        <f>IF(G6=0,0,G6/TrAvia_act!G4*1000)</f>
        <v>128.27489474846419</v>
      </c>
      <c r="H32" s="14">
        <f>IF(H6=0,0,H6/TrAvia_act!H4*1000)</f>
        <v>119.60253403000313</v>
      </c>
      <c r="I32" s="14">
        <f>IF(I6=0,0,I6/TrAvia_act!I4*1000)</f>
        <v>121.14374300033619</v>
      </c>
      <c r="J32" s="14">
        <f>IF(J6=0,0,J6/TrAvia_act!J4*1000)</f>
        <v>136.12459420699727</v>
      </c>
      <c r="K32" s="14">
        <f>IF(K6=0,0,K6/TrAvia_act!K4*1000)</f>
        <v>120.0903243097658</v>
      </c>
      <c r="L32" s="14">
        <f>IF(L6=0,0,L6/TrAvia_act!L4*1000)</f>
        <v>114.02599201976797</v>
      </c>
      <c r="M32" s="14">
        <f>IF(M6=0,0,M6/TrAvia_act!M4*1000)</f>
        <v>113.96186236033786</v>
      </c>
      <c r="N32" s="14">
        <f>IF(N6=0,0,N6/TrAvia_act!N4*1000)</f>
        <v>108.14697708989222</v>
      </c>
      <c r="O32" s="14">
        <f>IF(O6=0,0,O6/TrAvia_act!O4*1000)</f>
        <v>111.1174289239182</v>
      </c>
      <c r="P32" s="14">
        <f>IF(P6=0,0,P6/TrAvia_act!P4*1000)</f>
        <v>104.21687485309252</v>
      </c>
      <c r="Q32" s="14">
        <f>IF(Q6=0,0,Q6/TrAvia_act!Q4*1000)</f>
        <v>94.033559858287987</v>
      </c>
      <c r="R32" s="14">
        <f>IF(R6=0,0,R6/TrAvia_act!R4*1000)</f>
        <v>85.176632043276229</v>
      </c>
      <c r="S32" s="14">
        <f>IF(S6=0,0,S6/TrAvia_act!S4*1000)</f>
        <v>81.127049929668019</v>
      </c>
      <c r="T32" s="14">
        <f>IF(T6=0,0,T6/TrAvia_act!T4*1000)</f>
        <v>86.995992104605733</v>
      </c>
      <c r="U32" s="14">
        <f>IF(U6=0,0,U6/TrAvia_act!U4*1000)</f>
        <v>86.897086949618682</v>
      </c>
      <c r="V32" s="14">
        <f>IF(V6=0,0,V6/TrAvia_act!V4*1000)</f>
        <v>154.49255485605121</v>
      </c>
      <c r="W32" s="14">
        <f>IF(W6=0,0,W6/TrAvia_act!W4*1000)</f>
        <v>115.04810552821513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186.86267185904359</v>
      </c>
      <c r="C33" s="87">
        <f>IF(C7=0,0,C7/TrAvia_act!C5*1000)</f>
        <v>187.19434960618665</v>
      </c>
      <c r="D33" s="87">
        <f>IF(D7=0,0,D7/TrAvia_act!D5*1000)</f>
        <v>187.87831246641753</v>
      </c>
      <c r="E33" s="87">
        <f>IF(E7=0,0,E7/TrAvia_act!E5*1000)</f>
        <v>188.2742134810417</v>
      </c>
      <c r="F33" s="87">
        <f>IF(F7=0,0,F7/TrAvia_act!F5*1000)</f>
        <v>188.28466701880492</v>
      </c>
      <c r="G33" s="87">
        <f>IF(G7=0,0,G7/TrAvia_act!G5*1000)</f>
        <v>184.41502467494038</v>
      </c>
      <c r="H33" s="87">
        <f>IF(H7=0,0,H7/TrAvia_act!H5*1000)</f>
        <v>214.15893023650958</v>
      </c>
      <c r="I33" s="87">
        <f>IF(I7=0,0,I7/TrAvia_act!I5*1000)</f>
        <v>204.77389441583253</v>
      </c>
      <c r="J33" s="87">
        <f>IF(J7=0,0,J7/TrAvia_act!J5*1000)</f>
        <v>188.22433766587363</v>
      </c>
      <c r="K33" s="87">
        <f>IF(K7=0,0,K7/TrAvia_act!K5*1000)</f>
        <v>190.74227785538613</v>
      </c>
      <c r="L33" s="87">
        <f>IF(L7=0,0,L7/TrAvia_act!L5*1000)</f>
        <v>171.42115240739159</v>
      </c>
      <c r="M33" s="87">
        <f>IF(M7=0,0,M7/TrAvia_act!M5*1000)</f>
        <v>173.95333041985754</v>
      </c>
      <c r="N33" s="87">
        <f>IF(N7=0,0,N7/TrAvia_act!N5*1000)</f>
        <v>163.96112968445286</v>
      </c>
      <c r="O33" s="87">
        <f>IF(O7=0,0,O7/TrAvia_act!O5*1000)</f>
        <v>169.43188659994752</v>
      </c>
      <c r="P33" s="87">
        <f>IF(P7=0,0,P7/TrAvia_act!P5*1000)</f>
        <v>170.39084468938566</v>
      </c>
      <c r="Q33" s="87">
        <f>IF(Q7=0,0,Q7/TrAvia_act!Q5*1000)</f>
        <v>187.00964901086436</v>
      </c>
      <c r="R33" s="87">
        <f>IF(R7=0,0,R7/TrAvia_act!R5*1000)</f>
        <v>176.0587602756051</v>
      </c>
      <c r="S33" s="87">
        <f>IF(S7=0,0,S7/TrAvia_act!S5*1000)</f>
        <v>158.89891190738794</v>
      </c>
      <c r="T33" s="87">
        <f>IF(T7=0,0,T7/TrAvia_act!T5*1000)</f>
        <v>161.26554145079666</v>
      </c>
      <c r="U33" s="87">
        <f>IF(U7=0,0,U7/TrAvia_act!U5*1000)</f>
        <v>165.94480776480779</v>
      </c>
      <c r="V33" s="87">
        <f>IF(V7=0,0,V7/TrAvia_act!V5*1000)</f>
        <v>261.05329058914447</v>
      </c>
      <c r="W33" s="87">
        <f>IF(W7=0,0,W7/TrAvia_act!W5*1000)</f>
        <v>257.95106746811524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128.05416921732029</v>
      </c>
      <c r="C34" s="87">
        <f>IF(C8=0,0,C8/TrAvia_act!C6*1000)</f>
        <v>126.69399326548626</v>
      </c>
      <c r="D34" s="87">
        <f>IF(D8=0,0,D8/TrAvia_act!D6*1000)</f>
        <v>126.52474817663951</v>
      </c>
      <c r="E34" s="87">
        <f>IF(E8=0,0,E8/TrAvia_act!E6*1000)</f>
        <v>127.52135465357756</v>
      </c>
      <c r="F34" s="87">
        <f>IF(F8=0,0,F8/TrAvia_act!F6*1000)</f>
        <v>128.62272686208206</v>
      </c>
      <c r="G34" s="87">
        <f>IF(G8=0,0,G8/TrAvia_act!G6*1000)</f>
        <v>120.23851113731935</v>
      </c>
      <c r="H34" s="87">
        <f>IF(H8=0,0,H8/TrAvia_act!H6*1000)</f>
        <v>110.06541405449373</v>
      </c>
      <c r="I34" s="87">
        <f>IF(I8=0,0,I8/TrAvia_act!I6*1000)</f>
        <v>115.33894108326217</v>
      </c>
      <c r="J34" s="87">
        <f>IF(J8=0,0,J8/TrAvia_act!J6*1000)</f>
        <v>136.9131529695334</v>
      </c>
      <c r="K34" s="87">
        <f>IF(K8=0,0,K8/TrAvia_act!K6*1000)</f>
        <v>116.30481254796581</v>
      </c>
      <c r="L34" s="87">
        <f>IF(L8=0,0,L8/TrAvia_act!L6*1000)</f>
        <v>116.71905981080786</v>
      </c>
      <c r="M34" s="87">
        <f>IF(M8=0,0,M8/TrAvia_act!M6*1000)</f>
        <v>118.81200183782902</v>
      </c>
      <c r="N34" s="87">
        <f>IF(N8=0,0,N8/TrAvia_act!N6*1000)</f>
        <v>113.32912073191325</v>
      </c>
      <c r="O34" s="87">
        <f>IF(O8=0,0,O8/TrAvia_act!O6*1000)</f>
        <v>109.72952082877283</v>
      </c>
      <c r="P34" s="87">
        <f>IF(P8=0,0,P8/TrAvia_act!P6*1000)</f>
        <v>101.810692567714</v>
      </c>
      <c r="Q34" s="87">
        <f>IF(Q8=0,0,Q8/TrAvia_act!Q6*1000)</f>
        <v>93.093743250345767</v>
      </c>
      <c r="R34" s="87">
        <f>IF(R8=0,0,R8/TrAvia_act!R6*1000)</f>
        <v>85.465463877734848</v>
      </c>
      <c r="S34" s="87">
        <f>IF(S8=0,0,S8/TrAvia_act!S6*1000)</f>
        <v>85.490921106730539</v>
      </c>
      <c r="T34" s="87">
        <f>IF(T8=0,0,T8/TrAvia_act!T6*1000)</f>
        <v>97.06574505608009</v>
      </c>
      <c r="U34" s="87">
        <f>IF(U8=0,0,U8/TrAvia_act!U6*1000)</f>
        <v>96.492919543610213</v>
      </c>
      <c r="V34" s="87">
        <f>IF(V8=0,0,V8/TrAvia_act!V6*1000)</f>
        <v>144.36010367891862</v>
      </c>
      <c r="W34" s="87">
        <f>IF(W8=0,0,W8/TrAvia_act!W6*1000)</f>
        <v>113.31306419551808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127.40741083154811</v>
      </c>
      <c r="C35" s="87">
        <f>IF(C9=0,0,C9/TrAvia_act!C7*1000)</f>
        <v>126.72790770443312</v>
      </c>
      <c r="D35" s="87">
        <f>IF(D9=0,0,D9/TrAvia_act!D7*1000)</f>
        <v>125.74737945548203</v>
      </c>
      <c r="E35" s="87">
        <f>IF(E9=0,0,E9/TrAvia_act!E7*1000)</f>
        <v>124.69102298980899</v>
      </c>
      <c r="F35" s="87">
        <f>IF(F9=0,0,F9/TrAvia_act!F7*1000)</f>
        <v>124.34780715676301</v>
      </c>
      <c r="G35" s="87">
        <f>IF(G9=0,0,G9/TrAvia_act!G7*1000)</f>
        <v>139.38404533545148</v>
      </c>
      <c r="H35" s="87">
        <f>IF(H9=0,0,H9/TrAvia_act!H7*1000)</f>
        <v>126.80097454998895</v>
      </c>
      <c r="I35" s="87">
        <f>IF(I9=0,0,I9/TrAvia_act!I7*1000)</f>
        <v>110.54454948731787</v>
      </c>
      <c r="J35" s="87">
        <f>IF(J9=0,0,J9/TrAvia_act!J7*1000)</f>
        <v>109.03870574891494</v>
      </c>
      <c r="K35" s="87">
        <f>IF(K9=0,0,K9/TrAvia_act!K7*1000)</f>
        <v>105.55104441585929</v>
      </c>
      <c r="L35" s="87">
        <f>IF(L9=0,0,L9/TrAvia_act!L7*1000)</f>
        <v>85.00332265421369</v>
      </c>
      <c r="M35" s="87">
        <f>IF(M9=0,0,M9/TrAvia_act!M7*1000)</f>
        <v>78.796252933475216</v>
      </c>
      <c r="N35" s="87">
        <f>IF(N9=0,0,N9/TrAvia_act!N7*1000)</f>
        <v>74.586054308972749</v>
      </c>
      <c r="O35" s="87">
        <f>IF(O9=0,0,O9/TrAvia_act!O7*1000)</f>
        <v>99.061897970503026</v>
      </c>
      <c r="P35" s="87">
        <f>IF(P9=0,0,P9/TrAvia_act!P7*1000)</f>
        <v>96.199211368188884</v>
      </c>
      <c r="Q35" s="87">
        <f>IF(Q9=0,0,Q9/TrAvia_act!Q7*1000)</f>
        <v>74.145703149110005</v>
      </c>
      <c r="R35" s="87">
        <f>IF(R9=0,0,R9/TrAvia_act!R7*1000)</f>
        <v>61.958672877601224</v>
      </c>
      <c r="S35" s="87">
        <f>IF(S9=0,0,S9/TrAvia_act!S7*1000)</f>
        <v>47.727813751387465</v>
      </c>
      <c r="T35" s="87">
        <f>IF(T9=0,0,T9/TrAvia_act!T7*1000)</f>
        <v>42.70574231446686</v>
      </c>
      <c r="U35" s="87">
        <f>IF(U9=0,0,U9/TrAvia_act!U7*1000)</f>
        <v>43.448673290155753</v>
      </c>
      <c r="V35" s="87">
        <f>IF(V9=0,0,V9/TrAvia_act!V7*1000)</f>
        <v>164.7508783435797</v>
      </c>
      <c r="W35" s="87">
        <f>IF(W9=0,0,W9/TrAvia_act!W7*1000)</f>
        <v>97.967292842780822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447.07119512629163</v>
      </c>
      <c r="C36" s="15">
        <f>IF(C10=0,0,C10/TrAvia_act!C8*1000)</f>
        <v>435.82718281621635</v>
      </c>
      <c r="D36" s="15">
        <f>IF(D10=0,0,D10/TrAvia_act!D8*1000)</f>
        <v>460.0656742331625</v>
      </c>
      <c r="E36" s="15">
        <f>IF(E10=0,0,E10/TrAvia_act!E8*1000)</f>
        <v>444.20264773879069</v>
      </c>
      <c r="F36" s="15">
        <f>IF(F10=0,0,F10/TrAvia_act!F8*1000)</f>
        <v>479.6065748998285</v>
      </c>
      <c r="G36" s="15">
        <f>IF(G10=0,0,G10/TrAvia_act!G8*1000)</f>
        <v>481.00749116787671</v>
      </c>
      <c r="H36" s="15">
        <f>IF(H10=0,0,H10/TrAvia_act!H8*1000)</f>
        <v>534.9599199002306</v>
      </c>
      <c r="I36" s="15">
        <f>IF(I10=0,0,I10/TrAvia_act!I8*1000)</f>
        <v>562.1763953704434</v>
      </c>
      <c r="J36" s="15">
        <f>IF(J10=0,0,J10/TrAvia_act!J8*1000)</f>
        <v>624.04794752693658</v>
      </c>
      <c r="K36" s="15">
        <f>IF(K10=0,0,K10/TrAvia_act!K8*1000)</f>
        <v>526.84873221223131</v>
      </c>
      <c r="L36" s="15">
        <f>IF(L10=0,0,L10/TrAvia_act!L8*1000)</f>
        <v>490.51099340361014</v>
      </c>
      <c r="M36" s="15">
        <f>IF(M10=0,0,M10/TrAvia_act!M8*1000)</f>
        <v>337.98492205773681</v>
      </c>
      <c r="N36" s="15">
        <f>IF(N10=0,0,N10/TrAvia_act!N8*1000)</f>
        <v>392.89984854268869</v>
      </c>
      <c r="O36" s="15">
        <f>IF(O10=0,0,O10/TrAvia_act!O8*1000)</f>
        <v>346.18345432064763</v>
      </c>
      <c r="P36" s="15">
        <f>IF(P10=0,0,P10/TrAvia_act!P8*1000)</f>
        <v>280.24411252277099</v>
      </c>
      <c r="Q36" s="15">
        <f>IF(Q10=0,0,Q10/TrAvia_act!Q8*1000)</f>
        <v>244.20704357174091</v>
      </c>
      <c r="R36" s="15">
        <f>IF(R10=0,0,R10/TrAvia_act!R8*1000)</f>
        <v>194.69265757473795</v>
      </c>
      <c r="S36" s="15">
        <f>IF(S10=0,0,S10/TrAvia_act!S8*1000)</f>
        <v>176.20593071489546</v>
      </c>
      <c r="T36" s="15">
        <f>IF(T10=0,0,T10/TrAvia_act!T8*1000)</f>
        <v>109.11943741792786</v>
      </c>
      <c r="U36" s="15">
        <f>IF(U10=0,0,U10/TrAvia_act!U8*1000)</f>
        <v>121.1135856286943</v>
      </c>
      <c r="V36" s="15">
        <f>IF(V10=0,0,V10/TrAvia_act!V8*1000)</f>
        <v>371.52130859492831</v>
      </c>
      <c r="W36" s="15">
        <f>IF(W10=0,0,W10/TrAvia_act!W8*1000)</f>
        <v>316.91622788078297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2250.2872092884154</v>
      </c>
      <c r="C37" s="101">
        <f>IF(C11=0,0,C11/TrAvia_act!C9*1000)</f>
        <v>2257.4213937253926</v>
      </c>
      <c r="D37" s="101">
        <f>IF(D11=0,0,D11/TrAvia_act!D9*1000)</f>
        <v>2196.9943234717762</v>
      </c>
      <c r="E37" s="101">
        <f>IF(E11=0,0,E11/TrAvia_act!E9*1000)</f>
        <v>2069.9864127867309</v>
      </c>
      <c r="F37" s="101">
        <f>IF(F11=0,0,F11/TrAvia_act!F9*1000)</f>
        <v>2198.5576815395652</v>
      </c>
      <c r="G37" s="101">
        <f>IF(G11=0,0,G11/TrAvia_act!G9*1000)</f>
        <v>2167.1063632835549</v>
      </c>
      <c r="H37" s="101">
        <f>IF(H11=0,0,H11/TrAvia_act!H9*1000)</f>
        <v>2321.1481579541978</v>
      </c>
      <c r="I37" s="101">
        <f>IF(I11=0,0,I11/TrAvia_act!I9*1000)</f>
        <v>1981.4861811492724</v>
      </c>
      <c r="J37" s="101">
        <f>IF(J11=0,0,J11/TrAvia_act!J9*1000)</f>
        <v>1718.3529287836639</v>
      </c>
      <c r="K37" s="101">
        <f>IF(K11=0,0,K11/TrAvia_act!K9*1000)</f>
        <v>1413.388183914916</v>
      </c>
      <c r="L37" s="101">
        <f>IF(L11=0,0,L11/TrAvia_act!L9*1000)</f>
        <v>1113.8481506072114</v>
      </c>
      <c r="M37" s="101">
        <f>IF(M11=0,0,M11/TrAvia_act!M9*1000)</f>
        <v>1422.9203325880485</v>
      </c>
      <c r="N37" s="101">
        <f>IF(N11=0,0,N11/TrAvia_act!N9*1000)</f>
        <v>2168.5195941707725</v>
      </c>
      <c r="O37" s="101">
        <f>IF(O11=0,0,O11/TrAvia_act!O9*1000)</f>
        <v>2010.1893195707298</v>
      </c>
      <c r="P37" s="101">
        <f>IF(P11=0,0,P11/TrAvia_act!P9*1000)</f>
        <v>1533.8181906025864</v>
      </c>
      <c r="Q37" s="101">
        <f>IF(Q11=0,0,Q11/TrAvia_act!Q9*1000)</f>
        <v>1551.4911800613706</v>
      </c>
      <c r="R37" s="101">
        <f>IF(R11=0,0,R11/TrAvia_act!R9*1000)</f>
        <v>1149.1377216297785</v>
      </c>
      <c r="S37" s="101">
        <f>IF(S11=0,0,S11/TrAvia_act!S9*1000)</f>
        <v>1131.0450658906427</v>
      </c>
      <c r="T37" s="101">
        <f>IF(T11=0,0,T11/TrAvia_act!T9*1000)</f>
        <v>1068.8984086259297</v>
      </c>
      <c r="U37" s="101">
        <f>IF(U11=0,0,U11/TrAvia_act!U9*1000)</f>
        <v>960.9186750173568</v>
      </c>
      <c r="V37" s="101">
        <f>IF(V11=0,0,V11/TrAvia_act!V9*1000)</f>
        <v>918.43770238184447</v>
      </c>
      <c r="W37" s="101">
        <f>IF(W11=0,0,W11/TrAvia_act!W9*1000)</f>
        <v>921.12008433227106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433.07529263572746</v>
      </c>
      <c r="C38" s="101">
        <f>IF(C12=0,0,C12/TrAvia_act!C10*1000)</f>
        <v>417.62502784132425</v>
      </c>
      <c r="D38" s="101">
        <f>IF(D12=0,0,D12/TrAvia_act!D10*1000)</f>
        <v>443.76337084875206</v>
      </c>
      <c r="E38" s="101">
        <f>IF(E12=0,0,E12/TrAvia_act!E10*1000)</f>
        <v>433.17778494805992</v>
      </c>
      <c r="F38" s="101">
        <f>IF(F12=0,0,F12/TrAvia_act!F10*1000)</f>
        <v>476.69208607811601</v>
      </c>
      <c r="G38" s="101">
        <f>IF(G12=0,0,G12/TrAvia_act!G10*1000)</f>
        <v>436.39794766573067</v>
      </c>
      <c r="H38" s="101">
        <f>IF(H12=0,0,H12/TrAvia_act!H10*1000)</f>
        <v>457.42846976728987</v>
      </c>
      <c r="I38" s="101">
        <f>IF(I12=0,0,I12/TrAvia_act!I10*1000)</f>
        <v>501.97274041726678</v>
      </c>
      <c r="J38" s="101">
        <f>IF(J12=0,0,J12/TrAvia_act!J10*1000)</f>
        <v>635.32508896772242</v>
      </c>
      <c r="K38" s="101">
        <f>IF(K12=0,0,K12/TrAvia_act!K10*1000)</f>
        <v>542.42617475187421</v>
      </c>
      <c r="L38" s="101">
        <f>IF(L12=0,0,L12/TrAvia_act!L10*1000)</f>
        <v>592.24391964979748</v>
      </c>
      <c r="M38" s="101">
        <f>IF(M12=0,0,M12/TrAvia_act!M10*1000)</f>
        <v>671.196407357814</v>
      </c>
      <c r="N38" s="101">
        <f>IF(N12=0,0,N12/TrAvia_act!N10*1000)</f>
        <v>646.18809796440507</v>
      </c>
      <c r="O38" s="101">
        <f>IF(O12=0,0,O12/TrAvia_act!O10*1000)</f>
        <v>611.66137661197968</v>
      </c>
      <c r="P38" s="101">
        <f>IF(P12=0,0,P12/TrAvia_act!P10*1000)</f>
        <v>477.37622955764533</v>
      </c>
      <c r="Q38" s="101">
        <f>IF(Q12=0,0,Q12/TrAvia_act!Q10*1000)</f>
        <v>450.13380821098872</v>
      </c>
      <c r="R38" s="101">
        <f>IF(R12=0,0,R12/TrAvia_act!R10*1000)</f>
        <v>371.16319677958154</v>
      </c>
      <c r="S38" s="101">
        <f>IF(S12=0,0,S12/TrAvia_act!S10*1000)</f>
        <v>391.59731167064723</v>
      </c>
      <c r="T38" s="101">
        <f>IF(T12=0,0,T12/TrAvia_act!T10*1000)</f>
        <v>419.3699450040707</v>
      </c>
      <c r="U38" s="101">
        <f>IF(U12=0,0,U12/TrAvia_act!U10*1000)</f>
        <v>366.14707241069078</v>
      </c>
      <c r="V38" s="101">
        <f>IF(V12=0,0,V12/TrAvia_act!V10*1000)</f>
        <v>610.87246411375872</v>
      </c>
      <c r="W38" s="101">
        <f>IF(W12=0,0,W12/TrAvia_act!W10*1000)</f>
        <v>604.21327414959399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130.23937651278433</v>
      </c>
      <c r="C39" s="88">
        <f>IF(C13=0,0,C13/TrAvia_act!C11*1000)</f>
        <v>124.08497230452754</v>
      </c>
      <c r="D39" s="88">
        <f>IF(D13=0,0,D13/TrAvia_act!D11*1000)</f>
        <v>131.20036188350883</v>
      </c>
      <c r="E39" s="88">
        <f>IF(E13=0,0,E13/TrAvia_act!E11*1000)</f>
        <v>144.25797828315544</v>
      </c>
      <c r="F39" s="88">
        <f>IF(F13=0,0,F13/TrAvia_act!F11*1000)</f>
        <v>148.56867030421228</v>
      </c>
      <c r="G39" s="88">
        <f>IF(G13=0,0,G13/TrAvia_act!G11*1000)</f>
        <v>174.09219898215028</v>
      </c>
      <c r="H39" s="88">
        <f>IF(H13=0,0,H13/TrAvia_act!H11*1000)</f>
        <v>152.73252165824027</v>
      </c>
      <c r="I39" s="88">
        <f>IF(I13=0,0,I13/TrAvia_act!I11*1000)</f>
        <v>133.77434910765885</v>
      </c>
      <c r="J39" s="88">
        <f>IF(J13=0,0,J13/TrAvia_act!J11*1000)</f>
        <v>134.18840711224189</v>
      </c>
      <c r="K39" s="88">
        <f>IF(K13=0,0,K13/TrAvia_act!K11*1000)</f>
        <v>102.72810694709192</v>
      </c>
      <c r="L39" s="88">
        <f>IF(L13=0,0,L13/TrAvia_act!L11*1000)</f>
        <v>89.339229880888581</v>
      </c>
      <c r="M39" s="88">
        <f>IF(M13=0,0,M13/TrAvia_act!M11*1000)</f>
        <v>108.83278504446864</v>
      </c>
      <c r="N39" s="88">
        <f>IF(N13=0,0,N13/TrAvia_act!N11*1000)</f>
        <v>122.22904363232782</v>
      </c>
      <c r="O39" s="88">
        <f>IF(O13=0,0,O13/TrAvia_act!O11*1000)</f>
        <v>137.97848540990748</v>
      </c>
      <c r="P39" s="88">
        <f>IF(P13=0,0,P13/TrAvia_act!P11*1000)</f>
        <v>116.00084526253843</v>
      </c>
      <c r="Q39" s="88">
        <f>IF(Q13=0,0,Q13/TrAvia_act!Q11*1000)</f>
        <v>87.489038101211477</v>
      </c>
      <c r="R39" s="88">
        <f>IF(R13=0,0,R13/TrAvia_act!R11*1000)</f>
        <v>74.461955257233228</v>
      </c>
      <c r="S39" s="88">
        <f>IF(S13=0,0,S13/TrAvia_act!S11*1000)</f>
        <v>71.748813035636985</v>
      </c>
      <c r="T39" s="88">
        <f>IF(T13=0,0,T13/TrAvia_act!T11*1000)</f>
        <v>73.323445767080727</v>
      </c>
      <c r="U39" s="88">
        <f>IF(U13=0,0,U13/TrAvia_act!U11*1000)</f>
        <v>73.731600784530926</v>
      </c>
      <c r="V39" s="88">
        <f>IF(V13=0,0,V13/TrAvia_act!V11*1000)</f>
        <v>261.75662163722887</v>
      </c>
      <c r="W39" s="88">
        <f>IF(W13=0,0,W13/TrAvia_act!W11*1000)</f>
        <v>216.79932856786621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11098.913772922357</v>
      </c>
      <c r="C41" s="54">
        <f>IF(C3=0,0,C3/TrAvia_act!C23*1000000)</f>
        <v>11070.298584423796</v>
      </c>
      <c r="D41" s="54">
        <f>IF(D3=0,0,D3/TrAvia_act!D23*1000000)</f>
        <v>10702.689712503654</v>
      </c>
      <c r="E41" s="54">
        <f>IF(E3=0,0,E3/TrAvia_act!E23*1000000)</f>
        <v>10483.256220037774</v>
      </c>
      <c r="F41" s="54">
        <f>IF(F3=0,0,F3/TrAvia_act!F23*1000000)</f>
        <v>10570.36067657961</v>
      </c>
      <c r="G41" s="54">
        <f>IF(G3=0,0,G3/TrAvia_act!G23*1000000)</f>
        <v>10642.029736387209</v>
      </c>
      <c r="H41" s="54">
        <f>IF(H3=0,0,H3/TrAvia_act!H23*1000000)</f>
        <v>9949.1100127222362</v>
      </c>
      <c r="I41" s="54">
        <f>IF(I3=0,0,I3/TrAvia_act!I23*1000000)</f>
        <v>9904.3656763330237</v>
      </c>
      <c r="J41" s="54">
        <f>IF(J3=0,0,J3/TrAvia_act!J23*1000000)</f>
        <v>11042.026170468183</v>
      </c>
      <c r="K41" s="54">
        <f>IF(K3=0,0,K3/TrAvia_act!K23*1000000)</f>
        <v>9547.6660424477177</v>
      </c>
      <c r="L41" s="54">
        <f>IF(L3=0,0,L3/TrAvia_act!L23*1000000)</f>
        <v>10057.343365411225</v>
      </c>
      <c r="M41" s="54">
        <f>IF(M3=0,0,M3/TrAvia_act!M23*1000000)</f>
        <v>10654.501669847912</v>
      </c>
      <c r="N41" s="54">
        <f>IF(N3=0,0,N3/TrAvia_act!N23*1000000)</f>
        <v>11086.090686517789</v>
      </c>
      <c r="O41" s="54">
        <f>IF(O3=0,0,O3/TrAvia_act!O23*1000000)</f>
        <v>11786.092060144971</v>
      </c>
      <c r="P41" s="54">
        <f>IF(P3=0,0,P3/TrAvia_act!P23*1000000)</f>
        <v>11091.111943176053</v>
      </c>
      <c r="Q41" s="54">
        <f>IF(Q3=0,0,Q3/TrAvia_act!Q23*1000000)</f>
        <v>10465.194658520622</v>
      </c>
      <c r="R41" s="54">
        <f>IF(R3=0,0,R3/TrAvia_act!R23*1000000)</f>
        <v>10022.537152164256</v>
      </c>
      <c r="S41" s="54">
        <f>IF(S3=0,0,S3/TrAvia_act!S23*1000000)</f>
        <v>10743.923246604043</v>
      </c>
      <c r="T41" s="54">
        <f>IF(T3=0,0,T3/TrAvia_act!T23*1000000)</f>
        <v>12237.584252204919</v>
      </c>
      <c r="U41" s="54">
        <f>IF(U3=0,0,U3/TrAvia_act!U23*1000000)</f>
        <v>12521.475725390137</v>
      </c>
      <c r="V41" s="54">
        <f>IF(V3=0,0,V3/TrAvia_act!V23*1000000)</f>
        <v>10429.95316919853</v>
      </c>
      <c r="W41" s="54">
        <f>IF(W3=0,0,W3/TrAvia_act!W23*1000000)</f>
        <v>11285.596061132585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11116.357040198725</v>
      </c>
      <c r="C42" s="11">
        <f>IF(C6=0,0,C6/TrAvia_act!C24*1000000)</f>
        <v>11091.501784815247</v>
      </c>
      <c r="D42" s="11">
        <f>IF(D6=0,0,D6/TrAvia_act!D24*1000000)</f>
        <v>10720.413423916931</v>
      </c>
      <c r="E42" s="11">
        <f>IF(E6=0,0,E6/TrAvia_act!E24*1000000)</f>
        <v>10496.492712456284</v>
      </c>
      <c r="F42" s="11">
        <f>IF(F6=0,0,F6/TrAvia_act!F24*1000000)</f>
        <v>10582.916491728636</v>
      </c>
      <c r="G42" s="11">
        <f>IF(G6=0,0,G6/TrAvia_act!G24*1000000)</f>
        <v>10659.924955274699</v>
      </c>
      <c r="H42" s="11">
        <f>IF(H6=0,0,H6/TrAvia_act!H24*1000000)</f>
        <v>9967.4894750406802</v>
      </c>
      <c r="I42" s="11">
        <f>IF(I6=0,0,I6/TrAvia_act!I24*1000000)</f>
        <v>9928.6387650138367</v>
      </c>
      <c r="J42" s="11">
        <f>IF(J6=0,0,J6/TrAvia_act!J24*1000000)</f>
        <v>11072.797239313681</v>
      </c>
      <c r="K42" s="11">
        <f>IF(K6=0,0,K6/TrAvia_act!K24*1000000)</f>
        <v>9569.503811079654</v>
      </c>
      <c r="L42" s="11">
        <f>IF(L6=0,0,L6/TrAvia_act!L24*1000000)</f>
        <v>10077.877814315436</v>
      </c>
      <c r="M42" s="11">
        <f>IF(M6=0,0,M6/TrAvia_act!M24*1000000)</f>
        <v>10671.178012559038</v>
      </c>
      <c r="N42" s="11">
        <f>IF(N6=0,0,N6/TrAvia_act!N24*1000000)</f>
        <v>11103.524816955385</v>
      </c>
      <c r="O42" s="11">
        <f>IF(O6=0,0,O6/TrAvia_act!O24*1000000)</f>
        <v>11799.935575004341</v>
      </c>
      <c r="P42" s="11">
        <f>IF(P6=0,0,P6/TrAvia_act!P24*1000000)</f>
        <v>11102.28798056473</v>
      </c>
      <c r="Q42" s="11">
        <f>IF(Q6=0,0,Q6/TrAvia_act!Q24*1000000)</f>
        <v>10474.060942279202</v>
      </c>
      <c r="R42" s="11">
        <f>IF(R6=0,0,R6/TrAvia_act!R24*1000000)</f>
        <v>10028.663355890722</v>
      </c>
      <c r="S42" s="11">
        <f>IF(S6=0,0,S6/TrAvia_act!S24*1000000)</f>
        <v>10750.492074492322</v>
      </c>
      <c r="T42" s="11">
        <f>IF(T6=0,0,T6/TrAvia_act!T24*1000000)</f>
        <v>12228.944685089193</v>
      </c>
      <c r="U42" s="11">
        <f>IF(U6=0,0,U6/TrAvia_act!U24*1000000)</f>
        <v>12517.403630605417</v>
      </c>
      <c r="V42" s="11">
        <f>IF(V6=0,0,V6/TrAvia_act!V24*1000000)</f>
        <v>10363.334371164396</v>
      </c>
      <c r="W42" s="11">
        <f>IF(W6=0,0,W6/TrAvia_act!W24*1000000)</f>
        <v>11234.208397088361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5123.2671068480377</v>
      </c>
      <c r="C43" s="84">
        <f>IF(C7=0,0,C7/TrAvia_act!C25*1000000)</f>
        <v>5100.3226585175025</v>
      </c>
      <c r="D43" s="84">
        <f>IF(D7=0,0,D7/TrAvia_act!D25*1000000)</f>
        <v>5104.4159006524033</v>
      </c>
      <c r="E43" s="84">
        <f>IF(E7=0,0,E7/TrAvia_act!E25*1000000)</f>
        <v>5115.624314288516</v>
      </c>
      <c r="F43" s="84">
        <f>IF(F7=0,0,F7/TrAvia_act!F25*1000000)</f>
        <v>5116.3739493090898</v>
      </c>
      <c r="G43" s="84">
        <f>IF(G7=0,0,G7/TrAvia_act!G25*1000000)</f>
        <v>5053.2268249565277</v>
      </c>
      <c r="H43" s="84">
        <f>IF(H7=0,0,H7/TrAvia_act!H25*1000000)</f>
        <v>5726.8238720648333</v>
      </c>
      <c r="I43" s="84">
        <f>IF(I7=0,0,I7/TrAvia_act!I25*1000000)</f>
        <v>5448.0131524149238</v>
      </c>
      <c r="J43" s="84">
        <f>IF(J7=0,0,J7/TrAvia_act!J25*1000000)</f>
        <v>4954.9124397966179</v>
      </c>
      <c r="K43" s="84">
        <f>IF(K7=0,0,K7/TrAvia_act!K25*1000000)</f>
        <v>4398.1540923733546</v>
      </c>
      <c r="L43" s="84">
        <f>IF(L7=0,0,L7/TrAvia_act!L25*1000000)</f>
        <v>4085.1513185933841</v>
      </c>
      <c r="M43" s="84">
        <f>IF(M7=0,0,M7/TrAvia_act!M25*1000000)</f>
        <v>4266.507919187985</v>
      </c>
      <c r="N43" s="84">
        <f>IF(N7=0,0,N7/TrAvia_act!N25*1000000)</f>
        <v>4082.4314512143533</v>
      </c>
      <c r="O43" s="84">
        <f>IF(O7=0,0,O7/TrAvia_act!O25*1000000)</f>
        <v>4306.0976159446673</v>
      </c>
      <c r="P43" s="84">
        <f>IF(P7=0,0,P7/TrAvia_act!P25*1000000)</f>
        <v>3868.5099089249466</v>
      </c>
      <c r="Q43" s="84">
        <f>IF(Q7=0,0,Q7/TrAvia_act!Q25*1000000)</f>
        <v>4305.6959738446858</v>
      </c>
      <c r="R43" s="84">
        <f>IF(R7=0,0,R7/TrAvia_act!R25*1000000)</f>
        <v>4034.0248509490402</v>
      </c>
      <c r="S43" s="84">
        <f>IF(S7=0,0,S7/TrAvia_act!S25*1000000)</f>
        <v>3888.6408828756221</v>
      </c>
      <c r="T43" s="84">
        <f>IF(T7=0,0,T7/TrAvia_act!T25*1000000)</f>
        <v>3869.3225735358915</v>
      </c>
      <c r="U43" s="84">
        <f>IF(U7=0,0,U7/TrAvia_act!U25*1000000)</f>
        <v>3836.890605329635</v>
      </c>
      <c r="V43" s="84">
        <f>IF(V7=0,0,V7/TrAvia_act!V25*1000000)</f>
        <v>3292.0977234838379</v>
      </c>
      <c r="W43" s="84">
        <f>IF(W7=0,0,W7/TrAvia_act!W25*1000000)</f>
        <v>3363.6807880906099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12700.772767142973</v>
      </c>
      <c r="C44" s="84">
        <f>IF(C8=0,0,C8/TrAvia_act!C26*1000000)</f>
        <v>12675.764724396338</v>
      </c>
      <c r="D44" s="84">
        <f>IF(D8=0,0,D8/TrAvia_act!D26*1000000)</f>
        <v>12657.612591394063</v>
      </c>
      <c r="E44" s="84">
        <f>IF(E8=0,0,E8/TrAvia_act!E26*1000000)</f>
        <v>12647.594556943937</v>
      </c>
      <c r="F44" s="84">
        <f>IF(F8=0,0,F8/TrAvia_act!F26*1000000)</f>
        <v>12644.021273425491</v>
      </c>
      <c r="G44" s="84">
        <f>IF(G8=0,0,G8/TrAvia_act!G26*1000000)</f>
        <v>12209.722240637475</v>
      </c>
      <c r="H44" s="84">
        <f>IF(H8=0,0,H8/TrAvia_act!H26*1000000)</f>
        <v>11096.383532611022</v>
      </c>
      <c r="I44" s="84">
        <f>IF(I8=0,0,I8/TrAvia_act!I26*1000000)</f>
        <v>11309.694354891384</v>
      </c>
      <c r="J44" s="84">
        <f>IF(J8=0,0,J8/TrAvia_act!J26*1000000)</f>
        <v>13403.701543769095</v>
      </c>
      <c r="K44" s="84">
        <f>IF(K8=0,0,K8/TrAvia_act!K26*1000000)</f>
        <v>11666.695516529837</v>
      </c>
      <c r="L44" s="84">
        <f>IF(L8=0,0,L8/TrAvia_act!L26*1000000)</f>
        <v>12321.514863689712</v>
      </c>
      <c r="M44" s="84">
        <f>IF(M8=0,0,M8/TrAvia_act!M26*1000000)</f>
        <v>13216.643415384397</v>
      </c>
      <c r="N44" s="84">
        <f>IF(N8=0,0,N8/TrAvia_act!N26*1000000)</f>
        <v>13934.128473657367</v>
      </c>
      <c r="O44" s="84">
        <f>IF(O8=0,0,O8/TrAvia_act!O26*1000000)</f>
        <v>14300.353047408884</v>
      </c>
      <c r="P44" s="84">
        <f>IF(P8=0,0,P8/TrAvia_act!P26*1000000)</f>
        <v>13634.475019794882</v>
      </c>
      <c r="Q44" s="84">
        <f>IF(Q8=0,0,Q8/TrAvia_act!Q26*1000000)</f>
        <v>12914.149736820782</v>
      </c>
      <c r="R44" s="84">
        <f>IF(R8=0,0,R8/TrAvia_act!R26*1000000)</f>
        <v>12423.838565258029</v>
      </c>
      <c r="S44" s="84">
        <f>IF(S8=0,0,S8/TrAvia_act!S26*1000000)</f>
        <v>13140.175764309633</v>
      </c>
      <c r="T44" s="84">
        <f>IF(T8=0,0,T8/TrAvia_act!T26*1000000)</f>
        <v>15125.605784713171</v>
      </c>
      <c r="U44" s="84">
        <f>IF(U8=0,0,U8/TrAvia_act!U26*1000000)</f>
        <v>15295.467672887553</v>
      </c>
      <c r="V44" s="84">
        <f>IF(V8=0,0,V8/TrAvia_act!V26*1000000)</f>
        <v>12689.286422696516</v>
      </c>
      <c r="W44" s="84">
        <f>IF(W8=0,0,W8/TrAvia_act!W26*1000000)</f>
        <v>13557.781128969948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14483.70336528497</v>
      </c>
      <c r="C45" s="84">
        <f>IF(C9=0,0,C9/TrAvia_act!C27*1000000)</f>
        <v>14455.697995421886</v>
      </c>
      <c r="D45" s="84">
        <f>IF(D9=0,0,D9/TrAvia_act!D27*1000000)</f>
        <v>14435.138355539255</v>
      </c>
      <c r="E45" s="84">
        <f>IF(E9=0,0,E9/TrAvia_act!E27*1000000)</f>
        <v>14423.860187351373</v>
      </c>
      <c r="F45" s="84">
        <f>IF(F9=0,0,F9/TrAvia_act!F27*1000000)</f>
        <v>14419.343641559284</v>
      </c>
      <c r="G45" s="84">
        <f>IF(G9=0,0,G9/TrAvia_act!G27*1000000)</f>
        <v>14955.077756899622</v>
      </c>
      <c r="H45" s="84">
        <f>IF(H9=0,0,H9/TrAvia_act!H27*1000000)</f>
        <v>11679.477596460116</v>
      </c>
      <c r="I45" s="84">
        <f>IF(I9=0,0,I9/TrAvia_act!I27*1000000)</f>
        <v>10697.201577051468</v>
      </c>
      <c r="J45" s="84">
        <f>IF(J9=0,0,J9/TrAvia_act!J27*1000000)</f>
        <v>11322.22583016263</v>
      </c>
      <c r="K45" s="84">
        <f>IF(K9=0,0,K9/TrAvia_act!K27*1000000)</f>
        <v>9842.4453706899149</v>
      </c>
      <c r="L45" s="84">
        <f>IF(L9=0,0,L9/TrAvia_act!L27*1000000)</f>
        <v>9640.7899808936199</v>
      </c>
      <c r="M45" s="84">
        <f>IF(M9=0,0,M9/TrAvia_act!M27*1000000)</f>
        <v>10396.676927686283</v>
      </c>
      <c r="N45" s="84">
        <f>IF(N9=0,0,N9/TrAvia_act!N27*1000000)</f>
        <v>9982.4502765633606</v>
      </c>
      <c r="O45" s="84">
        <f>IF(O9=0,0,O9/TrAvia_act!O27*1000000)</f>
        <v>11273.749878973551</v>
      </c>
      <c r="P45" s="84">
        <f>IF(P9=0,0,P9/TrAvia_act!P27*1000000)</f>
        <v>10652.326311718907</v>
      </c>
      <c r="Q45" s="84">
        <f>IF(Q9=0,0,Q9/TrAvia_act!Q27*1000000)</f>
        <v>8710.9545030960162</v>
      </c>
      <c r="R45" s="84">
        <f>IF(R9=0,0,R9/TrAvia_act!R27*1000000)</f>
        <v>7872.3470644760482</v>
      </c>
      <c r="S45" s="84">
        <f>IF(S9=0,0,S9/TrAvia_act!S27*1000000)</f>
        <v>8252.8788252246268</v>
      </c>
      <c r="T45" s="84">
        <f>IF(T9=0,0,T9/TrAvia_act!T27*1000000)</f>
        <v>8835.7568300051244</v>
      </c>
      <c r="U45" s="84">
        <f>IF(U9=0,0,U9/TrAvia_act!U27*1000000)</f>
        <v>9289.1405466762808</v>
      </c>
      <c r="V45" s="84">
        <f>IF(V9=0,0,V9/TrAvia_act!V27*1000000)</f>
        <v>16804.414218668953</v>
      </c>
      <c r="W45" s="84">
        <f>IF(W9=0,0,W9/TrAvia_act!W27*1000000)</f>
        <v>14374.595113746958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8852.7067095995499</v>
      </c>
      <c r="C46" s="13">
        <f>IF(C10=0,0,C10/TrAvia_act!C28*1000000)</f>
        <v>8797.4270982515463</v>
      </c>
      <c r="D46" s="13">
        <f>IF(D10=0,0,D10/TrAvia_act!D28*1000000)</f>
        <v>8816.0887871461255</v>
      </c>
      <c r="E46" s="13">
        <f>IF(E10=0,0,E10/TrAvia_act!E28*1000000)</f>
        <v>8943.3858662367747</v>
      </c>
      <c r="F46" s="13">
        <f>IF(F10=0,0,F10/TrAvia_act!F28*1000000)</f>
        <v>8945.7079508241241</v>
      </c>
      <c r="G46" s="13">
        <f>IF(G10=0,0,G10/TrAvia_act!G28*1000000)</f>
        <v>8451.4163416399406</v>
      </c>
      <c r="H46" s="13">
        <f>IF(H10=0,0,H10/TrAvia_act!H28*1000000)</f>
        <v>7740.5233984719816</v>
      </c>
      <c r="I46" s="13">
        <f>IF(I10=0,0,I10/TrAvia_act!I28*1000000)</f>
        <v>7441.6165477815521</v>
      </c>
      <c r="J46" s="13">
        <f>IF(J10=0,0,J10/TrAvia_act!J28*1000000)</f>
        <v>7858.4573242536162</v>
      </c>
      <c r="K46" s="13">
        <f>IF(K10=0,0,K10/TrAvia_act!K28*1000000)</f>
        <v>7366.960115467602</v>
      </c>
      <c r="L46" s="13">
        <f>IF(L10=0,0,L10/TrAvia_act!L28*1000000)</f>
        <v>7283.3884812214419</v>
      </c>
      <c r="M46" s="13">
        <f>IF(M10=0,0,M10/TrAvia_act!M28*1000000)</f>
        <v>8015.8791697023998</v>
      </c>
      <c r="N46" s="13">
        <f>IF(N10=0,0,N10/TrAvia_act!N28*1000000)</f>
        <v>8170.0077042002031</v>
      </c>
      <c r="O46" s="13">
        <f>IF(O10=0,0,O10/TrAvia_act!O28*1000000)</f>
        <v>9315.0990852460673</v>
      </c>
      <c r="P46" s="13">
        <f>IF(P10=0,0,P10/TrAvia_act!P28*1000000)</f>
        <v>8713.7129536036264</v>
      </c>
      <c r="Q46" s="13">
        <f>IF(Q10=0,0,Q10/TrAvia_act!Q28*1000000)</f>
        <v>8442.3520190000836</v>
      </c>
      <c r="R46" s="13">
        <f>IF(R10=0,0,R10/TrAvia_act!R28*1000000)</f>
        <v>8362.582635059227</v>
      </c>
      <c r="S46" s="13">
        <f>IF(S10=0,0,S10/TrAvia_act!S28*1000000)</f>
        <v>8682.4293880480036</v>
      </c>
      <c r="T46" s="13">
        <f>IF(T10=0,0,T10/TrAvia_act!T28*1000000)</f>
        <v>14505.660500678861</v>
      </c>
      <c r="U46" s="13">
        <f>IF(U10=0,0,U10/TrAvia_act!U28*1000000)</f>
        <v>13796.16785557874</v>
      </c>
      <c r="V46" s="13">
        <f>IF(V10=0,0,V10/TrAvia_act!V28*1000000)</f>
        <v>17993.851497994241</v>
      </c>
      <c r="W46" s="13">
        <f>IF(W10=0,0,W10/TrAvia_act!W28*1000000)</f>
        <v>18704.226509001666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4638.6913706625091</v>
      </c>
      <c r="C47" s="102">
        <f>IF(C11=0,0,C11/TrAvia_act!C29*1000000)</f>
        <v>4617.9170849858529</v>
      </c>
      <c r="D47" s="102">
        <f>IF(D11=0,0,D11/TrAvia_act!D29*1000000)</f>
        <v>4621.6231745910227</v>
      </c>
      <c r="E47" s="102">
        <f>IF(E11=0,0,E11/TrAvia_act!E29*1000000)</f>
        <v>4631.771458982279</v>
      </c>
      <c r="F47" s="102">
        <f>IF(F11=0,0,F11/TrAvia_act!F29*1000000)</f>
        <v>4632.4501910156778</v>
      </c>
      <c r="G47" s="102">
        <f>IF(G11=0,0,G11/TrAvia_act!G29*1000000)</f>
        <v>4575.2757328608732</v>
      </c>
      <c r="H47" s="102">
        <f>IF(H11=0,0,H11/TrAvia_act!H29*1000000)</f>
        <v>5293.6732211315484</v>
      </c>
      <c r="I47" s="102">
        <f>IF(I11=0,0,I11/TrAvia_act!I29*1000000)</f>
        <v>5141.3363089792456</v>
      </c>
      <c r="J47" s="102">
        <f>IF(J11=0,0,J11/TrAvia_act!J29*1000000)</f>
        <v>4773.8432548093442</v>
      </c>
      <c r="K47" s="102">
        <f>IF(K11=0,0,K11/TrAvia_act!K29*1000000)</f>
        <v>4326.1010428640902</v>
      </c>
      <c r="L47" s="102">
        <f>IF(L11=0,0,L11/TrAvia_act!L29*1000000)</f>
        <v>4102.3069679094388</v>
      </c>
      <c r="M47" s="102">
        <f>IF(M11=0,0,M11/TrAvia_act!M29*1000000)</f>
        <v>4039.7221387271375</v>
      </c>
      <c r="N47" s="102">
        <f>IF(N11=0,0,N11/TrAvia_act!N29*1000000)</f>
        <v>3644.6407168141577</v>
      </c>
      <c r="O47" s="102">
        <f>IF(O11=0,0,O11/TrAvia_act!O29*1000000)</f>
        <v>3870.4902532252559</v>
      </c>
      <c r="P47" s="102">
        <f>IF(P11=0,0,P11/TrAvia_act!P29*1000000)</f>
        <v>3500.8387620989092</v>
      </c>
      <c r="Q47" s="102">
        <f>IF(Q11=0,0,Q11/TrAvia_act!Q29*1000000)</f>
        <v>3922.9976341748134</v>
      </c>
      <c r="R47" s="102">
        <f>IF(R11=0,0,R11/TrAvia_act!R29*1000000)</f>
        <v>3700.4926549536031</v>
      </c>
      <c r="S47" s="102">
        <f>IF(S11=0,0,S11/TrAvia_act!S29*1000000)</f>
        <v>3591.4110040121914</v>
      </c>
      <c r="T47" s="102">
        <f>IF(T11=0,0,T11/TrAvia_act!T29*1000000)</f>
        <v>3597.8951604172566</v>
      </c>
      <c r="U47" s="102">
        <f>IF(U11=0,0,U11/TrAvia_act!U29*1000000)</f>
        <v>3560.8417023324523</v>
      </c>
      <c r="V47" s="102">
        <f>IF(V11=0,0,V11/TrAvia_act!V29*1000000)</f>
        <v>3055.2444851181422</v>
      </c>
      <c r="W47" s="102">
        <f>IF(W11=0,0,W11/TrAvia_act!W29*1000000)</f>
        <v>3121.6774350903115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14017.810265093776</v>
      </c>
      <c r="C48" s="102">
        <f>IF(C12=0,0,C12/TrAvia_act!C30*1000000)</f>
        <v>14030.893789463369</v>
      </c>
      <c r="D48" s="102">
        <f>IF(D12=0,0,D12/TrAvia_act!D30*1000000)</f>
        <v>14005.645388244586</v>
      </c>
      <c r="E48" s="102">
        <f>IF(E12=0,0,E12/TrAvia_act!E30*1000000)</f>
        <v>14028.768905429482</v>
      </c>
      <c r="F48" s="102">
        <f>IF(F12=0,0,F12/TrAvia_act!F30*1000000)</f>
        <v>14012.375580778031</v>
      </c>
      <c r="G48" s="102">
        <f>IF(G12=0,0,G12/TrAvia_act!G30*1000000)</f>
        <v>12706.294791473245</v>
      </c>
      <c r="H48" s="102">
        <f>IF(H12=0,0,H12/TrAvia_act!H30*1000000)</f>
        <v>10375.239180480719</v>
      </c>
      <c r="I48" s="102">
        <f>IF(I12=0,0,I12/TrAvia_act!I30*1000000)</f>
        <v>10016.785123898422</v>
      </c>
      <c r="J48" s="102">
        <f>IF(J12=0,0,J12/TrAvia_act!J30*1000000)</f>
        <v>11594.322104901434</v>
      </c>
      <c r="K48" s="102">
        <f>IF(K12=0,0,K12/TrAvia_act!K30*1000000)</f>
        <v>9260.8929803031569</v>
      </c>
      <c r="L48" s="102">
        <f>IF(L12=0,0,L12/TrAvia_act!L30*1000000)</f>
        <v>9552.2185521924785</v>
      </c>
      <c r="M48" s="102">
        <f>IF(M12=0,0,M12/TrAvia_act!M30*1000000)</f>
        <v>10280.538040808191</v>
      </c>
      <c r="N48" s="102">
        <f>IF(N12=0,0,N12/TrAvia_act!N30*1000000)</f>
        <v>10030.587741804608</v>
      </c>
      <c r="O48" s="102">
        <f>IF(O12=0,0,O12/TrAvia_act!O30*1000000)</f>
        <v>9883.6381400084483</v>
      </c>
      <c r="P48" s="102">
        <f>IF(P12=0,0,P12/TrAvia_act!P30*1000000)</f>
        <v>9028.0170136361376</v>
      </c>
      <c r="Q48" s="102">
        <f>IF(Q12=0,0,Q12/TrAvia_act!Q30*1000000)</f>
        <v>8554.2795151528226</v>
      </c>
      <c r="R48" s="102">
        <f>IF(R12=0,0,R12/TrAvia_act!R30*1000000)</f>
        <v>7987.4304255182133</v>
      </c>
      <c r="S48" s="102">
        <f>IF(S12=0,0,S12/TrAvia_act!S30*1000000)</f>
        <v>7919.1333522260729</v>
      </c>
      <c r="T48" s="102">
        <f>IF(T12=0,0,T12/TrAvia_act!T30*1000000)</f>
        <v>8708.2133816121514</v>
      </c>
      <c r="U48" s="102">
        <f>IF(U12=0,0,U12/TrAvia_act!U30*1000000)</f>
        <v>8791.1193688160565</v>
      </c>
      <c r="V48" s="102">
        <f>IF(V12=0,0,V12/TrAvia_act!V30*1000000)</f>
        <v>10505.44232760559</v>
      </c>
      <c r="W48" s="102">
        <f>IF(W12=0,0,W12/TrAvia_act!W30*1000000)</f>
        <v>10680.187847825619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18022.715798054698</v>
      </c>
      <c r="C49" s="86">
        <f>IF(C13=0,0,C13/TrAvia_act!C31*1000000)</f>
        <v>17987.867471688696</v>
      </c>
      <c r="D49" s="86">
        <f>IF(D13=0,0,D13/TrAvia_act!D31*1000000)</f>
        <v>17962.284198048666</v>
      </c>
      <c r="E49" s="86">
        <f>IF(E13=0,0,E13/TrAvia_act!E31*1000000)</f>
        <v>17948.250272135771</v>
      </c>
      <c r="F49" s="86">
        <f>IF(F13=0,0,F13/TrAvia_act!F31*1000000)</f>
        <v>17942.630133477396</v>
      </c>
      <c r="G49" s="86">
        <f>IF(G13=0,0,G13/TrAvia_act!G31*1000000)</f>
        <v>18609.267902878528</v>
      </c>
      <c r="H49" s="86">
        <f>IF(H13=0,0,H13/TrAvia_act!H31*1000000)</f>
        <v>13989.291498782912</v>
      </c>
      <c r="I49" s="86">
        <f>IF(I13=0,0,I13/TrAvia_act!I31*1000000)</f>
        <v>12322.950376114966</v>
      </c>
      <c r="J49" s="86">
        <f>IF(J13=0,0,J13/TrAvia_act!J31*1000000)</f>
        <v>12533.356724432115</v>
      </c>
      <c r="K49" s="86">
        <f>IF(K13=0,0,K13/TrAvia_act!K31*1000000)</f>
        <v>10459.834695026004</v>
      </c>
      <c r="L49" s="86">
        <f>IF(L13=0,0,L13/TrAvia_act!L31*1000000)</f>
        <v>9826.2956988151018</v>
      </c>
      <c r="M49" s="86">
        <f>IF(M13=0,0,M13/TrAvia_act!M31*1000000)</f>
        <v>15946.278272173546</v>
      </c>
      <c r="N49" s="86">
        <f>IF(N13=0,0,N13/TrAvia_act!N31*1000000)</f>
        <v>22054.370951725516</v>
      </c>
      <c r="O49" s="86">
        <f>IF(O13=0,0,O13/TrAvia_act!O31*1000000)</f>
        <v>27326.963175528541</v>
      </c>
      <c r="P49" s="86">
        <f>IF(P13=0,0,P13/TrAvia_act!P31*1000000)</f>
        <v>28398.811618955446</v>
      </c>
      <c r="Q49" s="86">
        <f>IF(Q13=0,0,Q13/TrAvia_act!Q31*1000000)</f>
        <v>25587.040423695002</v>
      </c>
      <c r="R49" s="86">
        <f>IF(R13=0,0,R13/TrAvia_act!R31*1000000)</f>
        <v>25506.383672346321</v>
      </c>
      <c r="S49" s="86">
        <f>IF(S13=0,0,S13/TrAvia_act!S31*1000000)</f>
        <v>29510.385288757578</v>
      </c>
      <c r="T49" s="86">
        <f>IF(T13=0,0,T13/TrAvia_act!T31*1000000)</f>
        <v>34867.661296498954</v>
      </c>
      <c r="U49" s="86">
        <f>IF(U13=0,0,U13/TrAvia_act!U31*1000000)</f>
        <v>45835.487076732665</v>
      </c>
      <c r="V49" s="86">
        <f>IF(V13=0,0,V13/TrAvia_act!V31*1000000)</f>
        <v>93399.182668372392</v>
      </c>
      <c r="W49" s="86">
        <f>IF(W13=0,0,W13/TrAvia_act!W31*1000000)</f>
        <v>76800.918761121211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0.99385369521123113</v>
      </c>
      <c r="C52" s="16">
        <f t="shared" si="35"/>
        <v>0.99265502694307184</v>
      </c>
      <c r="D52" s="16">
        <f t="shared" ref="D52:V52" si="36">IF(D6=0,0,D6/D$3)</f>
        <v>0.99233350768696105</v>
      </c>
      <c r="E52" s="16">
        <f t="shared" si="36"/>
        <v>0.99272928117824411</v>
      </c>
      <c r="F52" s="16">
        <f t="shared" si="36"/>
        <v>0.99350968431636355</v>
      </c>
      <c r="G52" s="16">
        <f t="shared" si="36"/>
        <v>0.99356508305023572</v>
      </c>
      <c r="H52" s="16">
        <f t="shared" si="36"/>
        <v>0.99357896118271949</v>
      </c>
      <c r="I52" s="16">
        <f t="shared" si="36"/>
        <v>0.99266692715692573</v>
      </c>
      <c r="J52" s="16">
        <f t="shared" si="36"/>
        <v>0.99318698558961005</v>
      </c>
      <c r="K52" s="16">
        <f t="shared" si="36"/>
        <v>0.99234976411778586</v>
      </c>
      <c r="L52" s="16">
        <f t="shared" si="36"/>
        <v>0.99467854010874146</v>
      </c>
      <c r="M52" s="16">
        <f t="shared" si="36"/>
        <v>0.9952749606931085</v>
      </c>
      <c r="N52" s="16">
        <f t="shared" si="36"/>
        <v>0.99562018563072485</v>
      </c>
      <c r="O52" s="16">
        <f t="shared" si="36"/>
        <v>0.9955968223780125</v>
      </c>
      <c r="P52" s="16">
        <f t="shared" si="36"/>
        <v>0.99632398631645969</v>
      </c>
      <c r="Q52" s="16">
        <f t="shared" si="36"/>
        <v>0.99647956537001781</v>
      </c>
      <c r="R52" s="16">
        <f t="shared" si="36"/>
        <v>0.99693198030165919</v>
      </c>
      <c r="S52" s="16">
        <f t="shared" si="36"/>
        <v>0.99743313784452947</v>
      </c>
      <c r="T52" s="16">
        <f t="shared" si="36"/>
        <v>0.99550194281698923</v>
      </c>
      <c r="U52" s="16">
        <f t="shared" si="36"/>
        <v>0.99649142831387205</v>
      </c>
      <c r="V52" s="16">
        <f t="shared" si="36"/>
        <v>0.98493793231961135</v>
      </c>
      <c r="W52" s="16">
        <f t="shared" ref="W52" si="37">IF(W6=0,0,W6/W$3)</f>
        <v>0.98859874989364172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0.10927673241531746</v>
      </c>
      <c r="C53" s="103">
        <f t="shared" si="38"/>
        <v>0.10889939825028375</v>
      </c>
      <c r="D53" s="103">
        <f t="shared" ref="D53:V53" si="39">IF(D7=0,0,D7/D$3)</f>
        <v>0.1342798886222811</v>
      </c>
      <c r="E53" s="103">
        <f t="shared" si="39"/>
        <v>0.15108939690524473</v>
      </c>
      <c r="F53" s="103">
        <f t="shared" si="39"/>
        <v>0.14454295836870579</v>
      </c>
      <c r="G53" s="103">
        <f t="shared" si="39"/>
        <v>0.12100060683752779</v>
      </c>
      <c r="H53" s="103">
        <f t="shared" si="39"/>
        <v>0.12706456368892394</v>
      </c>
      <c r="I53" s="103">
        <f t="shared" si="39"/>
        <v>0.12155559507702929</v>
      </c>
      <c r="J53" s="103">
        <f t="shared" si="39"/>
        <v>0.10779406863592737</v>
      </c>
      <c r="K53" s="103">
        <f t="shared" si="39"/>
        <v>0.11613718262828313</v>
      </c>
      <c r="L53" s="103">
        <f t="shared" si="39"/>
        <v>9.047861728235268E-2</v>
      </c>
      <c r="M53" s="103">
        <f t="shared" si="39"/>
        <v>9.4741558390964681E-2</v>
      </c>
      <c r="N53" s="103">
        <f t="shared" si="39"/>
        <v>8.2103649235270859E-2</v>
      </c>
      <c r="O53" s="103">
        <f t="shared" si="39"/>
        <v>7.5629380960854531E-2</v>
      </c>
      <c r="P53" s="103">
        <f t="shared" si="39"/>
        <v>7.5769575574356249E-2</v>
      </c>
      <c r="Q53" s="103">
        <f t="shared" si="39"/>
        <v>8.5138557937108103E-2</v>
      </c>
      <c r="R53" s="103">
        <f t="shared" si="39"/>
        <v>8.1339386680058287E-2</v>
      </c>
      <c r="S53" s="103">
        <f t="shared" si="39"/>
        <v>6.6629778586343127E-2</v>
      </c>
      <c r="T53" s="103">
        <f t="shared" si="39"/>
        <v>5.4717860126051662E-2</v>
      </c>
      <c r="U53" s="103">
        <f t="shared" si="39"/>
        <v>5.0770792335783743E-2</v>
      </c>
      <c r="V53" s="103">
        <f t="shared" si="39"/>
        <v>9.3308269488576109E-2</v>
      </c>
      <c r="W53" s="103">
        <f t="shared" ref="W53" si="40">IF(W7=0,0,W7/W$3)</f>
        <v>7.0409359355150553E-2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0.72234725477951112</v>
      </c>
      <c r="C54" s="103">
        <f t="shared" si="41"/>
        <v>0.72164904029582655</v>
      </c>
      <c r="D54" s="103">
        <f t="shared" ref="D54:V54" si="42">IF(D8=0,0,D8/D$3)</f>
        <v>0.70065031278956413</v>
      </c>
      <c r="E54" s="103">
        <f t="shared" si="42"/>
        <v>0.68726727292809053</v>
      </c>
      <c r="F54" s="103">
        <f t="shared" si="42"/>
        <v>0.69326378851625414</v>
      </c>
      <c r="G54" s="103">
        <f t="shared" si="42"/>
        <v>0.72595295434883622</v>
      </c>
      <c r="H54" s="103">
        <f t="shared" si="42"/>
        <v>0.73416816029729837</v>
      </c>
      <c r="I54" s="103">
        <f t="shared" si="42"/>
        <v>0.74374164617744887</v>
      </c>
      <c r="J54" s="103">
        <f t="shared" si="42"/>
        <v>0.74793758475647654</v>
      </c>
      <c r="K54" s="103">
        <f t="shared" si="42"/>
        <v>0.73839001206463561</v>
      </c>
      <c r="L54" s="103">
        <f t="shared" si="42"/>
        <v>0.76385347328292719</v>
      </c>
      <c r="M54" s="103">
        <f t="shared" si="42"/>
        <v>0.75798745921940214</v>
      </c>
      <c r="N54" s="103">
        <f t="shared" si="42"/>
        <v>0.77286202200282272</v>
      </c>
      <c r="O54" s="103">
        <f t="shared" si="42"/>
        <v>0.78797398867664314</v>
      </c>
      <c r="P54" s="103">
        <f t="shared" si="42"/>
        <v>0.7921007574407567</v>
      </c>
      <c r="Q54" s="103">
        <f t="shared" si="42"/>
        <v>0.78300232516877466</v>
      </c>
      <c r="R54" s="103">
        <f t="shared" si="42"/>
        <v>0.79636372788267817</v>
      </c>
      <c r="S54" s="103">
        <f t="shared" si="42"/>
        <v>0.82408931201181634</v>
      </c>
      <c r="T54" s="103">
        <f t="shared" si="42"/>
        <v>0.83314602004304061</v>
      </c>
      <c r="U54" s="103">
        <f t="shared" si="42"/>
        <v>0.83818156899653296</v>
      </c>
      <c r="V54" s="103">
        <f t="shared" si="42"/>
        <v>0.70670301706085836</v>
      </c>
      <c r="W54" s="103">
        <f t="shared" ref="W54" si="43">IF(W8=0,0,W8/W$3)</f>
        <v>0.76132968556413361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0.16222970801640255</v>
      </c>
      <c r="C55" s="103">
        <f t="shared" si="44"/>
        <v>0.1621065883969616</v>
      </c>
      <c r="D55" s="103">
        <f t="shared" ref="D55:V55" si="45">IF(D9=0,0,D9/D$3)</f>
        <v>0.15740330627511578</v>
      </c>
      <c r="E55" s="103">
        <f t="shared" si="45"/>
        <v>0.1543726113449089</v>
      </c>
      <c r="F55" s="103">
        <f t="shared" si="45"/>
        <v>0.15570293743140368</v>
      </c>
      <c r="G55" s="103">
        <f t="shared" si="45"/>
        <v>0.14661152186387172</v>
      </c>
      <c r="H55" s="103">
        <f t="shared" si="45"/>
        <v>0.13234623719649702</v>
      </c>
      <c r="I55" s="103">
        <f t="shared" si="45"/>
        <v>0.12736968590244752</v>
      </c>
      <c r="J55" s="103">
        <f t="shared" si="45"/>
        <v>0.13745533219720624</v>
      </c>
      <c r="K55" s="103">
        <f t="shared" si="45"/>
        <v>0.13782256942486712</v>
      </c>
      <c r="L55" s="103">
        <f t="shared" si="45"/>
        <v>0.14034644954346165</v>
      </c>
      <c r="M55" s="103">
        <f t="shared" si="45"/>
        <v>0.14254594308274174</v>
      </c>
      <c r="N55" s="103">
        <f t="shared" si="45"/>
        <v>0.14065451439263124</v>
      </c>
      <c r="O55" s="103">
        <f t="shared" si="45"/>
        <v>0.13199345274051494</v>
      </c>
      <c r="P55" s="103">
        <f t="shared" si="45"/>
        <v>0.12845365330134673</v>
      </c>
      <c r="Q55" s="103">
        <f t="shared" si="45"/>
        <v>0.12833868226413514</v>
      </c>
      <c r="R55" s="103">
        <f t="shared" si="45"/>
        <v>0.11922886573892269</v>
      </c>
      <c r="S55" s="103">
        <f t="shared" si="45"/>
        <v>0.1067140472463701</v>
      </c>
      <c r="T55" s="103">
        <f t="shared" si="45"/>
        <v>0.10763806264789717</v>
      </c>
      <c r="U55" s="103">
        <f t="shared" si="45"/>
        <v>0.1075390669815553</v>
      </c>
      <c r="V55" s="103">
        <f t="shared" si="45"/>
        <v>0.1849266457701769</v>
      </c>
      <c r="W55" s="103">
        <f t="shared" ref="W55" si="46">IF(W9=0,0,W9/W$3)</f>
        <v>0.15685970497435742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6.1463047887688992E-3</v>
      </c>
      <c r="C56" s="17">
        <f t="shared" si="47"/>
        <v>7.344973056928104E-3</v>
      </c>
      <c r="D56" s="17">
        <f t="shared" ref="D56:V56" si="48">IF(D10=0,0,D10/D$3)</f>
        <v>7.6664923130390144E-3</v>
      </c>
      <c r="E56" s="17">
        <f t="shared" si="48"/>
        <v>7.2707188217558455E-3</v>
      </c>
      <c r="F56" s="17">
        <f t="shared" si="48"/>
        <v>6.4903156836363298E-3</v>
      </c>
      <c r="G56" s="17">
        <f t="shared" si="48"/>
        <v>6.4349169497643494E-3</v>
      </c>
      <c r="H56" s="17">
        <f t="shared" si="48"/>
        <v>6.4210388172806802E-3</v>
      </c>
      <c r="I56" s="17">
        <f t="shared" si="48"/>
        <v>7.333072843074169E-3</v>
      </c>
      <c r="J56" s="17">
        <f t="shared" si="48"/>
        <v>6.8130144103899165E-3</v>
      </c>
      <c r="K56" s="17">
        <f t="shared" si="48"/>
        <v>7.6502358822140588E-3</v>
      </c>
      <c r="L56" s="17">
        <f t="shared" si="48"/>
        <v>5.3214598912584643E-3</v>
      </c>
      <c r="M56" s="17">
        <f t="shared" si="48"/>
        <v>4.7250393068915576E-3</v>
      </c>
      <c r="N56" s="17">
        <f t="shared" si="48"/>
        <v>4.3798143692751063E-3</v>
      </c>
      <c r="O56" s="17">
        <f t="shared" si="48"/>
        <v>4.4031776219873734E-3</v>
      </c>
      <c r="P56" s="17">
        <f t="shared" si="48"/>
        <v>3.6760136835402614E-3</v>
      </c>
      <c r="Q56" s="17">
        <f t="shared" si="48"/>
        <v>3.5204346299820615E-3</v>
      </c>
      <c r="R56" s="17">
        <f t="shared" si="48"/>
        <v>3.068019698340817E-3</v>
      </c>
      <c r="S56" s="17">
        <f t="shared" si="48"/>
        <v>2.5668621554704222E-3</v>
      </c>
      <c r="T56" s="17">
        <f t="shared" si="48"/>
        <v>4.4980571830106099E-3</v>
      </c>
      <c r="U56" s="17">
        <f t="shared" si="48"/>
        <v>3.5085716861279858E-3</v>
      </c>
      <c r="V56" s="17">
        <f t="shared" si="48"/>
        <v>1.5062067680388723E-2</v>
      </c>
      <c r="W56" s="17">
        <f t="shared" ref="W56" si="49">IF(W10=0,0,W10/W$3)</f>
        <v>1.140125010635842E-2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1.8345050733085636E-3</v>
      </c>
      <c r="C57" s="104">
        <f t="shared" si="50"/>
        <v>2.211839238342307E-3</v>
      </c>
      <c r="D57" s="104">
        <f t="shared" ref="D57:V57" si="51">IF(D11=0,0,D11/D$3)</f>
        <v>2.2935510555668185E-3</v>
      </c>
      <c r="E57" s="104">
        <f t="shared" si="51"/>
        <v>2.1180930232772934E-3</v>
      </c>
      <c r="F57" s="104">
        <f t="shared" si="51"/>
        <v>1.8858655729173056E-3</v>
      </c>
      <c r="G57" s="104">
        <f t="shared" si="51"/>
        <v>1.9353442056395148E-3</v>
      </c>
      <c r="H57" s="104">
        <f t="shared" si="51"/>
        <v>2.412605843771046E-3</v>
      </c>
      <c r="I57" s="104">
        <f t="shared" si="51"/>
        <v>2.7678751540174814E-3</v>
      </c>
      <c r="J57" s="104">
        <f t="shared" si="51"/>
        <v>2.2889600959114477E-3</v>
      </c>
      <c r="K57" s="104">
        <f t="shared" si="51"/>
        <v>1.7548629343395099E-3</v>
      </c>
      <c r="L57" s="104">
        <f t="shared" si="51"/>
        <v>1.2540867285543047E-3</v>
      </c>
      <c r="M57" s="104">
        <f t="shared" si="51"/>
        <v>1.0972445797580816E-3</v>
      </c>
      <c r="N57" s="104">
        <f t="shared" si="51"/>
        <v>8.1577661112338382E-4</v>
      </c>
      <c r="O57" s="104">
        <f t="shared" si="51"/>
        <v>6.2952319152376809E-4</v>
      </c>
      <c r="P57" s="104">
        <f t="shared" si="51"/>
        <v>4.8932857802202361E-4</v>
      </c>
      <c r="Q57" s="104">
        <f t="shared" si="51"/>
        <v>4.9076335695093861E-4</v>
      </c>
      <c r="R57" s="104">
        <f t="shared" si="51"/>
        <v>3.2801484591789173E-4</v>
      </c>
      <c r="S57" s="104">
        <f t="shared" si="51"/>
        <v>2.6355746864765902E-4</v>
      </c>
      <c r="T57" s="104">
        <f t="shared" si="51"/>
        <v>1.7777168039726665E-4</v>
      </c>
      <c r="U57" s="104">
        <f t="shared" si="51"/>
        <v>1.2936789514276449E-4</v>
      </c>
      <c r="V57" s="104">
        <f t="shared" si="51"/>
        <v>8.524819199142083E-5</v>
      </c>
      <c r="W57" s="104">
        <f t="shared" ref="W57" si="52">IF(W11=0,0,W11/W$3)</f>
        <v>3.9233676439426732E-5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3.7574303746490444E-3</v>
      </c>
      <c r="C58" s="104">
        <f t="shared" si="53"/>
        <v>4.500793904914516E-3</v>
      </c>
      <c r="D58" s="104">
        <f t="shared" ref="D58:V58" si="54">IF(D12=0,0,D12/D$3)</f>
        <v>4.7186984867381562E-3</v>
      </c>
      <c r="E58" s="104">
        <f t="shared" si="54"/>
        <v>4.4064737441667657E-3</v>
      </c>
      <c r="F58" s="104">
        <f t="shared" si="54"/>
        <v>3.9535606875389061E-3</v>
      </c>
      <c r="G58" s="104">
        <f t="shared" si="54"/>
        <v>3.8698342818353172E-3</v>
      </c>
      <c r="H58" s="104">
        <f t="shared" si="54"/>
        <v>3.5038845525295738E-3</v>
      </c>
      <c r="I58" s="104">
        <f t="shared" si="54"/>
        <v>4.0996434137050512E-3</v>
      </c>
      <c r="J58" s="104">
        <f t="shared" si="54"/>
        <v>4.1047877148489903E-3</v>
      </c>
      <c r="K58" s="104">
        <f t="shared" si="54"/>
        <v>5.5898781215378886E-3</v>
      </c>
      <c r="L58" s="104">
        <f t="shared" si="54"/>
        <v>3.7669805513483559E-3</v>
      </c>
      <c r="M58" s="104">
        <f t="shared" si="54"/>
        <v>2.6141025019955793E-3</v>
      </c>
      <c r="N58" s="104">
        <f t="shared" si="54"/>
        <v>2.7717744638088883E-3</v>
      </c>
      <c r="O58" s="104">
        <f t="shared" si="54"/>
        <v>2.6624930563601506E-3</v>
      </c>
      <c r="P58" s="104">
        <f t="shared" si="54"/>
        <v>2.2484551364499376E-3</v>
      </c>
      <c r="Q58" s="104">
        <f t="shared" si="54"/>
        <v>2.2294425306415505E-3</v>
      </c>
      <c r="R58" s="104">
        <f t="shared" si="54"/>
        <v>1.9863689368547943E-3</v>
      </c>
      <c r="S58" s="104">
        <f t="shared" si="54"/>
        <v>1.5608015374080108E-3</v>
      </c>
      <c r="T58" s="104">
        <f t="shared" si="54"/>
        <v>1.5875554945705378E-3</v>
      </c>
      <c r="U58" s="104">
        <f t="shared" si="54"/>
        <v>1.5691650595355494E-3</v>
      </c>
      <c r="V58" s="104">
        <f t="shared" si="54"/>
        <v>7.6798872182413606E-3</v>
      </c>
      <c r="W58" s="104">
        <f t="shared" ref="W58" si="55">IF(W12=0,0,W12/W$3)</f>
        <v>5.5705486189521211E-3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5.543693408112916E-4</v>
      </c>
      <c r="C59" s="105">
        <f t="shared" si="56"/>
        <v>6.3233991367128044E-4</v>
      </c>
      <c r="D59" s="105">
        <f t="shared" ref="D59:V59" si="57">IF(D13=0,0,D13/D$3)</f>
        <v>6.5424277073403961E-4</v>
      </c>
      <c r="E59" s="105">
        <f t="shared" si="57"/>
        <v>7.4615205431178568E-4</v>
      </c>
      <c r="F59" s="105">
        <f t="shared" si="57"/>
        <v>6.5088942318011799E-4</v>
      </c>
      <c r="G59" s="105">
        <f t="shared" si="57"/>
        <v>6.2973846228951702E-4</v>
      </c>
      <c r="H59" s="105">
        <f t="shared" si="57"/>
        <v>5.0454842098006023E-4</v>
      </c>
      <c r="I59" s="105">
        <f t="shared" si="57"/>
        <v>4.6555427535163729E-4</v>
      </c>
      <c r="J59" s="105">
        <f t="shared" si="57"/>
        <v>4.1926659962947856E-4</v>
      </c>
      <c r="K59" s="105">
        <f t="shared" si="57"/>
        <v>3.0549482633665959E-4</v>
      </c>
      <c r="L59" s="105">
        <f t="shared" si="57"/>
        <v>3.0039261135580405E-4</v>
      </c>
      <c r="M59" s="105">
        <f t="shared" si="57"/>
        <v>1.0136922251378971E-3</v>
      </c>
      <c r="N59" s="105">
        <f t="shared" si="57"/>
        <v>7.9226329434283415E-4</v>
      </c>
      <c r="O59" s="105">
        <f t="shared" si="57"/>
        <v>1.1111613741034546E-3</v>
      </c>
      <c r="P59" s="105">
        <f t="shared" si="57"/>
        <v>9.3822996906830092E-4</v>
      </c>
      <c r="Q59" s="105">
        <f t="shared" si="57"/>
        <v>8.0022874238957294E-4</v>
      </c>
      <c r="R59" s="105">
        <f t="shared" si="57"/>
        <v>7.5363591556813097E-4</v>
      </c>
      <c r="S59" s="105">
        <f t="shared" si="57"/>
        <v>7.4250314941475242E-4</v>
      </c>
      <c r="T59" s="105">
        <f t="shared" si="57"/>
        <v>2.7327300080428052E-3</v>
      </c>
      <c r="U59" s="105">
        <f t="shared" si="57"/>
        <v>1.8100387314496716E-3</v>
      </c>
      <c r="V59" s="105">
        <f t="shared" si="57"/>
        <v>7.2969322701559409E-3</v>
      </c>
      <c r="W59" s="105">
        <f t="shared" ref="W59" si="58">IF(W13=0,0,W13/W$3)</f>
        <v>5.7914678109668716E-3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2329222</v>
      </c>
      <c r="C4" s="11">
        <f t="shared" si="0"/>
        <v>2333723</v>
      </c>
      <c r="D4" s="11">
        <f t="shared" ref="D4" si="1">SUM(D5:D7)</f>
        <v>2376676</v>
      </c>
      <c r="E4" s="11">
        <f t="shared" ref="E4" si="2">SUM(E5:E7)</f>
        <v>2428890</v>
      </c>
      <c r="F4" s="11">
        <f t="shared" ref="F4" si="3">SUM(F5:F7)</f>
        <v>2769317</v>
      </c>
      <c r="G4" s="11">
        <f t="shared" ref="G4" si="4">SUM(G5:G7)</f>
        <v>3259426</v>
      </c>
      <c r="H4" s="11">
        <f t="shared" ref="H4" si="5">SUM(H5:H7)</f>
        <v>3591741</v>
      </c>
      <c r="I4" s="11">
        <f t="shared" ref="I4" si="6">SUM(I5:I7)</f>
        <v>3758321</v>
      </c>
      <c r="J4" s="11">
        <f t="shared" ref="J4" si="7">SUM(J5:J7)</f>
        <v>3817601</v>
      </c>
      <c r="K4" s="11">
        <f t="shared" ref="K4" si="8">SUM(K5:K7)</f>
        <v>3694917</v>
      </c>
      <c r="L4" s="11">
        <f t="shared" ref="L4" si="9">SUM(L5:L7)</f>
        <v>3752379</v>
      </c>
      <c r="M4" s="11">
        <f t="shared" ref="M4" si="10">SUM(M5:M7)</f>
        <v>3803462</v>
      </c>
      <c r="N4" s="11">
        <f t="shared" ref="N4" si="11">SUM(N5:N7)</f>
        <v>3977533</v>
      </c>
      <c r="O4" s="11">
        <f t="shared" ref="O4" si="12">SUM(O5:O7)</f>
        <v>4153146</v>
      </c>
      <c r="P4" s="11">
        <f t="shared" ref="P4" si="13">SUM(P5:P7)</f>
        <v>4454591</v>
      </c>
      <c r="Q4" s="11">
        <f t="shared" ref="Q4" si="14">SUM(Q5:Q7)</f>
        <v>4723028</v>
      </c>
      <c r="R4" s="11">
        <f t="shared" ref="R4" si="15">SUM(R5:R7)</f>
        <v>5279976</v>
      </c>
      <c r="S4" s="11">
        <f t="shared" ref="S4" si="16">SUM(S5:S7)</f>
        <v>6016823</v>
      </c>
      <c r="T4" s="11">
        <f t="shared" ref="T4" si="17">SUM(T5:T7)</f>
        <v>6592403</v>
      </c>
      <c r="U4" s="11">
        <f t="shared" ref="U4" si="18">SUM(U5:U7)</f>
        <v>7132361</v>
      </c>
      <c r="V4" s="11">
        <f t="shared" ref="V4:W4" si="19">SUM(V5:V7)</f>
        <v>2004645</v>
      </c>
      <c r="W4" s="11">
        <f t="shared" si="19"/>
        <v>3723201</v>
      </c>
      <c r="DA4" s="189" t="s">
        <v>361</v>
      </c>
    </row>
    <row r="5" spans="1:105" ht="11.45" customHeight="1" x14ac:dyDescent="0.25">
      <c r="A5" s="83" t="s">
        <v>27</v>
      </c>
      <c r="B5" s="84">
        <v>722316</v>
      </c>
      <c r="C5" s="84">
        <v>716054</v>
      </c>
      <c r="D5" s="84">
        <v>845201</v>
      </c>
      <c r="E5" s="84">
        <v>930206</v>
      </c>
      <c r="F5" s="84">
        <v>1014491</v>
      </c>
      <c r="G5" s="84">
        <v>1005066</v>
      </c>
      <c r="H5" s="84">
        <v>940914</v>
      </c>
      <c r="I5" s="84">
        <v>961394</v>
      </c>
      <c r="J5" s="84">
        <v>1036028</v>
      </c>
      <c r="K5" s="84">
        <v>960751</v>
      </c>
      <c r="L5" s="84">
        <v>758617</v>
      </c>
      <c r="M5" s="84">
        <v>812067</v>
      </c>
      <c r="N5" s="84">
        <v>778647</v>
      </c>
      <c r="O5" s="84">
        <v>727296</v>
      </c>
      <c r="P5" s="84">
        <v>788880</v>
      </c>
      <c r="Q5" s="84">
        <v>807060</v>
      </c>
      <c r="R5" s="84">
        <v>834897</v>
      </c>
      <c r="S5" s="84">
        <v>825485</v>
      </c>
      <c r="T5" s="84">
        <v>829192</v>
      </c>
      <c r="U5" s="84">
        <v>841763</v>
      </c>
      <c r="V5" s="84">
        <v>427905</v>
      </c>
      <c r="W5" s="84">
        <v>579737</v>
      </c>
      <c r="DA5" s="171" t="s">
        <v>362</v>
      </c>
    </row>
    <row r="6" spans="1:105" ht="11.45" customHeight="1" x14ac:dyDescent="0.25">
      <c r="A6" s="83" t="s">
        <v>173</v>
      </c>
      <c r="B6" s="84">
        <v>1349841</v>
      </c>
      <c r="C6" s="84">
        <v>1359290</v>
      </c>
      <c r="D6" s="84">
        <v>1287390</v>
      </c>
      <c r="E6" s="84">
        <v>1260660</v>
      </c>
      <c r="F6" s="84">
        <v>1477576</v>
      </c>
      <c r="G6" s="84">
        <v>1953007</v>
      </c>
      <c r="H6" s="84">
        <v>2290511</v>
      </c>
      <c r="I6" s="84">
        <v>2402036</v>
      </c>
      <c r="J6" s="84">
        <v>2321033</v>
      </c>
      <c r="K6" s="84">
        <v>2281322</v>
      </c>
      <c r="L6" s="84">
        <v>2466829</v>
      </c>
      <c r="M6" s="84">
        <v>2436941</v>
      </c>
      <c r="N6" s="84">
        <v>2613648</v>
      </c>
      <c r="O6" s="84">
        <v>2917103</v>
      </c>
      <c r="P6" s="84">
        <v>3129770</v>
      </c>
      <c r="Q6" s="84">
        <v>3297174</v>
      </c>
      <c r="R6" s="84">
        <v>3740619</v>
      </c>
      <c r="S6" s="84">
        <v>4413669</v>
      </c>
      <c r="T6" s="84">
        <v>4793762</v>
      </c>
      <c r="U6" s="84">
        <v>5285892</v>
      </c>
      <c r="V6" s="84">
        <v>1357329</v>
      </c>
      <c r="W6" s="84">
        <v>2686867</v>
      </c>
      <c r="DA6" s="171" t="s">
        <v>363</v>
      </c>
    </row>
    <row r="7" spans="1:105" ht="11.45" customHeight="1" x14ac:dyDescent="0.25">
      <c r="A7" s="85" t="s">
        <v>174</v>
      </c>
      <c r="B7" s="86">
        <v>257065</v>
      </c>
      <c r="C7" s="86">
        <v>258379</v>
      </c>
      <c r="D7" s="86">
        <v>244085</v>
      </c>
      <c r="E7" s="86">
        <v>238024</v>
      </c>
      <c r="F7" s="86">
        <v>277250</v>
      </c>
      <c r="G7" s="86">
        <v>301353</v>
      </c>
      <c r="H7" s="86">
        <v>360316</v>
      </c>
      <c r="I7" s="86">
        <v>394891</v>
      </c>
      <c r="J7" s="86">
        <v>460540</v>
      </c>
      <c r="K7" s="86">
        <v>452844</v>
      </c>
      <c r="L7" s="86">
        <v>526933</v>
      </c>
      <c r="M7" s="86">
        <v>554454</v>
      </c>
      <c r="N7" s="86">
        <v>585238</v>
      </c>
      <c r="O7" s="86">
        <v>508747</v>
      </c>
      <c r="P7" s="86">
        <v>535941</v>
      </c>
      <c r="Q7" s="86">
        <v>618794</v>
      </c>
      <c r="R7" s="86">
        <v>704460</v>
      </c>
      <c r="S7" s="86">
        <v>777669</v>
      </c>
      <c r="T7" s="86">
        <v>969449</v>
      </c>
      <c r="U7" s="86">
        <v>1004706</v>
      </c>
      <c r="V7" s="86">
        <v>219411</v>
      </c>
      <c r="W7" s="86">
        <v>456597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114.4805858645434</v>
      </c>
      <c r="C12" s="14">
        <f>IF(C4=0,0,C4/TrAvia_act!C24)</f>
        <v>114.58354200422252</v>
      </c>
      <c r="D12" s="14">
        <f>IF(D4=0,0,D4/TrAvia_act!D24)</f>
        <v>116.89911957109832</v>
      </c>
      <c r="E12" s="14">
        <f>IF(E4=0,0,E4/TrAvia_act!E24)</f>
        <v>118.62710622710622</v>
      </c>
      <c r="F12" s="14">
        <f>IF(F4=0,0,F4/TrAvia_act!F24)</f>
        <v>118.90073418917179</v>
      </c>
      <c r="G12" s="14">
        <f>IF(G4=0,0,G4/TrAvia_act!G24)</f>
        <v>118.33954180735577</v>
      </c>
      <c r="H12" s="14">
        <f>IF(H4=0,0,H4/TrAvia_act!H24)</f>
        <v>118.1416025261496</v>
      </c>
      <c r="I12" s="14">
        <f>IF(I4=0,0,I4/TrAvia_act!I24)</f>
        <v>118.34622287999497</v>
      </c>
      <c r="J12" s="14">
        <f>IF(J4=0,0,J4/TrAvia_act!J24)</f>
        <v>118.64747016409747</v>
      </c>
      <c r="K12" s="14">
        <f>IF(K4=0,0,K4/TrAvia_act!K24)</f>
        <v>115.62875919261461</v>
      </c>
      <c r="L12" s="14">
        <f>IF(L4=0,0,L4/TrAvia_act!L24)</f>
        <v>116.22309979557703</v>
      </c>
      <c r="M12" s="14">
        <f>IF(M4=0,0,M4/TrAvia_act!M24)</f>
        <v>117.83450027882769</v>
      </c>
      <c r="N12" s="14">
        <f>IF(N4=0,0,N4/TrAvia_act!N24)</f>
        <v>122.57798391321766</v>
      </c>
      <c r="O12" s="14">
        <f>IF(O4=0,0,O4/TrAvia_act!O24)</f>
        <v>125.09475903614458</v>
      </c>
      <c r="P12" s="14">
        <f>IF(P4=0,0,P4/TrAvia_act!P24)</f>
        <v>126.14949592206615</v>
      </c>
      <c r="Q12" s="14">
        <f>IF(Q4=0,0,Q4/TrAvia_act!Q24)</f>
        <v>129.38384834538681</v>
      </c>
      <c r="R12" s="14">
        <f>IF(R4=0,0,R4/TrAvia_act!R24)</f>
        <v>130.77987764099768</v>
      </c>
      <c r="S12" s="14">
        <f>IF(S4=0,0,S4/TrAvia_act!S24)</f>
        <v>135.97340112994351</v>
      </c>
      <c r="T12" s="14">
        <f>IF(T4=0,0,T4/TrAvia_act!T24)</f>
        <v>137.97699826283514</v>
      </c>
      <c r="U12" s="14">
        <f>IF(U4=0,0,U4/TrAvia_act!U24)</f>
        <v>141.52071510774238</v>
      </c>
      <c r="V12" s="14">
        <f>IF(V4=0,0,V4/TrAvia_act!V24)</f>
        <v>117.7056543949269</v>
      </c>
      <c r="W12" s="14">
        <f>IF(W4=0,0,W4/TrAvia_act!W24)</f>
        <v>132.93822972828221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148.80840543881334</v>
      </c>
      <c r="C13" s="87">
        <f>IF(C5=0,0,C5/TrAvia_act!C25)</f>
        <v>147.36653632434658</v>
      </c>
      <c r="D13" s="87">
        <f>IF(D5=0,0,D5/TrAvia_act!D25)</f>
        <v>146.27916233991002</v>
      </c>
      <c r="E13" s="87">
        <f>IF(E5=0,0,E5/TrAvia_act!E25)</f>
        <v>145.48107600875821</v>
      </c>
      <c r="F13" s="87">
        <f>IF(F5=0,0,F5/TrAvia_act!F25)</f>
        <v>144.74118989870166</v>
      </c>
      <c r="G13" s="87">
        <f>IF(G5=0,0,G5/TrAvia_act!G25)</f>
        <v>142.03872244205766</v>
      </c>
      <c r="H13" s="87">
        <f>IF(H5=0,0,H5/TrAvia_act!H25)</f>
        <v>139.04448056745974</v>
      </c>
      <c r="I13" s="87">
        <f>IF(I5=0,0,I5/TrAvia_act!I25)</f>
        <v>135.65598984055313</v>
      </c>
      <c r="J13" s="87">
        <f>IF(J5=0,0,J5/TrAvia_act!J25)</f>
        <v>132.75602255253716</v>
      </c>
      <c r="K13" s="87">
        <f>IF(K5=0,0,K5/TrAvia_act!K25)</f>
        <v>118.07189381836058</v>
      </c>
      <c r="L13" s="87">
        <f>IF(L5=0,0,L5/TrAvia_act!L25)</f>
        <v>104.70904071773637</v>
      </c>
      <c r="M13" s="87">
        <f>IF(M5=0,0,M5/TrAvia_act!M25)</f>
        <v>105.66909564085881</v>
      </c>
      <c r="N13" s="87">
        <f>IF(N5=0,0,N5/TrAvia_act!N25)</f>
        <v>106.98639736191261</v>
      </c>
      <c r="O13" s="87">
        <f>IF(O5=0,0,O5/TrAvia_act!O25)</f>
        <v>105.23744754738823</v>
      </c>
      <c r="P13" s="87">
        <f>IF(P5=0,0,P5/TrAvia_act!P25)</f>
        <v>102.35889451148307</v>
      </c>
      <c r="Q13" s="87">
        <f>IF(Q5=0,0,Q5/TrAvia_act!Q25)</f>
        <v>106.37406089363385</v>
      </c>
      <c r="R13" s="87">
        <f>IF(R5=0,0,R5/TrAvia_act!R25)</f>
        <v>101.95347417267065</v>
      </c>
      <c r="S13" s="87">
        <f>IF(S5=0,0,S5/TrAvia_act!S25)</f>
        <v>101.01382770435634</v>
      </c>
      <c r="T13" s="87">
        <f>IF(T5=0,0,T5/TrAvia_act!T25)</f>
        <v>99.902650602409636</v>
      </c>
      <c r="U13" s="87">
        <f>IF(U5=0,0,U5/TrAvia_act!U25)</f>
        <v>100.48501850304405</v>
      </c>
      <c r="V13" s="87">
        <f>IF(V5=0,0,V5/TrAvia_act!V25)</f>
        <v>84.249852333136445</v>
      </c>
      <c r="W13" s="87">
        <f>IF(W5=0,0,W5/TrAvia_act!W25)</f>
        <v>87.021465025517855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104.29119987638106</v>
      </c>
      <c r="C14" s="87">
        <f>IF(C6=0,0,C6/TrAvia_act!C26)</f>
        <v>104.91586909539981</v>
      </c>
      <c r="D14" s="87">
        <f>IF(D6=0,0,D6/TrAvia_act!D26)</f>
        <v>105.88830399736798</v>
      </c>
      <c r="E14" s="87">
        <f>IF(E6=0,0,E6/TrAvia_act!E26)</f>
        <v>107.1625297517851</v>
      </c>
      <c r="F14" s="87">
        <f>IF(F6=0,0,F6/TrAvia_act!F26)</f>
        <v>108.62133352936853</v>
      </c>
      <c r="G14" s="87">
        <f>IF(G6=0,0,G6/TrAvia_act!G26)</f>
        <v>111.15577689243028</v>
      </c>
      <c r="H14" s="87">
        <f>IF(H6=0,0,H6/TrAvia_act!H26)</f>
        <v>113.50963873333664</v>
      </c>
      <c r="I14" s="87">
        <f>IF(I6=0,0,I6/TrAvia_act!I26)</f>
        <v>114.99597855227881</v>
      </c>
      <c r="J14" s="87">
        <f>IF(J6=0,0,J6/TrAvia_act!J26)</f>
        <v>115.95308987360744</v>
      </c>
      <c r="K14" s="87">
        <f>IF(K6=0,0,K6/TrAvia_act!K26)</f>
        <v>116.97287596779982</v>
      </c>
      <c r="L14" s="87">
        <f>IF(L6=0,0,L6/TrAvia_act!L26)</f>
        <v>121.64450909808176</v>
      </c>
      <c r="M14" s="87">
        <f>IF(M6=0,0,M6/TrAvia_act!M26)</f>
        <v>122.78017936316002</v>
      </c>
      <c r="N14" s="87">
        <f>IF(N6=0,0,N6/TrAvia_act!N26)</f>
        <v>130.21363092865684</v>
      </c>
      <c r="O14" s="87">
        <f>IF(O6=0,0,O6/TrAvia_act!O26)</f>
        <v>134.54030993450789</v>
      </c>
      <c r="P14" s="87">
        <f>IF(P6=0,0,P6/TrAvia_act!P26)</f>
        <v>136.9103237095363</v>
      </c>
      <c r="Q14" s="87">
        <f>IF(Q6=0,0,Q6/TrAvia_act!Q26)</f>
        <v>141.72859353507565</v>
      </c>
      <c r="R14" s="87">
        <f>IF(R6=0,0,R6/TrAvia_act!R26)</f>
        <v>143.68758882956249</v>
      </c>
      <c r="S14" s="87">
        <f>IF(S6=0,0,S6/TrAvia_act!S26)</f>
        <v>147.56006151583028</v>
      </c>
      <c r="T14" s="87">
        <f>IF(T6=0,0,T6/TrAvia_act!T26)</f>
        <v>148.28055306381268</v>
      </c>
      <c r="U14" s="87">
        <f>IF(U6=0,0,U6/TrAvia_act!U26)</f>
        <v>152.36630923555862</v>
      </c>
      <c r="V14" s="87">
        <f>IF(V6=0,0,V6/TrAvia_act!V26)</f>
        <v>136.00490981963927</v>
      </c>
      <c r="W14" s="87">
        <f>IF(W6=0,0,W6/TrAvia_act!W26)</f>
        <v>150.33946956132499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100.84935268732836</v>
      </c>
      <c r="C15" s="88">
        <f>IF(C7=0,0,C7/TrAvia_act!C27)</f>
        <v>101.24568965517241</v>
      </c>
      <c r="D15" s="88">
        <f>IF(D7=0,0,D7/TrAvia_act!D27)</f>
        <v>101.91440501043841</v>
      </c>
      <c r="E15" s="88">
        <f>IF(E7=0,0,E7/TrAvia_act!E27)</f>
        <v>102.72939145446698</v>
      </c>
      <c r="F15" s="88">
        <f>IF(F7=0,0,F7/TrAvia_act!F27)</f>
        <v>103.49010824934678</v>
      </c>
      <c r="G15" s="88">
        <f>IF(G7=0,0,G7/TrAvia_act!G27)</f>
        <v>104.02243700379704</v>
      </c>
      <c r="H15" s="88">
        <f>IF(H7=0,0,H7/TrAvia_act!H27)</f>
        <v>104.25810185185185</v>
      </c>
      <c r="I15" s="88">
        <f>IF(I7=0,0,I7/TrAvia_act!I27)</f>
        <v>104.41327340031729</v>
      </c>
      <c r="J15" s="88">
        <f>IF(J7=0,0,J7/TrAvia_act!J27)</f>
        <v>105.74971297359357</v>
      </c>
      <c r="K15" s="88">
        <f>IF(K7=0,0,K7/TrAvia_act!K27)</f>
        <v>104.94646581691772</v>
      </c>
      <c r="L15" s="88">
        <f>IF(L7=0,0,L7/TrAvia_act!L27)</f>
        <v>110.65371692566148</v>
      </c>
      <c r="M15" s="88">
        <f>IF(M7=0,0,M7/TrAvia_act!M27)</f>
        <v>116.85015806111697</v>
      </c>
      <c r="N15" s="88">
        <f>IF(N7=0,0,N7/TrAvia_act!N27)</f>
        <v>114.77505393214356</v>
      </c>
      <c r="O15" s="88">
        <f>IF(O7=0,0,O7/TrAvia_act!O27)</f>
        <v>110.42912958541351</v>
      </c>
      <c r="P15" s="88">
        <f>IF(P7=0,0,P7/TrAvia_act!P27)</f>
        <v>112.94857744994731</v>
      </c>
      <c r="Q15" s="88">
        <f>IF(Q7=0,0,Q7/TrAvia_act!Q27)</f>
        <v>109.4629400318415</v>
      </c>
      <c r="R15" s="88">
        <f>IF(R7=0,0,R7/TrAvia_act!R27)</f>
        <v>114.52771907006991</v>
      </c>
      <c r="S15" s="88">
        <f>IF(S7=0,0,S7/TrAvia_act!S27)</f>
        <v>126.10167017999026</v>
      </c>
      <c r="T15" s="88">
        <f>IF(T7=0,0,T7/TrAvia_act!T27)</f>
        <v>135.58727272727273</v>
      </c>
      <c r="U15" s="88">
        <f>IF(U7=0,0,U7/TrAvia_act!U27)</f>
        <v>137.08636921817438</v>
      </c>
      <c r="V15" s="88">
        <f>IF(V7=0,0,V7/TrAvia_act!V27)</f>
        <v>111.2631845841785</v>
      </c>
      <c r="W15" s="88">
        <f>IF(W7=0,0,W7/TrAvia_act!W27)</f>
        <v>131.47048661099913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0.64270902473014602</v>
      </c>
      <c r="C18" s="25">
        <f>IF(TrAvia_act!C34=0,0,(TrAvia_act!C34/TrAvia_act!C24)/TrAvia_png!C12)</f>
        <v>0.64413385821710623</v>
      </c>
      <c r="D18" s="25">
        <f>IF(TrAvia_act!D34=0,0,(TrAvia_act!D34/TrAvia_act!D24)/TrAvia_png!D12)</f>
        <v>0.63506300396015269</v>
      </c>
      <c r="E18" s="25">
        <f>IF(TrAvia_act!E34=0,0,(TrAvia_act!E34/TrAvia_act!E24)/TrAvia_png!E12)</f>
        <v>0.6308955942838087</v>
      </c>
      <c r="F18" s="25">
        <f>IF(TrAvia_act!F34=0,0,(TrAvia_act!F34/TrAvia_act!F24)/TrAvia_png!F12)</f>
        <v>0.63517502691096761</v>
      </c>
      <c r="G18" s="25">
        <f>IF(TrAvia_act!G34=0,0,(TrAvia_act!G34/TrAvia_act!G24)/TrAvia_png!G12)</f>
        <v>0.64892407436155941</v>
      </c>
      <c r="H18" s="25">
        <f>IF(TrAvia_act!H34=0,0,(TrAvia_act!H34/TrAvia_act!H24)/TrAvia_png!H12)</f>
        <v>0.66372575305402037</v>
      </c>
      <c r="I18" s="25">
        <f>IF(TrAvia_act!I34=0,0,(TrAvia_act!I34/TrAvia_act!I24)/TrAvia_png!I12)</f>
        <v>0.67113186978972794</v>
      </c>
      <c r="J18" s="25">
        <f>IF(TrAvia_act!J34=0,0,(TrAvia_act!J34/TrAvia_act!J24)/TrAvia_png!J12)</f>
        <v>0.67223395006445141</v>
      </c>
      <c r="K18" s="25">
        <f>IF(TrAvia_act!K34=0,0,(TrAvia_act!K34/TrAvia_act!K24)/TrAvia_png!K12)</f>
        <v>0.6670888683020485</v>
      </c>
      <c r="L18" s="25">
        <f>IF(TrAvia_act!L34=0,0,(TrAvia_act!L34/TrAvia_act!L24)/TrAvia_png!L12)</f>
        <v>0.69344008161222526</v>
      </c>
      <c r="M18" s="25">
        <f>IF(TrAvia_act!M34=0,0,(TrAvia_act!M34/TrAvia_act!M24)/TrAvia_png!M12)</f>
        <v>0.73348701788002613</v>
      </c>
      <c r="N18" s="25">
        <f>IF(TrAvia_act!N34=0,0,(TrAvia_act!N34/TrAvia_act!N24)/TrAvia_png!N12)</f>
        <v>0.75680000643615031</v>
      </c>
      <c r="O18" s="25">
        <f>IF(TrAvia_act!O34=0,0,(TrAvia_act!O34/TrAvia_act!O24)/TrAvia_png!O12)</f>
        <v>0.75766587545923014</v>
      </c>
      <c r="P18" s="25">
        <f>IF(TrAvia_act!P34=0,0,(TrAvia_act!P34/TrAvia_act!P24)/TrAvia_png!P12)</f>
        <v>0.75241049066008536</v>
      </c>
      <c r="Q18" s="25">
        <f>IF(TrAvia_act!Q34=0,0,(TrAvia_act!Q34/TrAvia_act!Q24)/TrAvia_png!Q12)</f>
        <v>0.75671878295025985</v>
      </c>
      <c r="R18" s="25">
        <f>IF(TrAvia_act!R34=0,0,(TrAvia_act!R34/TrAvia_act!R24)/TrAvia_png!R12)</f>
        <v>0.76459722544193398</v>
      </c>
      <c r="S18" s="25">
        <f>IF(TrAvia_act!S34=0,0,(TrAvia_act!S34/TrAvia_act!S24)/TrAvia_png!S12)</f>
        <v>0.78809597689677757</v>
      </c>
      <c r="T18" s="25">
        <f>IF(TrAvia_act!T34=0,0,(TrAvia_act!T34/TrAvia_act!T24)/TrAvia_png!T12)</f>
        <v>0.78873090737929707</v>
      </c>
      <c r="U18" s="25">
        <f>IF(TrAvia_act!U34=0,0,(TrAvia_act!U34/TrAvia_act!U24)/TrAvia_png!U12)</f>
        <v>0.79003726816407638</v>
      </c>
      <c r="V18" s="25">
        <f>IF(TrAvia_act!V34=0,0,(TrAvia_act!V34/TrAvia_act!V24)/TrAvia_png!V12)</f>
        <v>0.53475203839083729</v>
      </c>
      <c r="W18" s="25">
        <f>IF(TrAvia_act!W34=0,0,(TrAvia_act!W34/TrAvia_act!W24)/TrAvia_png!W12)</f>
        <v>0.63118483262117731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0.49713837157144525</v>
      </c>
      <c r="C19" s="89">
        <f>IF(TrAvia_act!C35=0,0,(TrAvia_act!C35/TrAvia_act!C25)/TrAvia_png!C13)</f>
        <v>0.49886880039773535</v>
      </c>
      <c r="D19" s="89">
        <f>IF(TrAvia_act!D35=0,0,(TrAvia_act!D35/TrAvia_act!D25)/TrAvia_png!D13)</f>
        <v>0.50114943072712881</v>
      </c>
      <c r="E19" s="89">
        <f>IF(TrAvia_act!E35=0,0,(TrAvia_act!E35/TrAvia_act!E25)/TrAvia_png!E13)</f>
        <v>0.5039432125787191</v>
      </c>
      <c r="F19" s="89">
        <f>IF(TrAvia_act!F35=0,0,(TrAvia_act!F35/TrAvia_act!F25)/TrAvia_png!F13)</f>
        <v>0.50656536134869601</v>
      </c>
      <c r="G19" s="89">
        <f>IF(TrAvia_act!G35=0,0,(TrAvia_act!G35/TrAvia_act!G25)/TrAvia_png!G13)</f>
        <v>0.51372546678526587</v>
      </c>
      <c r="H19" s="89">
        <f>IF(TrAvia_act!H35=0,0,(TrAvia_act!H35/TrAvia_act!H25)/TrAvia_png!H13)</f>
        <v>0.52252703222611208</v>
      </c>
      <c r="I19" s="89">
        <f>IF(TrAvia_act!I35=0,0,(TrAvia_act!I35/TrAvia_act!I25)/TrAvia_png!I13)</f>
        <v>0.53257041337890609</v>
      </c>
      <c r="J19" s="89">
        <f>IF(TrAvia_act!J35=0,0,(TrAvia_act!J35/TrAvia_act!J25)/TrAvia_png!J13)</f>
        <v>0.54271602697996579</v>
      </c>
      <c r="K19" s="89">
        <f>IF(TrAvia_act!K35=0,0,(TrAvia_act!K35/TrAvia_act!K25)/TrAvia_png!K13)</f>
        <v>0.54285970038022335</v>
      </c>
      <c r="L19" s="89">
        <f>IF(TrAvia_act!L35=0,0,(TrAvia_act!L35/TrAvia_act!L25)/TrAvia_png!L13)</f>
        <v>0.61944960368670876</v>
      </c>
      <c r="M19" s="89">
        <f>IF(TrAvia_act!M35=0,0,(TrAvia_act!M35/TrAvia_act!M25)/TrAvia_png!M13)</f>
        <v>0.65535971785579272</v>
      </c>
      <c r="N19" s="89">
        <f>IF(TrAvia_act!N35=0,0,(TrAvia_act!N35/TrAvia_act!N25)/TrAvia_png!N13)</f>
        <v>0.6864689647555311</v>
      </c>
      <c r="O19" s="89">
        <f>IF(TrAvia_act!O35=0,0,(TrAvia_act!O35/TrAvia_act!O25)/TrAvia_png!O13)</f>
        <v>0.69799091429074267</v>
      </c>
      <c r="P19" s="89">
        <f>IF(TrAvia_act!P35=0,0,(TrAvia_act!P35/TrAvia_act!P25)/TrAvia_png!P13)</f>
        <v>0.64745968968664436</v>
      </c>
      <c r="Q19" s="89">
        <f>IF(TrAvia_act!Q35=0,0,(TrAvia_act!Q35/TrAvia_act!Q25)/TrAvia_png!Q13)</f>
        <v>0.62650608381037343</v>
      </c>
      <c r="R19" s="89">
        <f>IF(TrAvia_act!R35=0,0,(TrAvia_act!R35/TrAvia_act!R25)/TrAvia_png!R13)</f>
        <v>0.63312480461661735</v>
      </c>
      <c r="S19" s="89">
        <f>IF(TrAvia_act!S35=0,0,(TrAvia_act!S35/TrAvia_act!S25)/TrAvia_png!S13)</f>
        <v>0.67524546175884481</v>
      </c>
      <c r="T19" s="89">
        <f>IF(TrAvia_act!T35=0,0,(TrAvia_act!T35/TrAvia_act!T25)/TrAvia_png!T13)</f>
        <v>0.6746519503323718</v>
      </c>
      <c r="U19" s="89">
        <f>IF(TrAvia_act!U35=0,0,(TrAvia_act!U35/TrAvia_act!U25)/TrAvia_png!U13)</f>
        <v>0.64414211601127624</v>
      </c>
      <c r="V19" s="89">
        <f>IF(TrAvia_act!V35=0,0,(TrAvia_act!V35/TrAvia_act!V25)/TrAvia_png!V13)</f>
        <v>0.42760659492177006</v>
      </c>
      <c r="W19" s="89">
        <f>IF(TrAvia_act!W35=0,0,(TrAvia_act!W35/TrAvia_act!W25)/TrAvia_png!W13)</f>
        <v>0.42920324215980699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0.70833453717882322</v>
      </c>
      <c r="C20" s="89">
        <f>IF(TrAvia_act!C36=0,0,(TrAvia_act!C36/TrAvia_act!C26)/TrAvia_png!C14)</f>
        <v>0.70874868497524435</v>
      </c>
      <c r="D20" s="89">
        <f>IF(TrAvia_act!D36=0,0,(TrAvia_act!D36/TrAvia_act!D26)/TrAvia_png!D14)</f>
        <v>0.70941439656980398</v>
      </c>
      <c r="E20" s="89">
        <f>IF(TrAvia_act!E36=0,0,(TrAvia_act!E36/TrAvia_act!E26)/TrAvia_png!E14)</f>
        <v>0.7103152317040281</v>
      </c>
      <c r="F20" s="89">
        <f>IF(TrAvia_act!F36=0,0,(TrAvia_act!F36/TrAvia_act!F26)/TrAvia_png!F14)</f>
        <v>0.7107661467159726</v>
      </c>
      <c r="G20" s="89">
        <f>IF(TrAvia_act!G36=0,0,(TrAvia_act!G36/TrAvia_act!G26)/TrAvia_png!G14)</f>
        <v>0.71028368049884105</v>
      </c>
      <c r="H20" s="89">
        <f>IF(TrAvia_act!H36=0,0,(TrAvia_act!H36/TrAvia_act!H26)/TrAvia_png!H14)</f>
        <v>0.71570710640551394</v>
      </c>
      <c r="I20" s="89">
        <f>IF(TrAvia_act!I36=0,0,(TrAvia_act!I36/TrAvia_act!I26)/TrAvia_png!I14)</f>
        <v>0.72112407973902148</v>
      </c>
      <c r="J20" s="89">
        <f>IF(TrAvia_act!J36=0,0,(TrAvia_act!J36/TrAvia_act!J26)/TrAvia_png!J14)</f>
        <v>0.72384494317831749</v>
      </c>
      <c r="K20" s="89">
        <f>IF(TrAvia_act!K36=0,0,(TrAvia_act!K36/TrAvia_act!K26)/TrAvia_png!K14)</f>
        <v>0.72117877265901098</v>
      </c>
      <c r="L20" s="89">
        <f>IF(TrAvia_act!L36=0,0,(TrAvia_act!L36/TrAvia_act!L26)/TrAvia_png!L14)</f>
        <v>0.71642095986385768</v>
      </c>
      <c r="M20" s="89">
        <f>IF(TrAvia_act!M36=0,0,(TrAvia_act!M36/TrAvia_act!M26)/TrAvia_png!M14)</f>
        <v>0.76720938258250815</v>
      </c>
      <c r="N20" s="89">
        <f>IF(TrAvia_act!N36=0,0,(TrAvia_act!N36/TrAvia_act!N26)/TrAvia_png!N14)</f>
        <v>0.78222124784974867</v>
      </c>
      <c r="O20" s="89">
        <f>IF(TrAvia_act!O36=0,0,(TrAvia_act!O36/TrAvia_act!O26)/TrAvia_png!O14)</f>
        <v>0.78404773503026803</v>
      </c>
      <c r="P20" s="89">
        <f>IF(TrAvia_act!P36=0,0,(TrAvia_act!P36/TrAvia_act!P26)/TrAvia_png!P14)</f>
        <v>0.78756298386143397</v>
      </c>
      <c r="Q20" s="89">
        <f>IF(TrAvia_act!Q36=0,0,(TrAvia_act!Q36/TrAvia_act!Q26)/TrAvia_png!Q14)</f>
        <v>0.7999635445384442</v>
      </c>
      <c r="R20" s="89">
        <f>IF(TrAvia_act!R36=0,0,(TrAvia_act!R36/TrAvia_act!R26)/TrAvia_png!R14)</f>
        <v>0.80463393892828972</v>
      </c>
      <c r="S20" s="89">
        <f>IF(TrAvia_act!S36=0,0,(TrAvia_act!S36/TrAvia_act!S26)/TrAvia_png!S14)</f>
        <v>0.81736464605750914</v>
      </c>
      <c r="T20" s="89">
        <f>IF(TrAvia_act!T36=0,0,(TrAvia_act!T36/TrAvia_act!T26)/TrAvia_png!T14)</f>
        <v>0.82296409375350721</v>
      </c>
      <c r="U20" s="89">
        <f>IF(TrAvia_act!U36=0,0,(TrAvia_act!U36/TrAvia_act!U26)/TrAvia_png!U14)</f>
        <v>0.82406659084218914</v>
      </c>
      <c r="V20" s="89">
        <f>IF(TrAvia_act!V36=0,0,(TrAvia_act!V36/TrAvia_act!V26)/TrAvia_png!V14)</f>
        <v>0.56365626904015165</v>
      </c>
      <c r="W20" s="89">
        <f>IF(TrAvia_act!W36=0,0,(TrAvia_act!W36/TrAvia_act!W26)/TrAvia_png!W14)</f>
        <v>0.6702985298490769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0.70714410752144397</v>
      </c>
      <c r="C21" s="90">
        <f>IF(TrAvia_act!C37=0,0,(TrAvia_act!C37/TrAvia_act!C27)/TrAvia_png!C15)</f>
        <v>0.70678344602309018</v>
      </c>
      <c r="D21" s="90">
        <f>IF(TrAvia_act!D37=0,0,(TrAvia_act!D37/TrAvia_act!D27)/TrAvia_png!D15)</f>
        <v>0.70661449904746299</v>
      </c>
      <c r="E21" s="90">
        <f>IF(TrAvia_act!E37=0,0,(TrAvia_act!E37/TrAvia_act!E27)/TrAvia_png!E15)</f>
        <v>0.70639515342990633</v>
      </c>
      <c r="F21" s="90">
        <f>IF(TrAvia_act!F37=0,0,(TrAvia_act!F37/TrAvia_act!F27)/TrAvia_png!F15)</f>
        <v>0.70291794409377817</v>
      </c>
      <c r="G21" s="90">
        <f>IF(TrAvia_act!G37=0,0,(TrAvia_act!G37/TrAvia_act!G27)/TrAvia_png!G15)</f>
        <v>0.70217651724057828</v>
      </c>
      <c r="H21" s="90">
        <f>IF(TrAvia_act!H37=0,0,(TrAvia_act!H37/TrAvia_act!H27)/TrAvia_png!H15)</f>
        <v>0.70200324159904082</v>
      </c>
      <c r="I21" s="90">
        <f>IF(TrAvia_act!I37=0,0,(TrAvia_act!I37/TrAvia_act!I27)/TrAvia_png!I15)</f>
        <v>0.70437918311635361</v>
      </c>
      <c r="J21" s="90">
        <f>IF(TrAvia_act!J37=0,0,(TrAvia_act!J37/TrAvia_act!J27)/TrAvia_png!J15)</f>
        <v>0.70348721066574016</v>
      </c>
      <c r="K21" s="90">
        <f>IF(TrAvia_act!K37=0,0,(TrAvia_act!K37/TrAvia_act!K27)/TrAvia_png!K15)</f>
        <v>0.65816042610700376</v>
      </c>
      <c r="L21" s="90">
        <f>IF(TrAvia_act!L37=0,0,(TrAvia_act!L37/TrAvia_act!L27)/TrAvia_png!L15)</f>
        <v>0.69237834791140429</v>
      </c>
      <c r="M21" s="90">
        <f>IF(TrAvia_act!M37=0,0,(TrAvia_act!M37/TrAvia_act!M27)/TrAvia_png!M15)</f>
        <v>0.69969735992525972</v>
      </c>
      <c r="N21" s="90">
        <f>IF(TrAvia_act!N37=0,0,(TrAvia_act!N37/TrAvia_act!N27)/TrAvia_png!N15)</f>
        <v>0.73684381396970122</v>
      </c>
      <c r="O21" s="90">
        <f>IF(TrAvia_act!O37=0,0,(TrAvia_act!O37/TrAvia_act!O27)/TrAvia_png!O15)</f>
        <v>0.69170530735316371</v>
      </c>
      <c r="P21" s="90">
        <f>IF(TrAvia_act!P37=0,0,(TrAvia_act!P37/TrAvia_act!P27)/TrAvia_png!P15)</f>
        <v>0.70161081163784822</v>
      </c>
      <c r="Q21" s="90">
        <f>IF(TrAvia_act!Q37=0,0,(TrAvia_act!Q37/TrAvia_act!Q27)/TrAvia_png!Q15)</f>
        <v>0.69612342718255182</v>
      </c>
      <c r="R21" s="90">
        <f>IF(TrAvia_act!R37=0,0,(TrAvia_act!R37/TrAvia_act!R27)/TrAvia_png!R15)</f>
        <v>0.70782159384493082</v>
      </c>
      <c r="S21" s="90">
        <f>IF(TrAvia_act!S37=0,0,(TrAvia_act!S37/TrAvia_act!S27)/TrAvia_png!S15)</f>
        <v>0.74177059905949705</v>
      </c>
      <c r="T21" s="90">
        <f>IF(TrAvia_act!T37=0,0,(TrAvia_act!T37/TrAvia_act!T27)/TrAvia_png!T15)</f>
        <v>0.71702791998341331</v>
      </c>
      <c r="U21" s="90">
        <f>IF(TrAvia_act!U37=0,0,(TrAvia_act!U37/TrAvia_act!U27)/TrAvia_png!U15)</f>
        <v>0.73323838018285947</v>
      </c>
      <c r="V21" s="90">
        <f>IF(TrAvia_act!V37=0,0,(TrAvia_act!V37/TrAvia_act!V27)/TrAvia_png!V15)</f>
        <v>0.56490330931448285</v>
      </c>
      <c r="W21" s="90">
        <f>IF(TrAvia_act!W37=0,0,(TrAvia_act!W37/TrAvia_act!W27)/TrAvia_png!W15)</f>
        <v>0.65747256333265436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3.801275634219177E-2</v>
      </c>
      <c r="C24" s="23">
        <f>IF(TrAvia_ene!C6=0,0,TrAvia_ene!C6/(C12*TrAvia_act!C14))</f>
        <v>3.7894296728004616E-2</v>
      </c>
      <c r="D24" s="23">
        <f>IF(TrAvia_ene!D6=0,0,TrAvia_ene!D6/(D12*TrAvia_act!D14))</f>
        <v>3.7241499680514774E-2</v>
      </c>
      <c r="E24" s="23">
        <f>IF(TrAvia_ene!E6=0,0,TrAvia_ene!E6/(E12*TrAvia_act!E14))</f>
        <v>3.6773844055007915E-2</v>
      </c>
      <c r="F24" s="23">
        <f>IF(TrAvia_ene!F6=0,0,TrAvia_ene!F6/(F12*TrAvia_act!F14))</f>
        <v>3.6643214384675556E-2</v>
      </c>
      <c r="G24" s="23">
        <f>IF(TrAvia_ene!G6=0,0,TrAvia_ene!G6/(G12*TrAvia_act!G14))</f>
        <v>3.5611191436373452E-2</v>
      </c>
      <c r="H24" s="23">
        <f>IF(TrAvia_ene!H6=0,0,TrAvia_ene!H6/(H12*TrAvia_act!H14))</f>
        <v>3.2866778562008328E-2</v>
      </c>
      <c r="I24" s="23">
        <f>IF(TrAvia_ene!I6=0,0,TrAvia_ene!I6/(I12*TrAvia_act!I14))</f>
        <v>3.2485127619662574E-2</v>
      </c>
      <c r="J24" s="23">
        <f>IF(TrAvia_ene!J6=0,0,TrAvia_ene!J6/(J12*TrAvia_act!J14))</f>
        <v>3.5946970939628252E-2</v>
      </c>
      <c r="K24" s="23">
        <f>IF(TrAvia_ene!K6=0,0,TrAvia_ene!K6/(K12*TrAvia_act!K14))</f>
        <v>3.2002774583023808E-2</v>
      </c>
      <c r="L24" s="23">
        <f>IF(TrAvia_ene!L6=0,0,TrAvia_ene!L6/(L12*TrAvia_act!L14))</f>
        <v>3.1607921155101124E-2</v>
      </c>
      <c r="M24" s="23">
        <f>IF(TrAvia_ene!M6=0,0,TrAvia_ene!M6/(M12*TrAvia_act!M14))</f>
        <v>3.3852879821348728E-2</v>
      </c>
      <c r="N24" s="23">
        <f>IF(TrAvia_ene!N6=0,0,TrAvia_ene!N6/(N12*TrAvia_act!N14))</f>
        <v>3.2460975760597616E-2</v>
      </c>
      <c r="O24" s="23">
        <f>IF(TrAvia_ene!O6=0,0,TrAvia_ene!O6/(O12*TrAvia_act!O14))</f>
        <v>3.252168388979472E-2</v>
      </c>
      <c r="P24" s="23">
        <f>IF(TrAvia_ene!P6=0,0,TrAvia_ene!P6/(P12*TrAvia_act!P14))</f>
        <v>3.0485324168444974E-2</v>
      </c>
      <c r="Q24" s="23">
        <f>IF(TrAvia_ene!Q6=0,0,TrAvia_ene!Q6/(Q12*TrAvia_act!Q14))</f>
        <v>2.7454635859460456E-2</v>
      </c>
      <c r="R24" s="23">
        <f>IF(TrAvia_ene!R6=0,0,TrAvia_ene!R6/(R12*TrAvia_act!R14))</f>
        <v>2.5271339301805886E-2</v>
      </c>
      <c r="S24" s="23">
        <f>IF(TrAvia_ene!S6=0,0,TrAvia_ene!S6/(S12*TrAvia_act!S14))</f>
        <v>2.4696754035395743E-2</v>
      </c>
      <c r="T24" s="23">
        <f>IF(TrAvia_ene!T6=0,0,TrAvia_ene!T6/(T12*TrAvia_act!T14))</f>
        <v>2.6374655160591828E-2</v>
      </c>
      <c r="U24" s="23">
        <f>IF(TrAvia_ene!U6=0,0,TrAvia_ene!U6/(U12*TrAvia_act!U14))</f>
        <v>2.6314325821041505E-2</v>
      </c>
      <c r="V24" s="23">
        <f>IF(TrAvia_ene!V6=0,0,TrAvia_ene!V6/(V12*TrAvia_act!V14))</f>
        <v>3.3807258365493142E-2</v>
      </c>
      <c r="W24" s="23">
        <f>IF(TrAvia_ene!W6=0,0,TrAvia_ene!W6/(W12*TrAvia_act!W14))</f>
        <v>2.8858503117879426E-2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3.3495038709463229E-2</v>
      </c>
      <c r="C25" s="91">
        <f>IF(TrAvia_ene!C7=0,0,TrAvia_ene!C7/(C13*TrAvia_act!C15))</f>
        <v>3.36712875484683E-2</v>
      </c>
      <c r="D25" s="91">
        <f>IF(TrAvia_ene!D7=0,0,TrAvia_ene!D7/(D13*TrAvia_act!D15))</f>
        <v>3.3996439378954399E-2</v>
      </c>
      <c r="E25" s="91">
        <f>IF(TrAvia_ene!E7=0,0,TrAvia_ene!E7/(E13*TrAvia_act!E15))</f>
        <v>3.4253692073409545E-2</v>
      </c>
      <c r="F25" s="91">
        <f>IF(TrAvia_ene!F7=0,0,TrAvia_ene!F7/(F13*TrAvia_act!F15))</f>
        <v>3.4430013531425996E-2</v>
      </c>
      <c r="G25" s="91">
        <f>IF(TrAvia_ene!G7=0,0,TrAvia_ene!G7/(G13*TrAvia_act!G15))</f>
        <v>3.419905814210402E-2</v>
      </c>
      <c r="H25" s="91">
        <f>IF(TrAvia_ene!H7=0,0,TrAvia_ene!H7/(H13*TrAvia_act!H15))</f>
        <v>4.0391614638933405E-2</v>
      </c>
      <c r="I25" s="91">
        <f>IF(TrAvia_ene!I7=0,0,TrAvia_ene!I7/(I13*TrAvia_act!I15))</f>
        <v>3.9363878995007123E-2</v>
      </c>
      <c r="J25" s="91">
        <f>IF(TrAvia_ene!J7=0,0,TrAvia_ene!J7/(J13*TrAvia_act!J15))</f>
        <v>3.6871829510128254E-2</v>
      </c>
      <c r="K25" s="91">
        <f>IF(TrAvia_ene!K7=0,0,TrAvia_ene!K7/(K13*TrAvia_act!K15))</f>
        <v>3.7378452430529431E-2</v>
      </c>
      <c r="L25" s="91">
        <f>IF(TrAvia_ene!L7=0,0,TrAvia_ene!L7/(L13*TrAvia_act!L15))</f>
        <v>3.8341021659522558E-2</v>
      </c>
      <c r="M25" s="91">
        <f>IF(TrAvia_ene!M7=0,0,TrAvia_ene!M7/(M13*TrAvia_act!M15))</f>
        <v>4.1626687965488553E-2</v>
      </c>
      <c r="N25" s="91">
        <f>IF(TrAvia_ene!N7=0,0,TrAvia_ene!N7/(N13*TrAvia_act!N15))</f>
        <v>4.1044337883474218E-2</v>
      </c>
      <c r="O25" s="91">
        <f>IF(TrAvia_ene!O7=0,0,TrAvia_ene!O7/(O13*TrAvia_act!O15))</f>
        <v>4.3300319011996956E-2</v>
      </c>
      <c r="P25" s="91">
        <f>IF(TrAvia_ene!P7=0,0,TrAvia_ene!P7/(P13*TrAvia_act!P15))</f>
        <v>4.002267746872408E-2</v>
      </c>
      <c r="Q25" s="91">
        <f>IF(TrAvia_ene!Q7=0,0,TrAvia_ene!Q7/(Q13*TrAvia_act!Q15))</f>
        <v>4.266823314318699E-2</v>
      </c>
      <c r="R25" s="91">
        <f>IF(TrAvia_ene!R7=0,0,TrAvia_ene!R7/(R13*TrAvia_act!R15))</f>
        <v>4.0844121776658561E-2</v>
      </c>
      <c r="S25" s="91">
        <f>IF(TrAvia_ene!S7=0,0,TrAvia_ene!S7/(S13*TrAvia_act!S15))</f>
        <v>3.9339206688257904E-2</v>
      </c>
      <c r="T25" s="91">
        <f>IF(TrAvia_ene!T7=0,0,TrAvia_ene!T7/(T13*TrAvia_act!T15))</f>
        <v>3.965412078302042E-2</v>
      </c>
      <c r="U25" s="91">
        <f>IF(TrAvia_ene!U7=0,0,TrAvia_ene!U7/(U13*TrAvia_act!U15))</f>
        <v>3.8767692058856544E-2</v>
      </c>
      <c r="V25" s="91">
        <f>IF(TrAvia_ene!V7=0,0,TrAvia_ene!V7/(V13*TrAvia_act!V15))</f>
        <v>4.0172022548719155E-2</v>
      </c>
      <c r="W25" s="91">
        <f>IF(TrAvia_ene!W7=0,0,TrAvia_ene!W7/(W13*TrAvia_act!W15))</f>
        <v>3.9003689585229706E-2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4.2094593399144231E-2</v>
      </c>
      <c r="C26" s="93">
        <f>IF(TrAvia_ene!C8=0,0,TrAvia_ene!C8/(C14*TrAvia_act!C16))</f>
        <v>4.1762878145885786E-2</v>
      </c>
      <c r="D26" s="93">
        <f>IF(TrAvia_ene!D8=0,0,TrAvia_ene!D8/(D14*TrAvia_act!D16))</f>
        <v>4.1320504919508817E-2</v>
      </c>
      <c r="E26" s="93">
        <f>IF(TrAvia_ene!E8=0,0,TrAvia_ene!E8/(E14*TrAvia_act!E16))</f>
        <v>4.0797288023413904E-2</v>
      </c>
      <c r="F26" s="93">
        <f>IF(TrAvia_ene!F8=0,0,TrAvia_ene!F8/(F14*TrAvia_act!F16))</f>
        <v>4.0236821489245955E-2</v>
      </c>
      <c r="G26" s="93">
        <f>IF(TrAvia_ene!G8=0,0,TrAvia_ene!G8/(G14*TrAvia_act!G16))</f>
        <v>3.688720017244744E-2</v>
      </c>
      <c r="H26" s="93">
        <f>IF(TrAvia_ene!H8=0,0,TrAvia_ene!H8/(H14*TrAvia_act!H16))</f>
        <v>3.23734138768033E-2</v>
      </c>
      <c r="I26" s="93">
        <f>IF(TrAvia_ene!I8=0,0,TrAvia_ene!I8/(I14*TrAvia_act!I16))</f>
        <v>3.2553978145397407E-2</v>
      </c>
      <c r="J26" s="93">
        <f>IF(TrAvia_ene!J8=0,0,TrAvia_ene!J8/(J14*TrAvia_act!J16))</f>
        <v>3.7706255961987942E-2</v>
      </c>
      <c r="K26" s="93">
        <f>IF(TrAvia_ene!K8=0,0,TrAvia_ene!K8/(K14*TrAvia_act!K16))</f>
        <v>3.1965139511220354E-2</v>
      </c>
      <c r="L26" s="93">
        <f>IF(TrAvia_ene!L8=0,0,TrAvia_ene!L8/(L14*TrAvia_act!L16))</f>
        <v>3.177213829316422E-2</v>
      </c>
      <c r="M26" s="93">
        <f>IF(TrAvia_ene!M8=0,0,TrAvia_ene!M8/(M14*TrAvia_act!M16))</f>
        <v>3.4635557945596113E-2</v>
      </c>
      <c r="N26" s="93">
        <f>IF(TrAvia_ene!N8=0,0,TrAvia_ene!N8/(N14*TrAvia_act!N16))</f>
        <v>3.2835642947678184E-2</v>
      </c>
      <c r="O26" s="93">
        <f>IF(TrAvia_ene!O8=0,0,TrAvia_ene!O8/(O14*TrAvia_act!O16))</f>
        <v>3.1387307241698553E-2</v>
      </c>
      <c r="P26" s="93">
        <f>IF(TrAvia_ene!P8=0,0,TrAvia_ene!P8/(P14*TrAvia_act!P16))</f>
        <v>2.9109238507790798E-2</v>
      </c>
      <c r="Q26" s="93">
        <f>IF(TrAvia_ene!Q8=0,0,TrAvia_ene!Q8/(Q14*TrAvia_act!Q16))</f>
        <v>2.6531618428349515E-2</v>
      </c>
      <c r="R26" s="93">
        <f>IF(TrAvia_ene!R8=0,0,TrAvia_ene!R8/(R14*TrAvia_act!R16))</f>
        <v>2.4792762382526971E-2</v>
      </c>
      <c r="S26" s="93">
        <f>IF(TrAvia_ene!S8=0,0,TrAvia_ene!S8/(S14*TrAvia_act!S16))</f>
        <v>2.4809161139772485E-2</v>
      </c>
      <c r="T26" s="93">
        <f>IF(TrAvia_ene!T8=0,0,TrAvia_ene!T8/(T14*TrAvia_act!T16))</f>
        <v>2.8094113787114221E-2</v>
      </c>
      <c r="U26" s="93">
        <f>IF(TrAvia_ene!U8=0,0,TrAvia_ene!U8/(U14*TrAvia_act!U16))</f>
        <v>2.7609205096579107E-2</v>
      </c>
      <c r="V26" s="93">
        <f>IF(TrAvia_ene!V8=0,0,TrAvia_ene!V8/(V14*TrAvia_act!V16))</f>
        <v>2.9288807350531097E-2</v>
      </c>
      <c r="W26" s="93">
        <f>IF(TrAvia_ene!W8=0,0,TrAvia_ene!W8/(W14*TrAvia_act!W16))</f>
        <v>2.6454606257225413E-2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3.8376223781610458E-2</v>
      </c>
      <c r="C27" s="94">
        <f>IF(TrAvia_ene!C9=0,0,TrAvia_ene!C9/(C15*TrAvia_act!C17))</f>
        <v>3.8152083047909756E-2</v>
      </c>
      <c r="D27" s="94">
        <f>IF(TrAvia_ene!D9=0,0,TrAvia_ene!D9/(D15*TrAvia_act!D17))</f>
        <v>3.7847840841952932E-2</v>
      </c>
      <c r="E27" s="94">
        <f>IF(TrAvia_ene!E9=0,0,TrAvia_ene!E9/(E15*TrAvia_act!E17))</f>
        <v>3.7518245416047806E-2</v>
      </c>
      <c r="F27" s="94">
        <f>IF(TrAvia_ene!F9=0,0,TrAvia_ene!F9/(F15*TrAvia_act!F17))</f>
        <v>3.723080119059529E-2</v>
      </c>
      <c r="G27" s="94">
        <f>IF(TrAvia_ene!G9=0,0,TrAvia_ene!G9/(G15*TrAvia_act!G17))</f>
        <v>4.1688760928197115E-2</v>
      </c>
      <c r="H27" s="94">
        <f>IF(TrAvia_ene!H9=0,0,TrAvia_ene!H9/(H15*TrAvia_act!H17))</f>
        <v>3.791589657676811E-2</v>
      </c>
      <c r="I27" s="94">
        <f>IF(TrAvia_ene!I9=0,0,TrAvia_ene!I9/(I15*TrAvia_act!I17))</f>
        <v>3.3166792038584324E-2</v>
      </c>
      <c r="J27" s="94">
        <f>IF(TrAvia_ene!J9=0,0,TrAvia_ene!J9/(J15*TrAvia_act!J17))</f>
        <v>3.267356444320782E-2</v>
      </c>
      <c r="K27" s="94">
        <f>IF(TrAvia_ene!K9=0,0,TrAvia_ene!K9/(K15*TrAvia_act!K17))</f>
        <v>2.9590610229586516E-2</v>
      </c>
      <c r="L27" s="94">
        <f>IF(TrAvia_ene!L9=0,0,TrAvia_ene!L9/(L15*TrAvia_act!L17))</f>
        <v>2.5069114915914008E-2</v>
      </c>
      <c r="M27" s="94">
        <f>IF(TrAvia_ene!M9=0,0,TrAvia_ene!M9/(M15*TrAvia_act!M17))</f>
        <v>2.453350223807926E-2</v>
      </c>
      <c r="N27" s="94">
        <f>IF(TrAvia_ene!N9=0,0,TrAvia_ene!N9/(N15*TrAvia_act!N17))</f>
        <v>2.4140266772973824E-2</v>
      </c>
      <c r="O27" s="94">
        <f>IF(TrAvia_ene!O9=0,0,TrAvia_ene!O9/(O15*TrAvia_act!O17))</f>
        <v>2.8781351453534949E-2</v>
      </c>
      <c r="P27" s="94">
        <f>IF(TrAvia_ene!P9=0,0,TrAvia_ene!P9/(P15*TrAvia_act!P17))</f>
        <v>2.7189518215653092E-2</v>
      </c>
      <c r="Q27" s="94">
        <f>IF(TrAvia_ene!Q9=0,0,TrAvia_ene!Q9/(Q15*TrAvia_act!Q17))</f>
        <v>2.189683234579947E-2</v>
      </c>
      <c r="R27" s="94">
        <f>IF(TrAvia_ene!R9=0,0,TrAvia_ene!R9/(R15*TrAvia_act!R17))</f>
        <v>1.7773692975502596E-2</v>
      </c>
      <c r="S27" s="94">
        <f>IF(TrAvia_ene!S9=0,0,TrAvia_ene!S9/(S15*TrAvia_act!S17))</f>
        <v>1.5344455869501235E-2</v>
      </c>
      <c r="T27" s="94">
        <f>IF(TrAvia_ene!T9=0,0,TrAvia_ene!T9/(T15*TrAvia_act!T17))</f>
        <v>1.328628496895937E-2</v>
      </c>
      <c r="U27" s="94">
        <f>IF(TrAvia_ene!U9=0,0,TrAvia_ene!U9/(U15*TrAvia_act!U17))</f>
        <v>1.4184597070406207E-2</v>
      </c>
      <c r="V27" s="94">
        <f>IF(TrAvia_ene!V9=0,0,TrAvia_ene!V9/(V15*TrAvia_act!V17))</f>
        <v>3.9083280843925247E-2</v>
      </c>
      <c r="W27" s="94">
        <f>IF(TrAvia_ene!W9=0,0,TrAvia_ene!W9/(W15*TrAvia_act!W17))</f>
        <v>2.6213378861658251E-2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152.59</v>
      </c>
      <c r="C3" s="54">
        <f t="shared" si="0"/>
        <v>167.71499999999997</v>
      </c>
      <c r="D3" s="54">
        <f t="shared" si="0"/>
        <v>194.184</v>
      </c>
      <c r="E3" s="54">
        <f t="shared" si="0"/>
        <v>206.946</v>
      </c>
      <c r="F3" s="54">
        <f t="shared" si="0"/>
        <v>269.33699999999999</v>
      </c>
      <c r="G3" s="54">
        <f t="shared" si="0"/>
        <v>216.66300000000001</v>
      </c>
      <c r="H3" s="54">
        <f t="shared" si="0"/>
        <v>223.02</v>
      </c>
      <c r="I3" s="54">
        <f t="shared" si="0"/>
        <v>218.898</v>
      </c>
      <c r="J3" s="54">
        <f t="shared" si="0"/>
        <v>938.28499999999997</v>
      </c>
      <c r="K3" s="54">
        <f t="shared" si="0"/>
        <v>797.72799999999995</v>
      </c>
      <c r="L3" s="54">
        <f t="shared" si="0"/>
        <v>1008.117</v>
      </c>
      <c r="M3" s="54">
        <f t="shared" si="0"/>
        <v>757.22699999999998</v>
      </c>
      <c r="N3" s="54">
        <f t="shared" si="0"/>
        <v>834.33799999999997</v>
      </c>
      <c r="O3" s="54">
        <f t="shared" si="0"/>
        <v>833.61599999999999</v>
      </c>
      <c r="P3" s="54">
        <f t="shared" si="0"/>
        <v>777.17200000000003</v>
      </c>
      <c r="Q3" s="54">
        <f t="shared" si="0"/>
        <v>956.28399999999999</v>
      </c>
      <c r="R3" s="54">
        <f t="shared" ref="R3:V3" si="1">SUM(R4:R5)</f>
        <v>872.05799999999999</v>
      </c>
      <c r="S3" s="54">
        <f t="shared" si="1"/>
        <v>853.28099999999995</v>
      </c>
      <c r="T3" s="54">
        <f t="shared" si="1"/>
        <v>716.72500000000002</v>
      </c>
      <c r="U3" s="54">
        <f t="shared" si="1"/>
        <v>868.947</v>
      </c>
      <c r="V3" s="54">
        <f t="shared" si="1"/>
        <v>936.22500000000002</v>
      </c>
      <c r="W3" s="54">
        <f t="shared" ref="W3" si="2">SUM(W4:W5)</f>
        <v>877.22500000000002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89.054000000000002</v>
      </c>
      <c r="C4" s="56">
        <v>90.230999999999995</v>
      </c>
      <c r="D4" s="56">
        <v>104.43899999999999</v>
      </c>
      <c r="E4" s="56">
        <v>106.846</v>
      </c>
      <c r="F4" s="56">
        <v>90.637</v>
      </c>
      <c r="G4" s="56">
        <v>98.063000000000002</v>
      </c>
      <c r="H4" s="56">
        <v>106.62</v>
      </c>
      <c r="I4" s="56">
        <v>109.898</v>
      </c>
      <c r="J4" s="56">
        <v>96.284999999999997</v>
      </c>
      <c r="K4" s="56">
        <v>70.727999999999994</v>
      </c>
      <c r="L4" s="56">
        <v>68.117000000000004</v>
      </c>
      <c r="M4" s="56">
        <v>65.227000000000004</v>
      </c>
      <c r="N4" s="56">
        <v>62.338000000000001</v>
      </c>
      <c r="O4" s="56">
        <v>62.616</v>
      </c>
      <c r="P4" s="56">
        <v>61.171999999999997</v>
      </c>
      <c r="Q4" s="56">
        <v>77.284000000000006</v>
      </c>
      <c r="R4" s="56">
        <v>36.058</v>
      </c>
      <c r="S4" s="56">
        <v>40.280999999999999</v>
      </c>
      <c r="T4" s="56">
        <v>38.725000000000001</v>
      </c>
      <c r="U4" s="56">
        <v>33.947000000000003</v>
      </c>
      <c r="V4" s="56">
        <v>33.225000000000001</v>
      </c>
      <c r="W4" s="56">
        <v>36.225000000000001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63.535999999999994</v>
      </c>
      <c r="C5" s="58">
        <v>77.483999999999995</v>
      </c>
      <c r="D5" s="58">
        <v>89.745000000000005</v>
      </c>
      <c r="E5" s="58">
        <v>100.1</v>
      </c>
      <c r="F5" s="58">
        <v>178.7</v>
      </c>
      <c r="G5" s="58">
        <v>118.6</v>
      </c>
      <c r="H5" s="58">
        <v>116.4</v>
      </c>
      <c r="I5" s="58">
        <v>109</v>
      </c>
      <c r="J5" s="58">
        <v>842</v>
      </c>
      <c r="K5" s="58">
        <v>727</v>
      </c>
      <c r="L5" s="58">
        <v>940</v>
      </c>
      <c r="M5" s="58">
        <v>692</v>
      </c>
      <c r="N5" s="58">
        <v>772</v>
      </c>
      <c r="O5" s="58">
        <v>771</v>
      </c>
      <c r="P5" s="58">
        <v>716</v>
      </c>
      <c r="Q5" s="58">
        <v>879</v>
      </c>
      <c r="R5" s="58">
        <v>836</v>
      </c>
      <c r="S5" s="58">
        <v>813</v>
      </c>
      <c r="T5" s="58">
        <v>678</v>
      </c>
      <c r="U5" s="58">
        <v>835</v>
      </c>
      <c r="V5" s="58">
        <v>903</v>
      </c>
      <c r="W5" s="58">
        <v>841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0.47200000000000003</v>
      </c>
      <c r="C7" s="59">
        <f t="shared" si="3"/>
        <v>0.52400000000000002</v>
      </c>
      <c r="D7" s="59">
        <f t="shared" si="3"/>
        <v>0.60699999999999998</v>
      </c>
      <c r="E7" s="59">
        <f t="shared" si="3"/>
        <v>0.629</v>
      </c>
      <c r="F7" s="59">
        <f t="shared" si="3"/>
        <v>1.02</v>
      </c>
      <c r="G7" s="59">
        <f t="shared" si="3"/>
        <v>0.57799999999999996</v>
      </c>
      <c r="H7" s="59">
        <f t="shared" si="3"/>
        <v>0.90499999999999992</v>
      </c>
      <c r="I7" s="59">
        <f t="shared" si="3"/>
        <v>0.86299999999999999</v>
      </c>
      <c r="J7" s="59">
        <f t="shared" si="3"/>
        <v>5.2949999999999999</v>
      </c>
      <c r="K7" s="59">
        <f t="shared" si="3"/>
        <v>4.2699999999999996</v>
      </c>
      <c r="L7" s="59">
        <f t="shared" si="3"/>
        <v>4.2469999999999999</v>
      </c>
      <c r="M7" s="59">
        <f t="shared" si="3"/>
        <v>4.1599999999999993</v>
      </c>
      <c r="N7" s="59">
        <f t="shared" si="3"/>
        <v>5.07</v>
      </c>
      <c r="O7" s="59">
        <f t="shared" si="3"/>
        <v>5.335</v>
      </c>
      <c r="P7" s="59">
        <f t="shared" si="3"/>
        <v>5.3209999999999997</v>
      </c>
      <c r="Q7" s="59">
        <f t="shared" si="3"/>
        <v>4.8840000000000003</v>
      </c>
      <c r="R7" s="59">
        <f t="shared" ref="R7:V7" si="4">SUM(R8:R9)</f>
        <v>4.7850000000000001</v>
      </c>
      <c r="S7" s="59">
        <f t="shared" si="4"/>
        <v>4.8390000000000004</v>
      </c>
      <c r="T7" s="59">
        <f t="shared" si="4"/>
        <v>4.5310000000000006</v>
      </c>
      <c r="U7" s="59">
        <f t="shared" si="4"/>
        <v>5.14</v>
      </c>
      <c r="V7" s="59">
        <f t="shared" si="4"/>
        <v>4.859</v>
      </c>
      <c r="W7" s="59">
        <f t="shared" ref="W7" si="5">SUM(W8:W9)</f>
        <v>5.0430000000000001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7.9000000000000001E-2</v>
      </c>
      <c r="C8" s="60">
        <v>7.9000000000000001E-2</v>
      </c>
      <c r="D8" s="60">
        <v>8.7999999999999995E-2</v>
      </c>
      <c r="E8" s="60">
        <v>0.09</v>
      </c>
      <c r="F8" s="60">
        <v>7.5999999999999998E-2</v>
      </c>
      <c r="G8" s="60">
        <v>8.2000000000000003E-2</v>
      </c>
      <c r="H8" s="60">
        <v>8.5999999999999993E-2</v>
      </c>
      <c r="I8" s="60">
        <v>8.6999999999999994E-2</v>
      </c>
      <c r="J8" s="60">
        <v>7.3999999999999996E-2</v>
      </c>
      <c r="K8" s="60">
        <v>5.5E-2</v>
      </c>
      <c r="L8" s="60">
        <v>5.1999999999999998E-2</v>
      </c>
      <c r="M8" s="60">
        <v>5.1999999999999998E-2</v>
      </c>
      <c r="N8" s="60">
        <v>4.9000000000000002E-2</v>
      </c>
      <c r="O8" s="60">
        <v>4.9000000000000002E-2</v>
      </c>
      <c r="P8" s="60">
        <v>4.7E-2</v>
      </c>
      <c r="Q8" s="60">
        <v>5.3999999999999999E-2</v>
      </c>
      <c r="R8" s="60">
        <v>2.4E-2</v>
      </c>
      <c r="S8" s="60">
        <v>2.7E-2</v>
      </c>
      <c r="T8" s="60">
        <v>2.5000000000000001E-2</v>
      </c>
      <c r="U8" s="60">
        <v>2.3E-2</v>
      </c>
      <c r="V8" s="60">
        <v>0.02</v>
      </c>
      <c r="W8" s="60">
        <v>2.1999999999999999E-2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0.39300000000000002</v>
      </c>
      <c r="C9" s="61">
        <v>0.44500000000000001</v>
      </c>
      <c r="D9" s="61">
        <v>0.51900000000000002</v>
      </c>
      <c r="E9" s="61">
        <v>0.53900000000000003</v>
      </c>
      <c r="F9" s="61">
        <v>0.94399999999999995</v>
      </c>
      <c r="G9" s="61">
        <v>0.496</v>
      </c>
      <c r="H9" s="61">
        <v>0.81899999999999995</v>
      </c>
      <c r="I9" s="61">
        <v>0.77600000000000002</v>
      </c>
      <c r="J9" s="61">
        <v>5.2210000000000001</v>
      </c>
      <c r="K9" s="61">
        <v>4.2149999999999999</v>
      </c>
      <c r="L9" s="61">
        <v>4.1950000000000003</v>
      </c>
      <c r="M9" s="61">
        <v>4.1079999999999997</v>
      </c>
      <c r="N9" s="61">
        <v>5.0209999999999999</v>
      </c>
      <c r="O9" s="61">
        <v>5.2859999999999996</v>
      </c>
      <c r="P9" s="61">
        <v>5.274</v>
      </c>
      <c r="Q9" s="61">
        <v>4.83</v>
      </c>
      <c r="R9" s="61">
        <v>4.7610000000000001</v>
      </c>
      <c r="S9" s="61">
        <v>4.8120000000000003</v>
      </c>
      <c r="T9" s="61">
        <v>4.5060000000000002</v>
      </c>
      <c r="U9" s="61">
        <v>5.117</v>
      </c>
      <c r="V9" s="61">
        <v>4.8390000000000004</v>
      </c>
      <c r="W9" s="61">
        <v>5.0209999999999999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323.28389830508473</v>
      </c>
      <c r="C13" s="62">
        <f t="shared" si="6"/>
        <v>320.06679389312973</v>
      </c>
      <c r="D13" s="62">
        <f t="shared" si="6"/>
        <v>319.90774299835255</v>
      </c>
      <c r="E13" s="62">
        <f t="shared" si="6"/>
        <v>329.00794912559616</v>
      </c>
      <c r="F13" s="62">
        <f t="shared" ref="F13:V13" si="7">IF(F3=0,0,F3/F7)</f>
        <v>264.05588235294118</v>
      </c>
      <c r="G13" s="62">
        <f t="shared" si="7"/>
        <v>374.84948096885819</v>
      </c>
      <c r="H13" s="62">
        <f t="shared" si="7"/>
        <v>246.43093922651937</v>
      </c>
      <c r="I13" s="62">
        <f t="shared" si="7"/>
        <v>253.64774044032444</v>
      </c>
      <c r="J13" s="62">
        <f t="shared" si="7"/>
        <v>177.20207743153918</v>
      </c>
      <c r="K13" s="62">
        <f t="shared" si="7"/>
        <v>186.82154566744731</v>
      </c>
      <c r="L13" s="62">
        <f t="shared" si="7"/>
        <v>237.37155639274781</v>
      </c>
      <c r="M13" s="62">
        <f t="shared" si="7"/>
        <v>182.02572115384618</v>
      </c>
      <c r="N13" s="62">
        <f t="shared" si="7"/>
        <v>164.563708086785</v>
      </c>
      <c r="O13" s="62">
        <f t="shared" si="7"/>
        <v>156.25417057169633</v>
      </c>
      <c r="P13" s="62">
        <f t="shared" si="7"/>
        <v>146.05750798722045</v>
      </c>
      <c r="Q13" s="62">
        <f t="shared" si="7"/>
        <v>195.79934479934479</v>
      </c>
      <c r="R13" s="62">
        <f t="shared" si="7"/>
        <v>182.24827586206897</v>
      </c>
      <c r="S13" s="62">
        <f t="shared" si="7"/>
        <v>176.33415995040295</v>
      </c>
      <c r="T13" s="62">
        <f t="shared" si="7"/>
        <v>158.18252041491942</v>
      </c>
      <c r="U13" s="62">
        <f t="shared" si="7"/>
        <v>169.0558365758755</v>
      </c>
      <c r="V13" s="62">
        <f t="shared" si="7"/>
        <v>192.67853467791727</v>
      </c>
      <c r="W13" s="62">
        <f t="shared" ref="W13" si="8">IF(W3=0,0,W3/W7)</f>
        <v>173.94903827087052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1127.2658227848101</v>
      </c>
      <c r="C14" s="63">
        <f t="shared" si="6"/>
        <v>1142.1645569620252</v>
      </c>
      <c r="D14" s="63">
        <f t="shared" si="6"/>
        <v>1186.8068181818182</v>
      </c>
      <c r="E14" s="63">
        <f t="shared" si="6"/>
        <v>1187.1777777777779</v>
      </c>
      <c r="F14" s="63">
        <f t="shared" ref="F14:V14" si="9">IF(F4=0,0,F4/F8)</f>
        <v>1192.5921052631579</v>
      </c>
      <c r="G14" s="63">
        <f t="shared" si="9"/>
        <v>1195.8902439024389</v>
      </c>
      <c r="H14" s="63">
        <f t="shared" si="9"/>
        <v>1239.7674418604652</v>
      </c>
      <c r="I14" s="63">
        <f t="shared" si="9"/>
        <v>1263.1954022988507</v>
      </c>
      <c r="J14" s="63">
        <f t="shared" si="9"/>
        <v>1301.1486486486488</v>
      </c>
      <c r="K14" s="63">
        <f t="shared" si="9"/>
        <v>1285.9636363636362</v>
      </c>
      <c r="L14" s="63">
        <f t="shared" si="9"/>
        <v>1309.9423076923078</v>
      </c>
      <c r="M14" s="63">
        <f t="shared" si="9"/>
        <v>1254.3653846153848</v>
      </c>
      <c r="N14" s="63">
        <f t="shared" si="9"/>
        <v>1272.204081632653</v>
      </c>
      <c r="O14" s="63">
        <f t="shared" si="9"/>
        <v>1277.8775510204082</v>
      </c>
      <c r="P14" s="63">
        <f t="shared" si="9"/>
        <v>1301.5319148936169</v>
      </c>
      <c r="Q14" s="63">
        <f t="shared" si="9"/>
        <v>1431.1851851851852</v>
      </c>
      <c r="R14" s="63">
        <f t="shared" si="9"/>
        <v>1502.4166666666665</v>
      </c>
      <c r="S14" s="63">
        <f t="shared" si="9"/>
        <v>1491.8888888888889</v>
      </c>
      <c r="T14" s="63">
        <f t="shared" si="9"/>
        <v>1549</v>
      </c>
      <c r="U14" s="63">
        <f t="shared" si="9"/>
        <v>1475.9565217391305</v>
      </c>
      <c r="V14" s="63">
        <f t="shared" si="9"/>
        <v>1661.25</v>
      </c>
      <c r="W14" s="63">
        <f t="shared" ref="W14" si="10">IF(W4=0,0,W4/W8)</f>
        <v>1646.5909090909092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161.66921119592874</v>
      </c>
      <c r="C15" s="64">
        <f t="shared" si="6"/>
        <v>174.12134831460673</v>
      </c>
      <c r="D15" s="64">
        <f t="shared" si="6"/>
        <v>172.91907514450867</v>
      </c>
      <c r="E15" s="64">
        <f t="shared" si="6"/>
        <v>185.71428571428569</v>
      </c>
      <c r="F15" s="64">
        <f t="shared" ref="F15:V15" si="11">IF(F5=0,0,F5/F9)</f>
        <v>189.30084745762713</v>
      </c>
      <c r="G15" s="64">
        <f t="shared" si="11"/>
        <v>239.11290322580643</v>
      </c>
      <c r="H15" s="64">
        <f t="shared" si="11"/>
        <v>142.12454212454213</v>
      </c>
      <c r="I15" s="64">
        <f t="shared" si="11"/>
        <v>140.46391752577318</v>
      </c>
      <c r="J15" s="64">
        <f t="shared" si="11"/>
        <v>161.27178701398199</v>
      </c>
      <c r="K15" s="64">
        <f t="shared" si="11"/>
        <v>172.47924080664293</v>
      </c>
      <c r="L15" s="64">
        <f t="shared" si="11"/>
        <v>224.0762812872467</v>
      </c>
      <c r="M15" s="64">
        <f t="shared" si="11"/>
        <v>168.45180136319379</v>
      </c>
      <c r="N15" s="64">
        <f t="shared" si="11"/>
        <v>153.75423222465645</v>
      </c>
      <c r="O15" s="64">
        <f t="shared" si="11"/>
        <v>145.85698070374576</v>
      </c>
      <c r="P15" s="64">
        <f t="shared" si="11"/>
        <v>135.76033371255215</v>
      </c>
      <c r="Q15" s="64">
        <f t="shared" si="11"/>
        <v>181.98757763975155</v>
      </c>
      <c r="R15" s="64">
        <f t="shared" si="11"/>
        <v>175.59336273892038</v>
      </c>
      <c r="S15" s="64">
        <f t="shared" si="11"/>
        <v>168.95261845386534</v>
      </c>
      <c r="T15" s="64">
        <f t="shared" si="11"/>
        <v>150.46604527296935</v>
      </c>
      <c r="U15" s="64">
        <f t="shared" si="11"/>
        <v>163.18155169044363</v>
      </c>
      <c r="V15" s="64">
        <f t="shared" si="11"/>
        <v>186.60880347179167</v>
      </c>
      <c r="W15" s="64">
        <f t="shared" ref="W15" si="12">IF(W5=0,0,W5/W9)</f>
        <v>167.49651463851822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0.58361622648928502</v>
      </c>
      <c r="C18" s="66">
        <f t="shared" si="16"/>
        <v>0.53800196762364727</v>
      </c>
      <c r="D18" s="66">
        <f t="shared" si="16"/>
        <v>0.53783524904214552</v>
      </c>
      <c r="E18" s="66">
        <f t="shared" si="16"/>
        <v>0.51629893788717829</v>
      </c>
      <c r="F18" s="66">
        <f t="shared" ref="F18:V18" si="17">IF(F4=0,0,F4/F$3)</f>
        <v>0.33651893352937029</v>
      </c>
      <c r="G18" s="66">
        <f t="shared" si="17"/>
        <v>0.45260612102666353</v>
      </c>
      <c r="H18" s="66">
        <f t="shared" si="17"/>
        <v>0.47807371536185095</v>
      </c>
      <c r="I18" s="66">
        <f t="shared" si="17"/>
        <v>0.50205118365631485</v>
      </c>
      <c r="J18" s="66">
        <f t="shared" si="17"/>
        <v>0.10261807446564743</v>
      </c>
      <c r="K18" s="66">
        <f t="shared" si="17"/>
        <v>8.8661799510610137E-2</v>
      </c>
      <c r="L18" s="66">
        <f t="shared" si="17"/>
        <v>6.7568546111215266E-2</v>
      </c>
      <c r="M18" s="66">
        <f t="shared" si="17"/>
        <v>8.6139295085885748E-2</v>
      </c>
      <c r="N18" s="66">
        <f t="shared" si="17"/>
        <v>7.4715522965512787E-2</v>
      </c>
      <c r="O18" s="66">
        <f t="shared" si="17"/>
        <v>7.5113721425692406E-2</v>
      </c>
      <c r="P18" s="66">
        <f t="shared" si="17"/>
        <v>7.8711018925025605E-2</v>
      </c>
      <c r="Q18" s="66">
        <f t="shared" si="17"/>
        <v>8.0816995787862195E-2</v>
      </c>
      <c r="R18" s="66">
        <f t="shared" si="17"/>
        <v>4.134816720906178E-2</v>
      </c>
      <c r="S18" s="66">
        <f t="shared" si="17"/>
        <v>4.7207192003572096E-2</v>
      </c>
      <c r="T18" s="66">
        <f t="shared" si="17"/>
        <v>5.4030485890683315E-2</v>
      </c>
      <c r="U18" s="66">
        <f t="shared" si="17"/>
        <v>3.9066824558920167E-2</v>
      </c>
      <c r="V18" s="66">
        <f t="shared" si="17"/>
        <v>3.5488264039093165E-2</v>
      </c>
      <c r="W18" s="66">
        <f t="shared" ref="W18" si="18">IF(W4=0,0,W4/W$3)</f>
        <v>4.1294992732765254E-2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0.41638377351071493</v>
      </c>
      <c r="C19" s="67">
        <f t="shared" si="19"/>
        <v>0.46199803237635279</v>
      </c>
      <c r="D19" s="67">
        <f t="shared" si="19"/>
        <v>0.46216475095785442</v>
      </c>
      <c r="E19" s="67">
        <f t="shared" si="19"/>
        <v>0.48370106211282166</v>
      </c>
      <c r="F19" s="67">
        <f t="shared" ref="F19:V19" si="20">IF(F5=0,0,F5/F$3)</f>
        <v>0.66348106647062977</v>
      </c>
      <c r="G19" s="67">
        <f t="shared" si="20"/>
        <v>0.54739387897333647</v>
      </c>
      <c r="H19" s="67">
        <f t="shared" si="20"/>
        <v>0.52192628463814905</v>
      </c>
      <c r="I19" s="67">
        <f t="shared" si="20"/>
        <v>0.49794881634368521</v>
      </c>
      <c r="J19" s="67">
        <f t="shared" si="20"/>
        <v>0.89738192553435259</v>
      </c>
      <c r="K19" s="67">
        <f t="shared" si="20"/>
        <v>0.91133820048938996</v>
      </c>
      <c r="L19" s="67">
        <f t="shared" si="20"/>
        <v>0.93243145388878479</v>
      </c>
      <c r="M19" s="67">
        <f t="shared" si="20"/>
        <v>0.91386070491411431</v>
      </c>
      <c r="N19" s="67">
        <f t="shared" si="20"/>
        <v>0.92528447703448724</v>
      </c>
      <c r="O19" s="67">
        <f t="shared" si="20"/>
        <v>0.92488627857430761</v>
      </c>
      <c r="P19" s="67">
        <f t="shared" si="20"/>
        <v>0.92128898107497437</v>
      </c>
      <c r="Q19" s="67">
        <f t="shared" si="20"/>
        <v>0.91918300421213783</v>
      </c>
      <c r="R19" s="67">
        <f t="shared" si="20"/>
        <v>0.95865183279093824</v>
      </c>
      <c r="S19" s="67">
        <f t="shared" si="20"/>
        <v>0.95279280799642796</v>
      </c>
      <c r="T19" s="67">
        <f t="shared" si="20"/>
        <v>0.94596951410931662</v>
      </c>
      <c r="U19" s="67">
        <f t="shared" si="20"/>
        <v>0.96093317544107981</v>
      </c>
      <c r="V19" s="67">
        <f t="shared" si="20"/>
        <v>0.96451173596090678</v>
      </c>
      <c r="W19" s="67">
        <f t="shared" ref="W19" si="21">IF(W5=0,0,W5/W$3)</f>
        <v>0.95870500726723473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0.1673728813559322</v>
      </c>
      <c r="C22" s="66">
        <f t="shared" si="25"/>
        <v>0.15076335877862596</v>
      </c>
      <c r="D22" s="66">
        <f t="shared" si="25"/>
        <v>0.14497528830313014</v>
      </c>
      <c r="E22" s="66">
        <f t="shared" si="25"/>
        <v>0.14308426073131955</v>
      </c>
      <c r="F22" s="66">
        <f t="shared" ref="F22:V22" si="26">IF(F8=0,0,F8/F$7)</f>
        <v>7.4509803921568626E-2</v>
      </c>
      <c r="G22" s="66">
        <f t="shared" si="26"/>
        <v>0.14186851211072665</v>
      </c>
      <c r="H22" s="66">
        <f t="shared" si="26"/>
        <v>9.5027624309392267E-2</v>
      </c>
      <c r="I22" s="66">
        <f t="shared" si="26"/>
        <v>0.10081112398609501</v>
      </c>
      <c r="J22" s="66">
        <f t="shared" si="26"/>
        <v>1.3975448536355052E-2</v>
      </c>
      <c r="K22" s="66">
        <f t="shared" si="26"/>
        <v>1.2880562060889932E-2</v>
      </c>
      <c r="L22" s="66">
        <f t="shared" si="26"/>
        <v>1.2243936896632918E-2</v>
      </c>
      <c r="M22" s="66">
        <f t="shared" si="26"/>
        <v>1.2500000000000002E-2</v>
      </c>
      <c r="N22" s="66">
        <f t="shared" si="26"/>
        <v>9.6646942800788956E-3</v>
      </c>
      <c r="O22" s="66">
        <f t="shared" si="26"/>
        <v>9.1846298031865049E-3</v>
      </c>
      <c r="P22" s="66">
        <f t="shared" si="26"/>
        <v>8.8329261417026874E-3</v>
      </c>
      <c r="Q22" s="66">
        <f t="shared" si="26"/>
        <v>1.1056511056511056E-2</v>
      </c>
      <c r="R22" s="66">
        <f t="shared" si="26"/>
        <v>5.0156739811912229E-3</v>
      </c>
      <c r="S22" s="66">
        <f t="shared" si="26"/>
        <v>5.5796652200867944E-3</v>
      </c>
      <c r="T22" s="66">
        <f t="shared" si="26"/>
        <v>5.517545795630103E-3</v>
      </c>
      <c r="U22" s="66">
        <f t="shared" si="26"/>
        <v>4.4747081712062263E-3</v>
      </c>
      <c r="V22" s="66">
        <f t="shared" si="26"/>
        <v>4.1160732661041366E-3</v>
      </c>
      <c r="W22" s="66">
        <f t="shared" ref="W22" si="27">IF(W8=0,0,W8/W$7)</f>
        <v>4.3624826492167359E-3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0.8326271186440678</v>
      </c>
      <c r="C23" s="67">
        <f t="shared" si="28"/>
        <v>0.84923664122137399</v>
      </c>
      <c r="D23" s="67">
        <f t="shared" si="28"/>
        <v>0.85502471169686989</v>
      </c>
      <c r="E23" s="67">
        <f t="shared" si="28"/>
        <v>0.85691573926868048</v>
      </c>
      <c r="F23" s="67">
        <f t="shared" ref="F23:V23" si="29">IF(F9=0,0,F9/F$7)</f>
        <v>0.9254901960784313</v>
      </c>
      <c r="G23" s="67">
        <f t="shared" si="29"/>
        <v>0.8581314878892734</v>
      </c>
      <c r="H23" s="67">
        <f t="shared" si="29"/>
        <v>0.90497237569060773</v>
      </c>
      <c r="I23" s="67">
        <f t="shared" si="29"/>
        <v>0.89918887601390507</v>
      </c>
      <c r="J23" s="67">
        <f t="shared" si="29"/>
        <v>0.98602455146364498</v>
      </c>
      <c r="K23" s="67">
        <f t="shared" si="29"/>
        <v>0.98711943793911017</v>
      </c>
      <c r="L23" s="67">
        <f t="shared" si="29"/>
        <v>0.98775606310336717</v>
      </c>
      <c r="M23" s="67">
        <f t="shared" si="29"/>
        <v>0.98750000000000004</v>
      </c>
      <c r="N23" s="67">
        <f t="shared" si="29"/>
        <v>0.99033530571992101</v>
      </c>
      <c r="O23" s="67">
        <f t="shared" si="29"/>
        <v>0.99081537019681343</v>
      </c>
      <c r="P23" s="67">
        <f t="shared" si="29"/>
        <v>0.99116707385829739</v>
      </c>
      <c r="Q23" s="67">
        <f t="shared" si="29"/>
        <v>0.98894348894348894</v>
      </c>
      <c r="R23" s="67">
        <f t="shared" si="29"/>
        <v>0.99498432601880882</v>
      </c>
      <c r="S23" s="67">
        <f t="shared" si="29"/>
        <v>0.99442033477991321</v>
      </c>
      <c r="T23" s="67">
        <f t="shared" si="29"/>
        <v>0.99448245420436987</v>
      </c>
      <c r="U23" s="67">
        <f t="shared" si="29"/>
        <v>0.99552529182879379</v>
      </c>
      <c r="V23" s="67">
        <f t="shared" si="29"/>
        <v>0.99588392673389592</v>
      </c>
      <c r="W23" s="67">
        <f t="shared" ref="W23" si="30">IF(W9=0,0,W9/W$7)</f>
        <v>0.99563751735078321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28.938779019776437</v>
      </c>
      <c r="C3" s="62">
        <f t="shared" ref="C3:V3" si="0">SUM(C4,C10)</f>
        <v>29.417712811693896</v>
      </c>
      <c r="D3" s="62">
        <f t="shared" si="0"/>
        <v>35.317712811693895</v>
      </c>
      <c r="E3" s="62">
        <f t="shared" si="0"/>
        <v>36.33783319002579</v>
      </c>
      <c r="F3" s="62">
        <f t="shared" si="0"/>
        <v>29.583233018056752</v>
      </c>
      <c r="G3" s="62">
        <f t="shared" si="0"/>
        <v>32.643508168529657</v>
      </c>
      <c r="H3" s="62">
        <f t="shared" si="0"/>
        <v>33.66362854686156</v>
      </c>
      <c r="I3" s="62">
        <f t="shared" si="0"/>
        <v>34.683748925193463</v>
      </c>
      <c r="J3" s="62">
        <f t="shared" si="0"/>
        <v>43.040326741186583</v>
      </c>
      <c r="K3" s="62">
        <f t="shared" si="0"/>
        <v>47.311092003439377</v>
      </c>
      <c r="L3" s="62">
        <f t="shared" si="0"/>
        <v>37.633705932932067</v>
      </c>
      <c r="M3" s="62">
        <f t="shared" si="0"/>
        <v>38.041788478073947</v>
      </c>
      <c r="N3" s="62">
        <f t="shared" si="0"/>
        <v>36.103525365434216</v>
      </c>
      <c r="O3" s="62">
        <f t="shared" si="0"/>
        <v>39.784350816852957</v>
      </c>
      <c r="P3" s="62">
        <f t="shared" si="0"/>
        <v>43.864746345657778</v>
      </c>
      <c r="Q3" s="62">
        <f t="shared" si="0"/>
        <v>41.824505588993979</v>
      </c>
      <c r="R3" s="62">
        <f t="shared" si="0"/>
        <v>42.844625967325875</v>
      </c>
      <c r="S3" s="62">
        <f t="shared" si="0"/>
        <v>45.190885640584703</v>
      </c>
      <c r="T3" s="62">
        <f t="shared" si="0"/>
        <v>48.149269131556323</v>
      </c>
      <c r="U3" s="62">
        <f t="shared" si="0"/>
        <v>50.087446259673257</v>
      </c>
      <c r="V3" s="62">
        <f t="shared" si="0"/>
        <v>41.008426483233031</v>
      </c>
      <c r="W3" s="62">
        <f t="shared" ref="W3" si="1">SUM(W4,W10)</f>
        <v>47.843164230438518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19.706326028888345</v>
      </c>
      <c r="C4" s="71">
        <f t="shared" ref="C4:V4" si="2">SUM(C5:C9)</f>
        <v>19.145881692120216</v>
      </c>
      <c r="D4" s="71">
        <f t="shared" si="2"/>
        <v>23.09616445596464</v>
      </c>
      <c r="E4" s="71">
        <f t="shared" si="2"/>
        <v>23.349304090937956</v>
      </c>
      <c r="F4" s="71">
        <f t="shared" si="2"/>
        <v>13.694407776064782</v>
      </c>
      <c r="G4" s="71">
        <f t="shared" si="2"/>
        <v>20.823532147050848</v>
      </c>
      <c r="H4" s="71">
        <f t="shared" si="2"/>
        <v>18.434306638514091</v>
      </c>
      <c r="I4" s="71">
        <f t="shared" si="2"/>
        <v>19.568071534589439</v>
      </c>
      <c r="J4" s="71">
        <f t="shared" si="2"/>
        <v>6.2612042224204147</v>
      </c>
      <c r="K4" s="71">
        <f t="shared" si="2"/>
        <v>6.1167358723141394</v>
      </c>
      <c r="L4" s="71">
        <f t="shared" si="2"/>
        <v>4.6688800467114602</v>
      </c>
      <c r="M4" s="71">
        <f t="shared" si="2"/>
        <v>5.0404927312381345</v>
      </c>
      <c r="N4" s="71">
        <f t="shared" si="2"/>
        <v>3.7607951104907635</v>
      </c>
      <c r="O4" s="71">
        <f t="shared" si="2"/>
        <v>3.8764137176746964</v>
      </c>
      <c r="P4" s="71">
        <f t="shared" si="2"/>
        <v>4.2602962704247913</v>
      </c>
      <c r="Q4" s="71">
        <f t="shared" si="2"/>
        <v>4.740169634423407</v>
      </c>
      <c r="R4" s="71">
        <f t="shared" si="2"/>
        <v>2.4576936572777184</v>
      </c>
      <c r="S4" s="71">
        <f t="shared" si="2"/>
        <v>3.0771246146743052</v>
      </c>
      <c r="T4" s="71">
        <f t="shared" si="2"/>
        <v>3.2377108057725543</v>
      </c>
      <c r="U4" s="71">
        <f t="shared" si="2"/>
        <v>2.6645547426699818</v>
      </c>
      <c r="V4" s="71">
        <f t="shared" si="2"/>
        <v>1.8911655499489841</v>
      </c>
      <c r="W4" s="71">
        <f t="shared" ref="W4" si="3">SUM(W5:W9)</f>
        <v>2.3963109965805058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18.061175289836903</v>
      </c>
      <c r="C5" s="73">
        <v>17.261837127136904</v>
      </c>
      <c r="D5" s="73">
        <v>18.678965719515606</v>
      </c>
      <c r="E5" s="73">
        <v>19.009055936810331</v>
      </c>
      <c r="F5" s="73">
        <v>13.694407776064782</v>
      </c>
      <c r="G5" s="73">
        <v>20.823532147050848</v>
      </c>
      <c r="H5" s="73">
        <v>18.434306638514091</v>
      </c>
      <c r="I5" s="73">
        <v>19.568071534589439</v>
      </c>
      <c r="J5" s="73">
        <v>5.9804651535633893</v>
      </c>
      <c r="K5" s="73">
        <v>6.066832873319508</v>
      </c>
      <c r="L5" s="73">
        <v>4.4294623356705349</v>
      </c>
      <c r="M5" s="73">
        <v>4.7847916222167193</v>
      </c>
      <c r="N5" s="73">
        <v>3.5597698619462732</v>
      </c>
      <c r="O5" s="73">
        <v>3.8764137176746964</v>
      </c>
      <c r="P5" s="73">
        <v>4.2602962704247913</v>
      </c>
      <c r="Q5" s="73">
        <v>4.740169634423407</v>
      </c>
      <c r="R5" s="73">
        <v>2.4576936572777184</v>
      </c>
      <c r="S5" s="73">
        <v>3.0771246146743052</v>
      </c>
      <c r="T5" s="73">
        <v>3.2377108057725543</v>
      </c>
      <c r="U5" s="73">
        <v>2.6645547426699818</v>
      </c>
      <c r="V5" s="73">
        <v>1.8911655499489841</v>
      </c>
      <c r="W5" s="73">
        <v>2.3963109965805058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1.645150739051443</v>
      </c>
      <c r="C6" s="73">
        <v>1.8840445649833142</v>
      </c>
      <c r="D6" s="73">
        <v>4.4171987364490333</v>
      </c>
      <c r="E6" s="73">
        <v>4.3402481541276243</v>
      </c>
      <c r="F6" s="73">
        <v>0</v>
      </c>
      <c r="G6" s="73">
        <v>0</v>
      </c>
      <c r="H6" s="73">
        <v>0</v>
      </c>
      <c r="I6" s="73">
        <v>0</v>
      </c>
      <c r="J6" s="73">
        <v>0.28073906885702565</v>
      </c>
      <c r="K6" s="73">
        <v>4.9902998994631423E-2</v>
      </c>
      <c r="L6" s="73">
        <v>0.23941771104092507</v>
      </c>
      <c r="M6" s="73">
        <v>0.25570110902141546</v>
      </c>
      <c r="N6" s="73">
        <v>0.2010252485444903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9.2324529908880919</v>
      </c>
      <c r="C10" s="71">
        <f t="shared" ref="C10:V10" si="4">SUM(C11:C15)</f>
        <v>10.271831119573678</v>
      </c>
      <c r="D10" s="71">
        <f t="shared" si="4"/>
        <v>12.221548355729258</v>
      </c>
      <c r="E10" s="71">
        <f t="shared" si="4"/>
        <v>12.988529099087833</v>
      </c>
      <c r="F10" s="71">
        <f t="shared" si="4"/>
        <v>15.88882524199197</v>
      </c>
      <c r="G10" s="71">
        <f t="shared" si="4"/>
        <v>11.819976021478807</v>
      </c>
      <c r="H10" s="71">
        <f t="shared" si="4"/>
        <v>15.229321908347471</v>
      </c>
      <c r="I10" s="71">
        <f t="shared" si="4"/>
        <v>15.115677390604025</v>
      </c>
      <c r="J10" s="71">
        <f t="shared" si="4"/>
        <v>36.779122518766165</v>
      </c>
      <c r="K10" s="71">
        <f t="shared" si="4"/>
        <v>41.19435613112524</v>
      </c>
      <c r="L10" s="71">
        <f t="shared" si="4"/>
        <v>32.964825886220609</v>
      </c>
      <c r="M10" s="71">
        <f t="shared" si="4"/>
        <v>33.001295746835815</v>
      </c>
      <c r="N10" s="71">
        <f t="shared" si="4"/>
        <v>32.342730254943454</v>
      </c>
      <c r="O10" s="71">
        <f t="shared" si="4"/>
        <v>35.907937099178262</v>
      </c>
      <c r="P10" s="71">
        <f t="shared" si="4"/>
        <v>39.60445007523299</v>
      </c>
      <c r="Q10" s="71">
        <f t="shared" si="4"/>
        <v>37.08433595457057</v>
      </c>
      <c r="R10" s="71">
        <f t="shared" si="4"/>
        <v>40.386932310048159</v>
      </c>
      <c r="S10" s="71">
        <f t="shared" si="4"/>
        <v>42.113761025910399</v>
      </c>
      <c r="T10" s="71">
        <f t="shared" si="4"/>
        <v>44.911558325783766</v>
      </c>
      <c r="U10" s="71">
        <f t="shared" si="4"/>
        <v>47.422891517003272</v>
      </c>
      <c r="V10" s="71">
        <f t="shared" si="4"/>
        <v>39.117260933284044</v>
      </c>
      <c r="W10" s="71">
        <f t="shared" ref="W10" si="5">SUM(W11:W15)</f>
        <v>45.446853233858015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8.4616965932241452</v>
      </c>
      <c r="C11" s="73">
        <v>9.2610347559241468</v>
      </c>
      <c r="D11" s="73">
        <v>9.8841469202092451</v>
      </c>
      <c r="E11" s="73">
        <v>10.574177081246416</v>
      </c>
      <c r="F11" s="73">
        <v>15.88882524199197</v>
      </c>
      <c r="G11" s="73">
        <v>11.819976021478807</v>
      </c>
      <c r="H11" s="73">
        <v>15.229321908347471</v>
      </c>
      <c r="I11" s="73">
        <v>15.115677390604025</v>
      </c>
      <c r="J11" s="73">
        <v>35.130024958216481</v>
      </c>
      <c r="K11" s="73">
        <v>40.858274607333975</v>
      </c>
      <c r="L11" s="73">
        <v>31.274406967854826</v>
      </c>
      <c r="M11" s="73">
        <v>31.327160226450523</v>
      </c>
      <c r="N11" s="73">
        <v>30.613918874081236</v>
      </c>
      <c r="O11" s="73">
        <v>35.907937099178262</v>
      </c>
      <c r="P11" s="73">
        <v>39.60445007523299</v>
      </c>
      <c r="Q11" s="73">
        <v>37.08433595457057</v>
      </c>
      <c r="R11" s="73">
        <v>40.386932310048159</v>
      </c>
      <c r="S11" s="73">
        <v>42.113761025910399</v>
      </c>
      <c r="T11" s="73">
        <v>44.911558325783766</v>
      </c>
      <c r="U11" s="73">
        <v>47.422891517003272</v>
      </c>
      <c r="V11" s="73">
        <v>39.117260933284044</v>
      </c>
      <c r="W11" s="73">
        <v>45.446853233858015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0.77075639766394677</v>
      </c>
      <c r="C12" s="73">
        <v>1.0107963636495316</v>
      </c>
      <c r="D12" s="73">
        <v>2.3374014355200123</v>
      </c>
      <c r="E12" s="73">
        <v>2.4143520178414168</v>
      </c>
      <c r="F12" s="73">
        <v>0</v>
      </c>
      <c r="G12" s="73">
        <v>0</v>
      </c>
      <c r="H12" s="73">
        <v>0</v>
      </c>
      <c r="I12" s="73">
        <v>0</v>
      </c>
      <c r="J12" s="73">
        <v>1.6490975605496823</v>
      </c>
      <c r="K12" s="73">
        <v>0.33608152379126549</v>
      </c>
      <c r="L12" s="73">
        <v>1.690418918365783</v>
      </c>
      <c r="M12" s="73">
        <v>1.6741355203852928</v>
      </c>
      <c r="N12" s="73">
        <v>1.7288113808622176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6131.0972499526342</v>
      </c>
      <c r="C19" s="62">
        <f>IF(C3=0,0,C3/TrNavi_act!C7*100)</f>
        <v>5614.0673304759339</v>
      </c>
      <c r="D19" s="62">
        <f>IF(D3=0,0,D3/TrNavi_act!D7*100)</f>
        <v>5818.4040875937226</v>
      </c>
      <c r="E19" s="62">
        <f>IF(E3=0,0,E3/TrNavi_act!E7*100)</f>
        <v>5777.079998414275</v>
      </c>
      <c r="F19" s="62">
        <f>IF(F3=0,0,F3/TrNavi_act!F7*100)</f>
        <v>2900.3169625545834</v>
      </c>
      <c r="G19" s="62">
        <f>IF(G3=0,0,G3/TrNavi_act!G7*100)</f>
        <v>5647.6657731020168</v>
      </c>
      <c r="H19" s="62">
        <f>IF(H3=0,0,H3/TrNavi_act!H7*100)</f>
        <v>3719.7379609791783</v>
      </c>
      <c r="I19" s="62">
        <f>IF(I3=0,0,I3/TrNavi_act!I7*100)</f>
        <v>4018.9743829888139</v>
      </c>
      <c r="J19" s="62">
        <f>IF(J3=0,0,J3/TrNavi_act!J7*100)</f>
        <v>812.84847480994495</v>
      </c>
      <c r="K19" s="62">
        <f>IF(K3=0,0,K3/TrNavi_act!K7*100)</f>
        <v>1107.9881031250441</v>
      </c>
      <c r="L19" s="62">
        <f>IF(L3=0,0,L3/TrNavi_act!L7*100)</f>
        <v>886.12446274857712</v>
      </c>
      <c r="M19" s="62">
        <f>IF(M3=0,0,M3/TrNavi_act!M7*100)</f>
        <v>914.46606918447003</v>
      </c>
      <c r="N19" s="62">
        <f>IF(N3=0,0,N3/TrNavi_act!N7*100)</f>
        <v>712.10109202039871</v>
      </c>
      <c r="O19" s="62">
        <f>IF(O3=0,0,O3/TrNavi_act!O7*100)</f>
        <v>745.72353920998978</v>
      </c>
      <c r="P19" s="62">
        <f>IF(P3=0,0,P3/TrNavi_act!P7*100)</f>
        <v>824.37035041642139</v>
      </c>
      <c r="Q19" s="62">
        <f>IF(Q3=0,0,Q3/TrNavi_act!Q7*100)</f>
        <v>856.35760829226001</v>
      </c>
      <c r="R19" s="62">
        <f>IF(R3=0,0,R3/TrNavi_act!R7*100)</f>
        <v>895.39448207577584</v>
      </c>
      <c r="S19" s="62">
        <f>IF(S3=0,0,S3/TrNavi_act!S7*100)</f>
        <v>933.88893656922301</v>
      </c>
      <c r="T19" s="62">
        <f>IF(T3=0,0,T3/TrNavi_act!T7*100)</f>
        <v>1062.6631898379235</v>
      </c>
      <c r="U19" s="62">
        <f>IF(U3=0,0,U3/TrNavi_act!U7*100)</f>
        <v>974.46393501309853</v>
      </c>
      <c r="V19" s="62">
        <f>IF(V3=0,0,V3/TrNavi_act!V7*100)</f>
        <v>843.9684396631618</v>
      </c>
      <c r="W19" s="62">
        <f>IF(W3=0,0,W3/TrNavi_act!W7*100)</f>
        <v>948.70442654052192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24944.716492263728</v>
      </c>
      <c r="C20" s="63">
        <f>IF(C4=0,0,C4/TrNavi_act!C8*100)</f>
        <v>24235.293281164832</v>
      </c>
      <c r="D20" s="63">
        <f>IF(D4=0,0,D4/TrNavi_act!D8*100)</f>
        <v>26245.641427232546</v>
      </c>
      <c r="E20" s="63">
        <f>IF(E4=0,0,E4/TrNavi_act!E8*100)</f>
        <v>25943.671212153287</v>
      </c>
      <c r="F20" s="63">
        <f>IF(F4=0,0,F4/TrNavi_act!F8*100)</f>
        <v>18018.957600085239</v>
      </c>
      <c r="G20" s="63">
        <f>IF(G4=0,0,G4/TrNavi_act!G8*100)</f>
        <v>25394.551398842497</v>
      </c>
      <c r="H20" s="63">
        <f>IF(H4=0,0,H4/TrNavi_act!H8*100)</f>
        <v>21435.240277341967</v>
      </c>
      <c r="I20" s="63">
        <f>IF(I4=0,0,I4/TrNavi_act!I8*100)</f>
        <v>22492.03624665453</v>
      </c>
      <c r="J20" s="63">
        <f>IF(J4=0,0,J4/TrNavi_act!J8*100)</f>
        <v>8461.0867870546135</v>
      </c>
      <c r="K20" s="63">
        <f>IF(K4=0,0,K4/TrNavi_act!K8*100)</f>
        <v>11121.337949662071</v>
      </c>
      <c r="L20" s="63">
        <f>IF(L4=0,0,L4/TrNavi_act!L8*100)</f>
        <v>8978.615474445116</v>
      </c>
      <c r="M20" s="63">
        <f>IF(M4=0,0,M4/TrNavi_act!M8*100)</f>
        <v>9693.2552523810282</v>
      </c>
      <c r="N20" s="63">
        <f>IF(N4=0,0,N4/TrNavi_act!N8*100)</f>
        <v>7675.0920622260483</v>
      </c>
      <c r="O20" s="63">
        <f>IF(O4=0,0,O4/TrNavi_act!O8*100)</f>
        <v>7911.0484034177471</v>
      </c>
      <c r="P20" s="63">
        <f>IF(P4=0,0,P4/TrNavi_act!P8*100)</f>
        <v>9064.4601498399807</v>
      </c>
      <c r="Q20" s="63">
        <f>IF(Q4=0,0,Q4/TrNavi_act!Q8*100)</f>
        <v>8778.0919155989031</v>
      </c>
      <c r="R20" s="63">
        <f>IF(R4=0,0,R4/TrNavi_act!R8*100)</f>
        <v>10240.390238657161</v>
      </c>
      <c r="S20" s="63">
        <f>IF(S4=0,0,S4/TrNavi_act!S8*100)</f>
        <v>11396.757832127056</v>
      </c>
      <c r="T20" s="63">
        <f>IF(T4=0,0,T4/TrNavi_act!T8*100)</f>
        <v>12950.843223090218</v>
      </c>
      <c r="U20" s="63">
        <f>IF(U4=0,0,U4/TrNavi_act!U8*100)</f>
        <v>11585.020620304269</v>
      </c>
      <c r="V20" s="63">
        <f>IF(V4=0,0,V4/TrNavi_act!V8*100)</f>
        <v>9455.8277497449199</v>
      </c>
      <c r="W20" s="63">
        <f>IF(W4=0,0,W4/TrNavi_act!W8*100)</f>
        <v>10892.322711729572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2349.2246796152904</v>
      </c>
      <c r="C21" s="64">
        <f>IF(C10=0,0,C10/TrNavi_act!C9*100)</f>
        <v>2308.2766560839727</v>
      </c>
      <c r="D21" s="64">
        <f>IF(D10=0,0,D10/TrNavi_act!D9*100)</f>
        <v>2354.8262727802035</v>
      </c>
      <c r="E21" s="64">
        <f>IF(E10=0,0,E10/TrNavi_act!E9*100)</f>
        <v>2409.745658457854</v>
      </c>
      <c r="F21" s="64">
        <f>IF(F10=0,0,F10/TrNavi_act!F9*100)</f>
        <v>1683.1382671601664</v>
      </c>
      <c r="G21" s="64">
        <f>IF(G10=0,0,G10/TrNavi_act!G9*100)</f>
        <v>2383.0596817497594</v>
      </c>
      <c r="H21" s="64">
        <f>IF(H10=0,0,H10/TrNavi_act!H9*100)</f>
        <v>1859.5020645112907</v>
      </c>
      <c r="I21" s="64">
        <f>IF(I10=0,0,I10/TrNavi_act!I9*100)</f>
        <v>1947.8965709541271</v>
      </c>
      <c r="J21" s="64">
        <f>IF(J10=0,0,J10/TrNavi_act!J9*100)</f>
        <v>704.44593983463255</v>
      </c>
      <c r="K21" s="64">
        <f>IF(K10=0,0,K10/TrNavi_act!K9*100)</f>
        <v>977.3275475949049</v>
      </c>
      <c r="L21" s="64">
        <f>IF(L10=0,0,L10/TrNavi_act!L9*100)</f>
        <v>785.81229764530644</v>
      </c>
      <c r="M21" s="64">
        <f>IF(M10=0,0,M10/TrNavi_act!M9*100)</f>
        <v>803.34215547312124</v>
      </c>
      <c r="N21" s="64">
        <f>IF(N10=0,0,N10/TrNavi_act!N9*100)</f>
        <v>644.14917854896339</v>
      </c>
      <c r="O21" s="64">
        <f>IF(O10=0,0,O10/TrNavi_act!O9*100)</f>
        <v>679.3026314638339</v>
      </c>
      <c r="P21" s="64">
        <f>IF(P10=0,0,P10/TrNavi_act!P9*100)</f>
        <v>750.93761993236615</v>
      </c>
      <c r="Q21" s="64">
        <f>IF(Q10=0,0,Q10/TrNavi_act!Q9*100)</f>
        <v>767.79163467019816</v>
      </c>
      <c r="R21" s="64">
        <f>IF(R10=0,0,R10/TrNavi_act!R9*100)</f>
        <v>848.28675299408008</v>
      </c>
      <c r="S21" s="64">
        <f>IF(S10=0,0,S10/TrNavi_act!S9*100)</f>
        <v>875.18206620761418</v>
      </c>
      <c r="T21" s="64">
        <f>IF(T10=0,0,T10/TrNavi_act!T9*100)</f>
        <v>996.70568854380303</v>
      </c>
      <c r="U21" s="64">
        <f>IF(U10=0,0,U10/TrNavi_act!U9*100)</f>
        <v>926.77138004696644</v>
      </c>
      <c r="V21" s="64">
        <f>IF(V10=0,0,V10/TrNavi_act!V9*100)</f>
        <v>808.37489012779588</v>
      </c>
      <c r="W21" s="64">
        <f>IF(W10=0,0,W10/TrNavi_act!W9*100)</f>
        <v>905.13549559565854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189.65056045465914</v>
      </c>
      <c r="C23" s="62">
        <f>IF(C3=0,0,C3/TrNavi_act!C3*1000)</f>
        <v>175.40299205016785</v>
      </c>
      <c r="D23" s="62">
        <f>IF(D3=0,0,D3/TrNavi_act!D3*1000)</f>
        <v>181.87756360819583</v>
      </c>
      <c r="E23" s="62">
        <f>IF(E3=0,0,E3/TrNavi_act!E3*1000)</f>
        <v>175.59089419474543</v>
      </c>
      <c r="F23" s="62">
        <f>IF(F3=0,0,F3/TrNavi_act!F3*1000)</f>
        <v>109.83724114420504</v>
      </c>
      <c r="G23" s="62">
        <f>IF(G3=0,0,G3/TrNavi_act!G3*1000)</f>
        <v>150.66489510682328</v>
      </c>
      <c r="H23" s="62">
        <f>IF(H3=0,0,H3/TrNavi_act!H3*1000)</f>
        <v>150.94443792871292</v>
      </c>
      <c r="I23" s="62">
        <f>IF(I3=0,0,I3/TrNavi_act!I3*1000)</f>
        <v>158.4470800335931</v>
      </c>
      <c r="J23" s="62">
        <f>IF(J3=0,0,J3/TrNavi_act!J3*1000)</f>
        <v>45.871272311916513</v>
      </c>
      <c r="K23" s="62">
        <f>IF(K3=0,0,K3/TrNavi_act!K3*1000)</f>
        <v>59.30729772985201</v>
      </c>
      <c r="L23" s="62">
        <f>IF(L3=0,0,L3/TrNavi_act!L3*1000)</f>
        <v>37.330692700283862</v>
      </c>
      <c r="M23" s="62">
        <f>IF(M3=0,0,M3/TrNavi_act!M3*1000)</f>
        <v>50.238288489546662</v>
      </c>
      <c r="N23" s="62">
        <f>IF(N3=0,0,N3/TrNavi_act!N3*1000)</f>
        <v>43.272061641006665</v>
      </c>
      <c r="O23" s="62">
        <f>IF(O3=0,0,O3/TrNavi_act!O3*1000)</f>
        <v>47.725032649148957</v>
      </c>
      <c r="P23" s="62">
        <f>IF(P3=0,0,P3/TrNavi_act!P3*1000)</f>
        <v>56.441490874166561</v>
      </c>
      <c r="Q23" s="62">
        <f>IF(Q3=0,0,Q3/TrNavi_act!Q3*1000)</f>
        <v>43.736489985186388</v>
      </c>
      <c r="R23" s="62">
        <f>IF(R3=0,0,R3/TrNavi_act!R3*1000)</f>
        <v>49.130477522510979</v>
      </c>
      <c r="S23" s="62">
        <f>IF(S3=0,0,S3/TrNavi_act!S3*1000)</f>
        <v>52.961317128337214</v>
      </c>
      <c r="T23" s="62">
        <f>IF(T3=0,0,T3/TrNavi_act!T3*1000)</f>
        <v>67.179558591588574</v>
      </c>
      <c r="U23" s="62">
        <f>IF(U3=0,0,U3/TrNavi_act!U3*1000)</f>
        <v>57.641543453942823</v>
      </c>
      <c r="V23" s="62">
        <f>IF(V3=0,0,V3/TrNavi_act!V3*1000)</f>
        <v>43.801892155446637</v>
      </c>
      <c r="W23" s="62">
        <f>IF(W3=0,0,W3/TrNavi_act!W3*1000)</f>
        <v>54.539216541296149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221.28513069472842</v>
      </c>
      <c r="C24" s="63">
        <f>IF(C4=0,0,C4/TrNavi_act!C4*1000)</f>
        <v>212.18740446321348</v>
      </c>
      <c r="D24" s="63">
        <f>IF(D4=0,0,D4/TrNavi_act!D4*1000)</f>
        <v>221.14501724417738</v>
      </c>
      <c r="E24" s="63">
        <f>IF(E4=0,0,E4/TrNavi_act!E4*1000)</f>
        <v>218.53231839224637</v>
      </c>
      <c r="F24" s="63">
        <f>IF(F4=0,0,F4/TrNavi_act!F4*1000)</f>
        <v>151.09070000181805</v>
      </c>
      <c r="G24" s="63">
        <f>IF(G4=0,0,G4/TrNavi_act!G4*1000)</f>
        <v>212.34851215087085</v>
      </c>
      <c r="H24" s="63">
        <f>IF(H4=0,0,H4/TrNavi_act!H4*1000)</f>
        <v>172.89726729050921</v>
      </c>
      <c r="I24" s="63">
        <f>IF(I4=0,0,I4/TrNavi_act!I4*1000)</f>
        <v>178.0566664961095</v>
      </c>
      <c r="J24" s="63">
        <f>IF(J4=0,0,J4/TrNavi_act!J4*1000)</f>
        <v>65.027825958564833</v>
      </c>
      <c r="K24" s="63">
        <f>IF(K4=0,0,K4/TrNavi_act!K4*1000)</f>
        <v>86.482522795980941</v>
      </c>
      <c r="L24" s="63">
        <f>IF(L4=0,0,L4/TrNavi_act!L4*1000)</f>
        <v>68.54206801109062</v>
      </c>
      <c r="M24" s="63">
        <f>IF(M4=0,0,M4/TrNavi_act!M4*1000)</f>
        <v>77.276169856625842</v>
      </c>
      <c r="N24" s="63">
        <f>IF(N4=0,0,N4/TrNavi_act!N4*1000)</f>
        <v>60.329094781525932</v>
      </c>
      <c r="O24" s="63">
        <f>IF(O4=0,0,O4/TrNavi_act!O4*1000)</f>
        <v>61.90771875678255</v>
      </c>
      <c r="P24" s="63">
        <f>IF(P4=0,0,P4/TrNavi_act!P4*1000)</f>
        <v>69.644547675812319</v>
      </c>
      <c r="Q24" s="63">
        <f>IF(Q4=0,0,Q4/TrNavi_act!Q4*1000)</f>
        <v>61.334424129488724</v>
      </c>
      <c r="R24" s="63">
        <f>IF(R4=0,0,R4/TrNavi_act!R4*1000)</f>
        <v>68.159455801145896</v>
      </c>
      <c r="S24" s="63">
        <f>IF(S4=0,0,S4/TrNavi_act!S4*1000)</f>
        <v>76.391465322963811</v>
      </c>
      <c r="T24" s="63">
        <f>IF(T4=0,0,T4/TrNavi_act!T4*1000)</f>
        <v>83.607767741060144</v>
      </c>
      <c r="U24" s="63">
        <f>IF(U4=0,0,U4/TrNavi_act!U4*1000)</f>
        <v>78.491611708545122</v>
      </c>
      <c r="V24" s="63">
        <f>IF(V4=0,0,V4/TrNavi_act!V4*1000)</f>
        <v>56.91995635662856</v>
      </c>
      <c r="W24" s="63">
        <f>IF(W4=0,0,W4/TrNavi_act!W4*1000)</f>
        <v>66.150752148530188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145.3105796853452</v>
      </c>
      <c r="C25" s="64">
        <f>IF(C10=0,0,C10/TrNavi_act!C5*1000)</f>
        <v>132.56712507838623</v>
      </c>
      <c r="D25" s="64">
        <f>IF(D10=0,0,D10/TrNavi_act!D5*1000)</f>
        <v>136.18082740798101</v>
      </c>
      <c r="E25" s="64">
        <f>IF(E10=0,0,E10/TrNavi_act!E5*1000)</f>
        <v>129.75553545542289</v>
      </c>
      <c r="F25" s="64">
        <f>IF(F10=0,0,F10/TrNavi_act!F5*1000)</f>
        <v>88.913403704487806</v>
      </c>
      <c r="G25" s="64">
        <f>IF(G10=0,0,G10/TrNavi_act!G5*1000)</f>
        <v>99.66252969206414</v>
      </c>
      <c r="H25" s="64">
        <f>IF(H10=0,0,H10/TrNavi_act!H5*1000)</f>
        <v>130.83609886896451</v>
      </c>
      <c r="I25" s="64">
        <f>IF(I10=0,0,I10/TrNavi_act!I5*1000)</f>
        <v>138.67593936333969</v>
      </c>
      <c r="J25" s="64">
        <f>IF(J10=0,0,J10/TrNavi_act!J5*1000)</f>
        <v>43.680668074544144</v>
      </c>
      <c r="K25" s="64">
        <f>IF(K10=0,0,K10/TrNavi_act!K5*1000)</f>
        <v>56.66348848848039</v>
      </c>
      <c r="L25" s="64">
        <f>IF(L10=0,0,L10/TrNavi_act!L5*1000)</f>
        <v>35.068963708745329</v>
      </c>
      <c r="M25" s="64">
        <f>IF(M10=0,0,M10/TrNavi_act!M5*1000)</f>
        <v>47.689733738202044</v>
      </c>
      <c r="N25" s="64">
        <f>IF(N10=0,0,N10/TrNavi_act!N5*1000)</f>
        <v>41.894728309512246</v>
      </c>
      <c r="O25" s="64">
        <f>IF(O10=0,0,O10/TrNavi_act!O5*1000)</f>
        <v>46.573199869232511</v>
      </c>
      <c r="P25" s="64">
        <f>IF(P10=0,0,P10/TrNavi_act!P5*1000)</f>
        <v>55.313477758705289</v>
      </c>
      <c r="Q25" s="64">
        <f>IF(Q10=0,0,Q10/TrNavi_act!Q5*1000)</f>
        <v>42.189233167884609</v>
      </c>
      <c r="R25" s="64">
        <f>IF(R10=0,0,R10/TrNavi_act!R5*1000)</f>
        <v>48.309727643598272</v>
      </c>
      <c r="S25" s="64">
        <f>IF(S10=0,0,S10/TrNavi_act!S5*1000)</f>
        <v>51.800444066310455</v>
      </c>
      <c r="T25" s="64">
        <f>IF(T10=0,0,T10/TrNavi_act!T5*1000)</f>
        <v>66.241236468707626</v>
      </c>
      <c r="U25" s="64">
        <f>IF(U10=0,0,U10/TrNavi_act!U5*1000)</f>
        <v>56.793882056291345</v>
      </c>
      <c r="V25" s="64">
        <f>IF(V10=0,0,V10/TrNavi_act!V5*1000)</f>
        <v>43.319225839738699</v>
      </c>
      <c r="W25" s="64">
        <f>IF(W10=0,0,W10/TrNavi_act!W5*1000)</f>
        <v>54.039064487346039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0.68096604958423657</v>
      </c>
      <c r="C28" s="77">
        <f t="shared" si="8"/>
        <v>0.65082835687040552</v>
      </c>
      <c r="D28" s="77">
        <f t="shared" si="8"/>
        <v>0.65395413851140916</v>
      </c>
      <c r="E28" s="77">
        <f t="shared" si="8"/>
        <v>0.64256181618850627</v>
      </c>
      <c r="F28" s="77">
        <f t="shared" si="8"/>
        <v>0.46291112833090658</v>
      </c>
      <c r="G28" s="77">
        <f t="shared" si="8"/>
        <v>0.63790729965494364</v>
      </c>
      <c r="H28" s="77">
        <f t="shared" si="8"/>
        <v>0.54760307887940707</v>
      </c>
      <c r="I28" s="77">
        <f t="shared" si="8"/>
        <v>0.5641855952998106</v>
      </c>
      <c r="J28" s="77">
        <f t="shared" si="8"/>
        <v>0.1454729714314385</v>
      </c>
      <c r="K28" s="77">
        <f t="shared" si="8"/>
        <v>0.12928756478226017</v>
      </c>
      <c r="L28" s="77">
        <f t="shared" si="8"/>
        <v>0.12406112900579028</v>
      </c>
      <c r="M28" s="77">
        <f t="shared" si="8"/>
        <v>0.13249883701296827</v>
      </c>
      <c r="N28" s="77">
        <f t="shared" si="8"/>
        <v>0.10416697739139283</v>
      </c>
      <c r="O28" s="77">
        <f t="shared" si="8"/>
        <v>9.7435640850839722E-2</v>
      </c>
      <c r="P28" s="77">
        <f t="shared" si="8"/>
        <v>9.7123467598633981E-2</v>
      </c>
      <c r="Q28" s="77">
        <f t="shared" si="8"/>
        <v>0.11333474401358545</v>
      </c>
      <c r="R28" s="77">
        <f t="shared" si="8"/>
        <v>5.7362938800119348E-2</v>
      </c>
      <c r="S28" s="77">
        <f t="shared" si="8"/>
        <v>6.8091708561489744E-2</v>
      </c>
      <c r="T28" s="77">
        <f t="shared" si="8"/>
        <v>6.7243197335483673E-2</v>
      </c>
      <c r="U28" s="77">
        <f t="shared" si="8"/>
        <v>5.3198055434007747E-2</v>
      </c>
      <c r="V28" s="77">
        <f t="shared" ref="V28:W28" si="9">IF(V4=0,0,V4/V$3)</f>
        <v>4.6116510974207173E-2</v>
      </c>
      <c r="W28" s="77">
        <f t="shared" si="9"/>
        <v>5.0086799966628001E-2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0.31903395041576349</v>
      </c>
      <c r="C29" s="78">
        <f t="shared" si="10"/>
        <v>0.34917164312959437</v>
      </c>
      <c r="D29" s="78">
        <f t="shared" si="10"/>
        <v>0.3460458614885909</v>
      </c>
      <c r="E29" s="78">
        <f t="shared" si="10"/>
        <v>0.35743818381149361</v>
      </c>
      <c r="F29" s="78">
        <f t="shared" si="10"/>
        <v>0.53708887166909347</v>
      </c>
      <c r="G29" s="78">
        <f t="shared" si="10"/>
        <v>0.36209270034505631</v>
      </c>
      <c r="H29" s="78">
        <f t="shared" si="10"/>
        <v>0.45239692112059299</v>
      </c>
      <c r="I29" s="78">
        <f t="shared" si="10"/>
        <v>0.43581440470018945</v>
      </c>
      <c r="J29" s="78">
        <f t="shared" si="10"/>
        <v>0.85452702856856144</v>
      </c>
      <c r="K29" s="78">
        <f t="shared" si="10"/>
        <v>0.87071243521773989</v>
      </c>
      <c r="L29" s="78">
        <f t="shared" si="10"/>
        <v>0.87593887099420975</v>
      </c>
      <c r="M29" s="78">
        <f t="shared" si="10"/>
        <v>0.86750116298703184</v>
      </c>
      <c r="N29" s="78">
        <f t="shared" si="10"/>
        <v>0.8958330226086072</v>
      </c>
      <c r="O29" s="78">
        <f t="shared" si="10"/>
        <v>0.90256435914916033</v>
      </c>
      <c r="P29" s="78">
        <f t="shared" si="10"/>
        <v>0.90287653240136612</v>
      </c>
      <c r="Q29" s="78">
        <f t="shared" si="10"/>
        <v>0.88666525598641444</v>
      </c>
      <c r="R29" s="78">
        <f t="shared" si="10"/>
        <v>0.94263706119988067</v>
      </c>
      <c r="S29" s="78">
        <f t="shared" si="10"/>
        <v>0.93190829143851028</v>
      </c>
      <c r="T29" s="78">
        <f t="shared" si="10"/>
        <v>0.93275680266451622</v>
      </c>
      <c r="U29" s="78">
        <f t="shared" si="10"/>
        <v>0.9468019445659922</v>
      </c>
      <c r="V29" s="78">
        <f t="shared" ref="V29:W29" si="11">IF(V10=0,0,V10/V$3)</f>
        <v>0.95388348902579279</v>
      </c>
      <c r="W29" s="78">
        <f t="shared" si="11"/>
        <v>0.9499132000333721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89.752828680000007</v>
      </c>
      <c r="C3" s="54">
        <f t="shared" ref="C3:V3" si="1">SUM(C4:C5)</f>
        <v>91.666029240000029</v>
      </c>
      <c r="D3" s="54">
        <f t="shared" si="1"/>
        <v>110.50358148000001</v>
      </c>
      <c r="E3" s="54">
        <f t="shared" si="1"/>
        <v>113.66842212</v>
      </c>
      <c r="F3" s="54">
        <f t="shared" si="1"/>
        <v>91.77957828000001</v>
      </c>
      <c r="G3" s="54">
        <f t="shared" si="1"/>
        <v>101.27383343999998</v>
      </c>
      <c r="H3" s="54">
        <f t="shared" si="1"/>
        <v>104.43867408</v>
      </c>
      <c r="I3" s="54">
        <f t="shared" si="1"/>
        <v>107.60351472000001</v>
      </c>
      <c r="J3" s="54">
        <f t="shared" si="1"/>
        <v>133.79575355999998</v>
      </c>
      <c r="K3" s="54">
        <f t="shared" si="1"/>
        <v>146.83215060000003</v>
      </c>
      <c r="L3" s="54">
        <f t="shared" si="1"/>
        <v>117.02215152000001</v>
      </c>
      <c r="M3" s="54">
        <f t="shared" si="1"/>
        <v>118.28819448000002</v>
      </c>
      <c r="N3" s="54">
        <f t="shared" si="1"/>
        <v>112.27489055999999</v>
      </c>
      <c r="O3" s="54">
        <f t="shared" si="1"/>
        <v>123.42771791999999</v>
      </c>
      <c r="P3" s="54">
        <f t="shared" si="1"/>
        <v>136.08681372000001</v>
      </c>
      <c r="Q3" s="54">
        <f t="shared" si="1"/>
        <v>129.75713243999999</v>
      </c>
      <c r="R3" s="54">
        <f t="shared" si="1"/>
        <v>132.92197307999999</v>
      </c>
      <c r="S3" s="54">
        <f t="shared" si="1"/>
        <v>140.20105320000008</v>
      </c>
      <c r="T3" s="54">
        <f t="shared" si="1"/>
        <v>149.37919776000001</v>
      </c>
      <c r="U3" s="54">
        <f t="shared" si="1"/>
        <v>155.39223491999999</v>
      </c>
      <c r="V3" s="54">
        <f t="shared" si="1"/>
        <v>127.22531328000004</v>
      </c>
      <c r="W3" s="54">
        <f t="shared" ref="W3" si="2">SUM(W4:W5)</f>
        <v>148.42953216000004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61.118629185230375</v>
      </c>
      <c r="C4" s="56">
        <v>59.658851191103771</v>
      </c>
      <c r="D4" s="56">
        <v>72.264274429178712</v>
      </c>
      <c r="E4" s="56">
        <v>73.038987760708991</v>
      </c>
      <c r="F4" s="56">
        <v>42.485788139329571</v>
      </c>
      <c r="G4" s="56">
        <v>64.603317615414923</v>
      </c>
      <c r="H4" s="56">
        <v>57.190939480290922</v>
      </c>
      <c r="I4" s="56">
        <v>60.708353008655131</v>
      </c>
      <c r="J4" s="56">
        <v>19.46366583528167</v>
      </c>
      <c r="K4" s="56">
        <v>18.983571182816082</v>
      </c>
      <c r="L4" s="56">
        <v>14.517900236257857</v>
      </c>
      <c r="M4" s="56">
        <v>15.673048200963816</v>
      </c>
      <c r="N4" s="56">
        <v>11.695335986584622</v>
      </c>
      <c r="O4" s="56">
        <v>12.026258794291872</v>
      </c>
      <c r="P4" s="56">
        <v>13.217223242935759</v>
      </c>
      <c r="Q4" s="56">
        <v>14.705991389024305</v>
      </c>
      <c r="R4" s="56">
        <v>7.6247950069791504</v>
      </c>
      <c r="S4" s="56">
        <v>9.5465292545083216</v>
      </c>
      <c r="T4" s="56">
        <v>10.044734872791922</v>
      </c>
      <c r="U4" s="56">
        <v>8.2665647272885145</v>
      </c>
      <c r="V4" s="56">
        <v>5.8671875560740681</v>
      </c>
      <c r="W4" s="56">
        <v>7.434360286438098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28.634199494769636</v>
      </c>
      <c r="C5" s="58">
        <v>32.00717804889625</v>
      </c>
      <c r="D5" s="58">
        <v>38.239307050821303</v>
      </c>
      <c r="E5" s="58">
        <v>40.629434359291018</v>
      </c>
      <c r="F5" s="58">
        <v>49.293790140670438</v>
      </c>
      <c r="G5" s="58">
        <v>36.670515824585053</v>
      </c>
      <c r="H5" s="58">
        <v>47.247734599709069</v>
      </c>
      <c r="I5" s="58">
        <v>46.895161711344876</v>
      </c>
      <c r="J5" s="58">
        <v>114.33208772471831</v>
      </c>
      <c r="K5" s="58">
        <v>127.84857941718394</v>
      </c>
      <c r="L5" s="58">
        <v>102.50425128374215</v>
      </c>
      <c r="M5" s="58">
        <v>102.6151462790362</v>
      </c>
      <c r="N5" s="58">
        <v>100.57955457341536</v>
      </c>
      <c r="O5" s="58">
        <v>111.40145912570812</v>
      </c>
      <c r="P5" s="58">
        <v>122.86959047706426</v>
      </c>
      <c r="Q5" s="58">
        <v>115.05114105097569</v>
      </c>
      <c r="R5" s="58">
        <v>125.29717807302085</v>
      </c>
      <c r="S5" s="58">
        <v>130.65452394549175</v>
      </c>
      <c r="T5" s="58">
        <v>139.33446288720808</v>
      </c>
      <c r="U5" s="58">
        <v>147.12567019271148</v>
      </c>
      <c r="V5" s="58">
        <v>121.35812572392597</v>
      </c>
      <c r="W5" s="58">
        <v>140.99517187356193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3.101472547223362</v>
      </c>
      <c r="C9" s="79">
        <f>IF(C3=0,0,C3/TrNavi_ene!C3)</f>
        <v>3.1160148250397519</v>
      </c>
      <c r="D9" s="79">
        <f>IF(D3=0,0,D3/TrNavi_ene!D3)</f>
        <v>3.1288430841821571</v>
      </c>
      <c r="E9" s="79">
        <f>IF(E3=0,0,E3/TrNavi_ene!E3)</f>
        <v>3.1281012691532841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3.1024188000000006</v>
      </c>
      <c r="I9" s="79">
        <f>IF(I3=0,0,I3/TrNavi_ene!I3)</f>
        <v>3.1024188000000006</v>
      </c>
      <c r="J9" s="79">
        <f>IF(J3=0,0,J3/TrNavi_ene!J3)</f>
        <v>3.1086137975799053</v>
      </c>
      <c r="K9" s="79">
        <f>IF(K3=0,0,K3/TrNavi_ene!K3)</f>
        <v>3.103546005434112</v>
      </c>
      <c r="L9" s="79">
        <f>IF(L3=0,0,L3/TrNavi_ene!L3)</f>
        <v>3.1095037977006039</v>
      </c>
      <c r="M9" s="79">
        <f>IF(M3=0,0,M3/TrNavi_ene!M3)</f>
        <v>3.1094277953881555</v>
      </c>
      <c r="N9" s="79">
        <f>IF(N3=0,0,N3/TrNavi_ene!N3)</f>
        <v>3.1098040821102972</v>
      </c>
      <c r="O9" s="79">
        <f>IF(O3=0,0,O3/TrNavi_ene!O3)</f>
        <v>3.1024188000000006</v>
      </c>
      <c r="P9" s="79">
        <f>IF(P3=0,0,P3/TrNavi_ene!P3)</f>
        <v>3.1024188000000006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3.101472547223362</v>
      </c>
      <c r="C10" s="80">
        <f>IF(C4=0,0,C4/TrNavi_ene!C4)</f>
        <v>3.1160148250397524</v>
      </c>
      <c r="D10" s="80">
        <f>IF(D4=0,0,D4/TrNavi_ene!D4)</f>
        <v>3.1288430841821571</v>
      </c>
      <c r="E10" s="80">
        <f>IF(E4=0,0,E4/TrNavi_ene!E4)</f>
        <v>3.1281012691532841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3.1086137975799062</v>
      </c>
      <c r="K10" s="80">
        <f>IF(K4=0,0,K4/TrNavi_ene!K4)</f>
        <v>3.1035460054341115</v>
      </c>
      <c r="L10" s="80">
        <f>IF(L4=0,0,L4/TrNavi_ene!L4)</f>
        <v>3.1095037977006035</v>
      </c>
      <c r="M10" s="80">
        <f>IF(M4=0,0,M4/TrNavi_ene!M4)</f>
        <v>3.1094277953881555</v>
      </c>
      <c r="N10" s="80">
        <f>IF(N4=0,0,N4/TrNavi_ene!N4)</f>
        <v>3.1098040821102972</v>
      </c>
      <c r="O10" s="80">
        <f>IF(O4=0,0,O4/TrNavi_ene!O4)</f>
        <v>3.1024188000000001</v>
      </c>
      <c r="P10" s="80">
        <f>IF(P4=0,0,P4/TrNavi_ene!P4)</f>
        <v>3.1024188000000006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3.1024188000000006</v>
      </c>
      <c r="T10" s="80">
        <f>IF(T4=0,0,T4/TrNavi_ene!T4)</f>
        <v>3.1024188000000006</v>
      </c>
      <c r="U10" s="80">
        <f>IF(U4=0,0,U4/TrNavi_ene!U4)</f>
        <v>3.1024188000000001</v>
      </c>
      <c r="V10" s="80">
        <f>IF(V4=0,0,V4/TrNavi_ene!V4)</f>
        <v>3.1024188000000006</v>
      </c>
      <c r="W10" s="80">
        <f>IF(W4=0,0,W4/TrNavi_ene!W4)</f>
        <v>3.1024188000000006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3.101472547223362</v>
      </c>
      <c r="C11" s="81">
        <f>IF(C5=0,0,C5/TrNavi_ene!C10)</f>
        <v>3.1160148250397515</v>
      </c>
      <c r="D11" s="81">
        <f>IF(D5=0,0,D5/TrNavi_ene!D10)</f>
        <v>3.1288430841821571</v>
      </c>
      <c r="E11" s="81">
        <f>IF(E5=0,0,E5/TrNavi_ene!E10)</f>
        <v>3.1281012691532846</v>
      </c>
      <c r="F11" s="81">
        <f>IF(F5=0,0,F5/TrNavi_ene!F10)</f>
        <v>3.1024188000000001</v>
      </c>
      <c r="G11" s="81">
        <f>IF(G5=0,0,G5/TrNavi_ene!G10)</f>
        <v>3.1024187999999997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3.1086137975799053</v>
      </c>
      <c r="K11" s="81">
        <f>IF(K5=0,0,K5/TrNavi_ene!K10)</f>
        <v>3.1035460054341115</v>
      </c>
      <c r="L11" s="81">
        <f>IF(L5=0,0,L5/TrNavi_ene!L10)</f>
        <v>3.1095037977006035</v>
      </c>
      <c r="M11" s="81">
        <f>IF(M5=0,0,M5/TrNavi_ene!M10)</f>
        <v>3.1094277953881555</v>
      </c>
      <c r="N11" s="81">
        <f>IF(N5=0,0,N5/TrNavi_ene!N10)</f>
        <v>3.1098040821102972</v>
      </c>
      <c r="O11" s="81">
        <f>IF(O5=0,0,O5/TrNavi_ene!O10)</f>
        <v>3.1024188000000001</v>
      </c>
      <c r="P11" s="81">
        <f>IF(P5=0,0,P5/TrNavi_ene!P10)</f>
        <v>3.1024188000000006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3.1024188000000006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190154.29805084749</v>
      </c>
      <c r="C13" s="54">
        <f>IF(C3=0,0,C3/TrNavi_act!C7*1000)</f>
        <v>174935.17030534355</v>
      </c>
      <c r="D13" s="54">
        <f>IF(D3=0,0,D3/TrNavi_act!D7*1000)</f>
        <v>182048.73390444811</v>
      </c>
      <c r="E13" s="54">
        <f>IF(E3=0,0,E3/TrNavi_act!E7*1000)</f>
        <v>180712.91275039746</v>
      </c>
      <c r="F13" s="54">
        <f>IF(F3=0,0,F3/TrNavi_act!F7*1000)</f>
        <v>89979.978705882357</v>
      </c>
      <c r="G13" s="54">
        <f>IF(G3=0,0,G3/TrNavi_act!G7*1000)</f>
        <v>175214.24470588233</v>
      </c>
      <c r="H13" s="54">
        <f>IF(H3=0,0,H3/TrNavi_act!H7*1000)</f>
        <v>115401.8498121547</v>
      </c>
      <c r="I13" s="54">
        <f>IF(I3=0,0,I3/TrNavi_act!I7*1000)</f>
        <v>124685.41682502898</v>
      </c>
      <c r="J13" s="54">
        <f>IF(J3=0,0,J3/TrNavi_act!J7*1000)</f>
        <v>25268.319841359771</v>
      </c>
      <c r="K13" s="54">
        <f>IF(K3=0,0,K3/TrNavi_act!K7*1000)</f>
        <v>34386.920515222489</v>
      </c>
      <c r="L13" s="54">
        <f>IF(L3=0,0,L3/TrNavi_act!L7*1000)</f>
        <v>27554.073821521077</v>
      </c>
      <c r="M13" s="54">
        <f>IF(M3=0,0,M3/TrNavi_act!M7*1000)</f>
        <v>28434.662134615395</v>
      </c>
      <c r="N13" s="54">
        <f>IF(N3=0,0,N3/TrNavi_act!N7*1000)</f>
        <v>22144.948828402365</v>
      </c>
      <c r="O13" s="54">
        <f>IF(O3=0,0,O3/TrNavi_act!O7*1000)</f>
        <v>23135.467276476098</v>
      </c>
      <c r="P13" s="54">
        <f>IF(P3=0,0,P3/TrNavi_act!P7*1000)</f>
        <v>25575.420732944938</v>
      </c>
      <c r="Q13" s="54">
        <f>IF(Q3=0,0,Q3/TrNavi_act!Q7*1000)</f>
        <v>26567.799434889432</v>
      </c>
      <c r="R13" s="54">
        <f>IF(R3=0,0,R3/TrNavi_act!R7*1000)</f>
        <v>27778.886746081502</v>
      </c>
      <c r="S13" s="54">
        <f>IF(S3=0,0,S3/TrNavi_act!S7*1000)</f>
        <v>28973.145939243659</v>
      </c>
      <c r="T13" s="54">
        <f>IF(T3=0,0,T3/TrNavi_act!T7*1000)</f>
        <v>32968.262582211428</v>
      </c>
      <c r="U13" s="54">
        <f>IF(U3=0,0,U3/TrNavi_act!U7*1000)</f>
        <v>30231.952319066149</v>
      </c>
      <c r="V13" s="54">
        <f>IF(V3=0,0,V3/TrNavi_act!V7*1000)</f>
        <v>26183.435538176589</v>
      </c>
      <c r="W13" s="54">
        <f>IF(W3=0,0,W3/TrNavi_act!W7*1000)</f>
        <v>29432.784485425349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773653.53399025789</v>
      </c>
      <c r="C14" s="56">
        <f>IF(C4=0,0,C4/TrNavi_act!C8*1000)</f>
        <v>755175.33153295913</v>
      </c>
      <c r="D14" s="56">
        <f>IF(D4=0,0,D4/TrNavi_act!D8*1000)</f>
        <v>821184.93669521273</v>
      </c>
      <c r="E14" s="56">
        <f>IF(E4=0,0,E4/TrNavi_act!E8*1000)</f>
        <v>811544.30845232215</v>
      </c>
      <c r="F14" s="56">
        <f>IF(F4=0,0,F4/TrNavi_act!F8*1000)</f>
        <v>559023.52814907325</v>
      </c>
      <c r="G14" s="56">
        <f>IF(G4=0,0,G4/TrNavi_act!G8*1000)</f>
        <v>787845.3367733527</v>
      </c>
      <c r="H14" s="56">
        <f>IF(H4=0,0,H4/TrNavi_act!H8*1000)</f>
        <v>665010.92418942938</v>
      </c>
      <c r="I14" s="56">
        <f>IF(I4=0,0,I4/TrNavi_act!I8*1000)</f>
        <v>697797.16101902456</v>
      </c>
      <c r="J14" s="56">
        <f>IF(J4=0,0,J4/TrNavi_act!J8*1000)</f>
        <v>263022.51128759014</v>
      </c>
      <c r="K14" s="56">
        <f>IF(K4=0,0,K4/TrNavi_act!K8*1000)</f>
        <v>345155.83968756511</v>
      </c>
      <c r="L14" s="56">
        <f>IF(L4=0,0,L4/TrNavi_act!L8*1000)</f>
        <v>279190.38915880496</v>
      </c>
      <c r="M14" s="56">
        <f>IF(M4=0,0,M4/TrNavi_act!M8*1000)</f>
        <v>301404.77309545805</v>
      </c>
      <c r="N14" s="56">
        <f>IF(N4=0,0,N4/TrNavi_act!N8*1000)</f>
        <v>238680.32625682899</v>
      </c>
      <c r="O14" s="56">
        <f>IF(O4=0,0,O4/TrNavi_act!O8*1000)</f>
        <v>245433.85294473206</v>
      </c>
      <c r="P14" s="56">
        <f>IF(P4=0,0,P4/TrNavi_act!P8*1000)</f>
        <v>281217.51580714382</v>
      </c>
      <c r="Q14" s="56">
        <f>IF(Q4=0,0,Q4/TrNavi_act!Q8*1000)</f>
        <v>272333.17387082049</v>
      </c>
      <c r="R14" s="56">
        <f>IF(R4=0,0,R4/TrNavi_act!R8*1000)</f>
        <v>317699.79195746459</v>
      </c>
      <c r="S14" s="56">
        <f>IF(S4=0,0,S4/TrNavi_act!S8*1000)</f>
        <v>353575.15757438226</v>
      </c>
      <c r="T14" s="56">
        <f>IF(T4=0,0,T4/TrNavi_act!T8*1000)</f>
        <v>401789.39491167688</v>
      </c>
      <c r="U14" s="56">
        <f>IF(U4=0,0,U4/TrNavi_act!U8*1000)</f>
        <v>359415.85770819633</v>
      </c>
      <c r="V14" s="56">
        <f>IF(V4=0,0,V4/TrNavi_act!V8*1000)</f>
        <v>293359.37780370342</v>
      </c>
      <c r="W14" s="56">
        <f>IF(W4=0,0,W4/TrNavi_act!W8*1000)</f>
        <v>337925.46756536816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72860.558510864212</v>
      </c>
      <c r="C15" s="58">
        <f>IF(C5=0,0,C5/TrNavi_act!C9*1000)</f>
        <v>71926.242806508424</v>
      </c>
      <c r="D15" s="58">
        <f>IF(D5=0,0,D5/TrNavi_act!D9*1000)</f>
        <v>73678.818980387863</v>
      </c>
      <c r="E15" s="58">
        <f>IF(E5=0,0,E5/TrNavi_act!E9*1000)</f>
        <v>75379.284525586307</v>
      </c>
      <c r="F15" s="58">
        <f>IF(F5=0,0,F5/TrNavi_act!F9*1000)</f>
        <v>52217.998030371229</v>
      </c>
      <c r="G15" s="58">
        <f>IF(G5=0,0,G5/TrNavi_act!G9*1000)</f>
        <v>73932.49158182471</v>
      </c>
      <c r="H15" s="58">
        <f>IF(H5=0,0,H5/TrNavi_act!H9*1000)</f>
        <v>57689.541635786409</v>
      </c>
      <c r="I15" s="58">
        <f>IF(I5=0,0,I5/TrNavi_act!I9*1000)</f>
        <v>60431.909421836179</v>
      </c>
      <c r="J15" s="58">
        <f>IF(J5=0,0,J5/TrNavi_act!J9*1000)</f>
        <v>21898.503682190829</v>
      </c>
      <c r="K15" s="58">
        <f>IF(K5=0,0,K5/TrNavi_act!K9*1000)</f>
        <v>30331.810063388835</v>
      </c>
      <c r="L15" s="58">
        <f>IF(L5=0,0,L5/TrNavi_act!L9*1000)</f>
        <v>24434.863238079175</v>
      </c>
      <c r="M15" s="58">
        <f>IF(M5=0,0,M5/TrNavi_act!M9*1000)</f>
        <v>24979.344274351559</v>
      </c>
      <c r="N15" s="58">
        <f>IF(N5=0,0,N5/TrNavi_act!N9*1000)</f>
        <v>20031.777449395613</v>
      </c>
      <c r="O15" s="58">
        <f>IF(O5=0,0,O5/TrNavi_act!O9*1000)</f>
        <v>21074.812547428704</v>
      </c>
      <c r="P15" s="58">
        <f>IF(P5=0,0,P5/TrNavi_act!P9*1000)</f>
        <v>23297.22989705428</v>
      </c>
      <c r="Q15" s="58">
        <f>IF(Q5=0,0,Q5/TrNavi_act!Q9*1000)</f>
        <v>23820.112018835545</v>
      </c>
      <c r="R15" s="58">
        <f>IF(R5=0,0,R5/TrNavi_act!R9*1000)</f>
        <v>26317.407702797907</v>
      </c>
      <c r="S15" s="58">
        <f>IF(S5=0,0,S5/TrNavi_act!S9*1000)</f>
        <v>27151.812956253481</v>
      </c>
      <c r="T15" s="58">
        <f>IF(T5=0,0,T5/TrNavi_act!T9*1000)</f>
        <v>30921.984662052393</v>
      </c>
      <c r="U15" s="58">
        <f>IF(U5=0,0,U5/TrNavi_act!U9*1000)</f>
        <v>28752.329527596536</v>
      </c>
      <c r="V15" s="58">
        <f>IF(V5=0,0,V5/TrNavi_act!V9*1000)</f>
        <v>25079.174565804082</v>
      </c>
      <c r="W15" s="58">
        <f>IF(W5=0,0,W5/TrNavi_act!W9*1000)</f>
        <v>28081.093780832889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588.19600681564975</v>
      </c>
      <c r="C17" s="62">
        <f>IF(C3=0,0,C3/TrNavi_act!C3*1000)</f>
        <v>546.55832358465284</v>
      </c>
      <c r="D17" s="62">
        <f>IF(D3=0,0,D3/TrNavi_act!D3*1000)</f>
        <v>569.06635706340376</v>
      </c>
      <c r="E17" s="62">
        <f>IF(E3=0,0,E3/TrNavi_act!E3*1000)</f>
        <v>549.26609898234324</v>
      </c>
      <c r="F17" s="62">
        <f>IF(F3=0,0,F3/TrNavi_act!F3*1000)</f>
        <v>340.76112186591524</v>
      </c>
      <c r="G17" s="62">
        <f>IF(G3=0,0,G3/TrNavi_act!G3*1000)</f>
        <v>467.4256030794366</v>
      </c>
      <c r="H17" s="62">
        <f>IF(H3=0,0,H3/TrNavi_act!H3*1000)</f>
        <v>468.29286198547214</v>
      </c>
      <c r="I17" s="62">
        <f>IF(I3=0,0,I3/TrNavi_act!I3*1000)</f>
        <v>491.56919990132394</v>
      </c>
      <c r="J17" s="62">
        <f>IF(J3=0,0,J3/TrNavi_act!J3*1000)</f>
        <v>142.59607002136875</v>
      </c>
      <c r="K17" s="62">
        <f>IF(K3=0,0,K3/TrNavi_act!K3*1000)</f>
        <v>184.06292696257375</v>
      </c>
      <c r="L17" s="62">
        <f>IF(L3=0,0,L3/TrNavi_act!L3*1000)</f>
        <v>116.07993072232689</v>
      </c>
      <c r="M17" s="62">
        <f>IF(M3=0,0,M3/TrNavi_act!M3*1000)</f>
        <v>156.21233062212522</v>
      </c>
      <c r="N17" s="62">
        <f>IF(N3=0,0,N3/TrNavi_act!N3*1000)</f>
        <v>134.56763393253092</v>
      </c>
      <c r="O17" s="62">
        <f>IF(O3=0,0,O3/TrNavi_act!O3*1000)</f>
        <v>148.06303852133357</v>
      </c>
      <c r="P17" s="62">
        <f>IF(P3=0,0,P3/TrNavi_act!P3*1000)</f>
        <v>175.10514238804282</v>
      </c>
      <c r="Q17" s="62">
        <f>IF(Q3=0,0,Q3/TrNavi_act!Q3*1000)</f>
        <v>135.68890877605398</v>
      </c>
      <c r="R17" s="62">
        <f>IF(R3=0,0,R3/TrNavi_act!R3*1000)</f>
        <v>152.42331711881548</v>
      </c>
      <c r="S17" s="62">
        <f>IF(S3=0,0,S3/TrNavi_act!S3*1000)</f>
        <v>164.30818593171546</v>
      </c>
      <c r="T17" s="62">
        <f>IF(T3=0,0,T3/TrNavi_act!T3*1000)</f>
        <v>208.41912555024592</v>
      </c>
      <c r="U17" s="62">
        <f>IF(U3=0,0,U3/TrNavi_act!U3*1000)</f>
        <v>178.82820807252918</v>
      </c>
      <c r="V17" s="62">
        <f>IF(V3=0,0,V3/TrNavi_act!V3*1000)</f>
        <v>135.89181369863019</v>
      </c>
      <c r="W17" s="62">
        <f>IF(W3=0,0,W3/TrNavi_act!W3*1000)</f>
        <v>169.20349073498821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686.30975795843392</v>
      </c>
      <c r="C18" s="63">
        <f>IF(C4=0,0,C4/TrNavi_act!C4*1000)</f>
        <v>661.17909799407937</v>
      </c>
      <c r="D18" s="63">
        <f>IF(D4=0,0,D4/TrNavi_act!D4*1000)</f>
        <v>691.92805780578828</v>
      </c>
      <c r="E18" s="63">
        <f>IF(E4=0,0,E4/TrNavi_act!E4*1000)</f>
        <v>683.5912225137954</v>
      </c>
      <c r="F18" s="63">
        <f>IF(F4=0,0,F4/TrNavi_act!F4*1000)</f>
        <v>468.74662819080038</v>
      </c>
      <c r="G18" s="63">
        <f>IF(G4=0,0,G4/TrNavi_act!G4*1000)</f>
        <v>658.79401624889022</v>
      </c>
      <c r="H18" s="63">
        <f>IF(H4=0,0,H4/TrNavi_act!H4*1000)</f>
        <v>536.3997325107008</v>
      </c>
      <c r="I18" s="63">
        <f>IF(I4=0,0,I4/TrNavi_act!I4*1000)</f>
        <v>552.40634960286013</v>
      </c>
      <c r="J18" s="63">
        <f>IF(J4=0,0,J4/TrNavi_act!J4*1000)</f>
        <v>202.14639700141944</v>
      </c>
      <c r="K18" s="63">
        <f>IF(K4=0,0,K4/TrNavi_act!K4*1000)</f>
        <v>268.4024881633311</v>
      </c>
      <c r="L18" s="63">
        <f>IF(L4=0,0,L4/TrNavi_act!L4*1000)</f>
        <v>213.13182078273934</v>
      </c>
      <c r="M18" s="63">
        <f>IF(M4=0,0,M4/TrNavi_act!M4*1000)</f>
        <v>240.28467047332876</v>
      </c>
      <c r="N18" s="63">
        <f>IF(N4=0,0,N4/TrNavi_act!N4*1000)</f>
        <v>187.61166522160835</v>
      </c>
      <c r="O18" s="63">
        <f>IF(O4=0,0,O4/TrNavi_act!O4*1000)</f>
        <v>192.06367053615483</v>
      </c>
      <c r="P18" s="63">
        <f>IF(P4=0,0,P4/TrNavi_act!P4*1000)</f>
        <v>216.0665540269365</v>
      </c>
      <c r="Q18" s="63">
        <f>IF(Q4=0,0,Q4/TrNavi_act!Q4*1000)</f>
        <v>190.28507050649947</v>
      </c>
      <c r="R18" s="63">
        <f>IF(R4=0,0,R4/TrNavi_act!R4*1000)</f>
        <v>211.45917707524407</v>
      </c>
      <c r="S18" s="63">
        <f>IF(S4=0,0,S4/TrNavi_act!S4*1000)</f>
        <v>236.99831817751101</v>
      </c>
      <c r="T18" s="63">
        <f>IF(T4=0,0,T4/TrNavi_act!T4*1000)</f>
        <v>259.38631046589853</v>
      </c>
      <c r="U18" s="63">
        <f>IF(U4=0,0,U4/TrNavi_act!U4*1000)</f>
        <v>243.51385180689056</v>
      </c>
      <c r="V18" s="63">
        <f>IF(V4=0,0,V4/TrNavi_act!V4*1000)</f>
        <v>176.58954269598399</v>
      </c>
      <c r="W18" s="63">
        <f>IF(W4=0,0,W4/TrNavi_act!W4*1000)</f>
        <v>205.22733709974045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450.67677371521086</v>
      </c>
      <c r="C19" s="64">
        <f>IF(C5=0,0,C5/TrNavi_act!C5*1000)</f>
        <v>413.08112705715058</v>
      </c>
      <c r="D19" s="64">
        <f>IF(D5=0,0,D5/TrNavi_act!D5*1000)</f>
        <v>426.08844003366539</v>
      </c>
      <c r="E19" s="64">
        <f>IF(E5=0,0,E5/TrNavi_act!E5*1000)</f>
        <v>405.88845513777244</v>
      </c>
      <c r="F19" s="64">
        <f>IF(F5=0,0,F5/TrNavi_act!F5*1000)</f>
        <v>275.84661522479263</v>
      </c>
      <c r="G19" s="64">
        <f>IF(G5=0,0,G5/TrNavi_act!G5*1000)</f>
        <v>309.19490577221796</v>
      </c>
      <c r="H19" s="64">
        <f>IF(H5=0,0,H5/TrNavi_act!H5*1000)</f>
        <v>405.90837284973423</v>
      </c>
      <c r="I19" s="64">
        <f>IF(I5=0,0,I5/TrNavi_act!I5*1000)</f>
        <v>430.23084138848509</v>
      </c>
      <c r="J19" s="64">
        <f>IF(J5=0,0,J5/TrNavi_act!J5*1000)</f>
        <v>135.78632746403599</v>
      </c>
      <c r="K19" s="64">
        <f>IF(K5=0,0,K5/TrNavi_act!K5*1000)</f>
        <v>175.85774335238509</v>
      </c>
      <c r="L19" s="64">
        <f>IF(L5=0,0,L5/TrNavi_act!L5*1000)</f>
        <v>109.04707583376825</v>
      </c>
      <c r="M19" s="64">
        <f>IF(M5=0,0,M5/TrNavi_act!M5*1000)</f>
        <v>148.28778364022571</v>
      </c>
      <c r="N19" s="64">
        <f>IF(N5=0,0,N5/TrNavi_act!N5*1000)</f>
        <v>130.28439711582303</v>
      </c>
      <c r="O19" s="64">
        <f>IF(O5=0,0,O5/TrNavi_act!O5*1000)</f>
        <v>144.48957085046447</v>
      </c>
      <c r="P19" s="64">
        <f>IF(P5=0,0,P5/TrNavi_act!P5*1000)</f>
        <v>171.6055732919892</v>
      </c>
      <c r="Q19" s="64">
        <f>IF(Q5=0,0,Q5/TrNavi_act!Q5*1000)</f>
        <v>130.88867013762876</v>
      </c>
      <c r="R19" s="64">
        <f>IF(R5=0,0,R5/TrNavi_act!R5*1000)</f>
        <v>149.87700726437899</v>
      </c>
      <c r="S19" s="64">
        <f>IF(S5=0,0,S5/TrNavi_act!S5*1000)</f>
        <v>160.70667151967004</v>
      </c>
      <c r="T19" s="64">
        <f>IF(T5=0,0,T5/TrNavi_act!T5*1000)</f>
        <v>205.50805735576412</v>
      </c>
      <c r="U19" s="64">
        <f>IF(U5=0,0,U5/TrNavi_act!U5*1000)</f>
        <v>176.19840741642093</v>
      </c>
      <c r="V19" s="64">
        <f>IF(V5=0,0,V5/TrNavi_act!V5*1000)</f>
        <v>134.39438064665114</v>
      </c>
      <c r="W19" s="64">
        <f>IF(W5=0,0,W5/TrNavi_act!W5*1000)</f>
        <v>167.65180959995473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0.68096604958423657</v>
      </c>
      <c r="C22" s="77">
        <f t="shared" si="5"/>
        <v>0.65082835687040563</v>
      </c>
      <c r="D22" s="77">
        <f t="shared" si="5"/>
        <v>0.65395413851140916</v>
      </c>
      <c r="E22" s="77">
        <f t="shared" si="5"/>
        <v>0.64256181618850639</v>
      </c>
      <c r="F22" s="77">
        <f t="shared" si="5"/>
        <v>0.46291112833090658</v>
      </c>
      <c r="G22" s="77">
        <f t="shared" si="5"/>
        <v>0.63790729965494375</v>
      </c>
      <c r="H22" s="77">
        <f t="shared" si="5"/>
        <v>0.54760307887940707</v>
      </c>
      <c r="I22" s="77">
        <f t="shared" si="5"/>
        <v>0.56418559529981049</v>
      </c>
      <c r="J22" s="77">
        <f t="shared" si="5"/>
        <v>0.14547297143143856</v>
      </c>
      <c r="K22" s="77">
        <f t="shared" si="5"/>
        <v>0.12928756478226014</v>
      </c>
      <c r="L22" s="77">
        <f t="shared" si="5"/>
        <v>0.12406112900579026</v>
      </c>
      <c r="M22" s="77">
        <f t="shared" si="5"/>
        <v>0.13249883701296827</v>
      </c>
      <c r="N22" s="77">
        <f t="shared" si="5"/>
        <v>0.10416697739139281</v>
      </c>
      <c r="O22" s="77">
        <f t="shared" si="5"/>
        <v>9.7435640850839708E-2</v>
      </c>
      <c r="P22" s="77">
        <f t="shared" si="5"/>
        <v>9.7123467598633981E-2</v>
      </c>
      <c r="Q22" s="77">
        <f t="shared" si="5"/>
        <v>0.11333474401358547</v>
      </c>
      <c r="R22" s="77">
        <f t="shared" si="5"/>
        <v>5.7362938800119348E-2</v>
      </c>
      <c r="S22" s="77">
        <f t="shared" si="5"/>
        <v>6.8091708561489731E-2</v>
      </c>
      <c r="T22" s="77">
        <f t="shared" si="5"/>
        <v>6.7243197335483673E-2</v>
      </c>
      <c r="U22" s="77">
        <f t="shared" si="5"/>
        <v>5.3198055434007747E-2</v>
      </c>
      <c r="V22" s="77">
        <f t="shared" ref="V22:W22" si="6">IF(V4=0,0,V4/V$3)</f>
        <v>4.611651097420718E-2</v>
      </c>
      <c r="W22" s="77">
        <f t="shared" si="6"/>
        <v>5.0086799966627987E-2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0.31903395041576349</v>
      </c>
      <c r="C23" s="78">
        <f t="shared" si="7"/>
        <v>0.34917164312959437</v>
      </c>
      <c r="D23" s="78">
        <f t="shared" si="7"/>
        <v>0.3460458614885909</v>
      </c>
      <c r="E23" s="78">
        <f t="shared" si="7"/>
        <v>0.35743818381149373</v>
      </c>
      <c r="F23" s="78">
        <f t="shared" si="7"/>
        <v>0.53708887166909336</v>
      </c>
      <c r="G23" s="78">
        <f t="shared" si="7"/>
        <v>0.36209270034505631</v>
      </c>
      <c r="H23" s="78">
        <f t="shared" si="7"/>
        <v>0.45239692112059288</v>
      </c>
      <c r="I23" s="78">
        <f t="shared" si="7"/>
        <v>0.43581440470018945</v>
      </c>
      <c r="J23" s="78">
        <f t="shared" si="7"/>
        <v>0.85452702856856144</v>
      </c>
      <c r="K23" s="78">
        <f t="shared" si="7"/>
        <v>0.87071243521773978</v>
      </c>
      <c r="L23" s="78">
        <f t="shared" si="7"/>
        <v>0.87593887099420975</v>
      </c>
      <c r="M23" s="78">
        <f t="shared" si="7"/>
        <v>0.86750116298703173</v>
      </c>
      <c r="N23" s="78">
        <f t="shared" si="7"/>
        <v>0.8958330226086072</v>
      </c>
      <c r="O23" s="78">
        <f t="shared" si="7"/>
        <v>0.90256435914916022</v>
      </c>
      <c r="P23" s="78">
        <f t="shared" si="7"/>
        <v>0.90287653240136612</v>
      </c>
      <c r="Q23" s="78">
        <f t="shared" si="7"/>
        <v>0.88666525598641455</v>
      </c>
      <c r="R23" s="78">
        <f t="shared" si="7"/>
        <v>0.94263706119988078</v>
      </c>
      <c r="S23" s="78">
        <f t="shared" si="7"/>
        <v>0.93190829143851017</v>
      </c>
      <c r="T23" s="78">
        <f t="shared" si="7"/>
        <v>0.93275680266451622</v>
      </c>
      <c r="U23" s="78">
        <f t="shared" si="7"/>
        <v>0.94680194456599232</v>
      </c>
      <c r="V23" s="78">
        <f t="shared" ref="V23:W23" si="8">IF(V5=0,0,V5/V$3)</f>
        <v>0.95388348902579279</v>
      </c>
      <c r="W23" s="78">
        <f t="shared" si="8"/>
        <v>0.94991320003337198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30443.353301999996</v>
      </c>
      <c r="C3" s="54">
        <f t="shared" si="0"/>
        <v>48086.130715999992</v>
      </c>
      <c r="D3" s="54">
        <f t="shared" si="0"/>
        <v>39555.051325</v>
      </c>
      <c r="E3" s="54">
        <f t="shared" si="0"/>
        <v>36201.768375</v>
      </c>
      <c r="F3" s="54">
        <f t="shared" si="0"/>
        <v>39289.136744000003</v>
      </c>
      <c r="G3" s="54">
        <f t="shared" si="0"/>
        <v>41672.733864000002</v>
      </c>
      <c r="H3" s="54">
        <f t="shared" si="0"/>
        <v>35869.758231</v>
      </c>
      <c r="I3" s="54">
        <f t="shared" si="0"/>
        <v>49002.275716000004</v>
      </c>
      <c r="J3" s="54">
        <f t="shared" si="0"/>
        <v>55084.013793999999</v>
      </c>
      <c r="K3" s="54">
        <f t="shared" si="0"/>
        <v>33653.408637</v>
      </c>
      <c r="L3" s="54">
        <f t="shared" si="0"/>
        <v>38171.780230999997</v>
      </c>
      <c r="M3" s="54">
        <f t="shared" si="0"/>
        <v>34307.733602</v>
      </c>
      <c r="N3" s="54">
        <f t="shared" si="0"/>
        <v>28886.016502999999</v>
      </c>
      <c r="O3" s="54">
        <f t="shared" si="0"/>
        <v>27776.679847000003</v>
      </c>
      <c r="P3" s="54">
        <f t="shared" si="0"/>
        <v>31194.009788000003</v>
      </c>
      <c r="Q3" s="54">
        <f t="shared" si="0"/>
        <v>32071.297875000004</v>
      </c>
      <c r="R3" s="54">
        <f t="shared" ref="R3:W3" si="1">SUM(R4:R5)</f>
        <v>32524.971901999997</v>
      </c>
      <c r="S3" s="54">
        <f t="shared" si="1"/>
        <v>37456.388447000005</v>
      </c>
      <c r="T3" s="54">
        <f t="shared" si="1"/>
        <v>46467.790875000006</v>
      </c>
      <c r="U3" s="54">
        <f t="shared" si="1"/>
        <v>44257.676842000001</v>
      </c>
      <c r="V3" s="54">
        <f t="shared" si="1"/>
        <v>40096.701716999996</v>
      </c>
      <c r="W3" s="54">
        <f t="shared" si="1"/>
        <v>43154.787986000003</v>
      </c>
      <c r="DA3" s="172" t="s">
        <v>387</v>
      </c>
    </row>
    <row r="4" spans="1:105" ht="11.45" customHeight="1" x14ac:dyDescent="0.25">
      <c r="A4" s="55" t="s">
        <v>170</v>
      </c>
      <c r="B4" s="56">
        <v>6519.8503760000003</v>
      </c>
      <c r="C4" s="56">
        <v>10118.975708</v>
      </c>
      <c r="D4" s="56">
        <v>8334.367142000001</v>
      </c>
      <c r="E4" s="56">
        <v>7645.5680300000004</v>
      </c>
      <c r="F4" s="56">
        <v>8293.1759840000013</v>
      </c>
      <c r="G4" s="56">
        <v>8615.3819249999997</v>
      </c>
      <c r="H4" s="56">
        <v>7979.4047680000003</v>
      </c>
      <c r="I4" s="56">
        <v>9125.6897050000007</v>
      </c>
      <c r="J4" s="56">
        <v>8488.7227490000005</v>
      </c>
      <c r="K4" s="56">
        <v>7841.2533410000005</v>
      </c>
      <c r="L4" s="56">
        <v>7307.4301970000006</v>
      </c>
      <c r="M4" s="56">
        <v>7065.6916160000001</v>
      </c>
      <c r="N4" s="56">
        <v>5468.9826190000003</v>
      </c>
      <c r="O4" s="56">
        <v>4021.4422070000001</v>
      </c>
      <c r="P4" s="56">
        <v>4067.1539540000003</v>
      </c>
      <c r="Q4" s="56">
        <v>3520.8588520000003</v>
      </c>
      <c r="R4" s="56">
        <v>3420.75072</v>
      </c>
      <c r="S4" s="56">
        <v>4162.7709670000004</v>
      </c>
      <c r="T4" s="56">
        <v>4540.8656170000004</v>
      </c>
      <c r="U4" s="56">
        <v>4630.2222979999997</v>
      </c>
      <c r="V4" s="56">
        <v>5946.9522479999996</v>
      </c>
      <c r="W4" s="56">
        <v>6918.9769839999999</v>
      </c>
      <c r="DA4" s="181" t="s">
        <v>388</v>
      </c>
    </row>
    <row r="5" spans="1:105" ht="11.45" customHeight="1" x14ac:dyDescent="0.25">
      <c r="A5" s="57" t="s">
        <v>171</v>
      </c>
      <c r="B5" s="58">
        <v>23923.502925999997</v>
      </c>
      <c r="C5" s="58">
        <v>37967.155007999994</v>
      </c>
      <c r="D5" s="58">
        <v>31220.684182999998</v>
      </c>
      <c r="E5" s="58">
        <v>28556.200345000001</v>
      </c>
      <c r="F5" s="58">
        <v>30995.960759999998</v>
      </c>
      <c r="G5" s="58">
        <v>33057.351939</v>
      </c>
      <c r="H5" s="58">
        <v>27890.353462999999</v>
      </c>
      <c r="I5" s="58">
        <v>39876.586010999999</v>
      </c>
      <c r="J5" s="58">
        <v>46595.291044999998</v>
      </c>
      <c r="K5" s="58">
        <v>25812.155295999997</v>
      </c>
      <c r="L5" s="58">
        <v>30864.350033999999</v>
      </c>
      <c r="M5" s="58">
        <v>27242.041986</v>
      </c>
      <c r="N5" s="58">
        <v>23417.033884</v>
      </c>
      <c r="O5" s="58">
        <v>23755.237640000003</v>
      </c>
      <c r="P5" s="58">
        <v>27126.855834000002</v>
      </c>
      <c r="Q5" s="58">
        <v>28550.439023000003</v>
      </c>
      <c r="R5" s="58">
        <v>29104.221181999997</v>
      </c>
      <c r="S5" s="58">
        <v>33293.617480000001</v>
      </c>
      <c r="T5" s="58">
        <v>41926.925258000003</v>
      </c>
      <c r="U5" s="58">
        <v>39627.454544</v>
      </c>
      <c r="V5" s="58">
        <v>34149.749468999995</v>
      </c>
      <c r="W5" s="58">
        <v>36235.811002000002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4.7705739999999999</v>
      </c>
      <c r="C7" s="59">
        <f t="shared" si="2"/>
        <v>7.3486740000000008</v>
      </c>
      <c r="D7" s="59">
        <f t="shared" si="2"/>
        <v>5.9693250000000004</v>
      </c>
      <c r="E7" s="59">
        <f t="shared" si="2"/>
        <v>5.4717300000000009</v>
      </c>
      <c r="F7" s="59">
        <f t="shared" si="2"/>
        <v>5.9056439999999997</v>
      </c>
      <c r="G7" s="59">
        <f t="shared" si="2"/>
        <v>6.0741890000000005</v>
      </c>
      <c r="H7" s="59">
        <f t="shared" si="2"/>
        <v>5.1666569999999998</v>
      </c>
      <c r="I7" s="59">
        <f t="shared" si="2"/>
        <v>5.96082</v>
      </c>
      <c r="J7" s="59">
        <f t="shared" si="2"/>
        <v>5.6707979999999996</v>
      </c>
      <c r="K7" s="59">
        <f t="shared" si="2"/>
        <v>3.8791469999999997</v>
      </c>
      <c r="L7" s="59">
        <f t="shared" si="2"/>
        <v>3.6619079999999999</v>
      </c>
      <c r="M7" s="59">
        <f t="shared" si="2"/>
        <v>3.3701140000000001</v>
      </c>
      <c r="N7" s="59">
        <f t="shared" si="2"/>
        <v>2.5678779999999999</v>
      </c>
      <c r="O7" s="59">
        <f t="shared" si="2"/>
        <v>2.0942889999999998</v>
      </c>
      <c r="P7" s="59">
        <f t="shared" si="2"/>
        <v>2.1879539999999995</v>
      </c>
      <c r="Q7" s="59">
        <f t="shared" si="2"/>
        <v>1.895335</v>
      </c>
      <c r="R7" s="59">
        <f t="shared" si="2"/>
        <v>1.9066960000000002</v>
      </c>
      <c r="S7" s="59">
        <f t="shared" si="2"/>
        <v>2.278251</v>
      </c>
      <c r="T7" s="59">
        <f t="shared" si="2"/>
        <v>2.5341369999999999</v>
      </c>
      <c r="U7" s="59">
        <f t="shared" si="2"/>
        <v>2.4041389999999998</v>
      </c>
      <c r="V7" s="59">
        <f t="shared" si="2"/>
        <v>2.438396</v>
      </c>
      <c r="W7" s="59">
        <f t="shared" si="2"/>
        <v>2.8257880000000002</v>
      </c>
      <c r="DA7" s="172" t="s">
        <v>961</v>
      </c>
    </row>
    <row r="8" spans="1:105" ht="11.45" customHeight="1" x14ac:dyDescent="0.25">
      <c r="A8" s="55" t="s">
        <v>170</v>
      </c>
      <c r="B8" s="60">
        <v>2.3355769999999998</v>
      </c>
      <c r="C8" s="60">
        <v>3.5775520000000003</v>
      </c>
      <c r="D8" s="60">
        <v>2.9007540000000001</v>
      </c>
      <c r="E8" s="60">
        <v>2.6401050000000001</v>
      </c>
      <c r="F8" s="60">
        <v>2.8605849999999999</v>
      </c>
      <c r="G8" s="60">
        <v>2.9068230000000002</v>
      </c>
      <c r="H8" s="60">
        <v>2.5346790000000001</v>
      </c>
      <c r="I8" s="60">
        <v>2.8212969999999999</v>
      </c>
      <c r="J8" s="60">
        <v>2.57925</v>
      </c>
      <c r="K8" s="60">
        <v>2.3184999999999998</v>
      </c>
      <c r="L8" s="60">
        <v>2.1357550000000001</v>
      </c>
      <c r="M8" s="60">
        <v>2.0529200000000003</v>
      </c>
      <c r="N8" s="60">
        <v>1.5799460000000001</v>
      </c>
      <c r="O8" s="60">
        <v>1.14232</v>
      </c>
      <c r="P8" s="60">
        <v>1.1214879999999998</v>
      </c>
      <c r="Q8" s="60">
        <v>0.90475300000000003</v>
      </c>
      <c r="R8" s="60">
        <v>0.86282500000000006</v>
      </c>
      <c r="S8" s="60">
        <v>1.03243</v>
      </c>
      <c r="T8" s="60">
        <v>1.090163</v>
      </c>
      <c r="U8" s="60">
        <v>1.1303160000000001</v>
      </c>
      <c r="V8" s="60">
        <v>1.30183</v>
      </c>
      <c r="W8" s="60">
        <v>1.610541</v>
      </c>
      <c r="DA8" s="181" t="s">
        <v>962</v>
      </c>
    </row>
    <row r="9" spans="1:105" ht="11.45" customHeight="1" x14ac:dyDescent="0.25">
      <c r="A9" s="57" t="s">
        <v>171</v>
      </c>
      <c r="B9" s="61">
        <v>2.4349970000000001</v>
      </c>
      <c r="C9" s="61">
        <v>3.7711220000000001</v>
      </c>
      <c r="D9" s="61">
        <v>3.0685710000000004</v>
      </c>
      <c r="E9" s="61">
        <v>2.8316250000000003</v>
      </c>
      <c r="F9" s="61">
        <v>3.0450589999999997</v>
      </c>
      <c r="G9" s="61">
        <v>3.1673660000000003</v>
      </c>
      <c r="H9" s="61">
        <v>2.6319779999999997</v>
      </c>
      <c r="I9" s="61">
        <v>3.1395230000000001</v>
      </c>
      <c r="J9" s="61">
        <v>3.091548</v>
      </c>
      <c r="K9" s="61">
        <v>1.5606469999999999</v>
      </c>
      <c r="L9" s="61">
        <v>1.5261529999999999</v>
      </c>
      <c r="M9" s="61">
        <v>1.317194</v>
      </c>
      <c r="N9" s="61">
        <v>0.98793199999999992</v>
      </c>
      <c r="O9" s="61">
        <v>0.95196900000000007</v>
      </c>
      <c r="P9" s="61">
        <v>1.0664659999999999</v>
      </c>
      <c r="Q9" s="61">
        <v>0.99058199999999996</v>
      </c>
      <c r="R9" s="61">
        <v>1.043871</v>
      </c>
      <c r="S9" s="61">
        <v>1.2458210000000001</v>
      </c>
      <c r="T9" s="61">
        <v>1.4439739999999999</v>
      </c>
      <c r="U9" s="61">
        <v>1.2738229999999999</v>
      </c>
      <c r="V9" s="61">
        <v>1.136566</v>
      </c>
      <c r="W9" s="61">
        <v>1.2152470000000002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6381.4864420927115</v>
      </c>
      <c r="C13" s="62">
        <f t="shared" si="3"/>
        <v>6543.5112124990146</v>
      </c>
      <c r="D13" s="62">
        <f t="shared" si="3"/>
        <v>6626.385952348046</v>
      </c>
      <c r="E13" s="62">
        <f t="shared" si="3"/>
        <v>6616.1466985761344</v>
      </c>
      <c r="F13" s="62">
        <f t="shared" si="3"/>
        <v>6652.8115721164377</v>
      </c>
      <c r="G13" s="62">
        <f t="shared" si="3"/>
        <v>6860.6251573666868</v>
      </c>
      <c r="H13" s="62">
        <f t="shared" si="3"/>
        <v>6942.5468404424755</v>
      </c>
      <c r="I13" s="62">
        <f t="shared" si="3"/>
        <v>8220.727301948391</v>
      </c>
      <c r="J13" s="62">
        <f t="shared" si="3"/>
        <v>9713.6265114715789</v>
      </c>
      <c r="K13" s="62">
        <f t="shared" si="3"/>
        <v>8675.4661880562926</v>
      </c>
      <c r="L13" s="62">
        <f t="shared" si="3"/>
        <v>10424.013992432359</v>
      </c>
      <c r="M13" s="62">
        <f t="shared" si="3"/>
        <v>10179.992012733101</v>
      </c>
      <c r="N13" s="62">
        <f t="shared" si="3"/>
        <v>11248.983208314414</v>
      </c>
      <c r="O13" s="62">
        <f t="shared" si="3"/>
        <v>13263.059609729127</v>
      </c>
      <c r="P13" s="62">
        <f t="shared" si="3"/>
        <v>14257.159788551318</v>
      </c>
      <c r="Q13" s="62">
        <f t="shared" si="3"/>
        <v>16921.176401533241</v>
      </c>
      <c r="R13" s="62">
        <f t="shared" si="3"/>
        <v>17058.289261633734</v>
      </c>
      <c r="S13" s="62">
        <f t="shared" si="3"/>
        <v>16440.852411345371</v>
      </c>
      <c r="T13" s="62">
        <f t="shared" si="3"/>
        <v>18336.731942669245</v>
      </c>
      <c r="U13" s="62">
        <f t="shared" si="3"/>
        <v>18408.950914235826</v>
      </c>
      <c r="V13" s="62">
        <f t="shared" si="3"/>
        <v>16443.884306322678</v>
      </c>
      <c r="W13" s="62">
        <f t="shared" si="3"/>
        <v>15271.771267342065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2791.5373271786802</v>
      </c>
      <c r="C14" s="63">
        <f t="shared" si="3"/>
        <v>2828.463627642589</v>
      </c>
      <c r="D14" s="63">
        <f t="shared" si="3"/>
        <v>2873.1726792413288</v>
      </c>
      <c r="E14" s="63">
        <f t="shared" si="3"/>
        <v>2895.9333170461023</v>
      </c>
      <c r="F14" s="63">
        <f t="shared" si="3"/>
        <v>2899.1188809282021</v>
      </c>
      <c r="G14" s="63">
        <f t="shared" si="3"/>
        <v>2963.8481342001214</v>
      </c>
      <c r="H14" s="63">
        <f t="shared" si="3"/>
        <v>3148.0928227992576</v>
      </c>
      <c r="I14" s="63">
        <f t="shared" si="3"/>
        <v>3234.572505127961</v>
      </c>
      <c r="J14" s="63">
        <f t="shared" si="3"/>
        <v>3291.1593482601534</v>
      </c>
      <c r="K14" s="63">
        <f t="shared" si="3"/>
        <v>3382.0372400258793</v>
      </c>
      <c r="L14" s="63">
        <f t="shared" si="3"/>
        <v>3421.4739972515576</v>
      </c>
      <c r="M14" s="63">
        <f t="shared" si="3"/>
        <v>3441.776404341133</v>
      </c>
      <c r="N14" s="63">
        <f t="shared" si="3"/>
        <v>3461.4997088508089</v>
      </c>
      <c r="O14" s="63">
        <f t="shared" si="3"/>
        <v>3520.4165268926395</v>
      </c>
      <c r="P14" s="63">
        <f t="shared" si="3"/>
        <v>3626.5693025694445</v>
      </c>
      <c r="Q14" s="63">
        <f t="shared" si="3"/>
        <v>3891.5138739523386</v>
      </c>
      <c r="R14" s="63">
        <f t="shared" si="3"/>
        <v>3964.5938863616607</v>
      </c>
      <c r="S14" s="63">
        <f t="shared" si="3"/>
        <v>4032.0127921505577</v>
      </c>
      <c r="T14" s="63">
        <f t="shared" si="3"/>
        <v>4165.3088730767786</v>
      </c>
      <c r="U14" s="63">
        <f t="shared" si="3"/>
        <v>4096.396315720559</v>
      </c>
      <c r="V14" s="63">
        <f t="shared" si="3"/>
        <v>4568.148105359378</v>
      </c>
      <c r="W14" s="63">
        <f t="shared" si="3"/>
        <v>4296.0576501933201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9824.8593020853805</v>
      </c>
      <c r="C15" s="64">
        <f t="shared" si="3"/>
        <v>10067.86707192183</v>
      </c>
      <c r="D15" s="64">
        <f t="shared" si="3"/>
        <v>10174.339841900348</v>
      </c>
      <c r="E15" s="64">
        <f t="shared" si="3"/>
        <v>10084.739449962477</v>
      </c>
      <c r="F15" s="64">
        <f t="shared" si="3"/>
        <v>10179.100227614637</v>
      </c>
      <c r="G15" s="64">
        <f t="shared" si="3"/>
        <v>10436.858872324827</v>
      </c>
      <c r="H15" s="64">
        <f t="shared" si="3"/>
        <v>10596.727428192789</v>
      </c>
      <c r="I15" s="64">
        <f t="shared" si="3"/>
        <v>12701.479177250811</v>
      </c>
      <c r="J15" s="64">
        <f t="shared" si="3"/>
        <v>15071.831666530812</v>
      </c>
      <c r="K15" s="64">
        <f t="shared" si="3"/>
        <v>16539.393787320259</v>
      </c>
      <c r="L15" s="64">
        <f t="shared" si="3"/>
        <v>20223.62766642663</v>
      </c>
      <c r="M15" s="64">
        <f t="shared" si="3"/>
        <v>20681.875248444801</v>
      </c>
      <c r="N15" s="64">
        <f t="shared" si="3"/>
        <v>23703.082685852874</v>
      </c>
      <c r="O15" s="64">
        <f t="shared" si="3"/>
        <v>24953.793285285552</v>
      </c>
      <c r="P15" s="64">
        <f t="shared" si="3"/>
        <v>25436.21253185756</v>
      </c>
      <c r="Q15" s="64">
        <f t="shared" si="3"/>
        <v>28821.883522010296</v>
      </c>
      <c r="R15" s="64">
        <f t="shared" si="3"/>
        <v>27881.05156863252</v>
      </c>
      <c r="S15" s="64">
        <f t="shared" si="3"/>
        <v>26724.238458012827</v>
      </c>
      <c r="T15" s="64">
        <f t="shared" si="3"/>
        <v>29035.789604244957</v>
      </c>
      <c r="U15" s="64">
        <f t="shared" si="3"/>
        <v>31109.07445068899</v>
      </c>
      <c r="V15" s="64">
        <f t="shared" si="3"/>
        <v>30046.428864667778</v>
      </c>
      <c r="W15" s="64">
        <f t="shared" si="3"/>
        <v>29817.651063528647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0.21416334499431358</v>
      </c>
      <c r="C18" s="66">
        <f t="shared" si="4"/>
        <v>0.21043439256452903</v>
      </c>
      <c r="D18" s="66">
        <f t="shared" si="4"/>
        <v>0.21070297883123784</v>
      </c>
      <c r="E18" s="66">
        <f t="shared" si="4"/>
        <v>0.21119321992236798</v>
      </c>
      <c r="F18" s="66">
        <f t="shared" si="4"/>
        <v>0.21108063631014964</v>
      </c>
      <c r="G18" s="66">
        <f t="shared" si="4"/>
        <v>0.20673906235949174</v>
      </c>
      <c r="H18" s="66">
        <f t="shared" si="4"/>
        <v>0.22245493589928625</v>
      </c>
      <c r="I18" s="66">
        <f t="shared" si="4"/>
        <v>0.18622991629795516</v>
      </c>
      <c r="J18" s="66">
        <f t="shared" si="4"/>
        <v>0.15410501458273598</v>
      </c>
      <c r="K18" s="66">
        <f t="shared" si="4"/>
        <v>0.23300027125273101</v>
      </c>
      <c r="L18" s="66">
        <f t="shared" si="4"/>
        <v>0.19143540470940634</v>
      </c>
      <c r="M18" s="66">
        <f t="shared" si="4"/>
        <v>0.20595040459297781</v>
      </c>
      <c r="N18" s="66">
        <f t="shared" si="4"/>
        <v>0.18932976163161894</v>
      </c>
      <c r="O18" s="66">
        <f t="shared" si="4"/>
        <v>0.14477764186184161</v>
      </c>
      <c r="P18" s="66">
        <f t="shared" si="4"/>
        <v>0.13038253118599041</v>
      </c>
      <c r="Q18" s="66">
        <f t="shared" si="4"/>
        <v>0.10978223786648048</v>
      </c>
      <c r="R18" s="66">
        <f t="shared" si="4"/>
        <v>0.10517305688401392</v>
      </c>
      <c r="S18" s="66">
        <f t="shared" si="4"/>
        <v>0.11113647470017653</v>
      </c>
      <c r="T18" s="66">
        <f t="shared" si="4"/>
        <v>9.7720712164154497E-2</v>
      </c>
      <c r="U18" s="66">
        <f t="shared" si="4"/>
        <v>0.10461964179751014</v>
      </c>
      <c r="V18" s="66">
        <f t="shared" si="4"/>
        <v>0.14831524772219959</v>
      </c>
      <c r="W18" s="66">
        <f t="shared" si="4"/>
        <v>0.16032930080075031</v>
      </c>
      <c r="DA18" s="181"/>
    </row>
    <row r="19" spans="1:105" ht="11.45" customHeight="1" x14ac:dyDescent="0.25">
      <c r="A19" s="57" t="s">
        <v>171</v>
      </c>
      <c r="B19" s="67">
        <f t="shared" si="4"/>
        <v>0.78583665500568645</v>
      </c>
      <c r="C19" s="67">
        <f t="shared" si="4"/>
        <v>0.789565607435471</v>
      </c>
      <c r="D19" s="67">
        <f t="shared" si="4"/>
        <v>0.7892970211687621</v>
      </c>
      <c r="E19" s="67">
        <f t="shared" si="4"/>
        <v>0.78880678007763205</v>
      </c>
      <c r="F19" s="67">
        <f t="shared" si="4"/>
        <v>0.78891936368985027</v>
      </c>
      <c r="G19" s="67">
        <f t="shared" si="4"/>
        <v>0.7932609376405082</v>
      </c>
      <c r="H19" s="67">
        <f t="shared" si="4"/>
        <v>0.77754506410071378</v>
      </c>
      <c r="I19" s="67">
        <f t="shared" si="4"/>
        <v>0.81377008370204473</v>
      </c>
      <c r="J19" s="67">
        <f t="shared" si="4"/>
        <v>0.84589498541726404</v>
      </c>
      <c r="K19" s="67">
        <f t="shared" si="4"/>
        <v>0.76699972874726896</v>
      </c>
      <c r="L19" s="67">
        <f t="shared" si="4"/>
        <v>0.80856459529059377</v>
      </c>
      <c r="M19" s="67">
        <f t="shared" si="4"/>
        <v>0.79404959540702214</v>
      </c>
      <c r="N19" s="67">
        <f t="shared" si="4"/>
        <v>0.81067023836838115</v>
      </c>
      <c r="O19" s="67">
        <f t="shared" si="4"/>
        <v>0.85522235813815839</v>
      </c>
      <c r="P19" s="67">
        <f t="shared" si="4"/>
        <v>0.86961746881400959</v>
      </c>
      <c r="Q19" s="67">
        <f t="shared" si="4"/>
        <v>0.89021776213351944</v>
      </c>
      <c r="R19" s="67">
        <f t="shared" si="4"/>
        <v>0.8948269431159861</v>
      </c>
      <c r="S19" s="67">
        <f t="shared" si="4"/>
        <v>0.88886352529982338</v>
      </c>
      <c r="T19" s="67">
        <f t="shared" si="4"/>
        <v>0.90227928783584543</v>
      </c>
      <c r="U19" s="67">
        <f t="shared" si="4"/>
        <v>0.89538035820248985</v>
      </c>
      <c r="V19" s="67">
        <f t="shared" si="4"/>
        <v>0.85168475227780038</v>
      </c>
      <c r="W19" s="67">
        <f t="shared" si="4"/>
        <v>0.83967069919924964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0.48957987026299138</v>
      </c>
      <c r="C22" s="66">
        <f t="shared" si="5"/>
        <v>0.48682959674085419</v>
      </c>
      <c r="D22" s="66">
        <f t="shared" si="5"/>
        <v>0.48594338555866867</v>
      </c>
      <c r="E22" s="66">
        <f t="shared" si="5"/>
        <v>0.48249913647054948</v>
      </c>
      <c r="F22" s="66">
        <f t="shared" si="5"/>
        <v>0.48438155093669716</v>
      </c>
      <c r="G22" s="66">
        <f t="shared" si="5"/>
        <v>0.47855326859272901</v>
      </c>
      <c r="H22" s="66">
        <f t="shared" si="5"/>
        <v>0.49058395012480993</v>
      </c>
      <c r="I22" s="66">
        <f t="shared" si="5"/>
        <v>0.47330686046550641</v>
      </c>
      <c r="J22" s="66">
        <f t="shared" si="5"/>
        <v>0.45483016675959898</v>
      </c>
      <c r="K22" s="66">
        <f t="shared" si="5"/>
        <v>0.59768294421428214</v>
      </c>
      <c r="L22" s="66">
        <f t="shared" si="5"/>
        <v>0.58323557009078331</v>
      </c>
      <c r="M22" s="66">
        <f t="shared" si="5"/>
        <v>0.60915446777171345</v>
      </c>
      <c r="N22" s="66">
        <f t="shared" si="5"/>
        <v>0.61527299972973803</v>
      </c>
      <c r="O22" s="66">
        <f t="shared" si="5"/>
        <v>0.54544525612272232</v>
      </c>
      <c r="P22" s="66">
        <f t="shared" si="5"/>
        <v>0.51257384753061541</v>
      </c>
      <c r="Q22" s="66">
        <f t="shared" si="5"/>
        <v>0.47735782856328829</v>
      </c>
      <c r="R22" s="66">
        <f t="shared" si="5"/>
        <v>0.45252363250355587</v>
      </c>
      <c r="S22" s="66">
        <f t="shared" si="5"/>
        <v>0.45316780284525277</v>
      </c>
      <c r="T22" s="66">
        <f t="shared" si="5"/>
        <v>0.43019102755691585</v>
      </c>
      <c r="U22" s="66">
        <f t="shared" si="5"/>
        <v>0.47015417993718339</v>
      </c>
      <c r="V22" s="66">
        <f t="shared" si="5"/>
        <v>0.53388785086589707</v>
      </c>
      <c r="W22" s="66">
        <f t="shared" si="5"/>
        <v>0.56994402977151859</v>
      </c>
      <c r="DA22" s="181"/>
    </row>
    <row r="23" spans="1:105" ht="11.45" customHeight="1" x14ac:dyDescent="0.25">
      <c r="A23" s="57" t="s">
        <v>171</v>
      </c>
      <c r="B23" s="67">
        <f t="shared" si="5"/>
        <v>0.51042012973700857</v>
      </c>
      <c r="C23" s="67">
        <f t="shared" si="5"/>
        <v>0.51317040325914576</v>
      </c>
      <c r="D23" s="67">
        <f t="shared" si="5"/>
        <v>0.51405661444133133</v>
      </c>
      <c r="E23" s="67">
        <f t="shared" si="5"/>
        <v>0.51750086352945046</v>
      </c>
      <c r="F23" s="67">
        <f t="shared" si="5"/>
        <v>0.51561844906330279</v>
      </c>
      <c r="G23" s="67">
        <f t="shared" si="5"/>
        <v>0.52144673140727105</v>
      </c>
      <c r="H23" s="67">
        <f t="shared" si="5"/>
        <v>0.50941604987519007</v>
      </c>
      <c r="I23" s="67">
        <f t="shared" si="5"/>
        <v>0.52669313953449359</v>
      </c>
      <c r="J23" s="67">
        <f t="shared" si="5"/>
        <v>0.54516983324040114</v>
      </c>
      <c r="K23" s="67">
        <f t="shared" si="5"/>
        <v>0.40231705578571786</v>
      </c>
      <c r="L23" s="67">
        <f t="shared" si="5"/>
        <v>0.41676442990921669</v>
      </c>
      <c r="M23" s="67">
        <f t="shared" si="5"/>
        <v>0.39084553222828661</v>
      </c>
      <c r="N23" s="67">
        <f t="shared" si="5"/>
        <v>0.38472700027026202</v>
      </c>
      <c r="O23" s="67">
        <f t="shared" si="5"/>
        <v>0.45455474387727773</v>
      </c>
      <c r="P23" s="67">
        <f t="shared" si="5"/>
        <v>0.4874261524693847</v>
      </c>
      <c r="Q23" s="67">
        <f t="shared" si="5"/>
        <v>0.52264217143671166</v>
      </c>
      <c r="R23" s="67">
        <f t="shared" si="5"/>
        <v>0.54747636749644402</v>
      </c>
      <c r="S23" s="67">
        <f t="shared" si="5"/>
        <v>0.54683219715474729</v>
      </c>
      <c r="T23" s="67">
        <f t="shared" si="5"/>
        <v>0.56980897244308415</v>
      </c>
      <c r="U23" s="67">
        <f t="shared" si="5"/>
        <v>0.52984582006281666</v>
      </c>
      <c r="V23" s="67">
        <f t="shared" si="5"/>
        <v>0.46611214913410287</v>
      </c>
      <c r="W23" s="67">
        <f t="shared" si="5"/>
        <v>0.43005597022848147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18.044539982803094</v>
      </c>
      <c r="C3" s="62">
        <f t="shared" ref="C3:W3" si="0">SUM(C4,C10)</f>
        <v>28.700515907136719</v>
      </c>
      <c r="D3" s="62">
        <f t="shared" si="0"/>
        <v>23.57239896818572</v>
      </c>
      <c r="E3" s="62">
        <f t="shared" si="0"/>
        <v>21.559673258813415</v>
      </c>
      <c r="F3" s="62">
        <f t="shared" si="0"/>
        <v>23.406878761822867</v>
      </c>
      <c r="G3" s="62">
        <f t="shared" si="0"/>
        <v>25.005932932072227</v>
      </c>
      <c r="H3" s="62">
        <f t="shared" si="0"/>
        <v>19.974462596732586</v>
      </c>
      <c r="I3" s="62">
        <f t="shared" si="0"/>
        <v>23.379191745485812</v>
      </c>
      <c r="J3" s="62">
        <f t="shared" si="0"/>
        <v>21.228632846087699</v>
      </c>
      <c r="K3" s="62">
        <f t="shared" si="0"/>
        <v>6.4237317282889066</v>
      </c>
      <c r="L3" s="62">
        <f t="shared" si="0"/>
        <v>6.8097162510748062</v>
      </c>
      <c r="M3" s="62">
        <f t="shared" si="0"/>
        <v>23.519690455717971</v>
      </c>
      <c r="N3" s="62">
        <f t="shared" si="0"/>
        <v>3.914961306964746</v>
      </c>
      <c r="O3" s="62">
        <f t="shared" si="0"/>
        <v>3.914961306964746</v>
      </c>
      <c r="P3" s="62">
        <f t="shared" si="0"/>
        <v>4.9350816852966464</v>
      </c>
      <c r="Q3" s="62">
        <f t="shared" si="0"/>
        <v>3.970077386070507</v>
      </c>
      <c r="R3" s="62">
        <f t="shared" si="0"/>
        <v>4.5077386070507295</v>
      </c>
      <c r="S3" s="62">
        <f t="shared" si="0"/>
        <v>6.385296646603611</v>
      </c>
      <c r="T3" s="62">
        <f t="shared" si="0"/>
        <v>20.868013757523645</v>
      </c>
      <c r="U3" s="62">
        <f t="shared" si="0"/>
        <v>24.931900257953568</v>
      </c>
      <c r="V3" s="62">
        <f t="shared" si="0"/>
        <v>20.385554600171968</v>
      </c>
      <c r="W3" s="62">
        <f t="shared" si="0"/>
        <v>23.809802235597594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7.3495397058261283</v>
      </c>
      <c r="C4" s="71">
        <f t="shared" ref="C4:W4" si="1">SUM(C5:C9)</f>
        <v>11.63027603875949</v>
      </c>
      <c r="D4" s="71">
        <f t="shared" si="1"/>
        <v>9.5373535205556585</v>
      </c>
      <c r="E4" s="71">
        <f t="shared" si="1"/>
        <v>8.7244517879244334</v>
      </c>
      <c r="F4" s="71">
        <f t="shared" si="1"/>
        <v>9.4772801456188525</v>
      </c>
      <c r="G4" s="71">
        <f t="shared" si="1"/>
        <v>10.042596996983207</v>
      </c>
      <c r="H4" s="71">
        <f t="shared" si="1"/>
        <v>8.2683019667941124</v>
      </c>
      <c r="I4" s="71">
        <f t="shared" si="1"/>
        <v>8.9738617591110028</v>
      </c>
      <c r="J4" s="71">
        <f t="shared" si="1"/>
        <v>7.4539722337179342</v>
      </c>
      <c r="K4" s="71">
        <f t="shared" si="1"/>
        <v>2.7972019267147861</v>
      </c>
      <c r="L4" s="71">
        <f t="shared" si="1"/>
        <v>2.7452352318131217</v>
      </c>
      <c r="M4" s="71">
        <f t="shared" si="1"/>
        <v>9.8227067640772052</v>
      </c>
      <c r="N4" s="71">
        <f t="shared" si="1"/>
        <v>1.5874510073260872</v>
      </c>
      <c r="O4" s="71">
        <f t="shared" si="1"/>
        <v>1.3687489486959055</v>
      </c>
      <c r="P4" s="71">
        <f t="shared" si="1"/>
        <v>1.6430251733981476</v>
      </c>
      <c r="Q4" s="71">
        <f t="shared" si="1"/>
        <v>1.1968479424165943</v>
      </c>
      <c r="R4" s="71">
        <f t="shared" si="1"/>
        <v>1.2890989284975749</v>
      </c>
      <c r="S4" s="71">
        <f t="shared" si="1"/>
        <v>1.8693229154820636</v>
      </c>
      <c r="T4" s="71">
        <f t="shared" si="1"/>
        <v>5.7129313689345622</v>
      </c>
      <c r="U4" s="71">
        <f t="shared" si="1"/>
        <v>7.3208342326994575</v>
      </c>
      <c r="V4" s="71">
        <f t="shared" si="1"/>
        <v>6.4763168477704118</v>
      </c>
      <c r="W4" s="71">
        <f t="shared" si="1"/>
        <v>8.0260096708720923</v>
      </c>
      <c r="DA4" s="186" t="s">
        <v>969</v>
      </c>
    </row>
    <row r="5" spans="1:105" ht="11.45" customHeight="1" x14ac:dyDescent="0.25">
      <c r="A5" s="72" t="s">
        <v>145</v>
      </c>
      <c r="B5" s="73">
        <v>5.7417358582002871</v>
      </c>
      <c r="C5" s="73">
        <v>10.65838085871621</v>
      </c>
      <c r="D5" s="73">
        <v>8.9743746824497528</v>
      </c>
      <c r="E5" s="73">
        <v>4.9130914322323758</v>
      </c>
      <c r="F5" s="73">
        <v>6.55300272805363</v>
      </c>
      <c r="G5" s="73">
        <v>7.3588356999717668</v>
      </c>
      <c r="H5" s="73">
        <v>5.7937551276795247</v>
      </c>
      <c r="I5" s="73">
        <v>3.209446695193316</v>
      </c>
      <c r="J5" s="73">
        <v>0</v>
      </c>
      <c r="K5" s="73">
        <v>0.84539771314132017</v>
      </c>
      <c r="L5" s="73">
        <v>0.81772111288076565</v>
      </c>
      <c r="M5" s="73">
        <v>1.0774328991616045</v>
      </c>
      <c r="N5" s="73">
        <v>0.81441565176257602</v>
      </c>
      <c r="O5" s="73">
        <v>0.75952800176361412</v>
      </c>
      <c r="P5" s="73">
        <v>1.4570272196355645</v>
      </c>
      <c r="Q5" s="73">
        <v>1.1968479424165943</v>
      </c>
      <c r="R5" s="73">
        <v>1.2890989284975749</v>
      </c>
      <c r="S5" s="73">
        <v>1.8693229154820636</v>
      </c>
      <c r="T5" s="73">
        <v>5.7129313689345622</v>
      </c>
      <c r="U5" s="73">
        <v>7.3208342326994575</v>
      </c>
      <c r="V5" s="73">
        <v>6.4763168477704118</v>
      </c>
      <c r="W5" s="73">
        <v>8.0260096708720923</v>
      </c>
      <c r="DA5" s="187" t="s">
        <v>970</v>
      </c>
    </row>
    <row r="6" spans="1:105" ht="11.45" customHeight="1" x14ac:dyDescent="0.25">
      <c r="A6" s="72" t="s">
        <v>146</v>
      </c>
      <c r="B6" s="73">
        <v>1.6078038476258407</v>
      </c>
      <c r="C6" s="73">
        <v>0.97189518004328068</v>
      </c>
      <c r="D6" s="73">
        <v>0.56297883810590665</v>
      </c>
      <c r="E6" s="73">
        <v>3.8113603556920572</v>
      </c>
      <c r="F6" s="73">
        <v>2.9242774175652224</v>
      </c>
      <c r="G6" s="73">
        <v>2.68376129701144</v>
      </c>
      <c r="H6" s="73">
        <v>2.4745468391145868</v>
      </c>
      <c r="I6" s="73">
        <v>5.7644150639176868</v>
      </c>
      <c r="J6" s="73">
        <v>7.4539722337179342</v>
      </c>
      <c r="K6" s="73">
        <v>1.9518042135734661</v>
      </c>
      <c r="L6" s="73">
        <v>1.9275141189323561</v>
      </c>
      <c r="M6" s="73">
        <v>8.7452738649156014</v>
      </c>
      <c r="N6" s="73">
        <v>0.77303535556351122</v>
      </c>
      <c r="O6" s="73">
        <v>0.60922094693229134</v>
      </c>
      <c r="P6" s="73">
        <v>0.18599795376258313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10.695000276976966</v>
      </c>
      <c r="C10" s="71">
        <f t="shared" ref="C10:W10" si="2">SUM(C11:C15)</f>
        <v>17.070239868377229</v>
      </c>
      <c r="D10" s="71">
        <f t="shared" si="2"/>
        <v>14.035045447630061</v>
      </c>
      <c r="E10" s="71">
        <f t="shared" si="2"/>
        <v>12.835221470888982</v>
      </c>
      <c r="F10" s="71">
        <f t="shared" si="2"/>
        <v>13.929598616204013</v>
      </c>
      <c r="G10" s="71">
        <f t="shared" si="2"/>
        <v>14.96333593508902</v>
      </c>
      <c r="H10" s="71">
        <f t="shared" si="2"/>
        <v>11.706160629938474</v>
      </c>
      <c r="I10" s="71">
        <f t="shared" si="2"/>
        <v>14.405329986374809</v>
      </c>
      <c r="J10" s="71">
        <f t="shared" si="2"/>
        <v>13.774660612369765</v>
      </c>
      <c r="K10" s="71">
        <f t="shared" si="2"/>
        <v>3.626529801574121</v>
      </c>
      <c r="L10" s="71">
        <f t="shared" si="2"/>
        <v>4.0644810192616845</v>
      </c>
      <c r="M10" s="71">
        <f t="shared" si="2"/>
        <v>13.696983691640767</v>
      </c>
      <c r="N10" s="71">
        <f t="shared" si="2"/>
        <v>2.327510299638659</v>
      </c>
      <c r="O10" s="71">
        <f t="shared" si="2"/>
        <v>2.5462123582688405</v>
      </c>
      <c r="P10" s="71">
        <f t="shared" si="2"/>
        <v>3.2920565118984988</v>
      </c>
      <c r="Q10" s="71">
        <f t="shared" si="2"/>
        <v>2.7732294436539124</v>
      </c>
      <c r="R10" s="71">
        <f t="shared" si="2"/>
        <v>3.2186396785531546</v>
      </c>
      <c r="S10" s="71">
        <f t="shared" si="2"/>
        <v>4.5159737311215471</v>
      </c>
      <c r="T10" s="71">
        <f t="shared" si="2"/>
        <v>15.155082388589083</v>
      </c>
      <c r="U10" s="71">
        <f t="shared" si="2"/>
        <v>17.611066025254111</v>
      </c>
      <c r="V10" s="71">
        <f t="shared" si="2"/>
        <v>13.909237752401555</v>
      </c>
      <c r="W10" s="71">
        <f t="shared" si="2"/>
        <v>15.783792564725502</v>
      </c>
      <c r="DA10" s="186" t="s">
        <v>975</v>
      </c>
    </row>
    <row r="11" spans="1:105" ht="11.45" customHeight="1" x14ac:dyDescent="0.25">
      <c r="A11" s="72" t="s">
        <v>145</v>
      </c>
      <c r="B11" s="73">
        <v>1.3990208056002289</v>
      </c>
      <c r="C11" s="73">
        <v>2.6030980750757102</v>
      </c>
      <c r="D11" s="73">
        <v>2.2468634946783572</v>
      </c>
      <c r="E11" s="73">
        <v>1.2075448532362403</v>
      </c>
      <c r="F11" s="73">
        <v>1.6078743140787857</v>
      </c>
      <c r="G11" s="73">
        <v>1.8221617204925487</v>
      </c>
      <c r="H11" s="73">
        <v>1.3470015361209919</v>
      </c>
      <c r="I11" s="73">
        <v>0.87103481813428463</v>
      </c>
      <c r="J11" s="73">
        <v>0</v>
      </c>
      <c r="K11" s="73">
        <v>0.17472266519057983</v>
      </c>
      <c r="L11" s="73">
        <v>0.20239926545113429</v>
      </c>
      <c r="M11" s="73">
        <v>0.24870639576530867</v>
      </c>
      <c r="N11" s="73">
        <v>0.20570472656932395</v>
      </c>
      <c r="O11" s="73">
        <v>0.26059237656828588</v>
      </c>
      <c r="P11" s="73">
        <v>0.58321353702823531</v>
      </c>
      <c r="Q11" s="73">
        <v>0.84339281424720558</v>
      </c>
      <c r="R11" s="73">
        <v>1.7712622064981249</v>
      </c>
      <c r="S11" s="73">
        <v>2.0071173252746002</v>
      </c>
      <c r="T11" s="73">
        <v>10.812863987901206</v>
      </c>
      <c r="U11" s="73">
        <v>12.979337736346116</v>
      </c>
      <c r="V11" s="73">
        <v>10.049478509065356</v>
      </c>
      <c r="W11" s="73">
        <v>11.560146820959378</v>
      </c>
      <c r="DA11" s="187" t="s">
        <v>976</v>
      </c>
    </row>
    <row r="12" spans="1:105" ht="11.45" customHeight="1" x14ac:dyDescent="0.25">
      <c r="A12" s="72" t="s">
        <v>146</v>
      </c>
      <c r="B12" s="73">
        <v>9.2959794713767376</v>
      </c>
      <c r="C12" s="73">
        <v>14.467141793301519</v>
      </c>
      <c r="D12" s="73">
        <v>11.788181952951703</v>
      </c>
      <c r="E12" s="73">
        <v>11.627676617652741</v>
      </c>
      <c r="F12" s="73">
        <v>12.321724302125228</v>
      </c>
      <c r="G12" s="73">
        <v>13.141174214596472</v>
      </c>
      <c r="H12" s="73">
        <v>10.359159093817482</v>
      </c>
      <c r="I12" s="73">
        <v>13.534295168240526</v>
      </c>
      <c r="J12" s="73">
        <v>13.774660612369765</v>
      </c>
      <c r="K12" s="73">
        <v>3.451807136383541</v>
      </c>
      <c r="L12" s="73">
        <v>3.8620817538105503</v>
      </c>
      <c r="M12" s="73">
        <v>13.448277295875458</v>
      </c>
      <c r="N12" s="73">
        <v>2.1218055730693348</v>
      </c>
      <c r="O12" s="73">
        <v>2.2856199817005547</v>
      </c>
      <c r="P12" s="73">
        <v>2.7088429748702634</v>
      </c>
      <c r="Q12" s="73">
        <v>1.9298366294067071</v>
      </c>
      <c r="R12" s="73">
        <v>1.4473774720550296</v>
      </c>
      <c r="S12" s="73">
        <v>2.5088564058469469</v>
      </c>
      <c r="T12" s="73">
        <v>4.3422184006878766</v>
      </c>
      <c r="U12" s="73">
        <v>4.6317282889079969</v>
      </c>
      <c r="V12" s="73">
        <v>3.8597592433361996</v>
      </c>
      <c r="W12" s="73">
        <v>4.2236457437661237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378.24672634368721</v>
      </c>
      <c r="C19" s="62">
        <f>IF(C3=0,0,C3/MBunk_act!C7*100)</f>
        <v>390.5536686909328</v>
      </c>
      <c r="D19" s="62">
        <f>IF(D3=0,0,D3/MBunk_act!D7*100)</f>
        <v>394.89220252182145</v>
      </c>
      <c r="E19" s="62">
        <f>IF(E3=0,0,E3/MBunk_act!E7*100)</f>
        <v>394.01931854849221</v>
      </c>
      <c r="F19" s="62">
        <f>IF(F3=0,0,F3/MBunk_act!F7*100)</f>
        <v>396.3476085219981</v>
      </c>
      <c r="G19" s="62">
        <f>IF(G3=0,0,G3/MBunk_act!G7*100)</f>
        <v>411.67525297734767</v>
      </c>
      <c r="H19" s="62">
        <f>IF(H3=0,0,H3/MBunk_act!H7*100)</f>
        <v>386.60322519440689</v>
      </c>
      <c r="I19" s="62">
        <f>IF(I3=0,0,I3/MBunk_act!I7*100)</f>
        <v>392.21435549950866</v>
      </c>
      <c r="J19" s="62">
        <f>IF(J3=0,0,J3/MBunk_act!J7*100)</f>
        <v>374.35000940057648</v>
      </c>
      <c r="K19" s="62">
        <f>IF(K3=0,0,K3/MBunk_act!K7*100)</f>
        <v>165.59650171259062</v>
      </c>
      <c r="L19" s="62">
        <f>IF(L3=0,0,L3/MBunk_act!L7*100)</f>
        <v>185.96087752818494</v>
      </c>
      <c r="M19" s="62">
        <f>IF(M3=0,0,M3/MBunk_act!M7*100)</f>
        <v>697.89005522418438</v>
      </c>
      <c r="N19" s="62">
        <f>IF(N3=0,0,N3/MBunk_act!N7*100)</f>
        <v>152.45900728012569</v>
      </c>
      <c r="O19" s="62">
        <f>IF(O3=0,0,O3/MBunk_act!O7*100)</f>
        <v>186.93510336752695</v>
      </c>
      <c r="P19" s="62">
        <f>IF(P3=0,0,P3/MBunk_act!P7*100)</f>
        <v>225.55692145706203</v>
      </c>
      <c r="Q19" s="62">
        <f>IF(Q3=0,0,Q3/MBunk_act!Q7*100)</f>
        <v>209.46573487380897</v>
      </c>
      <c r="R19" s="62">
        <f>IF(R3=0,0,R3/MBunk_act!R7*100)</f>
        <v>236.4162198405372</v>
      </c>
      <c r="S19" s="62">
        <f>IF(S3=0,0,S3/MBunk_act!S7*100)</f>
        <v>280.2718684905048</v>
      </c>
      <c r="T19" s="62">
        <f>IF(T3=0,0,T3/MBunk_act!T7*100)</f>
        <v>823.47614819260548</v>
      </c>
      <c r="U19" s="62">
        <f>IF(U3=0,0,U3/MBunk_act!U7*100)</f>
        <v>1037.0407142828917</v>
      </c>
      <c r="V19" s="62">
        <f>IF(V3=0,0,V3/MBunk_act!V7*100)</f>
        <v>836.02313160667791</v>
      </c>
      <c r="W19" s="62">
        <f>IF(W3=0,0,W3/MBunk_act!W7*100)</f>
        <v>842.58982753120881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314.6776880328128</v>
      </c>
      <c r="C20" s="63">
        <f>IF(C4=0,0,C4/MBunk_act!C8*100)</f>
        <v>325.09034218816356</v>
      </c>
      <c r="D20" s="63">
        <f>IF(D4=0,0,D4/MBunk_act!D8*100)</f>
        <v>328.78877424820092</v>
      </c>
      <c r="E20" s="63">
        <f>IF(E4=0,0,E4/MBunk_act!E8*100)</f>
        <v>330.45851539709344</v>
      </c>
      <c r="F20" s="63">
        <f>IF(F4=0,0,F4/MBunk_act!F8*100)</f>
        <v>331.30566459723633</v>
      </c>
      <c r="G20" s="63">
        <f>IF(G4=0,0,G4/MBunk_act!G8*100)</f>
        <v>345.48360863331567</v>
      </c>
      <c r="H20" s="63">
        <f>IF(H4=0,0,H4/MBunk_act!H8*100)</f>
        <v>326.20706475234584</v>
      </c>
      <c r="I20" s="63">
        <f>IF(I4=0,0,I4/MBunk_act!I8*100)</f>
        <v>318.075755906273</v>
      </c>
      <c r="J20" s="63">
        <f>IF(J4=0,0,J4/MBunk_act!J8*100)</f>
        <v>288.9976634183555</v>
      </c>
      <c r="K20" s="63">
        <f>IF(K4=0,0,K4/MBunk_act!K8*100)</f>
        <v>120.64705312550296</v>
      </c>
      <c r="L20" s="63">
        <f>IF(L4=0,0,L4/MBunk_act!L8*100)</f>
        <v>128.53699192150418</v>
      </c>
      <c r="M20" s="63">
        <f>IF(M4=0,0,M4/MBunk_act!M8*100)</f>
        <v>478.47489254706483</v>
      </c>
      <c r="N20" s="63">
        <f>IF(N4=0,0,N4/MBunk_act!N8*100)</f>
        <v>100.47501669842431</v>
      </c>
      <c r="O20" s="63">
        <f>IF(O4=0,0,O4/MBunk_act!O8*100)</f>
        <v>119.82184928005336</v>
      </c>
      <c r="P20" s="63">
        <f>IF(P4=0,0,P4/MBunk_act!P8*100)</f>
        <v>146.504035121031</v>
      </c>
      <c r="Q20" s="63">
        <f>IF(Q4=0,0,Q4/MBunk_act!Q8*100)</f>
        <v>132.28449559344864</v>
      </c>
      <c r="R20" s="63">
        <f>IF(R4=0,0,R4/MBunk_act!R8*100)</f>
        <v>149.40444800481845</v>
      </c>
      <c r="S20" s="63">
        <f>IF(S4=0,0,S4/MBunk_act!S8*100)</f>
        <v>181.06049954786897</v>
      </c>
      <c r="T20" s="63">
        <f>IF(T4=0,0,T4/MBunk_act!T8*100)</f>
        <v>524.04377775934074</v>
      </c>
      <c r="U20" s="63">
        <f>IF(U4=0,0,U4/MBunk_act!U8*100)</f>
        <v>647.68031530115979</v>
      </c>
      <c r="V20" s="63">
        <f>IF(V4=0,0,V4/MBunk_act!V8*100)</f>
        <v>497.47792321350801</v>
      </c>
      <c r="W20" s="63">
        <f>IF(W4=0,0,W4/MBunk_act!W8*100)</f>
        <v>498.34246199706138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439.22026503428822</v>
      </c>
      <c r="C21" s="64">
        <f>IF(C10=0,0,C10/MBunk_act!C9*100)</f>
        <v>452.65679202044453</v>
      </c>
      <c r="D21" s="64">
        <f>IF(D10=0,0,D10/MBunk_act!D9*100)</f>
        <v>457.38050211743706</v>
      </c>
      <c r="E21" s="64">
        <f>IF(E10=0,0,E10/MBunk_act!E9*100)</f>
        <v>453.28111847045358</v>
      </c>
      <c r="F21" s="64">
        <f>IF(F10=0,0,F10/MBunk_act!F9*100)</f>
        <v>457.44921908587042</v>
      </c>
      <c r="G21" s="64">
        <f>IF(G10=0,0,G10/MBunk_act!G9*100)</f>
        <v>472.42206726627165</v>
      </c>
      <c r="H21" s="64">
        <f>IF(H10=0,0,H10/MBunk_act!H9*100)</f>
        <v>444.76665952141224</v>
      </c>
      <c r="I21" s="64">
        <f>IF(I10=0,0,I10/MBunk_act!I9*100)</f>
        <v>458.83817339050574</v>
      </c>
      <c r="J21" s="64">
        <f>IF(J10=0,0,J10/MBunk_act!J9*100)</f>
        <v>445.55868491673959</v>
      </c>
      <c r="K21" s="64">
        <f>IF(K10=0,0,K10/MBunk_act!K9*100)</f>
        <v>232.37348366248875</v>
      </c>
      <c r="L21" s="64">
        <f>IF(L10=0,0,L10/MBunk_act!L9*100)</f>
        <v>266.32198863820895</v>
      </c>
      <c r="M21" s="64">
        <f>IF(M10=0,0,M10/MBunk_act!M9*100)</f>
        <v>1039.8607715826802</v>
      </c>
      <c r="N21" s="64">
        <f>IF(N10=0,0,N10/MBunk_act!N9*100)</f>
        <v>235.59418053455693</v>
      </c>
      <c r="O21" s="64">
        <f>IF(O10=0,0,O10/MBunk_act!O9*100)</f>
        <v>267.46799089769104</v>
      </c>
      <c r="P21" s="64">
        <f>IF(P10=0,0,P10/MBunk_act!P9*100)</f>
        <v>308.68836999008869</v>
      </c>
      <c r="Q21" s="64">
        <f>IF(Q10=0,0,Q10/MBunk_act!Q9*100)</f>
        <v>279.95960391506333</v>
      </c>
      <c r="R21" s="64">
        <f>IF(R10=0,0,R10/MBunk_act!R9*100)</f>
        <v>308.33691888683126</v>
      </c>
      <c r="S21" s="64">
        <f>IF(S10=0,0,S10/MBunk_act!S9*100)</f>
        <v>362.4897743031741</v>
      </c>
      <c r="T21" s="64">
        <f>IF(T10=0,0,T10/MBunk_act!T9*100)</f>
        <v>1049.5398385697447</v>
      </c>
      <c r="U21" s="64">
        <f>IF(U10=0,0,U10/MBunk_act!U9*100)</f>
        <v>1382.5363512241584</v>
      </c>
      <c r="V21" s="64">
        <f>IF(V10=0,0,V10/MBunk_act!V9*100)</f>
        <v>1223.7949887997315</v>
      </c>
      <c r="W21" s="64">
        <f>IF(W10=0,0,W10/MBunk_act!W9*100)</f>
        <v>1298.8135387065756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0.59272511158019003</v>
      </c>
      <c r="C23" s="62">
        <f>IF(C3=0,0,C3/MBunk_act!C3*1000)</f>
        <v>0.59685642158742092</v>
      </c>
      <c r="D23" s="62">
        <f>IF(D3=0,0,D3/MBunk_act!D3*1000)</f>
        <v>0.59593903126317638</v>
      </c>
      <c r="E23" s="62">
        <f>IF(E3=0,0,E3/MBunk_act!E3*1000)</f>
        <v>0.59554199218903259</v>
      </c>
      <c r="F23" s="62">
        <f>IF(F3=0,0,F3/MBunk_act!F3*1000)</f>
        <v>0.5957595585349027</v>
      </c>
      <c r="G23" s="62">
        <f>IF(G3=0,0,G3/MBunk_act!G3*1000)</f>
        <v>0.60005501471728995</v>
      </c>
      <c r="H23" s="62">
        <f>IF(H3=0,0,H3/MBunk_act!H3*1000)</f>
        <v>0.55686080926717541</v>
      </c>
      <c r="I23" s="62">
        <f>IF(I3=0,0,I3/MBunk_act!I3*1000)</f>
        <v>0.47710420391459785</v>
      </c>
      <c r="J23" s="62">
        <f>IF(J3=0,0,J3/MBunk_act!J3*1000)</f>
        <v>0.38538645577784708</v>
      </c>
      <c r="K23" s="62">
        <f>IF(K3=0,0,K3/MBunk_act!K3*1000)</f>
        <v>0.1908790814499064</v>
      </c>
      <c r="L23" s="62">
        <f>IF(L3=0,0,L3/MBunk_act!L3*1000)</f>
        <v>0.17839661157706529</v>
      </c>
      <c r="M23" s="62">
        <f>IF(M3=0,0,M3/MBunk_act!M3*1000)</f>
        <v>0.68555069036524374</v>
      </c>
      <c r="N23" s="62">
        <f>IF(N3=0,0,N3/MBunk_act!N3*1000)</f>
        <v>0.13553136710830835</v>
      </c>
      <c r="O23" s="62">
        <f>IF(O3=0,0,O3/MBunk_act!O3*1000)</f>
        <v>0.14094417794096362</v>
      </c>
      <c r="P23" s="62">
        <f>IF(P3=0,0,P3/MBunk_act!P3*1000)</f>
        <v>0.1582060696536397</v>
      </c>
      <c r="Q23" s="62">
        <f>IF(Q3=0,0,Q3/MBunk_act!Q3*1000)</f>
        <v>0.12378910892674644</v>
      </c>
      <c r="R23" s="62">
        <f>IF(R3=0,0,R3/MBunk_act!R3*1000)</f>
        <v>0.13859315914654313</v>
      </c>
      <c r="S23" s="62">
        <f>IF(S3=0,0,S3/MBunk_act!S3*1000)</f>
        <v>0.17047283284235132</v>
      </c>
      <c r="T23" s="62">
        <f>IF(T3=0,0,T3/MBunk_act!T3*1000)</f>
        <v>0.44908555721229221</v>
      </c>
      <c r="U23" s="62">
        <f>IF(U3=0,0,U3/MBunk_act!U3*1000)</f>
        <v>0.56333504234667597</v>
      </c>
      <c r="V23" s="62">
        <f>IF(V3=0,0,V3/MBunk_act!V3*1000)</f>
        <v>0.50840976257977355</v>
      </c>
      <c r="W23" s="62">
        <f>IF(W3=0,0,W3/MBunk_act!W3*1000)</f>
        <v>0.55173025628863748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1.1272558850246426</v>
      </c>
      <c r="C24" s="63">
        <f>IF(C4=0,0,C4/MBunk_act!C4*1000)</f>
        <v>1.1493530940651104</v>
      </c>
      <c r="D24" s="63">
        <f>IF(D4=0,0,D4/MBunk_act!D4*1000)</f>
        <v>1.1443404589765862</v>
      </c>
      <c r="E24" s="63">
        <f>IF(E4=0,0,E4/MBunk_act!E4*1000)</f>
        <v>1.1411123089469695</v>
      </c>
      <c r="F24" s="63">
        <f>IF(F4=0,0,F4/MBunk_act!F4*1000)</f>
        <v>1.1427805419664721</v>
      </c>
      <c r="G24" s="63">
        <f>IF(G4=0,0,G4/MBunk_act!G4*1000)</f>
        <v>1.1656589440152079</v>
      </c>
      <c r="H24" s="63">
        <f>IF(H4=0,0,H4/MBunk_act!H4*1000)</f>
        <v>1.0362053570653145</v>
      </c>
      <c r="I24" s="63">
        <f>IF(I4=0,0,I4/MBunk_act!I4*1000)</f>
        <v>0.98336257852315412</v>
      </c>
      <c r="J24" s="63">
        <f>IF(J4=0,0,J4/MBunk_act!J4*1000)</f>
        <v>0.87810292008842405</v>
      </c>
      <c r="K24" s="63">
        <f>IF(K4=0,0,K4/MBunk_act!K4*1000)</f>
        <v>0.35672893159680219</v>
      </c>
      <c r="L24" s="63">
        <f>IF(L4=0,0,L4/MBunk_act!L4*1000)</f>
        <v>0.37567724327221808</v>
      </c>
      <c r="M24" s="63">
        <f>IF(M4=0,0,M4/MBunk_act!M4*1000)</f>
        <v>1.3901974920380116</v>
      </c>
      <c r="N24" s="63">
        <f>IF(N4=0,0,N4/MBunk_act!N4*1000)</f>
        <v>0.29026440892517436</v>
      </c>
      <c r="O24" s="63">
        <f>IF(O4=0,0,O4/MBunk_act!O4*1000)</f>
        <v>0.34036270527856061</v>
      </c>
      <c r="P24" s="63">
        <f>IF(P4=0,0,P4/MBunk_act!P4*1000)</f>
        <v>0.40397417751601233</v>
      </c>
      <c r="Q24" s="63">
        <f>IF(Q4=0,0,Q4/MBunk_act!Q4*1000)</f>
        <v>0.33993067962288032</v>
      </c>
      <c r="R24" s="63">
        <f>IF(R4=0,0,R4/MBunk_act!R4*1000)</f>
        <v>0.37684679008050459</v>
      </c>
      <c r="S24" s="63">
        <f>IF(S4=0,0,S4/MBunk_act!S4*1000)</f>
        <v>0.44905735393586538</v>
      </c>
      <c r="T24" s="63">
        <f>IF(T4=0,0,T4/MBunk_act!T4*1000)</f>
        <v>1.2581150491541979</v>
      </c>
      <c r="U24" s="63">
        <f>IF(U4=0,0,U4/MBunk_act!U4*1000)</f>
        <v>1.5810977878668273</v>
      </c>
      <c r="V24" s="63">
        <f>IF(V4=0,0,V4/MBunk_act!V4*1000)</f>
        <v>1.0890144359152103</v>
      </c>
      <c r="W24" s="63">
        <f>IF(W4=0,0,W4/MBunk_act!W4*1000)</f>
        <v>1.1599994752738856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0.44704992868555504</v>
      </c>
      <c r="C25" s="64">
        <f>IF(C10=0,0,C10/MBunk_act!C5*1000)</f>
        <v>0.44960545146931313</v>
      </c>
      <c r="D25" s="64">
        <f>IF(D10=0,0,D10/MBunk_act!D5*1000)</f>
        <v>0.44954317353725054</v>
      </c>
      <c r="E25" s="64">
        <f>IF(E10=0,0,E10/MBunk_act!E5*1000)</f>
        <v>0.44947231479752325</v>
      </c>
      <c r="F25" s="64">
        <f>IF(F10=0,0,F10/MBunk_act!F5*1000)</f>
        <v>0.44940044685370845</v>
      </c>
      <c r="G25" s="64">
        <f>IF(G10=0,0,G10/MBunk_act!G5*1000)</f>
        <v>0.45264774875799285</v>
      </c>
      <c r="H25" s="64">
        <f>IF(H10=0,0,H10/MBunk_act!H5*1000)</f>
        <v>0.41972076995969743</v>
      </c>
      <c r="I25" s="64">
        <f>IF(I10=0,0,I10/MBunk_act!I5*1000)</f>
        <v>0.3612478255385525</v>
      </c>
      <c r="J25" s="64">
        <f>IF(J10=0,0,J10/MBunk_act!J5*1000)</f>
        <v>0.29562344828078679</v>
      </c>
      <c r="K25" s="64">
        <f>IF(K10=0,0,K10/MBunk_act!K5*1000)</f>
        <v>0.14049697748936563</v>
      </c>
      <c r="L25" s="64">
        <f>IF(L10=0,0,L10/MBunk_act!L5*1000)</f>
        <v>0.13168853433765088</v>
      </c>
      <c r="M25" s="64">
        <f>IF(M10=0,0,M10/MBunk_act!M5*1000)</f>
        <v>0.50278843629562731</v>
      </c>
      <c r="N25" s="64">
        <f>IF(N10=0,0,N10/MBunk_act!N5*1000)</f>
        <v>9.9393898952717552E-2</v>
      </c>
      <c r="O25" s="64">
        <f>IF(O10=0,0,O10/MBunk_act!O5*1000)</f>
        <v>0.10718530358885689</v>
      </c>
      <c r="P25" s="64">
        <f>IF(P10=0,0,P10/MBunk_act!P5*1000)</f>
        <v>0.1213578356461176</v>
      </c>
      <c r="Q25" s="64">
        <f>IF(Q10=0,0,Q10/MBunk_act!Q5*1000)</f>
        <v>9.7134388771388816E-2</v>
      </c>
      <c r="R25" s="64">
        <f>IF(R10=0,0,R10/MBunk_act!R5*1000)</f>
        <v>0.11059013255932021</v>
      </c>
      <c r="S25" s="64">
        <f>IF(S10=0,0,S10/MBunk_act!S5*1000)</f>
        <v>0.13564082466660055</v>
      </c>
      <c r="T25" s="64">
        <f>IF(T10=0,0,T10/MBunk_act!T5*1000)</f>
        <v>0.36146419741803909</v>
      </c>
      <c r="U25" s="64">
        <f>IF(U10=0,0,U10/MBunk_act!U5*1000)</f>
        <v>0.44441577759428924</v>
      </c>
      <c r="V25" s="64">
        <f>IF(V10=0,0,V10/MBunk_act!V5*1000)</f>
        <v>0.40730131168393779</v>
      </c>
      <c r="W25" s="64">
        <f>IF(W10=0,0,W10/MBunk_act!W5*1000)</f>
        <v>0.43558546444163565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0.40729992079767213</v>
      </c>
      <c r="C28" s="77">
        <f t="shared" si="3"/>
        <v>0.40522881457568105</v>
      </c>
      <c r="D28" s="77">
        <f t="shared" si="3"/>
        <v>0.40459834119673876</v>
      </c>
      <c r="E28" s="77">
        <f t="shared" si="3"/>
        <v>0.40466530652814742</v>
      </c>
      <c r="F28" s="77">
        <f t="shared" si="3"/>
        <v>0.40489294801135572</v>
      </c>
      <c r="G28" s="77">
        <f t="shared" si="3"/>
        <v>0.40160857122442034</v>
      </c>
      <c r="H28" s="77">
        <f t="shared" si="3"/>
        <v>0.41394365063652017</v>
      </c>
      <c r="I28" s="77">
        <f t="shared" si="3"/>
        <v>0.38383969201346435</v>
      </c>
      <c r="J28" s="77">
        <f t="shared" si="3"/>
        <v>0.3511282279815609</v>
      </c>
      <c r="K28" s="77">
        <f t="shared" si="3"/>
        <v>0.43544812346325651</v>
      </c>
      <c r="L28" s="77">
        <f t="shared" si="3"/>
        <v>0.40313503978669152</v>
      </c>
      <c r="M28" s="77">
        <f t="shared" si="3"/>
        <v>0.41763758679439444</v>
      </c>
      <c r="N28" s="77">
        <f t="shared" si="3"/>
        <v>0.40548319200549948</v>
      </c>
      <c r="O28" s="77">
        <f t="shared" si="3"/>
        <v>0.34962004509748046</v>
      </c>
      <c r="P28" s="77">
        <f t="shared" si="3"/>
        <v>0.33292765513756351</v>
      </c>
      <c r="Q28" s="77">
        <f t="shared" si="3"/>
        <v>0.30146715694154452</v>
      </c>
      <c r="R28" s="77">
        <f t="shared" si="3"/>
        <v>0.28597464069483647</v>
      </c>
      <c r="S28" s="77">
        <f t="shared" si="3"/>
        <v>0.29275427892240075</v>
      </c>
      <c r="T28" s="77">
        <f t="shared" si="3"/>
        <v>0.27376497999838878</v>
      </c>
      <c r="U28" s="77">
        <f t="shared" si="3"/>
        <v>0.29363322317816609</v>
      </c>
      <c r="V28" s="77">
        <f t="shared" si="3"/>
        <v>0.31769147196592723</v>
      </c>
      <c r="W28" s="77">
        <f t="shared" si="3"/>
        <v>0.3370884642994873</v>
      </c>
      <c r="DA28" s="184"/>
    </row>
    <row r="29" spans="1:105" ht="11.45" customHeight="1" x14ac:dyDescent="0.25">
      <c r="A29" s="57" t="s">
        <v>171</v>
      </c>
      <c r="B29" s="78">
        <f>IF(B10=0,0,B10/B$3)</f>
        <v>0.59270007920232792</v>
      </c>
      <c r="C29" s="78">
        <f t="shared" ref="C29:W29" si="4">IF(C10=0,0,C10/C$3)</f>
        <v>0.59477118542431895</v>
      </c>
      <c r="D29" s="78">
        <f t="shared" si="4"/>
        <v>0.59540165880326124</v>
      </c>
      <c r="E29" s="78">
        <f t="shared" si="4"/>
        <v>0.59533469347185264</v>
      </c>
      <c r="F29" s="78">
        <f t="shared" si="4"/>
        <v>0.59510705198864422</v>
      </c>
      <c r="G29" s="78">
        <f t="shared" si="4"/>
        <v>0.59839142877557971</v>
      </c>
      <c r="H29" s="78">
        <f t="shared" si="4"/>
        <v>0.58605634936347983</v>
      </c>
      <c r="I29" s="78">
        <f t="shared" si="4"/>
        <v>0.61616030798653565</v>
      </c>
      <c r="J29" s="78">
        <f t="shared" si="4"/>
        <v>0.64887177201843904</v>
      </c>
      <c r="K29" s="78">
        <f t="shared" si="4"/>
        <v>0.56455187653674355</v>
      </c>
      <c r="L29" s="78">
        <f t="shared" si="4"/>
        <v>0.59686496021330848</v>
      </c>
      <c r="M29" s="78">
        <f t="shared" si="4"/>
        <v>0.58236241320560556</v>
      </c>
      <c r="N29" s="78">
        <f t="shared" si="4"/>
        <v>0.59451680799450057</v>
      </c>
      <c r="O29" s="78">
        <f t="shared" si="4"/>
        <v>0.65037995490251954</v>
      </c>
      <c r="P29" s="78">
        <f t="shared" si="4"/>
        <v>0.66707234486243649</v>
      </c>
      <c r="Q29" s="78">
        <f t="shared" si="4"/>
        <v>0.69853284305845542</v>
      </c>
      <c r="R29" s="78">
        <f t="shared" si="4"/>
        <v>0.71402535930516353</v>
      </c>
      <c r="S29" s="78">
        <f t="shared" si="4"/>
        <v>0.7072457210775992</v>
      </c>
      <c r="T29" s="78">
        <f t="shared" si="4"/>
        <v>0.72623502000161122</v>
      </c>
      <c r="U29" s="78">
        <f t="shared" si="4"/>
        <v>0.70636677682183391</v>
      </c>
      <c r="V29" s="78">
        <f t="shared" si="4"/>
        <v>0.68230852803407271</v>
      </c>
      <c r="W29" s="78">
        <f t="shared" si="4"/>
        <v>0.66291153570051276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57.488234760000012</v>
      </c>
      <c r="C3" s="62">
        <f t="shared" ref="C3:W3" si="1">SUM(C4:C5)</f>
        <v>91.174145400000043</v>
      </c>
      <c r="D3" s="62">
        <f t="shared" si="1"/>
        <v>74.837944439999987</v>
      </c>
      <c r="E3" s="62">
        <f t="shared" si="1"/>
        <v>69.020260920000013</v>
      </c>
      <c r="F3" s="62">
        <f t="shared" si="1"/>
        <v>74.724395399999992</v>
      </c>
      <c r="G3" s="62">
        <f t="shared" si="1"/>
        <v>79.765319160000004</v>
      </c>
      <c r="H3" s="62">
        <f t="shared" si="1"/>
        <v>63.74230956000001</v>
      </c>
      <c r="I3" s="62">
        <f t="shared" si="1"/>
        <v>75.198438720000027</v>
      </c>
      <c r="J3" s="62">
        <f t="shared" si="1"/>
        <v>68.793150959999991</v>
      </c>
      <c r="K3" s="62">
        <f t="shared" si="1"/>
        <v>20.6756928</v>
      </c>
      <c r="L3" s="62">
        <f t="shared" si="1"/>
        <v>21.926507760000003</v>
      </c>
      <c r="M3" s="62">
        <f t="shared" si="1"/>
        <v>76.034288520000018</v>
      </c>
      <c r="N3" s="62">
        <f t="shared" si="1"/>
        <v>12.545813519999999</v>
      </c>
      <c r="O3" s="62">
        <f t="shared" si="1"/>
        <v>12.545813519999999</v>
      </c>
      <c r="P3" s="62">
        <f t="shared" si="1"/>
        <v>15.710654160000001</v>
      </c>
      <c r="Q3" s="62">
        <f t="shared" si="1"/>
        <v>12.583477440000001</v>
      </c>
      <c r="R3" s="62">
        <f t="shared" si="1"/>
        <v>14.184869039999999</v>
      </c>
      <c r="S3" s="62">
        <f t="shared" si="1"/>
        <v>20.156499</v>
      </c>
      <c r="T3" s="62">
        <f t="shared" si="1"/>
        <v>65.341258199999999</v>
      </c>
      <c r="U3" s="62">
        <f t="shared" si="1"/>
        <v>77.989136040000005</v>
      </c>
      <c r="V3" s="62">
        <f t="shared" si="1"/>
        <v>63.777809160000004</v>
      </c>
      <c r="W3" s="62">
        <f t="shared" si="1"/>
        <v>74.451535559999996</v>
      </c>
      <c r="DA3" s="172" t="s">
        <v>985</v>
      </c>
    </row>
    <row r="4" spans="1:105" ht="11.45" customHeight="1" x14ac:dyDescent="0.25">
      <c r="A4" s="55" t="s">
        <v>170</v>
      </c>
      <c r="B4" s="63">
        <v>23.02349140862637</v>
      </c>
      <c r="C4" s="63">
        <v>36.216268346250551</v>
      </c>
      <c r="D4" s="63">
        <v>29.666648497797663</v>
      </c>
      <c r="E4" s="63">
        <v>27.593497563278358</v>
      </c>
      <c r="F4" s="63">
        <v>29.806523131466115</v>
      </c>
      <c r="G4" s="63">
        <v>31.527141993609053</v>
      </c>
      <c r="H4" s="63">
        <v>25.993629745157193</v>
      </c>
      <c r="I4" s="63">
        <v>28.637114378724203</v>
      </c>
      <c r="J4" s="63">
        <v>24.155217193852813</v>
      </c>
      <c r="K4" s="63">
        <v>8.947761702922028</v>
      </c>
      <c r="L4" s="63">
        <v>8.7831832253332056</v>
      </c>
      <c r="M4" s="63">
        <v>31.682435648142039</v>
      </c>
      <c r="N4" s="63">
        <v>5.0317438152876104</v>
      </c>
      <c r="O4" s="63">
        <v>4.330605117514744</v>
      </c>
      <c r="P4" s="63">
        <v>5.1230504825065077</v>
      </c>
      <c r="Q4" s="63">
        <v>3.7131235572945598</v>
      </c>
      <c r="R4" s="63">
        <v>3.9993247508307315</v>
      </c>
      <c r="S4" s="63">
        <v>5.7994225562623658</v>
      </c>
      <c r="T4" s="63">
        <v>17.723905682092326</v>
      </c>
      <c r="U4" s="63">
        <v>22.712293755210375</v>
      </c>
      <c r="V4" s="63">
        <v>20.092247143279664</v>
      </c>
      <c r="W4" s="63">
        <v>24.900043291895393</v>
      </c>
      <c r="DA4" s="181" t="s">
        <v>986</v>
      </c>
    </row>
    <row r="5" spans="1:105" ht="11.45" customHeight="1" x14ac:dyDescent="0.25">
      <c r="A5" s="57" t="s">
        <v>171</v>
      </c>
      <c r="B5" s="64">
        <v>34.464743351373642</v>
      </c>
      <c r="C5" s="64">
        <v>54.957877053749492</v>
      </c>
      <c r="D5" s="64">
        <v>45.171295942202327</v>
      </c>
      <c r="E5" s="64">
        <v>41.426763356721658</v>
      </c>
      <c r="F5" s="64">
        <v>44.917872268533884</v>
      </c>
      <c r="G5" s="64">
        <v>48.238177166390948</v>
      </c>
      <c r="H5" s="64">
        <v>37.748679814842816</v>
      </c>
      <c r="I5" s="64">
        <v>46.561324341275821</v>
      </c>
      <c r="J5" s="64">
        <v>44.637933766147178</v>
      </c>
      <c r="K5" s="64">
        <v>11.727931097077974</v>
      </c>
      <c r="L5" s="64">
        <v>13.143324534666798</v>
      </c>
      <c r="M5" s="64">
        <v>44.351852871857972</v>
      </c>
      <c r="N5" s="64">
        <v>7.5140697047123899</v>
      </c>
      <c r="O5" s="64">
        <v>8.2152084024852545</v>
      </c>
      <c r="P5" s="64">
        <v>10.587603677493492</v>
      </c>
      <c r="Q5" s="64">
        <v>8.8703538827054409</v>
      </c>
      <c r="R5" s="64">
        <v>10.185544289169268</v>
      </c>
      <c r="S5" s="64">
        <v>14.357076443737634</v>
      </c>
      <c r="T5" s="64">
        <v>47.617352517907676</v>
      </c>
      <c r="U5" s="64">
        <v>55.27684228478963</v>
      </c>
      <c r="V5" s="64">
        <v>43.68556201672034</v>
      </c>
      <c r="W5" s="64">
        <v>49.551492268104603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3.1859074719991622</v>
      </c>
      <c r="C9" s="79">
        <f>IF(C3=0,0,C3/MBunk_ene!C3)</f>
        <v>3.1767423866178142</v>
      </c>
      <c r="D9" s="79">
        <f>IF(D3=0,0,D3/MBunk_ene!D3)</f>
        <v>3.1748123956753131</v>
      </c>
      <c r="E9" s="79">
        <f>IF(E3=0,0,E3/MBunk_ene!E3)</f>
        <v>3.201359319848927</v>
      </c>
      <c r="F9" s="79">
        <f>IF(F3=0,0,F3/MBunk_ene!F3)</f>
        <v>3.1924117760577766</v>
      </c>
      <c r="G9" s="79">
        <f>IF(G3=0,0,G3/MBunk_ene!G3)</f>
        <v>3.1898557584985854</v>
      </c>
      <c r="H9" s="79">
        <f>IF(H3=0,0,H3/MBunk_ene!H3)</f>
        <v>3.1911902135693477</v>
      </c>
      <c r="I9" s="79">
        <f>IF(I3=0,0,I3/MBunk_ene!I3)</f>
        <v>3.2164687102375886</v>
      </c>
      <c r="J9" s="79">
        <f>IF(J3=0,0,J3/MBunk_ene!J3)</f>
        <v>3.2405832000000006</v>
      </c>
      <c r="K9" s="79">
        <f>IF(K3=0,0,K3/MBunk_ene!K3)</f>
        <v>3.2186420097446065</v>
      </c>
      <c r="L9" s="79">
        <f>IF(L3=0,0,L3/MBunk_ene!L3)</f>
        <v>3.2198856680025765</v>
      </c>
      <c r="M9" s="79">
        <f>IF(M3=0,0,M3/MBunk_ene!M3)</f>
        <v>3.2327929086972742</v>
      </c>
      <c r="N9" s="79">
        <f>IF(N3=0,0,N3/MBunk_ene!N3)</f>
        <v>3.2045817407392767</v>
      </c>
      <c r="O9" s="79">
        <f>IF(O3=0,0,O3/MBunk_ene!O3)</f>
        <v>3.2045817407392767</v>
      </c>
      <c r="P9" s="79">
        <f>IF(P3=0,0,P3/MBunk_ene!P3)</f>
        <v>3.1834638536597266</v>
      </c>
      <c r="Q9" s="79">
        <f>IF(Q3=0,0,Q3/MBunk_ene!Q3)</f>
        <v>3.1695798888330597</v>
      </c>
      <c r="R9" s="79">
        <f>IF(R3=0,0,R3/MBunk_ene!R3)</f>
        <v>3.1467816296652367</v>
      </c>
      <c r="S9" s="79">
        <f>IF(S3=0,0,S3/MBunk_ene!S3)</f>
        <v>3.1567051799733377</v>
      </c>
      <c r="T9" s="79">
        <f>IF(T3=0,0,T3/MBunk_ene!T3)</f>
        <v>3.1311680622427325</v>
      </c>
      <c r="U9" s="79">
        <f>IF(U3=0,0,U3/MBunk_ene!U3)</f>
        <v>3.1280863164499686</v>
      </c>
      <c r="V9" s="79">
        <f>IF(V3=0,0,V3/MBunk_ene!V3)</f>
        <v>3.1285785651111002</v>
      </c>
      <c r="W9" s="79">
        <f>IF(W3=0,0,W3/MBunk_ene!W3)</f>
        <v>3.126927927552833</v>
      </c>
      <c r="DA9" s="172"/>
    </row>
    <row r="10" spans="1:105" ht="11.45" customHeight="1" x14ac:dyDescent="0.25">
      <c r="A10" s="55" t="s">
        <v>170</v>
      </c>
      <c r="B10" s="80">
        <f>IF(B4=0,0,B4/MBunk_ene!B4)</f>
        <v>3.1326439927081671</v>
      </c>
      <c r="C10" s="80">
        <f>IF(C4=0,0,C4/MBunk_ene!C4)</f>
        <v>3.1139646406976818</v>
      </c>
      <c r="D10" s="80">
        <f>IF(D4=0,0,D4/MBunk_ene!D4)</f>
        <v>3.110574483147527</v>
      </c>
      <c r="E10" s="80">
        <f>IF(E4=0,0,E4/MBunk_ene!E4)</f>
        <v>3.1627772419432341</v>
      </c>
      <c r="F10" s="80">
        <f>IF(F4=0,0,F4/MBunk_ene!F4)</f>
        <v>3.1450503386506985</v>
      </c>
      <c r="G10" s="80">
        <f>IF(G4=0,0,G4/MBunk_ene!G4)</f>
        <v>3.1393415471197139</v>
      </c>
      <c r="H10" s="80">
        <f>IF(H4=0,0,H4/MBunk_ene!H4)</f>
        <v>3.1437687991499135</v>
      </c>
      <c r="I10" s="80">
        <f>IF(I4=0,0,I4/MBunk_ene!I4)</f>
        <v>3.1911695485669198</v>
      </c>
      <c r="J10" s="80">
        <f>IF(J4=0,0,J4/MBunk_ene!J4)</f>
        <v>3.2405832000000001</v>
      </c>
      <c r="K10" s="80">
        <f>IF(K4=0,0,K4/MBunk_ene!K4)</f>
        <v>3.1988258042675008</v>
      </c>
      <c r="L10" s="80">
        <f>IF(L4=0,0,L4/MBunk_ene!L4)</f>
        <v>3.1994282761453023</v>
      </c>
      <c r="M10" s="80">
        <f>IF(M4=0,0,M4/MBunk_ene!M4)</f>
        <v>3.2254282255486273</v>
      </c>
      <c r="N10" s="80">
        <f>IF(N4=0,0,N4/MBunk_ene!N4)</f>
        <v>3.1697002251194588</v>
      </c>
      <c r="O10" s="80">
        <f>IF(O4=0,0,O4/MBunk_ene!O4)</f>
        <v>3.1639148447498631</v>
      </c>
      <c r="P10" s="80">
        <f>IF(P4=0,0,P4/MBunk_ene!P4)</f>
        <v>3.1180596411136423</v>
      </c>
      <c r="Q10" s="80">
        <f>IF(Q4=0,0,Q4/MBunk_ene!Q4)</f>
        <v>3.1024188000000001</v>
      </c>
      <c r="R10" s="80">
        <f>IF(R4=0,0,R4/MBunk_ene!R4)</f>
        <v>3.1024187999999997</v>
      </c>
      <c r="S10" s="80">
        <f>IF(S4=0,0,S4/MBunk_ene!S4)</f>
        <v>3.1024188000000001</v>
      </c>
      <c r="T10" s="80">
        <f>IF(T4=0,0,T4/MBunk_ene!T4)</f>
        <v>3.1024188000000006</v>
      </c>
      <c r="U10" s="80">
        <f>IF(U4=0,0,U4/MBunk_ene!U4)</f>
        <v>3.1024188000000006</v>
      </c>
      <c r="V10" s="80">
        <f>IF(V4=0,0,V4/MBunk_ene!V4)</f>
        <v>3.1024188000000001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3.2225098138207247</v>
      </c>
      <c r="C11" s="81">
        <f>IF(C5=0,0,C5/MBunk_ene!C10)</f>
        <v>3.2195140476941657</v>
      </c>
      <c r="D11" s="81">
        <f>IF(D5=0,0,D5/MBunk_ene!D10)</f>
        <v>3.2184645294347725</v>
      </c>
      <c r="E11" s="81">
        <f>IF(E5=0,0,E5/MBunk_ene!E10)</f>
        <v>3.227584615558051</v>
      </c>
      <c r="F11" s="81">
        <f>IF(F5=0,0,F5/MBunk_ene!F10)</f>
        <v>3.2246350742857626</v>
      </c>
      <c r="G11" s="81">
        <f>IF(G5=0,0,G5/MBunk_ene!G10)</f>
        <v>3.2237582164597689</v>
      </c>
      <c r="H11" s="81">
        <f>IF(H5=0,0,H5/MBunk_ene!H10)</f>
        <v>3.2246849337006935</v>
      </c>
      <c r="I11" s="81">
        <f>IF(I5=0,0,I5/MBunk_ene!I10)</f>
        <v>3.2322289309106806</v>
      </c>
      <c r="J11" s="81">
        <f>IF(J5=0,0,J5/MBunk_ene!J10)</f>
        <v>3.2405832000000006</v>
      </c>
      <c r="K11" s="81">
        <f>IF(K5=0,0,K5/MBunk_ene!K10)</f>
        <v>3.233926574100503</v>
      </c>
      <c r="L11" s="81">
        <f>IF(L5=0,0,L5/MBunk_ene!L10)</f>
        <v>3.2337030170347041</v>
      </c>
      <c r="M11" s="81">
        <f>IF(M5=0,0,M5/MBunk_ene!M10)</f>
        <v>3.2380744454653758</v>
      </c>
      <c r="N11" s="81">
        <f>IF(N5=0,0,N5/MBunk_ene!N10)</f>
        <v>3.2283722679461109</v>
      </c>
      <c r="O11" s="81">
        <f>IF(O5=0,0,O5/MBunk_ene!O10)</f>
        <v>3.2264427496812331</v>
      </c>
      <c r="P11" s="81">
        <f>IF(P5=0,0,P5/MBunk_ene!P10)</f>
        <v>3.2161062968471699</v>
      </c>
      <c r="Q11" s="81">
        <f>IF(Q5=0,0,Q5/MBunk_ene!Q10)</f>
        <v>3.1985647285708048</v>
      </c>
      <c r="R11" s="81">
        <f>IF(R5=0,0,R5/MBunk_ene!R10)</f>
        <v>3.164549407949846</v>
      </c>
      <c r="S11" s="81">
        <f>IF(S5=0,0,S5/MBunk_ene!S10)</f>
        <v>3.1791762526864917</v>
      </c>
      <c r="T11" s="81">
        <f>IF(T5=0,0,T5/MBunk_ene!T10)</f>
        <v>3.1420055197958434</v>
      </c>
      <c r="U11" s="81">
        <f>IF(U5=0,0,U5/MBunk_ene!U10)</f>
        <v>3.1387561778215547</v>
      </c>
      <c r="V11" s="81">
        <f>IF(V5=0,0,V5/MBunk_ene!V10)</f>
        <v>3.1407588822886887</v>
      </c>
      <c r="W11" s="81">
        <f>IF(W5=0,0,W5/MBunk_ene!W10)</f>
        <v>3.1393907430616541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1205.0590717175755</v>
      </c>
      <c r="C13" s="62">
        <f>IF(C3=0,0,C3/MBunk_act!C7*100)</f>
        <v>1240.6883935795768</v>
      </c>
      <c r="D13" s="62">
        <f>IF(D3=0,0,D3/MBunk_act!D7*100)</f>
        <v>1253.708659521805</v>
      </c>
      <c r="E13" s="62">
        <f>IF(E3=0,0,E3/MBunk_act!E7*100)</f>
        <v>1261.3974176357385</v>
      </c>
      <c r="F13" s="62">
        <f>IF(F3=0,0,F3/MBunk_act!F7*100)</f>
        <v>1265.3047728579643</v>
      </c>
      <c r="G13" s="62">
        <f>IF(G3=0,0,G3/MBunk_act!G7*100)</f>
        <v>1313.1846763411543</v>
      </c>
      <c r="H13" s="62">
        <f>IF(H3=0,0,H3/MBunk_act!H7*100)</f>
        <v>1233.724428774738</v>
      </c>
      <c r="I13" s="62">
        <f>IF(I3=0,0,I3/MBunk_act!I7*100)</f>
        <v>1261.5452021701717</v>
      </c>
      <c r="J13" s="62">
        <f>IF(J3=0,0,J3/MBunk_act!J7*100)</f>
        <v>1213.1123513833502</v>
      </c>
      <c r="K13" s="62">
        <f>IF(K3=0,0,K3/MBunk_act!K7*100)</f>
        <v>532.99585707888878</v>
      </c>
      <c r="L13" s="62">
        <f>IF(L3=0,0,L3/MBunk_act!L7*100)</f>
        <v>598.77276436218506</v>
      </c>
      <c r="M13" s="62">
        <f>IF(M3=0,0,M3/MBunk_act!M7*100)</f>
        <v>2256.1340215790924</v>
      </c>
      <c r="N13" s="62">
        <f>IF(N3=0,0,N3/MBunk_act!N7*100)</f>
        <v>488.5673509411273</v>
      </c>
      <c r="O13" s="62">
        <f>IF(O3=0,0,O3/MBunk_act!O7*100)</f>
        <v>599.04881895478616</v>
      </c>
      <c r="P13" s="62">
        <f>IF(P3=0,0,P3/MBunk_act!P7*100)</f>
        <v>718.05230640132311</v>
      </c>
      <c r="Q13" s="62">
        <f>IF(Q3=0,0,Q3/MBunk_act!Q7*100)</f>
        <v>663.91838065566253</v>
      </c>
      <c r="R13" s="62">
        <f>IF(R3=0,0,R3/MBunk_act!R7*100)</f>
        <v>743.95021754910044</v>
      </c>
      <c r="S13" s="62">
        <f>IF(S3=0,0,S3/MBunk_act!S7*100)</f>
        <v>884.73565906478257</v>
      </c>
      <c r="T13" s="62">
        <f>IF(T3=0,0,T3/MBunk_act!T7*100)</f>
        <v>2578.4422152393499</v>
      </c>
      <c r="U13" s="62">
        <f>IF(U3=0,0,U3/MBunk_act!U7*100)</f>
        <v>3243.9528679498153</v>
      </c>
      <c r="V13" s="62">
        <f>IF(V3=0,0,V3/MBunk_act!V7*100)</f>
        <v>2615.5640494817085</v>
      </c>
      <c r="W13" s="62">
        <f>IF(W3=0,0,W3/MBunk_act!W7*100)</f>
        <v>2634.7176631792613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985.77316905528585</v>
      </c>
      <c r="C14" s="63">
        <f>IF(C4=0,0,C4/MBunk_act!C8*100)</f>
        <v>1012.3198306062511</v>
      </c>
      <c r="D14" s="63">
        <f>IF(D4=0,0,D4/MBunk_act!D8*100)</f>
        <v>1022.7219715218064</v>
      </c>
      <c r="E14" s="63">
        <f>IF(E4=0,0,E4/MBunk_act!E8*100)</f>
        <v>1045.1666719042748</v>
      </c>
      <c r="F14" s="63">
        <f>IF(F4=0,0,F4/MBunk_act!F8*100)</f>
        <v>1041.972992638433</v>
      </c>
      <c r="G14" s="63">
        <f>IF(G4=0,0,G4/MBunk_act!G8*100)</f>
        <v>1084.591046431415</v>
      </c>
      <c r="H14" s="63">
        <f>IF(H4=0,0,H4/MBunk_act!H8*100)</f>
        <v>1025.5195922307003</v>
      </c>
      <c r="I14" s="63">
        <f>IF(I4=0,0,I4/MBunk_act!I8*100)</f>
        <v>1015.0336663855029</v>
      </c>
      <c r="J14" s="63">
        <f>IF(J4=0,0,J4/MBunk_act!J8*100)</f>
        <v>936.52097291277755</v>
      </c>
      <c r="K14" s="63">
        <f>IF(K4=0,0,K4/MBunk_act!K8*100)</f>
        <v>385.92890674669087</v>
      </c>
      <c r="L14" s="63">
        <f>IF(L4=0,0,L4/MBunk_act!L8*100)</f>
        <v>411.24488648432083</v>
      </c>
      <c r="M14" s="63">
        <f>IF(M4=0,0,M4/MBunk_act!M8*100)</f>
        <v>1543.2864236376495</v>
      </c>
      <c r="N14" s="63">
        <f>IF(N4=0,0,N4/MBunk_act!N8*100)</f>
        <v>318.47568304787694</v>
      </c>
      <c r="O14" s="63">
        <f>IF(O4=0,0,O4/MBunk_act!O8*100)</f>
        <v>379.1061276625415</v>
      </c>
      <c r="P14" s="63">
        <f>IF(P4=0,0,P4/MBunk_act!P8*100)</f>
        <v>456.80831917118229</v>
      </c>
      <c r="Q14" s="63">
        <f>IF(Q4=0,0,Q4/MBunk_act!Q8*100)</f>
        <v>410.40190607763219</v>
      </c>
      <c r="R14" s="63">
        <f>IF(R4=0,0,R4/MBunk_act!R8*100)</f>
        <v>463.51516829377124</v>
      </c>
      <c r="S14" s="63">
        <f>IF(S4=0,0,S4/MBunk_act!S8*100)</f>
        <v>561.72549773470018</v>
      </c>
      <c r="T14" s="63">
        <f>IF(T4=0,0,T4/MBunk_act!T8*100)</f>
        <v>1625.8032681436009</v>
      </c>
      <c r="U14" s="63">
        <f>IF(U4=0,0,U4/MBunk_act!U8*100)</f>
        <v>2009.3755865802461</v>
      </c>
      <c r="V14" s="63">
        <f>IF(V4=0,0,V4/MBunk_act!V8*100)</f>
        <v>1543.3848615625438</v>
      </c>
      <c r="W14" s="63">
        <f>IF(W4=0,0,W4/MBunk_act!W8*100)</f>
        <v>1546.0670229379689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1415.3916145019332</v>
      </c>
      <c r="C15" s="64">
        <f>IF(C5=0,0,C5/MBunk_act!C9*100)</f>
        <v>1457.3349006939975</v>
      </c>
      <c r="D15" s="64">
        <f>IF(D5=0,0,D5/MBunk_act!D9*100)</f>
        <v>1472.0629225200369</v>
      </c>
      <c r="E15" s="64">
        <f>IF(E5=0,0,E5/MBunk_act!E9*100)</f>
        <v>1463.0031644981823</v>
      </c>
      <c r="F15" s="64">
        <f>IF(F5=0,0,F5/MBunk_act!F9*100)</f>
        <v>1475.1067965689299</v>
      </c>
      <c r="G15" s="64">
        <f>IF(G5=0,0,G5/MBunk_act!G9*100)</f>
        <v>1522.974520986553</v>
      </c>
      <c r="H15" s="64">
        <f>IF(H5=0,0,H5/MBunk_act!H9*100)</f>
        <v>1434.232345971084</v>
      </c>
      <c r="I15" s="64">
        <f>IF(I5=0,0,I5/MBunk_act!I9*100)</f>
        <v>1483.070018639004</v>
      </c>
      <c r="J15" s="64">
        <f>IF(J5=0,0,J5/MBunk_act!J9*100)</f>
        <v>1443.86998895528</v>
      </c>
      <c r="K15" s="64">
        <f>IF(K5=0,0,K5/MBunk_act!K9*100)</f>
        <v>751.4787839324315</v>
      </c>
      <c r="L15" s="64">
        <f>IF(L5=0,0,L5/MBunk_act!L9*100)</f>
        <v>861.20621816205835</v>
      </c>
      <c r="M15" s="64">
        <f>IF(M5=0,0,M5/MBunk_act!M9*100)</f>
        <v>3367.146591303785</v>
      </c>
      <c r="N15" s="64">
        <f>IF(N5=0,0,N5/MBunk_act!N9*100)</f>
        <v>760.58571892725308</v>
      </c>
      <c r="O15" s="64">
        <f>IF(O5=0,0,O5/MBunk_act!O9*100)</f>
        <v>862.97016000366136</v>
      </c>
      <c r="P15" s="64">
        <f>IF(P5=0,0,P5/MBunk_act!P9*100)</f>
        <v>992.77461048861312</v>
      </c>
      <c r="Q15" s="64">
        <f>IF(Q5=0,0,Q5/MBunk_act!Q9*100)</f>
        <v>895.46891450737451</v>
      </c>
      <c r="R15" s="64">
        <f>IF(R5=0,0,R5/MBunk_act!R9*100)</f>
        <v>975.74741411240154</v>
      </c>
      <c r="S15" s="64">
        <f>IF(S5=0,0,S5/MBunk_act!S9*100)</f>
        <v>1152.4188823063373</v>
      </c>
      <c r="T15" s="64">
        <f>IF(T5=0,0,T5/MBunk_act!T9*100)</f>
        <v>3297.6599660317761</v>
      </c>
      <c r="U15" s="64">
        <f>IF(U5=0,0,U5/MBunk_act!U9*100)</f>
        <v>4339.444513467698</v>
      </c>
      <c r="V15" s="64">
        <f>IF(V5=0,0,V5/MBunk_act!V9*100)</f>
        <v>3843.6449811731427</v>
      </c>
      <c r="W15" s="64">
        <f>IF(W5=0,0,W5/MBunk_act!W9*100)</f>
        <v>4077.4832003785727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1.8883673618248644</v>
      </c>
      <c r="C17" s="62">
        <f>IF(C3=0,0,C3/MBunk_act!C3*1000)</f>
        <v>1.8960590931817916</v>
      </c>
      <c r="D17" s="62">
        <f>IF(D3=0,0,D3/MBunk_act!D3*1000)</f>
        <v>1.8919946235210703</v>
      </c>
      <c r="E17" s="62">
        <f>IF(E3=0,0,E3/MBunk_act!E3*1000)</f>
        <v>1.9065439070557562</v>
      </c>
      <c r="F17" s="62">
        <f>IF(F3=0,0,F3/MBunk_act!F3*1000)</f>
        <v>1.9019098303658057</v>
      </c>
      <c r="G17" s="62">
        <f>IF(G3=0,0,G3/MBunk_act!G3*1000)</f>
        <v>1.9140889441119007</v>
      </c>
      <c r="H17" s="62">
        <f>IF(H3=0,0,H3/MBunk_act!H3*1000)</f>
        <v>1.7770487648537172</v>
      </c>
      <c r="I17" s="62">
        <f>IF(I3=0,0,I3/MBunk_act!I3*1000)</f>
        <v>1.5345907434141179</v>
      </c>
      <c r="J17" s="62">
        <f>IF(J3=0,0,J3/MBunk_act!J3*1000)</f>
        <v>1.2488768741012344</v>
      </c>
      <c r="K17" s="62">
        <f>IF(K3=0,0,K3/MBunk_act!K3*1000)</f>
        <v>0.61437143033613117</v>
      </c>
      <c r="L17" s="62">
        <f>IF(L3=0,0,L3/MBunk_act!L3*1000)</f>
        <v>0.57441669283721497</v>
      </c>
      <c r="M17" s="62">
        <f>IF(M3=0,0,M3/MBunk_act!M3*1000)</f>
        <v>2.2162434103652808</v>
      </c>
      <c r="N17" s="62">
        <f>IF(N3=0,0,N3/MBunk_act!N3*1000)</f>
        <v>0.43432134433271669</v>
      </c>
      <c r="O17" s="62">
        <f>IF(O3=0,0,O3/MBunk_act!O3*1000)</f>
        <v>0.45166713909311951</v>
      </c>
      <c r="P17" s="62">
        <f>IF(P3=0,0,P3/MBunk_act!P3*1000)</f>
        <v>0.50364330417193492</v>
      </c>
      <c r="Q17" s="62">
        <f>IF(Q3=0,0,Q3/MBunk_act!Q3*1000)</f>
        <v>0.39235947011078048</v>
      </c>
      <c r="R17" s="62">
        <f>IF(R3=0,0,R3/MBunk_act!R3*1000)</f>
        <v>0.43612240719961254</v>
      </c>
      <c r="S17" s="62">
        <f>IF(S3=0,0,S3/MBunk_act!S3*1000)</f>
        <v>0.53813247447817925</v>
      </c>
      <c r="T17" s="62">
        <f>IF(T3=0,0,T3/MBunk_act!T3*1000)</f>
        <v>1.4061623539576109</v>
      </c>
      <c r="U17" s="62">
        <f>IF(U3=0,0,U3/MBunk_act!U3*1000)</f>
        <v>1.7621606375414005</v>
      </c>
      <c r="V17" s="62">
        <f>IF(V3=0,0,V3/MBunk_act!V3*1000)</f>
        <v>1.5905998855003032</v>
      </c>
      <c r="W17" s="62">
        <f>IF(W3=0,0,W3/MBunk_act!W3*1000)</f>
        <v>1.7252207468648226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3.5312913764673746</v>
      </c>
      <c r="C18" s="63">
        <f>IF(C4=0,0,C4/MBunk_act!C4*1000)</f>
        <v>3.57904489459523</v>
      </c>
      <c r="D18" s="63">
        <f>IF(D4=0,0,D4/MBunk_act!D4*1000)</f>
        <v>3.5595562317258977</v>
      </c>
      <c r="E18" s="63">
        <f>IF(E4=0,0,E4/MBunk_act!E4*1000)</f>
        <v>3.6090840412387721</v>
      </c>
      <c r="F18" s="63">
        <f>IF(F4=0,0,F4/MBunk_act!F4*1000)</f>
        <v>3.5941023305150823</v>
      </c>
      <c r="G18" s="63">
        <f>IF(G4=0,0,G4/MBunk_act!G4*1000)</f>
        <v>3.6594015527186339</v>
      </c>
      <c r="H18" s="63">
        <f>IF(H4=0,0,H4/MBunk_act!H4*1000)</f>
        <v>3.2575900710539303</v>
      </c>
      <c r="I18" s="63">
        <f>IF(I4=0,0,I4/MBunk_act!I4*1000)</f>
        <v>3.138076715783336</v>
      </c>
      <c r="J18" s="63">
        <f>IF(J4=0,0,J4/MBunk_act!J4*1000)</f>
        <v>2.8455655707094896</v>
      </c>
      <c r="K18" s="63">
        <f>IF(K4=0,0,K4/MBunk_act!K4*1000)</f>
        <v>1.1411137115206271</v>
      </c>
      <c r="L18" s="63">
        <f>IF(L4=0,0,L4/MBunk_act!L4*1000)</f>
        <v>1.2019523948294522</v>
      </c>
      <c r="M18" s="63">
        <f>IF(M4=0,0,M4/MBunk_act!M4*1000)</f>
        <v>4.4839822299063155</v>
      </c>
      <c r="N18" s="63">
        <f>IF(N4=0,0,N4/MBunk_act!N4*1000)</f>
        <v>0.92005116231429185</v>
      </c>
      <c r="O18" s="63">
        <f>IF(O4=0,0,O4/MBunk_act!O4*1000)</f>
        <v>1.0768786158300607</v>
      </c>
      <c r="P18" s="63">
        <f>IF(P4=0,0,P4/MBunk_act!P4*1000)</f>
        <v>1.2596155789647561</v>
      </c>
      <c r="Q18" s="63">
        <f>IF(Q4=0,0,Q4/MBunk_act!Q4*1000)</f>
        <v>1.0546073311588009</v>
      </c>
      <c r="R18" s="63">
        <f>IF(R4=0,0,R4/MBunk_act!R4*1000)</f>
        <v>1.1691365662654107</v>
      </c>
      <c r="S18" s="63">
        <f>IF(S4=0,0,S4/MBunk_act!S4*1000)</f>
        <v>1.3931639771288828</v>
      </c>
      <c r="T18" s="63">
        <f>IF(T4=0,0,T4/MBunk_act!T4*1000)</f>
        <v>3.9031997810589081</v>
      </c>
      <c r="U18" s="63">
        <f>IF(U4=0,0,U4/MBunk_act!U4*1000)</f>
        <v>4.9052275017164586</v>
      </c>
      <c r="V18" s="63">
        <f>IF(V4=0,0,V4/MBunk_act!V4*1000)</f>
        <v>3.3785788594547439</v>
      </c>
      <c r="W18" s="63">
        <f>IF(W4=0,0,W4/MBunk_act!W4*1000)</f>
        <v>3.5988041800798385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1.4406227824570563</v>
      </c>
      <c r="C19" s="64">
        <f>IF(C5=0,0,C5/MBunk_act!C5*1000)</f>
        <v>1.4475110669253308</v>
      </c>
      <c r="D19" s="64">
        <f>IF(D5=0,0,D5/MBunk_act!D5*1000)</f>
        <v>1.4468387584791811</v>
      </c>
      <c r="E19" s="64">
        <f>IF(E5=0,0,E5/MBunk_act!E5*1000)</f>
        <v>1.4507099283597513</v>
      </c>
      <c r="F19" s="64">
        <f>IF(F5=0,0,F5/MBunk_act!F5*1000)</f>
        <v>1.4491524433241632</v>
      </c>
      <c r="G19" s="64">
        <f>IF(G5=0,0,G5/MBunk_act!G5*1000)</f>
        <v>1.4592268992205966</v>
      </c>
      <c r="H19" s="64">
        <f>IF(H5=0,0,H5/MBunk_act!H5*1000)</f>
        <v>1.353467243250291</v>
      </c>
      <c r="I19" s="64">
        <f>IF(I5=0,0,I5/MBunk_act!I5*1000)</f>
        <v>1.1676356729342836</v>
      </c>
      <c r="J19" s="64">
        <f>IF(J5=0,0,J5/MBunk_act!J5*1000)</f>
        <v>0.9579923800247867</v>
      </c>
      <c r="K19" s="64">
        <f>IF(K5=0,0,K5/MBunk_act!K5*1000)</f>
        <v>0.45435690908365967</v>
      </c>
      <c r="L19" s="64">
        <f>IF(L5=0,0,L5/MBunk_act!L5*1000)</f>
        <v>0.42584161079653982</v>
      </c>
      <c r="M19" s="64">
        <f>IF(M5=0,0,M5/MBunk_act!M5*1000)</f>
        <v>1.6280663870443668</v>
      </c>
      <c r="N19" s="64">
        <f>IF(N5=0,0,N5/MBunk_act!N5*1000)</f>
        <v>0.32088050698199133</v>
      </c>
      <c r="O19" s="64">
        <f>IF(O5=0,0,O5/MBunk_act!O5*1000)</f>
        <v>0.34582724563664913</v>
      </c>
      <c r="P19" s="64">
        <f>IF(P5=0,0,P5/MBunk_act!P5*1000)</f>
        <v>0.39029969939322279</v>
      </c>
      <c r="Q19" s="64">
        <f>IF(Q5=0,0,Q5/MBunk_act!Q5*1000)</f>
        <v>0.31069062985544832</v>
      </c>
      <c r="R19" s="64">
        <f>IF(R5=0,0,R5/MBunk_act!R5*1000)</f>
        <v>0.34996793851569175</v>
      </c>
      <c r="S19" s="64">
        <f>IF(S5=0,0,S5/MBunk_act!S5*1000)</f>
        <v>0.43122608867486856</v>
      </c>
      <c r="T19" s="64">
        <f>IF(T5=0,0,T5/MBunk_act!T5*1000)</f>
        <v>1.1357225034960532</v>
      </c>
      <c r="U19" s="64">
        <f>IF(U5=0,0,U5/MBunk_act!U5*1000)</f>
        <v>1.3949127674454453</v>
      </c>
      <c r="V19" s="64">
        <f>IF(V5=0,0,V5/MBunk_act!V5*1000)</f>
        <v>1.2792352124391613</v>
      </c>
      <c r="W19" s="64">
        <f>IF(W5=0,0,W5/MBunk_act!W5*1000)</f>
        <v>1.3674729748802821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0.40049049174572993</v>
      </c>
      <c r="C22" s="77">
        <f t="shared" si="2"/>
        <v>0.39722081503876133</v>
      </c>
      <c r="D22" s="77">
        <f t="shared" si="2"/>
        <v>0.39641185657607658</v>
      </c>
      <c r="E22" s="77">
        <f t="shared" si="2"/>
        <v>0.39978836932044381</v>
      </c>
      <c r="F22" s="77">
        <f t="shared" si="2"/>
        <v>0.39888610636341287</v>
      </c>
      <c r="G22" s="77">
        <f t="shared" si="2"/>
        <v>0.39524874125268972</v>
      </c>
      <c r="H22" s="77">
        <f t="shared" si="2"/>
        <v>0.40779240546170742</v>
      </c>
      <c r="I22" s="77">
        <f t="shared" si="2"/>
        <v>0.38082059769025206</v>
      </c>
      <c r="J22" s="77">
        <f t="shared" si="2"/>
        <v>0.3511282279815609</v>
      </c>
      <c r="K22" s="77">
        <f t="shared" si="2"/>
        <v>0.43276720105466204</v>
      </c>
      <c r="L22" s="77">
        <f t="shared" si="2"/>
        <v>0.40057374030880349</v>
      </c>
      <c r="M22" s="77">
        <f t="shared" si="2"/>
        <v>0.4166861591636819</v>
      </c>
      <c r="N22" s="77">
        <f t="shared" si="2"/>
        <v>0.40106955258550747</v>
      </c>
      <c r="O22" s="77">
        <f t="shared" si="2"/>
        <v>0.34518328449654367</v>
      </c>
      <c r="P22" s="77">
        <f t="shared" si="2"/>
        <v>0.32608766193517352</v>
      </c>
      <c r="Q22" s="77">
        <f t="shared" si="2"/>
        <v>0.29507928750214851</v>
      </c>
      <c r="R22" s="77">
        <f t="shared" si="2"/>
        <v>0.28194301544505002</v>
      </c>
      <c r="S22" s="77">
        <f t="shared" si="2"/>
        <v>0.28771973527061251</v>
      </c>
      <c r="T22" s="77">
        <f t="shared" si="2"/>
        <v>0.27125136813010325</v>
      </c>
      <c r="U22" s="77">
        <f t="shared" si="2"/>
        <v>0.29122381537296965</v>
      </c>
      <c r="V22" s="77">
        <f t="shared" si="2"/>
        <v>0.31503507893904054</v>
      </c>
      <c r="W22" s="77">
        <f t="shared" si="2"/>
        <v>0.33444633619179842</v>
      </c>
      <c r="DA22" s="184"/>
    </row>
    <row r="23" spans="1:105" ht="11.45" customHeight="1" x14ac:dyDescent="0.25">
      <c r="A23" s="57" t="s">
        <v>171</v>
      </c>
      <c r="B23" s="78">
        <f t="shared" si="2"/>
        <v>0.59950950825427007</v>
      </c>
      <c r="C23" s="78">
        <f t="shared" si="2"/>
        <v>0.60277918496123861</v>
      </c>
      <c r="D23" s="78">
        <f t="shared" si="2"/>
        <v>0.60358814342392342</v>
      </c>
      <c r="E23" s="78">
        <f t="shared" si="2"/>
        <v>0.6002116306795563</v>
      </c>
      <c r="F23" s="78">
        <f t="shared" si="2"/>
        <v>0.60111389363658729</v>
      </c>
      <c r="G23" s="78">
        <f t="shared" si="2"/>
        <v>0.60475125874731028</v>
      </c>
      <c r="H23" s="78">
        <f t="shared" si="2"/>
        <v>0.59220759453829253</v>
      </c>
      <c r="I23" s="78">
        <f t="shared" si="2"/>
        <v>0.61917940230974788</v>
      </c>
      <c r="J23" s="78">
        <f t="shared" si="2"/>
        <v>0.64887177201843904</v>
      </c>
      <c r="K23" s="78">
        <f t="shared" si="2"/>
        <v>0.56723279894533807</v>
      </c>
      <c r="L23" s="78">
        <f t="shared" si="2"/>
        <v>0.59942625969119656</v>
      </c>
      <c r="M23" s="78">
        <f t="shared" si="2"/>
        <v>0.58331384083631799</v>
      </c>
      <c r="N23" s="78">
        <f t="shared" si="2"/>
        <v>0.59893044741449264</v>
      </c>
      <c r="O23" s="78">
        <f t="shared" si="2"/>
        <v>0.65481671550345621</v>
      </c>
      <c r="P23" s="78">
        <f t="shared" si="2"/>
        <v>0.67391233806482642</v>
      </c>
      <c r="Q23" s="78">
        <f t="shared" si="2"/>
        <v>0.70492071249785149</v>
      </c>
      <c r="R23" s="78">
        <f t="shared" si="2"/>
        <v>0.71805698455495004</v>
      </c>
      <c r="S23" s="78">
        <f t="shared" si="2"/>
        <v>0.71228026472938755</v>
      </c>
      <c r="T23" s="78">
        <f t="shared" si="2"/>
        <v>0.7287486318698968</v>
      </c>
      <c r="U23" s="78">
        <f t="shared" si="2"/>
        <v>0.7087761846270304</v>
      </c>
      <c r="V23" s="78">
        <f t="shared" si="2"/>
        <v>0.68496492106095941</v>
      </c>
      <c r="W23" s="78">
        <f t="shared" si="2"/>
        <v>0.66555366380820158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942250-C6DB-45BF-BC89-CD48BA922DB3}"/>
</file>

<file path=customXml/itemProps2.xml><?xml version="1.0" encoding="utf-8"?>
<ds:datastoreItem xmlns:ds="http://schemas.openxmlformats.org/officeDocument/2006/customXml" ds:itemID="{9E4273F2-3415-4E87-9EA3-0AE11DF8DEF0}"/>
</file>

<file path=customXml/itemProps3.xml><?xml version="1.0" encoding="utf-8"?>
<ds:datastoreItem xmlns:ds="http://schemas.openxmlformats.org/officeDocument/2006/customXml" ds:itemID="{F7F8B376-34DC-4A35-9ECC-CDD4C24418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2024-05-20T16:51:03Z</dcterms:created>
  <dcterms:modified xsi:type="dcterms:W3CDTF">2024-05-20T16:51:04Z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