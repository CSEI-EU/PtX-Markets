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K5" i="29" s="1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L12" i="29"/>
  <c r="L11" i="29" s="1"/>
  <c r="K12" i="29"/>
  <c r="J12" i="29"/>
  <c r="I12" i="29"/>
  <c r="H12" i="29"/>
  <c r="G12" i="29"/>
  <c r="G4" i="29" s="1"/>
  <c r="F12" i="29"/>
  <c r="E12" i="29"/>
  <c r="E4" i="29" s="1"/>
  <c r="D12" i="29"/>
  <c r="D11" i="29" s="1"/>
  <c r="T9" i="29"/>
  <c r="R9" i="29"/>
  <c r="L9" i="29"/>
  <c r="J9" i="29"/>
  <c r="D9" i="29"/>
  <c r="V8" i="29"/>
  <c r="P8" i="29"/>
  <c r="N8" i="29"/>
  <c r="H8" i="29"/>
  <c r="F8" i="29"/>
  <c r="T7" i="29"/>
  <c r="R7" i="29"/>
  <c r="L7" i="29"/>
  <c r="J7" i="29"/>
  <c r="I7" i="29"/>
  <c r="G7" i="29"/>
  <c r="D7" i="29"/>
  <c r="V6" i="29"/>
  <c r="P6" i="29"/>
  <c r="N6" i="29"/>
  <c r="H6" i="29"/>
  <c r="F6" i="29"/>
  <c r="E6" i="29"/>
  <c r="T5" i="29"/>
  <c r="R5" i="29"/>
  <c r="L5" i="29"/>
  <c r="J5" i="29"/>
  <c r="D5" i="29"/>
  <c r="V4" i="29"/>
  <c r="P4" i="29"/>
  <c r="N4" i="29"/>
  <c r="M4" i="29"/>
  <c r="H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J11" i="29" l="1"/>
  <c r="V11" i="29"/>
  <c r="U11" i="29"/>
  <c r="U6" i="29"/>
  <c r="U4" i="29"/>
  <c r="S7" i="29"/>
  <c r="U8" i="29"/>
  <c r="W8" i="29"/>
  <c r="S9" i="29"/>
  <c r="W6" i="29"/>
  <c r="W11" i="29"/>
  <c r="K11" i="29"/>
  <c r="G11" i="29"/>
  <c r="W4" i="29"/>
  <c r="S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8" l="1"/>
  <c r="V4" i="14"/>
  <c r="N3" i="29"/>
  <c r="W3" i="29"/>
  <c r="U19" i="25"/>
  <c r="U15" i="24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M29" i="24" l="1"/>
  <c r="J19" i="24"/>
  <c r="J29" i="13"/>
  <c r="K4" i="24"/>
  <c r="C4" i="13"/>
  <c r="O4" i="23"/>
  <c r="J19" i="23"/>
  <c r="P29" i="13"/>
  <c r="G19" i="23"/>
  <c r="P29" i="23"/>
  <c r="J4" i="13"/>
  <c r="O4" i="24"/>
  <c r="P29" i="12"/>
  <c r="O29" i="23"/>
  <c r="F4" i="12"/>
  <c r="P19" i="24"/>
  <c r="C4" i="12"/>
  <c r="G16" i="12"/>
  <c r="L19" i="24"/>
  <c r="C4" i="24"/>
  <c r="P19" i="13"/>
  <c r="F16" i="12"/>
  <c r="O29" i="13"/>
  <c r="D16" i="14"/>
  <c r="D16" i="17" s="1"/>
  <c r="K16" i="12"/>
  <c r="K16" i="15" s="1"/>
  <c r="I19" i="12"/>
  <c r="O29" i="12"/>
  <c r="K19" i="12"/>
  <c r="E4" i="13"/>
  <c r="E19" i="24"/>
  <c r="I4" i="23"/>
  <c r="G16" i="13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P16" i="24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Q4" i="26" s="1"/>
  <c r="J29" i="24"/>
  <c r="P16" i="13"/>
  <c r="C29" i="12"/>
  <c r="G16" i="24"/>
  <c r="I4" i="12"/>
  <c r="L16" i="13"/>
  <c r="L16" i="16" s="1"/>
  <c r="B29" i="13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D16" i="12"/>
  <c r="D16" i="15" s="1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154" i="6"/>
  <c r="B130" i="6"/>
  <c r="Q3" i="12"/>
  <c r="Q3" i="15" s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21" i="4"/>
  <c r="B14" i="4"/>
  <c r="B30" i="4"/>
  <c r="B20" i="4"/>
  <c r="B29" i="4"/>
  <c r="B35" i="4"/>
  <c r="B24" i="4"/>
  <c r="B43" i="4"/>
  <c r="B4" i="4"/>
  <c r="B8" i="4"/>
  <c r="B45" i="4"/>
  <c r="B34" i="4"/>
  <c r="B28" i="4"/>
  <c r="B13" i="4"/>
  <c r="B27" i="4"/>
  <c r="B15" i="4"/>
  <c r="B22" i="4"/>
  <c r="B10" i="4"/>
  <c r="B12" i="4"/>
  <c r="B7" i="4"/>
  <c r="B9" i="4"/>
  <c r="B23" i="4"/>
  <c r="B36" i="4"/>
  <c r="B25" i="4"/>
  <c r="B16" i="4"/>
  <c r="B39" i="4"/>
  <c r="B26" i="4"/>
  <c r="B38" i="4"/>
  <c r="B44" i="4"/>
  <c r="B37" i="4"/>
  <c r="B11" i="4"/>
  <c r="B17" i="4"/>
  <c r="B4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<sst xmlns="http://schemas.openxmlformats.org/spreadsheetml/2006/main" count="2099" uniqueCount="1055">
  <si>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</si>
  <si>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</si>
  <si>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</si>
  <si>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</si>
  <si>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</si>
  <si>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</si>
  <si>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</si>
  <si>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</si>
  <si>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</si>
  <si>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</si>
  <si>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</si>
  <si>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</si>
  <si>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</si>
  <si>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</si>
  <si>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</si>
  <si>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</si>
  <si>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</si>
  <si>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</si>
  <si>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</si>
  <si>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</si>
  <si>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</si>
  <si>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</si>
  <si>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</si>
  <si>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</si>
  <si>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</si>
  <si>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</si>
  <si>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</si>
  <si>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</si>
  <si>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</si>
  <si>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</si>
  <si>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</si>
  <si>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</si>
  <si>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</si>
  <si>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</si>
  <si>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</si>
  <si>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</si>
  <si>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</si>
  <si>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</si>
  <si>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</si>
  <si>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</si>
  <si>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</si>
  <si>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</si>
  <si>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</si>
  <si>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</si>
  <si>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</si>
  <si>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</si>
  <si>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</si>
  <si>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</si>
  <si>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</si>
  <si>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</si>
  <si>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</si>
  <si>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</si>
  <si>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</si>
  <si>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</si>
  <si>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</si>
  <si>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</si>
  <si>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</si>
  <si>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</si>
  <si>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</si>
  <si>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</si>
  <si>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</si>
  <si>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</si>
  <si>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</si>
  <si>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</si>
  <si>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</si>
  <si>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</si>
  <si>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</si>
  <si>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</si>
  <si>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</si>
  <si>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</si>
  <si>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</si>
  <si>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</si>
  <si>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</si>
  <si>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</si>
  <si>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</si>
  <si>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</si>
  <si>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</si>
  <si>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</si>
  <si>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</si>
  <si>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</si>
  <si>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</si>
  <si>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</si>
  <si>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</si>
  <si>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</si>
  <si>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</si>
  <si>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</si>
  <si>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</si>
  <si>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</si>
  <si>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</si>
  <si>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</si>
  <si>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</si>
  <si>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</si>
  <si>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</si>
  <si>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</si>
  <si>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</si>
  <si>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</si>
  <si>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</si>
  <si>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</si>
  <si>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</si>
  <si>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</si>
  <si>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</si>
  <si>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</si>
  <si>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</si>
  <si>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</si>
  <si>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</si>
  <si>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</si>
  <si>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</si>
  <si>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</si>
  <si>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</si>
  <si>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</si>
  <si>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</si>
  <si>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</si>
  <si>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</si>
  <si>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</si>
  <si>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</si>
  <si>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</si>
  <si>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</si>
  <si>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</si>
  <si>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</si>
  <si>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</si>
  <si>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</si>
  <si>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</si>
  <si>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</si>
  <si>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</si>
  <si>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</si>
  <si>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</si>
  <si>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</si>
  <si>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</si>
  <si>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</si>
  <si>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</si>
  <si>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</si>
  <si>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</si>
  <si>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</si>
  <si>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</si>
  <si>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</si>
  <si>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</si>
  <si>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</si>
  <si>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</si>
  <si>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</si>
  <si>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</si>
  <si>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</si>
  <si>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</si>
  <si>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</si>
  <si>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</si>
  <si>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</si>
  <si>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</si>
  <si>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</si>
  <si>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</si>
  <si>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</si>
  <si>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</si>
  <si>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</si>
  <si>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</si>
  <si>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</si>
  <si>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</si>
  <si>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</si>
  <si>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</si>
  <si>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</si>
  <si>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</si>
  <si>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</si>
  <si>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</si>
  <si>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</si>
  <si>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</si>
  <si>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</si>
  <si>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</si>
  <si>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</si>
  <si>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</si>
  <si>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</si>
  <si>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</si>
  <si>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</si>
  <si>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</si>
  <si>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</si>
  <si>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</si>
  <si>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</si>
  <si>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</si>
  <si>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</si>
  <si>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</si>
  <si>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</si>
  <si>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</si>
  <si>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</si>
  <si>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</si>
  <si>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</si>
  <si>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</si>
  <si>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</si>
  <si>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</si>
  <si>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HR</t>
  </si>
  <si>
    <t>Croatia</t>
  </si>
  <si>
    <t>HR - Services sector summary</t>
  </si>
  <si>
    <t>Macro.number.HR.Population</t>
  </si>
  <si>
    <t>Macro.Meuro2015.HR.GDP</t>
  </si>
  <si>
    <t>Macro.Meuro2015.HR.VA</t>
  </si>
  <si>
    <t>Macro.number.HR.Employees</t>
  </si>
  <si>
    <t>NUM.number.HR.Ser.Bld</t>
  </si>
  <si>
    <t>SurfaceArea.ksqm.HR.Ser.Bld</t>
  </si>
  <si>
    <t>NUM.number.HR.Ser.BldNew</t>
  </si>
  <si>
    <t>SurfaceArea.ksqm.HR.Ser.BldNew</t>
  </si>
  <si>
    <t>HDD.Celsius.HR.Actual</t>
  </si>
  <si>
    <t>HDD.Celsius.HR.Mean</t>
  </si>
  <si>
    <t>HDD.ratio.HR.Relative</t>
  </si>
  <si>
    <t>FEC.ktoe.HR.ES.Ser</t>
  </si>
  <si>
    <t>FEC.ktoe.HR.ES.Ser.Solids</t>
  </si>
  <si>
    <t>FEC.ktoe.HR.ES.Ser.LPG</t>
  </si>
  <si>
    <t>FEC.ktoe.HR.ES.Ser.Oil</t>
  </si>
  <si>
    <t>FEC.ktoe.HR.ES.Ser.NG</t>
  </si>
  <si>
    <t>FEC.ktoe.HR.ES.Ser.Biomass_Waste</t>
  </si>
  <si>
    <t>FEC.ktoe.HR.ES.Ser.Biogas</t>
  </si>
  <si>
    <t>FEC.ktoe.HR.ES.Ser.LiqBio</t>
  </si>
  <si>
    <t>FEC.ktoe.HR.ES.Ser.Solar</t>
  </si>
  <si>
    <t>FEC.ktoe.HR.ES.Ser.Geo</t>
  </si>
  <si>
    <t>FEC.ktoe.HR.ES.Ser.Ambient</t>
  </si>
  <si>
    <t>FEC.ktoe.HR.ES.Ser.Steam_Distr</t>
  </si>
  <si>
    <t>FEC.ktoe.HR.ES.Ser.Elec</t>
  </si>
  <si>
    <t>FEC.ktoe.HR.Ser</t>
  </si>
  <si>
    <t>FEC.ktoe.HR.Ser.Bld.Thermal</t>
  </si>
  <si>
    <t>FEC.ktoe.HR.Ser.Bld.Thermal.SH</t>
  </si>
  <si>
    <t>FEC.ktoe.HR.Ser.Bld.Thermal.SC</t>
  </si>
  <si>
    <t>FEC.ktoe.HR.Ser.Bld.Thermal.HW</t>
  </si>
  <si>
    <t>FEC.ktoe.HR.Ser.Bld.Thermal.CA</t>
  </si>
  <si>
    <t>FEC.ktoe.HR.Ser.SEU</t>
  </si>
  <si>
    <t>EMI.ktCO2.HR.ES.Ser</t>
  </si>
  <si>
    <t>EMI.ktCO2.HR.ES.Ser.Solids</t>
  </si>
  <si>
    <t>EMI.ktCO2.HR.ES.Ser.LPG</t>
  </si>
  <si>
    <t>EMI.ktCO2.HR.ES.Ser.Oil</t>
  </si>
  <si>
    <t>EMI.ktCO2.HR.ES.Ser.NG</t>
  </si>
  <si>
    <t>EMI.ktCO2.HR.ES.Ser.Biomass_Waste</t>
  </si>
  <si>
    <t>EMI.ktCO2.HR.ES.Ser.Biogas</t>
  </si>
  <si>
    <t>EMI.ktCO2.HR.ES.Ser.LiqBio</t>
  </si>
  <si>
    <t>EMI.ktCO2.HR.ES.Ser.Solar</t>
  </si>
  <si>
    <t>EMI.ktCO2.HR.ES.Ser.Geo</t>
  </si>
  <si>
    <t>EMI.ktCO2.HR.ES.Ser.Ambient</t>
  </si>
  <si>
    <t>EMI.ktCO2.HR.ES.Ser.Steam_Distr</t>
  </si>
  <si>
    <t>EMI.ktCO2.HR.ES.Ser.Elec</t>
  </si>
  <si>
    <t>EMI.ktCO2.HR.Ser</t>
  </si>
  <si>
    <t>EMI.ktCO2.HR.Ser.Bld.Thermal</t>
  </si>
  <si>
    <t>EMI.ktCO2.HR.Ser.Bld.Thermal.SH</t>
  </si>
  <si>
    <t>EMI.ktCO2.HR.Ser.Bld.Thermal.SC</t>
  </si>
  <si>
    <t>EMI.ktCO2.HR.Ser.Bld.Thermal.HW</t>
  </si>
  <si>
    <t>EMI.ktCO2.HR.Ser.Bld.Thermal.CA</t>
  </si>
  <si>
    <t>EMI.ktCO2.HR.Ser.SEU</t>
  </si>
  <si>
    <t>Eff.ratio.HR.Ser.Bld.Thermal</t>
  </si>
  <si>
    <t>Eff.ratio.HR.Ser.Bld.Thermal.SH</t>
  </si>
  <si>
    <t>Eff.ratio.HR.Ser.Bld.Thermal.SC</t>
  </si>
  <si>
    <t>Eff.ratio.HR.Ser.Bld.Thermal.HW</t>
  </si>
  <si>
    <t>Eff.ratio.HR.Ser.Bld.Thermal.CA</t>
  </si>
  <si>
    <t>HR - Number of buildings</t>
  </si>
  <si>
    <t>NUM.number.HR.Ser.Bld.Thermal</t>
  </si>
  <si>
    <t>NUM.number.HR.Ser.Bld.Thermal.SH</t>
  </si>
  <si>
    <t>NUM.number.HR.Ser.Bld.Thermal.SH.Solids</t>
  </si>
  <si>
    <t>NUM.number.HR.Ser.Bld.Thermal.SH.LPG</t>
  </si>
  <si>
    <t>NUM.number.HR.Ser.Bld.Thermal.SH.Oil</t>
  </si>
  <si>
    <t>NUM.number.HR.Ser.Bld.Thermal.SH.GasHP</t>
  </si>
  <si>
    <t>NUM.number.HR.Ser.Bld.Thermal.SH.GasTH</t>
  </si>
  <si>
    <t>NUM.number.HR.Ser.Bld.Thermal.SH.Biomass</t>
  </si>
  <si>
    <t>NUM.number.HR.Ser.Bld.Thermal.SH.Geo</t>
  </si>
  <si>
    <t>NUM.number.HR.Ser.Bld.Thermal.SH.DistrHeat</t>
  </si>
  <si>
    <t>NUM.number.HR.Ser.Bld.Thermal.SH.AdvElc</t>
  </si>
  <si>
    <t>NUM.number.HR.Ser.Bld.Thermal.SH.ConvElc</t>
  </si>
  <si>
    <t>NUM.number.HR.Ser.Bld.Thermal.SC</t>
  </si>
  <si>
    <t>NUM.number.HR.Ser.Bld.Thermal.SC.GasHP</t>
  </si>
  <si>
    <t>NUM.number.HR.Ser.Bld.Thermal.SC.AC</t>
  </si>
  <si>
    <t>NUM.number.HR.Ser.Bld.Thermal.HW</t>
  </si>
  <si>
    <t>NUM.number.HR.Ser.Bld.Thermal.HW.Solids</t>
  </si>
  <si>
    <t>NUM.number.HR.Ser.Bld.Thermal.HW.LPG</t>
  </si>
  <si>
    <t>NUM.number.HR.Ser.Bld.Thermal.HW.Oil</t>
  </si>
  <si>
    <t>NUM.number.HR.Ser.Bld.Thermal.HW.Gas</t>
  </si>
  <si>
    <t>NUM.number.HR.Ser.Bld.Thermal.HW.Biomass</t>
  </si>
  <si>
    <t>NUM.number.HR.Ser.Bld.Thermal.HW.DistrHeat</t>
  </si>
  <si>
    <t>NUM.number.HR.Ser.Bld.Thermal.HW.Elc</t>
  </si>
  <si>
    <t>NUM.number.HR.Ser.Bld.Thermal.HW.Solar</t>
  </si>
  <si>
    <t>NUM.number.HR.Ser.Bld.Thermal.CA</t>
  </si>
  <si>
    <t>NUM.number.HR.Ser.Bld.Thermal.CA.LPG</t>
  </si>
  <si>
    <t>NUM.number.HR.Ser.Bld.Thermal.CA.Gas</t>
  </si>
  <si>
    <t>NUM.number.HR.Ser.Bld.Thermal.CA.Biomass</t>
  </si>
  <si>
    <t>NUM.number.HR.Ser.Bld.Thermal.CA.Elc</t>
  </si>
  <si>
    <t>HR - Final energy consumption</t>
  </si>
  <si>
    <t>FEC.ktoe.HR.Ser.Bld.Thermal.SH.Solids.Solids</t>
  </si>
  <si>
    <t>FEC.ktoe.HR.Ser.Bld.Thermal.SH.LPG.LPG</t>
  </si>
  <si>
    <t>FEC.ktoe.HR.Ser.Bld.Thermal.SH.Oil.Oil_LiqBio</t>
  </si>
  <si>
    <t>FEC.ktoe.HR.Ser.Bld.Thermal.SH.GasHP.NG_Biogas</t>
  </si>
  <si>
    <t>FEC.ktoe.HR.Ser.Bld.Thermal.SH.GasTH.NG_Biogas</t>
  </si>
  <si>
    <t>FEC.ktoe.HR.Ser.Bld.Thermal.SH.Biomass.Biomass_Waste</t>
  </si>
  <si>
    <t>FEC.ktoe.HR.Ser.Bld.Thermal.SH.Geo.Geo</t>
  </si>
  <si>
    <t>FEC.ktoe.HR.Ser.Bld.Thermal.SH.DistrHeat.Steam_Distr</t>
  </si>
  <si>
    <t>FEC.ktoe.HR.Ser.Bld.Thermal.SH.AdvElc.Elec</t>
  </si>
  <si>
    <t>FEC.ktoe.HR.Ser.Bld.Thermal.SH.ConvElc.Elec</t>
  </si>
  <si>
    <t>FEC.ktoe.HR.Ser.Bld.Thermal.SH.TotalCirculation.Elec</t>
  </si>
  <si>
    <t>FEC.ktoe.HR.Ser.Bld.Thermal.SC.GasHP.NG_Biogas</t>
  </si>
  <si>
    <t>FEC.ktoe.HR.Ser.Bld.Thermal.SC.AC.Elec</t>
  </si>
  <si>
    <t>FEC.ktoe.HR.Ser.Bld.Thermal.HW.Solids.Solids</t>
  </si>
  <si>
    <t>FEC.ktoe.HR.Ser.Bld.Thermal.HW.LPG.LPG</t>
  </si>
  <si>
    <t>FEC.ktoe.HR.Ser.Bld.Thermal.HW.Oil.Oil_LiqBio</t>
  </si>
  <si>
    <t>FEC.ktoe.HR.Ser.Bld.Thermal.HW.Gas.NG_Biogas</t>
  </si>
  <si>
    <t>FEC.ktoe.HR.Ser.Bld.Thermal.HW.Biomass.Biomass_Waste</t>
  </si>
  <si>
    <t>FEC.ktoe.HR.Ser.Bld.Thermal.HW.DistrHeat.Steam_Distr</t>
  </si>
  <si>
    <t>FEC.ktoe.HR.Ser.Bld.Thermal.HW.Elc.Elec</t>
  </si>
  <si>
    <t>FEC.ktoe.HR.Ser.Bld.Thermal.HW.TotalSolar.Solar</t>
  </si>
  <si>
    <t>FEC.ktoe.HR.Ser.Bld.Thermal.CA.LPG</t>
  </si>
  <si>
    <t>FEC.ktoe.HR.Ser.Bld.Thermal.CA.Gas.NG_Biogas</t>
  </si>
  <si>
    <t>FEC.ktoe.HR.Ser.Bld.Thermal.CA.Biomass.Biomass_Waste</t>
  </si>
  <si>
    <t>FEC.ktoe.HR.Ser.Bld.Thermal.CA.Elc.Elec</t>
  </si>
  <si>
    <t>HR - Thermal energy service</t>
  </si>
  <si>
    <t>TES.ktoe.HR.Ser.Bld.Thermal</t>
  </si>
  <si>
    <t>TES.ktoe.HR.Ser.Bld.Thermal.SH</t>
  </si>
  <si>
    <t>TES.ktoe.HR.Ser.Bld.Thermal.SH.Solids.Solids</t>
  </si>
  <si>
    <t>TES.ktoe.HR.Ser.Bld.Thermal.SH.LPG.LPG</t>
  </si>
  <si>
    <t>TES.ktoe.HR.Ser.Bld.Thermal.SH.Oil.Oil_LiqBio</t>
  </si>
  <si>
    <t>TES.ktoe.HR.Ser.Bld.Thermal.SH.GasHP.NG_Biogas</t>
  </si>
  <si>
    <t>TES.ktoe.HR.Ser.Bld.Thermal.SH.GasTH.NG_Biogas</t>
  </si>
  <si>
    <t>TES.ktoe.HR.Ser.Bld.Thermal.SH.Biomass.Biomass_Waste</t>
  </si>
  <si>
    <t>TES.ktoe.HR.Ser.Bld.Thermal.SH.Geo.Geo</t>
  </si>
  <si>
    <t>TES.ktoe.HR.Ser.Bld.Thermal.SH.DistrHeat.Steam_Distr</t>
  </si>
  <si>
    <t>TES.ktoe.HR.Ser.Bld.Thermal.SH.AdvElc.Elec</t>
  </si>
  <si>
    <t>TES.ktoe.HR.Ser.Bld.Thermal.SH.ConvElc.Elec</t>
  </si>
  <si>
    <t>TES.ktoe.HR.Ser.Bld.Thermal.SH.TotalCirculation.Elec</t>
  </si>
  <si>
    <t>TES.ktoe.HR.Ser.Bld.Thermal.SC</t>
  </si>
  <si>
    <t>TES.ktoe.HR.Ser.Bld.Thermal.SC.GasHP.NG_Biogas</t>
  </si>
  <si>
    <t>TES.ktoe.HR.Ser.Bld.Thermal.SC.AC.Elec</t>
  </si>
  <si>
    <t>TES.ktoe.HR.Ser.Bld.Thermal.HW</t>
  </si>
  <si>
    <t>TES.ktoe.HR.Ser.Bld.Thermal.HW.Solids.Solids</t>
  </si>
  <si>
    <t>TES.ktoe.HR.Ser.Bld.Thermal.HW.LPG.LPG</t>
  </si>
  <si>
    <t>TES.ktoe.HR.Ser.Bld.Thermal.HW.Oil.Oil_LiqBio</t>
  </si>
  <si>
    <t>TES.ktoe.HR.Ser.Bld.Thermal.HW.Gas.NG_Biogas</t>
  </si>
  <si>
    <t>TES.ktoe.HR.Ser.Bld.Thermal.HW.Biomass.Biomass_Waste</t>
  </si>
  <si>
    <t>TES.ktoe.HR.Ser.Bld.Thermal.HW.DistrHeat.Steam_Distr</t>
  </si>
  <si>
    <t>TES.ktoe.HR.Ser.Bld.Thermal.HW.Elc.Elec</t>
  </si>
  <si>
    <t>TES.ktoe.HR.Ser.Bld.Thermal.HW.TotalSolar.Solar</t>
  </si>
  <si>
    <t>TES.ktoe.HR.Ser.Bld.Thermal.CA</t>
  </si>
  <si>
    <t>TES.ktoe.HR.Ser.Bld.Thermal.CA.LPG</t>
  </si>
  <si>
    <t>TES.ktoe.HR.Ser.Bld.Thermal.CA.Gas.NG_Biogas</t>
  </si>
  <si>
    <t>TES.ktoe.HR.Ser.Bld.Thermal.CA.Biomass.Biomass_Waste</t>
  </si>
  <si>
    <t>TES.ktoe.HR.Ser.Bld.Thermal.CA.Elc.Elec</t>
  </si>
  <si>
    <t>HR - System efficiency indicator of total stock</t>
  </si>
  <si>
    <t>Eff.ratio.HR.Ser.Bld.Thermal.SH.Solids.Solids</t>
  </si>
  <si>
    <t>Eff.ratio.HR.Ser.Bld.Thermal.SH.LPG.LPG</t>
  </si>
  <si>
    <t>Eff.ratio.HR.Ser.Bld.Thermal.SH.Oil.Oil_LiqBio</t>
  </si>
  <si>
    <t>Eff.ratio.HR.Ser.Bld.Thermal.SH.GasHP.NG_Biogas</t>
  </si>
  <si>
    <t>Eff.ratio.HR.Ser.Bld.Thermal.SH.GasTH.NG_Biogas</t>
  </si>
  <si>
    <t>Eff.ratio.HR.Ser.Bld.Thermal.SH.Biomass.Biomass_Waste</t>
  </si>
  <si>
    <t>Eff.ratio.HR.Ser.Bld.Thermal.SH.Geo.Geo</t>
  </si>
  <si>
    <t>Eff.ratio.HR.Ser.Bld.Thermal.SH.DistrHeat.Steam_Distr</t>
  </si>
  <si>
    <t>Eff.ratio.HR.Ser.Bld.Thermal.SH.AdvElc.Elec</t>
  </si>
  <si>
    <t>Eff.ratio.HR.Ser.Bld.Thermal.SH.ConvElc.Elec</t>
  </si>
  <si>
    <t>Eff.ratio.HR.Ser.Bld.Thermal.SH.TotalCirculation.Elec</t>
  </si>
  <si>
    <t>Eff.ratio.HR.Ser.Bld.Thermal.SC.GasHP.NG_Biogas</t>
  </si>
  <si>
    <t>Eff.ratio.HR.Ser.Bld.Thermal.SC.AC.Elec</t>
  </si>
  <si>
    <t>Eff.ratio.HR.Ser.Bld.Thermal.HW.Solids.Solids</t>
  </si>
  <si>
    <t>Eff.ratio.HR.Ser.Bld.Thermal.HW.LPG.LPG</t>
  </si>
  <si>
    <t>Eff.ratio.HR.Ser.Bld.Thermal.HW.Oil.Oil_LiqBio</t>
  </si>
  <si>
    <t>Eff.ratio.HR.Ser.Bld.Thermal.HW.Gas.NG_Biogas</t>
  </si>
  <si>
    <t>Eff.ratio.HR.Ser.Bld.Thermal.HW.Biomass.Biomass_Waste</t>
  </si>
  <si>
    <t>Eff.ratio.HR.Ser.Bld.Thermal.HW.DistrHeat.Steam_Distr</t>
  </si>
  <si>
    <t>Eff.ratio.HR.Ser.Bld.Thermal.HW.Elc.Elec</t>
  </si>
  <si>
    <t>Eff.ratio.HR.Ser.Bld.Thermal.HW.TotalSolar.Solar</t>
  </si>
  <si>
    <t>Eff.ratio.HR.Ser.Bld.Thermal.CA.LPG</t>
  </si>
  <si>
    <t>Eff.ratio.HR.Ser.Bld.Thermal.CA.Gas.NG_Biogas</t>
  </si>
  <si>
    <t>Eff.ratio.HR.Ser.Bld.Thermal.CA.Biomass.Biomass_Waste</t>
  </si>
  <si>
    <t>Eff.ratio.HR.Ser.Bld.Thermal.CA.Elc.Elec</t>
  </si>
  <si>
    <t>HR - CO2 emissions</t>
  </si>
  <si>
    <t>EMI.ktCO2.HR.Ser.Bld.Thermal.SH.Solids.Solids</t>
  </si>
  <si>
    <t>EMI.ktCO2.HR.Ser.Bld.Thermal.SH.LPG.LPG</t>
  </si>
  <si>
    <t>EMI.ktCO2.HR.Ser.Bld.Thermal.SH.Oil.Oil_LiqBio</t>
  </si>
  <si>
    <t>EMI.ktCO2.HR.Ser.Bld.Thermal.SH.GasHP.NG_Biogas</t>
  </si>
  <si>
    <t>EMI.ktCO2.HR.Ser.Bld.Thermal.SH.GasTH.NG_Biogas</t>
  </si>
  <si>
    <t>EMI.ktCO2.HR.Ser.Bld.Thermal.SH.Biomass.Biomass_Waste</t>
  </si>
  <si>
    <t>EMI.ktCO2.HR.Ser.Bld.Thermal.SH.Geo.Geo</t>
  </si>
  <si>
    <t>EMI.ktCO2.HR.Ser.Bld.Thermal.SH.DistrHeat.Steam_Distr</t>
  </si>
  <si>
    <t>EMI.ktCO2.HR.Ser.Bld.Thermal.SH.AdvElc.Elec</t>
  </si>
  <si>
    <t>EMI.ktCO2.HR.Ser.Bld.Thermal.SH.ConvElc.Elec</t>
  </si>
  <si>
    <t>EMI.ktCO2.HR.Ser.Bld.Thermal.SH.TotalCirculation.Elec</t>
  </si>
  <si>
    <t>EMI.ktCO2.HR.Ser.Bld.Thermal.SC.GasHP.NG_Biogas</t>
  </si>
  <si>
    <t>EMI.ktCO2.HR.Ser.Bld.Thermal.SC.AC.Elec</t>
  </si>
  <si>
    <t>EMI.ktCO2.HR.Ser.Bld.Thermal.HW.Solids.Solids</t>
  </si>
  <si>
    <t>EMI.ktCO2.HR.Ser.Bld.Thermal.HW.LPG.LPG</t>
  </si>
  <si>
    <t>EMI.ktCO2.HR.Ser.Bld.Thermal.HW.Oil.Oil_LiqBio</t>
  </si>
  <si>
    <t>EMI.ktCO2.HR.Ser.Bld.Thermal.HW.Gas.NG_Biogas</t>
  </si>
  <si>
    <t>EMI.ktCO2.HR.Ser.Bld.Thermal.HW.Biomass.Biomass_Waste</t>
  </si>
  <si>
    <t>EMI.ktCO2.HR.Ser.Bld.Thermal.HW.DistrHeat.Steam_Distr</t>
  </si>
  <si>
    <t>EMI.ktCO2.HR.Ser.Bld.Thermal.HW.Elc.Elec</t>
  </si>
  <si>
    <t>EMI.ktCO2.HR.Ser.Bld.Thermal.HW.TotalSolar.Solar</t>
  </si>
  <si>
    <t>EMI.ktCO2.HR.Ser.Bld.Thermal.CA.LPG</t>
  </si>
  <si>
    <t>EMI.ktCO2.HR.Ser.Bld.Thermal.CA.Gas.NG_Biogas</t>
  </si>
  <si>
    <t>EMI.ktCO2.HR.Ser.Bld.Thermal.CA.Biomass.Biomass_Waste</t>
  </si>
  <si>
    <t>EMI.ktCO2.HR.Ser.Bld.Thermal.CA.Elc.Elec</t>
  </si>
  <si>
    <t>HR - Final energy consumption per building</t>
  </si>
  <si>
    <t>FEC_per_building.kWh.HR.Ser.Bld.Thermal</t>
  </si>
  <si>
    <t>FEC_per_building.kWh.HR.Ser.Bld.Thermal.SH</t>
  </si>
  <si>
    <t>FEC_per_building.kWh.HR.Ser.Bld.Thermal.SH.Solids.Solids</t>
  </si>
  <si>
    <t>FEC_per_building.kWh.HR.Ser.Bld.Thermal.SH.LPG.LPG</t>
  </si>
  <si>
    <t>FEC_per_building.kWh.HR.Ser.Bld.Thermal.SH.Oil.Oil_LiqBio</t>
  </si>
  <si>
    <t>FEC_per_building.kWh.HR.Ser.Bld.Thermal.SH.GasHP.NG_Biogas</t>
  </si>
  <si>
    <t>FEC_per_building.kWh.HR.Ser.Bld.Thermal.SH.GasTH.NG_Biogas</t>
  </si>
  <si>
    <t>FEC_per_building.kWh.HR.Ser.Bld.Thermal.SH.Biomass.Biomass_Waste</t>
  </si>
  <si>
    <t>FEC_per_building.kWh.HR.Ser.Bld.Thermal.SH.Geo.Geo</t>
  </si>
  <si>
    <t>FEC_per_building.kWh.HR.Ser.Bld.Thermal.SH.DistrHeat.Steam_Distr</t>
  </si>
  <si>
    <t>FEC_per_building.kWh.HR.Ser.Bld.Thermal.SH.AdvElc.Elec</t>
  </si>
  <si>
    <t>FEC_per_building.kWh.HR.Ser.Bld.Thermal.SH.ConvElc.Elec</t>
  </si>
  <si>
    <t>FEC_per_building.kWh.HR.Ser.Bld.Thermal.SH.TotalCirculation.Elec</t>
  </si>
  <si>
    <t>FEC_per_building.kWh.HR.Ser.Bld.Thermal.SC</t>
  </si>
  <si>
    <t>FEC_per_building.kWh.HR.Ser.Bld.Thermal.SC.GasHP.NG_Biogas</t>
  </si>
  <si>
    <t>FEC_per_building.kWh.HR.Ser.Bld.Thermal.SC.AC.Elec</t>
  </si>
  <si>
    <t>FEC_per_building.kWh.HR.Ser.Bld.Thermal.HW</t>
  </si>
  <si>
    <t>FEC_per_building.kWh.HR.Ser.Bld.Thermal.HW.Solids.Solids</t>
  </si>
  <si>
    <t>FEC_per_building.kWh.HR.Ser.Bld.Thermal.HW.LPG.LPG</t>
  </si>
  <si>
    <t>FEC_per_building.kWh.HR.Ser.Bld.Thermal.HW.Oil.Oil_LiqBio</t>
  </si>
  <si>
    <t>FEC_per_building.kWh.HR.Ser.Bld.Thermal.HW.Gas.NG_Biogas</t>
  </si>
  <si>
    <t>FEC_per_building.kWh.HR.Ser.Bld.Thermal.HW.Biomass.Biomass_Waste</t>
  </si>
  <si>
    <t>FEC_per_building.kWh.HR.Ser.Bld.Thermal.HW.DistrHeat.Steam_Distr</t>
  </si>
  <si>
    <t>FEC_per_building.kWh.HR.Ser.Bld.Thermal.HW.Elc.Elec</t>
  </si>
  <si>
    <t>FEC_per_building.kWh.HR.Ser.Bld.Thermal.HW.TotalSolar.Solar</t>
  </si>
  <si>
    <t>FEC_per_building.kWh.HR.Ser.Bld.Thermal.CA</t>
  </si>
  <si>
    <t>FEC_per_building.kWh.HR.Ser.Bld.Thermal.CA.LPG</t>
  </si>
  <si>
    <t>FEC_per_building.kWh.HR.Ser.Bld.Thermal.CA.Gas.NG_Biogas</t>
  </si>
  <si>
    <t>FEC_per_building.kWh.HR.Ser.Bld.Thermal.CA.Biomass.Biomass_Waste</t>
  </si>
  <si>
    <t>FEC_per_building.kWh.HR.Ser.Bld.Thermal.CA.Elc.Elec</t>
  </si>
  <si>
    <t>HR - Thermal energy service per building</t>
  </si>
  <si>
    <t>TES_per_building.kWh.HR.Ser.Bld.Thermal</t>
  </si>
  <si>
    <t>TES_per_building.kWh.HR.Ser.Bld.Thermal.SH</t>
  </si>
  <si>
    <t>TES_per_building.kWh.HR.Ser.Bld.Thermal.SH.Solids.Solids</t>
  </si>
  <si>
    <t>TES_per_building.kWh.HR.Ser.Bld.Thermal.SH.LPG.LPG</t>
  </si>
  <si>
    <t>TES_per_building.kWh.HR.Ser.Bld.Thermal.SH.Oil.Oil_LiqBio</t>
  </si>
  <si>
    <t>TES_per_building.kWh.HR.Ser.Bld.Thermal.SH.GasHP.NG_Biogas</t>
  </si>
  <si>
    <t>TES_per_building.kWh.HR.Ser.Bld.Thermal.SH.GasTH.NG_Biogas</t>
  </si>
  <si>
    <t>TES_per_building.kWh.HR.Ser.Bld.Thermal.SH.Biomass.Biomass_Waste</t>
  </si>
  <si>
    <t>TES_per_building.kWh.HR.Ser.Bld.Thermal.SH.Geo.Geo</t>
  </si>
  <si>
    <t>TES_per_building.kWh.HR.Ser.Bld.Thermal.SH.DistrHeat.Steam_Distr</t>
  </si>
  <si>
    <t>TES_per_building.kWh.HR.Ser.Bld.Thermal.SH.AdvElc.Elec</t>
  </si>
  <si>
    <t>TES_per_building.kWh.HR.Ser.Bld.Thermal.SH.ConvElc.Elec</t>
  </si>
  <si>
    <t>TES_per_building.kWh.HR.Ser.Bld.Thermal.SH.TotalCirculation.Elec</t>
  </si>
  <si>
    <t>TES_per_building.kWh.HR.Ser.Bld.Thermal.SC</t>
  </si>
  <si>
    <t>TES_per_building.kWh.HR.Ser.Bld.Thermal.SC.GasHP.NG_Biogas</t>
  </si>
  <si>
    <t>TES_per_building.kWh.HR.Ser.Bld.Thermal.SC.AC.Elec</t>
  </si>
  <si>
    <t>TES_per_building.kWh.HR.Ser.Bld.Thermal.HW</t>
  </si>
  <si>
    <t>TES_per_building.kWh.HR.Ser.Bld.Thermal.HW.Solids.Solids</t>
  </si>
  <si>
    <t>TES_per_building.kWh.HR.Ser.Bld.Thermal.HW.LPG.LPG</t>
  </si>
  <si>
    <t>TES_per_building.kWh.HR.Ser.Bld.Thermal.HW.Oil.Oil_LiqBio</t>
  </si>
  <si>
    <t>TES_per_building.kWh.HR.Ser.Bld.Thermal.HW.Gas.NG_Biogas</t>
  </si>
  <si>
    <t>TES_per_building.kWh.HR.Ser.Bld.Thermal.HW.Biomass.Biomass_Waste</t>
  </si>
  <si>
    <t>TES_per_building.kWh.HR.Ser.Bld.Thermal.HW.DistrHeat.Steam_Distr</t>
  </si>
  <si>
    <t>TES_per_building.kWh.HR.Ser.Bld.Thermal.HW.Elc.Elec</t>
  </si>
  <si>
    <t>TES_per_building.kWh.HR.Ser.Bld.Thermal.HW.TotalSolar.Solar</t>
  </si>
  <si>
    <t>TES_per_building.kWh.HR.Ser.Bld.Thermal.CA</t>
  </si>
  <si>
    <t>TES_per_building.kWh.HR.Ser.Bld.Thermal.CA.LPG</t>
  </si>
  <si>
    <t>TES_per_building.kWh.HR.Ser.Bld.Thermal.CA.Gas.NG_Biogas</t>
  </si>
  <si>
    <t>TES_per_building.kWh.HR.Ser.Bld.Thermal.CA.Biomass.Biomass_Waste</t>
  </si>
  <si>
    <t>TES_per_building.kWh.HR.Ser.Bld.Thermal.CA.Elc.Elec</t>
  </si>
  <si>
    <t>HR - CO2 emissions per building</t>
  </si>
  <si>
    <t>EMI_per_building.kgCO2.HR.Ser.Bld.Thermal</t>
  </si>
  <si>
    <t>EMI_per_building.kgCO2.HR.Ser.Bld.Thermal.SH</t>
  </si>
  <si>
    <t>EMI_per_building.kgCO2.HR.Ser.Bld.Thermal.SH.Solids.Solids</t>
  </si>
  <si>
    <t>EMI_per_building.kgCO2.HR.Ser.Bld.Thermal.SH.LPG.LPG</t>
  </si>
  <si>
    <t>EMI_per_building.kgCO2.HR.Ser.Bld.Thermal.SH.Oil.Oil_LiqBio</t>
  </si>
  <si>
    <t>EMI_per_building.kgCO2.HR.Ser.Bld.Thermal.SH.GasHP.NG_Biogas</t>
  </si>
  <si>
    <t>EMI_per_building.kgCO2.HR.Ser.Bld.Thermal.SH.GasTH.NG_Biogas</t>
  </si>
  <si>
    <t>EMI_per_building.kgCO2.HR.Ser.Bld.Thermal.SH.Biomass.Biomass_Waste</t>
  </si>
  <si>
    <t>EMI_per_building.kgCO2.HR.Ser.Bld.Thermal.SH.Geo.Geo</t>
  </si>
  <si>
    <t>EMI_per_building.kgCO2.HR.Ser.Bld.Thermal.SH.DistrHeat.Steam_Distr</t>
  </si>
  <si>
    <t>EMI_per_building.kgCO2.HR.Ser.Bld.Thermal.SH.AdvElc.Elec</t>
  </si>
  <si>
    <t>EMI_per_building.kgCO2.HR.Ser.Bld.Thermal.SH.ConvElc.Elec</t>
  </si>
  <si>
    <t>EMI_per_building.kgCO2.HR.Ser.Bld.Thermal.SH.TotalCirculation.Elec</t>
  </si>
  <si>
    <t>EMI_per_building.kgCO2.HR.Ser.Bld.Thermal.SC</t>
  </si>
  <si>
    <t>EMI_per_building.kgCO2.HR.Ser.Bld.Thermal.SC.GasHP.NG_Biogas</t>
  </si>
  <si>
    <t>EMI_per_building.kgCO2.HR.Ser.Bld.Thermal.SC.AC.Elec</t>
  </si>
  <si>
    <t>EMI_per_building.kgCO2.HR.Ser.Bld.Thermal.HW</t>
  </si>
  <si>
    <t>EMI_per_building.kgCO2.HR.Ser.Bld.Thermal.HW.Solids.Solids</t>
  </si>
  <si>
    <t>EMI_per_building.kgCO2.HR.Ser.Bld.Thermal.HW.LPG.LPG</t>
  </si>
  <si>
    <t>EMI_per_building.kgCO2.HR.Ser.Bld.Thermal.HW.Oil.Oil_LiqBio</t>
  </si>
  <si>
    <t>EMI_per_building.kgCO2.HR.Ser.Bld.Thermal.HW.Gas.NG_Biogas</t>
  </si>
  <si>
    <t>EMI_per_building.kgCO2.HR.Ser.Bld.Thermal.HW.Biomass.Biomass_Waste</t>
  </si>
  <si>
    <t>EMI_per_building.kgCO2.HR.Ser.Bld.Thermal.HW.DistrHeat.Steam_Distr</t>
  </si>
  <si>
    <t>EMI_per_building.kgCO2.HR.Ser.Bld.Thermal.HW.Elc.Elec</t>
  </si>
  <si>
    <t>EMI_per_building.kgCO2.HR.Ser.Bld.Thermal.HW.TotalSolar.Solar</t>
  </si>
  <si>
    <t>EMI_per_building.kgCO2.HR.Ser.Bld.Thermal.CA</t>
  </si>
  <si>
    <t>EMI_per_building.kgCO2.HR.Ser.Bld.Thermal.CA.LPG</t>
  </si>
  <si>
    <t>EMI_per_building.kgCO2.HR.Ser.Bld.Thermal.CA.Gas.NG_Biogas</t>
  </si>
  <si>
    <t>EMI_per_building.kgCO2.HR.Ser.Bld.Thermal.CA.Biomass.Biomass_Waste</t>
  </si>
  <si>
    <t>EMI_per_building.kgCO2.HR.Ser.Bld.Thermal.CA.Elc.Elec</t>
  </si>
  <si>
    <t>HR - Final energy consumption per useful surface area</t>
  </si>
  <si>
    <t>FEC_per_sqm.kWh.HR.Ser.Bld.Thermal</t>
  </si>
  <si>
    <t>FEC_per_sqm.kWh.HR.Ser.Bld.Thermal.SH</t>
  </si>
  <si>
    <t>FEC_per_sqm.kWh.HR.Ser.Bld.Thermal.SH.Solids.Solids</t>
  </si>
  <si>
    <t>FEC_per_sqm.kWh.HR.Ser.Bld.Thermal.SH.LPG.LPG</t>
  </si>
  <si>
    <t>FEC_per_sqm.kWh.HR.Ser.Bld.Thermal.SH.Oil.Oil_LiqBio</t>
  </si>
  <si>
    <t>FEC_per_sqm.kWh.HR.Ser.Bld.Thermal.SH.GasHP.NG_Biogas</t>
  </si>
  <si>
    <t>FEC_per_sqm.kWh.HR.Ser.Bld.Thermal.SH.GasTH.NG_Biogas</t>
  </si>
  <si>
    <t>FEC_per_sqm.kWh.HR.Ser.Bld.Thermal.SH.Biomass.Biomass_Waste</t>
  </si>
  <si>
    <t>FEC_per_sqm.kWh.HR.Ser.Bld.Thermal.SH.Geo.Geo</t>
  </si>
  <si>
    <t>FEC_per_sqm.kWh.HR.Ser.Bld.Thermal.SH.DistrHeat.Steam_Distr</t>
  </si>
  <si>
    <t>FEC_per_sqm.kWh.HR.Ser.Bld.Thermal.SH.AdvElc.Elec</t>
  </si>
  <si>
    <t>FEC_per_sqm.kWh.HR.Ser.Bld.Thermal.SH.ConvElc.Elec</t>
  </si>
  <si>
    <t>FEC_per_sqm.kWh.HR.Ser.Bld.Thermal.SH.TotalCirculation.Elec</t>
  </si>
  <si>
    <t>FEC_per_sqm.kWh.HR.Ser.Bld.Thermal.SC</t>
  </si>
  <si>
    <t>FEC_per_sqm.kWh.HR.Ser.Bld.Thermal.SC.GasHP.NG_Biogas</t>
  </si>
  <si>
    <t>FEC_per_sqm.kWh.HR.Ser.Bld.Thermal.SC.AC.Elec</t>
  </si>
  <si>
    <t>FEC_per_sqm.kWh.HR.Ser.Bld.Thermal.HW</t>
  </si>
  <si>
    <t>FEC_per_sqm.kWh.HR.Ser.Bld.Thermal.HW.Solids.Solids</t>
  </si>
  <si>
    <t>FEC_per_sqm.kWh.HR.Ser.Bld.Thermal.HW.LPG.LPG</t>
  </si>
  <si>
    <t>FEC_per_sqm.kWh.HR.Ser.Bld.Thermal.HW.Oil.Oil_LiqBio</t>
  </si>
  <si>
    <t>FEC_per_sqm.kWh.HR.Ser.Bld.Thermal.HW.Gas.NG_Biogas</t>
  </si>
  <si>
    <t>FEC_per_sqm.kWh.HR.Ser.Bld.Thermal.HW.Biomass.Biomass_Waste</t>
  </si>
  <si>
    <t>FEC_per_sqm.kWh.HR.Ser.Bld.Thermal.HW.DistrHeat.Steam_Distr</t>
  </si>
  <si>
    <t>FEC_per_sqm.kWh.HR.Ser.Bld.Thermal.HW.Elc.Elec</t>
  </si>
  <si>
    <t>FEC_per_sqm.kWh.HR.Ser.Bld.Thermal.HW.TotalSolar.Solar</t>
  </si>
  <si>
    <t>FEC_per_sqm.kWh.HR.Ser.Bld.Thermal.CA</t>
  </si>
  <si>
    <t>FEC_per_sqm.kWh.HR.Ser.Bld.Thermal.CA.LPG</t>
  </si>
  <si>
    <t>FEC_per_sqm.kWh.HR.Ser.Bld.Thermal.CA.Gas.NG_Biogas</t>
  </si>
  <si>
    <t>FEC_per_sqm.kWh.HR.Ser.Bld.Thermal.CA.Biomass.Biomass_Waste</t>
  </si>
  <si>
    <t>FEC_per_sqm.kWh.HR.Ser.Bld.Thermal.CA.Elc.Elec</t>
  </si>
  <si>
    <t>HR - Thermal energy service per useful surface area</t>
  </si>
  <si>
    <t>TES_per_sqm.kWh.HR.Ser.Bld.Thermal</t>
  </si>
  <si>
    <t>TES_per_sqm.kWh.HR.Ser.Bld.Thermal.SH</t>
  </si>
  <si>
    <t>TES_per_sqm.kWh.HR.Ser.Bld.Thermal.SH.Solids.Solids</t>
  </si>
  <si>
    <t>TES_per_sqm.kWh.HR.Ser.Bld.Thermal.SH.LPG.LPG</t>
  </si>
  <si>
    <t>TES_per_sqm.kWh.HR.Ser.Bld.Thermal.SH.Oil.Oil_LiqBio</t>
  </si>
  <si>
    <t>TES_per_sqm.kWh.HR.Ser.Bld.Thermal.SH.GasHP.NG_Biogas</t>
  </si>
  <si>
    <t>TES_per_sqm.kWh.HR.Ser.Bld.Thermal.SH.GasTH.NG_Biogas</t>
  </si>
  <si>
    <t>TES_per_sqm.kWh.HR.Ser.Bld.Thermal.SH.Biomass.Biomass_Waste</t>
  </si>
  <si>
    <t>TES_per_sqm.kWh.HR.Ser.Bld.Thermal.SH.Geo.Geo</t>
  </si>
  <si>
    <t>TES_per_sqm.kWh.HR.Ser.Bld.Thermal.SH.DistrHeat.Steam_Distr</t>
  </si>
  <si>
    <t>TES_per_sqm.kWh.HR.Ser.Bld.Thermal.SH.AdvElc.Elec</t>
  </si>
  <si>
    <t>TES_per_sqm.kWh.HR.Ser.Bld.Thermal.SH.ConvElc.Elec</t>
  </si>
  <si>
    <t>TES_per_sqm.kWh.HR.Ser.Bld.Thermal.SH.TotalCirculation.Elec</t>
  </si>
  <si>
    <t>TES_per_sqm.kWh.HR.Ser.Bld.Thermal.SC</t>
  </si>
  <si>
    <t>TES_per_sqm.kWh.HR.Ser.Bld.Thermal.SC.GasHP.NG_Biogas</t>
  </si>
  <si>
    <t>TES_per_sqm.kWh.HR.Ser.Bld.Thermal.SC.AC.Elec</t>
  </si>
  <si>
    <t>TES_per_sqm.kWh.HR.Ser.Bld.Thermal.HW</t>
  </si>
  <si>
    <t>TES_per_sqm.kWh.HR.Ser.Bld.Thermal.HW.Solids.Solids</t>
  </si>
  <si>
    <t>TES_per_sqm.kWh.HR.Ser.Bld.Thermal.HW.LPG.LPG</t>
  </si>
  <si>
    <t>TES_per_sqm.kWh.HR.Ser.Bld.Thermal.HW.Oil.Oil_LiqBio</t>
  </si>
  <si>
    <t>TES_per_sqm.kWh.HR.Ser.Bld.Thermal.HW.Gas.NG_Biogas</t>
  </si>
  <si>
    <t>TES_per_sqm.kWh.HR.Ser.Bld.Thermal.HW.Biomass.Biomass_Waste</t>
  </si>
  <si>
    <t>TES_per_sqm.kWh.HR.Ser.Bld.Thermal.HW.DistrHeat.Steam_Distr</t>
  </si>
  <si>
    <t>TES_per_sqm.kWh.HR.Ser.Bld.Thermal.HW.Elc.Elec</t>
  </si>
  <si>
    <t>TES_per_sqm.kWh.HR.Ser.Bld.Thermal.HW.TotalSolar.Solar</t>
  </si>
  <si>
    <t>TES_per_sqm.kWh.HR.Ser.Bld.Thermal.CA</t>
  </si>
  <si>
    <t>TES_per_sqm.kWh.HR.Ser.Bld.Thermal.CA.LPG</t>
  </si>
  <si>
    <t>TES_per_sqm.kWh.HR.Ser.Bld.Thermal.CA.Gas.NG_Biogas</t>
  </si>
  <si>
    <t>TES_per_sqm.kWh.HR.Ser.Bld.Thermal.CA.Biomass.Biomass_Waste</t>
  </si>
  <si>
    <t>TES_per_sqm.kWh.HR.Ser.Bld.Thermal.CA.Elc.Elec</t>
  </si>
  <si>
    <t>HR - CO2 emissions per useful surface area</t>
  </si>
  <si>
    <t>EMI_per_sqm.kgCO2.HR.Ser.Bld.Thermal</t>
  </si>
  <si>
    <t>EMI_per_sqm.kgCO2.HR.Ser.Bld.Thermal.SH</t>
  </si>
  <si>
    <t>EMI_per_sqm.kgCO2.HR.Ser.Bld.Thermal.SH.Solids.Solids</t>
  </si>
  <si>
    <t>EMI_per_sqm.kgCO2.HR.Ser.Bld.Thermal.SH.LPG.LPG</t>
  </si>
  <si>
    <t>EMI_per_sqm.kgCO2.HR.Ser.Bld.Thermal.SH.Oil.Oil_LiqBio</t>
  </si>
  <si>
    <t>EMI_per_sqm.kgCO2.HR.Ser.Bld.Thermal.SH.GasHP.NG_Biogas</t>
  </si>
  <si>
    <t>EMI_per_sqm.kgCO2.HR.Ser.Bld.Thermal.SH.GasTH.NG_Biogas</t>
  </si>
  <si>
    <t>EMI_per_sqm.kgCO2.HR.Ser.Bld.Thermal.SH.Biomass.Biomass_Waste</t>
  </si>
  <si>
    <t>EMI_per_sqm.kgCO2.HR.Ser.Bld.Thermal.SH.Geo.Geo</t>
  </si>
  <si>
    <t>EMI_per_sqm.kgCO2.HR.Ser.Bld.Thermal.SH.DistrHeat.Steam_Distr</t>
  </si>
  <si>
    <t>EMI_per_sqm.kgCO2.HR.Ser.Bld.Thermal.SH.AdvElc.Elec</t>
  </si>
  <si>
    <t>EMI_per_sqm.kgCO2.HR.Ser.Bld.Thermal.SH.ConvElc.Elec</t>
  </si>
  <si>
    <t>EMI_per_sqm.kgCO2.HR.Ser.Bld.Thermal.SH.TotalCirculation.Elec</t>
  </si>
  <si>
    <t>EMI_per_sqm.kgCO2.HR.Ser.Bld.Thermal.SC</t>
  </si>
  <si>
    <t>EMI_per_sqm.kgCO2.HR.Ser.Bld.Thermal.SC.GasHP.NG_Biogas</t>
  </si>
  <si>
    <t>EMI_per_sqm.kgCO2.HR.Ser.Bld.Thermal.SC.AC.Elec</t>
  </si>
  <si>
    <t>EMI_per_sqm.kgCO2.HR.Ser.Bld.Thermal.HW</t>
  </si>
  <si>
    <t>EMI_per_sqm.kgCO2.HR.Ser.Bld.Thermal.HW.Solids.Solids</t>
  </si>
  <si>
    <t>EMI_per_sqm.kgCO2.HR.Ser.Bld.Thermal.HW.LPG.LPG</t>
  </si>
  <si>
    <t>EMI_per_sqm.kgCO2.HR.Ser.Bld.Thermal.HW.Oil.Oil_LiqBio</t>
  </si>
  <si>
    <t>EMI_per_sqm.kgCO2.HR.Ser.Bld.Thermal.HW.Gas.NG_Biogas</t>
  </si>
  <si>
    <t>EMI_per_sqm.kgCO2.HR.Ser.Bld.Thermal.HW.Biomass.Biomass_Waste</t>
  </si>
  <si>
    <t>EMI_per_sqm.kgCO2.HR.Ser.Bld.Thermal.HW.DistrHeat.Steam_Distr</t>
  </si>
  <si>
    <t>EMI_per_sqm.kgCO2.HR.Ser.Bld.Thermal.HW.Elc.Elec</t>
  </si>
  <si>
    <t>EMI_per_sqm.kgCO2.HR.Ser.Bld.Thermal.HW.TotalSolar.Solar</t>
  </si>
  <si>
    <t>EMI_per_sqm.kgCO2.HR.Ser.Bld.Thermal.CA</t>
  </si>
  <si>
    <t>EMI_per_sqm.kgCO2.HR.Ser.Bld.Thermal.CA.LPG</t>
  </si>
  <si>
    <t>EMI_per_sqm.kgCO2.HR.Ser.Bld.Thermal.CA.Gas.NG_Biogas</t>
  </si>
  <si>
    <t>EMI_per_sqm.kgCO2.HR.Ser.Bld.Thermal.CA.Biomass.Biomass_Waste</t>
  </si>
  <si>
    <t>EMI_per_sqm.kgCO2.HR.Ser.Bld.Thermal.CA.Elc.Elec</t>
  </si>
  <si>
    <t>HR - Number of new and renovated buildings</t>
  </si>
  <si>
    <t>NUM.number.HR.Ser.BldNew.Thermal</t>
  </si>
  <si>
    <t>NUM.number.HR.Ser.BldNew.Thermal.SH</t>
  </si>
  <si>
    <t>NUM.number.HR.Ser.BldNew.Thermal.SH.Solids</t>
  </si>
  <si>
    <t>NUM.number.HR.Ser.BldNew.Thermal.SH.LPG</t>
  </si>
  <si>
    <t>NUM.number.HR.Ser.BldNew.Thermal.SH.Oil</t>
  </si>
  <si>
    <t>NUM.number.HR.Ser.BldNew.Thermal.SH.GasHP</t>
  </si>
  <si>
    <t>NUM.number.HR.Ser.BldNew.Thermal.SH.GasTH</t>
  </si>
  <si>
    <t>NUM.number.HR.Ser.BldNew.Thermal.SH.Biomass</t>
  </si>
  <si>
    <t>NUM.number.HR.Ser.BldNew.Thermal.SH.Geo</t>
  </si>
  <si>
    <t>NUM.number.HR.Ser.BldNew.Thermal.SH.DistrHeat</t>
  </si>
  <si>
    <t>NUM.number.HR.Ser.BldNew.Thermal.SH.AdvElc</t>
  </si>
  <si>
    <t>NUM.number.HR.Ser.BldNew.Thermal.SH.ConvElc</t>
  </si>
  <si>
    <t>NUM.number.HR.Ser.BldNew.Thermal.SC</t>
  </si>
  <si>
    <t>NUM.number.HR.Ser.BldNew.Thermal.SC.GasHP</t>
  </si>
  <si>
    <t>NUM.number.HR.Ser.BldNew.Thermal.SC.AC</t>
  </si>
  <si>
    <t>NUM.number.HR.Ser.BldNew.Thermal.HW</t>
  </si>
  <si>
    <t>NUM.number.HR.Ser.BldNew.Thermal.HW.Solids</t>
  </si>
  <si>
    <t>NUM.number.HR.Ser.BldNew.Thermal.HW.LPG</t>
  </si>
  <si>
    <t>NUM.number.HR.Ser.BldNew.Thermal.HW.Oil</t>
  </si>
  <si>
    <t>NUM.number.HR.Ser.BldNew.Thermal.HW.Gas</t>
  </si>
  <si>
    <t>NUM.number.HR.Ser.BldNew.Thermal.HW.Biomass</t>
  </si>
  <si>
    <t>NUM.number.HR.Ser.BldNew.Thermal.HW.DistrHeat</t>
  </si>
  <si>
    <t>NUM.number.HR.Ser.BldNew.Thermal.HW.Elc</t>
  </si>
  <si>
    <t>NUM.number.HR.Ser.BldNew.Thermal.HW.Solar</t>
  </si>
  <si>
    <t>NUM.number.HR.Ser.BldNew.Thermal.CA</t>
  </si>
  <si>
    <t>NUM.number.HR.Ser.BldNew.Thermal.CA.LPG</t>
  </si>
  <si>
    <t>NUM.number.HR.Ser.BldNew.Thermal.CA.Gas</t>
  </si>
  <si>
    <t>NUM.number.HR.Ser.BldNew.Thermal.CA.Biomass</t>
  </si>
  <si>
    <t>NUM.number.HR.Ser.BldNew.Thermal.CA.Elc</t>
  </si>
  <si>
    <t>HR - Final energy consumption in new and renovated buildings</t>
  </si>
  <si>
    <t>FEC.ktoe.HR.Ser.BldNew.Thermal</t>
  </si>
  <si>
    <t>FEC.ktoe.HR.Ser.BldNew.Thermal.SH</t>
  </si>
  <si>
    <t>FEC.ktoe.HR.Ser.BldNew.Thermal.SH.Solids.Solids</t>
  </si>
  <si>
    <t>FEC.ktoe.HR.Ser.BldNew.Thermal.SH.LPG.LPG</t>
  </si>
  <si>
    <t>FEC.ktoe.HR.Ser.BldNew.Thermal.SH.Oil.Oil_LiqBio</t>
  </si>
  <si>
    <t>FEC.ktoe.HR.Ser.BldNew.Thermal.SH.GasHP.NG_Biogas</t>
  </si>
  <si>
    <t>FEC.ktoe.HR.Ser.BldNew.Thermal.SH.GasTH.NG_Biogas</t>
  </si>
  <si>
    <t>FEC.ktoe.HR.Ser.BldNew.Thermal.SH.Biomass.Biomass_Waste</t>
  </si>
  <si>
    <t>FEC.ktoe.HR.Ser.BldNew.Thermal.SH.Geo.Geo</t>
  </si>
  <si>
    <t>FEC.ktoe.HR.Ser.BldNew.Thermal.SH.DistrHeat.Steam_Distr</t>
  </si>
  <si>
    <t>FEC.ktoe.HR.Ser.BldNew.Thermal.SH.AdvElc.Elec</t>
  </si>
  <si>
    <t>FEC.ktoe.HR.Ser.BldNew.Thermal.SH.ConvElc.Elec</t>
  </si>
  <si>
    <t>FEC.ktoe.HR.Ser.BldNew.Thermal.SH.TotalCirculation.Elec</t>
  </si>
  <si>
    <t>FEC.ktoe.HR.Ser.BldNew.Thermal.SC</t>
  </si>
  <si>
    <t>FEC.ktoe.HR.Ser.BldNew.Thermal.SC.GasHP.NG_Biogas</t>
  </si>
  <si>
    <t>FEC.ktoe.HR.Ser.BldNew.Thermal.SC.AC.Elec</t>
  </si>
  <si>
    <t>FEC.ktoe.HR.Ser.BldNew.Thermal.HW</t>
  </si>
  <si>
    <t>FEC.ktoe.HR.Ser.BldNew.Thermal.HW.Solids.Solids</t>
  </si>
  <si>
    <t>FEC.ktoe.HR.Ser.BldNew.Thermal.HW.LPG.LPG</t>
  </si>
  <si>
    <t>FEC.ktoe.HR.Ser.BldNew.Thermal.HW.Oil.Oil_LiqBio</t>
  </si>
  <si>
    <t>FEC.ktoe.HR.Ser.BldNew.Thermal.HW.Gas.NG_Biogas</t>
  </si>
  <si>
    <t>FEC.ktoe.HR.Ser.BldNew.Thermal.HW.Biomass.Biomass_Waste</t>
  </si>
  <si>
    <t>FEC.ktoe.HR.Ser.BldNew.Thermal.HW.DistrHeat.Steam_Distr</t>
  </si>
  <si>
    <t>FEC.ktoe.HR.Ser.BldNew.Thermal.HW.Elc.Elec</t>
  </si>
  <si>
    <t>FEC.ktoe.HR.Ser.BldNew.Thermal.HW.TotalSolar.Solar</t>
  </si>
  <si>
    <t>FEC.ktoe.HR.Ser.BldNew.Thermal.CA</t>
  </si>
  <si>
    <t>FEC.ktoe.HR.Ser.BldNew.Thermal.CA.LPG</t>
  </si>
  <si>
    <t>FEC.ktoe.HR.Ser.BldNew.Thermal.CA.Gas.NG_Biogas</t>
  </si>
  <si>
    <t>FEC.ktoe.HR.Ser.BldNew.Thermal.CA.Biomass.Biomass_Waste</t>
  </si>
  <si>
    <t>FEC.ktoe.HR.Ser.BldNew.Thermal.CA.Elc.Elec</t>
  </si>
  <si>
    <t>HR - Thermal energy service in new and renovated buildings</t>
  </si>
  <si>
    <t>TES.ktoe.HR.Ser.BldNew.Thermal</t>
  </si>
  <si>
    <t>TES.ktoe.HR.Ser.BldNew.Thermal.SH</t>
  </si>
  <si>
    <t>TES.ktoe.HR.Ser.BldNew.Thermal.SH.Solids.Solids</t>
  </si>
  <si>
    <t>TES.ktoe.HR.Ser.BldNew.Thermal.SH.LPG.LPG</t>
  </si>
  <si>
    <t>TES.ktoe.HR.Ser.BldNew.Thermal.SH.Oil.Oil_LiqBio</t>
  </si>
  <si>
    <t>TES.ktoe.HR.Ser.BldNew.Thermal.SH.GasHP.NG_Biogas</t>
  </si>
  <si>
    <t>TES.ktoe.HR.Ser.BldNew.Thermal.SH.GasTH.NG_Biogas</t>
  </si>
  <si>
    <t>TES.ktoe.HR.Ser.BldNew.Thermal.SH.Biomass.Biomass_Waste</t>
  </si>
  <si>
    <t>TES.ktoe.HR.Ser.BldNew.Thermal.SH.Geo.Geo</t>
  </si>
  <si>
    <t>TES.ktoe.HR.Ser.BldNew.Thermal.SH.DistrHeat.Steam_Distr</t>
  </si>
  <si>
    <t>TES.ktoe.HR.Ser.BldNew.Thermal.SH.AdvElc.Elec</t>
  </si>
  <si>
    <t>TES.ktoe.HR.Ser.BldNew.Thermal.SH.ConvElc.Elec</t>
  </si>
  <si>
    <t>TES.ktoe.HR.Ser.BldNew.Thermal.SH.TotalCirculation.Elec</t>
  </si>
  <si>
    <t>TES.ktoe.HR.Ser.BldNew.Thermal.SC</t>
  </si>
  <si>
    <t>TES.ktoe.HR.Ser.BldNew.Thermal.SC.GasHP.NG_Biogas</t>
  </si>
  <si>
    <t>TES.ktoe.HR.Ser.BldNew.Thermal.SC.AC.Elec</t>
  </si>
  <si>
    <t>TES.ktoe.HR.Ser.BldNew.Thermal.HW</t>
  </si>
  <si>
    <t>TES.ktoe.HR.Ser.BldNew.Thermal.HW.Solids.Solids</t>
  </si>
  <si>
    <t>TES.ktoe.HR.Ser.BldNew.Thermal.HW.LPG.LPG</t>
  </si>
  <si>
    <t>TES.ktoe.HR.Ser.BldNew.Thermal.HW.Oil.Oil_LiqBio</t>
  </si>
  <si>
    <t>TES.ktoe.HR.Ser.BldNew.Thermal.HW.Gas.NG_Biogas</t>
  </si>
  <si>
    <t>TES.ktoe.HR.Ser.BldNew.Thermal.HW.Biomass.Biomass_Waste</t>
  </si>
  <si>
    <t>TES.ktoe.HR.Ser.BldNew.Thermal.HW.DistrHeat.Steam_Distr</t>
  </si>
  <si>
    <t>TES.ktoe.HR.Ser.BldNew.Thermal.HW.Elc.Elec</t>
  </si>
  <si>
    <t>TES.ktoe.HR.Ser.BldNew.Thermal.HW.TotalSolar.Solar</t>
  </si>
  <si>
    <t>TES.ktoe.HR.Ser.BldNew.Thermal.CA</t>
  </si>
  <si>
    <t>TES.ktoe.HR.Ser.BldNew.Thermal.CA.LPG</t>
  </si>
  <si>
    <t>TES.ktoe.HR.Ser.BldNew.Thermal.CA.Gas.NG_Biogas</t>
  </si>
  <si>
    <t>TES.ktoe.HR.Ser.BldNew.Thermal.CA.Biomass.Biomass_Waste</t>
  </si>
  <si>
    <t>TES.ktoe.HR.Ser.BldNew.Thermal.CA.Elc.Elec</t>
  </si>
  <si>
    <t>HR - System efficiency indicator of new and renovated buildings</t>
  </si>
  <si>
    <t>Eff.ratio.HR.Ser.BldNew.Thermal</t>
  </si>
  <si>
    <t>Eff.ratio.HR.Ser.BldNew.Thermal.SH</t>
  </si>
  <si>
    <t>Eff.ratio.HR.Ser.BldNew.Thermal.SH.Solids.Solids</t>
  </si>
  <si>
    <t>Eff.ratio.HR.Ser.BldNew.Thermal.SH.LPG.LPG</t>
  </si>
  <si>
    <t>Eff.ratio.HR.Ser.BldNew.Thermal.SH.Oil.Oil_LiqBio</t>
  </si>
  <si>
    <t>Eff.ratio.HR.Ser.BldNew.Thermal.SH.GasHP.NG_Biogas</t>
  </si>
  <si>
    <t>Eff.ratio.HR.Ser.BldNew.Thermal.SH.GasTH.NG_Biogas</t>
  </si>
  <si>
    <t>Eff.ratio.HR.Ser.BldNew.Thermal.SH.Biomass.Biomass_Waste</t>
  </si>
  <si>
    <t>Eff.ratio.HR.Ser.BldNew.Thermal.SH.Geo.Geo</t>
  </si>
  <si>
    <t>Eff.ratio.HR.Ser.BldNew.Thermal.SH.DistrHeat.Steam_Distr</t>
  </si>
  <si>
    <t>Eff.ratio.HR.Ser.BldNew.Thermal.SH.AdvElc.Elec</t>
  </si>
  <si>
    <t>Eff.ratio.HR.Ser.BldNew.Thermal.SH.ConvElc.Elec</t>
  </si>
  <si>
    <t>Eff.ratio.HR.Ser.BldNew.Thermal.SH.TotalCirculation.Elec</t>
  </si>
  <si>
    <t>Eff.ratio.HR.Ser.BldNew.Thermal.SC</t>
  </si>
  <si>
    <t>Eff.ratio.HR.Ser.BldNew.Thermal.SC.GasHP.NG_Biogas</t>
  </si>
  <si>
    <t>Eff.ratio.HR.Ser.BldNew.Thermal.SC.AC.Elec</t>
  </si>
  <si>
    <t>Eff.ratio.HR.Ser.BldNew.Thermal.HW</t>
  </si>
  <si>
    <t>Eff.ratio.HR.Ser.BldNew.Thermal.HW.Solids.Solids</t>
  </si>
  <si>
    <t>Eff.ratio.HR.Ser.BldNew.Thermal.HW.LPG.LPG</t>
  </si>
  <si>
    <t>Eff.ratio.HR.Ser.BldNew.Thermal.HW.Oil.Oil_LiqBio</t>
  </si>
  <si>
    <t>Eff.ratio.HR.Ser.BldNew.Thermal.HW.Gas.NG_Biogas</t>
  </si>
  <si>
    <t>Eff.ratio.HR.Ser.BldNew.Thermal.HW.Biomass.Biomass_Waste</t>
  </si>
  <si>
    <t>Eff.ratio.HR.Ser.BldNew.Thermal.HW.DistrHeat.Steam_Distr</t>
  </si>
  <si>
    <t>Eff.ratio.HR.Ser.BldNew.Thermal.HW.Elc.Elec</t>
  </si>
  <si>
    <t>Eff.ratio.HR.Ser.BldNew.Thermal.HW.TotalSolar.Solar</t>
  </si>
  <si>
    <t>Eff.ratio.HR.Ser.BldNew.Thermal.CA</t>
  </si>
  <si>
    <t>Eff.ratio.HR.Ser.BldNew.Thermal.CA.LPG</t>
  </si>
  <si>
    <t>Eff.ratio.HR.Ser.BldNew.Thermal.CA.Gas.NG_Biogas</t>
  </si>
  <si>
    <t>Eff.ratio.HR.Ser.BldNew.Thermal.CA.Biomass.Biomass_Waste</t>
  </si>
  <si>
    <t>Eff.ratio.HR.Ser.BldNew.Thermal.CA.Elc.Elec</t>
  </si>
  <si>
    <t>HR - CO2 emissions in new and renovated buildings</t>
  </si>
  <si>
    <t>EMI.ktCO2.HR.Ser.BldNew.Thermal</t>
  </si>
  <si>
    <t>EMI.ktCO2.HR.Ser.BldNew.Thermal.SH</t>
  </si>
  <si>
    <t>EMI.ktCO2.HR.Ser.BldNew.Thermal.SH.Solids.Solids</t>
  </si>
  <si>
    <t>EMI.ktCO2.HR.Ser.BldNew.Thermal.SH.LPG.LPG</t>
  </si>
  <si>
    <t>EMI.ktCO2.HR.Ser.BldNew.Thermal.SH.Oil.Oil_LiqBio</t>
  </si>
  <si>
    <t>EMI.ktCO2.HR.Ser.BldNew.Thermal.SH.GasHP.NG_Biogas</t>
  </si>
  <si>
    <t>EMI.ktCO2.HR.Ser.BldNew.Thermal.SH.GasTH.NG_Biogas</t>
  </si>
  <si>
    <t>EMI.ktCO2.HR.Ser.BldNew.Thermal.SH.Biomass.Biomass_Waste</t>
  </si>
  <si>
    <t>EMI.ktCO2.HR.Ser.BldNew.Thermal.SH.Geo.Geo</t>
  </si>
  <si>
    <t>EMI.ktCO2.HR.Ser.BldNew.Thermal.SH.DistrHeat.Steam_Distr</t>
  </si>
  <si>
    <t>EMI.ktCO2.HR.Ser.BldNew.Thermal.SH.AdvElc.Elec</t>
  </si>
  <si>
    <t>EMI.ktCO2.HR.Ser.BldNew.Thermal.SH.ConvElc.Elec</t>
  </si>
  <si>
    <t>EMI.ktCO2.HR.Ser.BldNew.Thermal.SH.TotalCirculation.Elec</t>
  </si>
  <si>
    <t>EMI.ktCO2.HR.Ser.BldNew.Thermal.SC</t>
  </si>
  <si>
    <t>EMI.ktCO2.HR.Ser.BldNew.Thermal.SC.GasHP.NG_Biogas</t>
  </si>
  <si>
    <t>EMI.ktCO2.HR.Ser.BldNew.Thermal.SC.AC.Elec</t>
  </si>
  <si>
    <t>EMI.ktCO2.HR.Ser.BldNew.Thermal.HW</t>
  </si>
  <si>
    <t>EMI.ktCO2.HR.Ser.BldNew.Thermal.HW.Solids.Solids</t>
  </si>
  <si>
    <t>EMI.ktCO2.HR.Ser.BldNew.Thermal.HW.LPG.LPG</t>
  </si>
  <si>
    <t>EMI.ktCO2.HR.Ser.BldNew.Thermal.HW.Oil.Oil_LiqBio</t>
  </si>
  <si>
    <t>EMI.ktCO2.HR.Ser.BldNew.Thermal.HW.Gas.NG_Biogas</t>
  </si>
  <si>
    <t>EMI.ktCO2.HR.Ser.BldNew.Thermal.HW.Biomass.Biomass_Waste</t>
  </si>
  <si>
    <t>EMI.ktCO2.HR.Ser.BldNew.Thermal.HW.DistrHeat.Steam_Distr</t>
  </si>
  <si>
    <t>EMI.ktCO2.HR.Ser.BldNew.Thermal.HW.Elc.Elec</t>
  </si>
  <si>
    <t>EMI.ktCO2.HR.Ser.BldNew.Thermal.HW.TotalSolar.Solar</t>
  </si>
  <si>
    <t>EMI.ktCO2.HR.Ser.BldNew.Thermal.CA</t>
  </si>
  <si>
    <t>EMI.ktCO2.HR.Ser.BldNew.Thermal.CA.LPG</t>
  </si>
  <si>
    <t>EMI.ktCO2.HR.Ser.BldNew.Thermal.CA.Gas.NG_Biogas</t>
  </si>
  <si>
    <t>EMI.ktCO2.HR.Ser.BldNew.Thermal.CA.Biomass.Biomass_Waste</t>
  </si>
  <si>
    <t>EMI.ktCO2.HR.Ser.BldNew.Thermal.CA.Elc.Elec</t>
  </si>
  <si>
    <t>HR - Final energy consumption of new and renovated buildings (per building)</t>
  </si>
  <si>
    <t>FEC_per_building.kWh.HR.Ser.BldNew.Thermal</t>
  </si>
  <si>
    <t>FEC_per_building.kWh.HR.Ser.BldNew.Thermal.SH</t>
  </si>
  <si>
    <t>FEC_per_building.kWh.HR.Ser.BldNew.Thermal.SH.Solids.Solids</t>
  </si>
  <si>
    <t>FEC_per_building.kWh.HR.Ser.BldNew.Thermal.SH.LPG.LPG</t>
  </si>
  <si>
    <t>FEC_per_building.kWh.HR.Ser.BldNew.Thermal.SH.Oil.Oil_LiqBio</t>
  </si>
  <si>
    <t>FEC_per_building.kWh.HR.Ser.BldNew.Thermal.SH.GasHP.NG_Biogas</t>
  </si>
  <si>
    <t>FEC_per_building.kWh.HR.Ser.BldNew.Thermal.SH.GasTH.NG_Biogas</t>
  </si>
  <si>
    <t>FEC_per_building.kWh.HR.Ser.BldNew.Thermal.SH.Biomass.Biomass_Waste</t>
  </si>
  <si>
    <t>FEC_per_building.kWh.HR.Ser.BldNew.Thermal.SH.Geo.Geo</t>
  </si>
  <si>
    <t>FEC_per_building.kWh.HR.Ser.BldNew.Thermal.SH.DistrHeat.Steam_Distr</t>
  </si>
  <si>
    <t>FEC_per_building.kWh.HR.Ser.BldNew.Thermal.SH.AdvElc.Elec</t>
  </si>
  <si>
    <t>FEC_per_building.kWh.HR.Ser.BldNew.Thermal.SH.ConvElc.Elec</t>
  </si>
  <si>
    <t>FEC_per_building.kWh.HR.Ser.BldNew.Thermal.SH.TotalCirculation.Elec</t>
  </si>
  <si>
    <t>FEC_per_building.kWh.HR.Ser.BldNew.Thermal.SC</t>
  </si>
  <si>
    <t>FEC_per_building.kWh.HR.Ser.BldNew.Thermal.SC.GasHP.NG_Biogas</t>
  </si>
  <si>
    <t>FEC_per_building.kWh.HR.Ser.BldNew.Thermal.SC.AC.Elec</t>
  </si>
  <si>
    <t>FEC_per_building.kWh.HR.Ser.BldNew.Thermal.HW</t>
  </si>
  <si>
    <t>FEC_per_building.kWh.HR.Ser.BldNew.Thermal.HW.Solids.Solids</t>
  </si>
  <si>
    <t>FEC_per_building.kWh.HR.Ser.BldNew.Thermal.HW.LPG.LPG</t>
  </si>
  <si>
    <t>FEC_per_building.kWh.HR.Ser.BldNew.Thermal.HW.Oil.Oil_LiqBio</t>
  </si>
  <si>
    <t>FEC_per_building.kWh.HR.Ser.BldNew.Thermal.HW.Gas.NG_Biogas</t>
  </si>
  <si>
    <t>FEC_per_building.kWh.HR.Ser.BldNew.Thermal.HW.Biomass.Biomass_Waste</t>
  </si>
  <si>
    <t>FEC_per_building.kWh.HR.Ser.BldNew.Thermal.HW.DistrHeat.Steam_Distr</t>
  </si>
  <si>
    <t>FEC_per_building.kWh.HR.Ser.BldNew.Thermal.HW.Elc.Elec</t>
  </si>
  <si>
    <t>FEC_per_building.kWh.HR.Ser.BldNew.Thermal.HW.TotalSolar.Solar</t>
  </si>
  <si>
    <t>FEC_per_building.kWh.HR.Ser.BldNew.Thermal.CA</t>
  </si>
  <si>
    <t>FEC_per_building.kWh.HR.Ser.BldNew.Thermal.CA.LPG</t>
  </si>
  <si>
    <t>FEC_per_building.kWh.HR.Ser.BldNew.Thermal.CA.Gas.NG_Biogas</t>
  </si>
  <si>
    <t>FEC_per_building.kWh.HR.Ser.BldNew.Thermal.CA.Biomass.Biomass_Waste</t>
  </si>
  <si>
    <t>FEC_per_building.kWh.HR.Ser.BldNew.Thermal.CA.Elc.Elec</t>
  </si>
  <si>
    <t>HR - Thermal energy service of new and renovated buildings (per building)</t>
  </si>
  <si>
    <t>TES_per_building.kWh.HR.Ser.BldNew.Thermal</t>
  </si>
  <si>
    <t>TES_per_building.kWh.HR.Ser.BldNew.Thermal.SH</t>
  </si>
  <si>
    <t>TES_per_building.kWh.HR.Ser.BldNew.Thermal.SH.Solids.Solids</t>
  </si>
  <si>
    <t>TES_per_building.kWh.HR.Ser.BldNew.Thermal.SH.LPG.LPG</t>
  </si>
  <si>
    <t>TES_per_building.kWh.HR.Ser.BldNew.Thermal.SH.Oil.Oil_LiqBio</t>
  </si>
  <si>
    <t>TES_per_building.kWh.HR.Ser.BldNew.Thermal.SH.GasHP.NG_Biogas</t>
  </si>
  <si>
    <t>TES_per_building.kWh.HR.Ser.BldNew.Thermal.SH.GasTH.NG_Biogas</t>
  </si>
  <si>
    <t>TES_per_building.kWh.HR.Ser.BldNew.Thermal.SH.Biomass.Biomass_Waste</t>
  </si>
  <si>
    <t>TES_per_building.kWh.HR.Ser.BldNew.Thermal.SH.Geo.Geo</t>
  </si>
  <si>
    <t>TES_per_building.kWh.HR.Ser.BldNew.Thermal.SH.DistrHeat.Steam_Distr</t>
  </si>
  <si>
    <t>TES_per_building.kWh.HR.Ser.BldNew.Thermal.SH.AdvElc.Elec</t>
  </si>
  <si>
    <t>TES_per_building.kWh.HR.Ser.BldNew.Thermal.SH.ConvElc.Elec</t>
  </si>
  <si>
    <t>TES_per_building.kWh.HR.Ser.BldNew.Thermal.SH.TotalCirculation.Elec</t>
  </si>
  <si>
    <t>TES_per_building.kWh.HR.Ser.BldNew.Thermal.SC</t>
  </si>
  <si>
    <t>TES_per_building.kWh.HR.Ser.BldNew.Thermal.SC.GasHP.NG_Biogas</t>
  </si>
  <si>
    <t>TES_per_building.kWh.HR.Ser.BldNew.Thermal.SC.AC.Elec</t>
  </si>
  <si>
    <t>TES_per_building.kWh.HR.Ser.BldNew.Thermal.HW</t>
  </si>
  <si>
    <t>TES_per_building.kWh.HR.Ser.BldNew.Thermal.HW.Solids.Solids</t>
  </si>
  <si>
    <t>TES_per_building.kWh.HR.Ser.BldNew.Thermal.HW.LPG.LPG</t>
  </si>
  <si>
    <t>TES_per_building.kWh.HR.Ser.BldNew.Thermal.HW.Oil.Oil_LiqBio</t>
  </si>
  <si>
    <t>TES_per_building.kWh.HR.Ser.BldNew.Thermal.HW.Gas.NG_Biogas</t>
  </si>
  <si>
    <t>TES_per_building.kWh.HR.Ser.BldNew.Thermal.HW.Biomass.Biomass_Waste</t>
  </si>
  <si>
    <t>TES_per_building.kWh.HR.Ser.BldNew.Thermal.HW.DistrHeat.Steam_Distr</t>
  </si>
  <si>
    <t>TES_per_building.kWh.HR.Ser.BldNew.Thermal.HW.Elc.Elec</t>
  </si>
  <si>
    <t>TES_per_building.kWh.HR.Ser.BldNew.Thermal.HW.TotalSolar.Solar</t>
  </si>
  <si>
    <t>TES_per_building.kWh.HR.Ser.BldNew.Thermal.CA</t>
  </si>
  <si>
    <t>TES_per_building.kWh.HR.Ser.BldNew.Thermal.CA.LPG</t>
  </si>
  <si>
    <t>TES_per_building.kWh.HR.Ser.BldNew.Thermal.CA.Gas.NG_Biogas</t>
  </si>
  <si>
    <t>TES_per_building.kWh.HR.Ser.BldNew.Thermal.CA.Biomass.Biomass_Waste</t>
  </si>
  <si>
    <t>TES_per_building.kWh.HR.Ser.BldNew.Thermal.CA.Elc.Elec</t>
  </si>
  <si>
    <t>HR - CO2 emissions in new and renovated buildings (per building)</t>
  </si>
  <si>
    <t>EMI_per_building.kgCO2.HR.Ser.BldNew.Thermal</t>
  </si>
  <si>
    <t>EMI_per_building.kgCO2.HR.Ser.BldNew.Thermal.SH</t>
  </si>
  <si>
    <t>EMI_per_building.kgCO2.HR.Ser.BldNew.Thermal.SH.Solids.Solids</t>
  </si>
  <si>
    <t>EMI_per_building.kgCO2.HR.Ser.BldNew.Thermal.SH.LPG.LPG</t>
  </si>
  <si>
    <t>EMI_per_building.kgCO2.HR.Ser.BldNew.Thermal.SH.Oil.Oil_LiqBio</t>
  </si>
  <si>
    <t>EMI_per_building.kgCO2.HR.Ser.BldNew.Thermal.SH.GasHP.NG_Biogas</t>
  </si>
  <si>
    <t>EMI_per_building.kgCO2.HR.Ser.BldNew.Thermal.SH.GasTH.NG_Biogas</t>
  </si>
  <si>
    <t>EMI_per_building.kgCO2.HR.Ser.BldNew.Thermal.SH.Biomass.Biomass_Waste</t>
  </si>
  <si>
    <t>EMI_per_building.kgCO2.HR.Ser.BldNew.Thermal.SH.Geo.Geo</t>
  </si>
  <si>
    <t>EMI_per_building.kgCO2.HR.Ser.BldNew.Thermal.SH.DistrHeat.Steam_Distr</t>
  </si>
  <si>
    <t>EMI_per_building.kgCO2.HR.Ser.BldNew.Thermal.SH.AdvElc.Elec</t>
  </si>
  <si>
    <t>EMI_per_building.kgCO2.HR.Ser.BldNew.Thermal.SH.ConvElc.Elec</t>
  </si>
  <si>
    <t>EMI_per_building.kgCO2.HR.Ser.BldNew.Thermal.SH.TotalCirculation.Elec</t>
  </si>
  <si>
    <t>EMI_per_building.kgCO2.HR.Ser.BldNew.Thermal.SC</t>
  </si>
  <si>
    <t>EMI_per_building.kgCO2.HR.Ser.BldNew.Thermal.SC.GasHP.NG_Biogas</t>
  </si>
  <si>
    <t>EMI_per_building.kgCO2.HR.Ser.BldNew.Thermal.SC.AC.Elec</t>
  </si>
  <si>
    <t>EMI_per_building.kgCO2.HR.Ser.BldNew.Thermal.HW</t>
  </si>
  <si>
    <t>EMI_per_building.kgCO2.HR.Ser.BldNew.Thermal.HW.Solids.Solids</t>
  </si>
  <si>
    <t>EMI_per_building.kgCO2.HR.Ser.BldNew.Thermal.HW.LPG.LPG</t>
  </si>
  <si>
    <t>EMI_per_building.kgCO2.HR.Ser.BldNew.Thermal.HW.Oil.Oil_LiqBio</t>
  </si>
  <si>
    <t>EMI_per_building.kgCO2.HR.Ser.BldNew.Thermal.HW.Gas.NG_Biogas</t>
  </si>
  <si>
    <t>EMI_per_building.kgCO2.HR.Ser.BldNew.Thermal.HW.Biomass.Biomass_Waste</t>
  </si>
  <si>
    <t>EMI_per_building.kgCO2.HR.Ser.BldNew.Thermal.HW.DistrHeat.Steam_Distr</t>
  </si>
  <si>
    <t>EMI_per_building.kgCO2.HR.Ser.BldNew.Thermal.HW.Elc.Elec</t>
  </si>
  <si>
    <t>EMI_per_building.kgCO2.HR.Ser.BldNew.Thermal.HW.TotalSolar.Solar</t>
  </si>
  <si>
    <t>EMI_per_building.kgCO2.HR.Ser.BldNew.Thermal.CA</t>
  </si>
  <si>
    <t>EMI_per_building.kgCO2.HR.Ser.BldNew.Thermal.CA.LPG</t>
  </si>
  <si>
    <t>EMI_per_building.kgCO2.HR.Ser.BldNew.Thermal.CA.Gas.NG_Biogas</t>
  </si>
  <si>
    <t>EMI_per_building.kgCO2.HR.Ser.BldNew.Thermal.CA.Biomass.Biomass_Waste</t>
  </si>
  <si>
    <t>EMI_per_building.kgCO2.HR.Ser.BldNew.Thermal.CA.Elc.Elec</t>
  </si>
  <si>
    <t>HR - Final energy consumption in new and renovated buildings per surface area</t>
  </si>
  <si>
    <t>FEC_per_sqm.kWh.HR.Ser.BldNew.Thermal</t>
  </si>
  <si>
    <t>FEC_per_sqm.kWh.HR.Ser.BldNew.Thermal.SH</t>
  </si>
  <si>
    <t>FEC_per_sqm.kWh.HR.Ser.BldNew.Thermal.SH.Solids.Solids</t>
  </si>
  <si>
    <t>FEC_per_sqm.kWh.HR.Ser.BldNew.Thermal.SH.LPG.LPG</t>
  </si>
  <si>
    <t>FEC_per_sqm.kWh.HR.Ser.BldNew.Thermal.SH.Oil.Oil_LiqBio</t>
  </si>
  <si>
    <t>FEC_per_sqm.kWh.HR.Ser.BldNew.Thermal.SH.GasHP.NG_Biogas</t>
  </si>
  <si>
    <t>FEC_per_sqm.kWh.HR.Ser.BldNew.Thermal.SH.GasTH.NG_Biogas</t>
  </si>
  <si>
    <t>FEC_per_sqm.kWh.HR.Ser.BldNew.Thermal.SH.Biomass.Biomass_Waste</t>
  </si>
  <si>
    <t>FEC_per_sqm.kWh.HR.Ser.BldNew.Thermal.SH.Geo.Geo</t>
  </si>
  <si>
    <t>FEC_per_sqm.kWh.HR.Ser.BldNew.Thermal.SH.DistrHeat.Steam_Distr</t>
  </si>
  <si>
    <t>FEC_per_sqm.kWh.HR.Ser.BldNew.Thermal.SH.AdvElc.Elec</t>
  </si>
  <si>
    <t>FEC_per_sqm.kWh.HR.Ser.BldNew.Thermal.SH.ConvElc.Elec</t>
  </si>
  <si>
    <t>FEC_per_sqm.kWh.HR.Ser.BldNew.Thermal.SH.TotalCirculation.Elec</t>
  </si>
  <si>
    <t>FEC_per_sqm.kWh.HR.Ser.BldNew.Thermal.SC</t>
  </si>
  <si>
    <t>FEC_per_sqm.kWh.HR.Ser.BldNew.Thermal.SC.GasHP.NG_Biogas</t>
  </si>
  <si>
    <t>FEC_per_sqm.kWh.HR.Ser.BldNew.Thermal.SC.AC.Elec</t>
  </si>
  <si>
    <t>FEC_per_sqm.kWh.HR.Ser.BldNew.Thermal.HW</t>
  </si>
  <si>
    <t>FEC_per_sqm.kWh.HR.Ser.BldNew.Thermal.HW.Solids.Solids</t>
  </si>
  <si>
    <t>FEC_per_sqm.kWh.HR.Ser.BldNew.Thermal.HW.LPG.LPG</t>
  </si>
  <si>
    <t>FEC_per_sqm.kWh.HR.Ser.BldNew.Thermal.HW.Oil.Oil_LiqBio</t>
  </si>
  <si>
    <t>FEC_per_sqm.kWh.HR.Ser.BldNew.Thermal.HW.Gas.NG_Biogas</t>
  </si>
  <si>
    <t>FEC_per_sqm.kWh.HR.Ser.BldNew.Thermal.HW.Biomass.Biomass_Waste</t>
  </si>
  <si>
    <t>FEC_per_sqm.kWh.HR.Ser.BldNew.Thermal.HW.DistrHeat.Steam_Distr</t>
  </si>
  <si>
    <t>FEC_per_sqm.kWh.HR.Ser.BldNew.Thermal.HW.Elc.Elec</t>
  </si>
  <si>
    <t>FEC_per_sqm.kWh.HR.Ser.BldNew.Thermal.HW.TotalSolar.Solar</t>
  </si>
  <si>
    <t>FEC_per_sqm.kWh.HR.Ser.BldNew.Thermal.CA</t>
  </si>
  <si>
    <t>FEC_per_sqm.kWh.HR.Ser.BldNew.Thermal.CA.LPG</t>
  </si>
  <si>
    <t>FEC_per_sqm.kWh.HR.Ser.BldNew.Thermal.CA.Gas.NG_Biogas</t>
  </si>
  <si>
    <t>FEC_per_sqm.kWh.HR.Ser.BldNew.Thermal.CA.Biomass.Biomass_Waste</t>
  </si>
  <si>
    <t>FEC_per_sqm.kWh.HR.Ser.BldNew.Thermal.CA.Elc.Elec</t>
  </si>
  <si>
    <t>HR - Thermal energy service in new and renovated buildings per surface area</t>
  </si>
  <si>
    <t>TES_per_sqm.kWh.HR.Ser.BldNew.Thermal</t>
  </si>
  <si>
    <t>TES_per_sqm.kWh.HR.Ser.BldNew.Thermal.SH</t>
  </si>
  <si>
    <t>TES_per_sqm.kWh.HR.Ser.BldNew.Thermal.SH.Solids.Solids</t>
  </si>
  <si>
    <t>TES_per_sqm.kWh.HR.Ser.BldNew.Thermal.SH.LPG.LPG</t>
  </si>
  <si>
    <t>TES_per_sqm.kWh.HR.Ser.BldNew.Thermal.SH.Oil.Oil_LiqBio</t>
  </si>
  <si>
    <t>TES_per_sqm.kWh.HR.Ser.BldNew.Thermal.SH.GasHP.NG_Biogas</t>
  </si>
  <si>
    <t>TES_per_sqm.kWh.HR.Ser.BldNew.Thermal.SH.GasTH.NG_Biogas</t>
  </si>
  <si>
    <t>TES_per_sqm.kWh.HR.Ser.BldNew.Thermal.SH.Biomass.Biomass_Waste</t>
  </si>
  <si>
    <t>TES_per_sqm.kWh.HR.Ser.BldNew.Thermal.SH.Geo.Geo</t>
  </si>
  <si>
    <t>TES_per_sqm.kWh.HR.Ser.BldNew.Thermal.SH.DistrHeat.Steam_Distr</t>
  </si>
  <si>
    <t>TES_per_sqm.kWh.HR.Ser.BldNew.Thermal.SH.AdvElc.Elec</t>
  </si>
  <si>
    <t>TES_per_sqm.kWh.HR.Ser.BldNew.Thermal.SH.ConvElc.Elec</t>
  </si>
  <si>
    <t>TES_per_sqm.kWh.HR.Ser.BldNew.Thermal.SH.TotalCirculation.Elec</t>
  </si>
  <si>
    <t>TES_per_sqm.kWh.HR.Ser.BldNew.Thermal.SC</t>
  </si>
  <si>
    <t>TES_per_sqm.kWh.HR.Ser.BldNew.Thermal.SC.GasHP.NG_Biogas</t>
  </si>
  <si>
    <t>TES_per_sqm.kWh.HR.Ser.BldNew.Thermal.SC.AC.Elec</t>
  </si>
  <si>
    <t>TES_per_sqm.kWh.HR.Ser.BldNew.Thermal.HW</t>
  </si>
  <si>
    <t>TES_per_sqm.kWh.HR.Ser.BldNew.Thermal.HW.Solids.Solids</t>
  </si>
  <si>
    <t>TES_per_sqm.kWh.HR.Ser.BldNew.Thermal.HW.LPG.LPG</t>
  </si>
  <si>
    <t>TES_per_sqm.kWh.HR.Ser.BldNew.Thermal.HW.Oil.Oil_LiqBio</t>
  </si>
  <si>
    <t>TES_per_sqm.kWh.HR.Ser.BldNew.Thermal.HW.Gas.NG_Biogas</t>
  </si>
  <si>
    <t>TES_per_sqm.kWh.HR.Ser.BldNew.Thermal.HW.Biomass.Biomass_Waste</t>
  </si>
  <si>
    <t>TES_per_sqm.kWh.HR.Ser.BldNew.Thermal.HW.DistrHeat.Steam_Distr</t>
  </si>
  <si>
    <t>TES_per_sqm.kWh.HR.Ser.BldNew.Thermal.HW.Elc.Elec</t>
  </si>
  <si>
    <t>TES_per_sqm.kWh.HR.Ser.BldNew.Thermal.HW.TotalSolar.Solar</t>
  </si>
  <si>
    <t>TES_per_sqm.kWh.HR.Ser.BldNew.Thermal.CA</t>
  </si>
  <si>
    <t>TES_per_sqm.kWh.HR.Ser.BldNew.Thermal.CA.LPG</t>
  </si>
  <si>
    <t>TES_per_sqm.kWh.HR.Ser.BldNew.Thermal.CA.Gas.NG_Biogas</t>
  </si>
  <si>
    <t>TES_per_sqm.kWh.HR.Ser.BldNew.Thermal.CA.Biomass.Biomass_Waste</t>
  </si>
  <si>
    <t>TES_per_sqm.kWh.HR.Ser.BldNew.Thermal.CA.Elc.Elec</t>
  </si>
  <si>
    <t>HR - CO2 emissions in new and renovated buildings per surface area</t>
  </si>
  <si>
    <t>EMI_per_sqm.kgCO2.HR.Ser.BldNew.Thermal</t>
  </si>
  <si>
    <t>EMI_per_sqm.kgCO2.HR.Ser.BldNew.Thermal.SH</t>
  </si>
  <si>
    <t>EMI_per_sqm.kgCO2.HR.Ser.BldNew.Thermal.SH.Solids.Solids</t>
  </si>
  <si>
    <t>EMI_per_sqm.kgCO2.HR.Ser.BldNew.Thermal.SH.LPG.LPG</t>
  </si>
  <si>
    <t>EMI_per_sqm.kgCO2.HR.Ser.BldNew.Thermal.SH.Oil.Oil_LiqBio</t>
  </si>
  <si>
    <t>EMI_per_sqm.kgCO2.HR.Ser.BldNew.Thermal.SH.GasHP.NG_Biogas</t>
  </si>
  <si>
    <t>EMI_per_sqm.kgCO2.HR.Ser.BldNew.Thermal.SH.GasTH.NG_Biogas</t>
  </si>
  <si>
    <t>EMI_per_sqm.kgCO2.HR.Ser.BldNew.Thermal.SH.Biomass.Biomass_Waste</t>
  </si>
  <si>
    <t>EMI_per_sqm.kgCO2.HR.Ser.BldNew.Thermal.SH.Geo.Geo</t>
  </si>
  <si>
    <t>EMI_per_sqm.kgCO2.HR.Ser.BldNew.Thermal.SH.DistrHeat.Steam_Distr</t>
  </si>
  <si>
    <t>EMI_per_sqm.kgCO2.HR.Ser.BldNew.Thermal.SH.AdvElc.Elec</t>
  </si>
  <si>
    <t>EMI_per_sqm.kgCO2.HR.Ser.BldNew.Thermal.SH.ConvElc.Elec</t>
  </si>
  <si>
    <t>EMI_per_sqm.kgCO2.HR.Ser.BldNew.Thermal.SH.TotalCirculation.Elec</t>
  </si>
  <si>
    <t>EMI_per_sqm.kgCO2.HR.Ser.BldNew.Thermal.SC</t>
  </si>
  <si>
    <t>EMI_per_sqm.kgCO2.HR.Ser.BldNew.Thermal.SC.GasHP.NG_Biogas</t>
  </si>
  <si>
    <t>EMI_per_sqm.kgCO2.HR.Ser.BldNew.Thermal.SC.AC.Elec</t>
  </si>
  <si>
    <t>EMI_per_sqm.kgCO2.HR.Ser.BldNew.Thermal.HW</t>
  </si>
  <si>
    <t>EMI_per_sqm.kgCO2.HR.Ser.BldNew.Thermal.HW.Solids.Solids</t>
  </si>
  <si>
    <t>EMI_per_sqm.kgCO2.HR.Ser.BldNew.Thermal.HW.LPG.LPG</t>
  </si>
  <si>
    <t>EMI_per_sqm.kgCO2.HR.Ser.BldNew.Thermal.HW.Oil.Oil_LiqBio</t>
  </si>
  <si>
    <t>EMI_per_sqm.kgCO2.HR.Ser.BldNew.Thermal.HW.Gas.NG_Biogas</t>
  </si>
  <si>
    <t>EMI_per_sqm.kgCO2.HR.Ser.BldNew.Thermal.HW.Biomass.Biomass_Waste</t>
  </si>
  <si>
    <t>EMI_per_sqm.kgCO2.HR.Ser.BldNew.Thermal.HW.DistrHeat.Steam_Distr</t>
  </si>
  <si>
    <t>EMI_per_sqm.kgCO2.HR.Ser.BldNew.Thermal.HW.Elc.Elec</t>
  </si>
  <si>
    <t>EMI_per_sqm.kgCO2.HR.Ser.BldNew.Thermal.HW.TotalSolar.Solar</t>
  </si>
  <si>
    <t>EMI_per_sqm.kgCO2.HR.Ser.BldNew.Thermal.CA</t>
  </si>
  <si>
    <t>EMI_per_sqm.kgCO2.HR.Ser.BldNew.Thermal.CA.LPG</t>
  </si>
  <si>
    <t>EMI_per_sqm.kgCO2.HR.Ser.BldNew.Thermal.CA.Gas.NG_Biogas</t>
  </si>
  <si>
    <t>EMI_per_sqm.kgCO2.HR.Ser.BldNew.Thermal.CA.Biomass.Biomass_Waste</t>
  </si>
  <si>
    <t>EMI_per_sqm.kgCO2.HR.Ser.BldNew.Thermal.CA.Elc.Elec</t>
  </si>
  <si>
    <t>FEC.ktoe.HR.Ser.SEU.VE</t>
  </si>
  <si>
    <t>FEC.ktoe.HR.Ser.SEU.SL</t>
  </si>
  <si>
    <t>FEC.ktoe.HR.Ser.SEU.BL</t>
  </si>
  <si>
    <t>FEC.ktoe.HR.Ser.SEU.CR</t>
  </si>
  <si>
    <t>FEC.ktoe.HR.Ser.SEU.BT</t>
  </si>
  <si>
    <t>FEC.ktoe.HR.Ser.SEU.IT</t>
  </si>
  <si>
    <t>Size.MW.HR.Ser.SEU</t>
  </si>
  <si>
    <t>Size.MW.HR.Ser.SEU.VE</t>
  </si>
  <si>
    <t>Size.MW.HR.Ser.SEU.SL</t>
  </si>
  <si>
    <t>Size.MW.HR.Ser.SEU.BL</t>
  </si>
  <si>
    <t>Size.MW.HR.Ser.SEU.CR</t>
  </si>
  <si>
    <t>Size.MW.HR.Ser.SEU.BT</t>
  </si>
  <si>
    <t>Size.MW.HR.Ser.SEU.IT</t>
  </si>
  <si>
    <t>NUM.Msqm.HR.Ser.SEU.VE</t>
  </si>
  <si>
    <t>NUM.k.HR.Ser.SEU.SL</t>
  </si>
  <si>
    <t>NUM.M.HR.Ser.SEU.BL</t>
  </si>
  <si>
    <t>NUM.k.HR.Ser.SEU.CR</t>
  </si>
  <si>
    <t>NUM.Msqm.HR.Ser.SEU.BT</t>
  </si>
  <si>
    <t>NUM.k.HR.Ser.SEU.IT</t>
  </si>
  <si>
    <t>NUM.Msqm.HR.Ser.SEUnew.VE</t>
  </si>
  <si>
    <t>NUM.k.HR.Ser.SEUnew.SL</t>
  </si>
  <si>
    <t>NUM.M.HR.Ser.SEUnew.BL</t>
  </si>
  <si>
    <t>NUM.k.HR.Ser.SEUnew.CR</t>
  </si>
  <si>
    <t>NUM.Msqm.HR.Ser.SEUnew.BT</t>
  </si>
  <si>
    <t>NUM.k.HR.Ser.SEUnew.IT</t>
  </si>
  <si>
    <t>NUM.Msqm.HR.Ser.SEUrepl.VE</t>
  </si>
  <si>
    <t>NUM.k.HR.Ser.SEUrepl.SL</t>
  </si>
  <si>
    <t>NUM.M.HR.Ser.SEUrepl.BL</t>
  </si>
  <si>
    <t>NUM.k.HR.Ser.SEUrepl.CR</t>
  </si>
  <si>
    <t>NUM.Msqm.HR.Ser.SEUrepl.BT</t>
  </si>
  <si>
    <t>NUM.k.HR.Ser.SEUrepl.IT</t>
  </si>
  <si>
    <t>Op.hours.HR.Ser.SEU.VE</t>
  </si>
  <si>
    <t>Op.hours.HR.Ser.SEU.SL</t>
  </si>
  <si>
    <t>Op.hours.HR.Ser.SEU.BL</t>
  </si>
  <si>
    <t>Op.hours.HR.Ser.SEU.CR</t>
  </si>
  <si>
    <t>Op.hours.HR.Ser.SEU.BT</t>
  </si>
  <si>
    <t>Op.hours.HR.Ser.SEU.IT</t>
  </si>
  <si>
    <t>Size_per_appl.W.HR.Ser.SEU.VE</t>
  </si>
  <si>
    <t>Size_per_appl.W.HR.Ser.SEU.SL</t>
  </si>
  <si>
    <t>Size_per_appl.W.HR.Ser.SEU.BL</t>
  </si>
  <si>
    <t>Size_per_appl.W.HR.Ser.SEU.CR</t>
  </si>
  <si>
    <t>Size_per_appl.W.HR.Ser.SEU.BT</t>
  </si>
  <si>
    <t>Size_per_appl.W.HR.Ser.SEU.IT</t>
  </si>
  <si>
    <t>Size_per_appl.W.HR.Ser.SEUnew.VE</t>
  </si>
  <si>
    <t>Size_per_appl.W.HR.Ser.SEUnew.SL</t>
  </si>
  <si>
    <t>Size_per_appl.W.HR.Ser.SEUnew.BL</t>
  </si>
  <si>
    <t>Size_per_appl.W.HR.Ser.SEUnew.CR</t>
  </si>
  <si>
    <t>Size_per_appl.W.HR.Ser.SEUnew.BT</t>
  </si>
  <si>
    <t>Size_per_appl.W.HR.Ser.SEUnew.IT</t>
  </si>
  <si>
    <t>NUM.sqm_per_building.HR.Ser.SEU.VE</t>
  </si>
  <si>
    <t>NUM.number_per_capita.HR.Ser.SEU.SL</t>
  </si>
  <si>
    <t>NUM.number_per_building.HR.Ser.SEU.BL</t>
  </si>
  <si>
    <t>NUM.number_per_capita.HR.Ser.SEU.CR</t>
  </si>
  <si>
    <t>NUM.sqm_per_building.HR.Ser.SEU.BT</t>
  </si>
  <si>
    <t>NUM.number_per_capita.HR.Ser.SEU.IT</t>
  </si>
  <si>
    <t>Lumens_per_sqm.lumen.HR.Ser.SEU.BL</t>
  </si>
  <si>
    <t>HR - Services / specific electric uses</t>
  </si>
  <si>
    <t>HR - Ventilation and others</t>
  </si>
  <si>
    <t>HR - Street lighting</t>
  </si>
  <si>
    <t>HR - Building lighting</t>
  </si>
  <si>
    <t>HR - Commercial refrigeration</t>
  </si>
  <si>
    <t>HR - Miscellaneous building technologies</t>
  </si>
  <si>
    <t>HR - ICT and multimedia</t>
  </si>
  <si>
    <t>HR - Agriculture, forestry and fishing</t>
  </si>
  <si>
    <t>VA.Meuro2015.HR.AGR.AGR</t>
  </si>
  <si>
    <t>OUTPUT.index.HR.AGR.AGR</t>
  </si>
  <si>
    <t>CAP.index.HR.AGR.AGR</t>
  </si>
  <si>
    <t>NEWCAP.index.HR.AGR.AGR</t>
  </si>
  <si>
    <t>CAPOUT.index.HR.AGR.AGR</t>
  </si>
  <si>
    <t>CAPIDLE.index.HR.AGR.AGR</t>
  </si>
  <si>
    <t>FEC.ktoe.HR.ES.AGR</t>
  </si>
  <si>
    <t>FEC.ktoe.HR.ES.AGR.Solids</t>
  </si>
  <si>
    <t>FEC.ktoe.HR.ES.AGR.LPG</t>
  </si>
  <si>
    <t>FEC.ktoe.HR.ES.AGR.Diesel</t>
  </si>
  <si>
    <t>FEC.ktoe.HR.ES.AGR.RFO</t>
  </si>
  <si>
    <t>FEC.ktoe.HR.ES.AGR.NG</t>
  </si>
  <si>
    <t>FEC.ktoe.HR.ES.AGR.Biomass_Waste</t>
  </si>
  <si>
    <t>FEC.ktoe.HR.ES.AGR.Biogas</t>
  </si>
  <si>
    <t>FEC.ktoe.HR.ES.AGR.LiqBio</t>
  </si>
  <si>
    <t>FEC.ktoe.HR.ES.AGR.Solar</t>
  </si>
  <si>
    <t>FEC.ktoe.HR.ES.AGR.Geo</t>
  </si>
  <si>
    <t>FEC.ktoe.HR.ES.AGR.Ambient</t>
  </si>
  <si>
    <t>FEC.ktoe.HR.ES.AGR.Steam_Distr</t>
  </si>
  <si>
    <t>FEC.ktoe.HR.ES.AGR.Elec</t>
  </si>
  <si>
    <t>HR - Agriculture, forestry and fishing / final energy consumption</t>
  </si>
  <si>
    <t>FEC.ktoe.HR.AGR.AGR.LIGHT.GENERIC.ELEC</t>
  </si>
  <si>
    <t>FEC.ktoe.HR.AGR.AGR.FANS.GENERIC.ELEC</t>
  </si>
  <si>
    <t>FEC.ktoe.HR.AGR.AGR.MOTOR.GENERIC.ELEC</t>
  </si>
  <si>
    <t>FEC.ktoe.HR.AGR.AGR.LOW_ENTH.THERM.DIESEL_LIQBIO</t>
  </si>
  <si>
    <t>FEC.ktoe.HR.AGR.AGR.LOW_ENTH.THERM.NG_BIOGAS</t>
  </si>
  <si>
    <t>FEC.ktoe.HR.AGR.AGR.LOW_ENTH.THERM.SOLAR_GEO</t>
  </si>
  <si>
    <t>FEC.ktoe.HR.AGR.AGR.LOW_ENTH.HP.AMBIENT</t>
  </si>
  <si>
    <t>FEC.ktoe.HR.AGR.AGR.LOW_ENTH.THERM.STEAM_DISTR</t>
  </si>
  <si>
    <t>FEC.ktoe.HR.AGR.AGR.LOW_ENTH.THERM.ELEC</t>
  </si>
  <si>
    <t>FEC.ktoe.HR.AGR.AGR.FARM_DRIVES.MECH.DIESEL_LIQBIO</t>
  </si>
  <si>
    <t>FEC.ktoe.HR.AGR.AGR.HEAT_USE.THERM.SOLIDS</t>
  </si>
  <si>
    <t>FEC.ktoe.HR.AGR.AGR.HEAT_USE.THERM.LPG</t>
  </si>
  <si>
    <t>FEC.ktoe.HR.AGR.AGR.HEAT_USE.THERM.DIESEL_LIQBIO</t>
  </si>
  <si>
    <t>FEC.ktoe.HR.AGR.AGR.HEAT_USE.THERM.RFO</t>
  </si>
  <si>
    <t>FEC.ktoe.HR.AGR.AGR.HEAT_USE.THERM.NG_BIOGAS</t>
  </si>
  <si>
    <t>FEC.ktoe.HR.AGR.AGR.HEAT_USE.THERM.BIOMASS_WASTE</t>
  </si>
  <si>
    <t>FEC.ktoe.HR.AGR.AGR.HEAT_USE.THERM.SOLAR_GEO</t>
  </si>
  <si>
    <t>FEC.ktoe.HR.AGR.AGR.FARM_PUMP.MECH.DIESEL_LIQBIO</t>
  </si>
  <si>
    <t>FEC.ktoe.HR.AGR.AGR.FARM_PUMP_ELEC.MECH.ELEC</t>
  </si>
  <si>
    <t>FEC.ktoe.HR.AGR.AGR.GENERIC.MECH.ELEC</t>
  </si>
  <si>
    <t>HR - Agriculture, forestry and fishing / useful energy demand</t>
  </si>
  <si>
    <t>UED.ktoe.HR.AGR.AGR.LIGHT.GENERIC.ELEC</t>
  </si>
  <si>
    <t>UED.ktoe.HR.AGR.AGR.FANS.GENERIC.ELEC</t>
  </si>
  <si>
    <t>UED.ktoe.HR.AGR.AGR.MOTOR.GENERIC.ELEC</t>
  </si>
  <si>
    <t>UED.ktoe.HR.AGR.AGR.LOW_ENTH.THERM.DIESEL_LIQBIO</t>
  </si>
  <si>
    <t>UED.ktoe.HR.AGR.AGR.LOW_ENTH.THERM.NG_BIOGAS</t>
  </si>
  <si>
    <t>UED.ktoe.HR.AGR.AGR.LOW_ENTH.THERM.SOLAR_GEO</t>
  </si>
  <si>
    <t>UED.ktoe.HR.AGR.AGR.LOW_ENTH.HP.AMBIENT</t>
  </si>
  <si>
    <t>UED.ktoe.HR.AGR.AGR.LOW_ENTH.THERM.STEAM_DISTR</t>
  </si>
  <si>
    <t>UED.ktoe.HR.AGR.AGR.LOW_ENTH.THERM.ELEC</t>
  </si>
  <si>
    <t>UED.ktoe.HR.AGR.AGR.FARM_DRIVES.MECH.DIESEL_LIQBIO</t>
  </si>
  <si>
    <t>UED.ktoe.HR.AGR.AGR.HEAT_USE.THERM.SOLIDS</t>
  </si>
  <si>
    <t>UED.ktoe.HR.AGR.AGR.HEAT_USE.THERM.LPG</t>
  </si>
  <si>
    <t>UED.ktoe.HR.AGR.AGR.HEAT_USE.THERM.DIESEL_LIQBIO</t>
  </si>
  <si>
    <t>UED.ktoe.HR.AGR.AGR.HEAT_USE.THERM.RFO</t>
  </si>
  <si>
    <t>UED.ktoe.HR.AGR.AGR.HEAT_USE.THERM.NG_BIOGAS</t>
  </si>
  <si>
    <t>UED.ktoe.HR.AGR.AGR.HEAT_USE.THERM.BIOMASS_WASTE</t>
  </si>
  <si>
    <t>UED.ktoe.HR.AGR.AGR.HEAT_USE.THERM.SOLAR_GEO</t>
  </si>
  <si>
    <t>UED.ktoe.HR.AGR.AGR.FARM_PUMP.MECH.DIESEL_LIQBIO</t>
  </si>
  <si>
    <t>UED.ktoe.HR.AGR.AGR.FARM_PUMP_ELEC.MECH.ELEC</t>
  </si>
  <si>
    <t>UED.ktoe.HR.AGR.AGR.GENERIC.MECH.ELEC</t>
  </si>
  <si>
    <t>HR - Agriculture, forestry and fishing / CO2 emissions</t>
  </si>
  <si>
    <t>FUEL_EMI.ktCO2.HR.AGR.AGR.LIGHT.GENERIC.ELEC</t>
  </si>
  <si>
    <t>FUEL_EMI.ktCO2.HR.AGR.AGR.FANS.GENERIC.ELEC</t>
  </si>
  <si>
    <t>FUEL_EMI.ktCO2.HR.AGR.AGR.MOTOR.GENERIC.ELEC</t>
  </si>
  <si>
    <t>FUEL_EMI.ktCO2.HR.AGR.AGR.LOW_ENTH.THERM.DIESEL_LIQBIO</t>
  </si>
  <si>
    <t>FUEL_EMI.ktCO2.HR.AGR.AGR.LOW_ENTH.THERM.NG_BIOGAS</t>
  </si>
  <si>
    <t>FUEL_EMI.ktCO2.HR.AGR.AGR.LOW_ENTH.THERM.SOLAR_GEO</t>
  </si>
  <si>
    <t>FUEL_EMI.ktCO2.HR.AGR.AGR.LOW_ENTH.HP.AMBIENT</t>
  </si>
  <si>
    <t>FUEL_EMI.ktCO2.HR.AGR.AGR.LOW_ENTH.THERM.STEAM_DISTR</t>
  </si>
  <si>
    <t>FUEL_EMI.ktCO2.HR.AGR.AGR.LOW_ENTH.THERM.ELEC</t>
  </si>
  <si>
    <t>FUEL_EMI.ktCO2.HR.AGR.AGR.FARM_DRIVES.MECH.DIESEL_LIQBIO</t>
  </si>
  <si>
    <t>FUEL_EMI.ktCO2.HR.AGR.AGR.HEAT_USE.THERM.SOLIDS</t>
  </si>
  <si>
    <t>FUEL_EMI.ktCO2.HR.AGR.AGR.HEAT_USE.THERM.LPG</t>
  </si>
  <si>
    <t>FUEL_EMI.ktCO2.HR.AGR.AGR.HEAT_USE.THERM.DIESEL_LIQBIO</t>
  </si>
  <si>
    <t>FUEL_EMI.ktCO2.HR.AGR.AGR.HEAT_USE.THERM.RFO</t>
  </si>
  <si>
    <t>FUEL_EMI.ktCO2.HR.AGR.AGR.HEAT_USE.THERM.NG_BIOGAS</t>
  </si>
  <si>
    <t>FUEL_EMI.ktCO2.HR.AGR.AGR.HEAT_USE.THERM.BIOMASS_WASTE</t>
  </si>
  <si>
    <t>FUEL_EMI.ktCO2.HR.AGR.AGR.HEAT_USE.THERM.SOLAR_GEO</t>
  </si>
  <si>
    <t>FUEL_EMI.ktCO2.HR.AGR.AGR.FARM_PUMP.MECH.DIESEL_LIQBIO</t>
  </si>
  <si>
    <t>FUEL_EMI.ktCO2.HR.AGR.AGR.FARM_PUMP_ELEC.MECH.ELEC</t>
  </si>
  <si>
    <t>FUEL_EMI.ktCO2.HR.AGR.AGR.GENERIC.MECH.ELEC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</si>
</sst>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45432.785439814812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4497735</v>
      </c>
      <c r="C3" s="34">
        <v>4295406</v>
      </c>
      <c r="D3" s="34">
        <v>4305494</v>
      </c>
      <c r="E3" s="34">
        <v>4305384</v>
      </c>
      <c r="F3" s="34">
        <v>4305725</v>
      </c>
      <c r="G3" s="34">
        <v>4310861</v>
      </c>
      <c r="H3" s="34">
        <v>4312487</v>
      </c>
      <c r="I3" s="34">
        <v>4313530</v>
      </c>
      <c r="J3" s="34">
        <v>4311967</v>
      </c>
      <c r="K3" s="34">
        <v>4309796</v>
      </c>
      <c r="L3" s="34">
        <v>4302847</v>
      </c>
      <c r="M3" s="34">
        <v>4289857</v>
      </c>
      <c r="N3" s="34">
        <v>4275984</v>
      </c>
      <c r="O3" s="34">
        <v>4262140</v>
      </c>
      <c r="P3" s="34">
        <v>4246809</v>
      </c>
      <c r="Q3" s="34">
        <v>4225316</v>
      </c>
      <c r="R3" s="34">
        <v>4190669</v>
      </c>
      <c r="S3" s="34">
        <v>4154213</v>
      </c>
      <c r="T3" s="34">
        <v>4105493</v>
      </c>
      <c r="U3" s="34">
        <v>4076246</v>
      </c>
      <c r="V3" s="34">
        <v>4058165</v>
      </c>
      <c r="W3" s="34">
        <v>4036355</v>
      </c>
      <c r="DA3" s="88" t="s">
        <v>187</v>
      </c>
    </row>
    <row r="4" spans="1:105" ht="12" customHeight="1" x14ac:dyDescent="0.25">
      <c r="A4" s="35" t="s">
        <v>178</v>
      </c>
      <c r="B4" s="36">
        <v>35376.678995522678</v>
      </c>
      <c r="C4" s="36">
        <v>36480.874470689196</v>
      </c>
      <c r="D4" s="36">
        <v>38604.083057058102</v>
      </c>
      <c r="E4" s="36">
        <v>40765.895384130235</v>
      </c>
      <c r="F4" s="36">
        <v>42469.452084039731</v>
      </c>
      <c r="G4" s="36">
        <v>44298.939572462543</v>
      </c>
      <c r="H4" s="36">
        <v>46547.955875783227</v>
      </c>
      <c r="I4" s="36">
        <v>48910.641575877627</v>
      </c>
      <c r="J4" s="36">
        <v>49894.544446384018</v>
      </c>
      <c r="K4" s="36">
        <v>46292.817847481841</v>
      </c>
      <c r="L4" s="36">
        <v>45717.788964761006</v>
      </c>
      <c r="M4" s="36">
        <v>45679.805469664672</v>
      </c>
      <c r="N4" s="36">
        <v>44610.580712098083</v>
      </c>
      <c r="O4" s="36">
        <v>44433.812597906668</v>
      </c>
      <c r="P4" s="36">
        <v>44244.808655419169</v>
      </c>
      <c r="Q4" s="36">
        <v>45360.7</v>
      </c>
      <c r="R4" s="36">
        <v>46976.783327558041</v>
      </c>
      <c r="S4" s="36">
        <v>48573.630933912507</v>
      </c>
      <c r="T4" s="36">
        <v>49943.706138486676</v>
      </c>
      <c r="U4" s="36">
        <v>51641.496680524819</v>
      </c>
      <c r="V4" s="36">
        <v>47204.778093245666</v>
      </c>
      <c r="W4" s="36">
        <v>53711.810054120608</v>
      </c>
      <c r="DA4" s="89" t="s">
        <v>188</v>
      </c>
    </row>
    <row r="5" spans="1:105" ht="12" customHeight="1" x14ac:dyDescent="0.25">
      <c r="A5" s="35" t="s">
        <v>147</v>
      </c>
      <c r="B5" s="36">
        <v>19060.042780104242</v>
      </c>
      <c r="C5" s="36">
        <v>19933.58069449952</v>
      </c>
      <c r="D5" s="36">
        <v>21368.456511486896</v>
      </c>
      <c r="E5" s="36">
        <v>22929.429527998422</v>
      </c>
      <c r="F5" s="36">
        <v>23449.715275441416</v>
      </c>
      <c r="G5" s="36">
        <v>24851.465107695243</v>
      </c>
      <c r="H5" s="36">
        <v>26099.751641547307</v>
      </c>
      <c r="I5" s="36">
        <v>27819.564346140101</v>
      </c>
      <c r="J5" s="36">
        <v>28391.204171550988</v>
      </c>
      <c r="K5" s="36">
        <v>26800.315249705698</v>
      </c>
      <c r="L5" s="36">
        <v>27000.963561638448</v>
      </c>
      <c r="M5" s="36">
        <v>27074.186781694094</v>
      </c>
      <c r="N5" s="36">
        <v>26334.715097330663</v>
      </c>
      <c r="O5" s="36">
        <v>26205.269522808827</v>
      </c>
      <c r="P5" s="36">
        <v>26232.109862671659</v>
      </c>
      <c r="Q5" s="36">
        <v>26933.100000000002</v>
      </c>
      <c r="R5" s="36">
        <v>27879.05806362132</v>
      </c>
      <c r="S5" s="36">
        <v>28935.991016282984</v>
      </c>
      <c r="T5" s="36">
        <v>29757.735713407306</v>
      </c>
      <c r="U5" s="36">
        <v>30831.488269112691</v>
      </c>
      <c r="V5" s="36">
        <v>28207.093842903356</v>
      </c>
      <c r="W5" s="36">
        <v>31672.722945822999</v>
      </c>
      <c r="DA5" s="89" t="s">
        <v>189</v>
      </c>
    </row>
    <row r="6" spans="1:105" ht="12" customHeight="1" x14ac:dyDescent="0.25">
      <c r="A6" s="37" t="s">
        <v>70</v>
      </c>
      <c r="B6" s="38">
        <v>869579.99999999988</v>
      </c>
      <c r="C6" s="38">
        <v>872210</v>
      </c>
      <c r="D6" s="38">
        <v>877119.99999999988</v>
      </c>
      <c r="E6" s="38">
        <v>902300</v>
      </c>
      <c r="F6" s="38">
        <v>916710</v>
      </c>
      <c r="G6" s="38">
        <v>928510</v>
      </c>
      <c r="H6" s="38">
        <v>964140</v>
      </c>
      <c r="I6" s="38">
        <v>993260</v>
      </c>
      <c r="J6" s="38">
        <v>1022560</v>
      </c>
      <c r="K6" s="38">
        <v>1036050.0000000002</v>
      </c>
      <c r="L6" s="38">
        <v>1007480</v>
      </c>
      <c r="M6" s="38">
        <v>959520</v>
      </c>
      <c r="N6" s="38">
        <v>962939.99999999988</v>
      </c>
      <c r="O6" s="38">
        <v>962660</v>
      </c>
      <c r="P6" s="38">
        <v>1014950</v>
      </c>
      <c r="Q6" s="38">
        <v>1043200</v>
      </c>
      <c r="R6" s="38">
        <v>1064390</v>
      </c>
      <c r="S6" s="38">
        <v>1104370</v>
      </c>
      <c r="T6" s="38">
        <v>1129110</v>
      </c>
      <c r="U6" s="38">
        <v>1159210</v>
      </c>
      <c r="V6" s="38">
        <v>1136980</v>
      </c>
      <c r="W6" s="38">
        <v>1134590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30483.958100080858</v>
      </c>
      <c r="C8" s="34">
        <v>31699.703691304116</v>
      </c>
      <c r="D8" s="34">
        <v>33025.31845385029</v>
      </c>
      <c r="E8" s="34">
        <v>34879.322287322306</v>
      </c>
      <c r="F8" s="34">
        <v>36228.474075566388</v>
      </c>
      <c r="G8" s="34">
        <v>37570.640462043346</v>
      </c>
      <c r="H8" s="34">
        <v>39535.622879953247</v>
      </c>
      <c r="I8" s="34">
        <v>41596.385428818205</v>
      </c>
      <c r="J8" s="34">
        <v>42488.16574854088</v>
      </c>
      <c r="K8" s="34">
        <v>43094.621008831782</v>
      </c>
      <c r="L8" s="34">
        <v>43314.890303806009</v>
      </c>
      <c r="M8" s="34">
        <v>43843.895737927851</v>
      </c>
      <c r="N8" s="34">
        <v>43426.158909224592</v>
      </c>
      <c r="O8" s="34">
        <v>43428.976952197008</v>
      </c>
      <c r="P8" s="34">
        <v>44716.529158092235</v>
      </c>
      <c r="Q8" s="34">
        <v>46187.409591063602</v>
      </c>
      <c r="R8" s="34">
        <v>46625.722857672255</v>
      </c>
      <c r="S8" s="34">
        <v>47015.488657905757</v>
      </c>
      <c r="T8" s="34">
        <v>47520.06034492467</v>
      </c>
      <c r="U8" s="34">
        <v>48034.616592143837</v>
      </c>
      <c r="V8" s="34">
        <v>48557.111111111109</v>
      </c>
      <c r="W8" s="34">
        <v>49063.168990252634</v>
      </c>
      <c r="DA8" s="88" t="s">
        <v>191</v>
      </c>
    </row>
    <row r="9" spans="1:105" ht="12" customHeight="1" x14ac:dyDescent="0.25">
      <c r="A9" s="39" t="s">
        <v>68</v>
      </c>
      <c r="B9" s="40">
        <v>27435.562290072772</v>
      </c>
      <c r="C9" s="40">
        <v>28529.733322173703</v>
      </c>
      <c r="D9" s="40">
        <v>29722.78660846526</v>
      </c>
      <c r="E9" s="40">
        <v>31391.390058590074</v>
      </c>
      <c r="F9" s="40">
        <v>32605.626668009751</v>
      </c>
      <c r="G9" s="40">
        <v>33813.576415839008</v>
      </c>
      <c r="H9" s="40">
        <v>35582.060591957917</v>
      </c>
      <c r="I9" s="40">
        <v>37436.74688593638</v>
      </c>
      <c r="J9" s="40">
        <v>38239.349173686795</v>
      </c>
      <c r="K9" s="40">
        <v>38785.1589079486</v>
      </c>
      <c r="L9" s="40">
        <v>38983.401273425407</v>
      </c>
      <c r="M9" s="40">
        <v>39459.506164135069</v>
      </c>
      <c r="N9" s="40">
        <v>39083.543018302131</v>
      </c>
      <c r="O9" s="40">
        <v>39086.079256977311</v>
      </c>
      <c r="P9" s="40">
        <v>40244.876242283011</v>
      </c>
      <c r="Q9" s="40">
        <v>41568.668631957247</v>
      </c>
      <c r="R9" s="40">
        <v>41963.150571905033</v>
      </c>
      <c r="S9" s="40">
        <v>42313.939792115183</v>
      </c>
      <c r="T9" s="40">
        <v>42768.054310432206</v>
      </c>
      <c r="U9" s="40">
        <v>43231.15493292945</v>
      </c>
      <c r="V9" s="40">
        <v>43701.4</v>
      </c>
      <c r="W9" s="40">
        <v>44156.852091227374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1337.8264947964008</v>
      </c>
      <c r="D10" s="41">
        <v>1452.4458958303217</v>
      </c>
      <c r="E10" s="41">
        <v>1986.0602194382861</v>
      </c>
      <c r="F10" s="41">
        <v>1488.8085417479883</v>
      </c>
      <c r="G10" s="41">
        <v>1487.0483926629697</v>
      </c>
      <c r="H10" s="41">
        <v>2115.0896767780346</v>
      </c>
      <c r="I10" s="41">
        <v>2218.9451982418218</v>
      </c>
      <c r="J10" s="41">
        <v>1058.0383596082784</v>
      </c>
      <c r="K10" s="41">
        <v>776.513483945301</v>
      </c>
      <c r="L10" s="41">
        <v>392.70263348415506</v>
      </c>
      <c r="M10" s="41">
        <v>702.38881857395847</v>
      </c>
      <c r="N10" s="41">
        <v>175.28347633652706</v>
      </c>
      <c r="O10" s="41">
        <v>176.67645039564505</v>
      </c>
      <c r="P10" s="41">
        <v>1461.4106133184459</v>
      </c>
      <c r="Q10" s="41">
        <v>1649.9640930767225</v>
      </c>
      <c r="R10" s="41">
        <v>672.76712240084157</v>
      </c>
      <c r="S10" s="41">
        <v>626.44459646534631</v>
      </c>
      <c r="T10" s="41">
        <v>743.22898985092843</v>
      </c>
      <c r="U10" s="41">
        <v>755.77482765026127</v>
      </c>
      <c r="V10" s="41">
        <v>766.32506004415416</v>
      </c>
      <c r="W10" s="41">
        <v>752.54067665983598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1204.0438453167606</v>
      </c>
      <c r="D11" s="42">
        <v>1307.2013062472895</v>
      </c>
      <c r="E11" s="42">
        <v>1787.4541974944575</v>
      </c>
      <c r="F11" s="42">
        <v>1339.9276875731896</v>
      </c>
      <c r="G11" s="42">
        <v>1338.3435533966726</v>
      </c>
      <c r="H11" s="42">
        <v>1903.5807091002309</v>
      </c>
      <c r="I11" s="42">
        <v>1997.0506784176396</v>
      </c>
      <c r="J11" s="42">
        <v>952.2345236474506</v>
      </c>
      <c r="K11" s="42">
        <v>698.86213555077086</v>
      </c>
      <c r="L11" s="42">
        <v>353.43237013573957</v>
      </c>
      <c r="M11" s="42">
        <v>632.14993671656271</v>
      </c>
      <c r="N11" s="42">
        <v>157.75512870287434</v>
      </c>
      <c r="O11" s="42">
        <v>159.00880535608056</v>
      </c>
      <c r="P11" s="42">
        <v>1315.2695519866013</v>
      </c>
      <c r="Q11" s="42">
        <v>1484.9676837690504</v>
      </c>
      <c r="R11" s="42">
        <v>605.49041016075739</v>
      </c>
      <c r="S11" s="42">
        <v>563.80013681881167</v>
      </c>
      <c r="T11" s="42">
        <v>668.90609086583561</v>
      </c>
      <c r="U11" s="42">
        <v>680.19734488523511</v>
      </c>
      <c r="V11" s="42">
        <v>689.69255403973875</v>
      </c>
      <c r="W11" s="42">
        <v>677.28660899385238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2119.27</v>
      </c>
      <c r="C13" s="43">
        <v>2358.02</v>
      </c>
      <c r="D13" s="43">
        <v>2179.12</v>
      </c>
      <c r="E13" s="43">
        <v>2569.42</v>
      </c>
      <c r="F13" s="43">
        <v>2464.5700000000002</v>
      </c>
      <c r="G13" s="43">
        <v>2684.01</v>
      </c>
      <c r="H13" s="43">
        <v>2408.4899999999998</v>
      </c>
      <c r="I13" s="43">
        <v>2208.64</v>
      </c>
      <c r="J13" s="43">
        <v>2214.64</v>
      </c>
      <c r="K13" s="43">
        <v>2273.67</v>
      </c>
      <c r="L13" s="43">
        <v>2521.2199999999998</v>
      </c>
      <c r="M13" s="43">
        <v>2359.44</v>
      </c>
      <c r="N13" s="43">
        <v>2355.0700000000002</v>
      </c>
      <c r="O13" s="43">
        <v>2290</v>
      </c>
      <c r="P13" s="43">
        <v>1885.28</v>
      </c>
      <c r="Q13" s="43">
        <v>2246.21</v>
      </c>
      <c r="R13" s="43">
        <v>2264.65</v>
      </c>
      <c r="S13" s="43">
        <v>2323.2199999999998</v>
      </c>
      <c r="T13" s="43">
        <v>2139.52</v>
      </c>
      <c r="U13" s="43">
        <v>2076.4699999999998</v>
      </c>
      <c r="V13" s="43">
        <v>2137.64</v>
      </c>
      <c r="W13" s="43">
        <v>2366.1799999999998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2289.4557142857143</v>
      </c>
      <c r="C14" s="44">
        <f t="shared" ref="C14:W14" si="0">AVERAGE($B$13:$V$13)</f>
        <v>2289.4557142857143</v>
      </c>
      <c r="D14" s="44">
        <f t="shared" si="0"/>
        <v>2289.4557142857143</v>
      </c>
      <c r="E14" s="44">
        <f t="shared" si="0"/>
        <v>2289.4557142857143</v>
      </c>
      <c r="F14" s="44">
        <f t="shared" si="0"/>
        <v>2289.4557142857143</v>
      </c>
      <c r="G14" s="44">
        <f t="shared" si="0"/>
        <v>2289.4557142857143</v>
      </c>
      <c r="H14" s="44">
        <f t="shared" si="0"/>
        <v>2289.4557142857143</v>
      </c>
      <c r="I14" s="44">
        <f t="shared" si="0"/>
        <v>2289.4557142857143</v>
      </c>
      <c r="J14" s="44">
        <f t="shared" si="0"/>
        <v>2289.4557142857143</v>
      </c>
      <c r="K14" s="44">
        <f t="shared" si="0"/>
        <v>2289.4557142857143</v>
      </c>
      <c r="L14" s="44">
        <f t="shared" si="0"/>
        <v>2289.4557142857143</v>
      </c>
      <c r="M14" s="44">
        <f t="shared" si="0"/>
        <v>2289.4557142857143</v>
      </c>
      <c r="N14" s="44">
        <f t="shared" si="0"/>
        <v>2289.4557142857143</v>
      </c>
      <c r="O14" s="44">
        <f t="shared" si="0"/>
        <v>2289.4557142857143</v>
      </c>
      <c r="P14" s="44">
        <f t="shared" si="0"/>
        <v>2289.4557142857143</v>
      </c>
      <c r="Q14" s="44">
        <f t="shared" si="0"/>
        <v>2289.4557142857143</v>
      </c>
      <c r="R14" s="44">
        <f t="shared" si="0"/>
        <v>2289.4557142857143</v>
      </c>
      <c r="S14" s="44">
        <f t="shared" si="0"/>
        <v>2289.4557142857143</v>
      </c>
      <c r="T14" s="44">
        <f t="shared" si="0"/>
        <v>2289.4557142857143</v>
      </c>
      <c r="U14" s="44">
        <f t="shared" si="0"/>
        <v>2289.4557142857143</v>
      </c>
      <c r="V14" s="44">
        <f t="shared" si="0"/>
        <v>2289.4557142857143</v>
      </c>
      <c r="W14" s="44">
        <f t="shared" si="0"/>
        <v>2289.4557142857143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0.92566542640515304</v>
      </c>
      <c r="C15" s="46">
        <f t="shared" ref="C15:W15" si="1">C13/C14</f>
        <v>1.0299478541063096</v>
      </c>
      <c r="D15" s="46">
        <f t="shared" si="1"/>
        <v>0.95180701089903463</v>
      </c>
      <c r="E15" s="46">
        <f t="shared" si="1"/>
        <v>1.122284211032067</v>
      </c>
      <c r="F15" s="46">
        <f t="shared" si="1"/>
        <v>1.0764872998510564</v>
      </c>
      <c r="G15" s="46">
        <f t="shared" si="1"/>
        <v>1.1723354084782474</v>
      </c>
      <c r="H15" s="46">
        <f t="shared" si="1"/>
        <v>1.0519923949485186</v>
      </c>
      <c r="I15" s="46">
        <f t="shared" si="1"/>
        <v>0.96470090520579121</v>
      </c>
      <c r="J15" s="46">
        <f t="shared" si="1"/>
        <v>0.9673216154307418</v>
      </c>
      <c r="K15" s="46">
        <f t="shared" si="1"/>
        <v>0.99310503619388013</v>
      </c>
      <c r="L15" s="46">
        <f t="shared" si="1"/>
        <v>1.1012311722249641</v>
      </c>
      <c r="M15" s="46">
        <f t="shared" si="1"/>
        <v>1.0305680888595481</v>
      </c>
      <c r="N15" s="46">
        <f t="shared" si="1"/>
        <v>1.0286593382457092</v>
      </c>
      <c r="O15" s="46">
        <f t="shared" si="1"/>
        <v>1.0002377358561205</v>
      </c>
      <c r="P15" s="46">
        <f t="shared" si="1"/>
        <v>0.82346209548245719</v>
      </c>
      <c r="Q15" s="46">
        <f t="shared" si="1"/>
        <v>0.98111091906435655</v>
      </c>
      <c r="R15" s="46">
        <f t="shared" si="1"/>
        <v>0.98916523515570454</v>
      </c>
      <c r="S15" s="46">
        <f t="shared" si="1"/>
        <v>1.0147477348015965</v>
      </c>
      <c r="T15" s="46">
        <f t="shared" si="1"/>
        <v>0.93451032341436113</v>
      </c>
      <c r="U15" s="46">
        <f t="shared" si="1"/>
        <v>0.90697102680050579</v>
      </c>
      <c r="V15" s="46">
        <f t="shared" si="1"/>
        <v>0.93368916754387654</v>
      </c>
      <c r="W15" s="46">
        <f t="shared" si="1"/>
        <v>1.0335120200122423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7865.4431609516068</v>
      </c>
      <c r="C19" s="34">
        <f t="shared" si="2"/>
        <v>8492.9979775344163</v>
      </c>
      <c r="D19" s="34">
        <f t="shared" ref="D19:W19" si="3">D4*1000000/D3</f>
        <v>8966.2378015294198</v>
      </c>
      <c r="E19" s="34">
        <f t="shared" si="3"/>
        <v>9468.5852374910664</v>
      </c>
      <c r="F19" s="34">
        <f t="shared" si="3"/>
        <v>9863.4845662553307</v>
      </c>
      <c r="G19" s="34">
        <f t="shared" si="3"/>
        <v>10276.123394482573</v>
      </c>
      <c r="H19" s="34">
        <f t="shared" si="3"/>
        <v>10793.761436447976</v>
      </c>
      <c r="I19" s="34">
        <f t="shared" si="3"/>
        <v>11338.889859552994</v>
      </c>
      <c r="J19" s="34">
        <f t="shared" si="3"/>
        <v>11571.17956755792</v>
      </c>
      <c r="K19" s="34">
        <f t="shared" si="3"/>
        <v>10741.301409041598</v>
      </c>
      <c r="L19" s="34">
        <f t="shared" si="3"/>
        <v>10625.00920082936</v>
      </c>
      <c r="M19" s="34">
        <f t="shared" si="3"/>
        <v>10648.328247227046</v>
      </c>
      <c r="N19" s="34">
        <f t="shared" si="3"/>
        <v>10432.822178964674</v>
      </c>
      <c r="O19" s="34">
        <f t="shared" si="3"/>
        <v>10425.235350764327</v>
      </c>
      <c r="P19" s="34">
        <f t="shared" si="3"/>
        <v>10418.365567045556</v>
      </c>
      <c r="Q19" s="34">
        <f t="shared" si="3"/>
        <v>10735.457419042741</v>
      </c>
      <c r="R19" s="34">
        <f t="shared" si="3"/>
        <v>11209.852968000585</v>
      </c>
      <c r="S19" s="34">
        <f t="shared" si="3"/>
        <v>11692.619259992809</v>
      </c>
      <c r="T19" s="34">
        <f t="shared" si="3"/>
        <v>12165.093482923166</v>
      </c>
      <c r="U19" s="34">
        <f t="shared" si="3"/>
        <v>12668.886195907906</v>
      </c>
      <c r="V19" s="34">
        <f t="shared" si="3"/>
        <v>11632.049976589336</v>
      </c>
      <c r="W19" s="34">
        <f t="shared" si="3"/>
        <v>13307.008440565958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21918.67657961803</v>
      </c>
      <c r="C20" s="36">
        <f t="shared" si="4"/>
        <v>22854.107032136206</v>
      </c>
      <c r="D20" s="36">
        <f t="shared" ref="D20:W20" si="5">D5*1000000/D6</f>
        <v>24362.067347098346</v>
      </c>
      <c r="E20" s="36">
        <f t="shared" si="5"/>
        <v>25412.201626951592</v>
      </c>
      <c r="F20" s="36">
        <f t="shared" si="5"/>
        <v>25580.298322742652</v>
      </c>
      <c r="G20" s="36">
        <f t="shared" si="5"/>
        <v>26764.886870033974</v>
      </c>
      <c r="H20" s="36">
        <f t="shared" si="5"/>
        <v>27070.499763050291</v>
      </c>
      <c r="I20" s="36">
        <f t="shared" si="5"/>
        <v>28008.340561524779</v>
      </c>
      <c r="J20" s="36">
        <f t="shared" si="5"/>
        <v>27764.829615426956</v>
      </c>
      <c r="K20" s="36">
        <f t="shared" si="5"/>
        <v>25867.78171874494</v>
      </c>
      <c r="L20" s="36">
        <f t="shared" si="5"/>
        <v>26800.495852660544</v>
      </c>
      <c r="M20" s="36">
        <f t="shared" si="5"/>
        <v>28216.386090643337</v>
      </c>
      <c r="N20" s="36">
        <f t="shared" si="5"/>
        <v>27348.240905280356</v>
      </c>
      <c r="O20" s="36">
        <f t="shared" si="5"/>
        <v>27221.72887915653</v>
      </c>
      <c r="P20" s="36">
        <f t="shared" si="5"/>
        <v>25845.716402454957</v>
      </c>
      <c r="Q20" s="36">
        <f t="shared" si="5"/>
        <v>25817.772239263806</v>
      </c>
      <c r="R20" s="36">
        <f t="shared" si="5"/>
        <v>26192.521597930569</v>
      </c>
      <c r="S20" s="36">
        <f t="shared" si="5"/>
        <v>26201.355538708027</v>
      </c>
      <c r="T20" s="36">
        <f t="shared" si="5"/>
        <v>26355.03689933426</v>
      </c>
      <c r="U20" s="36">
        <f t="shared" si="5"/>
        <v>26596.982659839625</v>
      </c>
      <c r="V20" s="36">
        <f t="shared" si="5"/>
        <v>24808.786296067963</v>
      </c>
      <c r="W20" s="36">
        <f t="shared" si="5"/>
        <v>27915.566808999723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4237.6980369239727</v>
      </c>
      <c r="C21" s="36">
        <f t="shared" si="6"/>
        <v>4640.6744076111827</v>
      </c>
      <c r="D21" s="36">
        <f t="shared" ref="D21:W21" si="7">D5*1000000/D3</f>
        <v>4963.0673069076156</v>
      </c>
      <c r="E21" s="36">
        <f t="shared" si="7"/>
        <v>5325.7571282836607</v>
      </c>
      <c r="F21" s="36">
        <f t="shared" si="7"/>
        <v>5446.1711501411301</v>
      </c>
      <c r="G21" s="36">
        <f t="shared" si="7"/>
        <v>5764.8495527216592</v>
      </c>
      <c r="H21" s="36">
        <f t="shared" si="7"/>
        <v>6052.134566793432</v>
      </c>
      <c r="I21" s="36">
        <f t="shared" si="7"/>
        <v>6449.3730995588539</v>
      </c>
      <c r="J21" s="36">
        <f t="shared" si="7"/>
        <v>6584.2814129957369</v>
      </c>
      <c r="K21" s="36">
        <f t="shared" si="7"/>
        <v>6218.4649226333913</v>
      </c>
      <c r="L21" s="36">
        <f t="shared" si="7"/>
        <v>6275.1391257087334</v>
      </c>
      <c r="M21" s="36">
        <f t="shared" si="7"/>
        <v>6311.2096234662595</v>
      </c>
      <c r="N21" s="36">
        <f t="shared" si="7"/>
        <v>6158.7496813202906</v>
      </c>
      <c r="O21" s="36">
        <f t="shared" si="7"/>
        <v>6148.3830945977434</v>
      </c>
      <c r="P21" s="36">
        <f t="shared" si="7"/>
        <v>6176.8989051948547</v>
      </c>
      <c r="Q21" s="36">
        <f t="shared" si="7"/>
        <v>6374.2214783462359</v>
      </c>
      <c r="R21" s="36">
        <f t="shared" si="7"/>
        <v>6652.6509403680702</v>
      </c>
      <c r="S21" s="36">
        <f t="shared" si="7"/>
        <v>6965.4567583036742</v>
      </c>
      <c r="T21" s="36">
        <f t="shared" si="7"/>
        <v>7248.2734018563197</v>
      </c>
      <c r="U21" s="36">
        <f t="shared" si="7"/>
        <v>7563.6966633301054</v>
      </c>
      <c r="V21" s="36">
        <f t="shared" si="7"/>
        <v>6950.7015714992749</v>
      </c>
      <c r="W21" s="36">
        <f t="shared" si="7"/>
        <v>7846.8625643242476</v>
      </c>
      <c r="DA21" s="89"/>
    </row>
    <row r="22" spans="1:105" ht="12" customHeight="1" x14ac:dyDescent="0.25">
      <c r="A22" s="51" t="s">
        <v>152</v>
      </c>
      <c r="B22" s="52">
        <v>0.29127658538100443</v>
      </c>
      <c r="C22" s="52">
        <v>0.31087017099930203</v>
      </c>
      <c r="D22" s="52">
        <v>0.3261332399588886</v>
      </c>
      <c r="E22" s="52">
        <v>0.34608274636621161</v>
      </c>
      <c r="F22" s="52">
        <v>0.34580605802760295</v>
      </c>
      <c r="G22" s="52">
        <v>0.35878148890342632</v>
      </c>
      <c r="H22" s="52">
        <v>0.36601937239493537</v>
      </c>
      <c r="I22" s="52">
        <v>0.37852516911034201</v>
      </c>
      <c r="J22" s="52">
        <v>0.38142734939207723</v>
      </c>
      <c r="K22" s="52">
        <v>0.36850994072227644</v>
      </c>
      <c r="L22" s="52">
        <v>0.36691216247979708</v>
      </c>
      <c r="M22" s="52">
        <v>0.36214692827646855</v>
      </c>
      <c r="N22" s="52">
        <v>0.35447472050553536</v>
      </c>
      <c r="O22" s="52">
        <v>0.35253709588257109</v>
      </c>
      <c r="P22" s="52">
        <v>0.34959268462680271</v>
      </c>
      <c r="Q22" s="52">
        <v>0.35558206801882153</v>
      </c>
      <c r="R22" s="52">
        <v>0.36518518873092692</v>
      </c>
      <c r="S22" s="52">
        <v>0.3725333036985094</v>
      </c>
      <c r="T22" s="52">
        <v>0.37964083261373638</v>
      </c>
      <c r="U22" s="52">
        <v>0.38874530351833819</v>
      </c>
      <c r="V22" s="52">
        <v>0.37845229633027916</v>
      </c>
      <c r="W22" s="52">
        <v>0.40550619125279591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28.525823226272358</v>
      </c>
      <c r="C23" s="53">
        <f t="shared" si="8"/>
        <v>27.5147682291827</v>
      </c>
      <c r="D23" s="53">
        <f t="shared" ref="D23:W23" si="9">D6/D8</f>
        <v>26.55901717422319</v>
      </c>
      <c r="E23" s="53">
        <f t="shared" si="9"/>
        <v>25.869195294771014</v>
      </c>
      <c r="F23" s="53">
        <f t="shared" si="9"/>
        <v>25.303577459207915</v>
      </c>
      <c r="G23" s="53">
        <f t="shared" si="9"/>
        <v>24.713712318480432</v>
      </c>
      <c r="H23" s="53">
        <f t="shared" si="9"/>
        <v>24.38661464693585</v>
      </c>
      <c r="I23" s="53">
        <f t="shared" si="9"/>
        <v>23.878517081723739</v>
      </c>
      <c r="J23" s="53">
        <f t="shared" si="9"/>
        <v>24.066936804282179</v>
      </c>
      <c r="K23" s="53">
        <f t="shared" si="9"/>
        <v>24.041283476832824</v>
      </c>
      <c r="L23" s="53">
        <f t="shared" si="9"/>
        <v>23.259437873064968</v>
      </c>
      <c r="M23" s="53">
        <f t="shared" si="9"/>
        <v>21.884916562511396</v>
      </c>
      <c r="N23" s="53">
        <f t="shared" si="9"/>
        <v>22.174192334460692</v>
      </c>
      <c r="O23" s="53">
        <f t="shared" si="9"/>
        <v>22.16630617524368</v>
      </c>
      <c r="P23" s="53">
        <f t="shared" si="9"/>
        <v>22.6974235055613</v>
      </c>
      <c r="Q23" s="53">
        <f t="shared" si="9"/>
        <v>22.586241775330905</v>
      </c>
      <c r="R23" s="53">
        <f t="shared" si="9"/>
        <v>22.828386023078135</v>
      </c>
      <c r="S23" s="53">
        <f t="shared" si="9"/>
        <v>23.489493176081194</v>
      </c>
      <c r="T23" s="53">
        <f t="shared" si="9"/>
        <v>23.760702149878338</v>
      </c>
      <c r="U23" s="53">
        <f t="shared" si="9"/>
        <v>24.132804261616428</v>
      </c>
      <c r="V23" s="53">
        <f t="shared" si="9"/>
        <v>23.415313925869654</v>
      </c>
      <c r="W23" s="53">
        <f t="shared" si="9"/>
        <v>23.125085952466883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6.099861883831033</v>
      </c>
      <c r="C24" s="54">
        <f t="shared" si="10"/>
        <v>6.6419177423912208</v>
      </c>
      <c r="D24" s="54">
        <f t="shared" ref="D24:W24" si="11">D9*1000/D3</f>
        <v>6.9034555868537399</v>
      </c>
      <c r="E24" s="54">
        <f t="shared" si="11"/>
        <v>7.2911940162805626</v>
      </c>
      <c r="F24" s="54">
        <f t="shared" si="11"/>
        <v>7.5726217229409105</v>
      </c>
      <c r="G24" s="54">
        <f t="shared" si="11"/>
        <v>7.8438104164896547</v>
      </c>
      <c r="H24" s="54">
        <f t="shared" si="11"/>
        <v>8.2509374734249441</v>
      </c>
      <c r="I24" s="54">
        <f t="shared" si="11"/>
        <v>8.6789119087931184</v>
      </c>
      <c r="J24" s="54">
        <f t="shared" si="11"/>
        <v>8.8681915176268262</v>
      </c>
      <c r="K24" s="54">
        <f t="shared" si="11"/>
        <v>8.9993027298620625</v>
      </c>
      <c r="L24" s="54">
        <f t="shared" si="11"/>
        <v>9.0599087705013464</v>
      </c>
      <c r="M24" s="54">
        <f t="shared" si="11"/>
        <v>9.1983266957698291</v>
      </c>
      <c r="N24" s="54">
        <f t="shared" si="11"/>
        <v>9.1402453840571258</v>
      </c>
      <c r="O24" s="54">
        <f t="shared" si="11"/>
        <v>9.1705291841603778</v>
      </c>
      <c r="P24" s="54">
        <f t="shared" si="11"/>
        <v>9.4764978227848271</v>
      </c>
      <c r="Q24" s="54">
        <f t="shared" si="11"/>
        <v>9.838002325023087</v>
      </c>
      <c r="R24" s="54">
        <f t="shared" si="11"/>
        <v>10.013472925660565</v>
      </c>
      <c r="S24" s="54">
        <f t="shared" si="11"/>
        <v>10.185789653085958</v>
      </c>
      <c r="T24" s="54">
        <f t="shared" si="11"/>
        <v>10.417276149400864</v>
      </c>
      <c r="U24" s="54">
        <f t="shared" si="11"/>
        <v>10.605629526022092</v>
      </c>
      <c r="V24" s="54">
        <f t="shared" si="11"/>
        <v>10.768758786298733</v>
      </c>
      <c r="W24" s="54">
        <f t="shared" si="11"/>
        <v>10.939784060427632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31.550360277458974</v>
      </c>
      <c r="C25" s="54">
        <f t="shared" si="12"/>
        <v>32.709706747427461</v>
      </c>
      <c r="D25" s="54">
        <f t="shared" ref="D25:W25" si="13">D9*1000/D6</f>
        <v>33.886796115087172</v>
      </c>
      <c r="E25" s="54">
        <f t="shared" si="13"/>
        <v>34.790413452942559</v>
      </c>
      <c r="F25" s="54">
        <f t="shared" si="13"/>
        <v>35.568093146152819</v>
      </c>
      <c r="G25" s="54">
        <f t="shared" si="13"/>
        <v>36.417029882111137</v>
      </c>
      <c r="H25" s="54">
        <f t="shared" si="13"/>
        <v>36.905491517785713</v>
      </c>
      <c r="I25" s="54">
        <f t="shared" si="13"/>
        <v>37.690782761750576</v>
      </c>
      <c r="J25" s="54">
        <f t="shared" si="13"/>
        <v>37.395702133553819</v>
      </c>
      <c r="K25" s="54">
        <f t="shared" si="13"/>
        <v>37.435605335600201</v>
      </c>
      <c r="L25" s="54">
        <f t="shared" si="13"/>
        <v>38.693970375020257</v>
      </c>
      <c r="M25" s="54">
        <f t="shared" si="13"/>
        <v>41.124214361488107</v>
      </c>
      <c r="N25" s="54">
        <f t="shared" si="13"/>
        <v>40.587724072426248</v>
      </c>
      <c r="O25" s="54">
        <f t="shared" si="13"/>
        <v>40.602164063093213</v>
      </c>
      <c r="P25" s="54">
        <f t="shared" si="13"/>
        <v>39.652077680952765</v>
      </c>
      <c r="Q25" s="54">
        <f t="shared" si="13"/>
        <v>39.847266710081719</v>
      </c>
      <c r="R25" s="54">
        <f t="shared" si="13"/>
        <v>39.424600542944816</v>
      </c>
      <c r="S25" s="54">
        <f t="shared" si="13"/>
        <v>38.315002935714645</v>
      </c>
      <c r="T25" s="54">
        <f t="shared" si="13"/>
        <v>37.877668526921383</v>
      </c>
      <c r="U25" s="54">
        <f t="shared" si="13"/>
        <v>37.293635262747429</v>
      </c>
      <c r="V25" s="54">
        <f t="shared" si="13"/>
        <v>38.436384105261304</v>
      </c>
      <c r="W25" s="54">
        <f t="shared" si="13"/>
        <v>38.918774263150013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899.99999999999989</v>
      </c>
      <c r="H26" s="55">
        <f t="shared" si="15"/>
        <v>899.99999999999989</v>
      </c>
      <c r="I26" s="55">
        <f t="shared" si="15"/>
        <v>899.99999999999989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900.00000000000011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900.00000000000011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900</v>
      </c>
      <c r="M27" s="57">
        <f t="shared" si="17"/>
        <v>900.00000000000011</v>
      </c>
      <c r="N27" s="57">
        <f t="shared" si="17"/>
        <v>900</v>
      </c>
      <c r="O27" s="57">
        <f t="shared" si="17"/>
        <v>900.00000000000011</v>
      </c>
      <c r="P27" s="57">
        <f t="shared" si="17"/>
        <v>899.99999999999989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900.00000000000011</v>
      </c>
      <c r="U27" s="57">
        <f t="shared" si="17"/>
        <v>899.99999999999989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520.46827171109192</v>
      </c>
      <c r="C31" s="80">
        <f t="shared" ref="C31:W31" si="18">SUM(C32:C33,C36:C37,C44:C45)</f>
        <v>594.0862424763543</v>
      </c>
      <c r="D31" s="80">
        <f t="shared" si="18"/>
        <v>626.0739466895958</v>
      </c>
      <c r="E31" s="80">
        <f t="shared" si="18"/>
        <v>666.29240009112095</v>
      </c>
      <c r="F31" s="80">
        <f t="shared" si="18"/>
        <v>690.26239105367586</v>
      </c>
      <c r="G31" s="80">
        <f t="shared" si="18"/>
        <v>721.25834444028578</v>
      </c>
      <c r="H31" s="80">
        <f t="shared" si="18"/>
        <v>715.27923803701651</v>
      </c>
      <c r="I31" s="80">
        <f t="shared" si="18"/>
        <v>707.57029533719242</v>
      </c>
      <c r="J31" s="80">
        <f t="shared" si="18"/>
        <v>754.35945178473048</v>
      </c>
      <c r="K31" s="80">
        <f t="shared" si="18"/>
        <v>758.46176678032066</v>
      </c>
      <c r="L31" s="80">
        <f t="shared" si="18"/>
        <v>797.58343367164241</v>
      </c>
      <c r="M31" s="80">
        <f t="shared" si="18"/>
        <v>786.56694053668321</v>
      </c>
      <c r="N31" s="80">
        <f t="shared" si="18"/>
        <v>758.29997795383633</v>
      </c>
      <c r="O31" s="80">
        <f t="shared" si="18"/>
        <v>740.87352357087934</v>
      </c>
      <c r="P31" s="80">
        <f t="shared" si="18"/>
        <v>693.70093902991744</v>
      </c>
      <c r="Q31" s="80">
        <f t="shared" si="18"/>
        <v>763.60852001379294</v>
      </c>
      <c r="R31" s="80">
        <f t="shared" si="18"/>
        <v>780.8870333407632</v>
      </c>
      <c r="S31" s="80">
        <f t="shared" si="18"/>
        <v>817.94249054455076</v>
      </c>
      <c r="T31" s="80">
        <f t="shared" si="18"/>
        <v>832.86389311680182</v>
      </c>
      <c r="U31" s="80">
        <f t="shared" si="18"/>
        <v>835.78878674063594</v>
      </c>
      <c r="V31" s="80">
        <f t="shared" si="18"/>
        <v>757.63170969256964</v>
      </c>
      <c r="W31" s="80">
        <f t="shared" si="18"/>
        <v>847.76482195845324</v>
      </c>
      <c r="DA31" s="103" t="s">
        <v>198</v>
      </c>
    </row>
    <row r="32" spans="1:105" ht="12" customHeight="1" x14ac:dyDescent="0.25">
      <c r="A32" s="58" t="s">
        <v>29</v>
      </c>
      <c r="B32" s="59">
        <v>3.9842648323301799</v>
      </c>
      <c r="C32" s="59">
        <v>3.0006878761822868</v>
      </c>
      <c r="D32" s="59">
        <v>3.9903697334479791</v>
      </c>
      <c r="E32" s="59">
        <v>4.9386070507308677</v>
      </c>
      <c r="F32" s="59">
        <v>2.2110920034393811</v>
      </c>
      <c r="G32" s="59">
        <v>0.32674118658641438</v>
      </c>
      <c r="H32" s="59">
        <v>1.911435941530524</v>
      </c>
      <c r="I32" s="59">
        <v>1.021066208082545</v>
      </c>
      <c r="J32" s="59">
        <v>1.715391229578676</v>
      </c>
      <c r="K32" s="59">
        <v>1.633705932932072</v>
      </c>
      <c r="L32" s="59">
        <v>0.99183147033533958</v>
      </c>
      <c r="M32" s="59">
        <v>2.0812553740326738</v>
      </c>
      <c r="N32" s="59">
        <v>2.004213241616509</v>
      </c>
      <c r="O32" s="59">
        <v>0.1837489251934652</v>
      </c>
      <c r="P32" s="59">
        <v>7.5752364574376604E-2</v>
      </c>
      <c r="Q32" s="59">
        <v>3.8177128116938949E-2</v>
      </c>
      <c r="R32" s="59">
        <v>4.0326741186586412E-2</v>
      </c>
      <c r="S32" s="59">
        <v>0.12252794496990541</v>
      </c>
      <c r="T32" s="59">
        <v>4.0842648323301797E-2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129.63293207222699</v>
      </c>
      <c r="C33" s="55">
        <f t="shared" ref="C33:W33" si="19">SUM(C34:C35)</f>
        <v>144.15881341358553</v>
      </c>
      <c r="D33" s="55">
        <f t="shared" si="19"/>
        <v>161.1695614789337</v>
      </c>
      <c r="E33" s="55">
        <f t="shared" si="19"/>
        <v>163.42003439380903</v>
      </c>
      <c r="F33" s="55">
        <f t="shared" si="19"/>
        <v>162.33619948409279</v>
      </c>
      <c r="G33" s="55">
        <f t="shared" si="19"/>
        <v>147.9426483233018</v>
      </c>
      <c r="H33" s="55">
        <f t="shared" si="19"/>
        <v>129.69423903697333</v>
      </c>
      <c r="I33" s="55">
        <f t="shared" si="19"/>
        <v>107.78950988822011</v>
      </c>
      <c r="J33" s="55">
        <f t="shared" si="19"/>
        <v>103.04797936371452</v>
      </c>
      <c r="K33" s="55">
        <f t="shared" si="19"/>
        <v>101.11349957007738</v>
      </c>
      <c r="L33" s="55">
        <f t="shared" si="19"/>
        <v>97.767067927772999</v>
      </c>
      <c r="M33" s="55">
        <f t="shared" si="19"/>
        <v>89.089939810834039</v>
      </c>
      <c r="N33" s="55">
        <f t="shared" si="19"/>
        <v>74.094239036973335</v>
      </c>
      <c r="O33" s="55">
        <f t="shared" si="19"/>
        <v>64.113843508168515</v>
      </c>
      <c r="P33" s="55">
        <f t="shared" si="19"/>
        <v>53.058211521926047</v>
      </c>
      <c r="Q33" s="55">
        <f t="shared" si="19"/>
        <v>62.239208942390363</v>
      </c>
      <c r="R33" s="55">
        <f t="shared" si="19"/>
        <v>61.374032674118645</v>
      </c>
      <c r="S33" s="55">
        <f t="shared" si="19"/>
        <v>58.698194325021497</v>
      </c>
      <c r="T33" s="55">
        <f t="shared" si="19"/>
        <v>51.051590713671537</v>
      </c>
      <c r="U33" s="55">
        <f t="shared" si="19"/>
        <v>41.195270851246775</v>
      </c>
      <c r="V33" s="55">
        <f t="shared" si="19"/>
        <v>37.31435941530524</v>
      </c>
      <c r="W33" s="55">
        <f t="shared" si="19"/>
        <v>36.259931212381773</v>
      </c>
      <c r="DA33" s="101"/>
    </row>
    <row r="34" spans="1:105" ht="12" customHeight="1" x14ac:dyDescent="0.25">
      <c r="A34" s="61" t="s">
        <v>52</v>
      </c>
      <c r="B34" s="55">
        <v>3.359845227858985</v>
      </c>
      <c r="C34" s="55">
        <v>6.7196904557179709</v>
      </c>
      <c r="D34" s="55">
        <v>6.7196904557179709</v>
      </c>
      <c r="E34" s="55">
        <v>7.8396388650042983</v>
      </c>
      <c r="F34" s="55">
        <v>9.0716251074806529</v>
      </c>
      <c r="G34" s="55">
        <v>8.9595872742906266</v>
      </c>
      <c r="H34" s="55">
        <v>10.07953568357695</v>
      </c>
      <c r="I34" s="55">
        <v>10.07953568357695</v>
      </c>
      <c r="J34" s="55">
        <v>11.19948409286328</v>
      </c>
      <c r="K34" s="55">
        <v>13.43938091143594</v>
      </c>
      <c r="L34" s="55">
        <v>14.55932932072227</v>
      </c>
      <c r="M34" s="55">
        <v>13.43938091143594</v>
      </c>
      <c r="N34" s="55">
        <v>13.43938091143594</v>
      </c>
      <c r="O34" s="55">
        <v>13.43938091143594</v>
      </c>
      <c r="P34" s="55">
        <v>13.43938091143594</v>
      </c>
      <c r="Q34" s="55">
        <v>13.43938091143594</v>
      </c>
      <c r="R34" s="55">
        <v>14.55932932072227</v>
      </c>
      <c r="S34" s="55">
        <v>13.55141874462597</v>
      </c>
      <c r="T34" s="55">
        <v>13.103439380911439</v>
      </c>
      <c r="U34" s="55">
        <v>13.663370593293211</v>
      </c>
      <c r="V34" s="55">
        <v>11.19948409286328</v>
      </c>
      <c r="W34" s="55">
        <v>13.103439380911439</v>
      </c>
      <c r="DA34" s="101" t="s">
        <v>200</v>
      </c>
    </row>
    <row r="35" spans="1:105" ht="12" customHeight="1" x14ac:dyDescent="0.25">
      <c r="A35" s="61" t="s">
        <v>170</v>
      </c>
      <c r="B35" s="55">
        <v>126.27308684436801</v>
      </c>
      <c r="C35" s="55">
        <v>137.43912295786757</v>
      </c>
      <c r="D35" s="55">
        <v>154.44987102321574</v>
      </c>
      <c r="E35" s="55">
        <v>155.58039552880473</v>
      </c>
      <c r="F35" s="55">
        <v>153.26457437661213</v>
      </c>
      <c r="G35" s="55">
        <v>138.98306104901116</v>
      </c>
      <c r="H35" s="55">
        <v>119.61470335339638</v>
      </c>
      <c r="I35" s="55">
        <v>97.70997420464316</v>
      </c>
      <c r="J35" s="55">
        <v>91.848495270851231</v>
      </c>
      <c r="K35" s="55">
        <v>87.674118658641447</v>
      </c>
      <c r="L35" s="55">
        <v>83.207738607050729</v>
      </c>
      <c r="M35" s="55">
        <v>75.650558899398106</v>
      </c>
      <c r="N35" s="55">
        <v>60.654858125537395</v>
      </c>
      <c r="O35" s="55">
        <v>50.674462596732575</v>
      </c>
      <c r="P35" s="55">
        <v>39.618830610490107</v>
      </c>
      <c r="Q35" s="55">
        <v>48.799828030954423</v>
      </c>
      <c r="R35" s="55">
        <v>46.814703353396375</v>
      </c>
      <c r="S35" s="55">
        <v>45.146775580395527</v>
      </c>
      <c r="T35" s="55">
        <v>37.948151332760098</v>
      </c>
      <c r="U35" s="55">
        <v>27.531900257953566</v>
      </c>
      <c r="V35" s="55">
        <v>26.114875322441961</v>
      </c>
      <c r="W35" s="55">
        <v>23.156491831470333</v>
      </c>
      <c r="DA35" s="101" t="s">
        <v>201</v>
      </c>
    </row>
    <row r="36" spans="1:105" ht="12" customHeight="1" x14ac:dyDescent="0.25">
      <c r="A36" s="60" t="s">
        <v>153</v>
      </c>
      <c r="B36" s="55">
        <v>80.889939810834036</v>
      </c>
      <c r="C36" s="55">
        <v>109.37231298366294</v>
      </c>
      <c r="D36" s="55">
        <v>102.27858985382633</v>
      </c>
      <c r="E36" s="55">
        <v>108.77042132416166</v>
      </c>
      <c r="F36" s="55">
        <v>114.98280309544282</v>
      </c>
      <c r="G36" s="55">
        <v>125.61152192605331</v>
      </c>
      <c r="H36" s="55">
        <v>122.46345657781599</v>
      </c>
      <c r="I36" s="55">
        <v>119.69045571797076</v>
      </c>
      <c r="J36" s="55">
        <v>130.09458297506444</v>
      </c>
      <c r="K36" s="55">
        <v>133.36199484092865</v>
      </c>
      <c r="L36" s="55">
        <v>157.65262252794494</v>
      </c>
      <c r="M36" s="55">
        <v>141.93895098882197</v>
      </c>
      <c r="N36" s="55">
        <v>132.33018056749776</v>
      </c>
      <c r="O36" s="55">
        <v>136.13499570077389</v>
      </c>
      <c r="P36" s="55">
        <v>132.52364574376614</v>
      </c>
      <c r="Q36" s="55">
        <v>169.38950988822012</v>
      </c>
      <c r="R36" s="55">
        <v>181.18142734307821</v>
      </c>
      <c r="S36" s="55">
        <v>191.70034393809109</v>
      </c>
      <c r="T36" s="55">
        <v>202.12459157351671</v>
      </c>
      <c r="U36" s="55">
        <v>208.82622527944969</v>
      </c>
      <c r="V36" s="55">
        <v>195.907222699914</v>
      </c>
      <c r="W36" s="55">
        <v>232.98220120378329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0.3343938091143594</v>
      </c>
      <c r="C37" s="55">
        <f t="shared" ref="C37:W37" si="20">SUM(C38:C42)</f>
        <v>0.35829750644883918</v>
      </c>
      <c r="D37" s="55">
        <f t="shared" si="20"/>
        <v>0.42992261392949271</v>
      </c>
      <c r="E37" s="55">
        <f t="shared" si="20"/>
        <v>0.50154772141014614</v>
      </c>
      <c r="F37" s="55">
        <f t="shared" si="20"/>
        <v>0.5970765262252794</v>
      </c>
      <c r="G37" s="55">
        <f t="shared" si="20"/>
        <v>0.69269131556319852</v>
      </c>
      <c r="H37" s="55">
        <f t="shared" si="20"/>
        <v>0.81203783319002576</v>
      </c>
      <c r="I37" s="55">
        <f t="shared" si="20"/>
        <v>6.44883920894239</v>
      </c>
      <c r="J37" s="55">
        <f t="shared" si="20"/>
        <v>7.0938091143594164</v>
      </c>
      <c r="K37" s="55">
        <f t="shared" si="20"/>
        <v>8.7708512467755799</v>
      </c>
      <c r="L37" s="55">
        <f t="shared" si="20"/>
        <v>12.050816852966467</v>
      </c>
      <c r="M37" s="55">
        <f t="shared" si="20"/>
        <v>12.915477214101461</v>
      </c>
      <c r="N37" s="55">
        <f t="shared" si="20"/>
        <v>12.915735167669819</v>
      </c>
      <c r="O37" s="55">
        <f t="shared" si="20"/>
        <v>13.068615649183148</v>
      </c>
      <c r="P37" s="55">
        <f t="shared" si="20"/>
        <v>11.15846947549441</v>
      </c>
      <c r="Q37" s="55">
        <f t="shared" si="20"/>
        <v>13.889595872742905</v>
      </c>
      <c r="R37" s="55">
        <f t="shared" si="20"/>
        <v>15.834221840068786</v>
      </c>
      <c r="S37" s="55">
        <f t="shared" si="20"/>
        <v>17.112381771281168</v>
      </c>
      <c r="T37" s="55">
        <f t="shared" si="20"/>
        <v>18.81023215821152</v>
      </c>
      <c r="U37" s="55">
        <f t="shared" si="20"/>
        <v>21.338263112639726</v>
      </c>
      <c r="V37" s="55">
        <f t="shared" si="20"/>
        <v>22.413413585554594</v>
      </c>
      <c r="W37" s="55">
        <f t="shared" si="20"/>
        <v>22.161306964746348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2.1496130696474638</v>
      </c>
      <c r="J38" s="55">
        <v>1.934651762682718</v>
      </c>
      <c r="K38" s="55">
        <v>3.4107480653482369</v>
      </c>
      <c r="L38" s="55">
        <v>3.1002579535683585</v>
      </c>
      <c r="M38" s="55">
        <v>3.770163370593294</v>
      </c>
      <c r="N38" s="55">
        <v>3.3438521066208082</v>
      </c>
      <c r="O38" s="55">
        <v>3.4154772141014638</v>
      </c>
      <c r="P38" s="55">
        <v>4.2509888220120384</v>
      </c>
      <c r="Q38" s="55">
        <v>5.3973344797936358</v>
      </c>
      <c r="R38" s="55">
        <v>6.8787618228718816</v>
      </c>
      <c r="S38" s="55">
        <v>8.2784178847807386</v>
      </c>
      <c r="T38" s="55">
        <v>10.098366294067068</v>
      </c>
      <c r="U38" s="55">
        <v>12.337661220980225</v>
      </c>
      <c r="V38" s="55">
        <v>13.334909716251071</v>
      </c>
      <c r="W38" s="55">
        <v>13.2847807394669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0.76440240756663802</v>
      </c>
      <c r="K39" s="55">
        <v>0.82201203783318999</v>
      </c>
      <c r="L39" s="55">
        <v>0.59088564058469473</v>
      </c>
      <c r="M39" s="55">
        <v>0.47523645743766119</v>
      </c>
      <c r="N39" s="55">
        <v>0.47188306104901118</v>
      </c>
      <c r="O39" s="55">
        <v>0.36208082545141868</v>
      </c>
      <c r="P39" s="55">
        <v>0.41083404987102318</v>
      </c>
      <c r="Q39" s="55">
        <v>0.51478933791917447</v>
      </c>
      <c r="R39" s="55">
        <v>0.50025795356835767</v>
      </c>
      <c r="S39" s="55">
        <v>0.51736887360275152</v>
      </c>
      <c r="T39" s="55">
        <v>0.42871883061048999</v>
      </c>
      <c r="U39" s="55">
        <v>0.48099742046431643</v>
      </c>
      <c r="V39" s="55">
        <v>0.41074806534823732</v>
      </c>
      <c r="W39" s="55">
        <v>0.45958727429062762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0.3343938091143594</v>
      </c>
      <c r="C41" s="55">
        <v>0.35829750644883918</v>
      </c>
      <c r="D41" s="55">
        <v>0.42992261392949271</v>
      </c>
      <c r="E41" s="55">
        <v>0.50154772141014614</v>
      </c>
      <c r="F41" s="55">
        <v>0.5970765262252794</v>
      </c>
      <c r="G41" s="55">
        <v>0.69269131556319852</v>
      </c>
      <c r="H41" s="55">
        <v>0.81203783319002576</v>
      </c>
      <c r="I41" s="55">
        <v>0.95537403267411869</v>
      </c>
      <c r="J41" s="55">
        <v>1.1942390369733451</v>
      </c>
      <c r="K41" s="55">
        <v>1.385296646603611</v>
      </c>
      <c r="L41" s="55">
        <v>1.5525365434221841</v>
      </c>
      <c r="M41" s="55">
        <v>1.8152192605331039</v>
      </c>
      <c r="N41" s="55">
        <v>2.1496130696474629</v>
      </c>
      <c r="O41" s="55">
        <v>2.4601031814273431</v>
      </c>
      <c r="P41" s="55">
        <v>2.7944969905417021</v>
      </c>
      <c r="Q41" s="55">
        <v>3.1049871023215818</v>
      </c>
      <c r="R41" s="55">
        <v>3.463284608770421</v>
      </c>
      <c r="S41" s="55">
        <v>3.8573516766981939</v>
      </c>
      <c r="T41" s="55">
        <v>4.1797936371453126</v>
      </c>
      <c r="U41" s="55">
        <v>4.6336199484092866</v>
      </c>
      <c r="V41" s="55">
        <v>4.9035253654342217</v>
      </c>
      <c r="W41" s="55">
        <v>5.1208942390369732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3.3438521066208078</v>
      </c>
      <c r="J42" s="55">
        <v>3.2005159071367149</v>
      </c>
      <c r="K42" s="55">
        <v>3.1527944969905422</v>
      </c>
      <c r="L42" s="55">
        <v>6.8071367153912297</v>
      </c>
      <c r="M42" s="55">
        <v>6.8548581255374019</v>
      </c>
      <c r="N42" s="55">
        <v>6.9503869303525363</v>
      </c>
      <c r="O42" s="55">
        <v>6.8309544282029231</v>
      </c>
      <c r="P42" s="55">
        <v>3.702149613069647</v>
      </c>
      <c r="Q42" s="55">
        <v>4.8724849527085121</v>
      </c>
      <c r="R42" s="55">
        <v>4.9919174548581253</v>
      </c>
      <c r="S42" s="55">
        <v>4.4592433361994832</v>
      </c>
      <c r="T42" s="55">
        <v>4.1033533963886502</v>
      </c>
      <c r="U42" s="55">
        <v>3.8859845227858991</v>
      </c>
      <c r="V42" s="55">
        <v>3.7642304385210661</v>
      </c>
      <c r="W42" s="55">
        <v>3.2960447119518479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59.468959587274291</v>
      </c>
      <c r="C44" s="55">
        <v>65.551934651762679</v>
      </c>
      <c r="D44" s="55">
        <v>64.258383490971624</v>
      </c>
      <c r="E44" s="55">
        <v>71.032502149613066</v>
      </c>
      <c r="F44" s="55">
        <v>69.33499570077386</v>
      </c>
      <c r="G44" s="55">
        <v>73.263456577815987</v>
      </c>
      <c r="H44" s="55">
        <v>63.730008598452272</v>
      </c>
      <c r="I44" s="55">
        <v>60.010232158211522</v>
      </c>
      <c r="J44" s="55">
        <v>64.44325021496131</v>
      </c>
      <c r="K44" s="55">
        <v>63.780825451418742</v>
      </c>
      <c r="L44" s="55">
        <v>72.898280309544276</v>
      </c>
      <c r="M44" s="55">
        <v>73.191315563198629</v>
      </c>
      <c r="N44" s="55">
        <v>69.485726569217533</v>
      </c>
      <c r="O44" s="55">
        <v>70.758211521926043</v>
      </c>
      <c r="P44" s="55">
        <v>55.301805674978503</v>
      </c>
      <c r="Q44" s="55">
        <v>60.203697334479791</v>
      </c>
      <c r="R44" s="55">
        <v>62.360103181427341</v>
      </c>
      <c r="S44" s="55">
        <v>60.582459157351671</v>
      </c>
      <c r="T44" s="55">
        <v>57.073344797936372</v>
      </c>
      <c r="U44" s="55">
        <v>55.924075666380062</v>
      </c>
      <c r="V44" s="55">
        <v>59.324505588993972</v>
      </c>
      <c r="W44" s="55">
        <v>68.154686156491834</v>
      </c>
      <c r="DA44" s="101" t="s">
        <v>209</v>
      </c>
    </row>
    <row r="45" spans="1:105" ht="12" customHeight="1" x14ac:dyDescent="0.25">
      <c r="A45" s="62" t="s">
        <v>24</v>
      </c>
      <c r="B45" s="63">
        <v>246.1577815993121</v>
      </c>
      <c r="C45" s="63">
        <v>271.64419604471198</v>
      </c>
      <c r="D45" s="63">
        <v>293.94711951848672</v>
      </c>
      <c r="E45" s="63">
        <v>317.62928745139618</v>
      </c>
      <c r="F45" s="63">
        <v>340.80022424370168</v>
      </c>
      <c r="G45" s="63">
        <v>373.42128511096513</v>
      </c>
      <c r="H45" s="63">
        <v>396.6680600490543</v>
      </c>
      <c r="I45" s="63">
        <v>412.61019215576505</v>
      </c>
      <c r="J45" s="63">
        <v>447.96443888705204</v>
      </c>
      <c r="K45" s="63">
        <v>449.80088973818818</v>
      </c>
      <c r="L45" s="63">
        <v>456.22281458307839</v>
      </c>
      <c r="M45" s="63">
        <v>467.35000158569443</v>
      </c>
      <c r="N45" s="63">
        <v>467.46988337086128</v>
      </c>
      <c r="O45" s="63">
        <v>456.61410826563429</v>
      </c>
      <c r="P45" s="63">
        <v>441.58305424917796</v>
      </c>
      <c r="Q45" s="63">
        <v>457.84833084784287</v>
      </c>
      <c r="R45" s="63">
        <v>460.09692156088363</v>
      </c>
      <c r="S45" s="63">
        <v>489.72658340783545</v>
      </c>
      <c r="T45" s="63">
        <v>503.76329122514232</v>
      </c>
      <c r="U45" s="63">
        <v>508.50495183091965</v>
      </c>
      <c r="V45" s="63">
        <v>442.67220840280186</v>
      </c>
      <c r="W45" s="63">
        <v>488.20669642105003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520.46827171109203</v>
      </c>
      <c r="C47" s="82">
        <f t="shared" ref="C47:W47" si="22">SUM(C48,C53)</f>
        <v>594.08624247635419</v>
      </c>
      <c r="D47" s="82">
        <f t="shared" si="22"/>
        <v>626.0739466895958</v>
      </c>
      <c r="E47" s="82">
        <f t="shared" si="22"/>
        <v>666.29240009112107</v>
      </c>
      <c r="F47" s="82">
        <f t="shared" si="22"/>
        <v>690.26239105367574</v>
      </c>
      <c r="G47" s="82">
        <f t="shared" si="22"/>
        <v>721.2583444402859</v>
      </c>
      <c r="H47" s="82">
        <f t="shared" si="22"/>
        <v>715.27923803701651</v>
      </c>
      <c r="I47" s="82">
        <f t="shared" si="22"/>
        <v>707.57029533719242</v>
      </c>
      <c r="J47" s="82">
        <f t="shared" si="22"/>
        <v>754.35945178473048</v>
      </c>
      <c r="K47" s="82">
        <f t="shared" si="22"/>
        <v>758.46176678032043</v>
      </c>
      <c r="L47" s="82">
        <f t="shared" si="22"/>
        <v>797.58343367164241</v>
      </c>
      <c r="M47" s="82">
        <f t="shared" si="22"/>
        <v>786.56694053668309</v>
      </c>
      <c r="N47" s="82">
        <f t="shared" si="22"/>
        <v>758.29997795383633</v>
      </c>
      <c r="O47" s="82">
        <f t="shared" si="22"/>
        <v>740.87352357087934</v>
      </c>
      <c r="P47" s="82">
        <f t="shared" si="22"/>
        <v>693.70093902991755</v>
      </c>
      <c r="Q47" s="82">
        <f t="shared" si="22"/>
        <v>763.60852001379283</v>
      </c>
      <c r="R47" s="82">
        <f t="shared" si="22"/>
        <v>780.88703334076354</v>
      </c>
      <c r="S47" s="82">
        <f t="shared" si="22"/>
        <v>817.94249054455076</v>
      </c>
      <c r="T47" s="82">
        <f t="shared" si="22"/>
        <v>832.86389311680171</v>
      </c>
      <c r="U47" s="82">
        <f t="shared" si="22"/>
        <v>835.78878674063571</v>
      </c>
      <c r="V47" s="82">
        <f t="shared" si="22"/>
        <v>757.63170969256964</v>
      </c>
      <c r="W47" s="82">
        <f t="shared" si="22"/>
        <v>847.76482195845324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390.96038832655449</v>
      </c>
      <c r="C48" s="64">
        <f t="shared" ref="C48:W48" si="24">SUM(C49:C52)</f>
        <v>454.75255634266506</v>
      </c>
      <c r="D48" s="64">
        <f t="shared" si="24"/>
        <v>475.84218599814386</v>
      </c>
      <c r="E48" s="64">
        <f t="shared" si="24"/>
        <v>503.48008633858439</v>
      </c>
      <c r="F48" s="64">
        <f t="shared" si="24"/>
        <v>514.88412916204379</v>
      </c>
      <c r="G48" s="64">
        <f t="shared" si="24"/>
        <v>533.5089050820103</v>
      </c>
      <c r="H48" s="64">
        <f t="shared" si="24"/>
        <v>516.6516339821045</v>
      </c>
      <c r="I48" s="64">
        <f t="shared" si="24"/>
        <v>498.65638688725983</v>
      </c>
      <c r="J48" s="64">
        <f t="shared" si="24"/>
        <v>538.85367141508834</v>
      </c>
      <c r="K48" s="64">
        <f t="shared" si="24"/>
        <v>539.2350852080649</v>
      </c>
      <c r="L48" s="64">
        <f t="shared" si="24"/>
        <v>575.16502621600489</v>
      </c>
      <c r="M48" s="64">
        <f t="shared" si="24"/>
        <v>560.81433220968597</v>
      </c>
      <c r="N48" s="64">
        <f t="shared" si="24"/>
        <v>531.39512308112342</v>
      </c>
      <c r="O48" s="64">
        <f t="shared" si="24"/>
        <v>511.39887903023714</v>
      </c>
      <c r="P48" s="64">
        <f t="shared" si="24"/>
        <v>458.77349996199376</v>
      </c>
      <c r="Q48" s="64">
        <f t="shared" si="24"/>
        <v>521.47793298653301</v>
      </c>
      <c r="R48" s="64">
        <f t="shared" si="24"/>
        <v>540.12068155145528</v>
      </c>
      <c r="S48" s="64">
        <f t="shared" si="24"/>
        <v>579.2208357335669</v>
      </c>
      <c r="T48" s="64">
        <f t="shared" si="24"/>
        <v>595.3208448526965</v>
      </c>
      <c r="U48" s="64">
        <f t="shared" si="24"/>
        <v>600.20326279114408</v>
      </c>
      <c r="V48" s="64">
        <f t="shared" si="24"/>
        <v>543.64964737593709</v>
      </c>
      <c r="W48" s="64">
        <f t="shared" si="24"/>
        <v>628.3909506748812</v>
      </c>
      <c r="DA48" s="108" t="s">
        <v>212</v>
      </c>
    </row>
    <row r="49" spans="1:105" ht="12" customHeight="1" x14ac:dyDescent="0.25">
      <c r="A49" s="61" t="s">
        <v>32</v>
      </c>
      <c r="B49" s="65">
        <v>273.093382101374</v>
      </c>
      <c r="C49" s="65">
        <v>329.45215561851728</v>
      </c>
      <c r="D49" s="65">
        <v>344.11741258528554</v>
      </c>
      <c r="E49" s="65">
        <v>359.43946349770624</v>
      </c>
      <c r="F49" s="65">
        <v>369.21587127981144</v>
      </c>
      <c r="G49" s="65">
        <v>381.23228463516631</v>
      </c>
      <c r="H49" s="65">
        <v>355.86814788972418</v>
      </c>
      <c r="I49" s="65">
        <v>328.52611666267904</v>
      </c>
      <c r="J49" s="65">
        <v>361.0006250297555</v>
      </c>
      <c r="K49" s="65">
        <v>354.74099672109537</v>
      </c>
      <c r="L49" s="65">
        <v>387.34032869818122</v>
      </c>
      <c r="M49" s="65">
        <v>370.79380904506286</v>
      </c>
      <c r="N49" s="65">
        <v>331.23037058163021</v>
      </c>
      <c r="O49" s="65">
        <v>316.42939912019563</v>
      </c>
      <c r="P49" s="65">
        <v>261.75784869629297</v>
      </c>
      <c r="Q49" s="65">
        <v>312.98855885167404</v>
      </c>
      <c r="R49" s="65">
        <v>334.55560599074488</v>
      </c>
      <c r="S49" s="65">
        <v>366.39726948845396</v>
      </c>
      <c r="T49" s="65">
        <v>386.03578458815014</v>
      </c>
      <c r="U49" s="65">
        <v>386.765654292308</v>
      </c>
      <c r="V49" s="65">
        <v>354.8923283402101</v>
      </c>
      <c r="W49" s="65">
        <v>416.49519042018824</v>
      </c>
      <c r="DA49" s="109" t="s">
        <v>213</v>
      </c>
    </row>
    <row r="50" spans="1:105" ht="12" customHeight="1" x14ac:dyDescent="0.25">
      <c r="A50" s="61" t="s">
        <v>31</v>
      </c>
      <c r="B50" s="65">
        <v>6.6908759206679429</v>
      </c>
      <c r="C50" s="65">
        <v>6.6945003390864732</v>
      </c>
      <c r="D50" s="65">
        <v>6.9630280174268231</v>
      </c>
      <c r="E50" s="65">
        <v>14.429389398053111</v>
      </c>
      <c r="F50" s="65">
        <v>8.0375902650116213</v>
      </c>
      <c r="G50" s="65">
        <v>8.7744622938441594</v>
      </c>
      <c r="H50" s="65">
        <v>10.91593742065162</v>
      </c>
      <c r="I50" s="65">
        <v>12.691831252773802</v>
      </c>
      <c r="J50" s="65">
        <v>13.205604602943819</v>
      </c>
      <c r="K50" s="65">
        <v>13.424897092500634</v>
      </c>
      <c r="L50" s="65">
        <v>14.130153993469001</v>
      </c>
      <c r="M50" s="65">
        <v>15.57845604286879</v>
      </c>
      <c r="N50" s="65">
        <v>22.724442784227143</v>
      </c>
      <c r="O50" s="65">
        <v>15.104137748688402</v>
      </c>
      <c r="P50" s="65">
        <v>12.324841301607623</v>
      </c>
      <c r="Q50" s="65">
        <v>20.001014899238267</v>
      </c>
      <c r="R50" s="65">
        <v>13.469267971711281</v>
      </c>
      <c r="S50" s="65">
        <v>18.944942049039685</v>
      </c>
      <c r="T50" s="65">
        <v>14.027333118018037</v>
      </c>
      <c r="U50" s="65">
        <v>16.711804453272109</v>
      </c>
      <c r="V50" s="65">
        <v>12.90831808849912</v>
      </c>
      <c r="W50" s="65">
        <v>16.97555555510829</v>
      </c>
      <c r="DA50" s="109" t="s">
        <v>214</v>
      </c>
    </row>
    <row r="51" spans="1:105" ht="12" customHeight="1" x14ac:dyDescent="0.25">
      <c r="A51" s="61" t="s">
        <v>35</v>
      </c>
      <c r="B51" s="65">
        <v>56.780051174428628</v>
      </c>
      <c r="C51" s="65">
        <v>59.652155105345415</v>
      </c>
      <c r="D51" s="65">
        <v>63.158703229429825</v>
      </c>
      <c r="E51" s="65">
        <v>66.203162815864275</v>
      </c>
      <c r="F51" s="65">
        <v>70.439075345784687</v>
      </c>
      <c r="G51" s="65">
        <v>73.461060111244663</v>
      </c>
      <c r="H51" s="65">
        <v>75.230692914755295</v>
      </c>
      <c r="I51" s="65">
        <v>78.201755627142475</v>
      </c>
      <c r="J51" s="65">
        <v>81.069222185310167</v>
      </c>
      <c r="K51" s="65">
        <v>82.37370664165401</v>
      </c>
      <c r="L51" s="65">
        <v>83.163631492654829</v>
      </c>
      <c r="M51" s="65">
        <v>83.30258289830644</v>
      </c>
      <c r="N51" s="65">
        <v>83.946249429676257</v>
      </c>
      <c r="O51" s="65">
        <v>84.841259208872884</v>
      </c>
      <c r="P51" s="65">
        <v>85.67698732217012</v>
      </c>
      <c r="Q51" s="65">
        <v>86.764958541146299</v>
      </c>
      <c r="R51" s="65">
        <v>86.847392627033514</v>
      </c>
      <c r="S51" s="65">
        <v>86.596173236364947</v>
      </c>
      <c r="T51" s="65">
        <v>86.133021460135822</v>
      </c>
      <c r="U51" s="65">
        <v>85.458006346901655</v>
      </c>
      <c r="V51" s="65">
        <v>79.000816805116941</v>
      </c>
      <c r="W51" s="65">
        <v>82.29071444035894</v>
      </c>
      <c r="DA51" s="109" t="s">
        <v>215</v>
      </c>
    </row>
    <row r="52" spans="1:105" ht="12" customHeight="1" x14ac:dyDescent="0.25">
      <c r="A52" s="66" t="s">
        <v>34</v>
      </c>
      <c r="B52" s="67">
        <v>54.396079130083905</v>
      </c>
      <c r="C52" s="67">
        <v>58.953745279715939</v>
      </c>
      <c r="D52" s="67">
        <v>61.603042166001693</v>
      </c>
      <c r="E52" s="67">
        <v>63.408070626960736</v>
      </c>
      <c r="F52" s="67">
        <v>67.19159227143615</v>
      </c>
      <c r="G52" s="67">
        <v>70.041098041755163</v>
      </c>
      <c r="H52" s="67">
        <v>74.636855756973404</v>
      </c>
      <c r="I52" s="67">
        <v>79.236683344664513</v>
      </c>
      <c r="J52" s="67">
        <v>83.578219597078785</v>
      </c>
      <c r="K52" s="67">
        <v>88.695484752814934</v>
      </c>
      <c r="L52" s="67">
        <v>90.530912031699899</v>
      </c>
      <c r="M52" s="67">
        <v>91.139484223447923</v>
      </c>
      <c r="N52" s="67">
        <v>93.494060285589768</v>
      </c>
      <c r="O52" s="67">
        <v>95.024082952480228</v>
      </c>
      <c r="P52" s="67">
        <v>99.013822641922999</v>
      </c>
      <c r="Q52" s="67">
        <v>101.72340069447442</v>
      </c>
      <c r="R52" s="67">
        <v>105.24841496196555</v>
      </c>
      <c r="S52" s="67">
        <v>107.28245095970834</v>
      </c>
      <c r="T52" s="67">
        <v>109.12470568639253</v>
      </c>
      <c r="U52" s="67">
        <v>111.26779769866232</v>
      </c>
      <c r="V52" s="67">
        <v>96.848184142110938</v>
      </c>
      <c r="W52" s="67">
        <v>112.62949025922572</v>
      </c>
      <c r="DA52" s="110" t="s">
        <v>216</v>
      </c>
    </row>
    <row r="53" spans="1:105" ht="12" customHeight="1" x14ac:dyDescent="0.25">
      <c r="A53" s="78" t="s">
        <v>33</v>
      </c>
      <c r="B53" s="68">
        <v>129.50788338453754</v>
      </c>
      <c r="C53" s="68">
        <v>139.33368613368913</v>
      </c>
      <c r="D53" s="68">
        <v>150.23176069145197</v>
      </c>
      <c r="E53" s="68">
        <v>162.81231375253668</v>
      </c>
      <c r="F53" s="68">
        <v>175.37826189163192</v>
      </c>
      <c r="G53" s="68">
        <v>187.74943935827559</v>
      </c>
      <c r="H53" s="68">
        <v>198.62760405491207</v>
      </c>
      <c r="I53" s="68">
        <v>208.91390844993259</v>
      </c>
      <c r="J53" s="68">
        <v>215.50578036964214</v>
      </c>
      <c r="K53" s="68">
        <v>219.22668157225556</v>
      </c>
      <c r="L53" s="68">
        <v>222.41840745563752</v>
      </c>
      <c r="M53" s="68">
        <v>225.75260832699715</v>
      </c>
      <c r="N53" s="68">
        <v>226.90485487271289</v>
      </c>
      <c r="O53" s="68">
        <v>229.47464454064226</v>
      </c>
      <c r="P53" s="68">
        <v>234.92743906792376</v>
      </c>
      <c r="Q53" s="68">
        <v>242.13058702725979</v>
      </c>
      <c r="R53" s="68">
        <v>240.7663517893082</v>
      </c>
      <c r="S53" s="68">
        <v>238.72165481098381</v>
      </c>
      <c r="T53" s="68">
        <v>237.54304826410521</v>
      </c>
      <c r="U53" s="68">
        <v>235.5855239494916</v>
      </c>
      <c r="V53" s="68">
        <v>213.98206231663255</v>
      </c>
      <c r="W53" s="68">
        <v>219.37387128357202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0.75117045471615917</v>
      </c>
      <c r="C56" s="70">
        <f t="shared" ref="C56:W56" si="28">IF(C48=0,0,C48/C$47)</f>
        <v>0.76546555672977923</v>
      </c>
      <c r="D56" s="70">
        <f t="shared" si="28"/>
        <v>0.76004150710022111</v>
      </c>
      <c r="E56" s="70">
        <f t="shared" si="28"/>
        <v>0.75564434814164061</v>
      </c>
      <c r="F56" s="70">
        <f t="shared" si="28"/>
        <v>0.7459252247193715</v>
      </c>
      <c r="G56" s="70">
        <f t="shared" si="28"/>
        <v>0.73969183052714105</v>
      </c>
      <c r="H56" s="70">
        <f t="shared" si="28"/>
        <v>0.72230760590784437</v>
      </c>
      <c r="I56" s="70">
        <f t="shared" si="28"/>
        <v>0.70474465953891585</v>
      </c>
      <c r="J56" s="70">
        <f t="shared" si="28"/>
        <v>0.71431950662276522</v>
      </c>
      <c r="K56" s="70">
        <f t="shared" si="28"/>
        <v>0.71095882327348481</v>
      </c>
      <c r="L56" s="70">
        <f t="shared" si="28"/>
        <v>0.72113461982059535</v>
      </c>
      <c r="M56" s="70">
        <f t="shared" si="28"/>
        <v>0.71298996093967071</v>
      </c>
      <c r="N56" s="70">
        <f t="shared" si="28"/>
        <v>0.70077164516741364</v>
      </c>
      <c r="O56" s="70">
        <f t="shared" si="28"/>
        <v>0.69026475202593962</v>
      </c>
      <c r="P56" s="70">
        <f t="shared" si="28"/>
        <v>0.66134190419801064</v>
      </c>
      <c r="Q56" s="70">
        <f t="shared" si="28"/>
        <v>0.68291266967151398</v>
      </c>
      <c r="R56" s="70">
        <f t="shared" si="28"/>
        <v>0.69167582312223819</v>
      </c>
      <c r="S56" s="70">
        <f t="shared" si="28"/>
        <v>0.70814371722875857</v>
      </c>
      <c r="T56" s="70">
        <f t="shared" si="28"/>
        <v>0.71478767391973863</v>
      </c>
      <c r="U56" s="70">
        <f t="shared" si="28"/>
        <v>0.71812791977239199</v>
      </c>
      <c r="V56" s="70">
        <f t="shared" si="28"/>
        <v>0.71756453751986993</v>
      </c>
      <c r="W56" s="70">
        <f t="shared" si="28"/>
        <v>0.74123263244541304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0.52470707043015685</v>
      </c>
      <c r="C57" s="71">
        <f t="shared" ref="C57:W57" si="30">IF(C49=0,0,C49/C$47)</f>
        <v>0.55455274346237726</v>
      </c>
      <c r="D57" s="71">
        <f t="shared" si="30"/>
        <v>0.54964339980097776</v>
      </c>
      <c r="E57" s="71">
        <f t="shared" si="30"/>
        <v>0.53946204916722729</v>
      </c>
      <c r="F57" s="71">
        <f t="shared" si="30"/>
        <v>0.53489205853473876</v>
      </c>
      <c r="G57" s="71">
        <f t="shared" si="30"/>
        <v>0.52856550995054608</v>
      </c>
      <c r="H57" s="71">
        <f t="shared" si="30"/>
        <v>0.49752338522554407</v>
      </c>
      <c r="I57" s="71">
        <f t="shared" si="30"/>
        <v>0.46430173627642185</v>
      </c>
      <c r="J57" s="71">
        <f t="shared" si="30"/>
        <v>0.47855253112513962</v>
      </c>
      <c r="K57" s="71">
        <f t="shared" si="30"/>
        <v>0.46771111248886715</v>
      </c>
      <c r="L57" s="71">
        <f t="shared" si="30"/>
        <v>0.48564239469603326</v>
      </c>
      <c r="M57" s="71">
        <f t="shared" si="30"/>
        <v>0.47140782295282618</v>
      </c>
      <c r="N57" s="71">
        <f t="shared" si="30"/>
        <v>0.43680651485103272</v>
      </c>
      <c r="O57" s="71">
        <f t="shared" si="30"/>
        <v>0.42710312766349362</v>
      </c>
      <c r="P57" s="71">
        <f t="shared" si="30"/>
        <v>0.37733529532530158</v>
      </c>
      <c r="Q57" s="71">
        <f t="shared" si="30"/>
        <v>0.40988091495629281</v>
      </c>
      <c r="R57" s="71">
        <f t="shared" si="30"/>
        <v>0.42843022320329843</v>
      </c>
      <c r="S57" s="71">
        <f t="shared" si="30"/>
        <v>0.44794991545740886</v>
      </c>
      <c r="T57" s="71">
        <f t="shared" si="30"/>
        <v>0.46350404643368548</v>
      </c>
      <c r="U57" s="71">
        <f t="shared" si="30"/>
        <v>0.4627552563855229</v>
      </c>
      <c r="V57" s="71">
        <f t="shared" si="30"/>
        <v>0.46842327716750087</v>
      </c>
      <c r="W57" s="71">
        <f t="shared" si="30"/>
        <v>0.4912862383910046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1.285549241776259E-2</v>
      </c>
      <c r="C58" s="72">
        <f t="shared" ref="C58:W58" si="32">IF(C50=0,0,C50/C$47)</f>
        <v>1.1268566515160344E-2</v>
      </c>
      <c r="D58" s="72">
        <f t="shared" si="32"/>
        <v>1.1121734188500031E-2</v>
      </c>
      <c r="E58" s="72">
        <f t="shared" si="32"/>
        <v>2.165624190832699E-2</v>
      </c>
      <c r="F58" s="72">
        <f t="shared" si="32"/>
        <v>1.1644253502993774E-2</v>
      </c>
      <c r="G58" s="72">
        <f t="shared" si="32"/>
        <v>1.2165491548875399E-2</v>
      </c>
      <c r="H58" s="72">
        <f t="shared" si="32"/>
        <v>1.5261085237995832E-2</v>
      </c>
      <c r="I58" s="72">
        <f t="shared" si="32"/>
        <v>1.793720190970639E-2</v>
      </c>
      <c r="J58" s="72">
        <f t="shared" si="32"/>
        <v>1.7505719019892743E-2</v>
      </c>
      <c r="K58" s="72">
        <f t="shared" si="32"/>
        <v>1.7700163252116832E-2</v>
      </c>
      <c r="L58" s="72">
        <f t="shared" si="32"/>
        <v>1.7716207981428877E-2</v>
      </c>
      <c r="M58" s="72">
        <f t="shared" si="32"/>
        <v>1.980563285845632E-2</v>
      </c>
      <c r="N58" s="72">
        <f t="shared" si="32"/>
        <v>2.9967616306076906E-2</v>
      </c>
      <c r="O58" s="72">
        <f t="shared" si="32"/>
        <v>2.0386931464211503E-2</v>
      </c>
      <c r="P58" s="72">
        <f t="shared" si="32"/>
        <v>1.7766793452583297E-2</v>
      </c>
      <c r="Q58" s="72">
        <f t="shared" si="32"/>
        <v>2.6192760262650022E-2</v>
      </c>
      <c r="R58" s="72">
        <f t="shared" si="32"/>
        <v>1.7248676692821405E-2</v>
      </c>
      <c r="S58" s="72">
        <f t="shared" si="32"/>
        <v>2.3161704237209833E-2</v>
      </c>
      <c r="T58" s="72">
        <f t="shared" si="32"/>
        <v>1.6842287478118383E-2</v>
      </c>
      <c r="U58" s="72">
        <f t="shared" si="32"/>
        <v>1.9995248462765226E-2</v>
      </c>
      <c r="V58" s="72">
        <f t="shared" si="32"/>
        <v>1.7037721525326642E-2</v>
      </c>
      <c r="W58" s="72">
        <f t="shared" si="32"/>
        <v>2.0023897094352681E-2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0.10909416435272504</v>
      </c>
      <c r="C59" s="72">
        <f t="shared" ref="C59:W59" si="34">IF(C51=0,0,C51/C$47)</f>
        <v>0.10040992509218001</v>
      </c>
      <c r="D59" s="72">
        <f t="shared" si="34"/>
        <v>0.10088058058219053</v>
      </c>
      <c r="E59" s="72">
        <f t="shared" si="34"/>
        <v>9.9360525209068032E-2</v>
      </c>
      <c r="F59" s="72">
        <f t="shared" si="34"/>
        <v>0.10204681039953581</v>
      </c>
      <c r="G59" s="72">
        <f t="shared" si="34"/>
        <v>0.10185124467191051</v>
      </c>
      <c r="H59" s="72">
        <f t="shared" si="34"/>
        <v>0.105176676344214</v>
      </c>
      <c r="I59" s="72">
        <f t="shared" si="34"/>
        <v>0.11052153565869445</v>
      </c>
      <c r="J59" s="72">
        <f t="shared" si="34"/>
        <v>0.10746762964725823</v>
      </c>
      <c r="K59" s="72">
        <f t="shared" si="34"/>
        <v>0.10860627423756825</v>
      </c>
      <c r="L59" s="72">
        <f t="shared" si="34"/>
        <v>0.10426950709070584</v>
      </c>
      <c r="M59" s="72">
        <f t="shared" si="34"/>
        <v>0.10590653967921432</v>
      </c>
      <c r="N59" s="72">
        <f t="shared" si="34"/>
        <v>0.11070322019023812</v>
      </c>
      <c r="O59" s="72">
        <f t="shared" si="34"/>
        <v>0.11451517230627034</v>
      </c>
      <c r="P59" s="72">
        <f t="shared" si="34"/>
        <v>0.12350709434238648</v>
      </c>
      <c r="Q59" s="72">
        <f t="shared" si="34"/>
        <v>0.11362492202101031</v>
      </c>
      <c r="R59" s="72">
        <f t="shared" si="34"/>
        <v>0.11121633337345357</v>
      </c>
      <c r="S59" s="72">
        <f t="shared" si="34"/>
        <v>0.10587073570259561</v>
      </c>
      <c r="T59" s="72">
        <f t="shared" si="34"/>
        <v>0.10341788396877524</v>
      </c>
      <c r="U59" s="72">
        <f t="shared" si="34"/>
        <v>0.10224832840862368</v>
      </c>
      <c r="V59" s="72">
        <f t="shared" si="34"/>
        <v>0.10427337688541803</v>
      </c>
      <c r="W59" s="72">
        <f t="shared" si="34"/>
        <v>9.7067856920809811E-2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0.10451372751551463</v>
      </c>
      <c r="C60" s="73">
        <f t="shared" ref="C60:W60" si="36">IF(C52=0,0,C52/C$47)</f>
        <v>9.92343216600617E-2</v>
      </c>
      <c r="D60" s="73">
        <f t="shared" si="36"/>
        <v>9.8395792528552795E-2</v>
      </c>
      <c r="E60" s="73">
        <f t="shared" si="36"/>
        <v>9.516553185701826E-2</v>
      </c>
      <c r="F60" s="73">
        <f t="shared" si="36"/>
        <v>9.7342102282103382E-2</v>
      </c>
      <c r="G60" s="73">
        <f t="shared" si="36"/>
        <v>9.7109584355809103E-2</v>
      </c>
      <c r="H60" s="73">
        <f t="shared" si="36"/>
        <v>0.10434645910009045</v>
      </c>
      <c r="I60" s="73">
        <f t="shared" si="36"/>
        <v>0.11198418569409319</v>
      </c>
      <c r="J60" s="73">
        <f t="shared" si="36"/>
        <v>0.11079362683047454</v>
      </c>
      <c r="K60" s="73">
        <f t="shared" si="36"/>
        <v>0.11694127329493267</v>
      </c>
      <c r="L60" s="73">
        <f t="shared" si="36"/>
        <v>0.11350651005242747</v>
      </c>
      <c r="M60" s="73">
        <f t="shared" si="36"/>
        <v>0.11586996544917394</v>
      </c>
      <c r="N60" s="73">
        <f t="shared" si="36"/>
        <v>0.12329429382006588</v>
      </c>
      <c r="O60" s="73">
        <f t="shared" si="36"/>
        <v>0.12825952059196413</v>
      </c>
      <c r="P60" s="73">
        <f t="shared" si="36"/>
        <v>0.14273272107773921</v>
      </c>
      <c r="Q60" s="73">
        <f t="shared" si="36"/>
        <v>0.13321407243156091</v>
      </c>
      <c r="R60" s="73">
        <f t="shared" si="36"/>
        <v>0.1347805898526647</v>
      </c>
      <c r="S60" s="73">
        <f t="shared" si="36"/>
        <v>0.13116136183154431</v>
      </c>
      <c r="T60" s="73">
        <f t="shared" si="36"/>
        <v>0.13102345603915952</v>
      </c>
      <c r="U60" s="73">
        <f t="shared" si="36"/>
        <v>0.13312908651548019</v>
      </c>
      <c r="V60" s="73">
        <f t="shared" si="36"/>
        <v>0.12783016194162439</v>
      </c>
      <c r="W60" s="73">
        <f t="shared" si="36"/>
        <v>0.13285464003924594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0.2488295452838408</v>
      </c>
      <c r="C61" s="70">
        <f t="shared" ref="C61:W61" si="38">IF(C53=0,0,C53/C$47)</f>
        <v>0.2345344432702208</v>
      </c>
      <c r="D61" s="70">
        <f t="shared" si="38"/>
        <v>0.23995849289977897</v>
      </c>
      <c r="E61" s="70">
        <f t="shared" si="38"/>
        <v>0.24435565185835939</v>
      </c>
      <c r="F61" s="70">
        <f t="shared" si="38"/>
        <v>0.25407477528062844</v>
      </c>
      <c r="G61" s="70">
        <f t="shared" si="38"/>
        <v>0.2603081694728589</v>
      </c>
      <c r="H61" s="70">
        <f t="shared" si="38"/>
        <v>0.27769239409215574</v>
      </c>
      <c r="I61" s="70">
        <f t="shared" si="38"/>
        <v>0.29525534046108415</v>
      </c>
      <c r="J61" s="70">
        <f t="shared" si="38"/>
        <v>0.28568049337723478</v>
      </c>
      <c r="K61" s="70">
        <f t="shared" si="38"/>
        <v>0.28904117672651519</v>
      </c>
      <c r="L61" s="70">
        <f t="shared" si="38"/>
        <v>0.27886538017940465</v>
      </c>
      <c r="M61" s="70">
        <f t="shared" si="38"/>
        <v>0.28701003906032935</v>
      </c>
      <c r="N61" s="70">
        <f t="shared" si="38"/>
        <v>0.29922835483258625</v>
      </c>
      <c r="O61" s="70">
        <f t="shared" si="38"/>
        <v>0.30973524797406049</v>
      </c>
      <c r="P61" s="70">
        <f t="shared" si="38"/>
        <v>0.3386580958019893</v>
      </c>
      <c r="Q61" s="70">
        <f t="shared" si="38"/>
        <v>0.31708733032848596</v>
      </c>
      <c r="R61" s="70">
        <f t="shared" si="38"/>
        <v>0.30832417687776176</v>
      </c>
      <c r="S61" s="70">
        <f t="shared" si="38"/>
        <v>0.29185628277124137</v>
      </c>
      <c r="T61" s="70">
        <f t="shared" si="38"/>
        <v>0.28521232608026137</v>
      </c>
      <c r="U61" s="70">
        <f t="shared" si="38"/>
        <v>0.28187208022760796</v>
      </c>
      <c r="V61" s="70">
        <f t="shared" si="38"/>
        <v>0.28243546248013007</v>
      </c>
      <c r="W61" s="70">
        <f t="shared" si="38"/>
        <v>0.2587673675545869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607.69996271999992</v>
      </c>
      <c r="C65" s="80">
        <v>714.06201095999995</v>
      </c>
      <c r="D65" s="80">
        <v>755.0837747999999</v>
      </c>
      <c r="E65" s="80">
        <v>779.68550051999989</v>
      </c>
      <c r="F65" s="80">
        <v>778.82867315999988</v>
      </c>
      <c r="G65" s="80">
        <v>751.12181495999994</v>
      </c>
      <c r="H65" s="80">
        <v>692.89520904000005</v>
      </c>
      <c r="I65" s="80">
        <v>614.82735323999998</v>
      </c>
      <c r="J65" s="80">
        <v>627.21562643999982</v>
      </c>
      <c r="K65" s="80">
        <v>628.10442396000008</v>
      </c>
      <c r="L65" s="80">
        <v>671.60315339999988</v>
      </c>
      <c r="M65" s="80">
        <v>613.23641712000006</v>
      </c>
      <c r="N65" s="80">
        <v>543.94437239999979</v>
      </c>
      <c r="O65" s="80">
        <v>513.75531132000003</v>
      </c>
      <c r="P65" s="80">
        <v>470.17943280000009</v>
      </c>
      <c r="Q65" s="80">
        <v>585.25182396000002</v>
      </c>
      <c r="R65" s="80">
        <v>609.69817799999998</v>
      </c>
      <c r="S65" s="80">
        <v>626.75588844000004</v>
      </c>
      <c r="T65" s="80">
        <v>627.27089363999994</v>
      </c>
      <c r="U65" s="80">
        <v>612.02895552000007</v>
      </c>
      <c r="V65" s="80">
        <v>570.75273612000001</v>
      </c>
      <c r="W65" s="80">
        <v>653.68611215999999</v>
      </c>
      <c r="DA65" s="103" t="s">
        <v>218</v>
      </c>
    </row>
    <row r="66" spans="1:105" ht="12" customHeight="1" x14ac:dyDescent="0.25">
      <c r="A66" s="58" t="s">
        <v>29</v>
      </c>
      <c r="B66" s="59">
        <v>16.881495839999999</v>
      </c>
      <c r="C66" s="59">
        <v>12.714039359999999</v>
      </c>
      <c r="D66" s="59">
        <v>16.907362559999999</v>
      </c>
      <c r="E66" s="59">
        <v>20.925083519999998</v>
      </c>
      <c r="F66" s="59">
        <v>9.3684888000000015</v>
      </c>
      <c r="G66" s="59">
        <v>1.3844159999999999</v>
      </c>
      <c r="H66" s="59">
        <v>8.098833599999999</v>
      </c>
      <c r="I66" s="59">
        <v>4.3262999999999998</v>
      </c>
      <c r="J66" s="59">
        <v>7.2681840000000015</v>
      </c>
      <c r="K66" s="59">
        <v>6.9220799999999993</v>
      </c>
      <c r="L66" s="59">
        <v>4.2024312000000004</v>
      </c>
      <c r="M66" s="59">
        <v>8.8183655999999999</v>
      </c>
      <c r="N66" s="59">
        <v>8.4919348800000005</v>
      </c>
      <c r="O66" s="59">
        <v>0.77855184000000011</v>
      </c>
      <c r="P66" s="59">
        <v>0.32096592000000002</v>
      </c>
      <c r="Q66" s="59">
        <v>0.16175808</v>
      </c>
      <c r="R66" s="59">
        <v>0.17086608</v>
      </c>
      <c r="S66" s="59">
        <v>0.51915599999999995</v>
      </c>
      <c r="T66" s="59">
        <v>0.17305199999999998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401.16155687999998</v>
      </c>
      <c r="C67" s="55">
        <f t="shared" ref="C67:W67" si="39">SUM(C68:C69)</f>
        <v>444.81287159999999</v>
      </c>
      <c r="D67" s="55">
        <f t="shared" si="39"/>
        <v>498.38725223999984</v>
      </c>
      <c r="E67" s="55">
        <f t="shared" si="39"/>
        <v>504.58673699999986</v>
      </c>
      <c r="F67" s="55">
        <f t="shared" si="39"/>
        <v>500.3368743599998</v>
      </c>
      <c r="G67" s="55">
        <f t="shared" si="39"/>
        <v>455.73364943999997</v>
      </c>
      <c r="H67" s="55">
        <f t="shared" si="39"/>
        <v>398.32367543999999</v>
      </c>
      <c r="I67" s="55">
        <f t="shared" si="39"/>
        <v>330.29937323999997</v>
      </c>
      <c r="J67" s="55">
        <f t="shared" si="39"/>
        <v>314.94005243999993</v>
      </c>
      <c r="K67" s="55">
        <f t="shared" si="39"/>
        <v>308.62683396</v>
      </c>
      <c r="L67" s="55">
        <f t="shared" si="39"/>
        <v>297.67568219999998</v>
      </c>
      <c r="M67" s="55">
        <f t="shared" si="39"/>
        <v>271.53802152000003</v>
      </c>
      <c r="N67" s="55">
        <f t="shared" si="39"/>
        <v>225.01507751999998</v>
      </c>
      <c r="O67" s="55">
        <f t="shared" si="39"/>
        <v>193.51842947999995</v>
      </c>
      <c r="P67" s="55">
        <f t="shared" si="39"/>
        <v>158.81927687999999</v>
      </c>
      <c r="Q67" s="55">
        <f t="shared" si="39"/>
        <v>187.30257588000001</v>
      </c>
      <c r="R67" s="55">
        <f t="shared" si="39"/>
        <v>183.96931751999995</v>
      </c>
      <c r="S67" s="55">
        <f t="shared" si="39"/>
        <v>175.97196144000003</v>
      </c>
      <c r="T67" s="55">
        <f t="shared" si="39"/>
        <v>152.34865200000002</v>
      </c>
      <c r="U67" s="55">
        <f t="shared" si="39"/>
        <v>121.53900347999999</v>
      </c>
      <c r="V67" s="55">
        <f t="shared" si="39"/>
        <v>110.60687016</v>
      </c>
      <c r="W67" s="55">
        <f t="shared" si="39"/>
        <v>106.45872948</v>
      </c>
      <c r="DA67" s="101"/>
    </row>
    <row r="68" spans="1:105" ht="12" customHeight="1" x14ac:dyDescent="0.25">
      <c r="A68" s="61" t="s">
        <v>52</v>
      </c>
      <c r="B68" s="55">
        <v>8.876277</v>
      </c>
      <c r="C68" s="55">
        <v>17.752554000000003</v>
      </c>
      <c r="D68" s="55">
        <v>17.752554000000003</v>
      </c>
      <c r="E68" s="55">
        <v>20.711313000000001</v>
      </c>
      <c r="F68" s="55">
        <v>23.96606148</v>
      </c>
      <c r="G68" s="55">
        <v>23.670072000000001</v>
      </c>
      <c r="H68" s="55">
        <v>26.628830999999987</v>
      </c>
      <c r="I68" s="55">
        <v>26.628830999999987</v>
      </c>
      <c r="J68" s="55">
        <v>29.587589999999992</v>
      </c>
      <c r="K68" s="55">
        <v>35.505108</v>
      </c>
      <c r="L68" s="55">
        <v>38.463867000000008</v>
      </c>
      <c r="M68" s="55">
        <v>35.505108</v>
      </c>
      <c r="N68" s="55">
        <v>35.505108</v>
      </c>
      <c r="O68" s="55">
        <v>35.505108</v>
      </c>
      <c r="P68" s="55">
        <v>35.505108</v>
      </c>
      <c r="Q68" s="55">
        <v>35.505108</v>
      </c>
      <c r="R68" s="55">
        <v>38.463867000000008</v>
      </c>
      <c r="S68" s="55">
        <v>35.80109748000001</v>
      </c>
      <c r="T68" s="55">
        <v>34.617593880000015</v>
      </c>
      <c r="U68" s="55">
        <v>36.096859800000011</v>
      </c>
      <c r="V68" s="55">
        <v>29.587589999999992</v>
      </c>
      <c r="W68" s="55">
        <v>34.617593880000015</v>
      </c>
      <c r="DA68" s="101" t="s">
        <v>220</v>
      </c>
    </row>
    <row r="69" spans="1:105" ht="12" customHeight="1" x14ac:dyDescent="0.25">
      <c r="A69" s="61" t="s">
        <v>170</v>
      </c>
      <c r="B69" s="55">
        <v>392.28527987999996</v>
      </c>
      <c r="C69" s="55">
        <v>427.06031759999996</v>
      </c>
      <c r="D69" s="55">
        <v>480.63469823999981</v>
      </c>
      <c r="E69" s="55">
        <v>483.87542399999984</v>
      </c>
      <c r="F69" s="55">
        <v>476.37081287999979</v>
      </c>
      <c r="G69" s="55">
        <v>432.06357743999996</v>
      </c>
      <c r="H69" s="55">
        <v>371.69484444</v>
      </c>
      <c r="I69" s="55">
        <v>303.67054223999997</v>
      </c>
      <c r="J69" s="55">
        <v>285.35246243999995</v>
      </c>
      <c r="K69" s="55">
        <v>273.12172595999999</v>
      </c>
      <c r="L69" s="55">
        <v>259.21181519999999</v>
      </c>
      <c r="M69" s="55">
        <v>236.03291352000002</v>
      </c>
      <c r="N69" s="55">
        <v>189.50996951999997</v>
      </c>
      <c r="O69" s="55">
        <v>158.01332147999995</v>
      </c>
      <c r="P69" s="55">
        <v>123.31416887999998</v>
      </c>
      <c r="Q69" s="55">
        <v>151.79746788</v>
      </c>
      <c r="R69" s="55">
        <v>145.50545051999995</v>
      </c>
      <c r="S69" s="55">
        <v>140.17086396000002</v>
      </c>
      <c r="T69" s="55">
        <v>117.73105812</v>
      </c>
      <c r="U69" s="55">
        <v>85.442143679999987</v>
      </c>
      <c r="V69" s="55">
        <v>81.019280160000008</v>
      </c>
      <c r="W69" s="55">
        <v>71.841135599999987</v>
      </c>
      <c r="DA69" s="101" t="s">
        <v>221</v>
      </c>
    </row>
    <row r="70" spans="1:105" ht="12" customHeight="1" x14ac:dyDescent="0.25">
      <c r="A70" s="60" t="s">
        <v>153</v>
      </c>
      <c r="B70" s="55">
        <v>189.65690999999998</v>
      </c>
      <c r="C70" s="55">
        <v>256.5351</v>
      </c>
      <c r="D70" s="55">
        <v>239.78916000000009</v>
      </c>
      <c r="E70" s="55">
        <v>254.17368000000005</v>
      </c>
      <c r="F70" s="55">
        <v>269.12331000000006</v>
      </c>
      <c r="G70" s="55">
        <v>294.00374952000004</v>
      </c>
      <c r="H70" s="55">
        <v>286.47270000000003</v>
      </c>
      <c r="I70" s="55">
        <v>280.20168000000001</v>
      </c>
      <c r="J70" s="55">
        <v>305.00738999999993</v>
      </c>
      <c r="K70" s="55">
        <v>312.55551000000008</v>
      </c>
      <c r="L70" s="55">
        <v>369.72503999999998</v>
      </c>
      <c r="M70" s="55">
        <v>332.88002999999998</v>
      </c>
      <c r="N70" s="55">
        <v>310.43735999999984</v>
      </c>
      <c r="O70" s="55">
        <v>319.4583300000001</v>
      </c>
      <c r="P70" s="55">
        <v>311.03919000000008</v>
      </c>
      <c r="Q70" s="55">
        <v>397.78749000000005</v>
      </c>
      <c r="R70" s="55">
        <v>425.55799439999998</v>
      </c>
      <c r="S70" s="55">
        <v>450.26477099999994</v>
      </c>
      <c r="T70" s="55">
        <v>474.74918963999994</v>
      </c>
      <c r="U70" s="55">
        <v>490.48995204000005</v>
      </c>
      <c r="V70" s="55">
        <v>460.14586596000004</v>
      </c>
      <c r="W70" s="55">
        <v>547.22738268000001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607.69996272000003</v>
      </c>
      <c r="C81" s="82">
        <f t="shared" ref="C81:W81" si="42">C82+C87</f>
        <v>714.06201095999995</v>
      </c>
      <c r="D81" s="82">
        <f t="shared" si="42"/>
        <v>755.08377480000001</v>
      </c>
      <c r="E81" s="82">
        <f t="shared" si="42"/>
        <v>779.68550052000001</v>
      </c>
      <c r="F81" s="82">
        <f t="shared" si="42"/>
        <v>778.82867316000022</v>
      </c>
      <c r="G81" s="82">
        <f t="shared" si="42"/>
        <v>751.12181496000017</v>
      </c>
      <c r="H81" s="82">
        <f t="shared" si="42"/>
        <v>692.89520904000005</v>
      </c>
      <c r="I81" s="82">
        <f t="shared" si="42"/>
        <v>614.82735323999998</v>
      </c>
      <c r="J81" s="82">
        <f t="shared" si="42"/>
        <v>627.21562643999971</v>
      </c>
      <c r="K81" s="82">
        <f t="shared" si="42"/>
        <v>628.10442395999996</v>
      </c>
      <c r="L81" s="82">
        <f t="shared" si="42"/>
        <v>671.6031534</v>
      </c>
      <c r="M81" s="82">
        <f t="shared" si="42"/>
        <v>613.23641712000006</v>
      </c>
      <c r="N81" s="82">
        <f t="shared" si="42"/>
        <v>543.94437239999991</v>
      </c>
      <c r="O81" s="82">
        <f t="shared" si="42"/>
        <v>513.75531132000037</v>
      </c>
      <c r="P81" s="82">
        <f t="shared" si="42"/>
        <v>470.17943280000009</v>
      </c>
      <c r="Q81" s="82">
        <f t="shared" si="42"/>
        <v>585.25182396000037</v>
      </c>
      <c r="R81" s="82">
        <f t="shared" si="42"/>
        <v>609.69817800000021</v>
      </c>
      <c r="S81" s="82">
        <f t="shared" si="42"/>
        <v>626.75588843999981</v>
      </c>
      <c r="T81" s="82">
        <f t="shared" si="42"/>
        <v>627.27089364000028</v>
      </c>
      <c r="U81" s="82">
        <f t="shared" si="42"/>
        <v>612.0289555199995</v>
      </c>
      <c r="V81" s="82">
        <f t="shared" si="42"/>
        <v>570.75273611999978</v>
      </c>
      <c r="W81" s="82">
        <f t="shared" si="42"/>
        <v>653.68611216000022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607.69996272000003</v>
      </c>
      <c r="C82" s="64">
        <f t="shared" ref="C82:W82" si="44">SUM(C83:C86)</f>
        <v>714.06201095999995</v>
      </c>
      <c r="D82" s="64">
        <f t="shared" si="44"/>
        <v>755.08377480000001</v>
      </c>
      <c r="E82" s="64">
        <f t="shared" si="44"/>
        <v>779.68550052000001</v>
      </c>
      <c r="F82" s="64">
        <f t="shared" si="44"/>
        <v>778.82867316000022</v>
      </c>
      <c r="G82" s="64">
        <f t="shared" si="44"/>
        <v>751.12181496000017</v>
      </c>
      <c r="H82" s="64">
        <f t="shared" si="44"/>
        <v>692.89520904000005</v>
      </c>
      <c r="I82" s="64">
        <f t="shared" si="44"/>
        <v>614.82735323999998</v>
      </c>
      <c r="J82" s="64">
        <f t="shared" si="44"/>
        <v>627.21562643999971</v>
      </c>
      <c r="K82" s="64">
        <f t="shared" si="44"/>
        <v>628.10442395999996</v>
      </c>
      <c r="L82" s="64">
        <f t="shared" si="44"/>
        <v>671.6031534</v>
      </c>
      <c r="M82" s="64">
        <f t="shared" si="44"/>
        <v>613.23641712000006</v>
      </c>
      <c r="N82" s="64">
        <f t="shared" si="44"/>
        <v>543.94437239999991</v>
      </c>
      <c r="O82" s="64">
        <f t="shared" si="44"/>
        <v>513.75531132000037</v>
      </c>
      <c r="P82" s="64">
        <f t="shared" si="44"/>
        <v>470.17943280000009</v>
      </c>
      <c r="Q82" s="64">
        <f t="shared" si="44"/>
        <v>585.25182396000037</v>
      </c>
      <c r="R82" s="64">
        <f t="shared" si="44"/>
        <v>609.69817800000021</v>
      </c>
      <c r="S82" s="64">
        <f t="shared" si="44"/>
        <v>626.75588843999981</v>
      </c>
      <c r="T82" s="64">
        <f t="shared" si="44"/>
        <v>627.27089364000028</v>
      </c>
      <c r="U82" s="64">
        <f t="shared" si="44"/>
        <v>612.0289555199995</v>
      </c>
      <c r="V82" s="64">
        <f t="shared" si="44"/>
        <v>570.75273611999978</v>
      </c>
      <c r="W82" s="64">
        <f t="shared" si="44"/>
        <v>653.68611216000022</v>
      </c>
      <c r="DA82" s="108" t="s">
        <v>232</v>
      </c>
    </row>
    <row r="83" spans="1:105" ht="12" customHeight="1" x14ac:dyDescent="0.25">
      <c r="A83" s="61" t="s">
        <v>32</v>
      </c>
      <c r="B83" s="65">
        <v>514.31332574379735</v>
      </c>
      <c r="C83" s="65">
        <v>606.67628336426162</v>
      </c>
      <c r="D83" s="65">
        <v>642.27473677956834</v>
      </c>
      <c r="E83" s="65">
        <v>660.3027319184099</v>
      </c>
      <c r="F83" s="65">
        <v>651.96747900824471</v>
      </c>
      <c r="G83" s="65">
        <v>618.95306767554189</v>
      </c>
      <c r="H83" s="65">
        <v>556.08379450791438</v>
      </c>
      <c r="I83" s="65">
        <v>474.32884136012183</v>
      </c>
      <c r="J83" s="65">
        <v>479.15250295192811</v>
      </c>
      <c r="K83" s="65">
        <v>471.9484950423091</v>
      </c>
      <c r="L83" s="65">
        <v>511.00853043004292</v>
      </c>
      <c r="M83" s="65">
        <v>455.98612519524033</v>
      </c>
      <c r="N83" s="65">
        <v>385.62609146156666</v>
      </c>
      <c r="O83" s="65">
        <v>354.64598138982115</v>
      </c>
      <c r="P83" s="65">
        <v>309.45637811019481</v>
      </c>
      <c r="Q83" s="65">
        <v>419.31711911745606</v>
      </c>
      <c r="R83" s="65">
        <v>436.29645427554306</v>
      </c>
      <c r="S83" s="65">
        <v>450.94438576420993</v>
      </c>
      <c r="T83" s="65">
        <v>450.90207151302059</v>
      </c>
      <c r="U83" s="65">
        <v>434.32399369168661</v>
      </c>
      <c r="V83" s="65">
        <v>413.42390350534725</v>
      </c>
      <c r="W83" s="65">
        <v>478.20244606971085</v>
      </c>
      <c r="DA83" s="109" t="s">
        <v>233</v>
      </c>
    </row>
    <row r="84" spans="1:105" ht="12" customHeight="1" x14ac:dyDescent="0.25">
      <c r="A84" s="61" t="s">
        <v>31</v>
      </c>
      <c r="B84" s="65">
        <v>2.7417867475034895E-2</v>
      </c>
      <c r="C84" s="65">
        <v>2.7674005979787007E-2</v>
      </c>
      <c r="D84" s="65">
        <v>3.2915710809203358E-2</v>
      </c>
      <c r="E84" s="65">
        <v>7.733028390048817E-2</v>
      </c>
      <c r="F84" s="65">
        <v>4.7007876561737848E-2</v>
      </c>
      <c r="G84" s="65">
        <v>5.511019173751186E-2</v>
      </c>
      <c r="H84" s="65">
        <v>7.2970457818282625E-2</v>
      </c>
      <c r="I84" s="65">
        <v>0.10735477009635724</v>
      </c>
      <c r="J84" s="65">
        <v>0.10595605898952185</v>
      </c>
      <c r="K84" s="65">
        <v>9.3542639621330165E-2</v>
      </c>
      <c r="L84" s="65">
        <v>0.10968586943782609</v>
      </c>
      <c r="M84" s="65">
        <v>0.13266367157462133</v>
      </c>
      <c r="N84" s="65">
        <v>0.18661391699156094</v>
      </c>
      <c r="O84" s="65">
        <v>0.16637494281341147</v>
      </c>
      <c r="P84" s="65">
        <v>0.13701083174164008</v>
      </c>
      <c r="Q84" s="65">
        <v>0.3392820932007809</v>
      </c>
      <c r="R84" s="65">
        <v>0.26337840158837345</v>
      </c>
      <c r="S84" s="65">
        <v>0.45825589008991963</v>
      </c>
      <c r="T84" s="65">
        <v>0.42610043657531793</v>
      </c>
      <c r="U84" s="65">
        <v>0.57990559076893744</v>
      </c>
      <c r="V84" s="65">
        <v>0.44569984946062524</v>
      </c>
      <c r="W84" s="65">
        <v>0.62071281525215816</v>
      </c>
      <c r="DA84" s="109" t="s">
        <v>234</v>
      </c>
    </row>
    <row r="85" spans="1:105" ht="12" customHeight="1" x14ac:dyDescent="0.25">
      <c r="A85" s="61" t="s">
        <v>35</v>
      </c>
      <c r="B85" s="65">
        <v>72.224869802253778</v>
      </c>
      <c r="C85" s="65">
        <v>77.816099664199655</v>
      </c>
      <c r="D85" s="65">
        <v>83.672404213961997</v>
      </c>
      <c r="E85" s="65">
        <v>87.59722972752877</v>
      </c>
      <c r="F85" s="65">
        <v>92.453539058518061</v>
      </c>
      <c r="G85" s="65">
        <v>97.422606814301133</v>
      </c>
      <c r="H85" s="65">
        <v>99.334770582754899</v>
      </c>
      <c r="I85" s="65">
        <v>102.30890051132162</v>
      </c>
      <c r="J85" s="65">
        <v>106.68343965420392</v>
      </c>
      <c r="K85" s="65">
        <v>109.15116021485207</v>
      </c>
      <c r="L85" s="65">
        <v>110.6114283588625</v>
      </c>
      <c r="M85" s="65">
        <v>109.29624527132734</v>
      </c>
      <c r="N85" s="65">
        <v>109.00118369876967</v>
      </c>
      <c r="O85" s="65">
        <v>109.69524299306036</v>
      </c>
      <c r="P85" s="65">
        <v>110.64009924287517</v>
      </c>
      <c r="Q85" s="65">
        <v>113.42123590989989</v>
      </c>
      <c r="R85" s="65">
        <v>116.29292085540617</v>
      </c>
      <c r="S85" s="65">
        <v>117.89959091736158</v>
      </c>
      <c r="T85" s="65">
        <v>118.09994468620384</v>
      </c>
      <c r="U85" s="65">
        <v>117.35529104418993</v>
      </c>
      <c r="V85" s="65">
        <v>105.0056925145204</v>
      </c>
      <c r="W85" s="65">
        <v>113.74974419633116</v>
      </c>
      <c r="DA85" s="109" t="s">
        <v>235</v>
      </c>
    </row>
    <row r="86" spans="1:105" ht="12" customHeight="1" x14ac:dyDescent="0.25">
      <c r="A86" s="66" t="s">
        <v>34</v>
      </c>
      <c r="B86" s="67">
        <v>21.134349306473815</v>
      </c>
      <c r="C86" s="67">
        <v>29.541953925558886</v>
      </c>
      <c r="D86" s="67">
        <v>29.103718095660454</v>
      </c>
      <c r="E86" s="67">
        <v>31.708208590160883</v>
      </c>
      <c r="F86" s="67">
        <v>34.36064721667563</v>
      </c>
      <c r="G86" s="67">
        <v>34.691030278419568</v>
      </c>
      <c r="H86" s="67">
        <v>37.403673491512436</v>
      </c>
      <c r="I86" s="67">
        <v>38.082256598460148</v>
      </c>
      <c r="J86" s="67">
        <v>41.273727774878168</v>
      </c>
      <c r="K86" s="67">
        <v>46.91122606321747</v>
      </c>
      <c r="L86" s="67">
        <v>49.873508741656792</v>
      </c>
      <c r="M86" s="67">
        <v>47.821382981857695</v>
      </c>
      <c r="N86" s="67">
        <v>49.130483322672035</v>
      </c>
      <c r="O86" s="67">
        <v>49.247711994305433</v>
      </c>
      <c r="P86" s="67">
        <v>49.94594461518848</v>
      </c>
      <c r="Q86" s="67">
        <v>52.174186839443621</v>
      </c>
      <c r="R86" s="67">
        <v>56.845424467462635</v>
      </c>
      <c r="S86" s="67">
        <v>57.45365586833833</v>
      </c>
      <c r="T86" s="67">
        <v>57.84277700420062</v>
      </c>
      <c r="U86" s="67">
        <v>59.76976519335409</v>
      </c>
      <c r="V86" s="67">
        <v>51.877440250671548</v>
      </c>
      <c r="W86" s="67">
        <v>61.113209078706042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0.84632772304573778</v>
      </c>
      <c r="C91" s="71">
        <f t="shared" ref="C91:W91" si="50">IF(C83=0,0,C83/C$81)</f>
        <v>0.84961288242828281</v>
      </c>
      <c r="D91" s="71">
        <f t="shared" si="50"/>
        <v>0.85060063295584443</v>
      </c>
      <c r="E91" s="71">
        <f t="shared" si="50"/>
        <v>0.84688343117581455</v>
      </c>
      <c r="F91" s="71">
        <f t="shared" si="50"/>
        <v>0.83711283556493621</v>
      </c>
      <c r="G91" s="71">
        <f t="shared" si="50"/>
        <v>0.82403819906163056</v>
      </c>
      <c r="H91" s="71">
        <f t="shared" si="50"/>
        <v>0.80255107446674856</v>
      </c>
      <c r="I91" s="71">
        <f t="shared" si="50"/>
        <v>0.77148298438662</v>
      </c>
      <c r="J91" s="71">
        <f t="shared" si="50"/>
        <v>0.76393585037340339</v>
      </c>
      <c r="K91" s="71">
        <f t="shared" si="50"/>
        <v>0.75138540191585168</v>
      </c>
      <c r="L91" s="71">
        <f t="shared" si="50"/>
        <v>0.76087869427511678</v>
      </c>
      <c r="M91" s="71">
        <f t="shared" si="50"/>
        <v>0.74357313503449607</v>
      </c>
      <c r="N91" s="71">
        <f t="shared" si="50"/>
        <v>0.70894398587138818</v>
      </c>
      <c r="O91" s="71">
        <f t="shared" si="50"/>
        <v>0.69030134302382806</v>
      </c>
      <c r="P91" s="71">
        <f t="shared" si="50"/>
        <v>0.65816655625986953</v>
      </c>
      <c r="Q91" s="71">
        <f t="shared" si="50"/>
        <v>0.71647298128901638</v>
      </c>
      <c r="R91" s="71">
        <f t="shared" si="50"/>
        <v>0.71559415792701109</v>
      </c>
      <c r="S91" s="71">
        <f t="shared" si="50"/>
        <v>0.71948966747901477</v>
      </c>
      <c r="T91" s="71">
        <f t="shared" si="50"/>
        <v>0.7188314906442953</v>
      </c>
      <c r="U91" s="71">
        <f t="shared" si="50"/>
        <v>0.7096461528077066</v>
      </c>
      <c r="V91" s="71">
        <f t="shared" si="50"/>
        <v>0.72434852667692795</v>
      </c>
      <c r="W91" s="71">
        <f t="shared" si="50"/>
        <v>0.73154750754848996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4.5117441430003474E-5</v>
      </c>
      <c r="C92" s="72">
        <f t="shared" ref="C92:W92" si="52">IF(C84=0,0,C84/C$81)</f>
        <v>3.8755746076704869E-5</v>
      </c>
      <c r="D92" s="72">
        <f t="shared" si="52"/>
        <v>4.3592130976356611E-5</v>
      </c>
      <c r="E92" s="72">
        <f t="shared" si="52"/>
        <v>9.9181379990924358E-5</v>
      </c>
      <c r="F92" s="72">
        <f t="shared" si="52"/>
        <v>6.0357146804841238E-5</v>
      </c>
      <c r="G92" s="72">
        <f t="shared" si="52"/>
        <v>7.3370511466833998E-5</v>
      </c>
      <c r="H92" s="72">
        <f t="shared" si="52"/>
        <v>1.0531240058562755E-4</v>
      </c>
      <c r="I92" s="72">
        <f t="shared" si="52"/>
        <v>1.7460961931934564E-4</v>
      </c>
      <c r="J92" s="72">
        <f t="shared" si="52"/>
        <v>1.6893083418682608E-4</v>
      </c>
      <c r="K92" s="72">
        <f t="shared" si="52"/>
        <v>1.4892848394789735E-4</v>
      </c>
      <c r="L92" s="72">
        <f t="shared" si="52"/>
        <v>1.6331946757923917E-4</v>
      </c>
      <c r="M92" s="72">
        <f t="shared" si="52"/>
        <v>2.1633364860759938E-4</v>
      </c>
      <c r="N92" s="72">
        <f t="shared" si="52"/>
        <v>3.4307537031439463E-4</v>
      </c>
      <c r="O92" s="72">
        <f t="shared" si="52"/>
        <v>3.2384082295118559E-4</v>
      </c>
      <c r="P92" s="72">
        <f t="shared" si="52"/>
        <v>2.9140115918239301E-4</v>
      </c>
      <c r="Q92" s="72">
        <f t="shared" si="52"/>
        <v>5.7971983906874506E-4</v>
      </c>
      <c r="R92" s="72">
        <f t="shared" si="52"/>
        <v>4.3198161170882385E-4</v>
      </c>
      <c r="S92" s="72">
        <f t="shared" si="52"/>
        <v>7.3115530071926735E-4</v>
      </c>
      <c r="T92" s="72">
        <f t="shared" si="52"/>
        <v>6.7929253675823038E-4</v>
      </c>
      <c r="U92" s="72">
        <f t="shared" si="52"/>
        <v>9.4751332520898624E-4</v>
      </c>
      <c r="V92" s="72">
        <f t="shared" si="52"/>
        <v>7.8089831419908887E-4</v>
      </c>
      <c r="W92" s="72">
        <f t="shared" si="52"/>
        <v>9.495579050947142E-4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0.11884955443963331</v>
      </c>
      <c r="C93" s="72">
        <f t="shared" ref="C93:W93" si="54">IF(C85=0,0,C85/C$81)</f>
        <v>0.10897666935058212</v>
      </c>
      <c r="D93" s="72">
        <f t="shared" si="54"/>
        <v>0.11081208073385554</v>
      </c>
      <c r="E93" s="72">
        <f t="shared" si="54"/>
        <v>0.11234944047196858</v>
      </c>
      <c r="F93" s="72">
        <f t="shared" si="54"/>
        <v>0.11870844287665906</v>
      </c>
      <c r="G93" s="72">
        <f t="shared" si="54"/>
        <v>0.12970280568870074</v>
      </c>
      <c r="H93" s="72">
        <f t="shared" si="54"/>
        <v>0.14336189554605566</v>
      </c>
      <c r="I93" s="72">
        <f t="shared" si="54"/>
        <v>0.16640264941398109</v>
      </c>
      <c r="J93" s="72">
        <f t="shared" si="54"/>
        <v>0.17009053211847777</v>
      </c>
      <c r="K93" s="72">
        <f t="shared" si="54"/>
        <v>0.1737786840071727</v>
      </c>
      <c r="L93" s="72">
        <f t="shared" si="54"/>
        <v>0.16469760125289862</v>
      </c>
      <c r="M93" s="72">
        <f t="shared" si="54"/>
        <v>0.17822856278598975</v>
      </c>
      <c r="N93" s="72">
        <f t="shared" si="54"/>
        <v>0.20039031421142006</v>
      </c>
      <c r="O93" s="72">
        <f t="shared" si="54"/>
        <v>0.21351651374896444</v>
      </c>
      <c r="P93" s="72">
        <f t="shared" si="54"/>
        <v>0.23531462995732114</v>
      </c>
      <c r="Q93" s="72">
        <f t="shared" si="54"/>
        <v>0.19379903020627198</v>
      </c>
      <c r="R93" s="72">
        <f t="shared" si="54"/>
        <v>0.19073850808753134</v>
      </c>
      <c r="S93" s="72">
        <f t="shared" si="54"/>
        <v>0.18811086276479119</v>
      </c>
      <c r="T93" s="72">
        <f t="shared" si="54"/>
        <v>0.18827582450204214</v>
      </c>
      <c r="U93" s="72">
        <f t="shared" si="54"/>
        <v>0.19174793935113918</v>
      </c>
      <c r="V93" s="72">
        <f t="shared" si="54"/>
        <v>0.18397755432300397</v>
      </c>
      <c r="W93" s="72">
        <f t="shared" si="54"/>
        <v>0.17401279005372089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3.4777605073198832E-2</v>
      </c>
      <c r="C94" s="73">
        <f t="shared" ref="C94:W94" si="56">IF(C86=0,0,C86/C$81)</f>
        <v>4.1371692475058383E-2</v>
      </c>
      <c r="D94" s="73">
        <f t="shared" si="56"/>
        <v>3.8543694179323601E-2</v>
      </c>
      <c r="E94" s="73">
        <f t="shared" si="56"/>
        <v>4.0667946972226046E-2</v>
      </c>
      <c r="F94" s="73">
        <f t="shared" si="56"/>
        <v>4.4118364411599782E-2</v>
      </c>
      <c r="G94" s="73">
        <f t="shared" si="56"/>
        <v>4.618562473820173E-2</v>
      </c>
      <c r="H94" s="73">
        <f t="shared" si="56"/>
        <v>5.3981717586610078E-2</v>
      </c>
      <c r="I94" s="73">
        <f t="shared" si="56"/>
        <v>6.1939756580079497E-2</v>
      </c>
      <c r="J94" s="73">
        <f t="shared" si="56"/>
        <v>6.5804686673932009E-2</v>
      </c>
      <c r="K94" s="73">
        <f t="shared" si="56"/>
        <v>7.468698559302768E-2</v>
      </c>
      <c r="L94" s="73">
        <f t="shared" si="56"/>
        <v>7.4260385004405474E-2</v>
      </c>
      <c r="M94" s="73">
        <f t="shared" si="56"/>
        <v>7.7981968530906498E-2</v>
      </c>
      <c r="N94" s="73">
        <f t="shared" si="56"/>
        <v>9.0322624546877367E-2</v>
      </c>
      <c r="O94" s="73">
        <f t="shared" si="56"/>
        <v>9.5858302404256301E-2</v>
      </c>
      <c r="P94" s="73">
        <f t="shared" si="56"/>
        <v>0.10622741262362694</v>
      </c>
      <c r="Q94" s="73">
        <f t="shared" si="56"/>
        <v>8.9148268665642835E-2</v>
      </c>
      <c r="R94" s="73">
        <f t="shared" si="56"/>
        <v>9.3235352373748789E-2</v>
      </c>
      <c r="S94" s="73">
        <f t="shared" si="56"/>
        <v>9.1668314455474714E-2</v>
      </c>
      <c r="T94" s="73">
        <f t="shared" si="56"/>
        <v>9.2213392316904494E-2</v>
      </c>
      <c r="U94" s="73">
        <f t="shared" si="56"/>
        <v>9.7658394515945365E-2</v>
      </c>
      <c r="V94" s="73">
        <f t="shared" si="56"/>
        <v>9.089302068586913E-2</v>
      </c>
      <c r="W94" s="73">
        <f t="shared" si="56"/>
        <v>9.3490144492694369E-2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198564.96259860508</v>
      </c>
      <c r="C99" s="82">
        <f t="shared" ref="C99:W99" si="60">C47*11630*1000/C$8</f>
        <v>217958.59883369642</v>
      </c>
      <c r="D99" s="82">
        <f t="shared" si="60"/>
        <v>220474.4826359459</v>
      </c>
      <c r="E99" s="82">
        <f t="shared" si="60"/>
        <v>222165.45806786744</v>
      </c>
      <c r="F99" s="82">
        <f t="shared" si="60"/>
        <v>221586.79913511494</v>
      </c>
      <c r="G99" s="82">
        <f t="shared" si="60"/>
        <v>223265.67880350465</v>
      </c>
      <c r="H99" s="82">
        <f t="shared" si="60"/>
        <v>210410.18029814685</v>
      </c>
      <c r="I99" s="82">
        <f t="shared" si="60"/>
        <v>197830.71172983269</v>
      </c>
      <c r="J99" s="82">
        <f t="shared" si="60"/>
        <v>206485.74184583867</v>
      </c>
      <c r="K99" s="82">
        <f t="shared" si="60"/>
        <v>204687.0384553881</v>
      </c>
      <c r="L99" s="82">
        <f t="shared" si="60"/>
        <v>214150.26723006944</v>
      </c>
      <c r="M99" s="82">
        <f t="shared" si="60"/>
        <v>208644.17644639639</v>
      </c>
      <c r="N99" s="82">
        <f t="shared" si="60"/>
        <v>203081.0222483153</v>
      </c>
      <c r="O99" s="82">
        <f t="shared" si="60"/>
        <v>198401.15249810045</v>
      </c>
      <c r="P99" s="82">
        <f t="shared" si="60"/>
        <v>180419.68088343777</v>
      </c>
      <c r="Q99" s="82">
        <f t="shared" si="60"/>
        <v>192276.79504846429</v>
      </c>
      <c r="R99" s="82">
        <f t="shared" si="60"/>
        <v>194779.0970549786</v>
      </c>
      <c r="S99" s="82">
        <f t="shared" si="60"/>
        <v>202330.58161426874</v>
      </c>
      <c r="T99" s="82">
        <f t="shared" si="60"/>
        <v>203834.06516408033</v>
      </c>
      <c r="U99" s="82">
        <f t="shared" si="60"/>
        <v>202358.72125985401</v>
      </c>
      <c r="V99" s="82">
        <f t="shared" si="60"/>
        <v>181461.71759605248</v>
      </c>
      <c r="W99" s="82">
        <f t="shared" si="60"/>
        <v>200955.32111542972</v>
      </c>
      <c r="DA99" s="107"/>
    </row>
    <row r="100" spans="1:105" ht="12" customHeight="1" x14ac:dyDescent="0.25">
      <c r="A100" s="77" t="s">
        <v>36</v>
      </c>
      <c r="B100" s="64">
        <f t="shared" si="59"/>
        <v>149156.13324589131</v>
      </c>
      <c r="C100" s="64">
        <f t="shared" ref="C100:W100" si="61">C48*11630*1000/C$8</f>
        <v>166839.80020027803</v>
      </c>
      <c r="D100" s="64">
        <f t="shared" si="61"/>
        <v>167569.75805976582</v>
      </c>
      <c r="E100" s="64">
        <f t="shared" si="61"/>
        <v>167878.07274128267</v>
      </c>
      <c r="F100" s="64">
        <f t="shared" si="61"/>
        <v>165287.18293970686</v>
      </c>
      <c r="G100" s="64">
        <f t="shared" si="61"/>
        <v>165147.79864804907</v>
      </c>
      <c r="H100" s="64">
        <f t="shared" si="61"/>
        <v>151980.87358979232</v>
      </c>
      <c r="I100" s="64">
        <f t="shared" si="61"/>
        <v>139420.13758438235</v>
      </c>
      <c r="J100" s="64">
        <f t="shared" si="61"/>
        <v>147496.79323995512</v>
      </c>
      <c r="K100" s="64">
        <f t="shared" si="61"/>
        <v>145524.05599957725</v>
      </c>
      <c r="L100" s="64">
        <f t="shared" si="61"/>
        <v>154431.17154343502</v>
      </c>
      <c r="M100" s="64">
        <f t="shared" si="61"/>
        <v>148761.20321480592</v>
      </c>
      <c r="N100" s="64">
        <f t="shared" si="61"/>
        <v>142313.42206323208</v>
      </c>
      <c r="O100" s="64">
        <f t="shared" si="61"/>
        <v>136949.3223307619</v>
      </c>
      <c r="P100" s="64">
        <f t="shared" si="61"/>
        <v>119319.09531025015</v>
      </c>
      <c r="Q100" s="64">
        <f t="shared" si="61"/>
        <v>131308.25942242931</v>
      </c>
      <c r="R100" s="64">
        <f t="shared" si="61"/>
        <v>134723.99228250864</v>
      </c>
      <c r="S100" s="64">
        <f t="shared" si="61"/>
        <v>143279.13017338494</v>
      </c>
      <c r="T100" s="64">
        <f t="shared" si="61"/>
        <v>145698.07730423741</v>
      </c>
      <c r="U100" s="64">
        <f t="shared" si="61"/>
        <v>145319.44754614026</v>
      </c>
      <c r="V100" s="64">
        <f t="shared" si="61"/>
        <v>130210.49346437262</v>
      </c>
      <c r="W100" s="64">
        <f t="shared" si="61"/>
        <v>148954.64167430325</v>
      </c>
      <c r="DA100" s="108"/>
    </row>
    <row r="101" spans="1:105" ht="12" customHeight="1" x14ac:dyDescent="0.25">
      <c r="A101" s="61" t="s">
        <v>32</v>
      </c>
      <c r="B101" s="65">
        <f t="shared" si="59"/>
        <v>104188.43981518775</v>
      </c>
      <c r="C101" s="65">
        <f t="shared" ref="C101:W101" si="62">C49*11630*1000/C$8</f>
        <v>120869.53894444204</v>
      </c>
      <c r="D101" s="65">
        <f t="shared" si="62"/>
        <v>121182.34420538293</v>
      </c>
      <c r="E101" s="65">
        <f t="shared" si="62"/>
        <v>119849.83326346747</v>
      </c>
      <c r="F101" s="65">
        <f t="shared" si="62"/>
        <v>118525.01913350531</v>
      </c>
      <c r="G101" s="65">
        <f t="shared" si="62"/>
        <v>118010.53737122925</v>
      </c>
      <c r="H101" s="65">
        <f t="shared" si="62"/>
        <v>104683.98518785108</v>
      </c>
      <c r="I101" s="65">
        <f t="shared" si="62"/>
        <v>91853.142944961626</v>
      </c>
      <c r="J101" s="65">
        <f t="shared" si="62"/>
        <v>98814.274401578237</v>
      </c>
      <c r="K101" s="65">
        <f t="shared" si="62"/>
        <v>95734.402468021101</v>
      </c>
      <c r="L101" s="65">
        <f t="shared" si="62"/>
        <v>104000.44860240638</v>
      </c>
      <c r="M101" s="65">
        <f t="shared" si="62"/>
        <v>98356.496990381056</v>
      </c>
      <c r="N101" s="65">
        <f t="shared" si="62"/>
        <v>88707.113560671656</v>
      </c>
      <c r="O101" s="65">
        <f t="shared" si="62"/>
        <v>84737.752763980447</v>
      </c>
      <c r="P101" s="65">
        <f t="shared" si="62"/>
        <v>68078.713568648658</v>
      </c>
      <c r="Q101" s="65">
        <f t="shared" si="62"/>
        <v>78810.588679328139</v>
      </c>
      <c r="R101" s="65">
        <f t="shared" si="62"/>
        <v>83449.252026601418</v>
      </c>
      <c r="S101" s="65">
        <f t="shared" si="62"/>
        <v>90633.966928560039</v>
      </c>
      <c r="T101" s="65">
        <f t="shared" si="62"/>
        <v>94477.914004578764</v>
      </c>
      <c r="U101" s="65">
        <f t="shared" si="62"/>
        <v>93642.561938450293</v>
      </c>
      <c r="V101" s="65">
        <f t="shared" si="62"/>
        <v>85000.892436786453</v>
      </c>
      <c r="W101" s="65">
        <f t="shared" si="62"/>
        <v>98726.583795455881</v>
      </c>
      <c r="DA101" s="109"/>
    </row>
    <row r="102" spans="1:105" ht="12" customHeight="1" x14ac:dyDescent="0.25">
      <c r="A102" s="61" t="s">
        <v>31</v>
      </c>
      <c r="B102" s="65">
        <f t="shared" si="59"/>
        <v>2552.6503711196801</v>
      </c>
      <c r="C102" s="65">
        <f t="shared" ref="C102:W102" si="63">C50*11630*1000/C$8</f>
        <v>2456.0809685086574</v>
      </c>
      <c r="D102" s="65">
        <f t="shared" si="63"/>
        <v>2452.0585912240558</v>
      </c>
      <c r="E102" s="65">
        <f t="shared" si="63"/>
        <v>4811.2689035920139</v>
      </c>
      <c r="F102" s="65">
        <f t="shared" si="63"/>
        <v>2580.2128620462404</v>
      </c>
      <c r="G102" s="65">
        <f t="shared" si="63"/>
        <v>2716.136728637965</v>
      </c>
      <c r="H102" s="65">
        <f t="shared" si="63"/>
        <v>3211.0876964720906</v>
      </c>
      <c r="I102" s="65">
        <f t="shared" si="63"/>
        <v>3548.5294202389296</v>
      </c>
      <c r="J102" s="65">
        <f t="shared" si="63"/>
        <v>3614.6813783673601</v>
      </c>
      <c r="K102" s="65">
        <f t="shared" si="63"/>
        <v>3622.9939962526851</v>
      </c>
      <c r="L102" s="65">
        <f t="shared" si="63"/>
        <v>3793.9306735264831</v>
      </c>
      <c r="M102" s="65">
        <f t="shared" si="63"/>
        <v>4132.3299567523063</v>
      </c>
      <c r="N102" s="65">
        <f t="shared" si="63"/>
        <v>6085.8541537833808</v>
      </c>
      <c r="O102" s="65">
        <f t="shared" si="63"/>
        <v>4044.790698399348</v>
      </c>
      <c r="P102" s="65">
        <f t="shared" si="63"/>
        <v>3205.4792050370302</v>
      </c>
      <c r="Q102" s="65">
        <f t="shared" si="63"/>
        <v>5036.2599967751185</v>
      </c>
      <c r="R102" s="65">
        <f t="shared" si="63"/>
        <v>3359.6816716210083</v>
      </c>
      <c r="S102" s="65">
        <f t="shared" si="63"/>
        <v>4686.3210894923377</v>
      </c>
      <c r="T102" s="65">
        <f t="shared" si="63"/>
        <v>3433.0319233269561</v>
      </c>
      <c r="U102" s="65">
        <f t="shared" si="63"/>
        <v>4046.2129101982327</v>
      </c>
      <c r="V102" s="65">
        <f t="shared" si="63"/>
        <v>3091.6942119090077</v>
      </c>
      <c r="W102" s="65">
        <f t="shared" si="63"/>
        <v>4023.9086705779628</v>
      </c>
      <c r="DA102" s="109"/>
    </row>
    <row r="103" spans="1:105" ht="12" customHeight="1" x14ac:dyDescent="0.25">
      <c r="A103" s="61" t="s">
        <v>35</v>
      </c>
      <c r="B103" s="65">
        <f t="shared" si="59"/>
        <v>21662.278664424928</v>
      </c>
      <c r="C103" s="65">
        <f t="shared" ref="C103:W103" si="64">C51*11630*1000/C$8</f>
        <v>21885.206582087969</v>
      </c>
      <c r="D103" s="65">
        <f t="shared" si="64"/>
        <v>22241.593811872306</v>
      </c>
      <c r="E103" s="65">
        <f t="shared" si="64"/>
        <v>22074.476596936493</v>
      </c>
      <c r="F103" s="65">
        <f t="shared" si="64"/>
        <v>22612.2260783811</v>
      </c>
      <c r="G103" s="65">
        <f t="shared" si="64"/>
        <v>22739.887278655933</v>
      </c>
      <c r="H103" s="65">
        <f t="shared" si="64"/>
        <v>22130.243432745905</v>
      </c>
      <c r="I103" s="65">
        <f t="shared" si="64"/>
        <v>21864.554060833609</v>
      </c>
      <c r="J103" s="65">
        <f t="shared" si="64"/>
        <v>22190.533232127957</v>
      </c>
      <c r="K103" s="65">
        <f t="shared" si="64"/>
        <v>22230.296631361558</v>
      </c>
      <c r="L103" s="65">
        <f t="shared" si="64"/>
        <v>22329.342807422276</v>
      </c>
      <c r="M103" s="65">
        <f t="shared" si="64"/>
        <v>22096.782751657272</v>
      </c>
      <c r="N103" s="65">
        <f t="shared" si="64"/>
        <v>22481.7231224139</v>
      </c>
      <c r="O103" s="65">
        <f t="shared" si="64"/>
        <v>22719.942164082586</v>
      </c>
      <c r="P103" s="65">
        <f t="shared" si="64"/>
        <v>22283.110548094013</v>
      </c>
      <c r="Q103" s="65">
        <f t="shared" si="64"/>
        <v>21847.435843831536</v>
      </c>
      <c r="R103" s="65">
        <f t="shared" si="64"/>
        <v>21662.616992246774</v>
      </c>
      <c r="S103" s="65">
        <f t="shared" si="64"/>
        <v>21420.887530636694</v>
      </c>
      <c r="T103" s="65">
        <f t="shared" si="64"/>
        <v>21080.087700022628</v>
      </c>
      <c r="U103" s="65">
        <f t="shared" si="64"/>
        <v>20690.840987726689</v>
      </c>
      <c r="V103" s="65">
        <f t="shared" si="64"/>
        <v>18921.626069168469</v>
      </c>
      <c r="W103" s="65">
        <f t="shared" si="64"/>
        <v>19506.302357507921</v>
      </c>
      <c r="DA103" s="109"/>
    </row>
    <row r="104" spans="1:105" ht="12" customHeight="1" x14ac:dyDescent="0.25">
      <c r="A104" s="66" t="s">
        <v>34</v>
      </c>
      <c r="B104" s="67">
        <f t="shared" si="59"/>
        <v>20752.764395158971</v>
      </c>
      <c r="C104" s="67">
        <f t="shared" ref="C104:W104" si="65">C52*11630*1000/C$8</f>
        <v>21628.973705239379</v>
      </c>
      <c r="D104" s="67">
        <f t="shared" si="65"/>
        <v>21693.761451286548</v>
      </c>
      <c r="E104" s="67">
        <f t="shared" si="65"/>
        <v>21142.493977286689</v>
      </c>
      <c r="F104" s="67">
        <f t="shared" si="65"/>
        <v>21569.72486577426</v>
      </c>
      <c r="G104" s="67">
        <f t="shared" si="65"/>
        <v>21681.237269525915</v>
      </c>
      <c r="H104" s="67">
        <f t="shared" si="65"/>
        <v>21955.557272723236</v>
      </c>
      <c r="I104" s="67">
        <f t="shared" si="65"/>
        <v>22153.911158348201</v>
      </c>
      <c r="J104" s="67">
        <f t="shared" si="65"/>
        <v>22877.304227881548</v>
      </c>
      <c r="K104" s="67">
        <f t="shared" si="65"/>
        <v>23936.362903941932</v>
      </c>
      <c r="L104" s="67">
        <f t="shared" si="65"/>
        <v>24307.449460079908</v>
      </c>
      <c r="M104" s="67">
        <f t="shared" si="65"/>
        <v>24175.593516015299</v>
      </c>
      <c r="N104" s="67">
        <f t="shared" si="65"/>
        <v>25038.731226363125</v>
      </c>
      <c r="O104" s="67">
        <f t="shared" si="65"/>
        <v>25446.836704299531</v>
      </c>
      <c r="P104" s="67">
        <f t="shared" si="65"/>
        <v>25751.791988470442</v>
      </c>
      <c r="Q104" s="67">
        <f t="shared" si="65"/>
        <v>25613.974902494516</v>
      </c>
      <c r="R104" s="67">
        <f t="shared" si="65"/>
        <v>26252.441592039442</v>
      </c>
      <c r="S104" s="67">
        <f t="shared" si="65"/>
        <v>26537.954624695903</v>
      </c>
      <c r="T104" s="67">
        <f t="shared" si="65"/>
        <v>26707.043676309058</v>
      </c>
      <c r="U104" s="67">
        <f t="shared" si="65"/>
        <v>26939.831709765043</v>
      </c>
      <c r="V104" s="67">
        <f t="shared" si="65"/>
        <v>23196.280746508695</v>
      </c>
      <c r="W104" s="67">
        <f t="shared" si="65"/>
        <v>26697.846850761489</v>
      </c>
      <c r="DA104" s="110"/>
    </row>
    <row r="105" spans="1:105" ht="12" customHeight="1" x14ac:dyDescent="0.25">
      <c r="A105" s="78" t="s">
        <v>33</v>
      </c>
      <c r="B105" s="68">
        <f t="shared" si="59"/>
        <v>49408.829352713765</v>
      </c>
      <c r="C105" s="68">
        <f t="shared" ref="C105:W105" si="66">C53*11630*1000/C$8</f>
        <v>51118.798633418388</v>
      </c>
      <c r="D105" s="68">
        <f t="shared" si="66"/>
        <v>52904.724576180059</v>
      </c>
      <c r="E105" s="68">
        <f t="shared" si="66"/>
        <v>54287.385326584757</v>
      </c>
      <c r="F105" s="68">
        <f t="shared" si="66"/>
        <v>56299.616195408082</v>
      </c>
      <c r="G105" s="68">
        <f t="shared" si="66"/>
        <v>58117.880155455576</v>
      </c>
      <c r="H105" s="68">
        <f t="shared" si="66"/>
        <v>58429.306708354525</v>
      </c>
      <c r="I105" s="68">
        <f t="shared" si="66"/>
        <v>58410.574145450344</v>
      </c>
      <c r="J105" s="68">
        <f t="shared" si="66"/>
        <v>58988.94860588351</v>
      </c>
      <c r="K105" s="68">
        <f t="shared" si="66"/>
        <v>59162.982455810845</v>
      </c>
      <c r="L105" s="68">
        <f t="shared" si="66"/>
        <v>59719.09568663442</v>
      </c>
      <c r="M105" s="68">
        <f t="shared" si="66"/>
        <v>59882.973231590462</v>
      </c>
      <c r="N105" s="68">
        <f t="shared" si="66"/>
        <v>60767.600185083254</v>
      </c>
      <c r="O105" s="68">
        <f t="shared" si="66"/>
        <v>61451.830167338521</v>
      </c>
      <c r="P105" s="68">
        <f t="shared" si="66"/>
        <v>61100.585573187607</v>
      </c>
      <c r="Q105" s="68">
        <f t="shared" si="66"/>
        <v>60968.535626034987</v>
      </c>
      <c r="R105" s="68">
        <f t="shared" si="66"/>
        <v>60055.10477246996</v>
      </c>
      <c r="S105" s="68">
        <f t="shared" si="66"/>
        <v>59051.451440883735</v>
      </c>
      <c r="T105" s="68">
        <f t="shared" si="66"/>
        <v>58135.987859842928</v>
      </c>
      <c r="U105" s="68">
        <f t="shared" si="66"/>
        <v>57039.273713713723</v>
      </c>
      <c r="V105" s="68">
        <f t="shared" si="66"/>
        <v>51251.224131679832</v>
      </c>
      <c r="W105" s="68">
        <f t="shared" si="66"/>
        <v>52000.679441126442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89088.994112084518</v>
      </c>
      <c r="C107" s="85">
        <f t="shared" ref="C107:W107" si="68">SUM(C108:C111)</f>
        <v>99727.060020666249</v>
      </c>
      <c r="D107" s="85">
        <f t="shared" si="68"/>
        <v>100978.18815461716</v>
      </c>
      <c r="E107" s="85">
        <f t="shared" si="68"/>
        <v>106066.97347916014</v>
      </c>
      <c r="F107" s="85">
        <f t="shared" si="68"/>
        <v>102793.78804034977</v>
      </c>
      <c r="G107" s="85">
        <f t="shared" si="68"/>
        <v>105206.79555285853</v>
      </c>
      <c r="H107" s="85">
        <f t="shared" si="68"/>
        <v>99803.794353443111</v>
      </c>
      <c r="I107" s="85">
        <f t="shared" si="68"/>
        <v>94760.394296695682</v>
      </c>
      <c r="J107" s="85">
        <f t="shared" si="68"/>
        <v>101819.46372702678</v>
      </c>
      <c r="K107" s="85">
        <f t="shared" si="68"/>
        <v>101440.53706574946</v>
      </c>
      <c r="L107" s="85">
        <f t="shared" si="68"/>
        <v>108894.52479710738</v>
      </c>
      <c r="M107" s="85">
        <f t="shared" si="68"/>
        <v>107714.0874525345</v>
      </c>
      <c r="N107" s="85">
        <f t="shared" si="68"/>
        <v>109477.40381285155</v>
      </c>
      <c r="O107" s="85">
        <f t="shared" si="68"/>
        <v>103282.42031708246</v>
      </c>
      <c r="P107" s="85">
        <f t="shared" si="68"/>
        <v>90033.382859101825</v>
      </c>
      <c r="Q107" s="85">
        <f t="shared" si="68"/>
        <v>103299.59198877643</v>
      </c>
      <c r="R107" s="85">
        <f t="shared" si="68"/>
        <v>103031.4468283569</v>
      </c>
      <c r="S107" s="85">
        <f t="shared" si="68"/>
        <v>114277.55597252509</v>
      </c>
      <c r="T107" s="85">
        <f t="shared" si="68"/>
        <v>114671.31690270771</v>
      </c>
      <c r="U107" s="85">
        <f t="shared" si="68"/>
        <v>117966.64063152255</v>
      </c>
      <c r="V107" s="85">
        <f t="shared" si="68"/>
        <v>105550.56871320907</v>
      </c>
      <c r="W107" s="85">
        <f t="shared" si="68"/>
        <v>124032.81025818693</v>
      </c>
      <c r="DA107" s="117"/>
    </row>
    <row r="108" spans="1:105" ht="12" customHeight="1" x14ac:dyDescent="0.25">
      <c r="A108" s="61" t="s">
        <v>32</v>
      </c>
      <c r="B108" s="65">
        <v>56706.529176686956</v>
      </c>
      <c r="C108" s="65">
        <v>66650.218240982635</v>
      </c>
      <c r="D108" s="65">
        <v>67288.908522502781</v>
      </c>
      <c r="E108" s="65">
        <v>67723.951246730474</v>
      </c>
      <c r="F108" s="65">
        <v>68032.679337296417</v>
      </c>
      <c r="G108" s="65">
        <v>69583.58056326487</v>
      </c>
      <c r="H108" s="65">
        <v>62757.656499272998</v>
      </c>
      <c r="I108" s="65">
        <v>56357.609554470488</v>
      </c>
      <c r="J108" s="65">
        <v>62025.811735198142</v>
      </c>
      <c r="K108" s="65">
        <v>60614.577544381893</v>
      </c>
      <c r="L108" s="65">
        <v>66968.748332466712</v>
      </c>
      <c r="M108" s="65">
        <v>64590.847069683383</v>
      </c>
      <c r="N108" s="65">
        <v>59487.548402195251</v>
      </c>
      <c r="O108" s="65">
        <v>57943.350005220404</v>
      </c>
      <c r="P108" s="65">
        <v>46582.914103335228</v>
      </c>
      <c r="Q108" s="65">
        <v>53963.842363308831</v>
      </c>
      <c r="R108" s="65">
        <v>57859.31429893741</v>
      </c>
      <c r="S108" s="65">
        <v>63854.355376811043</v>
      </c>
      <c r="T108" s="65">
        <v>67680.101107015304</v>
      </c>
      <c r="U108" s="65">
        <v>68148.428295027377</v>
      </c>
      <c r="V108" s="65">
        <v>62431.258657718165</v>
      </c>
      <c r="W108" s="65">
        <v>73634.289711965976</v>
      </c>
      <c r="DA108" s="109"/>
    </row>
    <row r="109" spans="1:105" ht="12" customHeight="1" x14ac:dyDescent="0.25">
      <c r="A109" s="61" t="s">
        <v>31</v>
      </c>
      <c r="B109" s="65">
        <v>4532.3440591789276</v>
      </c>
      <c r="C109" s="65">
        <v>4566.607319147327</v>
      </c>
      <c r="D109" s="65">
        <v>4791.3636245213947</v>
      </c>
      <c r="E109" s="65">
        <v>9872.0793591889978</v>
      </c>
      <c r="F109" s="65">
        <v>5548.084587587753</v>
      </c>
      <c r="G109" s="65">
        <v>6111.1772976132052</v>
      </c>
      <c r="H109" s="65">
        <v>7561.8218089523243</v>
      </c>
      <c r="I109" s="65">
        <v>8750.093407522776</v>
      </c>
      <c r="J109" s="65">
        <v>9291.0894273249414</v>
      </c>
      <c r="K109" s="65">
        <v>9465.9575963500865</v>
      </c>
      <c r="L109" s="65">
        <v>10106.672065418126</v>
      </c>
      <c r="M109" s="65">
        <v>11298.750327339663</v>
      </c>
      <c r="N109" s="65">
        <v>17063.499948148914</v>
      </c>
      <c r="O109" s="65">
        <v>11669.807612324114</v>
      </c>
      <c r="P109" s="65">
        <v>9555.0789150857145</v>
      </c>
      <c r="Q109" s="65">
        <v>15537.347613549586</v>
      </c>
      <c r="R109" s="65">
        <v>10739.54482526131</v>
      </c>
      <c r="S109" s="65">
        <v>15496.765552546814</v>
      </c>
      <c r="T109" s="65">
        <v>11690.670260592558</v>
      </c>
      <c r="U109" s="65">
        <v>14118.237528940748</v>
      </c>
      <c r="V109" s="65">
        <v>11060.560808414906</v>
      </c>
      <c r="W109" s="65">
        <v>14729.513724670502</v>
      </c>
      <c r="DA109" s="109"/>
    </row>
    <row r="110" spans="1:105" ht="12" customHeight="1" x14ac:dyDescent="0.25">
      <c r="A110" s="61" t="s">
        <v>35</v>
      </c>
      <c r="B110" s="65">
        <v>12722.805255829773</v>
      </c>
      <c r="C110" s="65">
        <v>12870.558794984605</v>
      </c>
      <c r="D110" s="65">
        <v>13128.605397648555</v>
      </c>
      <c r="E110" s="65">
        <v>13100.061863979379</v>
      </c>
      <c r="F110" s="65">
        <v>13504.211741307248</v>
      </c>
      <c r="G110" s="65">
        <v>13656.007739973718</v>
      </c>
      <c r="H110" s="65">
        <v>13387.337999105977</v>
      </c>
      <c r="I110" s="65">
        <v>13328.881383066055</v>
      </c>
      <c r="J110" s="65">
        <v>13621.950759043562</v>
      </c>
      <c r="K110" s="65">
        <v>13744.876275963517</v>
      </c>
      <c r="L110" s="65">
        <v>13926.757319994271</v>
      </c>
      <c r="M110" s="65">
        <v>13960.717314273548</v>
      </c>
      <c r="N110" s="65">
        <v>14401.839244758048</v>
      </c>
      <c r="O110" s="65">
        <v>14778.95892544299</v>
      </c>
      <c r="P110" s="65">
        <v>14675.630658797761</v>
      </c>
      <c r="Q110" s="65">
        <v>14612.188036370628</v>
      </c>
      <c r="R110" s="65">
        <v>14726.108777929583</v>
      </c>
      <c r="S110" s="65">
        <v>14875.786259016459</v>
      </c>
      <c r="T110" s="65">
        <v>14967.100111445876</v>
      </c>
      <c r="U110" s="65">
        <v>15029.10501547521</v>
      </c>
      <c r="V110" s="65">
        <v>14094.968278813543</v>
      </c>
      <c r="W110" s="65">
        <v>14810.863012052792</v>
      </c>
      <c r="DA110" s="109"/>
    </row>
    <row r="111" spans="1:105" ht="12" customHeight="1" x14ac:dyDescent="0.25">
      <c r="A111" s="74" t="s">
        <v>34</v>
      </c>
      <c r="B111" s="68">
        <v>15127.315620388865</v>
      </c>
      <c r="C111" s="68">
        <v>15639.67566555168</v>
      </c>
      <c r="D111" s="68">
        <v>15769.31060994443</v>
      </c>
      <c r="E111" s="68">
        <v>15370.881009261291</v>
      </c>
      <c r="F111" s="68">
        <v>15708.812374158335</v>
      </c>
      <c r="G111" s="68">
        <v>15856.029952006729</v>
      </c>
      <c r="H111" s="68">
        <v>16096.978046111799</v>
      </c>
      <c r="I111" s="68">
        <v>16323.809951636355</v>
      </c>
      <c r="J111" s="68">
        <v>16880.611805460139</v>
      </c>
      <c r="K111" s="68">
        <v>17615.125649053967</v>
      </c>
      <c r="L111" s="68">
        <v>17892.347079228271</v>
      </c>
      <c r="M111" s="68">
        <v>17863.772741237921</v>
      </c>
      <c r="N111" s="68">
        <v>18524.516217749333</v>
      </c>
      <c r="O111" s="68">
        <v>18890.303774094955</v>
      </c>
      <c r="P111" s="68">
        <v>19219.759181883113</v>
      </c>
      <c r="Q111" s="68">
        <v>19186.213975547395</v>
      </c>
      <c r="R111" s="68">
        <v>19706.478926228607</v>
      </c>
      <c r="S111" s="68">
        <v>20050.64878415077</v>
      </c>
      <c r="T111" s="68">
        <v>20333.445423653979</v>
      </c>
      <c r="U111" s="68">
        <v>20670.8697920792</v>
      </c>
      <c r="V111" s="68">
        <v>17963.780968262457</v>
      </c>
      <c r="W111" s="68">
        <v>20858.143809497666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19935.074071578263</v>
      </c>
      <c r="C113" s="82">
        <f t="shared" ref="C113:W113" si="70">C81*1000000/C$8</f>
        <v>22525.826042843484</v>
      </c>
      <c r="D113" s="82">
        <f t="shared" si="70"/>
        <v>22863.78482179232</v>
      </c>
      <c r="E113" s="82">
        <f t="shared" si="70"/>
        <v>22353.803038294544</v>
      </c>
      <c r="F113" s="82">
        <f t="shared" si="70"/>
        <v>21497.694645805313</v>
      </c>
      <c r="G113" s="82">
        <f t="shared" si="70"/>
        <v>19992.254742605179</v>
      </c>
      <c r="H113" s="82">
        <f t="shared" si="70"/>
        <v>17525.845264760868</v>
      </c>
      <c r="I113" s="82">
        <f t="shared" si="70"/>
        <v>14780.787967553648</v>
      </c>
      <c r="J113" s="82">
        <f t="shared" si="70"/>
        <v>14762.125297478615</v>
      </c>
      <c r="K113" s="82">
        <f t="shared" si="70"/>
        <v>14575.007489479409</v>
      </c>
      <c r="L113" s="82">
        <f t="shared" si="70"/>
        <v>15505.133423851412</v>
      </c>
      <c r="M113" s="82">
        <f t="shared" si="70"/>
        <v>13986.814054698843</v>
      </c>
      <c r="N113" s="82">
        <f t="shared" si="70"/>
        <v>12525.730713071542</v>
      </c>
      <c r="O113" s="82">
        <f t="shared" si="70"/>
        <v>11829.781573844102</v>
      </c>
      <c r="P113" s="82">
        <f t="shared" si="70"/>
        <v>10514.667431761369</v>
      </c>
      <c r="Q113" s="82">
        <f t="shared" si="70"/>
        <v>12671.241560021059</v>
      </c>
      <c r="R113" s="82">
        <f t="shared" si="70"/>
        <v>13076.433793018921</v>
      </c>
      <c r="S113" s="82">
        <f t="shared" si="70"/>
        <v>13330.838545578095</v>
      </c>
      <c r="T113" s="82">
        <f t="shared" si="70"/>
        <v>13200.128305539814</v>
      </c>
      <c r="U113" s="82">
        <f t="shared" si="70"/>
        <v>12741.414399466616</v>
      </c>
      <c r="V113" s="82">
        <f t="shared" si="70"/>
        <v>11754.256442768419</v>
      </c>
      <c r="W113" s="82">
        <f t="shared" si="70"/>
        <v>13323.356921561015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19935.074071578263</v>
      </c>
      <c r="C114" s="64">
        <f t="shared" ref="C114:W114" si="72">C82*1000000/C$8</f>
        <v>22525.826042843484</v>
      </c>
      <c r="D114" s="64">
        <f t="shared" si="72"/>
        <v>22863.78482179232</v>
      </c>
      <c r="E114" s="64">
        <f t="shared" si="72"/>
        <v>22353.803038294544</v>
      </c>
      <c r="F114" s="64">
        <f t="shared" si="72"/>
        <v>21497.694645805313</v>
      </c>
      <c r="G114" s="64">
        <f t="shared" si="72"/>
        <v>19992.254742605179</v>
      </c>
      <c r="H114" s="64">
        <f t="shared" si="72"/>
        <v>17525.845264760868</v>
      </c>
      <c r="I114" s="64">
        <f t="shared" si="72"/>
        <v>14780.787967553648</v>
      </c>
      <c r="J114" s="64">
        <f t="shared" si="72"/>
        <v>14762.125297478615</v>
      </c>
      <c r="K114" s="64">
        <f t="shared" si="72"/>
        <v>14575.007489479409</v>
      </c>
      <c r="L114" s="64">
        <f t="shared" si="72"/>
        <v>15505.133423851412</v>
      </c>
      <c r="M114" s="64">
        <f t="shared" si="72"/>
        <v>13986.814054698843</v>
      </c>
      <c r="N114" s="64">
        <f t="shared" si="72"/>
        <v>12525.730713071542</v>
      </c>
      <c r="O114" s="64">
        <f t="shared" si="72"/>
        <v>11829.781573844102</v>
      </c>
      <c r="P114" s="64">
        <f t="shared" si="72"/>
        <v>10514.667431761369</v>
      </c>
      <c r="Q114" s="64">
        <f t="shared" si="72"/>
        <v>12671.241560021059</v>
      </c>
      <c r="R114" s="64">
        <f t="shared" si="72"/>
        <v>13076.433793018921</v>
      </c>
      <c r="S114" s="64">
        <f t="shared" si="72"/>
        <v>13330.838545578095</v>
      </c>
      <c r="T114" s="64">
        <f t="shared" si="72"/>
        <v>13200.128305539814</v>
      </c>
      <c r="U114" s="64">
        <f t="shared" si="72"/>
        <v>12741.414399466616</v>
      </c>
      <c r="V114" s="64">
        <f t="shared" si="72"/>
        <v>11754.256442768419</v>
      </c>
      <c r="W114" s="64">
        <f t="shared" si="72"/>
        <v>13323.356921561015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16871.605847746956</v>
      </c>
      <c r="C115" s="65">
        <f t="shared" ref="C115:W115" si="74">C83*1000000/C$8</f>
        <v>19138.23199333833</v>
      </c>
      <c r="D115" s="65">
        <f t="shared" si="74"/>
        <v>19447.949841182774</v>
      </c>
      <c r="E115" s="65">
        <f t="shared" si="74"/>
        <v>18931.065416899233</v>
      </c>
      <c r="F115" s="65">
        <f t="shared" si="74"/>
        <v>17995.996123059234</v>
      </c>
      <c r="G115" s="65">
        <f t="shared" si="74"/>
        <v>16474.381593277714</v>
      </c>
      <c r="H115" s="65">
        <f t="shared" si="74"/>
        <v>14065.385948171814</v>
      </c>
      <c r="I115" s="65">
        <f t="shared" si="74"/>
        <v>11403.126412794132</v>
      </c>
      <c r="J115" s="65">
        <f t="shared" si="74"/>
        <v>11277.316742448056</v>
      </c>
      <c r="K115" s="65">
        <f t="shared" si="74"/>
        <v>10951.447860409036</v>
      </c>
      <c r="L115" s="65">
        <f t="shared" si="74"/>
        <v>11797.525674101533</v>
      </c>
      <c r="M115" s="65">
        <f t="shared" si="74"/>
        <v>10400.21917579697</v>
      </c>
      <c r="N115" s="65">
        <f t="shared" si="74"/>
        <v>8880.041457676607</v>
      </c>
      <c r="O115" s="65">
        <f t="shared" si="74"/>
        <v>8166.1141081031183</v>
      </c>
      <c r="P115" s="65">
        <f t="shared" si="74"/>
        <v>6920.4024537801879</v>
      </c>
      <c r="Q115" s="65">
        <f t="shared" si="74"/>
        <v>9078.6022171415752</v>
      </c>
      <c r="R115" s="65">
        <f t="shared" si="74"/>
        <v>9357.4196288036856</v>
      </c>
      <c r="S115" s="65">
        <f t="shared" si="74"/>
        <v>9591.4005923744171</v>
      </c>
      <c r="T115" s="65">
        <f t="shared" si="74"/>
        <v>9488.6679065671415</v>
      </c>
      <c r="U115" s="65">
        <f t="shared" si="74"/>
        <v>9041.895709910199</v>
      </c>
      <c r="V115" s="65">
        <f t="shared" si="74"/>
        <v>8514.1783365020929</v>
      </c>
      <c r="W115" s="65">
        <f t="shared" si="74"/>
        <v>9746.668548146883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0.8994195368272131</v>
      </c>
      <c r="C116" s="65">
        <f t="shared" ref="C116:W116" si="76">C84*1000000/C$8</f>
        <v>0.87300519428446766</v>
      </c>
      <c r="D116" s="65">
        <f t="shared" si="76"/>
        <v>0.99668110256680498</v>
      </c>
      <c r="E116" s="65">
        <f t="shared" si="76"/>
        <v>2.2170810333833706</v>
      </c>
      <c r="F116" s="65">
        <f t="shared" si="76"/>
        <v>1.2975395117025208</v>
      </c>
      <c r="G116" s="65">
        <f t="shared" si="76"/>
        <v>1.4668419558401797</v>
      </c>
      <c r="H116" s="65">
        <f t="shared" si="76"/>
        <v>1.8456888371242202</v>
      </c>
      <c r="I116" s="65">
        <f t="shared" si="76"/>
        <v>2.5808677602545069</v>
      </c>
      <c r="J116" s="65">
        <f t="shared" si="76"/>
        <v>2.4937781408735105</v>
      </c>
      <c r="K116" s="65">
        <f t="shared" si="76"/>
        <v>2.1706337689374178</v>
      </c>
      <c r="L116" s="65">
        <f t="shared" si="76"/>
        <v>2.5322901355284784</v>
      </c>
      <c r="M116" s="65">
        <f t="shared" si="76"/>
        <v>3.0258185168490526</v>
      </c>
      <c r="N116" s="65">
        <f t="shared" si="76"/>
        <v>4.2972697028454059</v>
      </c>
      <c r="O116" s="65">
        <f t="shared" si="76"/>
        <v>3.8309662002064453</v>
      </c>
      <c r="P116" s="65">
        <f t="shared" si="76"/>
        <v>3.0639862780326186</v>
      </c>
      <c r="Q116" s="65">
        <f t="shared" si="76"/>
        <v>7.3457701179766017</v>
      </c>
      <c r="R116" s="65">
        <f t="shared" si="76"/>
        <v>5.6487789453120421</v>
      </c>
      <c r="S116" s="65">
        <f t="shared" si="76"/>
        <v>9.746913265632152</v>
      </c>
      <c r="T116" s="65">
        <f t="shared" si="76"/>
        <v>8.9667486422042639</v>
      </c>
      <c r="U116" s="65">
        <f t="shared" si="76"/>
        <v>12.072659925504272</v>
      </c>
      <c r="V116" s="65">
        <f t="shared" si="76"/>
        <v>9.1788790408216379</v>
      </c>
      <c r="W116" s="65">
        <f t="shared" si="76"/>
        <v>12.651298887266639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2369.2746711281634</v>
      </c>
      <c r="C117" s="65">
        <f t="shared" ref="C117:W117" si="78">C85*1000000/C$8</f>
        <v>2454.7894965196856</v>
      </c>
      <c r="D117" s="65">
        <f t="shared" si="78"/>
        <v>2533.5835695539513</v>
      </c>
      <c r="E117" s="65">
        <f t="shared" si="78"/>
        <v>2511.4372637729834</v>
      </c>
      <c r="F117" s="65">
        <f t="shared" si="78"/>
        <v>2551.9578568414399</v>
      </c>
      <c r="G117" s="65">
        <f t="shared" si="78"/>
        <v>2593.0515321591256</v>
      </c>
      <c r="H117" s="65">
        <f t="shared" si="78"/>
        <v>2512.5383982029821</v>
      </c>
      <c r="I117" s="65">
        <f t="shared" si="78"/>
        <v>2459.5622782272194</v>
      </c>
      <c r="J117" s="65">
        <f t="shared" si="78"/>
        <v>2510.8977470477794</v>
      </c>
      <c r="K117" s="65">
        <f t="shared" si="78"/>
        <v>2532.8256209164178</v>
      </c>
      <c r="L117" s="65">
        <f t="shared" si="78"/>
        <v>2553.6582820144708</v>
      </c>
      <c r="M117" s="65">
        <f t="shared" si="78"/>
        <v>2492.8497669238568</v>
      </c>
      <c r="N117" s="65">
        <f t="shared" si="78"/>
        <v>2510.0351133200411</v>
      </c>
      <c r="O117" s="65">
        <f t="shared" si="78"/>
        <v>2525.8537200589303</v>
      </c>
      <c r="P117" s="65">
        <f t="shared" si="78"/>
        <v>2474.2550758292232</v>
      </c>
      <c r="Q117" s="65">
        <f t="shared" si="78"/>
        <v>2455.6743258414904</v>
      </c>
      <c r="R117" s="65">
        <f t="shared" si="78"/>
        <v>2494.1794727858078</v>
      </c>
      <c r="S117" s="65">
        <f t="shared" si="78"/>
        <v>2507.6755401868295</v>
      </c>
      <c r="T117" s="65">
        <f t="shared" si="78"/>
        <v>2485.2650402582535</v>
      </c>
      <c r="U117" s="65">
        <f t="shared" si="78"/>
        <v>2443.1399555166563</v>
      </c>
      <c r="V117" s="65">
        <f t="shared" si="78"/>
        <v>2162.5193532259464</v>
      </c>
      <c r="W117" s="65">
        <f t="shared" si="78"/>
        <v>2318.4345108023858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693.29413316631462</v>
      </c>
      <c r="C118" s="67">
        <f t="shared" ref="C118:W118" si="80">C86*1000000/C$8</f>
        <v>931.93154779118197</v>
      </c>
      <c r="D118" s="67">
        <f t="shared" si="80"/>
        <v>881.25472995302391</v>
      </c>
      <c r="E118" s="67">
        <f t="shared" si="80"/>
        <v>909.08327658894802</v>
      </c>
      <c r="F118" s="67">
        <f t="shared" si="80"/>
        <v>948.44312639293639</v>
      </c>
      <c r="G118" s="67">
        <f t="shared" si="80"/>
        <v>923.35477521249675</v>
      </c>
      <c r="H118" s="67">
        <f t="shared" si="80"/>
        <v>946.07522954894864</v>
      </c>
      <c r="I118" s="67">
        <f t="shared" si="80"/>
        <v>915.51840877204074</v>
      </c>
      <c r="J118" s="67">
        <f t="shared" si="80"/>
        <v>971.41702984190556</v>
      </c>
      <c r="K118" s="67">
        <f t="shared" si="80"/>
        <v>1088.5633743850192</v>
      </c>
      <c r="L118" s="67">
        <f t="shared" si="80"/>
        <v>1151.4171775998816</v>
      </c>
      <c r="M118" s="67">
        <f t="shared" si="80"/>
        <v>1090.719293461166</v>
      </c>
      <c r="N118" s="67">
        <f t="shared" si="80"/>
        <v>1131.3568723720514</v>
      </c>
      <c r="O118" s="67">
        <f t="shared" si="80"/>
        <v>1133.9827794818468</v>
      </c>
      <c r="P118" s="67">
        <f t="shared" si="80"/>
        <v>1116.9459158739267</v>
      </c>
      <c r="Q118" s="67">
        <f t="shared" si="80"/>
        <v>1129.6192469200166</v>
      </c>
      <c r="R118" s="67">
        <f t="shared" si="80"/>
        <v>1219.1859124841155</v>
      </c>
      <c r="S118" s="67">
        <f t="shared" si="80"/>
        <v>1222.0154997512161</v>
      </c>
      <c r="T118" s="67">
        <f t="shared" si="80"/>
        <v>1217.2286100722188</v>
      </c>
      <c r="U118" s="67">
        <f t="shared" si="80"/>
        <v>1244.3060741142579</v>
      </c>
      <c r="V118" s="67">
        <f t="shared" si="80"/>
        <v>1068.3798739995607</v>
      </c>
      <c r="W118" s="67">
        <f t="shared" si="80"/>
        <v>1245.6025637244791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0.59728683074142774</v>
      </c>
      <c r="C121" s="86">
        <f t="shared" ref="C121:W121" si="84">IF(C107=0,"",C107/C100)</f>
        <v>0.59774142561278409</v>
      </c>
      <c r="D121" s="86">
        <f t="shared" si="84"/>
        <v>0.60260389060538033</v>
      </c>
      <c r="E121" s="86">
        <f t="shared" si="84"/>
        <v>0.63180957314550679</v>
      </c>
      <c r="F121" s="86">
        <f t="shared" si="84"/>
        <v>0.62191021839755523</v>
      </c>
      <c r="G121" s="86">
        <f t="shared" si="84"/>
        <v>0.63704630890701475</v>
      </c>
      <c r="H121" s="86">
        <f t="shared" si="84"/>
        <v>0.65668654216859534</v>
      </c>
      <c r="I121" s="86">
        <f t="shared" si="84"/>
        <v>0.67967508810800814</v>
      </c>
      <c r="J121" s="86">
        <f t="shared" si="84"/>
        <v>0.69031645699158906</v>
      </c>
      <c r="K121" s="86">
        <f t="shared" si="84"/>
        <v>0.69707057275839091</v>
      </c>
      <c r="L121" s="86">
        <f t="shared" si="84"/>
        <v>0.70513306160136147</v>
      </c>
      <c r="M121" s="86">
        <f t="shared" si="84"/>
        <v>0.72407378486310814</v>
      </c>
      <c r="N121" s="86">
        <f t="shared" si="84"/>
        <v>0.76926970222252844</v>
      </c>
      <c r="O121" s="86">
        <f t="shared" si="84"/>
        <v>0.75416525295125836</v>
      </c>
      <c r="P121" s="86">
        <f t="shared" si="84"/>
        <v>0.75455971757914819</v>
      </c>
      <c r="Q121" s="86">
        <f t="shared" si="84"/>
        <v>0.78669531104249335</v>
      </c>
      <c r="R121" s="86">
        <f t="shared" si="84"/>
        <v>0.76475945436879389</v>
      </c>
      <c r="S121" s="86">
        <f t="shared" si="84"/>
        <v>0.79758689094661261</v>
      </c>
      <c r="T121" s="86">
        <f t="shared" si="84"/>
        <v>0.78704756455542235</v>
      </c>
      <c r="U121" s="86">
        <f t="shared" si="84"/>
        <v>0.81177462909131315</v>
      </c>
      <c r="V121" s="86">
        <f t="shared" si="84"/>
        <v>0.81061491977287647</v>
      </c>
      <c r="W121" s="86">
        <f t="shared" si="84"/>
        <v>0.83268845377367195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0.54426891579598002</v>
      </c>
      <c r="C122" s="75">
        <f t="shared" ref="C122:W122" si="86">IF(C108=0,"",C108/C101)</f>
        <v>0.55142278876085193</v>
      </c>
      <c r="D122" s="75">
        <f t="shared" si="86"/>
        <v>0.55526990308472512</v>
      </c>
      <c r="E122" s="75">
        <f t="shared" si="86"/>
        <v>0.5650733872766599</v>
      </c>
      <c r="F122" s="75">
        <f t="shared" si="86"/>
        <v>0.5739942489329205</v>
      </c>
      <c r="G122" s="75">
        <f t="shared" si="86"/>
        <v>0.58963870611294422</v>
      </c>
      <c r="H122" s="75">
        <f t="shared" si="86"/>
        <v>0.59949624946601887</v>
      </c>
      <c r="I122" s="75">
        <f t="shared" si="86"/>
        <v>0.61356212479566374</v>
      </c>
      <c r="J122" s="75">
        <f t="shared" si="86"/>
        <v>0.62770092793605015</v>
      </c>
      <c r="K122" s="75">
        <f t="shared" si="86"/>
        <v>0.63315355798694672</v>
      </c>
      <c r="L122" s="75">
        <f t="shared" si="86"/>
        <v>0.6439274948561825</v>
      </c>
      <c r="M122" s="75">
        <f t="shared" si="86"/>
        <v>0.65670137760193059</v>
      </c>
      <c r="N122" s="75">
        <f t="shared" si="86"/>
        <v>0.67060629090933566</v>
      </c>
      <c r="O122" s="75">
        <f t="shared" si="86"/>
        <v>0.68379616068660287</v>
      </c>
      <c r="P122" s="75">
        <f t="shared" si="86"/>
        <v>0.6842507982522662</v>
      </c>
      <c r="Q122" s="75">
        <f t="shared" si="86"/>
        <v>0.6847283248052104</v>
      </c>
      <c r="R122" s="75">
        <f t="shared" si="86"/>
        <v>0.69334730861929583</v>
      </c>
      <c r="S122" s="75">
        <f t="shared" si="86"/>
        <v>0.704530073445231</v>
      </c>
      <c r="T122" s="75">
        <f t="shared" si="86"/>
        <v>0.71635896939612009</v>
      </c>
      <c r="U122" s="75">
        <f t="shared" si="86"/>
        <v>0.72775057499836682</v>
      </c>
      <c r="V122" s="75">
        <f t="shared" si="86"/>
        <v>0.73447768450369044</v>
      </c>
      <c r="W122" s="75">
        <f t="shared" si="86"/>
        <v>0.7458405515633284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1.7755443951342564</v>
      </c>
      <c r="C123" s="76">
        <f t="shared" ref="C123:W123" si="88">IF(C109=0,"",C109/C102)</f>
        <v>1.8593065040197718</v>
      </c>
      <c r="D123" s="76">
        <f t="shared" si="88"/>
        <v>1.9540167766258674</v>
      </c>
      <c r="E123" s="76">
        <f t="shared" si="88"/>
        <v>2.0518660579995158</v>
      </c>
      <c r="F123" s="76">
        <f t="shared" si="88"/>
        <v>2.1502429777006222</v>
      </c>
      <c r="G123" s="76">
        <f t="shared" si="88"/>
        <v>2.2499520120541643</v>
      </c>
      <c r="H123" s="76">
        <f t="shared" si="88"/>
        <v>2.3549097762917635</v>
      </c>
      <c r="I123" s="76">
        <f t="shared" si="88"/>
        <v>2.4658365117721397</v>
      </c>
      <c r="J123" s="76">
        <f t="shared" si="88"/>
        <v>2.5703757689208668</v>
      </c>
      <c r="K123" s="76">
        <f t="shared" si="88"/>
        <v>2.6127444887131648</v>
      </c>
      <c r="L123" s="76">
        <f t="shared" si="88"/>
        <v>2.663905309588567</v>
      </c>
      <c r="M123" s="76">
        <f t="shared" si="88"/>
        <v>2.7342323690481902</v>
      </c>
      <c r="N123" s="76">
        <f t="shared" si="88"/>
        <v>2.8037970541145949</v>
      </c>
      <c r="O123" s="76">
        <f t="shared" si="88"/>
        <v>2.8851449883283768</v>
      </c>
      <c r="P123" s="76">
        <f t="shared" si="88"/>
        <v>2.9808581818503272</v>
      </c>
      <c r="Q123" s="76">
        <f t="shared" si="88"/>
        <v>3.0850964055665626</v>
      </c>
      <c r="R123" s="76">
        <f t="shared" si="88"/>
        <v>3.1965959501394074</v>
      </c>
      <c r="S123" s="76">
        <f t="shared" si="88"/>
        <v>3.3068083165051663</v>
      </c>
      <c r="T123" s="76">
        <f t="shared" si="88"/>
        <v>3.4053485437045143</v>
      </c>
      <c r="U123" s="76">
        <f t="shared" si="88"/>
        <v>3.4892473140394049</v>
      </c>
      <c r="V123" s="76">
        <f t="shared" si="88"/>
        <v>3.5775080102716292</v>
      </c>
      <c r="W123" s="76">
        <f t="shared" si="88"/>
        <v>3.6604990148931162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0.58732534341938436</v>
      </c>
      <c r="C124" s="76">
        <f t="shared" ref="C124:W124" si="90">IF(C110=0,"",C110/C103)</f>
        <v>0.58809400526831501</v>
      </c>
      <c r="D124" s="76">
        <f t="shared" si="90"/>
        <v>0.59027268947968359</v>
      </c>
      <c r="E124" s="76">
        <f t="shared" si="90"/>
        <v>0.59344835681392383</v>
      </c>
      <c r="F124" s="76">
        <f t="shared" si="90"/>
        <v>0.59720841700845351</v>
      </c>
      <c r="G124" s="76">
        <f t="shared" si="90"/>
        <v>0.60053102166392414</v>
      </c>
      <c r="H124" s="76">
        <f t="shared" si="90"/>
        <v>0.60493405957283164</v>
      </c>
      <c r="I124" s="76">
        <f t="shared" si="90"/>
        <v>0.60961139870409398</v>
      </c>
      <c r="J124" s="76">
        <f t="shared" si="90"/>
        <v>0.6138631558128308</v>
      </c>
      <c r="K124" s="76">
        <f t="shared" si="90"/>
        <v>0.61829477599380434</v>
      </c>
      <c r="L124" s="76">
        <f t="shared" si="90"/>
        <v>0.62369759110711553</v>
      </c>
      <c r="M124" s="76">
        <f t="shared" si="90"/>
        <v>0.63179864105902417</v>
      </c>
      <c r="N124" s="76">
        <f t="shared" si="90"/>
        <v>0.64060210893708835</v>
      </c>
      <c r="O124" s="76">
        <f t="shared" si="90"/>
        <v>0.65048400293935138</v>
      </c>
      <c r="P124" s="76">
        <f t="shared" si="90"/>
        <v>0.6585988355226754</v>
      </c>
      <c r="Q124" s="76">
        <f t="shared" si="90"/>
        <v>0.66882851336974047</v>
      </c>
      <c r="R124" s="76">
        <f t="shared" si="90"/>
        <v>0.67979361788098713</v>
      </c>
      <c r="S124" s="76">
        <f t="shared" si="90"/>
        <v>0.69445237680935179</v>
      </c>
      <c r="T124" s="76">
        <f t="shared" si="90"/>
        <v>0.71001128289564985</v>
      </c>
      <c r="U124" s="76">
        <f t="shared" si="90"/>
        <v>0.72636511122917213</v>
      </c>
      <c r="V124" s="76">
        <f t="shared" si="90"/>
        <v>0.7449131605967183</v>
      </c>
      <c r="W124" s="76">
        <f t="shared" si="90"/>
        <v>0.75928603692294006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0.72893014792369715</v>
      </c>
      <c r="C125" s="56">
        <f t="shared" ref="C125:W125" si="92">IF(C111=0,"",C111/C104)</f>
        <v>0.72308912474026177</v>
      </c>
      <c r="D125" s="56">
        <f t="shared" si="92"/>
        <v>0.72690532000891128</v>
      </c>
      <c r="E125" s="56">
        <f t="shared" si="92"/>
        <v>0.72701361654751695</v>
      </c>
      <c r="F125" s="56">
        <f t="shared" si="92"/>
        <v>0.72828060960036989</v>
      </c>
      <c r="G125" s="56">
        <f t="shared" si="92"/>
        <v>0.73132495876022663</v>
      </c>
      <c r="H125" s="56">
        <f t="shared" si="92"/>
        <v>0.73316189820014654</v>
      </c>
      <c r="I125" s="56">
        <f t="shared" si="92"/>
        <v>0.73683648160180937</v>
      </c>
      <c r="J125" s="56">
        <f t="shared" si="92"/>
        <v>0.73787591568096633</v>
      </c>
      <c r="K125" s="56">
        <f t="shared" si="92"/>
        <v>0.73591488062511956</v>
      </c>
      <c r="L125" s="56">
        <f t="shared" si="92"/>
        <v>0.73608492362034317</v>
      </c>
      <c r="M125" s="56">
        <f t="shared" si="92"/>
        <v>0.7389176497116372</v>
      </c>
      <c r="N125" s="56">
        <f t="shared" si="92"/>
        <v>0.73983446087096394</v>
      </c>
      <c r="O125" s="56">
        <f t="shared" si="92"/>
        <v>0.74234389105437315</v>
      </c>
      <c r="P125" s="56">
        <f t="shared" si="92"/>
        <v>0.74634647524677733</v>
      </c>
      <c r="Q125" s="56">
        <f t="shared" si="92"/>
        <v>0.74905257963998673</v>
      </c>
      <c r="R125" s="56">
        <f t="shared" si="92"/>
        <v>0.75065318618608889</v>
      </c>
      <c r="S125" s="56">
        <f t="shared" si="92"/>
        <v>0.75554612507671848</v>
      </c>
      <c r="T125" s="56">
        <f t="shared" si="92"/>
        <v>0.76135141238755344</v>
      </c>
      <c r="U125" s="56">
        <f t="shared" si="92"/>
        <v>0.76729765852941478</v>
      </c>
      <c r="V125" s="56">
        <f t="shared" si="92"/>
        <v>0.77442505393741667</v>
      </c>
      <c r="W125" s="56">
        <f t="shared" si="92"/>
        <v>0.78126689115016557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220.62773622067232</v>
      </c>
      <c r="C129" s="82">
        <f t="shared" ref="C129:W129" si="94">IF(C99=0,0,C99/C$26)</f>
        <v>242.17622092632936</v>
      </c>
      <c r="D129" s="82">
        <f t="shared" si="94"/>
        <v>244.97164737327324</v>
      </c>
      <c r="E129" s="82">
        <f t="shared" si="94"/>
        <v>246.85050896429718</v>
      </c>
      <c r="F129" s="82">
        <f t="shared" si="94"/>
        <v>246.20755459457214</v>
      </c>
      <c r="G129" s="82">
        <f t="shared" si="94"/>
        <v>248.07297644833852</v>
      </c>
      <c r="H129" s="82">
        <f t="shared" si="94"/>
        <v>233.78908922016319</v>
      </c>
      <c r="I129" s="82">
        <f t="shared" si="94"/>
        <v>219.81190192203636</v>
      </c>
      <c r="J129" s="82">
        <f t="shared" si="94"/>
        <v>229.42860205093183</v>
      </c>
      <c r="K129" s="82">
        <f t="shared" si="94"/>
        <v>227.43004272820903</v>
      </c>
      <c r="L129" s="82">
        <f t="shared" si="94"/>
        <v>237.94474136674381</v>
      </c>
      <c r="M129" s="82">
        <f t="shared" si="94"/>
        <v>231.82686271821819</v>
      </c>
      <c r="N129" s="82">
        <f t="shared" si="94"/>
        <v>225.64558027590593</v>
      </c>
      <c r="O129" s="82">
        <f t="shared" si="94"/>
        <v>220.44572499788936</v>
      </c>
      <c r="P129" s="82">
        <f t="shared" si="94"/>
        <v>200.46631209270865</v>
      </c>
      <c r="Q129" s="82">
        <f t="shared" si="94"/>
        <v>213.64088338718253</v>
      </c>
      <c r="R129" s="82">
        <f t="shared" si="94"/>
        <v>216.42121894997624</v>
      </c>
      <c r="S129" s="82">
        <f t="shared" si="94"/>
        <v>224.8117573491875</v>
      </c>
      <c r="T129" s="82">
        <f t="shared" si="94"/>
        <v>226.48229462675593</v>
      </c>
      <c r="U129" s="82">
        <f t="shared" si="94"/>
        <v>224.84302362206003</v>
      </c>
      <c r="V129" s="82">
        <f t="shared" si="94"/>
        <v>201.62413066228052</v>
      </c>
      <c r="W129" s="82">
        <f t="shared" si="94"/>
        <v>223.28369012825522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165.72903693987922</v>
      </c>
      <c r="C130" s="64">
        <f t="shared" ref="C130:W130" si="96">IF(C100=0,0,C100/C$26)</f>
        <v>185.3775557780867</v>
      </c>
      <c r="D130" s="64">
        <f t="shared" si="96"/>
        <v>186.18862006640649</v>
      </c>
      <c r="E130" s="64">
        <f t="shared" si="96"/>
        <v>186.53119193475854</v>
      </c>
      <c r="F130" s="64">
        <f t="shared" si="96"/>
        <v>183.65242548856318</v>
      </c>
      <c r="G130" s="64">
        <f t="shared" si="96"/>
        <v>183.49755405338789</v>
      </c>
      <c r="H130" s="64">
        <f t="shared" si="96"/>
        <v>168.86763732199148</v>
      </c>
      <c r="I130" s="64">
        <f t="shared" si="96"/>
        <v>154.91126398264709</v>
      </c>
      <c r="J130" s="64">
        <f t="shared" si="96"/>
        <v>163.88532582217235</v>
      </c>
      <c r="K130" s="64">
        <f t="shared" si="96"/>
        <v>161.69339555508586</v>
      </c>
      <c r="L130" s="64">
        <f t="shared" si="96"/>
        <v>171.59019060381669</v>
      </c>
      <c r="M130" s="64">
        <f t="shared" si="96"/>
        <v>165.29022579422877</v>
      </c>
      <c r="N130" s="64">
        <f t="shared" si="96"/>
        <v>158.12602451470232</v>
      </c>
      <c r="O130" s="64">
        <f t="shared" si="96"/>
        <v>152.16591370084654</v>
      </c>
      <c r="P130" s="64">
        <f t="shared" si="96"/>
        <v>132.57677256694461</v>
      </c>
      <c r="Q130" s="64">
        <f t="shared" si="96"/>
        <v>145.89806602492143</v>
      </c>
      <c r="R130" s="64">
        <f t="shared" si="96"/>
        <v>149.69332475834292</v>
      </c>
      <c r="S130" s="64">
        <f t="shared" si="96"/>
        <v>159.19903352598325</v>
      </c>
      <c r="T130" s="64">
        <f t="shared" si="96"/>
        <v>161.88675256026377</v>
      </c>
      <c r="U130" s="64">
        <f t="shared" si="96"/>
        <v>161.46605282904474</v>
      </c>
      <c r="V130" s="64">
        <f t="shared" si="96"/>
        <v>144.67832607152513</v>
      </c>
      <c r="W130" s="64">
        <f t="shared" si="96"/>
        <v>165.50515741589248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115.7649331279864</v>
      </c>
      <c r="C131" s="65">
        <f t="shared" ref="C131:W131" si="98">IF(C101=0,0,C101/C$26)</f>
        <v>134.29948771604671</v>
      </c>
      <c r="D131" s="65">
        <f t="shared" si="98"/>
        <v>134.64704911709217</v>
      </c>
      <c r="E131" s="65">
        <f t="shared" si="98"/>
        <v>133.16648140385277</v>
      </c>
      <c r="F131" s="65">
        <f t="shared" si="98"/>
        <v>131.69446570389479</v>
      </c>
      <c r="G131" s="65">
        <f t="shared" si="98"/>
        <v>131.12281930136584</v>
      </c>
      <c r="H131" s="65">
        <f t="shared" si="98"/>
        <v>116.31553909761233</v>
      </c>
      <c r="I131" s="65">
        <f t="shared" si="98"/>
        <v>102.05904771662404</v>
      </c>
      <c r="J131" s="65">
        <f t="shared" si="98"/>
        <v>109.7936382239758</v>
      </c>
      <c r="K131" s="65">
        <f t="shared" si="98"/>
        <v>106.37155829780123</v>
      </c>
      <c r="L131" s="65">
        <f t="shared" si="98"/>
        <v>115.55605400267376</v>
      </c>
      <c r="M131" s="65">
        <f t="shared" si="98"/>
        <v>109.28499665597894</v>
      </c>
      <c r="N131" s="65">
        <f t="shared" si="98"/>
        <v>98.563459511857403</v>
      </c>
      <c r="O131" s="65">
        <f t="shared" si="98"/>
        <v>94.153058626644935</v>
      </c>
      <c r="P131" s="65">
        <f t="shared" si="98"/>
        <v>75.643015076276285</v>
      </c>
      <c r="Q131" s="65">
        <f t="shared" si="98"/>
        <v>87.567320754809032</v>
      </c>
      <c r="R131" s="65">
        <f t="shared" si="98"/>
        <v>92.721391140668246</v>
      </c>
      <c r="S131" s="65">
        <f t="shared" si="98"/>
        <v>100.70440769840005</v>
      </c>
      <c r="T131" s="65">
        <f t="shared" si="98"/>
        <v>104.97546000508751</v>
      </c>
      <c r="U131" s="65">
        <f t="shared" si="98"/>
        <v>104.04729104272256</v>
      </c>
      <c r="V131" s="65">
        <f t="shared" si="98"/>
        <v>94.44543604087383</v>
      </c>
      <c r="W131" s="65">
        <f t="shared" si="98"/>
        <v>109.69620421717319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2.8362781901329779</v>
      </c>
      <c r="C132" s="65">
        <f t="shared" ref="C132:W132" si="100">IF(C102=0,0,C102/C$26)</f>
        <v>2.728978853898508</v>
      </c>
      <c r="D132" s="65">
        <f t="shared" si="100"/>
        <v>2.7245095458045068</v>
      </c>
      <c r="E132" s="65">
        <f t="shared" si="100"/>
        <v>5.3458543373244609</v>
      </c>
      <c r="F132" s="65">
        <f t="shared" si="100"/>
        <v>2.866903180051378</v>
      </c>
      <c r="G132" s="65">
        <f t="shared" si="100"/>
        <v>3.0179296984866282</v>
      </c>
      <c r="H132" s="65">
        <f t="shared" si="100"/>
        <v>3.5678752183023232</v>
      </c>
      <c r="I132" s="65">
        <f t="shared" si="100"/>
        <v>3.9428104669321447</v>
      </c>
      <c r="J132" s="65">
        <f t="shared" si="100"/>
        <v>4.0163126426303997</v>
      </c>
      <c r="K132" s="65">
        <f t="shared" si="100"/>
        <v>4.0255488847252066</v>
      </c>
      <c r="L132" s="65">
        <f t="shared" si="100"/>
        <v>4.2154785261405365</v>
      </c>
      <c r="M132" s="65">
        <f t="shared" si="100"/>
        <v>4.591477729724784</v>
      </c>
      <c r="N132" s="65">
        <f t="shared" si="100"/>
        <v>6.7620601708704235</v>
      </c>
      <c r="O132" s="65">
        <f t="shared" si="100"/>
        <v>4.494211887110386</v>
      </c>
      <c r="P132" s="65">
        <f t="shared" si="100"/>
        <v>3.5616435611522559</v>
      </c>
      <c r="Q132" s="65">
        <f t="shared" si="100"/>
        <v>5.5958444408612422</v>
      </c>
      <c r="R132" s="65">
        <f t="shared" si="100"/>
        <v>3.7329796351344537</v>
      </c>
      <c r="S132" s="65">
        <f t="shared" si="100"/>
        <v>5.2070234327692644</v>
      </c>
      <c r="T132" s="65">
        <f t="shared" si="100"/>
        <v>3.8144799148077291</v>
      </c>
      <c r="U132" s="65">
        <f t="shared" si="100"/>
        <v>4.4957921224424817</v>
      </c>
      <c r="V132" s="65">
        <f t="shared" si="100"/>
        <v>3.4352157910100085</v>
      </c>
      <c r="W132" s="65">
        <f t="shared" si="100"/>
        <v>4.4710096339755134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24.069198516027697</v>
      </c>
      <c r="C133" s="65">
        <f t="shared" ref="C133:W133" si="102">IF(C103=0,0,C103/C$26)</f>
        <v>24.316896202319967</v>
      </c>
      <c r="D133" s="65">
        <f t="shared" si="102"/>
        <v>24.712882013191454</v>
      </c>
      <c r="E133" s="65">
        <f t="shared" si="102"/>
        <v>24.527196218818329</v>
      </c>
      <c r="F133" s="65">
        <f t="shared" si="102"/>
        <v>25.124695642645666</v>
      </c>
      <c r="G133" s="65">
        <f t="shared" si="102"/>
        <v>25.266541420728817</v>
      </c>
      <c r="H133" s="65">
        <f t="shared" si="102"/>
        <v>24.589159369717674</v>
      </c>
      <c r="I133" s="65">
        <f t="shared" si="102"/>
        <v>24.293948956481792</v>
      </c>
      <c r="J133" s="65">
        <f t="shared" si="102"/>
        <v>24.656148035697726</v>
      </c>
      <c r="K133" s="65">
        <f t="shared" si="102"/>
        <v>24.700329590401733</v>
      </c>
      <c r="L133" s="65">
        <f t="shared" si="102"/>
        <v>24.810380897135861</v>
      </c>
      <c r="M133" s="65">
        <f t="shared" si="102"/>
        <v>24.551980835174746</v>
      </c>
      <c r="N133" s="65">
        <f t="shared" si="102"/>
        <v>24.979692358237671</v>
      </c>
      <c r="O133" s="65">
        <f t="shared" si="102"/>
        <v>25.244380182313982</v>
      </c>
      <c r="P133" s="65">
        <f t="shared" si="102"/>
        <v>24.759011720104461</v>
      </c>
      <c r="Q133" s="65">
        <f t="shared" si="102"/>
        <v>24.274928715368372</v>
      </c>
      <c r="R133" s="65">
        <f t="shared" si="102"/>
        <v>24.06957443582975</v>
      </c>
      <c r="S133" s="65">
        <f t="shared" si="102"/>
        <v>23.800986145151882</v>
      </c>
      <c r="T133" s="65">
        <f t="shared" si="102"/>
        <v>23.422319666691809</v>
      </c>
      <c r="U133" s="65">
        <f t="shared" si="102"/>
        <v>22.989823319696324</v>
      </c>
      <c r="V133" s="65">
        <f t="shared" si="102"/>
        <v>21.024028965742744</v>
      </c>
      <c r="W133" s="65">
        <f t="shared" si="102"/>
        <v>21.67366928611991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23.058627105732189</v>
      </c>
      <c r="C134" s="67">
        <f t="shared" ref="C134:W134" si="104">IF(C104=0,0,C104/C$26)</f>
        <v>24.032193005821533</v>
      </c>
      <c r="D134" s="67">
        <f t="shared" si="104"/>
        <v>24.104179390318389</v>
      </c>
      <c r="E134" s="67">
        <f t="shared" si="104"/>
        <v>23.491659974762992</v>
      </c>
      <c r="F134" s="67">
        <f t="shared" si="104"/>
        <v>23.9663609619714</v>
      </c>
      <c r="G134" s="67">
        <f t="shared" si="104"/>
        <v>24.090263632806575</v>
      </c>
      <c r="H134" s="67">
        <f t="shared" si="104"/>
        <v>24.395063636359154</v>
      </c>
      <c r="I134" s="67">
        <f t="shared" si="104"/>
        <v>24.615456842609117</v>
      </c>
      <c r="J134" s="67">
        <f t="shared" si="104"/>
        <v>25.419226919868382</v>
      </c>
      <c r="K134" s="67">
        <f t="shared" si="104"/>
        <v>26.595958782157705</v>
      </c>
      <c r="L134" s="67">
        <f t="shared" si="104"/>
        <v>27.008277177866564</v>
      </c>
      <c r="M134" s="67">
        <f t="shared" si="104"/>
        <v>26.861770573350327</v>
      </c>
      <c r="N134" s="67">
        <f t="shared" si="104"/>
        <v>27.820812473736808</v>
      </c>
      <c r="O134" s="67">
        <f t="shared" si="104"/>
        <v>28.274263004777254</v>
      </c>
      <c r="P134" s="67">
        <f t="shared" si="104"/>
        <v>28.613102209411604</v>
      </c>
      <c r="Q134" s="67">
        <f t="shared" si="104"/>
        <v>28.459972113882792</v>
      </c>
      <c r="R134" s="67">
        <f t="shared" si="104"/>
        <v>29.169379546710491</v>
      </c>
      <c r="S134" s="67">
        <f t="shared" si="104"/>
        <v>29.486616249662116</v>
      </c>
      <c r="T134" s="67">
        <f t="shared" si="104"/>
        <v>29.674492973676731</v>
      </c>
      <c r="U134" s="67">
        <f t="shared" si="104"/>
        <v>29.933146344183385</v>
      </c>
      <c r="V134" s="67">
        <f t="shared" si="104"/>
        <v>25.773645273898552</v>
      </c>
      <c r="W134" s="67">
        <f t="shared" si="104"/>
        <v>29.664274278623871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54.898699280793075</v>
      </c>
      <c r="C135" s="68">
        <f t="shared" ref="C135:W135" si="106">IF(C105=0,0,C105/C$26)</f>
        <v>56.798665148242655</v>
      </c>
      <c r="D135" s="68">
        <f t="shared" si="106"/>
        <v>58.783027306866742</v>
      </c>
      <c r="E135" s="68">
        <f t="shared" si="106"/>
        <v>60.319317029538624</v>
      </c>
      <c r="F135" s="68">
        <f t="shared" si="106"/>
        <v>62.555129106008977</v>
      </c>
      <c r="G135" s="68">
        <f t="shared" si="106"/>
        <v>64.57542239495065</v>
      </c>
      <c r="H135" s="68">
        <f t="shared" si="106"/>
        <v>64.921451898171696</v>
      </c>
      <c r="I135" s="68">
        <f t="shared" si="106"/>
        <v>64.900637939389284</v>
      </c>
      <c r="J135" s="68">
        <f t="shared" si="106"/>
        <v>65.543276228759453</v>
      </c>
      <c r="K135" s="68">
        <f t="shared" si="106"/>
        <v>65.736647173123174</v>
      </c>
      <c r="L135" s="68">
        <f t="shared" si="106"/>
        <v>66.354550762927133</v>
      </c>
      <c r="M135" s="68">
        <f t="shared" si="106"/>
        <v>66.536636923989391</v>
      </c>
      <c r="N135" s="68">
        <f t="shared" si="106"/>
        <v>67.51955576120362</v>
      </c>
      <c r="O135" s="68">
        <f t="shared" si="106"/>
        <v>68.279811297042798</v>
      </c>
      <c r="P135" s="68">
        <f t="shared" si="106"/>
        <v>67.889539525764008</v>
      </c>
      <c r="Q135" s="68">
        <f t="shared" si="106"/>
        <v>67.742817362261093</v>
      </c>
      <c r="R135" s="68">
        <f t="shared" si="106"/>
        <v>66.727894191633283</v>
      </c>
      <c r="S135" s="68">
        <f t="shared" si="106"/>
        <v>65.612723823204149</v>
      </c>
      <c r="T135" s="68">
        <f t="shared" si="106"/>
        <v>64.595542066492143</v>
      </c>
      <c r="U135" s="68">
        <f t="shared" si="106"/>
        <v>63.376970793015253</v>
      </c>
      <c r="V135" s="68">
        <f t="shared" si="106"/>
        <v>56.945804590755365</v>
      </c>
      <c r="W135" s="68">
        <f t="shared" si="106"/>
        <v>57.778532712362704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98.987771235649461</v>
      </c>
      <c r="C137" s="85">
        <f t="shared" ref="C137:W137" si="108">IF(C107=0,0,C107/C$26)</f>
        <v>110.80784446740694</v>
      </c>
      <c r="D137" s="85">
        <f t="shared" si="108"/>
        <v>112.19798683846354</v>
      </c>
      <c r="E137" s="85">
        <f t="shared" si="108"/>
        <v>117.85219275462239</v>
      </c>
      <c r="F137" s="85">
        <f t="shared" si="108"/>
        <v>114.21532004483308</v>
      </c>
      <c r="G137" s="85">
        <f t="shared" si="108"/>
        <v>116.89643950317615</v>
      </c>
      <c r="H137" s="85">
        <f t="shared" si="108"/>
        <v>110.89310483715903</v>
      </c>
      <c r="I137" s="85">
        <f t="shared" si="108"/>
        <v>105.28932699632855</v>
      </c>
      <c r="J137" s="85">
        <f t="shared" si="108"/>
        <v>113.1327374744742</v>
      </c>
      <c r="K137" s="85">
        <f t="shared" si="108"/>
        <v>112.71170785083275</v>
      </c>
      <c r="L137" s="85">
        <f t="shared" si="108"/>
        <v>120.99391644123043</v>
      </c>
      <c r="M137" s="85">
        <f t="shared" si="108"/>
        <v>119.68231939170498</v>
      </c>
      <c r="N137" s="85">
        <f t="shared" si="108"/>
        <v>121.64155979205729</v>
      </c>
      <c r="O137" s="85">
        <f t="shared" si="108"/>
        <v>114.75824479675828</v>
      </c>
      <c r="P137" s="85">
        <f t="shared" si="108"/>
        <v>100.03709206566869</v>
      </c>
      <c r="Q137" s="85">
        <f t="shared" si="108"/>
        <v>114.7773244319738</v>
      </c>
      <c r="R137" s="85">
        <f t="shared" si="108"/>
        <v>114.47938536484099</v>
      </c>
      <c r="S137" s="85">
        <f t="shared" si="108"/>
        <v>126.97506219169455</v>
      </c>
      <c r="T137" s="85">
        <f t="shared" si="108"/>
        <v>127.4125743363419</v>
      </c>
      <c r="U137" s="85">
        <f t="shared" si="108"/>
        <v>131.07404514613617</v>
      </c>
      <c r="V137" s="85">
        <f t="shared" si="108"/>
        <v>117.2784096813434</v>
      </c>
      <c r="W137" s="85">
        <f t="shared" si="108"/>
        <v>137.81423362020769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63.007254640763286</v>
      </c>
      <c r="C138" s="65">
        <f t="shared" ref="C138:W138" si="110">IF(C108=0,0,C108/C$26)</f>
        <v>74.055798045536264</v>
      </c>
      <c r="D138" s="65">
        <f t="shared" si="110"/>
        <v>74.765453913891989</v>
      </c>
      <c r="E138" s="65">
        <f t="shared" si="110"/>
        <v>75.248834718589421</v>
      </c>
      <c r="F138" s="65">
        <f t="shared" si="110"/>
        <v>75.591865930329348</v>
      </c>
      <c r="G138" s="65">
        <f t="shared" si="110"/>
        <v>77.315089514738759</v>
      </c>
      <c r="H138" s="65">
        <f t="shared" si="110"/>
        <v>69.730729443636676</v>
      </c>
      <c r="I138" s="65">
        <f t="shared" si="110"/>
        <v>62.619566171633885</v>
      </c>
      <c r="J138" s="65">
        <f t="shared" si="110"/>
        <v>68.917568594664587</v>
      </c>
      <c r="K138" s="65">
        <f t="shared" si="110"/>
        <v>67.349530604868775</v>
      </c>
      <c r="L138" s="65">
        <f t="shared" si="110"/>
        <v>74.409720369407452</v>
      </c>
      <c r="M138" s="65">
        <f t="shared" si="110"/>
        <v>71.76760785520375</v>
      </c>
      <c r="N138" s="65">
        <f t="shared" si="110"/>
        <v>66.097276002439173</v>
      </c>
      <c r="O138" s="65">
        <f t="shared" si="110"/>
        <v>64.381500005800447</v>
      </c>
      <c r="P138" s="65">
        <f t="shared" si="110"/>
        <v>51.75879344815025</v>
      </c>
      <c r="Q138" s="65">
        <f t="shared" si="110"/>
        <v>59.959824848120917</v>
      </c>
      <c r="R138" s="65">
        <f t="shared" si="110"/>
        <v>64.288126998819351</v>
      </c>
      <c r="S138" s="65">
        <f t="shared" si="110"/>
        <v>70.949283752012263</v>
      </c>
      <c r="T138" s="65">
        <f t="shared" si="110"/>
        <v>75.200112341128118</v>
      </c>
      <c r="U138" s="65">
        <f t="shared" si="110"/>
        <v>75.720475883363761</v>
      </c>
      <c r="V138" s="65">
        <f t="shared" si="110"/>
        <v>69.368065175242407</v>
      </c>
      <c r="W138" s="65">
        <f t="shared" si="110"/>
        <v>81.815877457739958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5.0359378435321416</v>
      </c>
      <c r="C139" s="65">
        <f t="shared" ref="C139:W139" si="112">IF(C109=0,0,C109/C$26)</f>
        <v>5.0740081323859192</v>
      </c>
      <c r="D139" s="65">
        <f t="shared" si="112"/>
        <v>5.3237373605793286</v>
      </c>
      <c r="E139" s="65">
        <f t="shared" si="112"/>
        <v>10.968977065765555</v>
      </c>
      <c r="F139" s="65">
        <f t="shared" si="112"/>
        <v>6.1645384306530593</v>
      </c>
      <c r="G139" s="65">
        <f t="shared" si="112"/>
        <v>6.7901969973480067</v>
      </c>
      <c r="H139" s="65">
        <f t="shared" si="112"/>
        <v>8.40202423216925</v>
      </c>
      <c r="I139" s="65">
        <f t="shared" si="112"/>
        <v>9.7223260083586407</v>
      </c>
      <c r="J139" s="65">
        <f t="shared" si="112"/>
        <v>10.323432697027711</v>
      </c>
      <c r="K139" s="65">
        <f t="shared" si="112"/>
        <v>10.517730662611209</v>
      </c>
      <c r="L139" s="65">
        <f t="shared" si="112"/>
        <v>11.229635628242363</v>
      </c>
      <c r="M139" s="65">
        <f t="shared" si="112"/>
        <v>12.554167030377402</v>
      </c>
      <c r="N139" s="65">
        <f t="shared" si="112"/>
        <v>18.959444386832129</v>
      </c>
      <c r="O139" s="65">
        <f t="shared" si="112"/>
        <v>12.966452902582347</v>
      </c>
      <c r="P139" s="65">
        <f t="shared" si="112"/>
        <v>10.616754350095238</v>
      </c>
      <c r="Q139" s="65">
        <f t="shared" si="112"/>
        <v>17.26371957061065</v>
      </c>
      <c r="R139" s="65">
        <f t="shared" si="112"/>
        <v>11.932827583623677</v>
      </c>
      <c r="S139" s="65">
        <f t="shared" si="112"/>
        <v>17.218628391718681</v>
      </c>
      <c r="T139" s="65">
        <f t="shared" si="112"/>
        <v>12.989633622880621</v>
      </c>
      <c r="U139" s="65">
        <f t="shared" si="112"/>
        <v>15.686930587711945</v>
      </c>
      <c r="V139" s="65">
        <f t="shared" si="112"/>
        <v>12.289512009349895</v>
      </c>
      <c r="W139" s="65">
        <f t="shared" si="112"/>
        <v>16.366126360745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14.136450284255304</v>
      </c>
      <c r="C140" s="65">
        <f t="shared" ref="C140:W140" si="114">IF(C110=0,0,C110/C$26)</f>
        <v>14.300620883316228</v>
      </c>
      <c r="D140" s="65">
        <f t="shared" si="114"/>
        <v>14.587339330720617</v>
      </c>
      <c r="E140" s="65">
        <f t="shared" si="114"/>
        <v>14.555624293310423</v>
      </c>
      <c r="F140" s="65">
        <f t="shared" si="114"/>
        <v>15.004679712563609</v>
      </c>
      <c r="G140" s="65">
        <f t="shared" si="114"/>
        <v>15.173341933304133</v>
      </c>
      <c r="H140" s="65">
        <f t="shared" si="114"/>
        <v>14.874819999006643</v>
      </c>
      <c r="I140" s="65">
        <f t="shared" si="114"/>
        <v>14.809868203406729</v>
      </c>
      <c r="J140" s="65">
        <f t="shared" si="114"/>
        <v>15.135500843381735</v>
      </c>
      <c r="K140" s="65">
        <f t="shared" si="114"/>
        <v>15.272084751070576</v>
      </c>
      <c r="L140" s="65">
        <f t="shared" si="114"/>
        <v>15.474174799993634</v>
      </c>
      <c r="M140" s="65">
        <f t="shared" si="114"/>
        <v>15.511908126970607</v>
      </c>
      <c r="N140" s="65">
        <f t="shared" si="114"/>
        <v>16.002043605286723</v>
      </c>
      <c r="O140" s="65">
        <f t="shared" si="114"/>
        <v>16.421065472714432</v>
      </c>
      <c r="P140" s="65">
        <f t="shared" si="114"/>
        <v>16.306256287553069</v>
      </c>
      <c r="Q140" s="65">
        <f t="shared" si="114"/>
        <v>16.235764484856251</v>
      </c>
      <c r="R140" s="65">
        <f t="shared" si="114"/>
        <v>16.362343086588425</v>
      </c>
      <c r="S140" s="65">
        <f t="shared" si="114"/>
        <v>16.528651398907176</v>
      </c>
      <c r="T140" s="65">
        <f t="shared" si="114"/>
        <v>16.630111234939861</v>
      </c>
      <c r="U140" s="65">
        <f t="shared" si="114"/>
        <v>16.699005572750234</v>
      </c>
      <c r="V140" s="65">
        <f t="shared" si="114"/>
        <v>15.661075865348382</v>
      </c>
      <c r="W140" s="65">
        <f t="shared" si="114"/>
        <v>16.456514457836434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16.80812846709874</v>
      </c>
      <c r="C141" s="68">
        <f t="shared" ref="C141:W141" si="116">IF(C111=0,0,C111/C$26)</f>
        <v>17.377417406168533</v>
      </c>
      <c r="D141" s="68">
        <f t="shared" si="116"/>
        <v>17.521456233271593</v>
      </c>
      <c r="E141" s="68">
        <f t="shared" si="116"/>
        <v>17.078756676956992</v>
      </c>
      <c r="F141" s="68">
        <f t="shared" si="116"/>
        <v>17.454235971287037</v>
      </c>
      <c r="G141" s="68">
        <f t="shared" si="116"/>
        <v>17.617811057785257</v>
      </c>
      <c r="H141" s="68">
        <f t="shared" si="116"/>
        <v>17.885531162346446</v>
      </c>
      <c r="I141" s="68">
        <f t="shared" si="116"/>
        <v>18.137566612929284</v>
      </c>
      <c r="J141" s="68">
        <f t="shared" si="116"/>
        <v>18.756235339400153</v>
      </c>
      <c r="K141" s="68">
        <f t="shared" si="116"/>
        <v>19.572361832282187</v>
      </c>
      <c r="L141" s="68">
        <f t="shared" si="116"/>
        <v>19.880385643586969</v>
      </c>
      <c r="M141" s="68">
        <f t="shared" si="116"/>
        <v>19.848636379153241</v>
      </c>
      <c r="N141" s="68">
        <f t="shared" si="116"/>
        <v>20.582795797499262</v>
      </c>
      <c r="O141" s="68">
        <f t="shared" si="116"/>
        <v>20.989226415661058</v>
      </c>
      <c r="P141" s="68">
        <f t="shared" si="116"/>
        <v>21.355287979870127</v>
      </c>
      <c r="Q141" s="68">
        <f t="shared" si="116"/>
        <v>21.318015528385992</v>
      </c>
      <c r="R141" s="68">
        <f t="shared" si="116"/>
        <v>21.896087695809562</v>
      </c>
      <c r="S141" s="68">
        <f t="shared" si="116"/>
        <v>22.278498649056409</v>
      </c>
      <c r="T141" s="68">
        <f t="shared" si="116"/>
        <v>22.592717137393311</v>
      </c>
      <c r="U141" s="68">
        <f t="shared" si="116"/>
        <v>22.967633102310224</v>
      </c>
      <c r="V141" s="68">
        <f t="shared" si="116"/>
        <v>19.95975663140273</v>
      </c>
      <c r="W141" s="68">
        <f t="shared" si="116"/>
        <v>23.175715343886292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22.150082301753624</v>
      </c>
      <c r="C143" s="82">
        <f t="shared" ref="C143:W143" si="118">IF(C113=0,0,C113/C$26)</f>
        <v>25.028695603159427</v>
      </c>
      <c r="D143" s="82">
        <f t="shared" si="118"/>
        <v>25.404205357547024</v>
      </c>
      <c r="E143" s="82">
        <f t="shared" si="118"/>
        <v>24.837558931438384</v>
      </c>
      <c r="F143" s="82">
        <f t="shared" si="118"/>
        <v>23.886327384228125</v>
      </c>
      <c r="G143" s="82">
        <f t="shared" si="118"/>
        <v>22.213616380672423</v>
      </c>
      <c r="H143" s="82">
        <f t="shared" si="118"/>
        <v>19.473161405289858</v>
      </c>
      <c r="I143" s="82">
        <f t="shared" si="118"/>
        <v>16.423097741726277</v>
      </c>
      <c r="J143" s="82">
        <f t="shared" si="118"/>
        <v>16.402361441642903</v>
      </c>
      <c r="K143" s="82">
        <f t="shared" si="118"/>
        <v>16.194452766088233</v>
      </c>
      <c r="L143" s="82">
        <f t="shared" si="118"/>
        <v>17.227926026501567</v>
      </c>
      <c r="M143" s="82">
        <f t="shared" si="118"/>
        <v>15.540904505220935</v>
      </c>
      <c r="N143" s="82">
        <f t="shared" si="118"/>
        <v>13.917478570079492</v>
      </c>
      <c r="O143" s="82">
        <f t="shared" si="118"/>
        <v>13.144201748715668</v>
      </c>
      <c r="P143" s="82">
        <f t="shared" si="118"/>
        <v>11.682963813068188</v>
      </c>
      <c r="Q143" s="82">
        <f t="shared" si="118"/>
        <v>14.079157288912286</v>
      </c>
      <c r="R143" s="82">
        <f t="shared" si="118"/>
        <v>14.529370881132134</v>
      </c>
      <c r="S143" s="82">
        <f t="shared" si="118"/>
        <v>14.812042828420106</v>
      </c>
      <c r="T143" s="82">
        <f t="shared" si="118"/>
        <v>14.666809228377572</v>
      </c>
      <c r="U143" s="82">
        <f t="shared" si="118"/>
        <v>14.157127110518463</v>
      </c>
      <c r="V143" s="82">
        <f t="shared" si="118"/>
        <v>13.060284936409355</v>
      </c>
      <c r="W143" s="82">
        <f t="shared" si="118"/>
        <v>14.80372991284557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22.150082301753624</v>
      </c>
      <c r="C144" s="64">
        <f t="shared" ref="C144:W144" si="120">IF(C114=0,0,C114/C$26)</f>
        <v>25.028695603159427</v>
      </c>
      <c r="D144" s="64">
        <f t="shared" si="120"/>
        <v>25.404205357547024</v>
      </c>
      <c r="E144" s="64">
        <f t="shared" si="120"/>
        <v>24.837558931438384</v>
      </c>
      <c r="F144" s="64">
        <f t="shared" si="120"/>
        <v>23.886327384228125</v>
      </c>
      <c r="G144" s="64">
        <f t="shared" si="120"/>
        <v>22.213616380672423</v>
      </c>
      <c r="H144" s="64">
        <f t="shared" si="120"/>
        <v>19.473161405289858</v>
      </c>
      <c r="I144" s="64">
        <f t="shared" si="120"/>
        <v>16.423097741726277</v>
      </c>
      <c r="J144" s="64">
        <f t="shared" si="120"/>
        <v>16.402361441642903</v>
      </c>
      <c r="K144" s="64">
        <f t="shared" si="120"/>
        <v>16.194452766088233</v>
      </c>
      <c r="L144" s="64">
        <f t="shared" si="120"/>
        <v>17.227926026501567</v>
      </c>
      <c r="M144" s="64">
        <f t="shared" si="120"/>
        <v>15.540904505220935</v>
      </c>
      <c r="N144" s="64">
        <f t="shared" si="120"/>
        <v>13.917478570079492</v>
      </c>
      <c r="O144" s="64">
        <f t="shared" si="120"/>
        <v>13.144201748715668</v>
      </c>
      <c r="P144" s="64">
        <f t="shared" si="120"/>
        <v>11.682963813068188</v>
      </c>
      <c r="Q144" s="64">
        <f t="shared" si="120"/>
        <v>14.079157288912286</v>
      </c>
      <c r="R144" s="64">
        <f t="shared" si="120"/>
        <v>14.529370881132134</v>
      </c>
      <c r="S144" s="64">
        <f t="shared" si="120"/>
        <v>14.812042828420106</v>
      </c>
      <c r="T144" s="64">
        <f t="shared" si="120"/>
        <v>14.666809228377572</v>
      </c>
      <c r="U144" s="64">
        <f t="shared" si="120"/>
        <v>14.157127110518463</v>
      </c>
      <c r="V144" s="64">
        <f t="shared" si="120"/>
        <v>13.060284936409355</v>
      </c>
      <c r="W144" s="64">
        <f t="shared" si="120"/>
        <v>14.80372991284557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18.74622871971884</v>
      </c>
      <c r="C145" s="65">
        <f t="shared" ref="C145:W145" si="122">IF(C115=0,0,C115/C$26)</f>
        <v>21.264702214820367</v>
      </c>
      <c r="D145" s="65">
        <f t="shared" si="122"/>
        <v>21.60883315686975</v>
      </c>
      <c r="E145" s="65">
        <f t="shared" si="122"/>
        <v>21.034517129888041</v>
      </c>
      <c r="F145" s="65">
        <f t="shared" si="122"/>
        <v>19.995551247843594</v>
      </c>
      <c r="G145" s="65">
        <f t="shared" si="122"/>
        <v>18.304868436975241</v>
      </c>
      <c r="H145" s="65">
        <f t="shared" si="122"/>
        <v>15.628206609079795</v>
      </c>
      <c r="I145" s="65">
        <f t="shared" si="122"/>
        <v>12.670140458660148</v>
      </c>
      <c r="J145" s="65">
        <f t="shared" si="122"/>
        <v>12.530351936053394</v>
      </c>
      <c r="K145" s="65">
        <f t="shared" si="122"/>
        <v>12.168275400454487</v>
      </c>
      <c r="L145" s="65">
        <f t="shared" si="122"/>
        <v>13.108361860112813</v>
      </c>
      <c r="M145" s="65">
        <f t="shared" si="122"/>
        <v>11.555799084218854</v>
      </c>
      <c r="N145" s="65">
        <f t="shared" si="122"/>
        <v>9.8667127307517877</v>
      </c>
      <c r="O145" s="65">
        <f t="shared" si="122"/>
        <v>9.073460120114575</v>
      </c>
      <c r="P145" s="65">
        <f t="shared" si="122"/>
        <v>7.6893360597557647</v>
      </c>
      <c r="Q145" s="65">
        <f t="shared" si="122"/>
        <v>10.087335796823972</v>
      </c>
      <c r="R145" s="65">
        <f t="shared" si="122"/>
        <v>10.397132920892984</v>
      </c>
      <c r="S145" s="65">
        <f t="shared" si="122"/>
        <v>10.657111769304908</v>
      </c>
      <c r="T145" s="65">
        <f t="shared" si="122"/>
        <v>10.542964340630157</v>
      </c>
      <c r="U145" s="65">
        <f t="shared" si="122"/>
        <v>10.046550788789112</v>
      </c>
      <c r="V145" s="65">
        <f t="shared" si="122"/>
        <v>9.4601981516689921</v>
      </c>
      <c r="W145" s="65">
        <f t="shared" si="122"/>
        <v>10.829631720163203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9.9935504091912567E-4</v>
      </c>
      <c r="C146" s="65">
        <f t="shared" ref="C146:W146" si="124">IF(C116=0,0,C116/C$26)</f>
        <v>9.7000577142718626E-4</v>
      </c>
      <c r="D146" s="65">
        <f t="shared" si="124"/>
        <v>1.1074234472964501E-3</v>
      </c>
      <c r="E146" s="65">
        <f t="shared" si="124"/>
        <v>2.4634233704259674E-3</v>
      </c>
      <c r="F146" s="65">
        <f t="shared" si="124"/>
        <v>1.4417105685583563E-3</v>
      </c>
      <c r="G146" s="65">
        <f t="shared" si="124"/>
        <v>1.6298243953779777E-3</v>
      </c>
      <c r="H146" s="65">
        <f t="shared" si="124"/>
        <v>2.050765374582467E-3</v>
      </c>
      <c r="I146" s="65">
        <f t="shared" si="124"/>
        <v>2.8676308447272304E-3</v>
      </c>
      <c r="J146" s="65">
        <f t="shared" si="124"/>
        <v>2.7708646009705668E-3</v>
      </c>
      <c r="K146" s="65">
        <f t="shared" si="124"/>
        <v>2.4118152988193533E-3</v>
      </c>
      <c r="L146" s="65">
        <f t="shared" si="124"/>
        <v>2.8136557061427536E-3</v>
      </c>
      <c r="M146" s="65">
        <f t="shared" si="124"/>
        <v>3.3620205742767246E-3</v>
      </c>
      <c r="N146" s="65">
        <f t="shared" si="124"/>
        <v>4.7747441142726738E-3</v>
      </c>
      <c r="O146" s="65">
        <f t="shared" si="124"/>
        <v>4.2566291113404946E-3</v>
      </c>
      <c r="P146" s="65">
        <f t="shared" si="124"/>
        <v>3.4044291978140209E-3</v>
      </c>
      <c r="Q146" s="65">
        <f t="shared" si="124"/>
        <v>8.1619667977517792E-3</v>
      </c>
      <c r="R146" s="65">
        <f t="shared" si="124"/>
        <v>6.2764210503467137E-3</v>
      </c>
      <c r="S146" s="65">
        <f t="shared" si="124"/>
        <v>1.0829903628480169E-2</v>
      </c>
      <c r="T146" s="65">
        <f t="shared" si="124"/>
        <v>9.9630540468936268E-3</v>
      </c>
      <c r="U146" s="65">
        <f t="shared" si="124"/>
        <v>1.3414066583893637E-2</v>
      </c>
      <c r="V146" s="65">
        <f t="shared" si="124"/>
        <v>1.019875448980182E-2</v>
      </c>
      <c r="W146" s="65">
        <f t="shared" si="124"/>
        <v>1.4056998763629598E-2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2.6325274123646261</v>
      </c>
      <c r="C147" s="65">
        <f t="shared" ref="C147:W147" si="126">IF(C117=0,0,C117/C$26)</f>
        <v>2.7275438850218729</v>
      </c>
      <c r="D147" s="65">
        <f t="shared" si="126"/>
        <v>2.8150928550599463</v>
      </c>
      <c r="E147" s="65">
        <f t="shared" si="126"/>
        <v>2.7904858486366488</v>
      </c>
      <c r="F147" s="65">
        <f t="shared" si="126"/>
        <v>2.8355087298238222</v>
      </c>
      <c r="G147" s="65">
        <f t="shared" si="126"/>
        <v>2.8811683690656955</v>
      </c>
      <c r="H147" s="65">
        <f t="shared" si="126"/>
        <v>2.791709331336647</v>
      </c>
      <c r="I147" s="65">
        <f t="shared" si="126"/>
        <v>2.7328469758080218</v>
      </c>
      <c r="J147" s="65">
        <f t="shared" si="126"/>
        <v>2.7898863856086433</v>
      </c>
      <c r="K147" s="65">
        <f t="shared" si="126"/>
        <v>2.8142506899071313</v>
      </c>
      <c r="L147" s="65">
        <f t="shared" si="126"/>
        <v>2.8373980911271897</v>
      </c>
      <c r="M147" s="65">
        <f t="shared" si="126"/>
        <v>2.7698330743598407</v>
      </c>
      <c r="N147" s="65">
        <f t="shared" si="126"/>
        <v>2.788927903688935</v>
      </c>
      <c r="O147" s="65">
        <f t="shared" si="126"/>
        <v>2.806504133398811</v>
      </c>
      <c r="P147" s="65">
        <f t="shared" si="126"/>
        <v>2.7491723064769147</v>
      </c>
      <c r="Q147" s="65">
        <f t="shared" si="126"/>
        <v>2.7285270287127665</v>
      </c>
      <c r="R147" s="65">
        <f t="shared" si="126"/>
        <v>2.7713105253175643</v>
      </c>
      <c r="S147" s="65">
        <f t="shared" si="126"/>
        <v>2.7863061557631439</v>
      </c>
      <c r="T147" s="65">
        <f t="shared" si="126"/>
        <v>2.7614056002869485</v>
      </c>
      <c r="U147" s="65">
        <f t="shared" si="126"/>
        <v>2.7145999505740628</v>
      </c>
      <c r="V147" s="65">
        <f t="shared" si="126"/>
        <v>2.4027992813621628</v>
      </c>
      <c r="W147" s="65">
        <f t="shared" si="126"/>
        <v>2.5760383453359839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0.77032681462923847</v>
      </c>
      <c r="C148" s="67">
        <f t="shared" ref="C148:W148" si="128">IF(C118=0,0,C118/C$26)</f>
        <v>1.0354794975457577</v>
      </c>
      <c r="D148" s="67">
        <f t="shared" si="128"/>
        <v>0.97917192217002669</v>
      </c>
      <c r="E148" s="67">
        <f t="shared" si="128"/>
        <v>1.0100925295432757</v>
      </c>
      <c r="F148" s="67">
        <f t="shared" si="128"/>
        <v>1.0538256959921515</v>
      </c>
      <c r="G148" s="67">
        <f t="shared" si="128"/>
        <v>1.0259497502361077</v>
      </c>
      <c r="H148" s="67">
        <f t="shared" si="128"/>
        <v>1.0511946994988319</v>
      </c>
      <c r="I148" s="67">
        <f t="shared" si="128"/>
        <v>1.0172426764133786</v>
      </c>
      <c r="J148" s="67">
        <f t="shared" si="128"/>
        <v>1.0793522553798949</v>
      </c>
      <c r="K148" s="67">
        <f t="shared" si="128"/>
        <v>1.2095148604277992</v>
      </c>
      <c r="L148" s="67">
        <f t="shared" si="128"/>
        <v>1.279352419555424</v>
      </c>
      <c r="M148" s="67">
        <f t="shared" si="128"/>
        <v>1.211910326067962</v>
      </c>
      <c r="N148" s="67">
        <f t="shared" si="128"/>
        <v>1.2570631915245016</v>
      </c>
      <c r="O148" s="67">
        <f t="shared" si="128"/>
        <v>1.2599808660909408</v>
      </c>
      <c r="P148" s="67">
        <f t="shared" si="128"/>
        <v>1.2410510176376963</v>
      </c>
      <c r="Q148" s="67">
        <f t="shared" si="128"/>
        <v>1.2551324965777961</v>
      </c>
      <c r="R148" s="67">
        <f t="shared" si="128"/>
        <v>1.3546510138712395</v>
      </c>
      <c r="S148" s="67">
        <f t="shared" si="128"/>
        <v>1.3577949997235734</v>
      </c>
      <c r="T148" s="67">
        <f t="shared" si="128"/>
        <v>1.3524762334135765</v>
      </c>
      <c r="U148" s="67">
        <f t="shared" si="128"/>
        <v>1.3825623045713977</v>
      </c>
      <c r="V148" s="67">
        <f t="shared" si="128"/>
        <v>1.1870887488884008</v>
      </c>
      <c r="W148" s="67">
        <f t="shared" si="128"/>
        <v>1.3840028485827542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6960.8845649623963</v>
      </c>
      <c r="C153" s="82">
        <f t="shared" ref="C153:W153" si="132">IF(C99=0,0,C99/C$23)</f>
        <v>7921.5131677004383</v>
      </c>
      <c r="D153" s="82">
        <f t="shared" si="132"/>
        <v>8301.3042685151413</v>
      </c>
      <c r="E153" s="82">
        <f t="shared" si="132"/>
        <v>8588.0312679372037</v>
      </c>
      <c r="F153" s="82">
        <f t="shared" si="132"/>
        <v>8757.1332351062483</v>
      </c>
      <c r="G153" s="82">
        <f t="shared" si="132"/>
        <v>9034.0809962633957</v>
      </c>
      <c r="H153" s="82">
        <f t="shared" si="132"/>
        <v>8628.1012491655802</v>
      </c>
      <c r="I153" s="82">
        <f t="shared" si="132"/>
        <v>8284.8826437906973</v>
      </c>
      <c r="J153" s="82">
        <f t="shared" si="132"/>
        <v>8579.6436632143032</v>
      </c>
      <c r="K153" s="82">
        <f t="shared" si="132"/>
        <v>8513.9813210319244</v>
      </c>
      <c r="L153" s="82">
        <f t="shared" si="132"/>
        <v>9207.0267733366418</v>
      </c>
      <c r="M153" s="82">
        <f t="shared" si="132"/>
        <v>9533.69759717528</v>
      </c>
      <c r="N153" s="82">
        <f t="shared" si="132"/>
        <v>9158.4405504009774</v>
      </c>
      <c r="O153" s="82">
        <f t="shared" si="132"/>
        <v>8950.5734933718322</v>
      </c>
      <c r="P153" s="82">
        <f t="shared" si="132"/>
        <v>7948.9057795142044</v>
      </c>
      <c r="Q153" s="82">
        <f t="shared" si="132"/>
        <v>8513.0052605065284</v>
      </c>
      <c r="R153" s="82">
        <f t="shared" si="132"/>
        <v>8532.3201061200107</v>
      </c>
      <c r="S153" s="82">
        <f t="shared" si="132"/>
        <v>8613.6631428172859</v>
      </c>
      <c r="T153" s="82">
        <f t="shared" si="132"/>
        <v>8578.6212830888089</v>
      </c>
      <c r="U153" s="82">
        <f t="shared" si="132"/>
        <v>8385.2137143344116</v>
      </c>
      <c r="V153" s="82">
        <f t="shared" si="132"/>
        <v>7749.7025310248073</v>
      </c>
      <c r="W153" s="82">
        <f t="shared" si="132"/>
        <v>8689.9275327447031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5228.8108238894965</v>
      </c>
      <c r="C154" s="64">
        <f t="shared" ref="C154:W154" si="134">IF(C100=0,0,C100/C$23)</f>
        <v>6063.645487056092</v>
      </c>
      <c r="D154" s="64">
        <f t="shared" si="134"/>
        <v>6309.3358071397452</v>
      </c>
      <c r="E154" s="64">
        <f t="shared" si="134"/>
        <v>6489.4972892804344</v>
      </c>
      <c r="F154" s="64">
        <f t="shared" si="134"/>
        <v>6532.1665762941057</v>
      </c>
      <c r="G154" s="64">
        <f t="shared" si="134"/>
        <v>6682.4359092565292</v>
      </c>
      <c r="H154" s="64">
        <f t="shared" si="134"/>
        <v>6232.1431568152711</v>
      </c>
      <c r="I154" s="64">
        <f t="shared" si="134"/>
        <v>5838.7267981181476</v>
      </c>
      <c r="J154" s="64">
        <f t="shared" si="134"/>
        <v>6128.6068285063739</v>
      </c>
      <c r="K154" s="64">
        <f t="shared" si="134"/>
        <v>6053.0901413732863</v>
      </c>
      <c r="L154" s="64">
        <f t="shared" si="134"/>
        <v>6639.5057518681615</v>
      </c>
      <c r="M154" s="64">
        <f t="shared" si="134"/>
        <v>6797.4306774206352</v>
      </c>
      <c r="N154" s="64">
        <f t="shared" si="134"/>
        <v>6417.975451672447</v>
      </c>
      <c r="O154" s="64">
        <f t="shared" si="134"/>
        <v>6178.2653928922546</v>
      </c>
      <c r="P154" s="64">
        <f t="shared" si="134"/>
        <v>5256.9444845144963</v>
      </c>
      <c r="Q154" s="64">
        <f t="shared" si="134"/>
        <v>5813.6391493801566</v>
      </c>
      <c r="R154" s="64">
        <f t="shared" si="134"/>
        <v>5901.5995325429813</v>
      </c>
      <c r="S154" s="64">
        <f t="shared" si="134"/>
        <v>6099.7114369109822</v>
      </c>
      <c r="T154" s="64">
        <f t="shared" si="134"/>
        <v>6131.8927523774137</v>
      </c>
      <c r="U154" s="64">
        <f t="shared" si="134"/>
        <v>6021.6560815219027</v>
      </c>
      <c r="V154" s="64">
        <f t="shared" si="134"/>
        <v>5560.9117125913799</v>
      </c>
      <c r="W154" s="64">
        <f t="shared" si="134"/>
        <v>6441.257860856228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3652.4253476839162</v>
      </c>
      <c r="C155" s="65">
        <f t="shared" ref="C155:W155" si="136">IF(C101=0,0,C101/C$23)</f>
        <v>4392.8968595216238</v>
      </c>
      <c r="D155" s="65">
        <f t="shared" si="136"/>
        <v>4562.7571009290305</v>
      </c>
      <c r="E155" s="65">
        <f t="shared" si="136"/>
        <v>4632.9169461136244</v>
      </c>
      <c r="F155" s="65">
        <f t="shared" si="136"/>
        <v>4684.1210229889575</v>
      </c>
      <c r="G155" s="65">
        <f t="shared" si="136"/>
        <v>4775.1036287244988</v>
      </c>
      <c r="H155" s="65">
        <f t="shared" si="136"/>
        <v>4292.6821415536042</v>
      </c>
      <c r="I155" s="65">
        <f t="shared" si="136"/>
        <v>3846.6853963584135</v>
      </c>
      <c r="J155" s="65">
        <f t="shared" si="136"/>
        <v>4105.810191182969</v>
      </c>
      <c r="K155" s="65">
        <f t="shared" si="136"/>
        <v>3982.0836753692761</v>
      </c>
      <c r="L155" s="65">
        <f t="shared" si="136"/>
        <v>4471.3225302336987</v>
      </c>
      <c r="M155" s="65">
        <f t="shared" si="136"/>
        <v>4494.259628974989</v>
      </c>
      <c r="N155" s="65">
        <f t="shared" si="136"/>
        <v>4000.4664982910253</v>
      </c>
      <c r="O155" s="65">
        <f t="shared" si="136"/>
        <v>3822.8179334010711</v>
      </c>
      <c r="P155" s="65">
        <f t="shared" si="136"/>
        <v>2999.4027098259889</v>
      </c>
      <c r="Q155" s="65">
        <f t="shared" si="136"/>
        <v>3489.3183852041498</v>
      </c>
      <c r="R155" s="65">
        <f t="shared" si="136"/>
        <v>3655.5038075069874</v>
      </c>
      <c r="S155" s="65">
        <f t="shared" si="136"/>
        <v>3858.4896766036018</v>
      </c>
      <c r="T155" s="65">
        <f t="shared" si="136"/>
        <v>3976.2256775337983</v>
      </c>
      <c r="U155" s="65">
        <f t="shared" si="136"/>
        <v>3880.3017222242229</v>
      </c>
      <c r="V155" s="65">
        <f t="shared" si="136"/>
        <v>3630.1410566559161</v>
      </c>
      <c r="W155" s="65">
        <f t="shared" si="136"/>
        <v>4269.2418094525683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89.485598745794732</v>
      </c>
      <c r="C156" s="65">
        <f t="shared" ref="C156:W156" si="138">IF(C102=0,0,C102/C$23)</f>
        <v>89.26409803095089</v>
      </c>
      <c r="D156" s="65">
        <f t="shared" si="138"/>
        <v>92.324899492286079</v>
      </c>
      <c r="E156" s="65">
        <f t="shared" si="138"/>
        <v>185.98448265472425</v>
      </c>
      <c r="F156" s="65">
        <f t="shared" si="138"/>
        <v>101.97027934906914</v>
      </c>
      <c r="G156" s="65">
        <f t="shared" si="138"/>
        <v>109.90403601189817</v>
      </c>
      <c r="H156" s="65">
        <f t="shared" si="138"/>
        <v>131.67418860557424</v>
      </c>
      <c r="I156" s="65">
        <f t="shared" si="138"/>
        <v>148.60761277989582</v>
      </c>
      <c r="J156" s="65">
        <f t="shared" si="138"/>
        <v>150.19283125903283</v>
      </c>
      <c r="K156" s="65">
        <f t="shared" si="138"/>
        <v>150.69885930773839</v>
      </c>
      <c r="L156" s="65">
        <f t="shared" si="138"/>
        <v>163.11360120701599</v>
      </c>
      <c r="M156" s="65">
        <f t="shared" si="138"/>
        <v>188.82091439320078</v>
      </c>
      <c r="N156" s="65">
        <f t="shared" si="138"/>
        <v>274.45663237643225</v>
      </c>
      <c r="O156" s="65">
        <f t="shared" si="138"/>
        <v>182.47472837475965</v>
      </c>
      <c r="P156" s="65">
        <f t="shared" si="138"/>
        <v>141.2265671586745</v>
      </c>
      <c r="Q156" s="65">
        <f t="shared" si="138"/>
        <v>222.979105903126</v>
      </c>
      <c r="R156" s="65">
        <f t="shared" si="138"/>
        <v>147.17123095012371</v>
      </c>
      <c r="S156" s="65">
        <f t="shared" si="138"/>
        <v>199.50711811288929</v>
      </c>
      <c r="T156" s="65">
        <f t="shared" si="138"/>
        <v>144.48360581568647</v>
      </c>
      <c r="U156" s="65">
        <f t="shared" si="138"/>
        <v>167.66443163150305</v>
      </c>
      <c r="V156" s="65">
        <f t="shared" si="138"/>
        <v>132.03727362771971</v>
      </c>
      <c r="W156" s="65">
        <f t="shared" si="138"/>
        <v>174.006214673062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759.39188477035475</v>
      </c>
      <c r="C157" s="65">
        <f t="shared" ref="C157:W157" si="140">IF(C103=0,0,C103/C$23)</f>
        <v>795.39854378551854</v>
      </c>
      <c r="D157" s="65">
        <f t="shared" si="140"/>
        <v>837.4403941972239</v>
      </c>
      <c r="E157" s="65">
        <f t="shared" si="140"/>
        <v>853.31129729413908</v>
      </c>
      <c r="F157" s="65">
        <f t="shared" si="140"/>
        <v>893.63751488636092</v>
      </c>
      <c r="G157" s="65">
        <f t="shared" si="140"/>
        <v>920.13239393627998</v>
      </c>
      <c r="H157" s="65">
        <f t="shared" si="140"/>
        <v>907.47501254859674</v>
      </c>
      <c r="I157" s="65">
        <f t="shared" si="140"/>
        <v>915.65795254381237</v>
      </c>
      <c r="J157" s="65">
        <f t="shared" si="140"/>
        <v>922.03396770376037</v>
      </c>
      <c r="K157" s="65">
        <f t="shared" si="140"/>
        <v>924.6717902055268</v>
      </c>
      <c r="L157" s="65">
        <f t="shared" si="140"/>
        <v>960.01214342674348</v>
      </c>
      <c r="M157" s="65">
        <f t="shared" si="140"/>
        <v>1009.680922864874</v>
      </c>
      <c r="N157" s="65">
        <f t="shared" si="140"/>
        <v>1013.8688608502451</v>
      </c>
      <c r="O157" s="65">
        <f t="shared" si="140"/>
        <v>1024.9764658334113</v>
      </c>
      <c r="P157" s="65">
        <f t="shared" si="140"/>
        <v>981.74625602920207</v>
      </c>
      <c r="Q157" s="65">
        <f t="shared" si="140"/>
        <v>967.28955888950475</v>
      </c>
      <c r="R157" s="65">
        <f t="shared" si="140"/>
        <v>948.93335737126415</v>
      </c>
      <c r="S157" s="65">
        <f t="shared" si="140"/>
        <v>911.93485402439785</v>
      </c>
      <c r="T157" s="65">
        <f t="shared" si="140"/>
        <v>887.18286046654418</v>
      </c>
      <c r="U157" s="65">
        <f t="shared" si="140"/>
        <v>857.37408563975998</v>
      </c>
      <c r="V157" s="65">
        <f t="shared" si="140"/>
        <v>808.08765276742758</v>
      </c>
      <c r="W157" s="65">
        <f t="shared" si="140"/>
        <v>843.51264240066848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727.50799268943172</v>
      </c>
      <c r="C158" s="67">
        <f t="shared" ref="C158:W158" si="142">IF(C104=0,0,C104/C$23)</f>
        <v>786.08598571799951</v>
      </c>
      <c r="D158" s="67">
        <f t="shared" si="142"/>
        <v>816.81341252120546</v>
      </c>
      <c r="E158" s="67">
        <f t="shared" si="142"/>
        <v>817.2845632179467</v>
      </c>
      <c r="F158" s="67">
        <f t="shared" si="142"/>
        <v>852.43775906971939</v>
      </c>
      <c r="G158" s="67">
        <f t="shared" si="142"/>
        <v>877.29585058385214</v>
      </c>
      <c r="H158" s="67">
        <f t="shared" si="142"/>
        <v>900.31181410749548</v>
      </c>
      <c r="I158" s="67">
        <f t="shared" si="142"/>
        <v>927.77583643602702</v>
      </c>
      <c r="J158" s="67">
        <f t="shared" si="142"/>
        <v>950.5698383606109</v>
      </c>
      <c r="K158" s="67">
        <f t="shared" si="142"/>
        <v>995.63581649074615</v>
      </c>
      <c r="L158" s="67">
        <f t="shared" si="142"/>
        <v>1045.0574770007045</v>
      </c>
      <c r="M158" s="67">
        <f t="shared" si="142"/>
        <v>1104.6692111875723</v>
      </c>
      <c r="N158" s="67">
        <f t="shared" si="142"/>
        <v>1129.1834601547441</v>
      </c>
      <c r="O158" s="67">
        <f t="shared" si="142"/>
        <v>1147.9962652830129</v>
      </c>
      <c r="P158" s="67">
        <f t="shared" si="142"/>
        <v>1134.5689515006302</v>
      </c>
      <c r="Q158" s="67">
        <f t="shared" si="142"/>
        <v>1134.0520993833757</v>
      </c>
      <c r="R158" s="67">
        <f t="shared" si="142"/>
        <v>1149.9911367146058</v>
      </c>
      <c r="S158" s="67">
        <f t="shared" si="142"/>
        <v>1129.7797881700951</v>
      </c>
      <c r="T158" s="67">
        <f t="shared" si="142"/>
        <v>1124.000608561385</v>
      </c>
      <c r="U158" s="67">
        <f t="shared" si="142"/>
        <v>1116.3158420264169</v>
      </c>
      <c r="V158" s="67">
        <f t="shared" si="142"/>
        <v>990.64572954031735</v>
      </c>
      <c r="W158" s="67">
        <f t="shared" si="142"/>
        <v>1154.4971943299299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1732.0737410728993</v>
      </c>
      <c r="C159" s="68">
        <f t="shared" ref="C159:W159" si="144">IF(C105=0,0,C105/C$23)</f>
        <v>1857.8676806443455</v>
      </c>
      <c r="D159" s="68">
        <f t="shared" si="144"/>
        <v>1991.968461375395</v>
      </c>
      <c r="E159" s="68">
        <f t="shared" si="144"/>
        <v>2098.5339786567679</v>
      </c>
      <c r="F159" s="68">
        <f t="shared" si="144"/>
        <v>2224.9666588121427</v>
      </c>
      <c r="G159" s="68">
        <f t="shared" si="144"/>
        <v>2351.6450870068661</v>
      </c>
      <c r="H159" s="68">
        <f t="shared" si="144"/>
        <v>2395.958092350309</v>
      </c>
      <c r="I159" s="68">
        <f t="shared" si="144"/>
        <v>2446.1558456725493</v>
      </c>
      <c r="J159" s="68">
        <f t="shared" si="144"/>
        <v>2451.0368347079275</v>
      </c>
      <c r="K159" s="68">
        <f t="shared" si="144"/>
        <v>2460.8911796586376</v>
      </c>
      <c r="L159" s="68">
        <f t="shared" si="144"/>
        <v>2567.5210214684803</v>
      </c>
      <c r="M159" s="68">
        <f t="shared" si="144"/>
        <v>2736.2669197546447</v>
      </c>
      <c r="N159" s="68">
        <f t="shared" si="144"/>
        <v>2740.4650987285308</v>
      </c>
      <c r="O159" s="68">
        <f t="shared" si="144"/>
        <v>2772.3081004795768</v>
      </c>
      <c r="P159" s="68">
        <f t="shared" si="144"/>
        <v>2691.9612949997081</v>
      </c>
      <c r="Q159" s="68">
        <f t="shared" si="144"/>
        <v>2699.3661111263718</v>
      </c>
      <c r="R159" s="68">
        <f t="shared" si="144"/>
        <v>2630.7205735770299</v>
      </c>
      <c r="S159" s="68">
        <f t="shared" si="144"/>
        <v>2513.951705906301</v>
      </c>
      <c r="T159" s="68">
        <f t="shared" si="144"/>
        <v>2446.7285307113957</v>
      </c>
      <c r="U159" s="68">
        <f t="shared" si="144"/>
        <v>2363.5576328125076</v>
      </c>
      <c r="V159" s="68">
        <f t="shared" si="144"/>
        <v>2188.7908184334256</v>
      </c>
      <c r="W159" s="68">
        <f t="shared" si="144"/>
        <v>2248.6696718884732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3123.099845547431</v>
      </c>
      <c r="C161" s="85">
        <f t="shared" ref="C161:W161" si="146">IF(C107=0,0,C107/C$23)</f>
        <v>3624.4920978434334</v>
      </c>
      <c r="D161" s="85">
        <f t="shared" si="146"/>
        <v>3802.0303045182477</v>
      </c>
      <c r="E161" s="85">
        <f t="shared" si="146"/>
        <v>4100.1265122691948</v>
      </c>
      <c r="F161" s="85">
        <f t="shared" si="146"/>
        <v>4062.4211420722781</v>
      </c>
      <c r="G161" s="85">
        <f t="shared" si="146"/>
        <v>4257.0211304995619</v>
      </c>
      <c r="H161" s="85">
        <f t="shared" si="146"/>
        <v>4092.5645399486943</v>
      </c>
      <c r="I161" s="85">
        <f t="shared" si="146"/>
        <v>3968.43715094954</v>
      </c>
      <c r="J161" s="85">
        <f t="shared" si="146"/>
        <v>4230.6781521489793</v>
      </c>
      <c r="K161" s="85">
        <f t="shared" si="146"/>
        <v>4219.4310118052463</v>
      </c>
      <c r="L161" s="85">
        <f t="shared" si="146"/>
        <v>4681.7350183346462</v>
      </c>
      <c r="M161" s="85">
        <f t="shared" si="146"/>
        <v>4921.8413579445605</v>
      </c>
      <c r="N161" s="85">
        <f t="shared" si="146"/>
        <v>4937.1540645795612</v>
      </c>
      <c r="O161" s="85">
        <f t="shared" si="146"/>
        <v>4659.4330828305929</v>
      </c>
      <c r="P161" s="85">
        <f t="shared" si="146"/>
        <v>3966.678545564519</v>
      </c>
      <c r="Q161" s="85">
        <f t="shared" si="146"/>
        <v>4573.5626589104386</v>
      </c>
      <c r="R161" s="85">
        <f t="shared" si="146"/>
        <v>4513.3040384106989</v>
      </c>
      <c r="S161" s="85">
        <f t="shared" si="146"/>
        <v>4865.0498806373262</v>
      </c>
      <c r="T161" s="85">
        <f t="shared" si="146"/>
        <v>4826.0912568736885</v>
      </c>
      <c r="U161" s="85">
        <f t="shared" si="146"/>
        <v>4888.2276320928931</v>
      </c>
      <c r="V161" s="85">
        <f t="shared" si="146"/>
        <v>4507.7580017663113</v>
      </c>
      <c r="W161" s="85">
        <f t="shared" si="146"/>
        <v>5363.5610485138823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1987.9015840096806</v>
      </c>
      <c r="C162" s="65">
        <f t="shared" ref="C162:W162" si="148">IF(C108=0,0,C108/C$23)</f>
        <v>2422.3434370162026</v>
      </c>
      <c r="D162" s="65">
        <f t="shared" si="148"/>
        <v>2533.561693232004</v>
      </c>
      <c r="E162" s="65">
        <f t="shared" si="148"/>
        <v>2617.9380717118647</v>
      </c>
      <c r="F162" s="65">
        <f t="shared" si="148"/>
        <v>2688.6585285014503</v>
      </c>
      <c r="G162" s="65">
        <f t="shared" si="148"/>
        <v>2815.5859251963384</v>
      </c>
      <c r="H162" s="65">
        <f t="shared" si="148"/>
        <v>2573.4468440111436</v>
      </c>
      <c r="I162" s="65">
        <f t="shared" si="148"/>
        <v>2360.1804652101182</v>
      </c>
      <c r="J162" s="65">
        <f t="shared" si="148"/>
        <v>2577.2208669348406</v>
      </c>
      <c r="K162" s="65">
        <f t="shared" si="148"/>
        <v>2521.2704472617947</v>
      </c>
      <c r="L162" s="65">
        <f t="shared" si="148"/>
        <v>2879.2075155873936</v>
      </c>
      <c r="M162" s="65">
        <f t="shared" si="148"/>
        <v>2951.3864896486166</v>
      </c>
      <c r="N162" s="65">
        <f t="shared" si="148"/>
        <v>2682.7380003260027</v>
      </c>
      <c r="O162" s="65">
        <f t="shared" si="148"/>
        <v>2614.0282258635461</v>
      </c>
      <c r="P162" s="65">
        <f t="shared" si="148"/>
        <v>2052.343698478443</v>
      </c>
      <c r="Q162" s="65">
        <f t="shared" si="148"/>
        <v>2389.2351326128592</v>
      </c>
      <c r="R162" s="65">
        <f t="shared" si="148"/>
        <v>2534.5337265825583</v>
      </c>
      <c r="S162" s="65">
        <f t="shared" si="148"/>
        <v>2718.4220152452012</v>
      </c>
      <c r="T162" s="65">
        <f t="shared" si="148"/>
        <v>2848.4049284445009</v>
      </c>
      <c r="U162" s="65">
        <f t="shared" si="148"/>
        <v>2823.891809515831</v>
      </c>
      <c r="V162" s="65">
        <f t="shared" si="148"/>
        <v>2666.2575977144174</v>
      </c>
      <c r="W162" s="65">
        <f t="shared" si="148"/>
        <v>3184.1736659193257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158.88565329832889</v>
      </c>
      <c r="C163" s="65">
        <f t="shared" ref="C163:W163" si="150">IF(C109=0,0,C109/C$23)</f>
        <v>165.9693180444055</v>
      </c>
      <c r="D163" s="65">
        <f t="shared" si="150"/>
        <v>180.40440250822402</v>
      </c>
      <c r="E163" s="65">
        <f t="shared" si="150"/>
        <v>381.61524727382834</v>
      </c>
      <c r="F163" s="65">
        <f t="shared" si="150"/>
        <v>219.26087710450673</v>
      </c>
      <c r="G163" s="65">
        <f t="shared" si="150"/>
        <v>247.27880695784364</v>
      </c>
      <c r="H163" s="65">
        <f t="shared" si="150"/>
        <v>310.08083403255227</v>
      </c>
      <c r="I163" s="65">
        <f t="shared" si="150"/>
        <v>366.44207751996322</v>
      </c>
      <c r="J163" s="65">
        <f t="shared" si="150"/>
        <v>386.0520141338385</v>
      </c>
      <c r="K163" s="65">
        <f t="shared" si="150"/>
        <v>393.73761411165401</v>
      </c>
      <c r="L163" s="65">
        <f t="shared" si="150"/>
        <v>434.51918832148192</v>
      </c>
      <c r="M163" s="65">
        <f t="shared" si="150"/>
        <v>516.28025608716689</v>
      </c>
      <c r="N163" s="65">
        <f t="shared" si="150"/>
        <v>769.52069733925316</v>
      </c>
      <c r="O163" s="65">
        <f t="shared" si="150"/>
        <v>526.46604806701964</v>
      </c>
      <c r="P163" s="65">
        <f t="shared" si="150"/>
        <v>420.97636820956961</v>
      </c>
      <c r="Q163" s="65">
        <f t="shared" si="150"/>
        <v>687.91203813817992</v>
      </c>
      <c r="R163" s="65">
        <f t="shared" si="150"/>
        <v>470.44696083219685</v>
      </c>
      <c r="S163" s="65">
        <f t="shared" si="150"/>
        <v>659.73179737768078</v>
      </c>
      <c r="T163" s="65">
        <f t="shared" si="150"/>
        <v>492.0170366536251</v>
      </c>
      <c r="U163" s="65">
        <f t="shared" si="150"/>
        <v>585.02266773016549</v>
      </c>
      <c r="V163" s="65">
        <f t="shared" si="150"/>
        <v>472.36440405759424</v>
      </c>
      <c r="W163" s="65">
        <f t="shared" si="150"/>
        <v>636.94957739602353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446.01009951264217</v>
      </c>
      <c r="C164" s="65">
        <f t="shared" ref="C164:W164" si="152">IF(C110=0,0,C110/C$23)</f>
        <v>467.76911539941085</v>
      </c>
      <c r="D164" s="65">
        <f t="shared" si="152"/>
        <v>494.31819376172177</v>
      </c>
      <c r="E164" s="65">
        <f t="shared" si="152"/>
        <v>506.39618722996448</v>
      </c>
      <c r="F164" s="65">
        <f t="shared" si="152"/>
        <v>533.68784564465193</v>
      </c>
      <c r="G164" s="65">
        <f t="shared" si="152"/>
        <v>552.56804659662657</v>
      </c>
      <c r="H164" s="65">
        <f t="shared" si="152"/>
        <v>548.96254330192903</v>
      </c>
      <c r="I164" s="65">
        <f t="shared" si="152"/>
        <v>558.19552518476041</v>
      </c>
      <c r="J164" s="65">
        <f t="shared" si="152"/>
        <v>566.00268118125598</v>
      </c>
      <c r="K164" s="65">
        <f t="shared" si="152"/>
        <v>571.71973739291616</v>
      </c>
      <c r="L164" s="65">
        <f t="shared" si="152"/>
        <v>598.75726128883866</v>
      </c>
      <c r="M164" s="65">
        <f t="shared" si="152"/>
        <v>637.91503496924872</v>
      </c>
      <c r="N164" s="65">
        <f t="shared" si="152"/>
        <v>649.48653044631044</v>
      </c>
      <c r="O164" s="65">
        <f t="shared" si="152"/>
        <v>666.73079441394668</v>
      </c>
      <c r="P164" s="65">
        <f t="shared" si="152"/>
        <v>646.57694099957882</v>
      </c>
      <c r="Q164" s="65">
        <f t="shared" si="152"/>
        <v>646.95083767013955</v>
      </c>
      <c r="R164" s="65">
        <f t="shared" si="152"/>
        <v>645.07884013536329</v>
      </c>
      <c r="S164" s="65">
        <f t="shared" si="152"/>
        <v>633.29532687253243</v>
      </c>
      <c r="T164" s="65">
        <f t="shared" si="152"/>
        <v>629.90984092288329</v>
      </c>
      <c r="U164" s="65">
        <f t="shared" si="152"/>
        <v>622.76662308073401</v>
      </c>
      <c r="V164" s="65">
        <f t="shared" si="152"/>
        <v>601.95512746216798</v>
      </c>
      <c r="W164" s="65">
        <f t="shared" si="152"/>
        <v>640.46737134280079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530.30250872677948</v>
      </c>
      <c r="C165" s="68">
        <f t="shared" ref="C165:W165" si="154">IF(C111=0,0,C111/C$23)</f>
        <v>568.41022738341428</v>
      </c>
      <c r="D165" s="68">
        <f t="shared" si="154"/>
        <v>593.74601501629775</v>
      </c>
      <c r="E165" s="68">
        <f t="shared" si="154"/>
        <v>594.17700605353718</v>
      </c>
      <c r="F165" s="68">
        <f t="shared" si="154"/>
        <v>620.81389082166856</v>
      </c>
      <c r="G165" s="68">
        <f t="shared" si="154"/>
        <v>641.58835174875367</v>
      </c>
      <c r="H165" s="68">
        <f t="shared" si="154"/>
        <v>660.07431860306883</v>
      </c>
      <c r="I165" s="68">
        <f t="shared" si="154"/>
        <v>683.61908303469795</v>
      </c>
      <c r="J165" s="68">
        <f t="shared" si="154"/>
        <v>701.40258989904396</v>
      </c>
      <c r="K165" s="68">
        <f t="shared" si="154"/>
        <v>732.7032130388809</v>
      </c>
      <c r="L165" s="68">
        <f t="shared" si="154"/>
        <v>769.25105313693211</v>
      </c>
      <c r="M165" s="68">
        <f t="shared" si="154"/>
        <v>816.25957723952911</v>
      </c>
      <c r="N165" s="68">
        <f t="shared" si="154"/>
        <v>835.40883646799466</v>
      </c>
      <c r="O165" s="68">
        <f t="shared" si="154"/>
        <v>852.20801448608017</v>
      </c>
      <c r="P165" s="68">
        <f t="shared" si="154"/>
        <v>846.78153787692713</v>
      </c>
      <c r="Q165" s="68">
        <f t="shared" si="154"/>
        <v>849.46465048926018</v>
      </c>
      <c r="R165" s="68">
        <f t="shared" si="154"/>
        <v>863.24451086058093</v>
      </c>
      <c r="S165" s="68">
        <f t="shared" si="154"/>
        <v>853.60074114191104</v>
      </c>
      <c r="T165" s="68">
        <f t="shared" si="154"/>
        <v>855.75945085267995</v>
      </c>
      <c r="U165" s="68">
        <f t="shared" si="154"/>
        <v>856.54653176616182</v>
      </c>
      <c r="V165" s="68">
        <f t="shared" si="154"/>
        <v>767.18087253213184</v>
      </c>
      <c r="W165" s="68">
        <f t="shared" si="154"/>
        <v>901.97043385573284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698.84307679569463</v>
      </c>
      <c r="C167" s="82">
        <f t="shared" ref="C167:W167" si="156">IF(C113=0,0,C113/C$23)</f>
        <v>818.6812934499718</v>
      </c>
      <c r="D167" s="82">
        <f t="shared" si="156"/>
        <v>860.86712741700126</v>
      </c>
      <c r="E167" s="82">
        <f t="shared" si="156"/>
        <v>864.1089443865676</v>
      </c>
      <c r="F167" s="82">
        <f t="shared" si="156"/>
        <v>849.59111732172676</v>
      </c>
      <c r="G167" s="82">
        <f t="shared" si="156"/>
        <v>808.95393152470103</v>
      </c>
      <c r="H167" s="82">
        <f t="shared" si="156"/>
        <v>718.66659306739689</v>
      </c>
      <c r="I167" s="82">
        <f t="shared" si="156"/>
        <v>618.99940925840167</v>
      </c>
      <c r="J167" s="82">
        <f t="shared" si="156"/>
        <v>613.37782275856648</v>
      </c>
      <c r="K167" s="82">
        <f t="shared" si="156"/>
        <v>606.2491423772982</v>
      </c>
      <c r="L167" s="82">
        <f t="shared" si="156"/>
        <v>666.61685929249211</v>
      </c>
      <c r="M167" s="82">
        <f t="shared" si="156"/>
        <v>639.10748824412201</v>
      </c>
      <c r="N167" s="82">
        <f t="shared" si="156"/>
        <v>564.87877998629187</v>
      </c>
      <c r="O167" s="82">
        <f t="shared" si="156"/>
        <v>533.68303587975026</v>
      </c>
      <c r="P167" s="82">
        <f t="shared" si="156"/>
        <v>463.25378865953996</v>
      </c>
      <c r="Q167" s="82">
        <f t="shared" si="156"/>
        <v>561.01593554447891</v>
      </c>
      <c r="R167" s="82">
        <f t="shared" si="156"/>
        <v>572.81464312892854</v>
      </c>
      <c r="S167" s="82">
        <f t="shared" si="156"/>
        <v>567.52346445484739</v>
      </c>
      <c r="T167" s="82">
        <f t="shared" si="156"/>
        <v>555.54453830007731</v>
      </c>
      <c r="U167" s="82">
        <f t="shared" si="156"/>
        <v>527.97073482802898</v>
      </c>
      <c r="V167" s="82">
        <f t="shared" si="156"/>
        <v>501.99012833998813</v>
      </c>
      <c r="W167" s="82">
        <f t="shared" si="156"/>
        <v>576.14302273067824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698.84307679569463</v>
      </c>
      <c r="C168" s="64">
        <f t="shared" ref="C168:W168" si="158">IF(C114=0,0,C114/C$23)</f>
        <v>818.6812934499718</v>
      </c>
      <c r="D168" s="64">
        <f t="shared" si="158"/>
        <v>860.86712741700126</v>
      </c>
      <c r="E168" s="64">
        <f t="shared" si="158"/>
        <v>864.1089443865676</v>
      </c>
      <c r="F168" s="64">
        <f t="shared" si="158"/>
        <v>849.59111732172676</v>
      </c>
      <c r="G168" s="64">
        <f t="shared" si="158"/>
        <v>808.95393152470103</v>
      </c>
      <c r="H168" s="64">
        <f t="shared" si="158"/>
        <v>718.66659306739689</v>
      </c>
      <c r="I168" s="64">
        <f t="shared" si="158"/>
        <v>618.99940925840167</v>
      </c>
      <c r="J168" s="64">
        <f t="shared" si="158"/>
        <v>613.37782275856648</v>
      </c>
      <c r="K168" s="64">
        <f t="shared" si="158"/>
        <v>606.2491423772982</v>
      </c>
      <c r="L168" s="64">
        <f t="shared" si="158"/>
        <v>666.61685929249211</v>
      </c>
      <c r="M168" s="64">
        <f t="shared" si="158"/>
        <v>639.10748824412201</v>
      </c>
      <c r="N168" s="64">
        <f t="shared" si="158"/>
        <v>564.87877998629187</v>
      </c>
      <c r="O168" s="64">
        <f t="shared" si="158"/>
        <v>533.68303587975026</v>
      </c>
      <c r="P168" s="64">
        <f t="shared" si="158"/>
        <v>463.25378865953996</v>
      </c>
      <c r="Q168" s="64">
        <f t="shared" si="158"/>
        <v>561.01593554447891</v>
      </c>
      <c r="R168" s="64">
        <f t="shared" si="158"/>
        <v>572.81464312892854</v>
      </c>
      <c r="S168" s="64">
        <f t="shared" si="158"/>
        <v>567.52346445484739</v>
      </c>
      <c r="T168" s="64">
        <f t="shared" si="158"/>
        <v>555.54453830007731</v>
      </c>
      <c r="U168" s="64">
        <f t="shared" si="158"/>
        <v>527.97073482802898</v>
      </c>
      <c r="V168" s="64">
        <f t="shared" si="158"/>
        <v>501.99012833998813</v>
      </c>
      <c r="W168" s="64">
        <f t="shared" si="158"/>
        <v>576.14302273067824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591.45026995077785</v>
      </c>
      <c r="C169" s="65">
        <f t="shared" ref="C169:W169" si="160">IF(C115=0,0,C115/C$23)</f>
        <v>695.5621735181453</v>
      </c>
      <c r="D169" s="65">
        <f t="shared" si="160"/>
        <v>732.25412347178076</v>
      </c>
      <c r="E169" s="65">
        <f t="shared" si="160"/>
        <v>731.79954773180759</v>
      </c>
      <c r="F169" s="65">
        <f t="shared" si="160"/>
        <v>711.20362929197313</v>
      </c>
      <c r="G169" s="65">
        <f t="shared" si="160"/>
        <v>666.60894085744019</v>
      </c>
      <c r="H169" s="65">
        <f t="shared" si="160"/>
        <v>576.76664644959703</v>
      </c>
      <c r="I169" s="65">
        <f t="shared" si="160"/>
        <v>477.54751158822654</v>
      </c>
      <c r="J169" s="65">
        <f t="shared" si="160"/>
        <v>468.58130862925219</v>
      </c>
      <c r="K169" s="65">
        <f t="shared" si="160"/>
        <v>455.5267555063067</v>
      </c>
      <c r="L169" s="65">
        <f t="shared" si="160"/>
        <v>507.21456548025066</v>
      </c>
      <c r="M169" s="65">
        <f t="shared" si="160"/>
        <v>475.22315865770412</v>
      </c>
      <c r="N169" s="65">
        <f t="shared" si="160"/>
        <v>400.46741381764883</v>
      </c>
      <c r="O169" s="65">
        <f t="shared" si="160"/>
        <v>368.40211641682544</v>
      </c>
      <c r="P169" s="65">
        <f t="shared" si="160"/>
        <v>304.89815075638688</v>
      </c>
      <c r="Q169" s="65">
        <f t="shared" si="160"/>
        <v>401.95275989019945</v>
      </c>
      <c r="R169" s="65">
        <f t="shared" si="160"/>
        <v>409.90281219810691</v>
      </c>
      <c r="S169" s="65">
        <f t="shared" si="160"/>
        <v>408.32726872715659</v>
      </c>
      <c r="T169" s="65">
        <f t="shared" si="160"/>
        <v>399.34290858554135</v>
      </c>
      <c r="U169" s="65">
        <f t="shared" si="160"/>
        <v>374.6724007657686</v>
      </c>
      <c r="V169" s="65">
        <f t="shared" si="160"/>
        <v>363.61580986943238</v>
      </c>
      <c r="W169" s="65">
        <f t="shared" si="160"/>
        <v>421.47599227008067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3.1530011586093171E-2</v>
      </c>
      <c r="C170" s="65">
        <f t="shared" ref="C170:W170" si="162">IF(C116=0,0,C116/C$23)</f>
        <v>3.1728604326695414E-2</v>
      </c>
      <c r="D170" s="65">
        <f t="shared" si="162"/>
        <v>3.7527032571601789E-2</v>
      </c>
      <c r="E170" s="65">
        <f t="shared" si="162"/>
        <v>8.5703517566760687E-2</v>
      </c>
      <c r="F170" s="65">
        <f t="shared" si="162"/>
        <v>5.1278895792276562E-2</v>
      </c>
      <c r="G170" s="65">
        <f t="shared" si="162"/>
        <v>5.9353363709073521E-2</v>
      </c>
      <c r="H170" s="65">
        <f t="shared" si="162"/>
        <v>7.568450413662188E-2</v>
      </c>
      <c r="I170" s="65">
        <f t="shared" si="162"/>
        <v>0.10808325120950935</v>
      </c>
      <c r="J170" s="65">
        <f t="shared" si="162"/>
        <v>0.10361842727030379</v>
      </c>
      <c r="K170" s="65">
        <f t="shared" si="162"/>
        <v>9.0287765668963987E-2</v>
      </c>
      <c r="L170" s="65">
        <f t="shared" si="162"/>
        <v>0.10887151053899441</v>
      </c>
      <c r="M170" s="65">
        <f t="shared" si="162"/>
        <v>0.13826045478428939</v>
      </c>
      <c r="N170" s="65">
        <f t="shared" si="162"/>
        <v>0.19379599662654057</v>
      </c>
      <c r="O170" s="65">
        <f t="shared" si="162"/>
        <v>0.17282835353438541</v>
      </c>
      <c r="P170" s="65">
        <f t="shared" si="162"/>
        <v>0.13499269101102526</v>
      </c>
      <c r="Q170" s="65">
        <f t="shared" si="162"/>
        <v>0.32523206786884673</v>
      </c>
      <c r="R170" s="65">
        <f t="shared" si="162"/>
        <v>0.24744539274924929</v>
      </c>
      <c r="S170" s="65">
        <f t="shared" si="162"/>
        <v>0.41494778931872434</v>
      </c>
      <c r="T170" s="65">
        <f t="shared" si="162"/>
        <v>0.37737725870403949</v>
      </c>
      <c r="U170" s="65">
        <f t="shared" si="162"/>
        <v>0.50025930656993767</v>
      </c>
      <c r="V170" s="65">
        <f t="shared" si="162"/>
        <v>0.39200324496528099</v>
      </c>
      <c r="W170" s="65">
        <f t="shared" si="162"/>
        <v>0.54708116169907917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83.057188300390763</v>
      </c>
      <c r="C171" s="65">
        <f t="shared" ref="C171:W171" si="164">IF(C117=0,0,C117/C$23)</f>
        <v>89.21716061980446</v>
      </c>
      <c r="D171" s="65">
        <f t="shared" si="164"/>
        <v>95.39447762445505</v>
      </c>
      <c r="E171" s="65">
        <f t="shared" si="164"/>
        <v>97.082156408654299</v>
      </c>
      <c r="F171" s="65">
        <f t="shared" si="164"/>
        <v>100.85363861910318</v>
      </c>
      <c r="G171" s="65">
        <f t="shared" si="164"/>
        <v>104.92359459165883</v>
      </c>
      <c r="H171" s="65">
        <f t="shared" si="164"/>
        <v>103.02940504776785</v>
      </c>
      <c r="I171" s="65">
        <f t="shared" si="164"/>
        <v>103.00314168628719</v>
      </c>
      <c r="J171" s="65">
        <f t="shared" si="164"/>
        <v>104.32976026267791</v>
      </c>
      <c r="K171" s="65">
        <f t="shared" si="164"/>
        <v>105.35317814280396</v>
      </c>
      <c r="L171" s="65">
        <f t="shared" si="164"/>
        <v>109.7901976802145</v>
      </c>
      <c r="M171" s="65">
        <f t="shared" si="164"/>
        <v>113.90720909551371</v>
      </c>
      <c r="N171" s="65">
        <f t="shared" si="164"/>
        <v>113.19623621281667</v>
      </c>
      <c r="O171" s="65">
        <f t="shared" si="164"/>
        <v>113.95014126800777</v>
      </c>
      <c r="P171" s="65">
        <f t="shared" si="164"/>
        <v>109.01039385474671</v>
      </c>
      <c r="Q171" s="65">
        <f t="shared" si="164"/>
        <v>108.72434423878441</v>
      </c>
      <c r="R171" s="65">
        <f t="shared" si="164"/>
        <v>109.25781044110352</v>
      </c>
      <c r="S171" s="65">
        <f t="shared" si="164"/>
        <v>106.75732853786464</v>
      </c>
      <c r="T171" s="65">
        <f t="shared" si="164"/>
        <v>104.59560599605339</v>
      </c>
      <c r="U171" s="65">
        <f t="shared" si="164"/>
        <v>101.2373004409813</v>
      </c>
      <c r="V171" s="65">
        <f t="shared" si="164"/>
        <v>92.354916106281905</v>
      </c>
      <c r="W171" s="65">
        <f t="shared" si="164"/>
        <v>100.25625485534965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24.304088532939829</v>
      </c>
      <c r="C172" s="67">
        <f t="shared" ref="C172:W172" si="166">IF(C118=0,0,C118/C$23)</f>
        <v>33.870230707695264</v>
      </c>
      <c r="D172" s="67">
        <f t="shared" si="166"/>
        <v>33.180999288193703</v>
      </c>
      <c r="E172" s="67">
        <f t="shared" si="166"/>
        <v>35.141536728539158</v>
      </c>
      <c r="F172" s="67">
        <f t="shared" si="166"/>
        <v>37.482570514858168</v>
      </c>
      <c r="G172" s="67">
        <f t="shared" si="166"/>
        <v>37.362042711892784</v>
      </c>
      <c r="H172" s="67">
        <f t="shared" si="166"/>
        <v>38.794857065895442</v>
      </c>
      <c r="I172" s="67">
        <f t="shared" si="166"/>
        <v>38.340672732678399</v>
      </c>
      <c r="J172" s="67">
        <f t="shared" si="166"/>
        <v>40.363135439366069</v>
      </c>
      <c r="K172" s="67">
        <f t="shared" si="166"/>
        <v>45.278920962518654</v>
      </c>
      <c r="L172" s="67">
        <f t="shared" si="166"/>
        <v>49.503224621488059</v>
      </c>
      <c r="M172" s="67">
        <f t="shared" si="166"/>
        <v>49.838860036119819</v>
      </c>
      <c r="N172" s="67">
        <f t="shared" si="166"/>
        <v>51.021333959199993</v>
      </c>
      <c r="O172" s="67">
        <f t="shared" si="166"/>
        <v>51.15794984138266</v>
      </c>
      <c r="P172" s="67">
        <f t="shared" si="166"/>
        <v>49.210251357395421</v>
      </c>
      <c r="Q172" s="67">
        <f t="shared" si="166"/>
        <v>50.013599347626169</v>
      </c>
      <c r="R172" s="67">
        <f t="shared" si="166"/>
        <v>53.406575096968808</v>
      </c>
      <c r="S172" s="67">
        <f t="shared" si="166"/>
        <v>52.023919400507381</v>
      </c>
      <c r="T172" s="67">
        <f t="shared" si="166"/>
        <v>51.228646459778602</v>
      </c>
      <c r="U172" s="67">
        <f t="shared" si="166"/>
        <v>51.560774314709235</v>
      </c>
      <c r="V172" s="67">
        <f t="shared" si="166"/>
        <v>45.627399119308656</v>
      </c>
      <c r="W172" s="67">
        <f t="shared" si="166"/>
        <v>53.863694443548809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30483.958100080858</v>
      </c>
      <c r="C3" s="125">
        <f t="shared" si="0"/>
        <v>31699.703691304116</v>
      </c>
      <c r="D3" s="125">
        <f t="shared" si="0"/>
        <v>33025.318453850297</v>
      </c>
      <c r="E3" s="125">
        <f t="shared" si="0"/>
        <v>34879.322287322306</v>
      </c>
      <c r="F3" s="125">
        <f t="shared" si="0"/>
        <v>36228.474075566395</v>
      </c>
      <c r="G3" s="125">
        <f t="shared" si="0"/>
        <v>37570.640462043353</v>
      </c>
      <c r="H3" s="125">
        <f t="shared" si="0"/>
        <v>39535.622879953255</v>
      </c>
      <c r="I3" s="125">
        <f t="shared" si="0"/>
        <v>41596.385428818205</v>
      </c>
      <c r="J3" s="125">
        <f t="shared" si="0"/>
        <v>42488.165748540872</v>
      </c>
      <c r="K3" s="125">
        <f t="shared" si="0"/>
        <v>43094.621008831782</v>
      </c>
      <c r="L3" s="125">
        <f t="shared" si="0"/>
        <v>43314.890303806009</v>
      </c>
      <c r="M3" s="125">
        <f t="shared" si="0"/>
        <v>43843.895737927858</v>
      </c>
      <c r="N3" s="125">
        <f t="shared" si="0"/>
        <v>43426.158909224585</v>
      </c>
      <c r="O3" s="125">
        <f t="shared" si="0"/>
        <v>43428.976952197008</v>
      </c>
      <c r="P3" s="125">
        <f t="shared" si="0"/>
        <v>44716.529158092235</v>
      </c>
      <c r="Q3" s="125">
        <f t="shared" si="0"/>
        <v>46187.409591063602</v>
      </c>
      <c r="R3" s="125">
        <f t="shared" si="0"/>
        <v>46625.722857672234</v>
      </c>
      <c r="S3" s="125">
        <f t="shared" si="0"/>
        <v>47015.488657905778</v>
      </c>
      <c r="T3" s="125">
        <f t="shared" si="0"/>
        <v>47520.06034492467</v>
      </c>
      <c r="U3" s="125">
        <f t="shared" si="0"/>
        <v>48034.616592143822</v>
      </c>
      <c r="V3" s="125">
        <f t="shared" si="0"/>
        <v>48557.111111111109</v>
      </c>
      <c r="W3" s="125">
        <f t="shared" si="0"/>
        <v>49063.168990252656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30483.958100080858</v>
      </c>
      <c r="C4" s="140">
        <f t="shared" si="1"/>
        <v>31699.703691304116</v>
      </c>
      <c r="D4" s="140">
        <f t="shared" si="1"/>
        <v>33025.318453850297</v>
      </c>
      <c r="E4" s="140">
        <f t="shared" si="1"/>
        <v>34879.322287322306</v>
      </c>
      <c r="F4" s="140">
        <f t="shared" si="1"/>
        <v>36228.474075566395</v>
      </c>
      <c r="G4" s="140">
        <f t="shared" si="1"/>
        <v>37570.640462043353</v>
      </c>
      <c r="H4" s="140">
        <f t="shared" si="1"/>
        <v>39535.622879953255</v>
      </c>
      <c r="I4" s="140">
        <f t="shared" si="1"/>
        <v>41596.385428818205</v>
      </c>
      <c r="J4" s="140">
        <f t="shared" si="1"/>
        <v>42488.165748540872</v>
      </c>
      <c r="K4" s="140">
        <f t="shared" si="1"/>
        <v>43094.621008831782</v>
      </c>
      <c r="L4" s="140">
        <f t="shared" si="1"/>
        <v>43314.890303806009</v>
      </c>
      <c r="M4" s="140">
        <f t="shared" si="1"/>
        <v>43843.895737927858</v>
      </c>
      <c r="N4" s="140">
        <f t="shared" si="1"/>
        <v>43426.158909224585</v>
      </c>
      <c r="O4" s="140">
        <f t="shared" si="1"/>
        <v>43428.976952197008</v>
      </c>
      <c r="P4" s="140">
        <f t="shared" si="1"/>
        <v>44716.529158092235</v>
      </c>
      <c r="Q4" s="140">
        <f t="shared" si="1"/>
        <v>46187.409591063602</v>
      </c>
      <c r="R4" s="140">
        <f t="shared" ref="R4:W4" si="2">SUM(R5:R14)</f>
        <v>46625.722857672234</v>
      </c>
      <c r="S4" s="140">
        <f t="shared" si="2"/>
        <v>47015.488657905778</v>
      </c>
      <c r="T4" s="140">
        <f t="shared" si="2"/>
        <v>47520.06034492467</v>
      </c>
      <c r="U4" s="140">
        <f t="shared" si="2"/>
        <v>48034.616592143822</v>
      </c>
      <c r="V4" s="140">
        <f t="shared" si="2"/>
        <v>48557.111111111109</v>
      </c>
      <c r="W4" s="140">
        <f t="shared" si="2"/>
        <v>49063.168990252656</v>
      </c>
      <c r="DA4" s="170" t="s">
        <v>245</v>
      </c>
    </row>
    <row r="5" spans="1:105" ht="12" customHeight="1" x14ac:dyDescent="0.25">
      <c r="A5" s="132" t="s">
        <v>29</v>
      </c>
      <c r="B5" s="141">
        <v>367.79766731056367</v>
      </c>
      <c r="C5" s="141">
        <v>357.50506572861963</v>
      </c>
      <c r="D5" s="141">
        <v>345.48011291646617</v>
      </c>
      <c r="E5" s="141">
        <v>315.82607372554031</v>
      </c>
      <c r="F5" s="141">
        <v>225.88303775650988</v>
      </c>
      <c r="G5" s="141">
        <v>142.01514483650189</v>
      </c>
      <c r="H5" s="141">
        <v>137.4204316415063</v>
      </c>
      <c r="I5" s="141">
        <v>133.87883016536387</v>
      </c>
      <c r="J5" s="141">
        <v>151.23594064153477</v>
      </c>
      <c r="K5" s="141">
        <v>153.3609468711071</v>
      </c>
      <c r="L5" s="141">
        <v>157.44630288882803</v>
      </c>
      <c r="M5" s="141">
        <v>160.17090878280925</v>
      </c>
      <c r="N5" s="141">
        <v>156.16214308897571</v>
      </c>
      <c r="O5" s="141">
        <v>82.669201624530729</v>
      </c>
      <c r="P5" s="141">
        <v>35.187958036087629</v>
      </c>
      <c r="Q5" s="141">
        <v>9.3432142262583078</v>
      </c>
      <c r="R5" s="141">
        <v>7.6491219601747371</v>
      </c>
      <c r="S5" s="141">
        <v>8.1965052753227301</v>
      </c>
      <c r="T5" s="141">
        <v>5.1998522978087793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10248.924260378033</v>
      </c>
      <c r="C7" s="141">
        <v>10689.301326129755</v>
      </c>
      <c r="D7" s="141">
        <v>11074.136086845405</v>
      </c>
      <c r="E7" s="141">
        <v>11474.809344320734</v>
      </c>
      <c r="F7" s="141">
        <v>11062.638706914735</v>
      </c>
      <c r="G7" s="141">
        <v>10261.70229472097</v>
      </c>
      <c r="H7" s="141">
        <v>9385.0482636467495</v>
      </c>
      <c r="I7" s="141">
        <v>8420.4128026939779</v>
      </c>
      <c r="J7" s="141">
        <v>7503.139388431834</v>
      </c>
      <c r="K7" s="141">
        <v>6858.447501131971</v>
      </c>
      <c r="L7" s="141">
        <v>6205.5483600795478</v>
      </c>
      <c r="M7" s="141">
        <v>5705.2260162474577</v>
      </c>
      <c r="N7" s="141">
        <v>5117.7811509750954</v>
      </c>
      <c r="O7" s="141">
        <v>4703.0406783925455</v>
      </c>
      <c r="P7" s="141">
        <v>4481.4815935080978</v>
      </c>
      <c r="Q7" s="141">
        <v>4512.2265333571668</v>
      </c>
      <c r="R7" s="141">
        <v>4282.6955926618157</v>
      </c>
      <c r="S7" s="141">
        <v>3813.2973190306329</v>
      </c>
      <c r="T7" s="141">
        <v>3146.0896025552297</v>
      </c>
      <c r="U7" s="141">
        <v>2477.3230525102049</v>
      </c>
      <c r="V7" s="141">
        <v>2059.3651668626949</v>
      </c>
      <c r="W7" s="141">
        <v>1834.4086685585239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6089.7301883230366</v>
      </c>
      <c r="C9" s="141">
        <v>6561.817960734943</v>
      </c>
      <c r="D9" s="141">
        <v>6745.0420645041668</v>
      </c>
      <c r="E9" s="141">
        <v>7201.1921306734484</v>
      </c>
      <c r="F9" s="141">
        <v>7727.4732190708482</v>
      </c>
      <c r="G9" s="141">
        <v>8486.4682626020312</v>
      </c>
      <c r="H9" s="141">
        <v>9229.4507830781295</v>
      </c>
      <c r="I9" s="141">
        <v>9949.352455950846</v>
      </c>
      <c r="J9" s="141">
        <v>10618.294134345368</v>
      </c>
      <c r="K9" s="141">
        <v>11255.819212614711</v>
      </c>
      <c r="L9" s="141">
        <v>11816.049171773728</v>
      </c>
      <c r="M9" s="141">
        <v>11827.595556152814</v>
      </c>
      <c r="N9" s="141">
        <v>12136.934453422931</v>
      </c>
      <c r="O9" s="141">
        <v>13180.038924195802</v>
      </c>
      <c r="P9" s="141">
        <v>14985.767795085578</v>
      </c>
      <c r="Q9" s="141">
        <v>17198.158257737228</v>
      </c>
      <c r="R9" s="141">
        <v>17793.987120888185</v>
      </c>
      <c r="S9" s="141">
        <v>17930.740901392215</v>
      </c>
      <c r="T9" s="141">
        <v>18257.81310687654</v>
      </c>
      <c r="U9" s="141">
        <v>18893.428470036179</v>
      </c>
      <c r="V9" s="141">
        <v>19710.69870891939</v>
      </c>
      <c r="W9" s="141">
        <v>20315.216093479143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145.84439276291303</v>
      </c>
      <c r="J10" s="141">
        <v>183.22861283347973</v>
      </c>
      <c r="K10" s="141">
        <v>224.1871159456613</v>
      </c>
      <c r="L10" s="141">
        <v>228.12106957433744</v>
      </c>
      <c r="M10" s="141">
        <v>252.88301355302139</v>
      </c>
      <c r="N10" s="141">
        <v>276.42647744963546</v>
      </c>
      <c r="O10" s="141">
        <v>330.1488815534704</v>
      </c>
      <c r="P10" s="141">
        <v>431.53039165492368</v>
      </c>
      <c r="Q10" s="141">
        <v>530.69365332944915</v>
      </c>
      <c r="R10" s="141">
        <v>639.6693028092086</v>
      </c>
      <c r="S10" s="141">
        <v>744.15132931260632</v>
      </c>
      <c r="T10" s="141">
        <v>879.33267167836743</v>
      </c>
      <c r="U10" s="141">
        <v>1016.493290548579</v>
      </c>
      <c r="V10" s="141">
        <v>1164.260244507919</v>
      </c>
      <c r="W10" s="141">
        <v>1241.5147565090729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369.19621962768787</v>
      </c>
      <c r="J11" s="141">
        <v>500.12717585546284</v>
      </c>
      <c r="K11" s="141">
        <v>642.35268886815993</v>
      </c>
      <c r="L11" s="141">
        <v>844.0789414684474</v>
      </c>
      <c r="M11" s="141">
        <v>978.33386656971106</v>
      </c>
      <c r="N11" s="141">
        <v>1041.0806428268918</v>
      </c>
      <c r="O11" s="141">
        <v>1007.3846390445267</v>
      </c>
      <c r="P11" s="141">
        <v>890.49200074495297</v>
      </c>
      <c r="Q11" s="141">
        <v>836.41554017326462</v>
      </c>
      <c r="R11" s="141">
        <v>765.26236646997631</v>
      </c>
      <c r="S11" s="141">
        <v>684.48633381752802</v>
      </c>
      <c r="T11" s="141">
        <v>610.68780790965445</v>
      </c>
      <c r="U11" s="141">
        <v>555.35537227389511</v>
      </c>
      <c r="V11" s="141">
        <v>528.25666321881113</v>
      </c>
      <c r="W11" s="141">
        <v>474.71694140039756</v>
      </c>
      <c r="DA11" s="171" t="s">
        <v>252</v>
      </c>
    </row>
    <row r="12" spans="1:105" ht="12" customHeight="1" x14ac:dyDescent="0.25">
      <c r="A12" s="132" t="s">
        <v>169</v>
      </c>
      <c r="B12" s="141">
        <v>7289.2487025697237</v>
      </c>
      <c r="C12" s="141">
        <v>7114.7915477942161</v>
      </c>
      <c r="D12" s="141">
        <v>7208.8826129457502</v>
      </c>
      <c r="E12" s="141">
        <v>7470.8915695091873</v>
      </c>
      <c r="F12" s="141">
        <v>7544.9395107991304</v>
      </c>
      <c r="G12" s="141">
        <v>7656.287309602897</v>
      </c>
      <c r="H12" s="141">
        <v>7573.8262295908562</v>
      </c>
      <c r="I12" s="141">
        <v>7643.1538578753516</v>
      </c>
      <c r="J12" s="141">
        <v>7723.2292198810428</v>
      </c>
      <c r="K12" s="141">
        <v>7947.6584351776846</v>
      </c>
      <c r="L12" s="141">
        <v>8283.5545632251487</v>
      </c>
      <c r="M12" s="141">
        <v>8646.002850831519</v>
      </c>
      <c r="N12" s="141">
        <v>8870.7889705519538</v>
      </c>
      <c r="O12" s="141">
        <v>8939.1222585050309</v>
      </c>
      <c r="P12" s="141">
        <v>8638.9836235726743</v>
      </c>
      <c r="Q12" s="141">
        <v>8245.202302860851</v>
      </c>
      <c r="R12" s="141">
        <v>7724.4291724199429</v>
      </c>
      <c r="S12" s="141">
        <v>7052.0274615753087</v>
      </c>
      <c r="T12" s="141">
        <v>6571.1199443541436</v>
      </c>
      <c r="U12" s="141">
        <v>6479.1601903614046</v>
      </c>
      <c r="V12" s="141">
        <v>6896.8190186325191</v>
      </c>
      <c r="W12" s="141">
        <v>7216.1586483162164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6488.257281499501</v>
      </c>
      <c r="C14" s="142">
        <v>6976.2877909165827</v>
      </c>
      <c r="D14" s="142">
        <v>7651.7775766385057</v>
      </c>
      <c r="E14" s="142">
        <v>8416.603169093396</v>
      </c>
      <c r="F14" s="142">
        <v>9667.5396010251716</v>
      </c>
      <c r="G14" s="142">
        <v>11024.167450280953</v>
      </c>
      <c r="H14" s="142">
        <v>13209.877171996015</v>
      </c>
      <c r="I14" s="142">
        <v>14934.546869742066</v>
      </c>
      <c r="J14" s="142">
        <v>15808.911276552151</v>
      </c>
      <c r="K14" s="142">
        <v>16012.795108222492</v>
      </c>
      <c r="L14" s="142">
        <v>15780.091894795974</v>
      </c>
      <c r="M14" s="142">
        <v>16273.683525790528</v>
      </c>
      <c r="N14" s="142">
        <v>15826.985070909101</v>
      </c>
      <c r="O14" s="142">
        <v>15186.572368881103</v>
      </c>
      <c r="P14" s="142">
        <v>15253.085795489915</v>
      </c>
      <c r="Q14" s="142">
        <v>14855.370089379388</v>
      </c>
      <c r="R14" s="142">
        <v>15412.030180462931</v>
      </c>
      <c r="S14" s="142">
        <v>16782.588807502168</v>
      </c>
      <c r="T14" s="142">
        <v>18049.817359252924</v>
      </c>
      <c r="U14" s="142">
        <v>18612.856216413562</v>
      </c>
      <c r="V14" s="142">
        <v>18197.711308969778</v>
      </c>
      <c r="W14" s="142">
        <v>17981.153881989296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23995.700818581357</v>
      </c>
      <c r="C15" s="144">
        <f t="shared" si="3"/>
        <v>24723.415900387532</v>
      </c>
      <c r="D15" s="144">
        <f t="shared" si="3"/>
        <v>25373.540877211788</v>
      </c>
      <c r="E15" s="144">
        <f t="shared" si="3"/>
        <v>26462.71911822891</v>
      </c>
      <c r="F15" s="144">
        <f t="shared" si="3"/>
        <v>26560.934474541224</v>
      </c>
      <c r="G15" s="144">
        <f t="shared" si="3"/>
        <v>26546.473011762399</v>
      </c>
      <c r="H15" s="144">
        <f t="shared" si="3"/>
        <v>26325.745707957241</v>
      </c>
      <c r="I15" s="144">
        <f t="shared" si="3"/>
        <v>26661.838559076139</v>
      </c>
      <c r="J15" s="144">
        <f t="shared" si="3"/>
        <v>26679.254471988719</v>
      </c>
      <c r="K15" s="144">
        <f t="shared" si="3"/>
        <v>27081.825900609292</v>
      </c>
      <c r="L15" s="144">
        <f t="shared" si="3"/>
        <v>27534.798409010036</v>
      </c>
      <c r="M15" s="144">
        <f t="shared" si="3"/>
        <v>27570.212212137332</v>
      </c>
      <c r="N15" s="144">
        <f t="shared" si="3"/>
        <v>27599.173838315481</v>
      </c>
      <c r="O15" s="144">
        <f t="shared" si="3"/>
        <v>28242.404583315907</v>
      </c>
      <c r="P15" s="144">
        <f t="shared" si="3"/>
        <v>29463.443362602316</v>
      </c>
      <c r="Q15" s="144">
        <f t="shared" si="3"/>
        <v>31332.039501684216</v>
      </c>
      <c r="R15" s="144">
        <f t="shared" ref="R15:W15" si="4">SUM(R5:R12)</f>
        <v>31213.692677209303</v>
      </c>
      <c r="S15" s="144">
        <f t="shared" si="4"/>
        <v>30232.899850403614</v>
      </c>
      <c r="T15" s="144">
        <f t="shared" si="4"/>
        <v>29470.242985671743</v>
      </c>
      <c r="U15" s="144">
        <f t="shared" si="4"/>
        <v>29421.760375730264</v>
      </c>
      <c r="V15" s="144">
        <f t="shared" si="4"/>
        <v>30359.399802141332</v>
      </c>
      <c r="W15" s="144">
        <f t="shared" si="4"/>
        <v>31082.015108263357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5882.7492106193367</v>
      </c>
      <c r="C16" s="140">
        <f t="shared" si="5"/>
        <v>6524.8318003746481</v>
      </c>
      <c r="D16" s="140">
        <f t="shared" si="5"/>
        <v>7402.3573396255542</v>
      </c>
      <c r="E16" s="140">
        <f t="shared" si="5"/>
        <v>8438.6414734071132</v>
      </c>
      <c r="F16" s="140">
        <f t="shared" si="5"/>
        <v>9587.3660654160958</v>
      </c>
      <c r="G16" s="140">
        <f t="shared" si="5"/>
        <v>10871.981106782196</v>
      </c>
      <c r="H16" s="140">
        <f t="shared" si="5"/>
        <v>12510.813997592672</v>
      </c>
      <c r="I16" s="140">
        <f t="shared" si="5"/>
        <v>14686.813130920153</v>
      </c>
      <c r="J16" s="140">
        <f t="shared" si="5"/>
        <v>16391.828692953935</v>
      </c>
      <c r="K16" s="140">
        <f t="shared" si="5"/>
        <v>17639.691456489727</v>
      </c>
      <c r="L16" s="140">
        <f t="shared" si="5"/>
        <v>18572.713041147574</v>
      </c>
      <c r="M16" s="140">
        <f t="shared" si="5"/>
        <v>19428.937204644273</v>
      </c>
      <c r="N16" s="140">
        <f t="shared" si="5"/>
        <v>19602.811325198974</v>
      </c>
      <c r="O16" s="140">
        <f t="shared" si="5"/>
        <v>19895.962076370706</v>
      </c>
      <c r="P16" s="140">
        <f t="shared" si="5"/>
        <v>20380.621206945078</v>
      </c>
      <c r="Q16" s="140">
        <f t="shared" si="5"/>
        <v>20918.839578725161</v>
      </c>
      <c r="R16" s="140">
        <f t="shared" ref="R16:W16" si="6">SUM(R17:R18)</f>
        <v>21070.993182902039</v>
      </c>
      <c r="S16" s="140">
        <f t="shared" si="6"/>
        <v>21088.648688627229</v>
      </c>
      <c r="T16" s="140">
        <f t="shared" si="6"/>
        <v>21233.69877923658</v>
      </c>
      <c r="U16" s="140">
        <f t="shared" si="6"/>
        <v>21295.690219409389</v>
      </c>
      <c r="V16" s="140">
        <f t="shared" si="6"/>
        <v>21486.927769481059</v>
      </c>
      <c r="W16" s="140">
        <f t="shared" si="6"/>
        <v>21807.705266185683</v>
      </c>
      <c r="DA16" s="170" t="s">
        <v>256</v>
      </c>
    </row>
    <row r="17" spans="1:105" ht="12.95" customHeight="1" x14ac:dyDescent="0.25">
      <c r="A17" s="132" t="s">
        <v>73</v>
      </c>
      <c r="B17" s="141">
        <v>7.172800315293034</v>
      </c>
      <c r="C17" s="141">
        <v>7.6884549849675237</v>
      </c>
      <c r="D17" s="141">
        <v>9.5498087267563836</v>
      </c>
      <c r="E17" s="141">
        <v>11.849315384938423</v>
      </c>
      <c r="F17" s="141">
        <v>14.047866477440952</v>
      </c>
      <c r="G17" s="141">
        <v>16.39899282006489</v>
      </c>
      <c r="H17" s="141">
        <v>19.251954064313637</v>
      </c>
      <c r="I17" s="141">
        <v>21.358170863071319</v>
      </c>
      <c r="J17" s="141">
        <v>22.957882569629326</v>
      </c>
      <c r="K17" s="141">
        <v>25.735201064610418</v>
      </c>
      <c r="L17" s="141">
        <v>29.553777408441722</v>
      </c>
      <c r="M17" s="141">
        <v>33.093425037023842</v>
      </c>
      <c r="N17" s="141">
        <v>36.505103413694656</v>
      </c>
      <c r="O17" s="141">
        <v>41.924768656653185</v>
      </c>
      <c r="P17" s="141">
        <v>42.16802109725797</v>
      </c>
      <c r="Q17" s="141">
        <v>63.420699963823573</v>
      </c>
      <c r="R17" s="141">
        <v>74.287428364025686</v>
      </c>
      <c r="S17" s="141">
        <v>90.450512063608457</v>
      </c>
      <c r="T17" s="141">
        <v>113.21314213232384</v>
      </c>
      <c r="U17" s="141">
        <v>128.59416160829525</v>
      </c>
      <c r="V17" s="141">
        <v>126.98896224960308</v>
      </c>
      <c r="W17" s="141">
        <v>135.48033181604134</v>
      </c>
      <c r="DA17" s="171" t="s">
        <v>257</v>
      </c>
    </row>
    <row r="18" spans="1:105" ht="12" customHeight="1" x14ac:dyDescent="0.25">
      <c r="A18" s="132" t="s">
        <v>72</v>
      </c>
      <c r="B18" s="141">
        <v>5875.5764103040437</v>
      </c>
      <c r="C18" s="141">
        <v>6517.1433453896807</v>
      </c>
      <c r="D18" s="141">
        <v>7392.8075308987982</v>
      </c>
      <c r="E18" s="141">
        <v>8426.7921580221755</v>
      </c>
      <c r="F18" s="141">
        <v>9573.3181989386539</v>
      </c>
      <c r="G18" s="141">
        <v>10855.582113962131</v>
      </c>
      <c r="H18" s="141">
        <v>12491.562043528358</v>
      </c>
      <c r="I18" s="141">
        <v>14665.454960057081</v>
      </c>
      <c r="J18" s="141">
        <v>16368.870810384306</v>
      </c>
      <c r="K18" s="141">
        <v>17613.956255425117</v>
      </c>
      <c r="L18" s="141">
        <v>18543.159263739133</v>
      </c>
      <c r="M18" s="141">
        <v>19395.84377960725</v>
      </c>
      <c r="N18" s="141">
        <v>19566.306221785278</v>
      </c>
      <c r="O18" s="141">
        <v>19854.037307714054</v>
      </c>
      <c r="P18" s="141">
        <v>20338.453185847819</v>
      </c>
      <c r="Q18" s="141">
        <v>20855.418878761338</v>
      </c>
      <c r="R18" s="141">
        <v>20996.705754538012</v>
      </c>
      <c r="S18" s="141">
        <v>20998.198176563619</v>
      </c>
      <c r="T18" s="141">
        <v>21120.485637104255</v>
      </c>
      <c r="U18" s="141">
        <v>21167.096057801093</v>
      </c>
      <c r="V18" s="141">
        <v>21359.938807231454</v>
      </c>
      <c r="W18" s="141">
        <v>21672.224934369642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30483.958100080854</v>
      </c>
      <c r="C19" s="140">
        <f t="shared" si="7"/>
        <v>31699.703691304123</v>
      </c>
      <c r="D19" s="140">
        <f t="shared" si="7"/>
        <v>33025.31845385029</v>
      </c>
      <c r="E19" s="140">
        <f t="shared" si="7"/>
        <v>34879.322287322306</v>
      </c>
      <c r="F19" s="140">
        <f t="shared" si="7"/>
        <v>36228.474075566388</v>
      </c>
      <c r="G19" s="140">
        <f t="shared" si="7"/>
        <v>37570.640462043339</v>
      </c>
      <c r="H19" s="140">
        <f t="shared" si="7"/>
        <v>39535.62287995324</v>
      </c>
      <c r="I19" s="140">
        <f t="shared" si="7"/>
        <v>41596.385428818205</v>
      </c>
      <c r="J19" s="140">
        <f t="shared" si="7"/>
        <v>42488.16574854088</v>
      </c>
      <c r="K19" s="140">
        <f t="shared" si="7"/>
        <v>43094.621008831775</v>
      </c>
      <c r="L19" s="140">
        <f t="shared" si="7"/>
        <v>43314.890303806009</v>
      </c>
      <c r="M19" s="140">
        <f t="shared" si="7"/>
        <v>43843.895737927844</v>
      </c>
      <c r="N19" s="140">
        <f t="shared" si="7"/>
        <v>43426.158909224585</v>
      </c>
      <c r="O19" s="140">
        <f t="shared" si="7"/>
        <v>43428.976952197008</v>
      </c>
      <c r="P19" s="140">
        <f t="shared" si="7"/>
        <v>44716.529158092235</v>
      </c>
      <c r="Q19" s="140">
        <f t="shared" si="7"/>
        <v>46187.40959106361</v>
      </c>
      <c r="R19" s="140">
        <f t="shared" ref="R19:W19" si="8">SUM(R20:R26)</f>
        <v>46625.722857672255</v>
      </c>
      <c r="S19" s="140">
        <f t="shared" si="8"/>
        <v>47015.488657905742</v>
      </c>
      <c r="T19" s="140">
        <f t="shared" si="8"/>
        <v>47520.060344924663</v>
      </c>
      <c r="U19" s="140">
        <f t="shared" si="8"/>
        <v>48034.616592143844</v>
      </c>
      <c r="V19" s="140">
        <f t="shared" si="8"/>
        <v>48557.111111111109</v>
      </c>
      <c r="W19" s="140">
        <f t="shared" si="8"/>
        <v>49063.168990252627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904.2729943157068</v>
      </c>
      <c r="C21" s="141">
        <v>1030.8395647065017</v>
      </c>
      <c r="D21" s="141">
        <v>1164.6535313020529</v>
      </c>
      <c r="E21" s="141">
        <v>1277.7306382405422</v>
      </c>
      <c r="F21" s="141">
        <v>1371.1553282383552</v>
      </c>
      <c r="G21" s="141">
        <v>1454.0464992862237</v>
      </c>
      <c r="H21" s="141">
        <v>1556.0850901166959</v>
      </c>
      <c r="I21" s="141">
        <v>1668.2481503350978</v>
      </c>
      <c r="J21" s="141">
        <v>1795.386177173579</v>
      </c>
      <c r="K21" s="141">
        <v>1923.6590838851325</v>
      </c>
      <c r="L21" s="141">
        <v>2008.0375016652408</v>
      </c>
      <c r="M21" s="141">
        <v>2061.5745598684402</v>
      </c>
      <c r="N21" s="141">
        <v>2086.1210538765577</v>
      </c>
      <c r="O21" s="141">
        <v>2118.5316325905942</v>
      </c>
      <c r="P21" s="141">
        <v>2162.2527988937672</v>
      </c>
      <c r="Q21" s="141">
        <v>2189.7734905548659</v>
      </c>
      <c r="R21" s="141">
        <v>2167.5793695681064</v>
      </c>
      <c r="S21" s="141">
        <v>2083.5217163557186</v>
      </c>
      <c r="T21" s="141">
        <v>1972.0649207261415</v>
      </c>
      <c r="U21" s="141">
        <v>1857.4326995408001</v>
      </c>
      <c r="V21" s="141">
        <v>1733.6518826263757</v>
      </c>
      <c r="W21" s="141">
        <v>1721.2198305287411</v>
      </c>
      <c r="DA21" s="171" t="s">
        <v>261</v>
      </c>
    </row>
    <row r="22" spans="1:105" ht="12" customHeight="1" x14ac:dyDescent="0.25">
      <c r="A22" s="132" t="s">
        <v>168</v>
      </c>
      <c r="B22" s="141">
        <v>3497.6484286686109</v>
      </c>
      <c r="C22" s="141">
        <v>3617.6665228584839</v>
      </c>
      <c r="D22" s="141">
        <v>3808.9068659103782</v>
      </c>
      <c r="E22" s="141">
        <v>4014.3938509534651</v>
      </c>
      <c r="F22" s="141">
        <v>4212.0835370178547</v>
      </c>
      <c r="G22" s="141">
        <v>4477.9043831437784</v>
      </c>
      <c r="H22" s="141">
        <v>4756.8284590619551</v>
      </c>
      <c r="I22" s="141">
        <v>5032.8684858022625</v>
      </c>
      <c r="J22" s="141">
        <v>5189.1834339470133</v>
      </c>
      <c r="K22" s="141">
        <v>5237.6381303264261</v>
      </c>
      <c r="L22" s="141">
        <v>5131.7033323635806</v>
      </c>
      <c r="M22" s="141">
        <v>4884.6442396497951</v>
      </c>
      <c r="N22" s="141">
        <v>4580.076897012118</v>
      </c>
      <c r="O22" s="141">
        <v>4298.6282295582705</v>
      </c>
      <c r="P22" s="141">
        <v>4087.8407475290492</v>
      </c>
      <c r="Q22" s="141">
        <v>3951.0361233696754</v>
      </c>
      <c r="R22" s="141">
        <v>3878.2264809760418</v>
      </c>
      <c r="S22" s="141">
        <v>3846.4094483149042</v>
      </c>
      <c r="T22" s="141">
        <v>3812.7174361779475</v>
      </c>
      <c r="U22" s="141">
        <v>3786.8168064080605</v>
      </c>
      <c r="V22" s="141">
        <v>3709.7588836225004</v>
      </c>
      <c r="W22" s="141">
        <v>3671.8257812138872</v>
      </c>
      <c r="DA22" s="171" t="s">
        <v>262</v>
      </c>
    </row>
    <row r="23" spans="1:105" ht="12" customHeight="1" x14ac:dyDescent="0.25">
      <c r="A23" s="132" t="s">
        <v>153</v>
      </c>
      <c r="B23" s="141">
        <v>8748.6719176026236</v>
      </c>
      <c r="C23" s="141">
        <v>9134.7172128922994</v>
      </c>
      <c r="D23" s="141">
        <v>9693.8796355468476</v>
      </c>
      <c r="E23" s="141">
        <v>10204.13663599856</v>
      </c>
      <c r="F23" s="141">
        <v>10639.076884318461</v>
      </c>
      <c r="G23" s="141">
        <v>11042.702689082178</v>
      </c>
      <c r="H23" s="141">
        <v>11411.187428130543</v>
      </c>
      <c r="I23" s="141">
        <v>11729.15992763239</v>
      </c>
      <c r="J23" s="141">
        <v>12050.302718462382</v>
      </c>
      <c r="K23" s="141">
        <v>12319.892667038324</v>
      </c>
      <c r="L23" s="141">
        <v>12593.560401559705</v>
      </c>
      <c r="M23" s="141">
        <v>12883.561847221448</v>
      </c>
      <c r="N23" s="141">
        <v>13204.741434200017</v>
      </c>
      <c r="O23" s="141">
        <v>13727.408017542932</v>
      </c>
      <c r="P23" s="141">
        <v>14558.840791847566</v>
      </c>
      <c r="Q23" s="141">
        <v>15656.902375542228</v>
      </c>
      <c r="R23" s="141">
        <v>16918.452007920012</v>
      </c>
      <c r="S23" s="141">
        <v>17818.055037195343</v>
      </c>
      <c r="T23" s="141">
        <v>18652.447283849113</v>
      </c>
      <c r="U23" s="141">
        <v>19346.550229765089</v>
      </c>
      <c r="V23" s="141">
        <v>19880.098070778182</v>
      </c>
      <c r="W23" s="141">
        <v>20687.607242199174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7948.0480228976821</v>
      </c>
      <c r="C25" s="141">
        <v>7878.8244155431057</v>
      </c>
      <c r="D25" s="141">
        <v>7811.3287310077776</v>
      </c>
      <c r="E25" s="141">
        <v>7759.0083257827637</v>
      </c>
      <c r="F25" s="141">
        <v>7731.3394912622171</v>
      </c>
      <c r="G25" s="141">
        <v>7757.5344532841127</v>
      </c>
      <c r="H25" s="141">
        <v>7790.1899234151606</v>
      </c>
      <c r="I25" s="141">
        <v>7791.731437237434</v>
      </c>
      <c r="J25" s="141">
        <v>7752.875096032385</v>
      </c>
      <c r="K25" s="141">
        <v>7706.9187531663119</v>
      </c>
      <c r="L25" s="141">
        <v>7697.3772408388531</v>
      </c>
      <c r="M25" s="141">
        <v>7728.9379265863554</v>
      </c>
      <c r="N25" s="141">
        <v>7751.8496928737886</v>
      </c>
      <c r="O25" s="141">
        <v>7809.0032016410232</v>
      </c>
      <c r="P25" s="141">
        <v>7904.6007959536028</v>
      </c>
      <c r="Q25" s="141">
        <v>7998.4936883540277</v>
      </c>
      <c r="R25" s="141">
        <v>8055.1310040773633</v>
      </c>
      <c r="S25" s="141">
        <v>8109.6792945659363</v>
      </c>
      <c r="T25" s="141">
        <v>8190.6467731511029</v>
      </c>
      <c r="U25" s="141">
        <v>8320.0393667460685</v>
      </c>
      <c r="V25" s="141">
        <v>8523.6894029174546</v>
      </c>
      <c r="W25" s="141">
        <v>8659.5091389550125</v>
      </c>
      <c r="DA25" s="171" t="s">
        <v>265</v>
      </c>
    </row>
    <row r="26" spans="1:105" ht="12" customHeight="1" x14ac:dyDescent="0.25">
      <c r="A26" s="132" t="s">
        <v>24</v>
      </c>
      <c r="B26" s="142">
        <v>9385.3167365962345</v>
      </c>
      <c r="C26" s="142">
        <v>10037.655975303731</v>
      </c>
      <c r="D26" s="142">
        <v>10546.549690083239</v>
      </c>
      <c r="E26" s="142">
        <v>11624.052836346975</v>
      </c>
      <c r="F26" s="142">
        <v>12274.818834729498</v>
      </c>
      <c r="G26" s="142">
        <v>12838.452437247048</v>
      </c>
      <c r="H26" s="142">
        <v>14021.331979228888</v>
      </c>
      <c r="I26" s="142">
        <v>15374.377427811014</v>
      </c>
      <c r="J26" s="142">
        <v>15700.418322925521</v>
      </c>
      <c r="K26" s="142">
        <v>15906.512374415579</v>
      </c>
      <c r="L26" s="142">
        <v>15884.211827378631</v>
      </c>
      <c r="M26" s="142">
        <v>16285.177164601806</v>
      </c>
      <c r="N26" s="142">
        <v>15803.369831262102</v>
      </c>
      <c r="O26" s="142">
        <v>15475.405870864191</v>
      </c>
      <c r="P26" s="142">
        <v>16002.994023868247</v>
      </c>
      <c r="Q26" s="142">
        <v>16391.203913242814</v>
      </c>
      <c r="R26" s="142">
        <v>15606.333995130728</v>
      </c>
      <c r="S26" s="142">
        <v>15157.82316147384</v>
      </c>
      <c r="T26" s="142">
        <v>14892.18393102036</v>
      </c>
      <c r="U26" s="142">
        <v>14723.777489683822</v>
      </c>
      <c r="V26" s="142">
        <v>14709.912871166598</v>
      </c>
      <c r="W26" s="142">
        <v>14323.006997355809</v>
      </c>
      <c r="DA26" s="172" t="s">
        <v>266</v>
      </c>
    </row>
    <row r="27" spans="1:105" ht="12" customHeight="1" x14ac:dyDescent="0.25">
      <c r="A27" s="145" t="s">
        <v>26</v>
      </c>
      <c r="B27" s="151">
        <v>438.1883061270139</v>
      </c>
      <c r="C27" s="151">
        <v>453.7000582775978</v>
      </c>
      <c r="D27" s="151">
        <v>546.24254631003134</v>
      </c>
      <c r="E27" s="151">
        <v>600.05581601928395</v>
      </c>
      <c r="F27" s="151">
        <v>725.16366823167027</v>
      </c>
      <c r="G27" s="151">
        <v>830.70088706858701</v>
      </c>
      <c r="H27" s="151">
        <v>996.03956640132651</v>
      </c>
      <c r="I27" s="151">
        <v>1168.7532208548182</v>
      </c>
      <c r="J27" s="151">
        <v>1437.6689344041522</v>
      </c>
      <c r="K27" s="151">
        <v>1612.3223602992248</v>
      </c>
      <c r="L27" s="151">
        <v>1789.0161800142191</v>
      </c>
      <c r="M27" s="151">
        <v>2124.7715805126541</v>
      </c>
      <c r="N27" s="151">
        <v>2432.0865274676084</v>
      </c>
      <c r="O27" s="151">
        <v>2672.5912762218968</v>
      </c>
      <c r="P27" s="151">
        <v>3105.4709547402144</v>
      </c>
      <c r="Q27" s="151">
        <v>3583.4507532253247</v>
      </c>
      <c r="R27" s="151">
        <v>3891.4731595503804</v>
      </c>
      <c r="S27" s="151">
        <v>4228.6164168717914</v>
      </c>
      <c r="T27" s="151">
        <v>4586.9523054724132</v>
      </c>
      <c r="U27" s="151">
        <v>5091.5513406928494</v>
      </c>
      <c r="V27" s="151">
        <v>5454.0986889409278</v>
      </c>
      <c r="W27" s="151">
        <v>5681.3519499359691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30483.958100080858</v>
      </c>
      <c r="C29" s="140">
        <f t="shared" si="9"/>
        <v>31699.703691304116</v>
      </c>
      <c r="D29" s="140">
        <f t="shared" si="9"/>
        <v>33025.31845385029</v>
      </c>
      <c r="E29" s="140">
        <f t="shared" si="9"/>
        <v>34879.322287322306</v>
      </c>
      <c r="F29" s="140">
        <f t="shared" si="9"/>
        <v>36228.474075566381</v>
      </c>
      <c r="G29" s="140">
        <f t="shared" si="9"/>
        <v>37570.640462043346</v>
      </c>
      <c r="H29" s="140">
        <f t="shared" si="9"/>
        <v>39535.622879953247</v>
      </c>
      <c r="I29" s="140">
        <f t="shared" si="9"/>
        <v>41596.385428818205</v>
      </c>
      <c r="J29" s="140">
        <f t="shared" si="9"/>
        <v>42488.16574854088</v>
      </c>
      <c r="K29" s="140">
        <f t="shared" si="9"/>
        <v>43094.621008831782</v>
      </c>
      <c r="L29" s="140">
        <f t="shared" si="9"/>
        <v>43314.890303806002</v>
      </c>
      <c r="M29" s="140">
        <f t="shared" si="9"/>
        <v>43843.895737927865</v>
      </c>
      <c r="N29" s="140">
        <f t="shared" si="9"/>
        <v>43426.158909224585</v>
      </c>
      <c r="O29" s="140">
        <f t="shared" si="9"/>
        <v>43428.976952197008</v>
      </c>
      <c r="P29" s="140">
        <f t="shared" si="9"/>
        <v>44716.529158092206</v>
      </c>
      <c r="Q29" s="140">
        <f t="shared" si="9"/>
        <v>46187.40959106361</v>
      </c>
      <c r="R29" s="140">
        <f t="shared" ref="R29:W29" si="10">SUM(R30:R33)</f>
        <v>46625.722857672285</v>
      </c>
      <c r="S29" s="140">
        <f t="shared" si="10"/>
        <v>47015.488657905713</v>
      </c>
      <c r="T29" s="140">
        <f t="shared" si="10"/>
        <v>47520.060344924656</v>
      </c>
      <c r="U29" s="140">
        <f t="shared" si="10"/>
        <v>48034.616592143822</v>
      </c>
      <c r="V29" s="140">
        <f t="shared" si="10"/>
        <v>48557.111111111124</v>
      </c>
      <c r="W29" s="140">
        <f t="shared" si="10"/>
        <v>49063.168990252598</v>
      </c>
      <c r="DA29" s="170" t="s">
        <v>268</v>
      </c>
    </row>
    <row r="30" spans="1:105" ht="12" customHeight="1" x14ac:dyDescent="0.25">
      <c r="A30" s="132" t="s">
        <v>52</v>
      </c>
      <c r="B30" s="141">
        <v>1125.5891258742161</v>
      </c>
      <c r="C30" s="141">
        <v>1598.2326613440832</v>
      </c>
      <c r="D30" s="141">
        <v>1888.7384512820834</v>
      </c>
      <c r="E30" s="141">
        <v>2225.7222467616807</v>
      </c>
      <c r="F30" s="141">
        <v>2460.7597666699667</v>
      </c>
      <c r="G30" s="141">
        <v>2592.0399553365114</v>
      </c>
      <c r="H30" s="141">
        <v>2749.4133653152139</v>
      </c>
      <c r="I30" s="141">
        <v>2873.0750879006646</v>
      </c>
      <c r="J30" s="141">
        <v>3131.427463590484</v>
      </c>
      <c r="K30" s="141">
        <v>3322.2206388355075</v>
      </c>
      <c r="L30" s="141">
        <v>3385.4479412946098</v>
      </c>
      <c r="M30" s="141">
        <v>3385.8276836999726</v>
      </c>
      <c r="N30" s="141">
        <v>3340.5276027733635</v>
      </c>
      <c r="O30" s="141">
        <v>3211.8421112959272</v>
      </c>
      <c r="P30" s="141">
        <v>3182.7095748739625</v>
      </c>
      <c r="Q30" s="141">
        <v>3195.447276896009</v>
      </c>
      <c r="R30" s="141">
        <v>3255.6320735366853</v>
      </c>
      <c r="S30" s="141">
        <v>3212.8443614527305</v>
      </c>
      <c r="T30" s="141">
        <v>3184.2791263591826</v>
      </c>
      <c r="U30" s="141">
        <v>3226.1778670674089</v>
      </c>
      <c r="V30" s="141">
        <v>3248.2438757567897</v>
      </c>
      <c r="W30" s="141">
        <v>3272.813930709834</v>
      </c>
      <c r="DA30" s="171" t="s">
        <v>269</v>
      </c>
    </row>
    <row r="31" spans="1:105" ht="12" customHeight="1" x14ac:dyDescent="0.25">
      <c r="A31" s="132" t="s">
        <v>153</v>
      </c>
      <c r="B31" s="141">
        <v>3225.6866264499304</v>
      </c>
      <c r="C31" s="141">
        <v>3256.7666246371045</v>
      </c>
      <c r="D31" s="141">
        <v>3322.6001178047727</v>
      </c>
      <c r="E31" s="141">
        <v>3396.2757586493271</v>
      </c>
      <c r="F31" s="141">
        <v>3439.6209175052163</v>
      </c>
      <c r="G31" s="141">
        <v>3520.9443603732075</v>
      </c>
      <c r="H31" s="141">
        <v>3590.3223274636989</v>
      </c>
      <c r="I31" s="141">
        <v>3687.5415581544867</v>
      </c>
      <c r="J31" s="141">
        <v>3757.0378639829769</v>
      </c>
      <c r="K31" s="141">
        <v>3809.4132056460421</v>
      </c>
      <c r="L31" s="141">
        <v>3869.5681453874572</v>
      </c>
      <c r="M31" s="141">
        <v>3968.813762362875</v>
      </c>
      <c r="N31" s="141">
        <v>4053.3559369697587</v>
      </c>
      <c r="O31" s="141">
        <v>4135.850501918374</v>
      </c>
      <c r="P31" s="141">
        <v>4252.35169801345</v>
      </c>
      <c r="Q31" s="141">
        <v>4461.9652055260622</v>
      </c>
      <c r="R31" s="141">
        <v>4651.5822542521964</v>
      </c>
      <c r="S31" s="141">
        <v>4829.0170909524004</v>
      </c>
      <c r="T31" s="141">
        <v>4924.1594230810033</v>
      </c>
      <c r="U31" s="141">
        <v>4956.1478425940268</v>
      </c>
      <c r="V31" s="141">
        <v>5016.9831291061819</v>
      </c>
      <c r="W31" s="141">
        <v>5068.2096624119358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191.74748716559324</v>
      </c>
      <c r="L32" s="141">
        <v>241.3588281920465</v>
      </c>
      <c r="M32" s="141">
        <v>259.15248735936945</v>
      </c>
      <c r="N32" s="141">
        <v>258.59296472344715</v>
      </c>
      <c r="O32" s="141">
        <v>257.42076438067159</v>
      </c>
      <c r="P32" s="141">
        <v>253.77236910457674</v>
      </c>
      <c r="Q32" s="141">
        <v>254.68340861677598</v>
      </c>
      <c r="R32" s="141">
        <v>262.51855872725685</v>
      </c>
      <c r="S32" s="141">
        <v>270.0386979556211</v>
      </c>
      <c r="T32" s="141">
        <v>316.73321053254875</v>
      </c>
      <c r="U32" s="141">
        <v>346.18147979680037</v>
      </c>
      <c r="V32" s="141">
        <v>353.27713169829968</v>
      </c>
      <c r="W32" s="141">
        <v>352.73299259642482</v>
      </c>
      <c r="DA32" s="171" t="s">
        <v>271</v>
      </c>
    </row>
    <row r="33" spans="1:105" ht="12" customHeight="1" x14ac:dyDescent="0.25">
      <c r="A33" s="62" t="s">
        <v>24</v>
      </c>
      <c r="B33" s="153">
        <v>26132.682347756712</v>
      </c>
      <c r="C33" s="153">
        <v>26844.704405322929</v>
      </c>
      <c r="D33" s="153">
        <v>27813.979884763434</v>
      </c>
      <c r="E33" s="153">
        <v>29257.3242819113</v>
      </c>
      <c r="F33" s="153">
        <v>30328.093391391201</v>
      </c>
      <c r="G33" s="153">
        <v>31457.656146333626</v>
      </c>
      <c r="H33" s="153">
        <v>33195.887187174332</v>
      </c>
      <c r="I33" s="153">
        <v>35035.768782763051</v>
      </c>
      <c r="J33" s="153">
        <v>35599.70042096742</v>
      </c>
      <c r="K33" s="153">
        <v>35771.23967718464</v>
      </c>
      <c r="L33" s="153">
        <v>35818.51538893189</v>
      </c>
      <c r="M33" s="153">
        <v>36230.101804505648</v>
      </c>
      <c r="N33" s="153">
        <v>35773.682404758016</v>
      </c>
      <c r="O33" s="153">
        <v>35823.863574602037</v>
      </c>
      <c r="P33" s="153">
        <v>37027.695516100219</v>
      </c>
      <c r="Q33" s="153">
        <v>38275.313700024766</v>
      </c>
      <c r="R33" s="153">
        <v>38455.989971156145</v>
      </c>
      <c r="S33" s="153">
        <v>38703.588507544962</v>
      </c>
      <c r="T33" s="153">
        <v>39094.888584951921</v>
      </c>
      <c r="U33" s="153">
        <v>39506.109402685586</v>
      </c>
      <c r="V33" s="153">
        <v>39938.606974549853</v>
      </c>
      <c r="W33" s="153">
        <v>40369.412404534407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390.96038832655449</v>
      </c>
      <c r="C3" s="126">
        <f t="shared" si="0"/>
        <v>454.75255634266512</v>
      </c>
      <c r="D3" s="126">
        <f t="shared" si="0"/>
        <v>475.84218599814392</v>
      </c>
      <c r="E3" s="126">
        <f t="shared" si="0"/>
        <v>503.48008633858427</v>
      </c>
      <c r="F3" s="126">
        <f t="shared" si="0"/>
        <v>514.88412916204379</v>
      </c>
      <c r="G3" s="126">
        <f t="shared" si="0"/>
        <v>533.5089050820103</v>
      </c>
      <c r="H3" s="126">
        <f t="shared" si="0"/>
        <v>516.65163398210461</v>
      </c>
      <c r="I3" s="126">
        <f t="shared" si="0"/>
        <v>498.65638688725983</v>
      </c>
      <c r="J3" s="126">
        <f t="shared" si="0"/>
        <v>538.85367141508834</v>
      </c>
      <c r="K3" s="126">
        <f t="shared" si="0"/>
        <v>539.2350852080649</v>
      </c>
      <c r="L3" s="126">
        <f t="shared" si="0"/>
        <v>575.16502621600489</v>
      </c>
      <c r="M3" s="126">
        <f t="shared" si="0"/>
        <v>560.81433220968597</v>
      </c>
      <c r="N3" s="126">
        <f t="shared" si="0"/>
        <v>531.39512308112342</v>
      </c>
      <c r="O3" s="126">
        <f t="shared" si="0"/>
        <v>511.39887903023708</v>
      </c>
      <c r="P3" s="126">
        <f t="shared" si="0"/>
        <v>458.77349996199376</v>
      </c>
      <c r="Q3" s="126">
        <f t="shared" si="0"/>
        <v>521.47793298653312</v>
      </c>
      <c r="R3" s="126">
        <f t="shared" ref="R3:W3" si="1">SUM(R4,R16,R19,R29)</f>
        <v>540.12068155145528</v>
      </c>
      <c r="S3" s="126">
        <f t="shared" si="1"/>
        <v>579.2208357335669</v>
      </c>
      <c r="T3" s="126">
        <f t="shared" si="1"/>
        <v>595.3208448526965</v>
      </c>
      <c r="U3" s="126">
        <f t="shared" si="1"/>
        <v>600.20326279114408</v>
      </c>
      <c r="V3" s="126">
        <f t="shared" si="1"/>
        <v>543.64964737593709</v>
      </c>
      <c r="W3" s="126">
        <f t="shared" si="1"/>
        <v>628.39095067488131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273.093382101374</v>
      </c>
      <c r="C4" s="131">
        <f t="shared" si="2"/>
        <v>329.45215561851734</v>
      </c>
      <c r="D4" s="131">
        <f t="shared" si="2"/>
        <v>344.11741258528559</v>
      </c>
      <c r="E4" s="131">
        <f t="shared" si="2"/>
        <v>359.43946349770619</v>
      </c>
      <c r="F4" s="131">
        <f t="shared" si="2"/>
        <v>369.21587127981144</v>
      </c>
      <c r="G4" s="131">
        <f t="shared" si="2"/>
        <v>381.23228463516631</v>
      </c>
      <c r="H4" s="131">
        <f t="shared" si="2"/>
        <v>355.86814788972424</v>
      </c>
      <c r="I4" s="131">
        <f t="shared" si="2"/>
        <v>328.52611666267904</v>
      </c>
      <c r="J4" s="131">
        <f t="shared" si="2"/>
        <v>361.00062502975555</v>
      </c>
      <c r="K4" s="131">
        <f t="shared" si="2"/>
        <v>354.74099672109531</v>
      </c>
      <c r="L4" s="131">
        <f t="shared" si="2"/>
        <v>387.34032869818122</v>
      </c>
      <c r="M4" s="131">
        <f t="shared" si="2"/>
        <v>370.79380904506286</v>
      </c>
      <c r="N4" s="131">
        <f t="shared" si="2"/>
        <v>331.23037058163027</v>
      </c>
      <c r="O4" s="131">
        <f t="shared" si="2"/>
        <v>316.42939912019557</v>
      </c>
      <c r="P4" s="131">
        <f t="shared" si="2"/>
        <v>261.75784869629302</v>
      </c>
      <c r="Q4" s="131">
        <f t="shared" si="2"/>
        <v>312.9885588516741</v>
      </c>
      <c r="R4" s="131">
        <f t="shared" ref="R4:W4" si="3">SUM(R5:R15)</f>
        <v>334.55560599074488</v>
      </c>
      <c r="S4" s="131">
        <f t="shared" si="3"/>
        <v>366.3972694884539</v>
      </c>
      <c r="T4" s="131">
        <f t="shared" si="3"/>
        <v>386.03578458815014</v>
      </c>
      <c r="U4" s="131">
        <f t="shared" si="3"/>
        <v>386.765654292308</v>
      </c>
      <c r="V4" s="131">
        <f t="shared" si="3"/>
        <v>354.8923283402101</v>
      </c>
      <c r="W4" s="131">
        <f t="shared" si="3"/>
        <v>416.49519042018829</v>
      </c>
      <c r="DA4" s="156" t="s">
        <v>213</v>
      </c>
    </row>
    <row r="5" spans="1:105" ht="12" customHeight="1" x14ac:dyDescent="0.25">
      <c r="A5" s="132" t="s">
        <v>29</v>
      </c>
      <c r="B5" s="133">
        <v>3.9842648323301799</v>
      </c>
      <c r="C5" s="133">
        <v>3.0006878761822868</v>
      </c>
      <c r="D5" s="133">
        <v>3.9903697334479795</v>
      </c>
      <c r="E5" s="133">
        <v>4.9386070507308677</v>
      </c>
      <c r="F5" s="133">
        <v>2.2110920034393806</v>
      </c>
      <c r="G5" s="133">
        <v>0.32674118658641438</v>
      </c>
      <c r="H5" s="133">
        <v>1.911435941530524</v>
      </c>
      <c r="I5" s="133">
        <v>1.021066208082545</v>
      </c>
      <c r="J5" s="133">
        <v>1.715391229578676</v>
      </c>
      <c r="K5" s="133">
        <v>1.633705932932072</v>
      </c>
      <c r="L5" s="133">
        <v>0.99183147033533914</v>
      </c>
      <c r="M5" s="133">
        <v>2.0812553740326742</v>
      </c>
      <c r="N5" s="133">
        <v>2.004213241616509</v>
      </c>
      <c r="O5" s="133">
        <v>0.18374892519346525</v>
      </c>
      <c r="P5" s="133">
        <v>7.5752364574376618E-2</v>
      </c>
      <c r="Q5" s="133">
        <v>3.8177128116938956E-2</v>
      </c>
      <c r="R5" s="133">
        <v>4.0326741186586398E-2</v>
      </c>
      <c r="S5" s="133">
        <v>0.12252794496990548</v>
      </c>
      <c r="T5" s="133">
        <v>4.0842648323301846E-2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118.61358225000934</v>
      </c>
      <c r="C7" s="133">
        <v>129.30184767674498</v>
      </c>
      <c r="D7" s="133">
        <v>145.80624847320982</v>
      </c>
      <c r="E7" s="133">
        <v>146.41336911712963</v>
      </c>
      <c r="F7" s="133">
        <v>143.64011100066864</v>
      </c>
      <c r="G7" s="133">
        <v>128.60574785869412</v>
      </c>
      <c r="H7" s="133">
        <v>108.81275124526456</v>
      </c>
      <c r="I7" s="133">
        <v>86.135734788356288</v>
      </c>
      <c r="J7" s="133">
        <v>79.907567901907981</v>
      </c>
      <c r="K7" s="133">
        <v>75.46378219841742</v>
      </c>
      <c r="L7" s="133">
        <v>71.064673379400716</v>
      </c>
      <c r="M7" s="133">
        <v>64.353032423569459</v>
      </c>
      <c r="N7" s="133">
        <v>49.948606234845712</v>
      </c>
      <c r="O7" s="133">
        <v>40.448629760233345</v>
      </c>
      <c r="P7" s="133">
        <v>29.986489262208949</v>
      </c>
      <c r="Q7" s="133">
        <v>39.61802476194422</v>
      </c>
      <c r="R7" s="133">
        <v>37.922645701147154</v>
      </c>
      <c r="S7" s="133">
        <v>36.571770608500032</v>
      </c>
      <c r="T7" s="133">
        <v>29.765920203783221</v>
      </c>
      <c r="U7" s="133">
        <v>19.499091435447966</v>
      </c>
      <c r="V7" s="133">
        <v>19.345291466310137</v>
      </c>
      <c r="W7" s="133">
        <v>16.253952189216477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54.994577520791552</v>
      </c>
      <c r="C9" s="133">
        <v>81.937700344898445</v>
      </c>
      <c r="D9" s="133">
        <v>73.206665783095957</v>
      </c>
      <c r="E9" s="133">
        <v>78.745990884899186</v>
      </c>
      <c r="F9" s="133">
        <v>83.801808510168485</v>
      </c>
      <c r="G9" s="133">
        <v>93.039159026472177</v>
      </c>
      <c r="H9" s="133">
        <v>89.710988869542362</v>
      </c>
      <c r="I9" s="133">
        <v>86.415523994562108</v>
      </c>
      <c r="J9" s="133">
        <v>95.945033137428879</v>
      </c>
      <c r="K9" s="133">
        <v>98.717089389856895</v>
      </c>
      <c r="L9" s="133">
        <v>122.1618815309718</v>
      </c>
      <c r="M9" s="133">
        <v>105.40890808437348</v>
      </c>
      <c r="N9" s="133">
        <v>94.573630236509771</v>
      </c>
      <c r="O9" s="133">
        <v>97.30812467851959</v>
      </c>
      <c r="P9" s="133">
        <v>92.231246275455874</v>
      </c>
      <c r="Q9" s="133">
        <v>126.39387230726496</v>
      </c>
      <c r="R9" s="133">
        <v>135.8724087385217</v>
      </c>
      <c r="S9" s="133">
        <v>143.81292943451942</v>
      </c>
      <c r="T9" s="133">
        <v>152.90514991157929</v>
      </c>
      <c r="U9" s="133">
        <v>159.5166073164259</v>
      </c>
      <c r="V9" s="133">
        <v>150.77846573714055</v>
      </c>
      <c r="W9" s="133">
        <v>182.4849586741702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2.1496130696474642</v>
      </c>
      <c r="J10" s="133">
        <v>1.9346517626827182</v>
      </c>
      <c r="K10" s="133">
        <v>2.6750644883920893</v>
      </c>
      <c r="L10" s="133">
        <v>2.3645743766122109</v>
      </c>
      <c r="M10" s="133">
        <v>3.1049871023215827</v>
      </c>
      <c r="N10" s="133">
        <v>2.6368946523284991</v>
      </c>
      <c r="O10" s="133">
        <v>2.6990954741663113</v>
      </c>
      <c r="P10" s="133">
        <v>3.5827171109200338</v>
      </c>
      <c r="Q10" s="133">
        <v>4.7291487532244156</v>
      </c>
      <c r="R10" s="133">
        <v>6.2099742046431672</v>
      </c>
      <c r="S10" s="133">
        <v>7.5595012897678373</v>
      </c>
      <c r="T10" s="133">
        <v>9.0804815133276033</v>
      </c>
      <c r="U10" s="133">
        <v>11.175322441960446</v>
      </c>
      <c r="V10" s="133">
        <v>12.384608770421305</v>
      </c>
      <c r="W10" s="133">
        <v>12.296302665520207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3.3438521066208073</v>
      </c>
      <c r="J11" s="133">
        <v>3.2005159071367144</v>
      </c>
      <c r="K11" s="133">
        <v>3.1527944969905408</v>
      </c>
      <c r="L11" s="133">
        <v>6.8071367153912306</v>
      </c>
      <c r="M11" s="133">
        <v>6.8548581255374028</v>
      </c>
      <c r="N11" s="133">
        <v>6.9503869303525381</v>
      </c>
      <c r="O11" s="133">
        <v>6.8309544282029213</v>
      </c>
      <c r="P11" s="133">
        <v>3.7021496130696465</v>
      </c>
      <c r="Q11" s="133">
        <v>4.8724849527085112</v>
      </c>
      <c r="R11" s="133">
        <v>4.9919174548581253</v>
      </c>
      <c r="S11" s="133">
        <v>4.4592433361994805</v>
      </c>
      <c r="T11" s="133">
        <v>4.1033533963886484</v>
      </c>
      <c r="U11" s="133">
        <v>3.8859845227859013</v>
      </c>
      <c r="V11" s="133">
        <v>3.7642304385210639</v>
      </c>
      <c r="W11" s="133">
        <v>3.2960447119518488</v>
      </c>
      <c r="DA11" s="157" t="s">
        <v>280</v>
      </c>
    </row>
    <row r="12" spans="1:105" ht="12" customHeight="1" x14ac:dyDescent="0.25">
      <c r="A12" s="132" t="s">
        <v>169</v>
      </c>
      <c r="B12" s="133">
        <v>47.815948440249755</v>
      </c>
      <c r="C12" s="133">
        <v>53.985790450716785</v>
      </c>
      <c r="D12" s="133">
        <v>52.565822094139925</v>
      </c>
      <c r="E12" s="133">
        <v>59.464956193266559</v>
      </c>
      <c r="F12" s="133">
        <v>57.60610030575949</v>
      </c>
      <c r="G12" s="133">
        <v>61.334781925053491</v>
      </c>
      <c r="H12" s="133">
        <v>51.987411930743896</v>
      </c>
      <c r="I12" s="133">
        <v>48.372990192149132</v>
      </c>
      <c r="J12" s="133">
        <v>52.704451750195652</v>
      </c>
      <c r="K12" s="133">
        <v>52.187113889182214</v>
      </c>
      <c r="L12" s="133">
        <v>61.231923115726396</v>
      </c>
      <c r="M12" s="133">
        <v>61.385068216170851</v>
      </c>
      <c r="N12" s="133">
        <v>57.527276341799741</v>
      </c>
      <c r="O12" s="133">
        <v>58.5760205150902</v>
      </c>
      <c r="P12" s="133">
        <v>42.94807339890982</v>
      </c>
      <c r="Q12" s="133">
        <v>47.762841547406325</v>
      </c>
      <c r="R12" s="133">
        <v>49.8936912307447</v>
      </c>
      <c r="S12" s="133">
        <v>47.961693241278688</v>
      </c>
      <c r="T12" s="133">
        <v>44.411570294837603</v>
      </c>
      <c r="U12" s="133">
        <v>43.254092161196297</v>
      </c>
      <c r="V12" s="133">
        <v>47.113530684039638</v>
      </c>
      <c r="W12" s="133">
        <v>55.298158089077823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45.916309665530612</v>
      </c>
      <c r="C14" s="65">
        <v>59.097336307541298</v>
      </c>
      <c r="D14" s="65">
        <v>66.375167966883694</v>
      </c>
      <c r="E14" s="65">
        <v>67.623300666146775</v>
      </c>
      <c r="F14" s="65">
        <v>79.710480724526931</v>
      </c>
      <c r="G14" s="65">
        <v>95.72476424226312</v>
      </c>
      <c r="H14" s="65">
        <v>101.47525960502577</v>
      </c>
      <c r="I14" s="65">
        <v>99.337903746649545</v>
      </c>
      <c r="J14" s="65">
        <v>123.7877219945286</v>
      </c>
      <c r="K14" s="65">
        <v>119.11382559391321</v>
      </c>
      <c r="L14" s="65">
        <v>120.67736306996255</v>
      </c>
      <c r="M14" s="65">
        <v>125.76620980684386</v>
      </c>
      <c r="N14" s="65">
        <v>115.97300522832988</v>
      </c>
      <c r="O14" s="65">
        <v>108.79665000131629</v>
      </c>
      <c r="P14" s="65">
        <v>87.840756794316178</v>
      </c>
      <c r="Q14" s="65">
        <v>87.696836173363366</v>
      </c>
      <c r="R14" s="65">
        <v>97.635944213216504</v>
      </c>
      <c r="S14" s="65">
        <v>123.83351289301329</v>
      </c>
      <c r="T14" s="65">
        <v>143.60632813983102</v>
      </c>
      <c r="U14" s="65">
        <v>147.31327166812494</v>
      </c>
      <c r="V14" s="65">
        <v>119.44071810925375</v>
      </c>
      <c r="W14" s="65">
        <v>144.43282884456588</v>
      </c>
      <c r="DA14" s="109" t="s">
        <v>283</v>
      </c>
    </row>
    <row r="15" spans="1:105" ht="12" customHeight="1" x14ac:dyDescent="0.25">
      <c r="A15" s="134" t="s">
        <v>80</v>
      </c>
      <c r="B15" s="135">
        <v>1.7686993924625372</v>
      </c>
      <c r="C15" s="135">
        <v>2.1287929624335007</v>
      </c>
      <c r="D15" s="135">
        <v>2.1731385345082073</v>
      </c>
      <c r="E15" s="135">
        <v>2.2532395855332146</v>
      </c>
      <c r="F15" s="135">
        <v>2.2462787352485645</v>
      </c>
      <c r="G15" s="135">
        <v>2.2010903960969785</v>
      </c>
      <c r="H15" s="135">
        <v>1.9703002976170598</v>
      </c>
      <c r="I15" s="135">
        <v>1.7494325566111726</v>
      </c>
      <c r="J15" s="135">
        <v>1.8052913462963098</v>
      </c>
      <c r="K15" s="135">
        <v>1.7976207314109349</v>
      </c>
      <c r="L15" s="135">
        <v>2.0409450397809761</v>
      </c>
      <c r="M15" s="135">
        <v>1.8394899122135577</v>
      </c>
      <c r="N15" s="135">
        <v>1.616357715847581</v>
      </c>
      <c r="O15" s="135">
        <v>1.5861753374734562</v>
      </c>
      <c r="P15" s="135">
        <v>1.3906638768381043</v>
      </c>
      <c r="Q15" s="135">
        <v>1.877173227645345</v>
      </c>
      <c r="R15" s="135">
        <v>1.9886977064269522</v>
      </c>
      <c r="S15" s="135">
        <v>2.0760907402052715</v>
      </c>
      <c r="T15" s="135">
        <v>2.1221384800794398</v>
      </c>
      <c r="U15" s="135">
        <v>2.1212847463665305</v>
      </c>
      <c r="V15" s="135">
        <v>2.0654831345236668</v>
      </c>
      <c r="W15" s="135">
        <v>2.4329452456858434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6.6908759206679429</v>
      </c>
      <c r="C16" s="131">
        <f t="shared" si="4"/>
        <v>6.6945003390864732</v>
      </c>
      <c r="D16" s="131">
        <f t="shared" si="4"/>
        <v>6.9630280174268231</v>
      </c>
      <c r="E16" s="131">
        <f t="shared" si="4"/>
        <v>14.429389398053111</v>
      </c>
      <c r="F16" s="131">
        <f t="shared" si="4"/>
        <v>8.0375902650116213</v>
      </c>
      <c r="G16" s="131">
        <f t="shared" si="4"/>
        <v>8.7744622938441594</v>
      </c>
      <c r="H16" s="131">
        <f t="shared" si="4"/>
        <v>10.91593742065162</v>
      </c>
      <c r="I16" s="131">
        <f t="shared" si="4"/>
        <v>12.691831252773802</v>
      </c>
      <c r="J16" s="131">
        <f t="shared" si="4"/>
        <v>13.205604602943819</v>
      </c>
      <c r="K16" s="131">
        <f t="shared" si="4"/>
        <v>13.424897092500634</v>
      </c>
      <c r="L16" s="131">
        <f t="shared" si="4"/>
        <v>14.130153993469001</v>
      </c>
      <c r="M16" s="131">
        <f t="shared" si="4"/>
        <v>15.57845604286879</v>
      </c>
      <c r="N16" s="131">
        <f t="shared" si="4"/>
        <v>22.724442784227143</v>
      </c>
      <c r="O16" s="131">
        <f t="shared" si="4"/>
        <v>15.104137748688402</v>
      </c>
      <c r="P16" s="131">
        <f t="shared" si="4"/>
        <v>12.324841301607623</v>
      </c>
      <c r="Q16" s="131">
        <f t="shared" si="4"/>
        <v>20.001014899238267</v>
      </c>
      <c r="R16" s="131">
        <f t="shared" ref="R16:W16" si="5">SUM(R17:R18)</f>
        <v>13.469267971711281</v>
      </c>
      <c r="S16" s="131">
        <f t="shared" si="5"/>
        <v>18.944942049039685</v>
      </c>
      <c r="T16" s="131">
        <f t="shared" si="5"/>
        <v>14.027333118018037</v>
      </c>
      <c r="U16" s="131">
        <f t="shared" si="5"/>
        <v>16.711804453272109</v>
      </c>
      <c r="V16" s="131">
        <f t="shared" si="5"/>
        <v>12.90831808849912</v>
      </c>
      <c r="W16" s="131">
        <f t="shared" si="5"/>
        <v>16.97555555510829</v>
      </c>
      <c r="DA16" s="156" t="s">
        <v>214</v>
      </c>
    </row>
    <row r="17" spans="1:105" ht="12.95" customHeight="1" x14ac:dyDescent="0.25">
      <c r="A17" s="132" t="s">
        <v>73</v>
      </c>
      <c r="B17" s="133">
        <v>1.1693903743327872E-2</v>
      </c>
      <c r="C17" s="133">
        <v>1.1798658520931538E-2</v>
      </c>
      <c r="D17" s="133">
        <v>1.4039719250034768E-2</v>
      </c>
      <c r="E17" s="133">
        <v>3.3092519890230696E-2</v>
      </c>
      <c r="F17" s="133">
        <v>2.0084092361353553E-2</v>
      </c>
      <c r="G17" s="133">
        <v>2.354553324264513E-2</v>
      </c>
      <c r="H17" s="133">
        <v>3.1193947948591982E-2</v>
      </c>
      <c r="I17" s="133">
        <v>4.585747436036422E-2</v>
      </c>
      <c r="J17" s="133">
        <v>4.5458906338338365E-2</v>
      </c>
      <c r="K17" s="133">
        <v>4.0159030306028208E-2</v>
      </c>
      <c r="L17" s="133">
        <v>4.6945905466280857E-2</v>
      </c>
      <c r="M17" s="133">
        <v>5.6756751046126583E-2</v>
      </c>
      <c r="N17" s="133">
        <v>7.9831606860352219E-2</v>
      </c>
      <c r="O17" s="133">
        <v>7.1088123766403513E-2</v>
      </c>
      <c r="P17" s="133">
        <v>5.8556812868720734E-2</v>
      </c>
      <c r="Q17" s="133">
        <v>0.14491528198952752</v>
      </c>
      <c r="R17" s="133">
        <v>0.11244303361937422</v>
      </c>
      <c r="S17" s="133">
        <v>0.1956291159087179</v>
      </c>
      <c r="T17" s="133">
        <v>0.18179715916613037</v>
      </c>
      <c r="U17" s="133">
        <v>0.24746363942252711</v>
      </c>
      <c r="V17" s="133">
        <v>0.19015468026414692</v>
      </c>
      <c r="W17" s="133">
        <v>0.2647899471223224</v>
      </c>
      <c r="DA17" s="157" t="s">
        <v>285</v>
      </c>
    </row>
    <row r="18" spans="1:105" ht="12" customHeight="1" x14ac:dyDescent="0.25">
      <c r="A18" s="132" t="s">
        <v>72</v>
      </c>
      <c r="B18" s="133">
        <v>6.6791820169246154</v>
      </c>
      <c r="C18" s="133">
        <v>6.6827016805655415</v>
      </c>
      <c r="D18" s="133">
        <v>6.9489882981767881</v>
      </c>
      <c r="E18" s="133">
        <v>14.396296878162881</v>
      </c>
      <c r="F18" s="133">
        <v>8.0175061726502683</v>
      </c>
      <c r="G18" s="133">
        <v>8.7509167606015144</v>
      </c>
      <c r="H18" s="133">
        <v>10.884743472703027</v>
      </c>
      <c r="I18" s="133">
        <v>12.645973778413438</v>
      </c>
      <c r="J18" s="133">
        <v>13.160145696605481</v>
      </c>
      <c r="K18" s="133">
        <v>13.384738062194605</v>
      </c>
      <c r="L18" s="133">
        <v>14.083208088002721</v>
      </c>
      <c r="M18" s="133">
        <v>15.521699291822664</v>
      </c>
      <c r="N18" s="133">
        <v>22.644611177366791</v>
      </c>
      <c r="O18" s="133">
        <v>15.033049624921999</v>
      </c>
      <c r="P18" s="133">
        <v>12.266284488738902</v>
      </c>
      <c r="Q18" s="133">
        <v>19.856099617248741</v>
      </c>
      <c r="R18" s="133">
        <v>13.356824938091906</v>
      </c>
      <c r="S18" s="133">
        <v>18.749312933130966</v>
      </c>
      <c r="T18" s="133">
        <v>13.845535958851906</v>
      </c>
      <c r="U18" s="133">
        <v>16.464340813849581</v>
      </c>
      <c r="V18" s="133">
        <v>12.718163408234973</v>
      </c>
      <c r="W18" s="133">
        <v>16.710765607985966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56.780051174428621</v>
      </c>
      <c r="C19" s="131">
        <f t="shared" si="6"/>
        <v>59.652155105345415</v>
      </c>
      <c r="D19" s="131">
        <f t="shared" si="6"/>
        <v>63.158703229429833</v>
      </c>
      <c r="E19" s="131">
        <f t="shared" si="6"/>
        <v>66.20316281586426</v>
      </c>
      <c r="F19" s="131">
        <f t="shared" si="6"/>
        <v>70.439075345784687</v>
      </c>
      <c r="G19" s="131">
        <f t="shared" si="6"/>
        <v>73.461060111244649</v>
      </c>
      <c r="H19" s="131">
        <f t="shared" si="6"/>
        <v>75.230692914755295</v>
      </c>
      <c r="I19" s="131">
        <f t="shared" si="6"/>
        <v>78.201755627142475</v>
      </c>
      <c r="J19" s="131">
        <f t="shared" si="6"/>
        <v>81.069222185310167</v>
      </c>
      <c r="K19" s="131">
        <f t="shared" si="6"/>
        <v>82.373706641653996</v>
      </c>
      <c r="L19" s="131">
        <f t="shared" si="6"/>
        <v>83.163631492654829</v>
      </c>
      <c r="M19" s="131">
        <f t="shared" si="6"/>
        <v>83.30258289830644</v>
      </c>
      <c r="N19" s="131">
        <f t="shared" si="6"/>
        <v>83.946249429676257</v>
      </c>
      <c r="O19" s="131">
        <f t="shared" si="6"/>
        <v>84.841259208872884</v>
      </c>
      <c r="P19" s="131">
        <f t="shared" si="6"/>
        <v>85.676987322170106</v>
      </c>
      <c r="Q19" s="131">
        <f t="shared" si="6"/>
        <v>86.764958541146314</v>
      </c>
      <c r="R19" s="131">
        <f t="shared" ref="R19:W19" si="7">SUM(R20:R27)</f>
        <v>86.8473926270335</v>
      </c>
      <c r="S19" s="131">
        <f t="shared" si="7"/>
        <v>86.596173236364933</v>
      </c>
      <c r="T19" s="131">
        <f t="shared" si="7"/>
        <v>86.133021460135794</v>
      </c>
      <c r="U19" s="131">
        <f t="shared" si="7"/>
        <v>85.458006346901669</v>
      </c>
      <c r="V19" s="131">
        <f t="shared" si="7"/>
        <v>79.000816805116941</v>
      </c>
      <c r="W19" s="131">
        <f t="shared" si="7"/>
        <v>82.290714440358968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1.7441275269832992</v>
      </c>
      <c r="C21" s="133">
        <v>2.2174026274596765</v>
      </c>
      <c r="D21" s="133">
        <v>2.5385153806141103</v>
      </c>
      <c r="E21" s="133">
        <v>2.7344037140827235</v>
      </c>
      <c r="F21" s="133">
        <v>3.0089753249062463</v>
      </c>
      <c r="G21" s="133">
        <v>3.1355843919179769</v>
      </c>
      <c r="H21" s="133">
        <v>3.3353073516963025</v>
      </c>
      <c r="I21" s="133">
        <v>3.493851134222099</v>
      </c>
      <c r="J21" s="133">
        <v>3.8281895841316915</v>
      </c>
      <c r="K21" s="133">
        <v>4.2431976493550057</v>
      </c>
      <c r="L21" s="133">
        <v>4.3917282447150505</v>
      </c>
      <c r="M21" s="133">
        <v>4.4911362521388432</v>
      </c>
      <c r="N21" s="133">
        <v>4.5713183585625892</v>
      </c>
      <c r="O21" s="133">
        <v>4.6684871675258268</v>
      </c>
      <c r="P21" s="133">
        <v>4.7185802956976195</v>
      </c>
      <c r="Q21" s="133">
        <v>4.7669343516650171</v>
      </c>
      <c r="R21" s="133">
        <v>4.6759047635322064</v>
      </c>
      <c r="S21" s="133">
        <v>4.3611669823917172</v>
      </c>
      <c r="T21" s="133">
        <v>4.1267218952485969</v>
      </c>
      <c r="U21" s="133">
        <v>3.757194383580126</v>
      </c>
      <c r="V21" s="133">
        <v>3.0388841615896305</v>
      </c>
      <c r="W21" s="133">
        <v>3.2083118532915038</v>
      </c>
      <c r="DA21" s="157" t="s">
        <v>288</v>
      </c>
    </row>
    <row r="22" spans="1:105" ht="12" customHeight="1" x14ac:dyDescent="0.25">
      <c r="A22" s="132" t="s">
        <v>168</v>
      </c>
      <c r="B22" s="133">
        <v>7.6595045943586673</v>
      </c>
      <c r="C22" s="133">
        <v>8.1372752811225713</v>
      </c>
      <c r="D22" s="133">
        <v>8.6436225500059436</v>
      </c>
      <c r="E22" s="133">
        <v>9.1670264116751401</v>
      </c>
      <c r="F22" s="133">
        <v>9.6244633759435718</v>
      </c>
      <c r="G22" s="133">
        <v>10.3773131903171</v>
      </c>
      <c r="H22" s="133">
        <v>10.801952108131811</v>
      </c>
      <c r="I22" s="133">
        <v>11.574239416286845</v>
      </c>
      <c r="J22" s="133">
        <v>11.940927368943246</v>
      </c>
      <c r="K22" s="133">
        <v>12.210336460224021</v>
      </c>
      <c r="L22" s="133">
        <v>12.143065227650009</v>
      </c>
      <c r="M22" s="133">
        <v>11.297526475828658</v>
      </c>
      <c r="N22" s="133">
        <v>10.70625189069168</v>
      </c>
      <c r="O22" s="133">
        <v>10.225832836499242</v>
      </c>
      <c r="P22" s="133">
        <v>9.6323413482811713</v>
      </c>
      <c r="Q22" s="133">
        <v>9.1818032690102243</v>
      </c>
      <c r="R22" s="133">
        <v>8.8920576522492425</v>
      </c>
      <c r="S22" s="133">
        <v>8.5750049718954884</v>
      </c>
      <c r="T22" s="133">
        <v>8.1822311289768805</v>
      </c>
      <c r="U22" s="133">
        <v>8.0328088225056042</v>
      </c>
      <c r="V22" s="133">
        <v>6.7695838561318329</v>
      </c>
      <c r="W22" s="133">
        <v>6.9025396422538687</v>
      </c>
      <c r="DA22" s="157" t="s">
        <v>289</v>
      </c>
    </row>
    <row r="23" spans="1:105" ht="12" customHeight="1" x14ac:dyDescent="0.25">
      <c r="A23" s="132" t="s">
        <v>153</v>
      </c>
      <c r="B23" s="133">
        <v>18.690278350776353</v>
      </c>
      <c r="C23" s="133">
        <v>19.898904275124238</v>
      </c>
      <c r="D23" s="133">
        <v>21.35567952528903</v>
      </c>
      <c r="E23" s="133">
        <v>22.193960518105666</v>
      </c>
      <c r="F23" s="133">
        <v>23.323483973215374</v>
      </c>
      <c r="G23" s="133">
        <v>24.300959361539917</v>
      </c>
      <c r="H23" s="133">
        <v>24.348380933382803</v>
      </c>
      <c r="I23" s="133">
        <v>24.393849075765228</v>
      </c>
      <c r="J23" s="133">
        <v>25.515640452579117</v>
      </c>
      <c r="K23" s="133">
        <v>25.717383461967689</v>
      </c>
      <c r="L23" s="133">
        <v>26.185461889112378</v>
      </c>
      <c r="M23" s="133">
        <v>26.603183260249057</v>
      </c>
      <c r="N23" s="133">
        <v>27.153448891212722</v>
      </c>
      <c r="O23" s="133">
        <v>27.976137000206318</v>
      </c>
      <c r="P23" s="133">
        <v>29.145063715016242</v>
      </c>
      <c r="Q23" s="133">
        <v>30.866729603555761</v>
      </c>
      <c r="R23" s="133">
        <v>32.575399955724968</v>
      </c>
      <c r="S23" s="133">
        <v>34.047112519370607</v>
      </c>
      <c r="T23" s="133">
        <v>34.905774370305238</v>
      </c>
      <c r="U23" s="133">
        <v>35.205450886466522</v>
      </c>
      <c r="V23" s="133">
        <v>32.414309752524609</v>
      </c>
      <c r="W23" s="133">
        <v>35.773518030197565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11.653011147024532</v>
      </c>
      <c r="C25" s="133">
        <v>11.566144201045896</v>
      </c>
      <c r="D25" s="133">
        <v>11.692561396831699</v>
      </c>
      <c r="E25" s="133">
        <v>11.56754595634651</v>
      </c>
      <c r="F25" s="133">
        <v>11.728895395014373</v>
      </c>
      <c r="G25" s="133">
        <v>11.928674652762474</v>
      </c>
      <c r="H25" s="133">
        <v>11.742596667708376</v>
      </c>
      <c r="I25" s="133">
        <v>11.637241966062392</v>
      </c>
      <c r="J25" s="133">
        <v>11.738798464765612</v>
      </c>
      <c r="K25" s="133">
        <v>11.593711562236527</v>
      </c>
      <c r="L25" s="133">
        <v>11.66635719381792</v>
      </c>
      <c r="M25" s="133">
        <v>11.806247347027782</v>
      </c>
      <c r="N25" s="133">
        <v>11.958450227417767</v>
      </c>
      <c r="O25" s="133">
        <v>12.18219100683582</v>
      </c>
      <c r="P25" s="133">
        <v>12.353732276068705</v>
      </c>
      <c r="Q25" s="133">
        <v>12.440855787073486</v>
      </c>
      <c r="R25" s="133">
        <v>12.466411950682625</v>
      </c>
      <c r="S25" s="133">
        <v>12.620765916073019</v>
      </c>
      <c r="T25" s="133">
        <v>12.661774503098801</v>
      </c>
      <c r="U25" s="133">
        <v>12.669983505183781</v>
      </c>
      <c r="V25" s="133">
        <v>12.210974904954282</v>
      </c>
      <c r="W25" s="133">
        <v>12.856528067413986</v>
      </c>
      <c r="DA25" s="157" t="s">
        <v>292</v>
      </c>
    </row>
    <row r="26" spans="1:105" ht="12" customHeight="1" x14ac:dyDescent="0.25">
      <c r="A26" s="132" t="s">
        <v>24</v>
      </c>
      <c r="B26" s="65">
        <v>16.698735746171405</v>
      </c>
      <c r="C26" s="65">
        <v>17.474131214144194</v>
      </c>
      <c r="D26" s="65">
        <v>18.498401762759556</v>
      </c>
      <c r="E26" s="65">
        <v>20.038678494244067</v>
      </c>
      <c r="F26" s="65">
        <v>22.15618075047983</v>
      </c>
      <c r="G26" s="65">
        <v>23.025837199143982</v>
      </c>
      <c r="H26" s="65">
        <v>24.190418020645975</v>
      </c>
      <c r="I26" s="65">
        <v>26.147200002131797</v>
      </c>
      <c r="J26" s="65">
        <v>26.851427277917157</v>
      </c>
      <c r="K26" s="65">
        <v>27.223780861267155</v>
      </c>
      <c r="L26" s="65">
        <v>27.224482393937294</v>
      </c>
      <c r="M26" s="65">
        <v>27.289270302529001</v>
      </c>
      <c r="N26" s="65">
        <v>27.407166992144042</v>
      </c>
      <c r="O26" s="65">
        <v>27.328508016378343</v>
      </c>
      <c r="P26" s="65">
        <v>27.03277269656467</v>
      </c>
      <c r="Q26" s="65">
        <v>26.403648427520238</v>
      </c>
      <c r="R26" s="65">
        <v>24.774333696074034</v>
      </c>
      <c r="S26" s="65">
        <v>23.134771169935924</v>
      </c>
      <c r="T26" s="65">
        <v>22.076725925360975</v>
      </c>
      <c r="U26" s="65">
        <v>21.158948800756356</v>
      </c>
      <c r="V26" s="65">
        <v>19.663538764482361</v>
      </c>
      <c r="W26" s="65">
        <v>18.428922608165063</v>
      </c>
      <c r="DA26" s="109" t="s">
        <v>293</v>
      </c>
    </row>
    <row r="27" spans="1:105" ht="12" customHeight="1" x14ac:dyDescent="0.25">
      <c r="A27" s="145" t="s">
        <v>26</v>
      </c>
      <c r="B27" s="146">
        <v>0.33439380911435934</v>
      </c>
      <c r="C27" s="146">
        <v>0.35829750644883918</v>
      </c>
      <c r="D27" s="146">
        <v>0.42992261392949271</v>
      </c>
      <c r="E27" s="146">
        <v>0.50154772141014603</v>
      </c>
      <c r="F27" s="146">
        <v>0.59707652622527962</v>
      </c>
      <c r="G27" s="146">
        <v>0.69269131556319874</v>
      </c>
      <c r="H27" s="146">
        <v>0.81203783319002565</v>
      </c>
      <c r="I27" s="146">
        <v>0.95537403267411858</v>
      </c>
      <c r="J27" s="146">
        <v>1.1942390369733453</v>
      </c>
      <c r="K27" s="146">
        <v>1.3852966466036107</v>
      </c>
      <c r="L27" s="146">
        <v>1.5525365434221843</v>
      </c>
      <c r="M27" s="146">
        <v>1.8152192605331046</v>
      </c>
      <c r="N27" s="146">
        <v>2.149613069647462</v>
      </c>
      <c r="O27" s="146">
        <v>2.4601031814273435</v>
      </c>
      <c r="P27" s="146">
        <v>2.7944969905417003</v>
      </c>
      <c r="Q27" s="146">
        <v>3.1049871023215818</v>
      </c>
      <c r="R27" s="146">
        <v>3.4632846087704188</v>
      </c>
      <c r="S27" s="146">
        <v>3.857351676698193</v>
      </c>
      <c r="T27" s="146">
        <v>4.1797936371453144</v>
      </c>
      <c r="U27" s="146">
        <v>4.633619948409283</v>
      </c>
      <c r="V27" s="146">
        <v>4.903525365434219</v>
      </c>
      <c r="W27" s="146">
        <v>5.1208942390369723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54.396079130083905</v>
      </c>
      <c r="C29" s="131">
        <f t="shared" si="8"/>
        <v>58.953745279715939</v>
      </c>
      <c r="D29" s="131">
        <f t="shared" si="8"/>
        <v>61.603042166001693</v>
      </c>
      <c r="E29" s="131">
        <f t="shared" si="8"/>
        <v>63.408070626960736</v>
      </c>
      <c r="F29" s="131">
        <f t="shared" si="8"/>
        <v>67.19159227143615</v>
      </c>
      <c r="G29" s="131">
        <f t="shared" si="8"/>
        <v>70.041098041755163</v>
      </c>
      <c r="H29" s="131">
        <f t="shared" si="8"/>
        <v>74.636855756973404</v>
      </c>
      <c r="I29" s="131">
        <f t="shared" si="8"/>
        <v>79.236683344664513</v>
      </c>
      <c r="J29" s="131">
        <f t="shared" si="8"/>
        <v>83.578219597078785</v>
      </c>
      <c r="K29" s="131">
        <f t="shared" si="8"/>
        <v>88.695484752814934</v>
      </c>
      <c r="L29" s="131">
        <f t="shared" si="8"/>
        <v>90.530912031699899</v>
      </c>
      <c r="M29" s="131">
        <f t="shared" si="8"/>
        <v>91.139484223447923</v>
      </c>
      <c r="N29" s="131">
        <f t="shared" si="8"/>
        <v>93.494060285589768</v>
      </c>
      <c r="O29" s="131">
        <f t="shared" si="8"/>
        <v>95.024082952480228</v>
      </c>
      <c r="P29" s="131">
        <f t="shared" si="8"/>
        <v>99.013822641922999</v>
      </c>
      <c r="Q29" s="131">
        <f t="shared" si="8"/>
        <v>101.72340069447442</v>
      </c>
      <c r="R29" s="131">
        <f t="shared" ref="R29:W29" si="9">SUM(R30:R33)</f>
        <v>105.24841496196555</v>
      </c>
      <c r="S29" s="131">
        <f t="shared" si="9"/>
        <v>107.28245095970834</v>
      </c>
      <c r="T29" s="131">
        <f t="shared" si="9"/>
        <v>109.12470568639253</v>
      </c>
      <c r="U29" s="131">
        <f t="shared" si="9"/>
        <v>111.26779769866232</v>
      </c>
      <c r="V29" s="131">
        <f t="shared" si="9"/>
        <v>96.848184142110938</v>
      </c>
      <c r="W29" s="131">
        <f t="shared" si="9"/>
        <v>112.62949025922572</v>
      </c>
      <c r="DA29" s="156" t="s">
        <v>216</v>
      </c>
    </row>
    <row r="30" spans="1:105" ht="12" customHeight="1" x14ac:dyDescent="0.25">
      <c r="A30" s="132" t="s">
        <v>52</v>
      </c>
      <c r="B30" s="133">
        <v>1.6157177008756858</v>
      </c>
      <c r="C30" s="133">
        <v>4.5022878282582948</v>
      </c>
      <c r="D30" s="133">
        <v>4.1811750751038606</v>
      </c>
      <c r="E30" s="133">
        <v>5.1052351509215743</v>
      </c>
      <c r="F30" s="133">
        <v>6.0626497825744075</v>
      </c>
      <c r="G30" s="133">
        <v>5.8240028823726506</v>
      </c>
      <c r="H30" s="133">
        <v>6.7442283318806497</v>
      </c>
      <c r="I30" s="133">
        <v>6.5856845493548493</v>
      </c>
      <c r="J30" s="133">
        <v>7.371294508731582</v>
      </c>
      <c r="K30" s="133">
        <v>9.196183262080929</v>
      </c>
      <c r="L30" s="133">
        <v>10.167601076007221</v>
      </c>
      <c r="M30" s="133">
        <v>8.9482446592971012</v>
      </c>
      <c r="N30" s="133">
        <v>8.8680625528733596</v>
      </c>
      <c r="O30" s="133">
        <v>8.770893743910122</v>
      </c>
      <c r="P30" s="133">
        <v>8.7208006157383213</v>
      </c>
      <c r="Q30" s="133">
        <v>8.6724465597709148</v>
      </c>
      <c r="R30" s="133">
        <v>9.8834245571900716</v>
      </c>
      <c r="S30" s="133">
        <v>9.1902517622342579</v>
      </c>
      <c r="T30" s="133">
        <v>8.9767174856628387</v>
      </c>
      <c r="U30" s="133">
        <v>9.9061762097130899</v>
      </c>
      <c r="V30" s="133">
        <v>8.1605999312736479</v>
      </c>
      <c r="W30" s="133">
        <v>9.8951275276199393</v>
      </c>
      <c r="DA30" s="157" t="s">
        <v>295</v>
      </c>
    </row>
    <row r="31" spans="1:105" ht="12" customHeight="1" x14ac:dyDescent="0.25">
      <c r="A31" s="132" t="s">
        <v>153</v>
      </c>
      <c r="B31" s="133">
        <v>7.193390035522806</v>
      </c>
      <c r="C31" s="133">
        <v>7.5239097051193227</v>
      </c>
      <c r="D31" s="133">
        <v>7.7022048261913199</v>
      </c>
      <c r="E31" s="133">
        <v>7.7973774012666039</v>
      </c>
      <c r="F31" s="133">
        <v>7.8374265196975985</v>
      </c>
      <c r="G31" s="133">
        <v>8.2478580047985819</v>
      </c>
      <c r="H31" s="133">
        <v>8.3728928269422536</v>
      </c>
      <c r="I31" s="133">
        <v>8.8352251732831135</v>
      </c>
      <c r="J31" s="133">
        <v>9.3528528862847207</v>
      </c>
      <c r="K31" s="133">
        <v>9.7093749966311993</v>
      </c>
      <c r="L31" s="133">
        <v>9.8492188429792318</v>
      </c>
      <c r="M31" s="133">
        <v>10.345339350590956</v>
      </c>
      <c r="N31" s="133">
        <v>10.995152893963954</v>
      </c>
      <c r="O31" s="133">
        <v>11.141726723733068</v>
      </c>
      <c r="P31" s="133">
        <v>11.499612990296319</v>
      </c>
      <c r="Q31" s="133">
        <v>12.498782033329189</v>
      </c>
      <c r="R31" s="133">
        <v>13.12143356878061</v>
      </c>
      <c r="S31" s="133">
        <v>14.162041741895015</v>
      </c>
      <c r="T31" s="133">
        <v>14.560588963076682</v>
      </c>
      <c r="U31" s="133">
        <v>14.337700857598858</v>
      </c>
      <c r="V31" s="133">
        <v>12.93504059533284</v>
      </c>
      <c r="W31" s="133">
        <v>14.918521826583932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0.73568357695614783</v>
      </c>
      <c r="L32" s="133">
        <v>0.73568357695614772</v>
      </c>
      <c r="M32" s="133">
        <v>0.66517626827171106</v>
      </c>
      <c r="N32" s="133">
        <v>0.70695745429231083</v>
      </c>
      <c r="O32" s="133">
        <v>0.71638173993515242</v>
      </c>
      <c r="P32" s="133">
        <v>0.66827171109200401</v>
      </c>
      <c r="Q32" s="133">
        <v>0.66818572656921738</v>
      </c>
      <c r="R32" s="133">
        <v>0.66878761822871891</v>
      </c>
      <c r="S32" s="133">
        <v>0.7189165950128984</v>
      </c>
      <c r="T32" s="133">
        <v>1.0178847807394664</v>
      </c>
      <c r="U32" s="133">
        <v>1.1623387790197759</v>
      </c>
      <c r="V32" s="133">
        <v>0.95030094582974955</v>
      </c>
      <c r="W32" s="133">
        <v>0.98847807394668996</v>
      </c>
      <c r="DA32" s="157" t="s">
        <v>297</v>
      </c>
    </row>
    <row r="33" spans="1:105" ht="12" customHeight="1" x14ac:dyDescent="0.25">
      <c r="A33" s="62" t="s">
        <v>24</v>
      </c>
      <c r="B33" s="68">
        <v>45.586971393685417</v>
      </c>
      <c r="C33" s="68">
        <v>46.92754774633832</v>
      </c>
      <c r="D33" s="68">
        <v>49.719662264706514</v>
      </c>
      <c r="E33" s="68">
        <v>50.505458074772555</v>
      </c>
      <c r="F33" s="68">
        <v>53.291515969164145</v>
      </c>
      <c r="G33" s="68">
        <v>55.969237154583936</v>
      </c>
      <c r="H33" s="68">
        <v>59.519734598150492</v>
      </c>
      <c r="I33" s="68">
        <v>63.815773622026548</v>
      </c>
      <c r="J33" s="68">
        <v>66.854072202062483</v>
      </c>
      <c r="K33" s="68">
        <v>69.054242917146652</v>
      </c>
      <c r="L33" s="68">
        <v>69.778408535757293</v>
      </c>
      <c r="M33" s="68">
        <v>71.18072394528815</v>
      </c>
      <c r="N33" s="68">
        <v>72.923887384460144</v>
      </c>
      <c r="O33" s="68">
        <v>74.39508074490189</v>
      </c>
      <c r="P33" s="68">
        <v>78.125137324796356</v>
      </c>
      <c r="Q33" s="68">
        <v>79.883986374805104</v>
      </c>
      <c r="R33" s="68">
        <v>81.574769217766146</v>
      </c>
      <c r="S33" s="68">
        <v>83.211240860566164</v>
      </c>
      <c r="T33" s="68">
        <v>84.569514456913552</v>
      </c>
      <c r="U33" s="68">
        <v>85.861581852330588</v>
      </c>
      <c r="V33" s="68">
        <v>74.802242669674698</v>
      </c>
      <c r="W33" s="68">
        <v>86.827362831075149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233.51549128900555</v>
      </c>
      <c r="C3" s="126">
        <f t="shared" si="0"/>
        <v>271.8244413293225</v>
      </c>
      <c r="D3" s="126">
        <f t="shared" si="0"/>
        <v>286.74435259665051</v>
      </c>
      <c r="E3" s="126">
        <f t="shared" si="0"/>
        <v>318.10353843684391</v>
      </c>
      <c r="F3" s="126">
        <f t="shared" si="0"/>
        <v>320.21170121660174</v>
      </c>
      <c r="G3" s="126">
        <f t="shared" si="0"/>
        <v>339.8698787515176</v>
      </c>
      <c r="H3" s="126">
        <f t="shared" si="0"/>
        <v>339.27817502546293</v>
      </c>
      <c r="I3" s="126">
        <f t="shared" si="0"/>
        <v>338.92432369321926</v>
      </c>
      <c r="J3" s="126">
        <f t="shared" si="0"/>
        <v>371.97955728817368</v>
      </c>
      <c r="K3" s="126">
        <f t="shared" si="0"/>
        <v>375.88490969740553</v>
      </c>
      <c r="L3" s="126">
        <f t="shared" si="0"/>
        <v>405.56787586171885</v>
      </c>
      <c r="M3" s="126">
        <f t="shared" si="0"/>
        <v>406.07095612854397</v>
      </c>
      <c r="N3" s="126">
        <f t="shared" si="0"/>
        <v>408.78616809511959</v>
      </c>
      <c r="O3" s="126">
        <f t="shared" si="0"/>
        <v>385.67926496282871</v>
      </c>
      <c r="P3" s="126">
        <f t="shared" si="0"/>
        <v>346.17200256411928</v>
      </c>
      <c r="Q3" s="126">
        <f t="shared" si="0"/>
        <v>410.24424469263715</v>
      </c>
      <c r="R3" s="126">
        <f t="shared" ref="R3:W3" si="1">SUM(R4,R16,R19,R29)</f>
        <v>413.06239771659193</v>
      </c>
      <c r="S3" s="126">
        <f t="shared" si="1"/>
        <v>461.97894554423431</v>
      </c>
      <c r="T3" s="126">
        <f t="shared" si="1"/>
        <v>468.5458210703913</v>
      </c>
      <c r="U3" s="126">
        <f t="shared" si="1"/>
        <v>487.22978103167674</v>
      </c>
      <c r="V3" s="126">
        <f t="shared" si="1"/>
        <v>440.69051529219792</v>
      </c>
      <c r="W3" s="126">
        <f t="shared" si="1"/>
        <v>523.25388908283458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148.63623898737214</v>
      </c>
      <c r="C4" s="131">
        <f t="shared" si="2"/>
        <v>181.66742641443696</v>
      </c>
      <c r="D4" s="131">
        <f t="shared" si="2"/>
        <v>191.07804233599791</v>
      </c>
      <c r="E4" s="131">
        <f t="shared" si="2"/>
        <v>203.10967515955423</v>
      </c>
      <c r="F4" s="131">
        <f t="shared" si="2"/>
        <v>211.9277867293693</v>
      </c>
      <c r="G4" s="131">
        <f t="shared" si="2"/>
        <v>224.78931104076122</v>
      </c>
      <c r="H4" s="131">
        <f t="shared" si="2"/>
        <v>213.34161996430819</v>
      </c>
      <c r="I4" s="131">
        <f t="shared" si="2"/>
        <v>201.5711821904215</v>
      </c>
      <c r="J4" s="131">
        <f t="shared" si="2"/>
        <v>226.60042731667158</v>
      </c>
      <c r="K4" s="131">
        <f t="shared" si="2"/>
        <v>224.60552423779737</v>
      </c>
      <c r="L4" s="131">
        <f t="shared" si="2"/>
        <v>249.41908751539017</v>
      </c>
      <c r="M4" s="131">
        <f t="shared" si="2"/>
        <v>243.50080520616001</v>
      </c>
      <c r="N4" s="131">
        <f t="shared" si="2"/>
        <v>222.12517025227174</v>
      </c>
      <c r="O4" s="131">
        <f t="shared" si="2"/>
        <v>216.37320824675851</v>
      </c>
      <c r="P4" s="131">
        <f t="shared" si="2"/>
        <v>179.10801691923433</v>
      </c>
      <c r="Q4" s="131">
        <f t="shared" si="2"/>
        <v>214.31213158570378</v>
      </c>
      <c r="R4" s="131">
        <f t="shared" ref="R4:W4" si="3">SUM(R5:R15)</f>
        <v>231.96322899718044</v>
      </c>
      <c r="S4" s="131">
        <f t="shared" si="3"/>
        <v>258.13789518283278</v>
      </c>
      <c r="T4" s="131">
        <f t="shared" si="3"/>
        <v>276.54019679758989</v>
      </c>
      <c r="U4" s="131">
        <f t="shared" si="3"/>
        <v>281.46892730084653</v>
      </c>
      <c r="V4" s="131">
        <f t="shared" si="3"/>
        <v>260.66049556744099</v>
      </c>
      <c r="W4" s="131">
        <f t="shared" si="3"/>
        <v>310.63900254646683</v>
      </c>
      <c r="DA4" s="156" t="s">
        <v>301</v>
      </c>
    </row>
    <row r="5" spans="1:105" ht="12" customHeight="1" x14ac:dyDescent="0.25">
      <c r="A5" s="132" t="s">
        <v>29</v>
      </c>
      <c r="B5" s="133">
        <v>2.0172660152898674</v>
      </c>
      <c r="C5" s="133">
        <v>1.5292731612807509</v>
      </c>
      <c r="D5" s="133">
        <v>2.0476899414400207</v>
      </c>
      <c r="E5" s="133">
        <v>2.537368805205058</v>
      </c>
      <c r="F5" s="133">
        <v>1.1376362454358702</v>
      </c>
      <c r="G5" s="133">
        <v>0.16811268647312103</v>
      </c>
      <c r="H5" s="133">
        <v>0.98345921586775797</v>
      </c>
      <c r="I5" s="133">
        <v>0.52535214522850326</v>
      </c>
      <c r="J5" s="133">
        <v>0.90047548223546692</v>
      </c>
      <c r="K5" s="133">
        <v>0.86927489364524291</v>
      </c>
      <c r="L5" s="133">
        <v>0.55201546680285407</v>
      </c>
      <c r="M5" s="133">
        <v>1.2125118023094965</v>
      </c>
      <c r="N5" s="133">
        <v>1.2227601708211802</v>
      </c>
      <c r="O5" s="133">
        <v>0.11632606133598426</v>
      </c>
      <c r="P5" s="133">
        <v>4.7956602731400101E-2</v>
      </c>
      <c r="Q5" s="133">
        <v>2.4168821353849779E-2</v>
      </c>
      <c r="R5" s="133">
        <v>2.5529678412062044E-2</v>
      </c>
      <c r="S5" s="133">
        <v>7.875125331875911E-2</v>
      </c>
      <c r="T5" s="133">
        <v>2.6399490958306775E-2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51.980269528109055</v>
      </c>
      <c r="C7" s="133">
        <v>57.490428654725363</v>
      </c>
      <c r="D7" s="133">
        <v>65.751764254841262</v>
      </c>
      <c r="E7" s="133">
        <v>66.997117575221367</v>
      </c>
      <c r="F7" s="133">
        <v>66.213395311977621</v>
      </c>
      <c r="G7" s="133">
        <v>59.528766416984517</v>
      </c>
      <c r="H7" s="133">
        <v>50.59413911669219</v>
      </c>
      <c r="I7" s="133">
        <v>40.259134160794339</v>
      </c>
      <c r="J7" s="133">
        <v>37.575901979533739</v>
      </c>
      <c r="K7" s="133">
        <v>35.831362674257399</v>
      </c>
      <c r="L7" s="133">
        <v>34.319587714686207</v>
      </c>
      <c r="M7" s="133">
        <v>31.934159924824151</v>
      </c>
      <c r="N7" s="133">
        <v>25.694572232379286</v>
      </c>
      <c r="O7" s="133">
        <v>21.79313950368611</v>
      </c>
      <c r="P7" s="133">
        <v>16.340656497249693</v>
      </c>
      <c r="Q7" s="133">
        <v>22.192975867542639</v>
      </c>
      <c r="R7" s="133">
        <v>21.832362510081733</v>
      </c>
      <c r="S7" s="133">
        <v>21.718519752964141</v>
      </c>
      <c r="T7" s="133">
        <v>18.098181465383323</v>
      </c>
      <c r="U7" s="133">
        <v>12.06340467827023</v>
      </c>
      <c r="V7" s="133">
        <v>12.029694089200264</v>
      </c>
      <c r="W7" s="133">
        <v>10.109974882686235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26.491440398709436</v>
      </c>
      <c r="C9" s="133">
        <v>40.385203110898139</v>
      </c>
      <c r="D9" s="133">
        <v>36.67236769991564</v>
      </c>
      <c r="E9" s="133">
        <v>40.307899395805933</v>
      </c>
      <c r="F9" s="133">
        <v>43.844931650864297</v>
      </c>
      <c r="G9" s="133">
        <v>49.855811434827928</v>
      </c>
      <c r="H9" s="133">
        <v>49.129134701412461</v>
      </c>
      <c r="I9" s="133">
        <v>48.289426516696366</v>
      </c>
      <c r="J9" s="133">
        <v>54.64763329705594</v>
      </c>
      <c r="K9" s="133">
        <v>57.274024301285252</v>
      </c>
      <c r="L9" s="133">
        <v>72.161122116270164</v>
      </c>
      <c r="M9" s="133">
        <v>63.207959051538417</v>
      </c>
      <c r="N9" s="133">
        <v>57.809617059083578</v>
      </c>
      <c r="O9" s="133">
        <v>60.885072919573119</v>
      </c>
      <c r="P9" s="133">
        <v>58.685666925871551</v>
      </c>
      <c r="Q9" s="133">
        <v>82.009538542621939</v>
      </c>
      <c r="R9" s="133">
        <v>89.236065599669274</v>
      </c>
      <c r="S9" s="133">
        <v>95.584683728090681</v>
      </c>
      <c r="T9" s="133">
        <v>102.90652665598643</v>
      </c>
      <c r="U9" s="133">
        <v>108.88068753895837</v>
      </c>
      <c r="V9" s="133">
        <v>104.37432591562872</v>
      </c>
      <c r="W9" s="133">
        <v>127.90308149968149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1.0294735257644778</v>
      </c>
      <c r="J10" s="133">
        <v>0.93004439623924451</v>
      </c>
      <c r="K10" s="133">
        <v>1.2937465366266299</v>
      </c>
      <c r="L10" s="133">
        <v>1.1446583317604102</v>
      </c>
      <c r="M10" s="133">
        <v>1.5123061107594893</v>
      </c>
      <c r="N10" s="133">
        <v>1.2926348445628564</v>
      </c>
      <c r="O10" s="133">
        <v>1.3400416045385979</v>
      </c>
      <c r="P10" s="133">
        <v>1.8075406763847235</v>
      </c>
      <c r="Q10" s="133">
        <v>2.416433968258052</v>
      </c>
      <c r="R10" s="133">
        <v>3.2162809367975829</v>
      </c>
      <c r="S10" s="133">
        <v>3.9659496640705227</v>
      </c>
      <c r="T10" s="133">
        <v>4.8361110046884113</v>
      </c>
      <c r="U10" s="133">
        <v>6.0383904190393718</v>
      </c>
      <c r="V10" s="133">
        <v>6.7887000922603633</v>
      </c>
      <c r="W10" s="133">
        <v>6.810551264222914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2.6916998045065168</v>
      </c>
      <c r="J11" s="133">
        <v>2.5801730893014083</v>
      </c>
      <c r="K11" s="133">
        <v>2.5472821108099195</v>
      </c>
      <c r="L11" s="133">
        <v>5.5175951714870539</v>
      </c>
      <c r="M11" s="133">
        <v>5.5686343715790247</v>
      </c>
      <c r="N11" s="133">
        <v>5.6538813643558345</v>
      </c>
      <c r="O11" s="133">
        <v>5.5571850349212086</v>
      </c>
      <c r="P11" s="133">
        <v>3.0119490923636514</v>
      </c>
      <c r="Q11" s="133">
        <v>3.9640960427575966</v>
      </c>
      <c r="R11" s="133">
        <v>4.061262460662026</v>
      </c>
      <c r="S11" s="133">
        <v>3.6278960395547974</v>
      </c>
      <c r="T11" s="133">
        <v>3.3383555041290003</v>
      </c>
      <c r="U11" s="133">
        <v>3.1615112244584491</v>
      </c>
      <c r="V11" s="133">
        <v>3.0634264854600688</v>
      </c>
      <c r="W11" s="133">
        <v>2.6854118306264287</v>
      </c>
      <c r="DA11" s="157" t="s">
        <v>308</v>
      </c>
    </row>
    <row r="12" spans="1:105" ht="12" customHeight="1" x14ac:dyDescent="0.25">
      <c r="A12" s="132" t="s">
        <v>169</v>
      </c>
      <c r="B12" s="133">
        <v>35.81850675465374</v>
      </c>
      <c r="C12" s="133">
        <v>40.513726106506887</v>
      </c>
      <c r="D12" s="133">
        <v>39.576807567637623</v>
      </c>
      <c r="E12" s="133">
        <v>44.95628482394644</v>
      </c>
      <c r="F12" s="133">
        <v>43.703083632163839</v>
      </c>
      <c r="G12" s="133">
        <v>46.710784155764877</v>
      </c>
      <c r="H12" s="133">
        <v>39.723458379674852</v>
      </c>
      <c r="I12" s="133">
        <v>37.116906469460638</v>
      </c>
      <c r="J12" s="133">
        <v>40.62511677717076</v>
      </c>
      <c r="K12" s="133">
        <v>40.442528043415912</v>
      </c>
      <c r="L12" s="133">
        <v>47.735834064074474</v>
      </c>
      <c r="M12" s="133">
        <v>48.159014905177401</v>
      </c>
      <c r="N12" s="133">
        <v>45.432205160330099</v>
      </c>
      <c r="O12" s="133">
        <v>46.541781251227327</v>
      </c>
      <c r="P12" s="133">
        <v>34.151527614916255</v>
      </c>
      <c r="Q12" s="133">
        <v>38.018703182714589</v>
      </c>
      <c r="R12" s="133">
        <v>39.762540859793972</v>
      </c>
      <c r="S12" s="133">
        <v>38.279152028890209</v>
      </c>
      <c r="T12" s="133">
        <v>35.57483621167529</v>
      </c>
      <c r="U12" s="133">
        <v>34.919468881768502</v>
      </c>
      <c r="V12" s="133">
        <v>38.489674241601442</v>
      </c>
      <c r="W12" s="133">
        <v>45.659524348805647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30.560056898147486</v>
      </c>
      <c r="C14" s="65">
        <v>39.620002418592335</v>
      </c>
      <c r="D14" s="65">
        <v>44.856274337655165</v>
      </c>
      <c r="E14" s="65">
        <v>46.057764973842204</v>
      </c>
      <c r="F14" s="65">
        <v>54.782461153679115</v>
      </c>
      <c r="G14" s="65">
        <v>66.324745950613789</v>
      </c>
      <c r="H14" s="65">
        <v>70.941128253043885</v>
      </c>
      <c r="I14" s="65">
        <v>69.909757011359503</v>
      </c>
      <c r="J14" s="65">
        <v>87.535790948838709</v>
      </c>
      <c r="K14" s="65">
        <v>84.549684946346062</v>
      </c>
      <c r="L14" s="65">
        <v>85.947329610528001</v>
      </c>
      <c r="M14" s="65">
        <v>90.066729127758464</v>
      </c>
      <c r="N14" s="65">
        <v>83.403141704891326</v>
      </c>
      <c r="O14" s="65">
        <v>78.553486534002701</v>
      </c>
      <c r="P14" s="65">
        <v>63.672055632878966</v>
      </c>
      <c r="Q14" s="65">
        <v>63.809041932809777</v>
      </c>
      <c r="R14" s="65">
        <v>71.840489245336812</v>
      </c>
      <c r="S14" s="65">
        <v>92.806851975738411</v>
      </c>
      <c r="T14" s="65">
        <v>109.63764798468968</v>
      </c>
      <c r="U14" s="65">
        <v>114.28417981198506</v>
      </c>
      <c r="V14" s="65">
        <v>93.849191608766489</v>
      </c>
      <c r="W14" s="65">
        <v>115.03751347475826</v>
      </c>
      <c r="DA14" s="109" t="s">
        <v>311</v>
      </c>
    </row>
    <row r="15" spans="1:105" ht="12" customHeight="1" x14ac:dyDescent="0.25">
      <c r="A15" s="134" t="s">
        <v>80</v>
      </c>
      <c r="B15" s="135">
        <v>1.7686993924625372</v>
      </c>
      <c r="C15" s="135">
        <v>2.1287929624335007</v>
      </c>
      <c r="D15" s="135">
        <v>2.1731385345082073</v>
      </c>
      <c r="E15" s="135">
        <v>2.2532395855332146</v>
      </c>
      <c r="F15" s="135">
        <v>2.2462787352485645</v>
      </c>
      <c r="G15" s="135">
        <v>2.2010903960969785</v>
      </c>
      <c r="H15" s="135">
        <v>1.9703002976170598</v>
      </c>
      <c r="I15" s="135">
        <v>1.7494325566111726</v>
      </c>
      <c r="J15" s="135">
        <v>1.8052913462963098</v>
      </c>
      <c r="K15" s="135">
        <v>1.7976207314109349</v>
      </c>
      <c r="L15" s="135">
        <v>2.0409450397809761</v>
      </c>
      <c r="M15" s="135">
        <v>1.8394899122135577</v>
      </c>
      <c r="N15" s="135">
        <v>1.616357715847581</v>
      </c>
      <c r="O15" s="135">
        <v>1.5861753374734562</v>
      </c>
      <c r="P15" s="135">
        <v>1.3906638768381043</v>
      </c>
      <c r="Q15" s="135">
        <v>1.877173227645345</v>
      </c>
      <c r="R15" s="135">
        <v>1.9886977064269522</v>
      </c>
      <c r="S15" s="135">
        <v>2.0760907402052715</v>
      </c>
      <c r="T15" s="135">
        <v>2.1221384800794398</v>
      </c>
      <c r="U15" s="135">
        <v>2.1212847463665305</v>
      </c>
      <c r="V15" s="135">
        <v>2.0654831345236668</v>
      </c>
      <c r="W15" s="135">
        <v>2.4329452456858434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11.879947239480723</v>
      </c>
      <c r="C16" s="131">
        <f t="shared" si="4"/>
        <v>12.447128021626046</v>
      </c>
      <c r="D16" s="131">
        <f t="shared" si="4"/>
        <v>13.605873562167968</v>
      </c>
      <c r="E16" s="131">
        <f t="shared" si="4"/>
        <v>29.607174343523248</v>
      </c>
      <c r="F16" s="131">
        <f t="shared" si="4"/>
        <v>17.282772024976129</v>
      </c>
      <c r="G16" s="131">
        <f t="shared" si="4"/>
        <v>19.742119092728071</v>
      </c>
      <c r="H16" s="131">
        <f t="shared" si="4"/>
        <v>25.706047749281602</v>
      </c>
      <c r="I16" s="131">
        <f t="shared" si="4"/>
        <v>31.295980904340386</v>
      </c>
      <c r="J16" s="131">
        <f t="shared" si="4"/>
        <v>33.943366085356651</v>
      </c>
      <c r="K16" s="131">
        <f t="shared" si="4"/>
        <v>35.075825889972421</v>
      </c>
      <c r="L16" s="131">
        <f t="shared" si="4"/>
        <v>37.641392248506165</v>
      </c>
      <c r="M16" s="131">
        <f t="shared" si="4"/>
        <v>42.595118772206227</v>
      </c>
      <c r="N16" s="131">
        <f t="shared" si="4"/>
        <v>63.714725734811722</v>
      </c>
      <c r="O16" s="131">
        <f t="shared" si="4"/>
        <v>43.577627328649804</v>
      </c>
      <c r="P16" s="131">
        <f t="shared" si="4"/>
        <v>36.738604033903925</v>
      </c>
      <c r="Q16" s="131">
        <f t="shared" si="4"/>
        <v>61.705059173323257</v>
      </c>
      <c r="R16" s="131">
        <f t="shared" ref="R16:W16" si="5">SUM(R17:R18)</f>
        <v>43.055807449714692</v>
      </c>
      <c r="S16" s="131">
        <f t="shared" si="5"/>
        <v>62.647291923472913</v>
      </c>
      <c r="T16" s="131">
        <f t="shared" si="5"/>
        <v>47.767958405500828</v>
      </c>
      <c r="U16" s="131">
        <f t="shared" si="5"/>
        <v>58.311618801331456</v>
      </c>
      <c r="V16" s="131">
        <f t="shared" si="5"/>
        <v>46.17961136073977</v>
      </c>
      <c r="W16" s="131">
        <f t="shared" si="5"/>
        <v>62.139004386737277</v>
      </c>
      <c r="DA16" s="156" t="s">
        <v>313</v>
      </c>
    </row>
    <row r="17" spans="1:105" ht="12.95" customHeight="1" x14ac:dyDescent="0.25">
      <c r="A17" s="132" t="s">
        <v>73</v>
      </c>
      <c r="B17" s="133">
        <v>1.4485147378234189E-2</v>
      </c>
      <c r="C17" s="133">
        <v>1.4666925136459572E-2</v>
      </c>
      <c r="D17" s="133">
        <v>1.7552987761978688E-2</v>
      </c>
      <c r="E17" s="133">
        <v>4.1573599020082799E-2</v>
      </c>
      <c r="F17" s="133">
        <v>2.5323539064409428E-2</v>
      </c>
      <c r="G17" s="133">
        <v>2.9778458944232838E-2</v>
      </c>
      <c r="H17" s="133">
        <v>3.9557109903866183E-2</v>
      </c>
      <c r="I17" s="133">
        <v>5.8273443710928345E-2</v>
      </c>
      <c r="J17" s="133">
        <v>5.7876111701281818E-2</v>
      </c>
      <c r="K17" s="133">
        <v>5.117342857156594E-2</v>
      </c>
      <c r="L17" s="133">
        <v>5.9896764495379222E-2</v>
      </c>
      <c r="M17" s="133">
        <v>7.2552527414002269E-2</v>
      </c>
      <c r="N17" s="133">
        <v>0.10240328398278518</v>
      </c>
      <c r="O17" s="133">
        <v>9.1819928270292756E-2</v>
      </c>
      <c r="P17" s="133">
        <v>7.6008176201529568E-2</v>
      </c>
      <c r="Q17" s="133">
        <v>0.19287084960708226</v>
      </c>
      <c r="R17" s="133">
        <v>0.15182010927990824</v>
      </c>
      <c r="S17" s="133">
        <v>0.26873851961348755</v>
      </c>
      <c r="T17" s="133">
        <v>0.25472375035091621</v>
      </c>
      <c r="U17" s="133">
        <v>0.35216235467942381</v>
      </c>
      <c r="V17" s="133">
        <v>0.27296002387012253</v>
      </c>
      <c r="W17" s="133">
        <v>0.38608484202395127</v>
      </c>
      <c r="DA17" s="157" t="s">
        <v>314</v>
      </c>
    </row>
    <row r="18" spans="1:105" ht="12" customHeight="1" x14ac:dyDescent="0.25">
      <c r="A18" s="132" t="s">
        <v>72</v>
      </c>
      <c r="B18" s="133">
        <v>11.865462092102488</v>
      </c>
      <c r="C18" s="133">
        <v>12.432461096489586</v>
      </c>
      <c r="D18" s="133">
        <v>13.588320574405989</v>
      </c>
      <c r="E18" s="133">
        <v>29.565600744503165</v>
      </c>
      <c r="F18" s="133">
        <v>17.25744848591172</v>
      </c>
      <c r="G18" s="133">
        <v>19.712340633783839</v>
      </c>
      <c r="H18" s="133">
        <v>25.666490639377734</v>
      </c>
      <c r="I18" s="133">
        <v>31.237707460629458</v>
      </c>
      <c r="J18" s="133">
        <v>33.885489973655368</v>
      </c>
      <c r="K18" s="133">
        <v>35.024652461400855</v>
      </c>
      <c r="L18" s="133">
        <v>37.581495484010787</v>
      </c>
      <c r="M18" s="133">
        <v>42.522566244792223</v>
      </c>
      <c r="N18" s="133">
        <v>63.612322450828934</v>
      </c>
      <c r="O18" s="133">
        <v>43.485807400379514</v>
      </c>
      <c r="P18" s="133">
        <v>36.662595857702399</v>
      </c>
      <c r="Q18" s="133">
        <v>61.512188323716174</v>
      </c>
      <c r="R18" s="133">
        <v>42.903987340434782</v>
      </c>
      <c r="S18" s="133">
        <v>62.378553403859428</v>
      </c>
      <c r="T18" s="133">
        <v>47.513234655149908</v>
      </c>
      <c r="U18" s="133">
        <v>57.959456446652034</v>
      </c>
      <c r="V18" s="133">
        <v>45.90665133686965</v>
      </c>
      <c r="W18" s="133">
        <v>61.752919544713329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33.348363055391509</v>
      </c>
      <c r="C19" s="131">
        <f t="shared" si="6"/>
        <v>35.081074818789347</v>
      </c>
      <c r="D19" s="131">
        <f t="shared" si="6"/>
        <v>37.280857619284731</v>
      </c>
      <c r="E19" s="131">
        <f t="shared" si="6"/>
        <v>39.288158188959336</v>
      </c>
      <c r="F19" s="131">
        <f t="shared" si="6"/>
        <v>42.066808682795262</v>
      </c>
      <c r="G19" s="131">
        <f t="shared" si="6"/>
        <v>44.115645481120701</v>
      </c>
      <c r="H19" s="131">
        <f t="shared" si="6"/>
        <v>45.509608469399979</v>
      </c>
      <c r="I19" s="131">
        <f t="shared" si="6"/>
        <v>47.672681628978076</v>
      </c>
      <c r="J19" s="131">
        <f t="shared" si="6"/>
        <v>49.765408569966041</v>
      </c>
      <c r="K19" s="131">
        <f t="shared" si="6"/>
        <v>50.931232495780812</v>
      </c>
      <c r="L19" s="131">
        <f t="shared" si="6"/>
        <v>51.868956629688661</v>
      </c>
      <c r="M19" s="131">
        <f t="shared" si="6"/>
        <v>52.630458671856715</v>
      </c>
      <c r="N19" s="131">
        <f t="shared" si="6"/>
        <v>53.776144422009459</v>
      </c>
      <c r="O19" s="131">
        <f t="shared" si="6"/>
        <v>55.187881904602733</v>
      </c>
      <c r="P19" s="131">
        <f t="shared" si="6"/>
        <v>56.426764081472278</v>
      </c>
      <c r="Q19" s="131">
        <f t="shared" si="6"/>
        <v>58.030878233662051</v>
      </c>
      <c r="R19" s="131">
        <f t="shared" ref="R19:W19" si="7">SUM(R20:R27)</f>
        <v>59.038303237461704</v>
      </c>
      <c r="S19" s="131">
        <f t="shared" si="7"/>
        <v>60.136918326587981</v>
      </c>
      <c r="T19" s="131">
        <f t="shared" si="7"/>
        <v>61.155417066589571</v>
      </c>
      <c r="U19" s="131">
        <f t="shared" si="7"/>
        <v>62.073714285590519</v>
      </c>
      <c r="V19" s="131">
        <f t="shared" si="7"/>
        <v>58.848748136022003</v>
      </c>
      <c r="W19" s="131">
        <f t="shared" si="7"/>
        <v>62.48219044297749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0.90563574218055498</v>
      </c>
      <c r="C21" s="133">
        <v>1.1589694574401648</v>
      </c>
      <c r="D21" s="133">
        <v>1.3347806087002392</v>
      </c>
      <c r="E21" s="133">
        <v>1.4451428552606409</v>
      </c>
      <c r="F21" s="133">
        <v>1.5975070559364084</v>
      </c>
      <c r="G21" s="133">
        <v>1.6720756249749085</v>
      </c>
      <c r="H21" s="133">
        <v>1.7873170786569872</v>
      </c>
      <c r="I21" s="133">
        <v>1.8821229639330797</v>
      </c>
      <c r="J21" s="133">
        <v>2.0741478808104472</v>
      </c>
      <c r="K21" s="133">
        <v>2.313305787220719</v>
      </c>
      <c r="L21" s="133">
        <v>2.4086388326836565</v>
      </c>
      <c r="M21" s="133">
        <v>2.4806218051980777</v>
      </c>
      <c r="N21" s="133">
        <v>2.5475760618642007</v>
      </c>
      <c r="O21" s="133">
        <v>2.634798213583184</v>
      </c>
      <c r="P21" s="133">
        <v>2.6968924790277602</v>
      </c>
      <c r="Q21" s="133">
        <v>2.7695753664262539</v>
      </c>
      <c r="R21" s="133">
        <v>2.761564904293512</v>
      </c>
      <c r="S21" s="133">
        <v>2.6213942981139766</v>
      </c>
      <c r="T21" s="133">
        <v>2.5219177389001897</v>
      </c>
      <c r="U21" s="133">
        <v>2.3360095292896235</v>
      </c>
      <c r="V21" s="133">
        <v>1.9234467978155898</v>
      </c>
      <c r="W21" s="133">
        <v>2.0994743896498247</v>
      </c>
      <c r="DA21" s="157" t="s">
        <v>318</v>
      </c>
    </row>
    <row r="22" spans="1:105" ht="12" customHeight="1" x14ac:dyDescent="0.25">
      <c r="A22" s="132" t="s">
        <v>168</v>
      </c>
      <c r="B22" s="133">
        <v>3.7480564004907446</v>
      </c>
      <c r="C22" s="133">
        <v>3.9968761057724702</v>
      </c>
      <c r="D22" s="133">
        <v>4.2650048276204444</v>
      </c>
      <c r="E22" s="133">
        <v>4.5452182531857197</v>
      </c>
      <c r="F22" s="133">
        <v>4.7954966504837602</v>
      </c>
      <c r="G22" s="133">
        <v>5.1996158241715706</v>
      </c>
      <c r="H22" s="133">
        <v>5.443959889880313</v>
      </c>
      <c r="I22" s="133">
        <v>5.868306403928317</v>
      </c>
      <c r="J22" s="133">
        <v>6.0879532815474775</v>
      </c>
      <c r="K22" s="133">
        <v>6.259325869284357</v>
      </c>
      <c r="L22" s="133">
        <v>6.2563097815335693</v>
      </c>
      <c r="M22" s="133">
        <v>5.8502250533918616</v>
      </c>
      <c r="N22" s="133">
        <v>5.5791994734317161</v>
      </c>
      <c r="O22" s="133">
        <v>5.3737343545469596</v>
      </c>
      <c r="P22" s="133">
        <v>5.0773895964486311</v>
      </c>
      <c r="Q22" s="133">
        <v>4.8957735679206804</v>
      </c>
      <c r="R22" s="133">
        <v>4.8447104350660792</v>
      </c>
      <c r="S22" s="133">
        <v>4.8337438410302678</v>
      </c>
      <c r="T22" s="133">
        <v>4.792235450541888</v>
      </c>
      <c r="U22" s="133">
        <v>4.9011999889854589</v>
      </c>
      <c r="V22" s="133">
        <v>4.2990325019380178</v>
      </c>
      <c r="W22" s="133">
        <v>4.5747503501528737</v>
      </c>
      <c r="DA22" s="157" t="s">
        <v>319</v>
      </c>
    </row>
    <row r="23" spans="1:105" ht="12" customHeight="1" x14ac:dyDescent="0.25">
      <c r="A23" s="132" t="s">
        <v>153</v>
      </c>
      <c r="B23" s="133">
        <v>9.34355884808204</v>
      </c>
      <c r="C23" s="133">
        <v>10.061622728043719</v>
      </c>
      <c r="D23" s="133">
        <v>10.942002291426512</v>
      </c>
      <c r="E23" s="133">
        <v>11.518633478065501</v>
      </c>
      <c r="F23" s="133">
        <v>12.25560100781056</v>
      </c>
      <c r="G23" s="133">
        <v>12.929182805380826</v>
      </c>
      <c r="H23" s="133">
        <v>13.11852736615783</v>
      </c>
      <c r="I23" s="133">
        <v>13.312096111856148</v>
      </c>
      <c r="J23" s="133">
        <v>14.113443809987697</v>
      </c>
      <c r="K23" s="133">
        <v>14.427056919699073</v>
      </c>
      <c r="L23" s="133">
        <v>14.915228804177055</v>
      </c>
      <c r="M23" s="133">
        <v>15.418256068893948</v>
      </c>
      <c r="N23" s="133">
        <v>16.061013812754556</v>
      </c>
      <c r="O23" s="133">
        <v>16.938113452270102</v>
      </c>
      <c r="P23" s="133">
        <v>17.950936777956677</v>
      </c>
      <c r="Q23" s="133">
        <v>19.460757024116837</v>
      </c>
      <c r="R23" s="133">
        <v>21.081802345613472</v>
      </c>
      <c r="S23" s="133">
        <v>22.617985732784309</v>
      </c>
      <c r="T23" s="133">
        <v>23.776395728855544</v>
      </c>
      <c r="U23" s="133">
        <v>24.526359088901764</v>
      </c>
      <c r="V23" s="133">
        <v>23.048630424300249</v>
      </c>
      <c r="W23" s="133">
        <v>25.970809321713507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8.7201444655097422</v>
      </c>
      <c r="C25" s="133">
        <v>8.6753515707492905</v>
      </c>
      <c r="D25" s="133">
        <v>8.7931706796311708</v>
      </c>
      <c r="E25" s="133">
        <v>8.7253171654212576</v>
      </c>
      <c r="F25" s="133">
        <v>8.8773096497202886</v>
      </c>
      <c r="G25" s="133">
        <v>9.0644573058493343</v>
      </c>
      <c r="H25" s="133">
        <v>8.9616317632342337</v>
      </c>
      <c r="I25" s="133">
        <v>8.9215547353886411</v>
      </c>
      <c r="J25" s="133">
        <v>9.0423564555501148</v>
      </c>
      <c r="K25" s="133">
        <v>8.9775307710200831</v>
      </c>
      <c r="L25" s="133">
        <v>9.0875413726883441</v>
      </c>
      <c r="M25" s="133">
        <v>9.2599347804602381</v>
      </c>
      <c r="N25" s="133">
        <v>9.4532000316262277</v>
      </c>
      <c r="O25" s="133">
        <v>9.7077898951304764</v>
      </c>
      <c r="P25" s="133">
        <v>9.8744995626626473</v>
      </c>
      <c r="Q25" s="133">
        <v>9.986576909950184</v>
      </c>
      <c r="R25" s="133">
        <v>10.05957370112122</v>
      </c>
      <c r="S25" s="133">
        <v>10.254003570153992</v>
      </c>
      <c r="T25" s="133">
        <v>10.364446363040152</v>
      </c>
      <c r="U25" s="133">
        <v>10.455580888570804</v>
      </c>
      <c r="V25" s="133">
        <v>10.167304330798284</v>
      </c>
      <c r="W25" s="133">
        <v>10.798375278186587</v>
      </c>
      <c r="DA25" s="157" t="s">
        <v>322</v>
      </c>
    </row>
    <row r="26" spans="1:105" ht="12" customHeight="1" x14ac:dyDescent="0.25">
      <c r="A26" s="132" t="s">
        <v>24</v>
      </c>
      <c r="B26" s="65">
        <v>10.296573790014067</v>
      </c>
      <c r="C26" s="65">
        <v>10.829957450334861</v>
      </c>
      <c r="D26" s="65">
        <v>11.515976597976872</v>
      </c>
      <c r="E26" s="65">
        <v>12.552298715616066</v>
      </c>
      <c r="F26" s="65">
        <v>13.943817792618965</v>
      </c>
      <c r="G26" s="65">
        <v>14.557622605180862</v>
      </c>
      <c r="H26" s="65">
        <v>15.386134538280588</v>
      </c>
      <c r="I26" s="65">
        <v>16.733227381197768</v>
      </c>
      <c r="J26" s="65">
        <v>17.253268105096964</v>
      </c>
      <c r="K26" s="65">
        <v>17.568716501952963</v>
      </c>
      <c r="L26" s="65">
        <v>17.648701295183855</v>
      </c>
      <c r="M26" s="65">
        <v>17.806201703379479</v>
      </c>
      <c r="N26" s="65">
        <v>17.985541972685294</v>
      </c>
      <c r="O26" s="65">
        <v>18.073342807644675</v>
      </c>
      <c r="P26" s="65">
        <v>18.032548674834857</v>
      </c>
      <c r="Q26" s="65">
        <v>17.813208262926516</v>
      </c>
      <c r="R26" s="65">
        <v>16.827367242596996</v>
      </c>
      <c r="S26" s="65">
        <v>15.952439207807245</v>
      </c>
      <c r="T26" s="65">
        <v>15.520628148106482</v>
      </c>
      <c r="U26" s="65">
        <v>15.220944841433585</v>
      </c>
      <c r="V26" s="65">
        <v>14.506808715735639</v>
      </c>
      <c r="W26" s="65">
        <v>13.917886864237724</v>
      </c>
      <c r="DA26" s="109" t="s">
        <v>323</v>
      </c>
    </row>
    <row r="27" spans="1:105" ht="12" customHeight="1" x14ac:dyDescent="0.25">
      <c r="A27" s="145" t="s">
        <v>26</v>
      </c>
      <c r="B27" s="146">
        <v>0.33439380911435934</v>
      </c>
      <c r="C27" s="146">
        <v>0.35829750644883918</v>
      </c>
      <c r="D27" s="146">
        <v>0.42992261392949271</v>
      </c>
      <c r="E27" s="146">
        <v>0.50154772141014603</v>
      </c>
      <c r="F27" s="146">
        <v>0.59707652622527962</v>
      </c>
      <c r="G27" s="146">
        <v>0.69269131556319874</v>
      </c>
      <c r="H27" s="146">
        <v>0.81203783319002565</v>
      </c>
      <c r="I27" s="146">
        <v>0.95537403267411858</v>
      </c>
      <c r="J27" s="146">
        <v>1.1942390369733453</v>
      </c>
      <c r="K27" s="146">
        <v>1.3852966466036107</v>
      </c>
      <c r="L27" s="146">
        <v>1.5525365434221843</v>
      </c>
      <c r="M27" s="146">
        <v>1.8152192605331046</v>
      </c>
      <c r="N27" s="146">
        <v>2.149613069647462</v>
      </c>
      <c r="O27" s="146">
        <v>2.4601031814273435</v>
      </c>
      <c r="P27" s="146">
        <v>2.7944969905417003</v>
      </c>
      <c r="Q27" s="146">
        <v>3.1049871023215818</v>
      </c>
      <c r="R27" s="146">
        <v>3.4632846087704188</v>
      </c>
      <c r="S27" s="146">
        <v>3.857351676698193</v>
      </c>
      <c r="T27" s="146">
        <v>4.1797936371453144</v>
      </c>
      <c r="U27" s="146">
        <v>4.633619948409283</v>
      </c>
      <c r="V27" s="146">
        <v>4.903525365434219</v>
      </c>
      <c r="W27" s="146">
        <v>5.1208942390369723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39.650942006761206</v>
      </c>
      <c r="C29" s="131">
        <f t="shared" si="8"/>
        <v>42.62881207447014</v>
      </c>
      <c r="D29" s="131">
        <f t="shared" si="8"/>
        <v>44.779579079199912</v>
      </c>
      <c r="E29" s="131">
        <f t="shared" si="8"/>
        <v>46.098530744807107</v>
      </c>
      <c r="F29" s="131">
        <f t="shared" si="8"/>
        <v>48.934333779461021</v>
      </c>
      <c r="G29" s="131">
        <f t="shared" si="8"/>
        <v>51.222803136907579</v>
      </c>
      <c r="H29" s="131">
        <f t="shared" si="8"/>
        <v>54.720898842473161</v>
      </c>
      <c r="I29" s="131">
        <f t="shared" si="8"/>
        <v>58.384478969479275</v>
      </c>
      <c r="J29" s="131">
        <f t="shared" si="8"/>
        <v>61.670355316179396</v>
      </c>
      <c r="K29" s="131">
        <f t="shared" si="8"/>
        <v>65.27232707385491</v>
      </c>
      <c r="L29" s="131">
        <f t="shared" si="8"/>
        <v>66.638439468133825</v>
      </c>
      <c r="M29" s="131">
        <f t="shared" si="8"/>
        <v>67.34457347832101</v>
      </c>
      <c r="N29" s="131">
        <f t="shared" si="8"/>
        <v>69.170127686026689</v>
      </c>
      <c r="O29" s="131">
        <f t="shared" si="8"/>
        <v>70.540547482817715</v>
      </c>
      <c r="P29" s="131">
        <f t="shared" si="8"/>
        <v>73.898617529508741</v>
      </c>
      <c r="Q29" s="131">
        <f t="shared" si="8"/>
        <v>76.1961756999481</v>
      </c>
      <c r="R29" s="131">
        <f t="shared" ref="R29:W29" si="9">SUM(R30:R33)</f>
        <v>79.005058032235098</v>
      </c>
      <c r="S29" s="131">
        <f t="shared" si="9"/>
        <v>81.056840111340634</v>
      </c>
      <c r="T29" s="131">
        <f t="shared" si="9"/>
        <v>83.082248800711014</v>
      </c>
      <c r="U29" s="131">
        <f t="shared" si="9"/>
        <v>85.375520643908189</v>
      </c>
      <c r="V29" s="131">
        <f t="shared" si="9"/>
        <v>75.001660227995146</v>
      </c>
      <c r="W29" s="131">
        <f t="shared" si="9"/>
        <v>87.993691706653053</v>
      </c>
      <c r="DA29" s="156" t="s">
        <v>325</v>
      </c>
    </row>
    <row r="30" spans="1:105" ht="12" customHeight="1" x14ac:dyDescent="0.25">
      <c r="A30" s="132" t="s">
        <v>52</v>
      </c>
      <c r="B30" s="133">
        <v>0.93340071022517812</v>
      </c>
      <c r="C30" s="133">
        <v>2.6121422813426509</v>
      </c>
      <c r="D30" s="133">
        <v>2.4311727222817279</v>
      </c>
      <c r="E30" s="133">
        <v>2.9745477606843345</v>
      </c>
      <c r="F30" s="133">
        <v>3.5378474047830348</v>
      </c>
      <c r="G30" s="133">
        <v>3.402840057099489</v>
      </c>
      <c r="H30" s="133">
        <v>3.9459705370104539</v>
      </c>
      <c r="I30" s="133">
        <v>3.8585275679288227</v>
      </c>
      <c r="J30" s="133">
        <v>4.3265895901521674</v>
      </c>
      <c r="K30" s="133">
        <v>5.4069726369598126</v>
      </c>
      <c r="L30" s="133">
        <v>5.9858462748341905</v>
      </c>
      <c r="M30" s="133">
        <v>5.2725749021634352</v>
      </c>
      <c r="N30" s="133">
        <v>5.2307582697443964</v>
      </c>
      <c r="O30" s="133">
        <v>5.1798962746963415</v>
      </c>
      <c r="P30" s="133">
        <v>5.1556158933694318</v>
      </c>
      <c r="Q30" s="133">
        <v>5.131461080040209</v>
      </c>
      <c r="R30" s="133">
        <v>5.8548959095392989</v>
      </c>
      <c r="S30" s="133">
        <v>5.4523626671703349</v>
      </c>
      <c r="T30" s="133">
        <v>5.338419828612273</v>
      </c>
      <c r="U30" s="133">
        <v>5.9134468477220494</v>
      </c>
      <c r="V30" s="133">
        <v>4.8936611438232998</v>
      </c>
      <c r="W30" s="133">
        <v>5.9625822230479191</v>
      </c>
      <c r="DA30" s="157" t="s">
        <v>326</v>
      </c>
    </row>
    <row r="31" spans="1:105" ht="12" customHeight="1" x14ac:dyDescent="0.25">
      <c r="A31" s="132" t="s">
        <v>153</v>
      </c>
      <c r="B31" s="133">
        <v>4.1775413918554696</v>
      </c>
      <c r="C31" s="133">
        <v>4.3753293518457896</v>
      </c>
      <c r="D31" s="133">
        <v>4.4863236491154757</v>
      </c>
      <c r="E31" s="133">
        <v>4.5499932913809751</v>
      </c>
      <c r="F31" s="133">
        <v>4.5818922522590393</v>
      </c>
      <c r="G31" s="133">
        <v>4.8321851104939224</v>
      </c>
      <c r="H31" s="133">
        <v>4.9165146569840088</v>
      </c>
      <c r="I31" s="133">
        <v>5.2009503932054164</v>
      </c>
      <c r="J31" s="133">
        <v>5.5199690756068165</v>
      </c>
      <c r="K31" s="133">
        <v>5.7463649803668755</v>
      </c>
      <c r="L31" s="133">
        <v>5.8414498791292377</v>
      </c>
      <c r="M31" s="133">
        <v>6.1413487834997884</v>
      </c>
      <c r="N31" s="133">
        <v>6.5340686878141359</v>
      </c>
      <c r="O31" s="133">
        <v>6.6295060278715896</v>
      </c>
      <c r="P31" s="133">
        <v>6.8500024008674201</v>
      </c>
      <c r="Q31" s="133">
        <v>7.4521660690347273</v>
      </c>
      <c r="R31" s="133">
        <v>7.8344446108204497</v>
      </c>
      <c r="S31" s="133">
        <v>8.4751770655927814</v>
      </c>
      <c r="T31" s="133">
        <v>8.7394526040871447</v>
      </c>
      <c r="U31" s="133">
        <v>8.6363987306436858</v>
      </c>
      <c r="V31" s="133">
        <v>7.8264134919377719</v>
      </c>
      <c r="W31" s="133">
        <v>9.0721618090015586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0.42327456063109509</v>
      </c>
      <c r="L32" s="133">
        <v>0.42332393554169767</v>
      </c>
      <c r="M32" s="133">
        <v>0.38277374680304393</v>
      </c>
      <c r="N32" s="133">
        <v>0.40681897731329475</v>
      </c>
      <c r="O32" s="133">
        <v>0.41224687584067077</v>
      </c>
      <c r="P32" s="133">
        <v>0.38456727339626257</v>
      </c>
      <c r="Q32" s="133">
        <v>0.38453279334907353</v>
      </c>
      <c r="R32" s="133">
        <v>0.3849767901175134</v>
      </c>
      <c r="S32" s="133">
        <v>0.41410477168579241</v>
      </c>
      <c r="T32" s="133">
        <v>0.58757845709854384</v>
      </c>
      <c r="U32" s="133">
        <v>0.6725369032014622</v>
      </c>
      <c r="V32" s="133">
        <v>0.55123986123205193</v>
      </c>
      <c r="W32" s="133">
        <v>0.57531309636923778</v>
      </c>
      <c r="DA32" s="157" t="s">
        <v>328</v>
      </c>
    </row>
    <row r="33" spans="1:105" ht="12" customHeight="1" x14ac:dyDescent="0.25">
      <c r="A33" s="62" t="s">
        <v>24</v>
      </c>
      <c r="B33" s="68">
        <v>34.539999904680556</v>
      </c>
      <c r="C33" s="68">
        <v>35.641340441281699</v>
      </c>
      <c r="D33" s="68">
        <v>37.862082707802706</v>
      </c>
      <c r="E33" s="68">
        <v>38.573989692741797</v>
      </c>
      <c r="F33" s="68">
        <v>40.814594122418946</v>
      </c>
      <c r="G33" s="68">
        <v>42.987777969314166</v>
      </c>
      <c r="H33" s="68">
        <v>45.858413648478702</v>
      </c>
      <c r="I33" s="68">
        <v>49.325001008345033</v>
      </c>
      <c r="J33" s="68">
        <v>51.823796650420412</v>
      </c>
      <c r="K33" s="68">
        <v>53.695714895897126</v>
      </c>
      <c r="L33" s="68">
        <v>54.387819378628699</v>
      </c>
      <c r="M33" s="68">
        <v>55.547876045854743</v>
      </c>
      <c r="N33" s="68">
        <v>56.998481751154856</v>
      </c>
      <c r="O33" s="68">
        <v>58.318898304409117</v>
      </c>
      <c r="P33" s="68">
        <v>61.50843196187563</v>
      </c>
      <c r="Q33" s="68">
        <v>63.228015757524084</v>
      </c>
      <c r="R33" s="68">
        <v>64.930740721757829</v>
      </c>
      <c r="S33" s="68">
        <v>66.715195606891726</v>
      </c>
      <c r="T33" s="68">
        <v>68.416797910913047</v>
      </c>
      <c r="U33" s="68">
        <v>70.153138162340994</v>
      </c>
      <c r="V33" s="68">
        <v>61.730345731002025</v>
      </c>
      <c r="W33" s="68">
        <v>72.383634578234336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0.59728683074142763</v>
      </c>
      <c r="C3" s="127">
        <f>IF(SER_hh_tes!C3=0,"",SER_hh_tes!C3/SER_hh_fec!C3)</f>
        <v>0.59774142561278398</v>
      </c>
      <c r="D3" s="127">
        <f>IF(SER_hh_tes!D3=0,"",SER_hh_tes!D3/SER_hh_fec!D3)</f>
        <v>0.60260389060538022</v>
      </c>
      <c r="E3" s="127">
        <f>IF(SER_hh_tes!E3=0,"",SER_hh_tes!E3/SER_hh_fec!E3)</f>
        <v>0.6318095731455069</v>
      </c>
      <c r="F3" s="127">
        <f>IF(SER_hh_tes!F3=0,"",SER_hh_tes!F3/SER_hh_fec!F3)</f>
        <v>0.62191021839755534</v>
      </c>
      <c r="G3" s="127">
        <f>IF(SER_hh_tes!G3=0,"",SER_hh_tes!G3/SER_hh_fec!G3)</f>
        <v>0.63704630890701486</v>
      </c>
      <c r="H3" s="127">
        <f>IF(SER_hh_tes!H3=0,"",SER_hh_tes!H3/SER_hh_fec!H3)</f>
        <v>0.65668654216859512</v>
      </c>
      <c r="I3" s="127">
        <f>IF(SER_hh_tes!I3=0,"",SER_hh_tes!I3/SER_hh_fec!I3)</f>
        <v>0.67967508810800803</v>
      </c>
      <c r="J3" s="127">
        <f>IF(SER_hh_tes!J3=0,"",SER_hh_tes!J3/SER_hh_fec!J3)</f>
        <v>0.69031645699158906</v>
      </c>
      <c r="K3" s="127">
        <f>IF(SER_hh_tes!K3=0,"",SER_hh_tes!K3/SER_hh_fec!K3)</f>
        <v>0.69707057275839091</v>
      </c>
      <c r="L3" s="127">
        <f>IF(SER_hh_tes!L3=0,"",SER_hh_tes!L3/SER_hh_fec!L3)</f>
        <v>0.70513306160136147</v>
      </c>
      <c r="M3" s="127">
        <f>IF(SER_hh_tes!M3=0,"",SER_hh_tes!M3/SER_hh_fec!M3)</f>
        <v>0.72407378486310836</v>
      </c>
      <c r="N3" s="127">
        <f>IF(SER_hh_tes!N3=0,"",SER_hh_tes!N3/SER_hh_fec!N3)</f>
        <v>0.76926970222252833</v>
      </c>
      <c r="O3" s="127">
        <f>IF(SER_hh_tes!O3=0,"",SER_hh_tes!O3/SER_hh_fec!O3)</f>
        <v>0.75416525295125836</v>
      </c>
      <c r="P3" s="127">
        <f>IF(SER_hh_tes!P3=0,"",SER_hh_tes!P3/SER_hh_fec!P3)</f>
        <v>0.75455971757914797</v>
      </c>
      <c r="Q3" s="127">
        <f>IF(SER_hh_tes!Q3=0,"",SER_hh_tes!Q3/SER_hh_fec!Q3)</f>
        <v>0.78669531104249335</v>
      </c>
      <c r="R3" s="127">
        <f>IF(SER_hh_tes!R3=0,"",SER_hh_tes!R3/SER_hh_fec!R3)</f>
        <v>0.76475945436879378</v>
      </c>
      <c r="S3" s="127">
        <f>IF(SER_hh_tes!S3=0,"",SER_hh_tes!S3/SER_hh_fec!S3)</f>
        <v>0.79758689094661273</v>
      </c>
      <c r="T3" s="127">
        <f>IF(SER_hh_tes!T3=0,"",SER_hh_tes!T3/SER_hh_fec!T3)</f>
        <v>0.78704756455542246</v>
      </c>
      <c r="U3" s="127">
        <f>IF(SER_hh_tes!U3=0,"",SER_hh_tes!U3/SER_hh_fec!U3)</f>
        <v>0.81177462909131282</v>
      </c>
      <c r="V3" s="127">
        <f>IF(SER_hh_tes!V3=0,"",SER_hh_tes!V3/SER_hh_fec!V3)</f>
        <v>0.81061491977287659</v>
      </c>
      <c r="W3" s="127">
        <f>IF(SER_hh_tes!W3=0,"",SER_hh_tes!W3/SER_hh_fec!W3)</f>
        <v>0.83268845377367184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0.54426891579598002</v>
      </c>
      <c r="C4" s="136">
        <f>IF(SER_hh_tes!C4=0,"",SER_hh_tes!C4/SER_hh_fec!C4)</f>
        <v>0.55142278876085182</v>
      </c>
      <c r="D4" s="136">
        <f>IF(SER_hh_tes!D4=0,"",SER_hh_tes!D4/SER_hh_fec!D4)</f>
        <v>0.55526990308472512</v>
      </c>
      <c r="E4" s="136">
        <f>IF(SER_hh_tes!E4=0,"",SER_hh_tes!E4/SER_hh_fec!E4)</f>
        <v>0.56507338727666001</v>
      </c>
      <c r="F4" s="136">
        <f>IF(SER_hh_tes!F4=0,"",SER_hh_tes!F4/SER_hh_fec!F4)</f>
        <v>0.57399424893292073</v>
      </c>
      <c r="G4" s="136">
        <f>IF(SER_hh_tes!G4=0,"",SER_hh_tes!G4/SER_hh_fec!G4)</f>
        <v>0.58963870611294444</v>
      </c>
      <c r="H4" s="136">
        <f>IF(SER_hh_tes!H4=0,"",SER_hh_tes!H4/SER_hh_fec!H4)</f>
        <v>0.59949624946601876</v>
      </c>
      <c r="I4" s="136">
        <f>IF(SER_hh_tes!I4=0,"",SER_hh_tes!I4/SER_hh_fec!I4)</f>
        <v>0.61356212479566385</v>
      </c>
      <c r="J4" s="136">
        <f>IF(SER_hh_tes!J4=0,"",SER_hh_tes!J4/SER_hh_fec!J4)</f>
        <v>0.62770092793604992</v>
      </c>
      <c r="K4" s="136">
        <f>IF(SER_hh_tes!K4=0,"",SER_hh_tes!K4/SER_hh_fec!K4)</f>
        <v>0.63315355798694695</v>
      </c>
      <c r="L4" s="136">
        <f>IF(SER_hh_tes!L4=0,"",SER_hh_tes!L4/SER_hh_fec!L4)</f>
        <v>0.64392749485618261</v>
      </c>
      <c r="M4" s="136">
        <f>IF(SER_hh_tes!M4=0,"",SER_hh_tes!M4/SER_hh_fec!M4)</f>
        <v>0.6567013776019307</v>
      </c>
      <c r="N4" s="136">
        <f>IF(SER_hh_tes!N4=0,"",SER_hh_tes!N4/SER_hh_fec!N4)</f>
        <v>0.67060629090933543</v>
      </c>
      <c r="O4" s="136">
        <f>IF(SER_hh_tes!O4=0,"",SER_hh_tes!O4/SER_hh_fec!O4)</f>
        <v>0.68379616068660309</v>
      </c>
      <c r="P4" s="136">
        <f>IF(SER_hh_tes!P4=0,"",SER_hh_tes!P4/SER_hh_fec!P4)</f>
        <v>0.68425079825226587</v>
      </c>
      <c r="Q4" s="136">
        <f>IF(SER_hh_tes!Q4=0,"",SER_hh_tes!Q4/SER_hh_fec!Q4)</f>
        <v>0.68472832480521029</v>
      </c>
      <c r="R4" s="136">
        <f>IF(SER_hh_tes!R4=0,"",SER_hh_tes!R4/SER_hh_fec!R4)</f>
        <v>0.69334730861929561</v>
      </c>
      <c r="S4" s="136">
        <f>IF(SER_hh_tes!S4=0,"",SER_hh_tes!S4/SER_hh_fec!S4)</f>
        <v>0.70453007344523166</v>
      </c>
      <c r="T4" s="136">
        <f>IF(SER_hh_tes!T4=0,"",SER_hh_tes!T4/SER_hh_fec!T4)</f>
        <v>0.7163589693961202</v>
      </c>
      <c r="U4" s="136">
        <f>IF(SER_hh_tes!U4=0,"",SER_hh_tes!U4/SER_hh_fec!U4)</f>
        <v>0.72775057499836637</v>
      </c>
      <c r="V4" s="136">
        <f>IF(SER_hh_tes!V4=0,"",SER_hh_tes!V4/SER_hh_fec!V4)</f>
        <v>0.73447768450369055</v>
      </c>
      <c r="W4" s="136">
        <f>IF(SER_hh_tes!W4=0,"",SER_hh_tes!W4/SER_hh_fec!W4)</f>
        <v>0.74584055156332862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0.50630821498632106</v>
      </c>
      <c r="C5" s="137">
        <f>IF(SER_hh_tes!C5=0,"",SER_hh_tes!C5/SER_hh_fec!C5)</f>
        <v>0.50964086382300233</v>
      </c>
      <c r="D5" s="137">
        <f>IF(SER_hh_tes!D5=0,"",SER_hh_tes!D5/SER_hh_fec!D5)</f>
        <v>0.51315794731398556</v>
      </c>
      <c r="E5" s="137">
        <f>IF(SER_hh_tes!E5=0,"",SER_hh_tes!E5/SER_hh_fec!E5)</f>
        <v>0.51378228296773498</v>
      </c>
      <c r="F5" s="137">
        <f>IF(SER_hh_tes!F5=0,"",SER_hh_tes!F5/SER_hh_fec!F5)</f>
        <v>0.51451330096905201</v>
      </c>
      <c r="G5" s="137">
        <f>IF(SER_hh_tes!G5=0,"",SER_hh_tes!G5/SER_hh_fec!G5)</f>
        <v>0.51451330096905212</v>
      </c>
      <c r="H5" s="137">
        <f>IF(SER_hh_tes!H5=0,"",SER_hh_tes!H5/SER_hh_fec!H5)</f>
        <v>0.51451330096905212</v>
      </c>
      <c r="I5" s="137">
        <f>IF(SER_hh_tes!I5=0,"",SER_hh_tes!I5/SER_hh_fec!I5)</f>
        <v>0.51451330096905212</v>
      </c>
      <c r="J5" s="137">
        <f>IF(SER_hh_tes!J5=0,"",SER_hh_tes!J5/SER_hh_fec!J5)</f>
        <v>0.52493884001997393</v>
      </c>
      <c r="K5" s="137">
        <f>IF(SER_hh_tes!K5=0,"",SER_hh_tes!K5/SER_hh_fec!K5)</f>
        <v>0.53208773753127248</v>
      </c>
      <c r="L5" s="137">
        <f>IF(SER_hh_tes!L5=0,"",SER_hh_tes!L5/SER_hh_fec!L5)</f>
        <v>0.55656175803356711</v>
      </c>
      <c r="M5" s="137">
        <f>IF(SER_hh_tes!M5=0,"",SER_hh_tes!M5/SER_hh_fec!M5)</f>
        <v>0.58258674905430463</v>
      </c>
      <c r="N5" s="137">
        <f>IF(SER_hh_tes!N5=0,"",SER_hh_tes!N5/SER_hh_fec!N5)</f>
        <v>0.61009484691107829</v>
      </c>
      <c r="O5" s="137">
        <f>IF(SER_hh_tes!O5=0,"",SER_hh_tes!O5/SER_hh_fec!O5)</f>
        <v>0.63307070348034455</v>
      </c>
      <c r="P5" s="137">
        <f>IF(SER_hh_tes!P5=0,"",SER_hh_tes!P5/SER_hh_fec!P5)</f>
        <v>0.63307070348034411</v>
      </c>
      <c r="Q5" s="137">
        <f>IF(SER_hh_tes!Q5=0,"",SER_hh_tes!Q5/SER_hh_fec!Q5)</f>
        <v>0.63307070348034433</v>
      </c>
      <c r="R5" s="137">
        <f>IF(SER_hh_tes!R5=0,"",SER_hh_tes!R5/SER_hh_fec!R5)</f>
        <v>0.63307070348034478</v>
      </c>
      <c r="S5" s="137">
        <f>IF(SER_hh_tes!S5=0,"",SER_hh_tes!S5/SER_hh_fec!S5)</f>
        <v>0.64272075515590743</v>
      </c>
      <c r="T5" s="137">
        <f>IF(SER_hh_tes!T5=0,"",SER_hh_tes!T5/SER_hh_fec!T5)</f>
        <v>0.64637069441075257</v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0.43823201813892576</v>
      </c>
      <c r="C7" s="137">
        <f>IF(SER_hh_tes!C7=0,"",SER_hh_tes!C7/SER_hh_fec!C7)</f>
        <v>0.44462186494389166</v>
      </c>
      <c r="D7" s="137">
        <f>IF(SER_hh_tes!D7=0,"",SER_hh_tes!D7/SER_hh_fec!D7)</f>
        <v>0.4509529937389643</v>
      </c>
      <c r="E7" s="137">
        <f>IF(SER_hh_tes!E7=0,"",SER_hh_tes!E7/SER_hh_fec!E7)</f>
        <v>0.45758879793022289</v>
      </c>
      <c r="F7" s="137">
        <f>IF(SER_hh_tes!F7=0,"",SER_hh_tes!F7/SER_hh_fec!F7)</f>
        <v>0.46096730816136311</v>
      </c>
      <c r="G7" s="137">
        <f>IF(SER_hh_tes!G7=0,"",SER_hh_tes!G7/SER_hh_fec!G7)</f>
        <v>0.46287796158529321</v>
      </c>
      <c r="H7" s="137">
        <f>IF(SER_hh_tes!H7=0,"",SER_hh_tes!H7/SER_hh_fec!H7)</f>
        <v>0.46496516757170042</v>
      </c>
      <c r="I7" s="137">
        <f>IF(SER_hh_tes!I7=0,"",SER_hh_tes!I7/SER_hh_fec!I7)</f>
        <v>0.46739177717256225</v>
      </c>
      <c r="J7" s="137">
        <f>IF(SER_hh_tes!J7=0,"",SER_hh_tes!J7/SER_hh_fec!J7)</f>
        <v>0.47024209303505188</v>
      </c>
      <c r="K7" s="137">
        <f>IF(SER_hh_tes!K7=0,"",SER_hh_tes!K7/SER_hh_fec!K7)</f>
        <v>0.47481535685616394</v>
      </c>
      <c r="L7" s="137">
        <f>IF(SER_hh_tes!L7=0,"",SER_hh_tes!L7/SER_hh_fec!L7)</f>
        <v>0.48293457329298461</v>
      </c>
      <c r="M7" s="137">
        <f>IF(SER_hh_tes!M7=0,"",SER_hh_tes!M7/SER_hh_fec!M7)</f>
        <v>0.49623395700508099</v>
      </c>
      <c r="N7" s="137">
        <f>IF(SER_hh_tes!N7=0,"",SER_hh_tes!N7/SER_hh_fec!N7)</f>
        <v>0.51442020447116998</v>
      </c>
      <c r="O7" s="137">
        <f>IF(SER_hh_tes!O7=0,"",SER_hh_tes!O7/SER_hh_fec!O7)</f>
        <v>0.5387856061594406</v>
      </c>
      <c r="P7" s="137">
        <f>IF(SER_hh_tes!P7=0,"",SER_hh_tes!P7/SER_hh_fec!P7)</f>
        <v>0.5449339652389158</v>
      </c>
      <c r="Q7" s="137">
        <f>IF(SER_hh_tes!Q7=0,"",SER_hh_tes!Q7/SER_hh_fec!Q7)</f>
        <v>0.56017370883316941</v>
      </c>
      <c r="R7" s="137">
        <f>IF(SER_hh_tes!R7=0,"",SER_hh_tes!R7/SER_hh_fec!R7)</f>
        <v>0.57570778901170672</v>
      </c>
      <c r="S7" s="137">
        <f>IF(SER_hh_tes!S7=0,"",SER_hh_tes!S7/SER_hh_fec!S7)</f>
        <v>0.59386022037216624</v>
      </c>
      <c r="T7" s="137">
        <f>IF(SER_hh_tes!T7=0,"",SER_hh_tes!T7/SER_hh_fec!T7)</f>
        <v>0.60801686430252078</v>
      </c>
      <c r="U7" s="137">
        <f>IF(SER_hh_tes!U7=0,"",SER_hh_tes!U7/SER_hh_fec!U7)</f>
        <v>0.61866496283718198</v>
      </c>
      <c r="V7" s="137">
        <f>IF(SER_hh_tes!V7=0,"",SER_hh_tes!V7/SER_hh_fec!V7)</f>
        <v>0.62184093272256968</v>
      </c>
      <c r="W7" s="137">
        <f>IF(SER_hh_tes!W7=0,"",SER_hh_tes!W7/SER_hh_fec!W7)</f>
        <v>0.62200102258167078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0.48171004475293838</v>
      </c>
      <c r="C9" s="137">
        <f>IF(SER_hh_tes!C9=0,"",SER_hh_tes!C9/SER_hh_fec!C9)</f>
        <v>0.49287694115047953</v>
      </c>
      <c r="D9" s="137">
        <f>IF(SER_hh_tes!D9=0,"",SER_hh_tes!D9/SER_hh_fec!D9)</f>
        <v>0.50094301260177865</v>
      </c>
      <c r="E9" s="137">
        <f>IF(SER_hh_tes!E9=0,"",SER_hh_tes!E9/SER_hh_fec!E9)</f>
        <v>0.5118724006498675</v>
      </c>
      <c r="F9" s="137">
        <f>IF(SER_hh_tes!F9=0,"",SER_hh_tes!F9/SER_hh_fec!F9)</f>
        <v>0.52319791697030227</v>
      </c>
      <c r="G9" s="137">
        <f>IF(SER_hh_tes!G9=0,"",SER_hh_tes!G9/SER_hh_fec!G9)</f>
        <v>0.53585836282809252</v>
      </c>
      <c r="H9" s="137">
        <f>IF(SER_hh_tes!H9=0,"",SER_hh_tes!H9/SER_hh_fec!H9)</f>
        <v>0.54763786823101468</v>
      </c>
      <c r="I9" s="137">
        <f>IF(SER_hh_tes!I9=0,"",SER_hh_tes!I9/SER_hh_fec!I9)</f>
        <v>0.55880499572895126</v>
      </c>
      <c r="J9" s="137">
        <f>IF(SER_hh_tes!J9=0,"",SER_hh_tes!J9/SER_hh_fec!J9)</f>
        <v>0.56957230103595102</v>
      </c>
      <c r="K9" s="137">
        <f>IF(SER_hh_tes!K9=0,"",SER_hh_tes!K9/SER_hh_fec!K9)</f>
        <v>0.58018347841574547</v>
      </c>
      <c r="L9" s="137">
        <f>IF(SER_hh_tes!L9=0,"",SER_hh_tes!L9/SER_hh_fec!L9)</f>
        <v>0.59070080791097757</v>
      </c>
      <c r="M9" s="137">
        <f>IF(SER_hh_tes!M9=0,"",SER_hh_tes!M9/SER_hh_fec!M9)</f>
        <v>0.59964532599981257</v>
      </c>
      <c r="N9" s="137">
        <f>IF(SER_hh_tes!N9=0,"",SER_hh_tes!N9/SER_hh_fec!N9)</f>
        <v>0.61126570815261361</v>
      </c>
      <c r="O9" s="137">
        <f>IF(SER_hh_tes!O9=0,"",SER_hh_tes!O9/SER_hh_fec!O9)</f>
        <v>0.62569362137767381</v>
      </c>
      <c r="P9" s="137">
        <f>IF(SER_hh_tes!P9=0,"",SER_hh_tes!P9/SER_hh_fec!P9)</f>
        <v>0.63628834365527476</v>
      </c>
      <c r="Q9" s="137">
        <f>IF(SER_hh_tes!Q9=0,"",SER_hh_tes!Q9/SER_hh_fec!Q9)</f>
        <v>0.6488410952649335</v>
      </c>
      <c r="R9" s="137">
        <f>IF(SER_hh_tes!R9=0,"",SER_hh_tes!R9/SER_hh_fec!R9)</f>
        <v>0.65676369785567523</v>
      </c>
      <c r="S9" s="137">
        <f>IF(SER_hh_tes!S9=0,"",SER_hh_tes!S9/SER_hh_fec!S9)</f>
        <v>0.66464596823063871</v>
      </c>
      <c r="T9" s="137">
        <f>IF(SER_hh_tes!T9=0,"",SER_hh_tes!T9/SER_hh_fec!T9)</f>
        <v>0.67300889940917197</v>
      </c>
      <c r="U9" s="137">
        <f>IF(SER_hh_tes!U9=0,"",SER_hh_tes!U9/SER_hh_fec!U9)</f>
        <v>0.68256646985336555</v>
      </c>
      <c r="V9" s="137">
        <f>IF(SER_hh_tes!V9=0,"",SER_hh_tes!V9/SER_hh_fec!V9)</f>
        <v>0.69223629120612995</v>
      </c>
      <c r="W9" s="137">
        <f>IF(SER_hh_tes!W9=0,"",SER_hh_tes!W9/SER_hh_fec!W9)</f>
        <v>0.70089656938824463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>
        <f>IF(SER_hh_tes!I10=0,"",SER_hh_tes!I10/SER_hh_fec!I10)</f>
        <v>0.47891108418563488</v>
      </c>
      <c r="J10" s="137">
        <f>IF(SER_hh_tes!J10=0,"",SER_hh_tes!J10/SER_hh_fec!J10)</f>
        <v>0.48072961458944036</v>
      </c>
      <c r="K10" s="137">
        <f>IF(SER_hh_tes!K10=0,"",SER_hh_tes!K10/SER_hh_fec!K10)</f>
        <v>0.48363190578791121</v>
      </c>
      <c r="L10" s="137">
        <f>IF(SER_hh_tes!L10=0,"",SER_hh_tes!L10/SER_hh_fec!L10)</f>
        <v>0.48408641448631146</v>
      </c>
      <c r="M10" s="137">
        <f>IF(SER_hh_tes!M10=0,"",SER_hh_tes!M10/SER_hh_fec!M10)</f>
        <v>0.48705713129331385</v>
      </c>
      <c r="N10" s="137">
        <f>IF(SER_hh_tes!N10=0,"",SER_hh_tes!N10/SER_hh_fec!N10)</f>
        <v>0.49021103039569686</v>
      </c>
      <c r="O10" s="137">
        <f>IF(SER_hh_tes!O10=0,"",SER_hh_tes!O10/SER_hh_fec!O10)</f>
        <v>0.49647803027512616</v>
      </c>
      <c r="P10" s="137">
        <f>IF(SER_hh_tes!P10=0,"",SER_hh_tes!P10/SER_hh_fec!P10)</f>
        <v>0.50451671745876447</v>
      </c>
      <c r="Q10" s="137">
        <f>IF(SER_hh_tes!Q10=0,"",SER_hh_tes!Q10/SER_hh_fec!Q10)</f>
        <v>0.51096594637893034</v>
      </c>
      <c r="R10" s="137">
        <f>IF(SER_hh_tes!R10=0,"",SER_hh_tes!R10/SER_hh_fec!R10)</f>
        <v>0.5179217869202718</v>
      </c>
      <c r="S10" s="137">
        <f>IF(SER_hh_tes!S10=0,"",SER_hh_tes!S10/SER_hh_fec!S10)</f>
        <v>0.52463112473287543</v>
      </c>
      <c r="T10" s="137">
        <f>IF(SER_hh_tes!T10=0,"",SER_hh_tes!T10/SER_hh_fec!T10)</f>
        <v>0.53258310119241525</v>
      </c>
      <c r="U10" s="137">
        <f>IF(SER_hh_tes!U10=0,"",SER_hh_tes!U10/SER_hh_fec!U10)</f>
        <v>0.540332545248697</v>
      </c>
      <c r="V10" s="137">
        <f>IF(SER_hh_tes!V10=0,"",SER_hh_tes!V10/SER_hh_fec!V10)</f>
        <v>0.54815620082195149</v>
      </c>
      <c r="W10" s="137">
        <f>IF(SER_hh_tes!W10=0,"",SER_hh_tes!W10/SER_hh_fec!W10)</f>
        <v>0.55386984604081291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>
        <f>IF(SER_hh_tes!I11=0,"",SER_hh_tes!I11/SER_hh_fec!I11)</f>
        <v>0.80496975305126894</v>
      </c>
      <c r="J11" s="137">
        <f>IF(SER_hh_tes!J11=0,"",SER_hh_tes!J11/SER_hh_fec!J11)</f>
        <v>0.8061741182251192</v>
      </c>
      <c r="K11" s="137">
        <f>IF(SER_hh_tes!K11=0,"",SER_hh_tes!K11/SER_hh_fec!K11)</f>
        <v>0.80794422638119756</v>
      </c>
      <c r="L11" s="137">
        <f>IF(SER_hh_tes!L11=0,"",SER_hh_tes!L11/SER_hh_fec!L11)</f>
        <v>0.81056035778031787</v>
      </c>
      <c r="M11" s="137">
        <f>IF(SER_hh_tes!M11=0,"",SER_hh_tes!M11/SER_hh_fec!M11)</f>
        <v>0.81236318383211736</v>
      </c>
      <c r="N11" s="137">
        <f>IF(SER_hh_tes!N11=0,"",SER_hh_tes!N11/SER_hh_fec!N11)</f>
        <v>0.81346282171215145</v>
      </c>
      <c r="O11" s="137">
        <f>IF(SER_hh_tes!O11=0,"",SER_hh_tes!O11/SER_hh_fec!O11)</f>
        <v>0.81352980660759378</v>
      </c>
      <c r="P11" s="137">
        <f>IF(SER_hh_tes!P11=0,"",SER_hh_tes!P11/SER_hh_fec!P11)</f>
        <v>0.8135676315540058</v>
      </c>
      <c r="Q11" s="137">
        <f>IF(SER_hh_tes!Q11=0,"",SER_hh_tes!Q11/SER_hh_fec!Q11)</f>
        <v>0.81356763155400602</v>
      </c>
      <c r="R11" s="137">
        <f>IF(SER_hh_tes!R11=0,"",SER_hh_tes!R11/SER_hh_fec!R11)</f>
        <v>0.81356763155400591</v>
      </c>
      <c r="S11" s="137">
        <f>IF(SER_hh_tes!S11=0,"",SER_hh_tes!S11/SER_hh_fec!S11)</f>
        <v>0.81356763155400647</v>
      </c>
      <c r="T11" s="137">
        <f>IF(SER_hh_tes!T11=0,"",SER_hh_tes!T11/SER_hh_fec!T11)</f>
        <v>0.81356763155400635</v>
      </c>
      <c r="U11" s="137">
        <f>IF(SER_hh_tes!U11=0,"",SER_hh_tes!U11/SER_hh_fec!U11)</f>
        <v>0.8135676315540058</v>
      </c>
      <c r="V11" s="137">
        <f>IF(SER_hh_tes!V11=0,"",SER_hh_tes!V11/SER_hh_fec!V11)</f>
        <v>0.8138254380259633</v>
      </c>
      <c r="W11" s="137">
        <f>IF(SER_hh_tes!W11=0,"",SER_hh_tes!W11/SER_hh_fec!W11)</f>
        <v>0.81473768268033719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0.74909121167829862</v>
      </c>
      <c r="C12" s="137">
        <f>IF(SER_hh_tes!C12=0,"",SER_hh_tes!C12/SER_hh_fec!C12)</f>
        <v>0.75045166085863946</v>
      </c>
      <c r="D12" s="137">
        <f>IF(SER_hh_tes!D12=0,"",SER_hh_tes!D12/SER_hh_fec!D12)</f>
        <v>0.75290000214891861</v>
      </c>
      <c r="E12" s="137">
        <f>IF(SER_hh_tes!E12=0,"",SER_hh_tes!E12/SER_hh_fec!E12)</f>
        <v>0.7560130823578578</v>
      </c>
      <c r="F12" s="137">
        <f>IF(SER_hh_tes!F12=0,"",SER_hh_tes!F12/SER_hh_fec!F12)</f>
        <v>0.75865374327021373</v>
      </c>
      <c r="G12" s="137">
        <f>IF(SER_hh_tes!G12=0,"",SER_hh_tes!G12/SER_hh_fec!G12)</f>
        <v>0.76157088506227932</v>
      </c>
      <c r="H12" s="137">
        <f>IF(SER_hh_tes!H12=0,"",SER_hh_tes!H12/SER_hh_fec!H12)</f>
        <v>0.76409763256907803</v>
      </c>
      <c r="I12" s="137">
        <f>IF(SER_hh_tes!I12=0,"",SER_hh_tes!I12/SER_hh_fec!I12)</f>
        <v>0.76730643117209363</v>
      </c>
      <c r="J12" s="137">
        <f>IF(SER_hh_tes!J12=0,"",SER_hh_tes!J12/SER_hh_fec!J12)</f>
        <v>0.77080996819248671</v>
      </c>
      <c r="K12" s="137">
        <f>IF(SER_hh_tes!K12=0,"",SER_hh_tes!K12/SER_hh_fec!K12)</f>
        <v>0.77495237865221711</v>
      </c>
      <c r="L12" s="137">
        <f>IF(SER_hh_tes!L12=0,"",SER_hh_tes!L12/SER_hh_fec!L12)</f>
        <v>0.77959063891975533</v>
      </c>
      <c r="M12" s="137">
        <f>IF(SER_hh_tes!M12=0,"",SER_hh_tes!M12/SER_hh_fec!M12)</f>
        <v>0.78453956808490977</v>
      </c>
      <c r="N12" s="137">
        <f>IF(SER_hh_tes!N12=0,"",SER_hh_tes!N12/SER_hh_fec!N12)</f>
        <v>0.78975067219232709</v>
      </c>
      <c r="O12" s="137">
        <f>IF(SER_hh_tes!O12=0,"",SER_hh_tes!O12/SER_hh_fec!O12)</f>
        <v>0.79455348523099745</v>
      </c>
      <c r="P12" s="137">
        <f>IF(SER_hh_tes!P12=0,"",SER_hh_tes!P12/SER_hh_fec!P12)</f>
        <v>0.79518183033987144</v>
      </c>
      <c r="Q12" s="137">
        <f>IF(SER_hh_tes!Q12=0,"",SER_hh_tes!Q12/SER_hh_fec!Q12)</f>
        <v>0.79598914032322954</v>
      </c>
      <c r="R12" s="137">
        <f>IF(SER_hh_tes!R12=0,"",SER_hh_tes!R12/SER_hh_fec!R12)</f>
        <v>0.7969452625964889</v>
      </c>
      <c r="S12" s="137">
        <f>IF(SER_hh_tes!S12=0,"",SER_hh_tes!S12/SER_hh_fec!S12)</f>
        <v>0.79811927899044421</v>
      </c>
      <c r="T12" s="137">
        <f>IF(SER_hh_tes!T12=0,"",SER_hh_tes!T12/SER_hh_fec!T12)</f>
        <v>0.80102630858361035</v>
      </c>
      <c r="U12" s="137">
        <f>IF(SER_hh_tes!U12=0,"",SER_hh_tes!U12/SER_hh_fec!U12)</f>
        <v>0.80731017892210266</v>
      </c>
      <c r="V12" s="137">
        <f>IF(SER_hh_tes!V12=0,"",SER_hh_tes!V12/SER_hh_fec!V12)</f>
        <v>0.81695584437785196</v>
      </c>
      <c r="W12" s="137">
        <f>IF(SER_hh_tes!W12=0,"",SER_hh_tes!W12/SER_hh_fec!W12)</f>
        <v>0.82569702005723866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0.66555995289597347</v>
      </c>
      <c r="C14" s="138">
        <f>IF(SER_hh_tes!C14=0,"",SER_hh_tes!C14/SER_hh_fec!C14)</f>
        <v>0.67041942825325784</v>
      </c>
      <c r="D14" s="138">
        <f>IF(SER_hh_tes!D14=0,"",SER_hh_tes!D14/SER_hh_fec!D14)</f>
        <v>0.67579903315702539</v>
      </c>
      <c r="E14" s="138">
        <f>IF(SER_hh_tes!E14=0,"",SER_hh_tes!E14/SER_hh_fec!E14)</f>
        <v>0.68109312204719696</v>
      </c>
      <c r="F14" s="138">
        <f>IF(SER_hh_tes!F14=0,"",SER_hh_tes!F14/SER_hh_fec!F14)</f>
        <v>0.68726798101999831</v>
      </c>
      <c r="G14" s="138">
        <f>IF(SER_hh_tes!G14=0,"",SER_hh_tes!G14/SER_hh_fec!G14)</f>
        <v>0.69286925358998142</v>
      </c>
      <c r="H14" s="138">
        <f>IF(SER_hh_tes!H14=0,"",SER_hh_tes!H14/SER_hh_fec!H14)</f>
        <v>0.69909777544959717</v>
      </c>
      <c r="I14" s="138">
        <f>IF(SER_hh_tes!I14=0,"",SER_hh_tes!I14/SER_hh_fec!I14)</f>
        <v>0.70375711963538801</v>
      </c>
      <c r="J14" s="138">
        <f>IF(SER_hh_tes!J14=0,"",SER_hh_tes!J14/SER_hh_fec!J14)</f>
        <v>0.70714437214304482</v>
      </c>
      <c r="K14" s="138">
        <f>IF(SER_hh_tes!K14=0,"",SER_hh_tes!K14/SER_hh_fec!K14)</f>
        <v>0.70982259636757572</v>
      </c>
      <c r="L14" s="138">
        <f>IF(SER_hh_tes!L14=0,"",SER_hh_tes!L14/SER_hh_fec!L14)</f>
        <v>0.71220755429251581</v>
      </c>
      <c r="M14" s="138">
        <f>IF(SER_hh_tes!M14=0,"",SER_hh_tes!M14/SER_hh_fec!M14)</f>
        <v>0.71614409996203343</v>
      </c>
      <c r="N14" s="138">
        <f>IF(SER_hh_tes!N14=0,"",SER_hh_tes!N14/SER_hh_fec!N14)</f>
        <v>0.71915995917054676</v>
      </c>
      <c r="O14" s="138">
        <f>IF(SER_hh_tes!O14=0,"",SER_hh_tes!O14/SER_hh_fec!O14)</f>
        <v>0.72202118845619156</v>
      </c>
      <c r="P14" s="138">
        <f>IF(SER_hh_tes!P14=0,"",SER_hh_tes!P14/SER_hh_fec!P14)</f>
        <v>0.72485777623672443</v>
      </c>
      <c r="Q14" s="138">
        <f>IF(SER_hh_tes!Q14=0,"",SER_hh_tes!Q14/SER_hh_fec!Q14)</f>
        <v>0.7276093952428222</v>
      </c>
      <c r="R14" s="138">
        <f>IF(SER_hh_tes!R14=0,"",SER_hh_tes!R14/SER_hh_fec!R14)</f>
        <v>0.73579960560889535</v>
      </c>
      <c r="S14" s="138">
        <f>IF(SER_hh_tes!S14=0,"",SER_hh_tes!S14/SER_hh_fec!S14)</f>
        <v>0.74944859277245446</v>
      </c>
      <c r="T14" s="138">
        <f>IF(SER_hh_tes!T14=0,"",SER_hh_tes!T14/SER_hh_fec!T14)</f>
        <v>0.7634597263564481</v>
      </c>
      <c r="U14" s="138">
        <f>IF(SER_hh_tes!U14=0,"",SER_hh_tes!U14/SER_hh_fec!U14)</f>
        <v>0.77579011393793795</v>
      </c>
      <c r="V14" s="138">
        <f>IF(SER_hh_tes!V14=0,"",SER_hh_tes!V14/SER_hh_fec!V14)</f>
        <v>0.78573867517207652</v>
      </c>
      <c r="W14" s="138">
        <f>IF(SER_hh_tes!W14=0,"",SER_hh_tes!W14/SER_hh_fec!W14)</f>
        <v>0.796477604122523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1.7755443951342562</v>
      </c>
      <c r="C16" s="136">
        <f>IF(SER_hh_tes!C16=0,"",SER_hh_tes!C16/SER_hh_fec!C16)</f>
        <v>1.8593065040197716</v>
      </c>
      <c r="D16" s="136">
        <f>IF(SER_hh_tes!D16=0,"",SER_hh_tes!D16/SER_hh_fec!D16)</f>
        <v>1.9540167766258678</v>
      </c>
      <c r="E16" s="136">
        <f>IF(SER_hh_tes!E16=0,"",SER_hh_tes!E16/SER_hh_fec!E16)</f>
        <v>2.0518660579995163</v>
      </c>
      <c r="F16" s="136">
        <f>IF(SER_hh_tes!F16=0,"",SER_hh_tes!F16/SER_hh_fec!F16)</f>
        <v>2.1502429777006231</v>
      </c>
      <c r="G16" s="136">
        <f>IF(SER_hh_tes!G16=0,"",SER_hh_tes!G16/SER_hh_fec!G16)</f>
        <v>2.2499520120541652</v>
      </c>
      <c r="H16" s="136">
        <f>IF(SER_hh_tes!H16=0,"",SER_hh_tes!H16/SER_hh_fec!H16)</f>
        <v>2.3549097762917639</v>
      </c>
      <c r="I16" s="136">
        <f>IF(SER_hh_tes!I16=0,"",SER_hh_tes!I16/SER_hh_fec!I16)</f>
        <v>2.4658365117721401</v>
      </c>
      <c r="J16" s="136">
        <f>IF(SER_hh_tes!J16=0,"",SER_hh_tes!J16/SER_hh_fec!J16)</f>
        <v>2.5703757689208664</v>
      </c>
      <c r="K16" s="136">
        <f>IF(SER_hh_tes!K16=0,"",SER_hh_tes!K16/SER_hh_fec!K16)</f>
        <v>2.6127444887131648</v>
      </c>
      <c r="L16" s="136">
        <f>IF(SER_hh_tes!L16=0,"",SER_hh_tes!L16/SER_hh_fec!L16)</f>
        <v>2.663905309588567</v>
      </c>
      <c r="M16" s="136">
        <f>IF(SER_hh_tes!M16=0,"",SER_hh_tes!M16/SER_hh_fec!M16)</f>
        <v>2.7342323690481902</v>
      </c>
      <c r="N16" s="136">
        <f>IF(SER_hh_tes!N16=0,"",SER_hh_tes!N16/SER_hh_fec!N16)</f>
        <v>2.8037970541145945</v>
      </c>
      <c r="O16" s="136">
        <f>IF(SER_hh_tes!O16=0,"",SER_hh_tes!O16/SER_hh_fec!O16)</f>
        <v>2.8851449883283773</v>
      </c>
      <c r="P16" s="136">
        <f>IF(SER_hh_tes!P16=0,"",SER_hh_tes!P16/SER_hh_fec!P16)</f>
        <v>2.9808581818503277</v>
      </c>
      <c r="Q16" s="136">
        <f>IF(SER_hh_tes!Q16=0,"",SER_hh_tes!Q16/SER_hh_fec!Q16)</f>
        <v>3.0850964055665631</v>
      </c>
      <c r="R16" s="136">
        <f>IF(SER_hh_tes!R16=0,"",SER_hh_tes!R16/SER_hh_fec!R16)</f>
        <v>3.1965959501394061</v>
      </c>
      <c r="S16" s="136">
        <f>IF(SER_hh_tes!S16=0,"",SER_hh_tes!S16/SER_hh_fec!S16)</f>
        <v>3.3068083165051694</v>
      </c>
      <c r="T16" s="136">
        <f>IF(SER_hh_tes!T16=0,"",SER_hh_tes!T16/SER_hh_fec!T16)</f>
        <v>3.4053485437045143</v>
      </c>
      <c r="U16" s="136">
        <f>IF(SER_hh_tes!U16=0,"",SER_hh_tes!U16/SER_hh_fec!U16)</f>
        <v>3.489247314039404</v>
      </c>
      <c r="V16" s="136">
        <f>IF(SER_hh_tes!V16=0,"",SER_hh_tes!V16/SER_hh_fec!V16)</f>
        <v>3.5775080102716292</v>
      </c>
      <c r="W16" s="136">
        <f>IF(SER_hh_tes!W16=0,"",SER_hh_tes!W16/SER_hh_fec!W16)</f>
        <v>3.6604990148931171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1.2386922020372284</v>
      </c>
      <c r="C17" s="137">
        <f>IF(SER_hh_tes!C17=0,"",SER_hh_tes!C17/SER_hh_fec!C17)</f>
        <v>1.2431010788590546</v>
      </c>
      <c r="D17" s="137">
        <f>IF(SER_hh_tes!D17=0,"",SER_hh_tes!D17/SER_hh_fec!D17)</f>
        <v>1.2502378038603028</v>
      </c>
      <c r="E17" s="137">
        <f>IF(SER_hh_tes!E17=0,"",SER_hh_tes!E17/SER_hh_fec!E17)</f>
        <v>1.2562838719439984</v>
      </c>
      <c r="F17" s="137">
        <f>IF(SER_hh_tes!F17=0,"",SER_hh_tes!F17/SER_hh_fec!F17)</f>
        <v>1.2608754535075624</v>
      </c>
      <c r="G17" s="137">
        <f>IF(SER_hh_tes!G17=0,"",SER_hh_tes!G17/SER_hh_fec!G17)</f>
        <v>1.2647179674104292</v>
      </c>
      <c r="H17" s="137">
        <f>IF(SER_hh_tes!H17=0,"",SER_hh_tes!H17/SER_hh_fec!H17)</f>
        <v>1.2681020680375821</v>
      </c>
      <c r="I17" s="137">
        <f>IF(SER_hh_tes!I17=0,"",SER_hh_tes!I17/SER_hh_fec!I17)</f>
        <v>1.2707512684408884</v>
      </c>
      <c r="J17" s="137">
        <f>IF(SER_hh_tes!J17=0,"",SER_hh_tes!J17/SER_hh_fec!J17)</f>
        <v>1.2731523119039765</v>
      </c>
      <c r="K17" s="137">
        <f>IF(SER_hh_tes!K17=0,"",SER_hh_tes!K17/SER_hh_fec!K17)</f>
        <v>1.2742695274662641</v>
      </c>
      <c r="L17" s="137">
        <f>IF(SER_hh_tes!L17=0,"",SER_hh_tes!L17/SER_hh_fec!L17)</f>
        <v>1.2758677013568391</v>
      </c>
      <c r="M17" s="137">
        <f>IF(SER_hh_tes!M17=0,"",SER_hh_tes!M17/SER_hh_fec!M17)</f>
        <v>1.2783065640074844</v>
      </c>
      <c r="N17" s="137">
        <f>IF(SER_hh_tes!N17=0,"",SER_hh_tes!N17/SER_hh_fec!N17)</f>
        <v>1.2827411098202888</v>
      </c>
      <c r="O17" s="137">
        <f>IF(SER_hh_tes!O17=0,"",SER_hh_tes!O17/SER_hh_fec!O17)</f>
        <v>1.2916352747192235</v>
      </c>
      <c r="P17" s="137">
        <f>IF(SER_hh_tes!P17=0,"",SER_hh_tes!P17/SER_hh_fec!P17)</f>
        <v>1.2980244736326969</v>
      </c>
      <c r="Q17" s="137">
        <f>IF(SER_hh_tes!Q17=0,"",SER_hh_tes!Q17/SER_hh_fec!Q17)</f>
        <v>1.3309213973790583</v>
      </c>
      <c r="R17" s="137">
        <f>IF(SER_hh_tes!R17=0,"",SER_hh_tes!R17/SER_hh_fec!R17)</f>
        <v>1.3501957781913603</v>
      </c>
      <c r="S17" s="137">
        <f>IF(SER_hh_tes!S17=0,"",SER_hh_tes!S17/SER_hh_fec!S17)</f>
        <v>1.3737143285914715</v>
      </c>
      <c r="T17" s="137">
        <f>IF(SER_hh_tes!T17=0,"",SER_hh_tes!T17/SER_hh_fec!T17)</f>
        <v>1.4011426334673571</v>
      </c>
      <c r="U17" s="137">
        <f>IF(SER_hh_tes!U17=0,"",SER_hh_tes!U17/SER_hh_fec!U17)</f>
        <v>1.4230872685022258</v>
      </c>
      <c r="V17" s="137">
        <f>IF(SER_hh_tes!V17=0,"",SER_hh_tes!V17/SER_hh_fec!V17)</f>
        <v>1.435463084531758</v>
      </c>
      <c r="W17" s="137">
        <f>IF(SER_hh_tes!W17=0,"",SER_hh_tes!W17/SER_hh_fec!W17)</f>
        <v>1.4580796824797713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1.7764843153003129</v>
      </c>
      <c r="C18" s="137">
        <f>IF(SER_hh_tes!C18=0,"",SER_hh_tes!C18/SER_hh_fec!C18)</f>
        <v>1.8603944468515399</v>
      </c>
      <c r="D18" s="137">
        <f>IF(SER_hh_tes!D18=0,"",SER_hh_tes!D18/SER_hh_fec!D18)</f>
        <v>1.9554386899703324</v>
      </c>
      <c r="E18" s="137">
        <f>IF(SER_hh_tes!E18=0,"",SER_hh_tes!E18/SER_hh_fec!E18)</f>
        <v>2.0536948490795535</v>
      </c>
      <c r="F18" s="137">
        <f>IF(SER_hh_tes!F18=0,"",SER_hh_tes!F18/SER_hh_fec!F18)</f>
        <v>2.1524708699048114</v>
      </c>
      <c r="G18" s="137">
        <f>IF(SER_hh_tes!G18=0,"",SER_hh_tes!G18/SER_hh_fec!G18)</f>
        <v>2.2526029184202714</v>
      </c>
      <c r="H18" s="137">
        <f>IF(SER_hh_tes!H18=0,"",SER_hh_tes!H18/SER_hh_fec!H18)</f>
        <v>2.3580243947636124</v>
      </c>
      <c r="I18" s="137">
        <f>IF(SER_hh_tes!I18=0,"",SER_hh_tes!I18/SER_hh_fec!I18)</f>
        <v>2.4701701907647426</v>
      </c>
      <c r="J18" s="137">
        <f>IF(SER_hh_tes!J18=0,"",SER_hh_tes!J18/SER_hh_fec!J18)</f>
        <v>2.5748567496783692</v>
      </c>
      <c r="K18" s="137">
        <f>IF(SER_hh_tes!K18=0,"",SER_hh_tes!K18/SER_hh_fec!K18)</f>
        <v>2.6167603952092655</v>
      </c>
      <c r="L18" s="137">
        <f>IF(SER_hh_tes!L18=0,"",SER_hh_tes!L18/SER_hh_fec!L18)</f>
        <v>2.6685322867611334</v>
      </c>
      <c r="M18" s="137">
        <f>IF(SER_hh_tes!M18=0,"",SER_hh_tes!M18/SER_hh_fec!M18)</f>
        <v>2.7395561172348244</v>
      </c>
      <c r="N18" s="137">
        <f>IF(SER_hh_tes!N18=0,"",SER_hh_tes!N18/SER_hh_fec!N18)</f>
        <v>2.8091594045301704</v>
      </c>
      <c r="O18" s="137">
        <f>IF(SER_hh_tes!O18=0,"",SER_hh_tes!O18/SER_hh_fec!O18)</f>
        <v>2.8926803599642308</v>
      </c>
      <c r="P18" s="137">
        <f>IF(SER_hh_tes!P18=0,"",SER_hh_tes!P18/SER_hh_fec!P18)</f>
        <v>2.9888916966959798</v>
      </c>
      <c r="Q18" s="137">
        <f>IF(SER_hh_tes!Q18=0,"",SER_hh_tes!Q18/SER_hh_fec!Q18)</f>
        <v>3.09789885775358</v>
      </c>
      <c r="R18" s="137">
        <f>IF(SER_hh_tes!R18=0,"",SER_hh_tes!R18/SER_hh_fec!R18)</f>
        <v>3.2121396768537602</v>
      </c>
      <c r="S18" s="137">
        <f>IF(SER_hh_tes!S18=0,"",SER_hh_tes!S18/SER_hh_fec!S18)</f>
        <v>3.3269780938816926</v>
      </c>
      <c r="T18" s="137">
        <f>IF(SER_hh_tes!T18=0,"",SER_hh_tes!T18/SER_hh_fec!T18)</f>
        <v>3.4316645304563407</v>
      </c>
      <c r="U18" s="137">
        <f>IF(SER_hh_tes!U18=0,"",SER_hh_tes!U18/SER_hh_fec!U18)</f>
        <v>3.5203022764140863</v>
      </c>
      <c r="V18" s="137">
        <f>IF(SER_hh_tes!V18=0,"",SER_hh_tes!V18/SER_hh_fec!V18)</f>
        <v>3.6095346366713001</v>
      </c>
      <c r="W18" s="137">
        <f>IF(SER_hh_tes!W18=0,"",SER_hh_tes!W18/SER_hh_fec!W18)</f>
        <v>3.6953973859343709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0.58732534341938436</v>
      </c>
      <c r="C19" s="136">
        <f>IF(SER_hh_tes!C19=0,"",SER_hh_tes!C19/SER_hh_fec!C19)</f>
        <v>0.5880940052683149</v>
      </c>
      <c r="D19" s="136">
        <f>IF(SER_hh_tes!D19=0,"",SER_hh_tes!D19/SER_hh_fec!D19)</f>
        <v>0.5902726894796837</v>
      </c>
      <c r="E19" s="136">
        <f>IF(SER_hh_tes!E19=0,"",SER_hh_tes!E19/SER_hh_fec!E19)</f>
        <v>0.59344835681392427</v>
      </c>
      <c r="F19" s="136">
        <f>IF(SER_hh_tes!F19=0,"",SER_hh_tes!F19/SER_hh_fec!F19)</f>
        <v>0.59720841700845362</v>
      </c>
      <c r="G19" s="136">
        <f>IF(SER_hh_tes!G19=0,"",SER_hh_tes!G19/SER_hh_fec!G19)</f>
        <v>0.60053102166392425</v>
      </c>
      <c r="H19" s="136">
        <f>IF(SER_hh_tes!H19=0,"",SER_hh_tes!H19/SER_hh_fec!H19)</f>
        <v>0.60493405957283153</v>
      </c>
      <c r="I19" s="136">
        <f>IF(SER_hh_tes!I19=0,"",SER_hh_tes!I19/SER_hh_fec!I19)</f>
        <v>0.60961139870409398</v>
      </c>
      <c r="J19" s="136">
        <f>IF(SER_hh_tes!J19=0,"",SER_hh_tes!J19/SER_hh_fec!J19)</f>
        <v>0.61386315581283069</v>
      </c>
      <c r="K19" s="136">
        <f>IF(SER_hh_tes!K19=0,"",SER_hh_tes!K19/SER_hh_fec!K19)</f>
        <v>0.61829477599380434</v>
      </c>
      <c r="L19" s="136">
        <f>IF(SER_hh_tes!L19=0,"",SER_hh_tes!L19/SER_hh_fec!L19)</f>
        <v>0.62369759110711542</v>
      </c>
      <c r="M19" s="136">
        <f>IF(SER_hh_tes!M19=0,"",SER_hh_tes!M19/SER_hh_fec!M19)</f>
        <v>0.63179864105902417</v>
      </c>
      <c r="N19" s="136">
        <f>IF(SER_hh_tes!N19=0,"",SER_hh_tes!N19/SER_hh_fec!N19)</f>
        <v>0.64060210893708835</v>
      </c>
      <c r="O19" s="136">
        <f>IF(SER_hh_tes!O19=0,"",SER_hh_tes!O19/SER_hh_fec!O19)</f>
        <v>0.65048400293935127</v>
      </c>
      <c r="P19" s="136">
        <f>IF(SER_hh_tes!P19=0,"",SER_hh_tes!P19/SER_hh_fec!P19)</f>
        <v>0.65859883552267562</v>
      </c>
      <c r="Q19" s="136">
        <f>IF(SER_hh_tes!Q19=0,"",SER_hh_tes!Q19/SER_hh_fec!Q19)</f>
        <v>0.66882851336974047</v>
      </c>
      <c r="R19" s="136">
        <f>IF(SER_hh_tes!R19=0,"",SER_hh_tes!R19/SER_hh_fec!R19)</f>
        <v>0.67979361788098758</v>
      </c>
      <c r="S19" s="136">
        <f>IF(SER_hh_tes!S19=0,"",SER_hh_tes!S19/SER_hh_fec!S19)</f>
        <v>0.69445237680935146</v>
      </c>
      <c r="T19" s="136">
        <f>IF(SER_hh_tes!T19=0,"",SER_hh_tes!T19/SER_hh_fec!T19)</f>
        <v>0.71001128289565008</v>
      </c>
      <c r="U19" s="136">
        <f>IF(SER_hh_tes!U19=0,"",SER_hh_tes!U19/SER_hh_fec!U19)</f>
        <v>0.72636511122917202</v>
      </c>
      <c r="V19" s="136">
        <f>IF(SER_hh_tes!V19=0,"",SER_hh_tes!V19/SER_hh_fec!V19)</f>
        <v>0.74491316059671842</v>
      </c>
      <c r="W19" s="136">
        <f>IF(SER_hh_tes!W19=0,"",SER_hh_tes!W19/SER_hh_fec!W19)</f>
        <v>0.75928603692293972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0.51924858026119947</v>
      </c>
      <c r="C21" s="137">
        <f>IF(SER_hh_tes!C21=0,"",SER_hh_tes!C21/SER_hh_fec!C21)</f>
        <v>0.52266983139995427</v>
      </c>
      <c r="D21" s="137">
        <f>IF(SER_hh_tes!D21=0,"",SER_hh_tes!D21/SER_hh_fec!D21)</f>
        <v>0.52581151128473091</v>
      </c>
      <c r="E21" s="137">
        <f>IF(SER_hh_tes!E21=0,"",SER_hh_tes!E21/SER_hh_fec!E21)</f>
        <v>0.52850383716854521</v>
      </c>
      <c r="F21" s="137">
        <f>IF(SER_hh_tes!F21=0,"",SER_hh_tes!F21/SER_hh_fec!F21)</f>
        <v>0.53091397683235686</v>
      </c>
      <c r="G21" s="137">
        <f>IF(SER_hh_tes!G21=0,"",SER_hh_tes!G21/SER_hh_fec!G21)</f>
        <v>0.53325805208263966</v>
      </c>
      <c r="H21" s="137">
        <f>IF(SER_hh_tes!H21=0,"",SER_hh_tes!H21/SER_hh_fec!H21)</f>
        <v>0.53587777382734347</v>
      </c>
      <c r="I21" s="137">
        <f>IF(SER_hh_tes!I21=0,"",SER_hh_tes!I21/SER_hh_fec!I21)</f>
        <v>0.53869580918825599</v>
      </c>
      <c r="J21" s="137">
        <f>IF(SER_hh_tes!J21=0,"",SER_hh_tes!J21/SER_hh_fec!J21)</f>
        <v>0.54180908108836634</v>
      </c>
      <c r="K21" s="137">
        <f>IF(SER_hh_tes!K21=0,"",SER_hh_tes!K21/SER_hh_fec!K21)</f>
        <v>0.54517983332036324</v>
      </c>
      <c r="L21" s="137">
        <f>IF(SER_hh_tes!L21=0,"",SER_hh_tes!L21/SER_hh_fec!L21)</f>
        <v>0.54844897007964499</v>
      </c>
      <c r="M21" s="137">
        <f>IF(SER_hh_tes!M21=0,"",SER_hh_tes!M21/SER_hh_fec!M21)</f>
        <v>0.55233724071869672</v>
      </c>
      <c r="N21" s="137">
        <f>IF(SER_hh_tes!N21=0,"",SER_hh_tes!N21/SER_hh_fec!N21)</f>
        <v>0.55729569941071955</v>
      </c>
      <c r="O21" s="137">
        <f>IF(SER_hh_tes!O21=0,"",SER_hh_tes!O21/SER_hh_fec!O21)</f>
        <v>0.56437944863829548</v>
      </c>
      <c r="P21" s="137">
        <f>IF(SER_hh_tes!P21=0,"",SER_hh_tes!P21/SER_hh_fec!P21)</f>
        <v>0.57154743800519292</v>
      </c>
      <c r="Q21" s="137">
        <f>IF(SER_hh_tes!Q21=0,"",SER_hh_tes!Q21/SER_hh_fec!Q21)</f>
        <v>0.58099716969227477</v>
      </c>
      <c r="R21" s="137">
        <f>IF(SER_hh_tes!R21=0,"",SER_hh_tes!R21/SER_hh_fec!R21)</f>
        <v>0.59059477126891036</v>
      </c>
      <c r="S21" s="137">
        <f>IF(SER_hh_tes!S21=0,"",SER_hh_tes!S21/SER_hh_fec!S21)</f>
        <v>0.60107634234091445</v>
      </c>
      <c r="T21" s="137">
        <f>IF(SER_hh_tes!T21=0,"",SER_hh_tes!T21/SER_hh_fec!T21)</f>
        <v>0.61111889846608314</v>
      </c>
      <c r="U21" s="137">
        <f>IF(SER_hh_tes!U21=0,"",SER_hh_tes!U21/SER_hh_fec!U21)</f>
        <v>0.62174305899598015</v>
      </c>
      <c r="V21" s="137">
        <f>IF(SER_hh_tes!V21=0,"",SER_hh_tes!V21/SER_hh_fec!V21)</f>
        <v>0.63294508626792834</v>
      </c>
      <c r="W21" s="137">
        <f>IF(SER_hh_tes!W21=0,"",SER_hh_tes!W21/SER_hh_fec!W21)</f>
        <v>0.65438600910815781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0.48933404952211151</v>
      </c>
      <c r="C22" s="137">
        <f>IF(SER_hh_tes!C22=0,"",SER_hh_tes!C22/SER_hh_fec!C22)</f>
        <v>0.49118113467842328</v>
      </c>
      <c r="D22" s="137">
        <f>IF(SER_hh_tes!D22=0,"",SER_hh_tes!D22/SER_hh_fec!D22)</f>
        <v>0.49342793521421313</v>
      </c>
      <c r="E22" s="137">
        <f>IF(SER_hh_tes!E22=0,"",SER_hh_tes!E22/SER_hh_fec!E22)</f>
        <v>0.49582253274594279</v>
      </c>
      <c r="F22" s="137">
        <f>IF(SER_hh_tes!F22=0,"",SER_hh_tes!F22/SER_hh_fec!F22)</f>
        <v>0.49826119786274475</v>
      </c>
      <c r="G22" s="137">
        <f>IF(SER_hh_tes!G22=0,"",SER_hh_tes!G22/SER_hh_fec!G22)</f>
        <v>0.5010560757695206</v>
      </c>
      <c r="H22" s="137">
        <f>IF(SER_hh_tes!H22=0,"",SER_hh_tes!H22/SER_hh_fec!H22)</f>
        <v>0.50397926554238737</v>
      </c>
      <c r="I22" s="137">
        <f>IF(SER_hh_tes!I22=0,"",SER_hh_tes!I22/SER_hh_fec!I22)</f>
        <v>0.50701443031069937</v>
      </c>
      <c r="J22" s="137">
        <f>IF(SER_hh_tes!J22=0,"",SER_hh_tes!J22/SER_hh_fec!J22)</f>
        <v>0.50983923555061805</v>
      </c>
      <c r="K22" s="137">
        <f>IF(SER_hh_tes!K22=0,"",SER_hh_tes!K22/SER_hh_fec!K22)</f>
        <v>0.51262517537289209</v>
      </c>
      <c r="L22" s="137">
        <f>IF(SER_hh_tes!L22=0,"",SER_hh_tes!L22/SER_hh_fec!L22)</f>
        <v>0.51521668246398145</v>
      </c>
      <c r="M22" s="137">
        <f>IF(SER_hh_tes!M22=0,"",SER_hh_tes!M22/SER_hh_fec!M22)</f>
        <v>0.5178323826820469</v>
      </c>
      <c r="N22" s="137">
        <f>IF(SER_hh_tes!N22=0,"",SER_hh_tes!N22/SER_hh_fec!N22)</f>
        <v>0.5211160292503888</v>
      </c>
      <c r="O22" s="137">
        <f>IF(SER_hh_tes!O22=0,"",SER_hh_tes!O22/SER_hh_fec!O22)</f>
        <v>0.52550578915845336</v>
      </c>
      <c r="P22" s="137">
        <f>IF(SER_hh_tes!P22=0,"",SER_hh_tes!P22/SER_hh_fec!P22)</f>
        <v>0.52711894365689793</v>
      </c>
      <c r="Q22" s="137">
        <f>IF(SER_hh_tes!Q22=0,"",SER_hh_tes!Q22/SER_hh_fec!Q22)</f>
        <v>0.53320392786507964</v>
      </c>
      <c r="R22" s="137">
        <f>IF(SER_hh_tes!R22=0,"",SER_hh_tes!R22/SER_hh_fec!R22)</f>
        <v>0.54483569771284734</v>
      </c>
      <c r="S22" s="137">
        <f>IF(SER_hh_tes!S22=0,"",SER_hh_tes!S22/SER_hh_fec!S22)</f>
        <v>0.56370157881806782</v>
      </c>
      <c r="T22" s="137">
        <f>IF(SER_hh_tes!T22=0,"",SER_hh_tes!T22/SER_hh_fec!T22)</f>
        <v>0.58568810572589103</v>
      </c>
      <c r="U22" s="137">
        <f>IF(SER_hh_tes!U22=0,"",SER_hh_tes!U22/SER_hh_fec!U22)</f>
        <v>0.61014772009184581</v>
      </c>
      <c r="V22" s="137">
        <f>IF(SER_hh_tes!V22=0,"",SER_hh_tes!V22/SER_hh_fec!V22)</f>
        <v>0.63505122224669541</v>
      </c>
      <c r="W22" s="137">
        <f>IF(SER_hh_tes!W22=0,"",SER_hh_tes!W22/SER_hh_fec!W22)</f>
        <v>0.6627633577283002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0.49991544656122949</v>
      </c>
      <c r="C23" s="137">
        <f>IF(SER_hh_tes!C23=0,"",SER_hh_tes!C23/SER_hh_fec!C23)</f>
        <v>0.50563702347278616</v>
      </c>
      <c r="D23" s="137">
        <f>IF(SER_hh_tes!D23=0,"",SER_hh_tes!D23/SER_hh_fec!D23)</f>
        <v>0.51236966159138975</v>
      </c>
      <c r="E23" s="137">
        <f>IF(SER_hh_tes!E23=0,"",SER_hh_tes!E23/SER_hh_fec!E23)</f>
        <v>0.51899855677713258</v>
      </c>
      <c r="F23" s="137">
        <f>IF(SER_hh_tes!F23=0,"",SER_hh_tes!F23/SER_hh_fec!F23)</f>
        <v>0.52546184874801971</v>
      </c>
      <c r="G23" s="137">
        <f>IF(SER_hh_tes!G23=0,"",SER_hh_tes!G23/SER_hh_fec!G23)</f>
        <v>0.53204413097547443</v>
      </c>
      <c r="H23" s="137">
        <f>IF(SER_hh_tes!H23=0,"",SER_hh_tes!H23/SER_hh_fec!H23)</f>
        <v>0.53878438168230303</v>
      </c>
      <c r="I23" s="137">
        <f>IF(SER_hh_tes!I23=0,"",SER_hh_tes!I23/SER_hh_fec!I23)</f>
        <v>0.54571527726148938</v>
      </c>
      <c r="J23" s="137">
        <f>IF(SER_hh_tes!J23=0,"",SER_hh_tes!J23/SER_hh_fec!J23)</f>
        <v>0.55312912235997247</v>
      </c>
      <c r="K23" s="137">
        <f>IF(SER_hh_tes!K23=0,"",SER_hh_tes!K23/SER_hh_fec!K23)</f>
        <v>0.56098463286650502</v>
      </c>
      <c r="L23" s="137">
        <f>IF(SER_hh_tes!L23=0,"",SER_hh_tes!L23/SER_hh_fec!L23)</f>
        <v>0.56959960711552848</v>
      </c>
      <c r="M23" s="137">
        <f>IF(SER_hh_tes!M23=0,"",SER_hh_tes!M23/SER_hh_fec!M23)</f>
        <v>0.57956432950383707</v>
      </c>
      <c r="N23" s="137">
        <f>IF(SER_hh_tes!N23=0,"",SER_hh_tes!N23/SER_hh_fec!N23)</f>
        <v>0.59149074863753859</v>
      </c>
      <c r="O23" s="137">
        <f>IF(SER_hh_tes!O23=0,"",SER_hh_tes!O23/SER_hh_fec!O23)</f>
        <v>0.60544861687463092</v>
      </c>
      <c r="P23" s="137">
        <f>IF(SER_hh_tes!P23=0,"",SER_hh_tes!P23/SER_hh_fec!P23)</f>
        <v>0.61591688230579922</v>
      </c>
      <c r="Q23" s="137">
        <f>IF(SER_hh_tes!Q23=0,"",SER_hh_tes!Q23/SER_hh_fec!Q23)</f>
        <v>0.63047680379702464</v>
      </c>
      <c r="R23" s="137">
        <f>IF(SER_hh_tes!R23=0,"",SER_hh_tes!R23/SER_hh_fec!R23)</f>
        <v>0.6471694092556628</v>
      </c>
      <c r="S23" s="137">
        <f>IF(SER_hh_tes!S23=0,"",SER_hh_tes!S23/SER_hh_fec!S23)</f>
        <v>0.66431435910801939</v>
      </c>
      <c r="T23" s="137">
        <f>IF(SER_hh_tes!T23=0,"",SER_hh_tes!T23/SER_hh_fec!T23)</f>
        <v>0.68115938287512712</v>
      </c>
      <c r="U23" s="137">
        <f>IF(SER_hh_tes!U23=0,"",SER_hh_tes!U23/SER_hh_fec!U23)</f>
        <v>0.69666368335961426</v>
      </c>
      <c r="V23" s="137">
        <f>IF(SER_hh_tes!V23=0,"",SER_hh_tes!V23/SER_hh_fec!V23)</f>
        <v>0.71106343464571509</v>
      </c>
      <c r="W23" s="137">
        <f>IF(SER_hh_tes!W23=0,"",SER_hh_tes!W23/SER_hh_fec!W23)</f>
        <v>0.72597862194572871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0.74831683892590584</v>
      </c>
      <c r="C25" s="137">
        <f>IF(SER_hh_tes!C25=0,"",SER_hh_tes!C25/SER_hh_fec!C25)</f>
        <v>0.75006427552276245</v>
      </c>
      <c r="D25" s="137">
        <f>IF(SER_hh_tes!D25=0,"",SER_hh_tes!D25/SER_hh_fec!D25)</f>
        <v>0.75203117445368572</v>
      </c>
      <c r="E25" s="137">
        <f>IF(SER_hh_tes!E25=0,"",SER_hh_tes!E25/SER_hh_fec!E25)</f>
        <v>0.75429284641260752</v>
      </c>
      <c r="F25" s="137">
        <f>IF(SER_hh_tes!F25=0,"",SER_hh_tes!F25/SER_hh_fec!F25)</f>
        <v>0.75687516605304417</v>
      </c>
      <c r="G25" s="137">
        <f>IF(SER_hh_tes!G25=0,"",SER_hh_tes!G25/SER_hh_fec!G25)</f>
        <v>0.75988804873223392</v>
      </c>
      <c r="H25" s="137">
        <f>IF(SER_hh_tes!H25=0,"",SER_hh_tes!H25/SER_hh_fec!H25)</f>
        <v>0.76317291795249398</v>
      </c>
      <c r="I25" s="137">
        <f>IF(SER_hh_tes!I25=0,"",SER_hh_tes!I25/SER_hh_fec!I25)</f>
        <v>0.76663824309974038</v>
      </c>
      <c r="J25" s="137">
        <f>IF(SER_hh_tes!J25=0,"",SER_hh_tes!J25/SER_hh_fec!J25)</f>
        <v>0.77029659233788228</v>
      </c>
      <c r="K25" s="137">
        <f>IF(SER_hh_tes!K25=0,"",SER_hh_tes!K25/SER_hh_fec!K25)</f>
        <v>0.77434484399819248</v>
      </c>
      <c r="L25" s="137">
        <f>IF(SER_hh_tes!L25=0,"",SER_hh_tes!L25/SER_hh_fec!L25)</f>
        <v>0.77895278035065585</v>
      </c>
      <c r="M25" s="137">
        <f>IF(SER_hh_tes!M25=0,"",SER_hh_tes!M25/SER_hh_fec!M25)</f>
        <v>0.78432498560107022</v>
      </c>
      <c r="N25" s="137">
        <f>IF(SER_hh_tes!N25=0,"",SER_hh_tes!N25/SER_hh_fec!N25)</f>
        <v>0.79050377363718749</v>
      </c>
      <c r="O25" s="137">
        <f>IF(SER_hh_tes!O25=0,"",SER_hh_tes!O25/SER_hh_fec!O25)</f>
        <v>0.79688373706200488</v>
      </c>
      <c r="P25" s="137">
        <f>IF(SER_hh_tes!P25=0,"",SER_hh_tes!P25/SER_hh_fec!P25)</f>
        <v>0.79931306118647594</v>
      </c>
      <c r="Q25" s="137">
        <f>IF(SER_hh_tes!Q25=0,"",SER_hh_tes!Q25/SER_hh_fec!Q25)</f>
        <v>0.80272427241915389</v>
      </c>
      <c r="R25" s="137">
        <f>IF(SER_hh_tes!R25=0,"",SER_hh_tes!R25/SER_hh_fec!R25)</f>
        <v>0.80693416364845749</v>
      </c>
      <c r="S25" s="137">
        <f>IF(SER_hh_tes!S25=0,"",SER_hh_tes!S25/SER_hh_fec!S25)</f>
        <v>0.81247078333773182</v>
      </c>
      <c r="T25" s="137">
        <f>IF(SER_hh_tes!T25=0,"",SER_hh_tes!T25/SER_hh_fec!T25)</f>
        <v>0.81856191330082451</v>
      </c>
      <c r="U25" s="137">
        <f>IF(SER_hh_tes!U25=0,"",SER_hh_tes!U25/SER_hh_fec!U25)</f>
        <v>0.82522450674801751</v>
      </c>
      <c r="V25" s="137">
        <f>IF(SER_hh_tes!V25=0,"",SER_hh_tes!V25/SER_hh_fec!V25)</f>
        <v>0.83263657569824079</v>
      </c>
      <c r="W25" s="137">
        <f>IF(SER_hh_tes!W25=0,"",SER_hh_tes!W25/SER_hh_fec!W25)</f>
        <v>0.83991379488806384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0.61660798437239839</v>
      </c>
      <c r="C26" s="138">
        <f>IF(SER_hh_tes!C26=0,"",SER_hh_tes!C26/SER_hh_fec!C26)</f>
        <v>0.61977086686682892</v>
      </c>
      <c r="D26" s="138">
        <f>IF(SER_hh_tes!D26=0,"",SER_hh_tes!D26/SER_hh_fec!D26)</f>
        <v>0.62253900340517532</v>
      </c>
      <c r="E26" s="138">
        <f>IF(SER_hh_tes!E26=0,"",SER_hh_tes!E26/SER_hh_fec!E26)</f>
        <v>0.62640351853649445</v>
      </c>
      <c r="F26" s="138">
        <f>IF(SER_hh_tes!F26=0,"",SER_hh_tes!F26/SER_hh_fec!F26)</f>
        <v>0.62934212126415279</v>
      </c>
      <c r="G26" s="138">
        <f>IF(SER_hh_tes!G26=0,"",SER_hh_tes!G26/SER_hh_fec!G26)</f>
        <v>0.63222989371791716</v>
      </c>
      <c r="H26" s="138">
        <f>IF(SER_hh_tes!H26=0,"",SER_hh_tes!H26/SER_hh_fec!H26)</f>
        <v>0.63604252415765905</v>
      </c>
      <c r="I26" s="138">
        <f>IF(SER_hh_tes!I26=0,"",SER_hh_tes!I26/SER_hh_fec!I26)</f>
        <v>0.63996249616913081</v>
      </c>
      <c r="J26" s="138">
        <f>IF(SER_hh_tes!J26=0,"",SER_hh_tes!J26/SER_hh_fec!J26)</f>
        <v>0.64254566159640236</v>
      </c>
      <c r="K26" s="138">
        <f>IF(SER_hh_tes!K26=0,"",SER_hh_tes!K26/SER_hh_fec!K26)</f>
        <v>0.64534447259487715</v>
      </c>
      <c r="L26" s="138">
        <f>IF(SER_hh_tes!L26=0,"",SER_hh_tes!L26/SER_hh_fec!L26)</f>
        <v>0.64826581603307543</v>
      </c>
      <c r="M26" s="138">
        <f>IF(SER_hh_tes!M26=0,"",SER_hh_tes!M26/SER_hh_fec!M26)</f>
        <v>0.65249827151770012</v>
      </c>
      <c r="N26" s="138">
        <f>IF(SER_hh_tes!N26=0,"",SER_hh_tes!N26/SER_hh_fec!N26)</f>
        <v>0.65623499057165047</v>
      </c>
      <c r="O26" s="138">
        <f>IF(SER_hh_tes!O26=0,"",SER_hh_tes!O26/SER_hh_fec!O26)</f>
        <v>0.66133660852663734</v>
      </c>
      <c r="P26" s="138">
        <f>IF(SER_hh_tes!P26=0,"",SER_hh_tes!P26/SER_hh_fec!P26)</f>
        <v>0.6670624903055703</v>
      </c>
      <c r="Q26" s="138">
        <f>IF(SER_hh_tes!Q26=0,"",SER_hh_tes!Q26/SER_hh_fec!Q26)</f>
        <v>0.67464950201200224</v>
      </c>
      <c r="R26" s="138">
        <f>IF(SER_hh_tes!R26=0,"",SER_hh_tes!R26/SER_hh_fec!R26)</f>
        <v>0.67922582496188844</v>
      </c>
      <c r="S26" s="138">
        <f>IF(SER_hh_tes!S26=0,"",SER_hh_tes!S26/SER_hh_fec!S26)</f>
        <v>0.68954385114203087</v>
      </c>
      <c r="T26" s="138">
        <f>IF(SER_hh_tes!T26=0,"",SER_hh_tes!T26/SER_hh_fec!T26)</f>
        <v>0.70303124659788996</v>
      </c>
      <c r="U26" s="138">
        <f>IF(SER_hh_tes!U26=0,"",SER_hh_tes!U26/SER_hh_fec!U26)</f>
        <v>0.71936205265969977</v>
      </c>
      <c r="V26" s="138">
        <f>IF(SER_hh_tes!V26=0,"",SER_hh_tes!V26/SER_hh_fec!V26)</f>
        <v>0.73775167783831652</v>
      </c>
      <c r="W26" s="138">
        <f>IF(SER_hh_tes!W26=0,"",SER_hh_tes!W26/SER_hh_fec!W26)</f>
        <v>0.75521977926540895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0.72893014792369737</v>
      </c>
      <c r="C29" s="136">
        <f>IF(SER_hh_tes!C29=0,"",SER_hh_tes!C29/SER_hh_fec!C29)</f>
        <v>0.72308912474026177</v>
      </c>
      <c r="D29" s="136">
        <f>IF(SER_hh_tes!D29=0,"",SER_hh_tes!D29/SER_hh_fec!D29)</f>
        <v>0.72690532000891128</v>
      </c>
      <c r="E29" s="136">
        <f>IF(SER_hh_tes!E29=0,"",SER_hh_tes!E29/SER_hh_fec!E29)</f>
        <v>0.72701361654751695</v>
      </c>
      <c r="F29" s="136">
        <f>IF(SER_hh_tes!F29=0,"",SER_hh_tes!F29/SER_hh_fec!F29)</f>
        <v>0.72828060960036989</v>
      </c>
      <c r="G29" s="136">
        <f>IF(SER_hh_tes!G29=0,"",SER_hh_tes!G29/SER_hh_fec!G29)</f>
        <v>0.73132495876022652</v>
      </c>
      <c r="H29" s="136">
        <f>IF(SER_hh_tes!H29=0,"",SER_hh_tes!H29/SER_hh_fec!H29)</f>
        <v>0.73316189820014666</v>
      </c>
      <c r="I29" s="136">
        <f>IF(SER_hh_tes!I29=0,"",SER_hh_tes!I29/SER_hh_fec!I29)</f>
        <v>0.73683648160180926</v>
      </c>
      <c r="J29" s="136">
        <f>IF(SER_hh_tes!J29=0,"",SER_hh_tes!J29/SER_hh_fec!J29)</f>
        <v>0.73787591568096633</v>
      </c>
      <c r="K29" s="136">
        <f>IF(SER_hh_tes!K29=0,"",SER_hh_tes!K29/SER_hh_fec!K29)</f>
        <v>0.73591488062511956</v>
      </c>
      <c r="L29" s="136">
        <f>IF(SER_hh_tes!L29=0,"",SER_hh_tes!L29/SER_hh_fec!L29)</f>
        <v>0.73608492362034317</v>
      </c>
      <c r="M29" s="136">
        <f>IF(SER_hh_tes!M29=0,"",SER_hh_tes!M29/SER_hh_fec!M29)</f>
        <v>0.73891764971163754</v>
      </c>
      <c r="N29" s="136">
        <f>IF(SER_hh_tes!N29=0,"",SER_hh_tes!N29/SER_hh_fec!N29)</f>
        <v>0.73983446087096372</v>
      </c>
      <c r="O29" s="136">
        <f>IF(SER_hh_tes!O29=0,"",SER_hh_tes!O29/SER_hh_fec!O29)</f>
        <v>0.74234389105437326</v>
      </c>
      <c r="P29" s="136">
        <f>IF(SER_hh_tes!P29=0,"",SER_hh_tes!P29/SER_hh_fec!P29)</f>
        <v>0.74634647524677689</v>
      </c>
      <c r="Q29" s="136">
        <f>IF(SER_hh_tes!Q29=0,"",SER_hh_tes!Q29/SER_hh_fec!Q29)</f>
        <v>0.74905257963998695</v>
      </c>
      <c r="R29" s="136">
        <f>IF(SER_hh_tes!R29=0,"",SER_hh_tes!R29/SER_hh_fec!R29)</f>
        <v>0.75065318618608912</v>
      </c>
      <c r="S29" s="136">
        <f>IF(SER_hh_tes!S29=0,"",SER_hh_tes!S29/SER_hh_fec!S29)</f>
        <v>0.7555461250767177</v>
      </c>
      <c r="T29" s="136">
        <f>IF(SER_hh_tes!T29=0,"",SER_hh_tes!T29/SER_hh_fec!T29)</f>
        <v>0.76135141238755322</v>
      </c>
      <c r="U29" s="136">
        <f>IF(SER_hh_tes!U29=0,"",SER_hh_tes!U29/SER_hh_fec!U29)</f>
        <v>0.76729765852941467</v>
      </c>
      <c r="V29" s="136">
        <f>IF(SER_hh_tes!V29=0,"",SER_hh_tes!V29/SER_hh_fec!V29)</f>
        <v>0.7744250539374169</v>
      </c>
      <c r="W29" s="136">
        <f>IF(SER_hh_tes!W29=0,"",SER_hh_tes!W29/SER_hh_fec!W29)</f>
        <v>0.7812668911501649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0.57770036790417911</v>
      </c>
      <c r="C30" s="137">
        <f>IF(SER_hh_tes!C30=0,"",SER_hh_tes!C30/SER_hh_fec!C30)</f>
        <v>0.58018109480867097</v>
      </c>
      <c r="D30" s="137">
        <f>IF(SER_hh_tes!D30=0,"",SER_hh_tes!D30/SER_hh_fec!D30)</f>
        <v>0.58145681025359541</v>
      </c>
      <c r="E30" s="137">
        <f>IF(SER_hh_tes!E30=0,"",SER_hh_tes!E30/SER_hh_fec!E30)</f>
        <v>0.58264657214611992</v>
      </c>
      <c r="F30" s="137">
        <f>IF(SER_hh_tes!F30=0,"",SER_hh_tes!F30/SER_hh_fec!F30)</f>
        <v>0.58354804114723979</v>
      </c>
      <c r="G30" s="137">
        <f>IF(SER_hh_tes!G30=0,"",SER_hh_tes!G30/SER_hh_fec!G30)</f>
        <v>0.58427856679102463</v>
      </c>
      <c r="H30" s="137">
        <f>IF(SER_hh_tes!H30=0,"",SER_hh_tes!H30/SER_hh_fec!H30)</f>
        <v>0.58508851462775247</v>
      </c>
      <c r="I30" s="137">
        <f>IF(SER_hh_tes!I30=0,"",SER_hh_tes!I30/SER_hh_fec!I30)</f>
        <v>0.58589620243909402</v>
      </c>
      <c r="J30" s="137">
        <f>IF(SER_hh_tes!J30=0,"",SER_hh_tes!J30/SER_hh_fec!J30)</f>
        <v>0.58695112303912911</v>
      </c>
      <c r="K30" s="137">
        <f>IF(SER_hh_tes!K30=0,"",SER_hh_tes!K30/SER_hh_fec!K30)</f>
        <v>0.5879583391138633</v>
      </c>
      <c r="L30" s="137">
        <f>IF(SER_hh_tes!L30=0,"",SER_hh_tes!L30/SER_hh_fec!L30)</f>
        <v>0.58871765621874794</v>
      </c>
      <c r="M30" s="137">
        <f>IF(SER_hh_tes!M30=0,"",SER_hh_tes!M30/SER_hh_fec!M30)</f>
        <v>0.58923007840261765</v>
      </c>
      <c r="N30" s="137">
        <f>IF(SER_hh_tes!N30=0,"",SER_hh_tes!N30/SER_hh_fec!N30)</f>
        <v>0.58984228387626425</v>
      </c>
      <c r="O30" s="137">
        <f>IF(SER_hh_tes!O30=0,"",SER_hh_tes!O30/SER_hh_fec!O30)</f>
        <v>0.59057793036118911</v>
      </c>
      <c r="P30" s="137">
        <f>IF(SER_hh_tes!P30=0,"",SER_hh_tes!P30/SER_hh_fec!P30)</f>
        <v>0.59118607574460025</v>
      </c>
      <c r="Q30" s="137">
        <f>IF(SER_hh_tes!Q30=0,"",SER_hh_tes!Q30/SER_hh_fec!Q30)</f>
        <v>0.59169705395979488</v>
      </c>
      <c r="R30" s="137">
        <f>IF(SER_hh_tes!R30=0,"",SER_hh_tes!R30/SER_hh_fec!R30)</f>
        <v>0.59239546734637971</v>
      </c>
      <c r="S30" s="137">
        <f>IF(SER_hh_tes!S30=0,"",SER_hh_tes!S30/SER_hh_fec!S30)</f>
        <v>0.59327674673460762</v>
      </c>
      <c r="T30" s="137">
        <f>IF(SER_hh_tes!T30=0,"",SER_hh_tes!T30/SER_hh_fec!T30)</f>
        <v>0.59469620572759796</v>
      </c>
      <c r="U30" s="137">
        <f>IF(SER_hh_tes!U30=0,"",SER_hh_tes!U30/SER_hh_fec!U30)</f>
        <v>0.59694545327427795</v>
      </c>
      <c r="V30" s="137">
        <f>IF(SER_hh_tes!V30=0,"",SER_hh_tes!V30/SER_hh_fec!V30)</f>
        <v>0.59966928718922408</v>
      </c>
      <c r="W30" s="137">
        <f>IF(SER_hh_tes!W30=0,"",SER_hh_tes!W30/SER_hh_fec!W30)</f>
        <v>0.60257760260337856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0.58074723756472235</v>
      </c>
      <c r="C31" s="137">
        <f>IF(SER_hh_tes!C31=0,"",SER_hh_tes!C31/SER_hh_fec!C31)</f>
        <v>0.58152337326281089</v>
      </c>
      <c r="D31" s="137">
        <f>IF(SER_hh_tes!D31=0,"",SER_hh_tes!D31/SER_hh_fec!D31)</f>
        <v>0.58247264911207608</v>
      </c>
      <c r="E31" s="137">
        <f>IF(SER_hh_tes!E31=0,"",SER_hh_tes!E31/SER_hh_fec!E31)</f>
        <v>0.58352867345395842</v>
      </c>
      <c r="F31" s="137">
        <f>IF(SER_hh_tes!F31=0,"",SER_hh_tes!F31/SER_hh_fec!F31)</f>
        <v>0.58461693270660842</v>
      </c>
      <c r="G31" s="137">
        <f>IF(SER_hh_tes!G31=0,"",SER_hh_tes!G31/SER_hh_fec!G31)</f>
        <v>0.58587152054297853</v>
      </c>
      <c r="H31" s="137">
        <f>IF(SER_hh_tes!H31=0,"",SER_hh_tes!H31/SER_hh_fec!H31)</f>
        <v>0.58719426590098844</v>
      </c>
      <c r="I31" s="137">
        <f>IF(SER_hh_tes!I31=0,"",SER_hh_tes!I31/SER_hh_fec!I31)</f>
        <v>0.58866076316114713</v>
      </c>
      <c r="J31" s="137">
        <f>IF(SER_hh_tes!J31=0,"",SER_hh_tes!J31/SER_hh_fec!J31)</f>
        <v>0.59019094416650664</v>
      </c>
      <c r="K31" s="137">
        <f>IF(SER_hh_tes!K31=0,"",SER_hh_tes!K31/SER_hh_fec!K31)</f>
        <v>0.59183675389617307</v>
      </c>
      <c r="L31" s="137">
        <f>IF(SER_hh_tes!L31=0,"",SER_hh_tes!L31/SER_hh_fec!L31)</f>
        <v>0.59308763184738944</v>
      </c>
      <c r="M31" s="137">
        <f>IF(SER_hh_tes!M31=0,"",SER_hh_tes!M31/SER_hh_fec!M31)</f>
        <v>0.59363434831637263</v>
      </c>
      <c r="N31" s="137">
        <f>IF(SER_hh_tes!N31=0,"",SER_hh_tes!N31/SER_hh_fec!N31)</f>
        <v>0.59426810621261716</v>
      </c>
      <c r="O31" s="137">
        <f>IF(SER_hh_tes!O31=0,"",SER_hh_tes!O31/SER_hh_fec!O31)</f>
        <v>0.59501603227711852</v>
      </c>
      <c r="P31" s="137">
        <f>IF(SER_hh_tes!P31=0,"",SER_hh_tes!P31/SER_hh_fec!P31)</f>
        <v>0.59567242885892213</v>
      </c>
      <c r="Q31" s="137">
        <f>IF(SER_hh_tes!Q31=0,"",SER_hh_tes!Q31/SER_hh_fec!Q31)</f>
        <v>0.5962313807187628</v>
      </c>
      <c r="R31" s="137">
        <f>IF(SER_hh_tes!R31=0,"",SER_hh_tes!R31/SER_hh_fec!R31)</f>
        <v>0.59707230690560242</v>
      </c>
      <c r="S31" s="137">
        <f>IF(SER_hh_tes!S31=0,"",SER_hh_tes!S31/SER_hh_fec!S31)</f>
        <v>0.59844316377920259</v>
      </c>
      <c r="T31" s="137">
        <f>IF(SER_hh_tes!T31=0,"",SER_hh_tes!T31/SER_hh_fec!T31)</f>
        <v>0.60021285033517491</v>
      </c>
      <c r="U31" s="137">
        <f>IF(SER_hh_tes!U31=0,"",SER_hh_tes!U31/SER_hh_fec!U31)</f>
        <v>0.60235590185761678</v>
      </c>
      <c r="V31" s="137">
        <f>IF(SER_hh_tes!V31=0,"",SER_hh_tes!V31/SER_hh_fec!V31)</f>
        <v>0.60505519362356397</v>
      </c>
      <c r="W31" s="137">
        <f>IF(SER_hh_tes!W31=0,"",SER_hh_tes!W31/SER_hh_fec!W31)</f>
        <v>0.60811398840034525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>
        <f>IF(SER_hh_tes!K32=0,"",SER_hh_tes!K32/SER_hh_fec!K32)</f>
        <v>0.57534866060538059</v>
      </c>
      <c r="L32" s="137">
        <f>IF(SER_hh_tes!L32=0,"",SER_hh_tes!L32/SER_hh_fec!L32)</f>
        <v>0.57541577493571117</v>
      </c>
      <c r="M32" s="137">
        <f>IF(SER_hh_tes!M32=0,"",SER_hh_tes!M32/SER_hh_fec!M32)</f>
        <v>0.57544708832980884</v>
      </c>
      <c r="N32" s="137">
        <f>IF(SER_hh_tes!N32=0,"",SER_hh_tes!N32/SER_hh_fec!N32)</f>
        <v>0.57545043883939917</v>
      </c>
      <c r="O32" s="137">
        <f>IF(SER_hh_tes!O32=0,"",SER_hh_tes!O32/SER_hh_fec!O32)</f>
        <v>0.57545698453730521</v>
      </c>
      <c r="P32" s="137">
        <f>IF(SER_hh_tes!P32=0,"",SER_hh_tes!P32/SER_hh_fec!P32)</f>
        <v>0.57546543870284739</v>
      </c>
      <c r="Q32" s="137">
        <f>IF(SER_hh_tes!Q32=0,"",SER_hh_tes!Q32/SER_hh_fec!Q32)</f>
        <v>0.57548788915837423</v>
      </c>
      <c r="R32" s="137">
        <f>IF(SER_hh_tes!R32=0,"",SER_hh_tes!R32/SER_hh_fec!R32)</f>
        <v>0.57563384791291849</v>
      </c>
      <c r="S32" s="137">
        <f>IF(SER_hh_tes!S32=0,"",SER_hh_tes!S32/SER_hh_fec!S32)</f>
        <v>0.57601225866592043</v>
      </c>
      <c r="T32" s="137">
        <f>IF(SER_hh_tes!T32=0,"",SER_hh_tes!T32/SER_hh_fec!T32)</f>
        <v>0.57725438892178305</v>
      </c>
      <c r="U32" s="137">
        <f>IF(SER_hh_tes!U32=0,"",SER_hh_tes!U32/SER_hh_fec!U32)</f>
        <v>0.57860661223797971</v>
      </c>
      <c r="V32" s="137">
        <f>IF(SER_hh_tes!V32=0,"",SER_hh_tes!V32/SER_hh_fec!V32)</f>
        <v>0.58006872838660617</v>
      </c>
      <c r="W32" s="137">
        <f>IF(SER_hh_tes!W32=0,"",SER_hh_tes!W32/SER_hh_fec!W32)</f>
        <v>0.58201907713763334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0.75767261673068598</v>
      </c>
      <c r="C33" s="150">
        <f>IF(SER_hh_tes!C33=0,"",SER_hh_tes!C33/SER_hh_fec!C33)</f>
        <v>0.75949718561764679</v>
      </c>
      <c r="D33" s="150">
        <f>IF(SER_hh_tes!D33=0,"",SER_hh_tes!D33/SER_hh_fec!D33)</f>
        <v>0.76151126100225131</v>
      </c>
      <c r="E33" s="150">
        <f>IF(SER_hh_tes!E33=0,"",SER_hh_tes!E33/SER_hh_fec!E33)</f>
        <v>0.76375883247378129</v>
      </c>
      <c r="F33" s="150">
        <f>IF(SER_hh_tes!F33=0,"",SER_hh_tes!F33/SER_hh_fec!F33)</f>
        <v>0.76587414300684054</v>
      </c>
      <c r="G33" s="150">
        <f>IF(SER_hh_tes!G33=0,"",SER_hh_tes!G33/SER_hh_fec!G33)</f>
        <v>0.7680608161691449</v>
      </c>
      <c r="H33" s="150">
        <f>IF(SER_hh_tes!H33=0,"",SER_hh_tes!H33/SER_hh_fec!H33)</f>
        <v>0.77047409498871822</v>
      </c>
      <c r="I33" s="150">
        <f>IF(SER_hh_tes!I33=0,"",SER_hh_tes!I33/SER_hh_fec!I33)</f>
        <v>0.77292804284550887</v>
      </c>
      <c r="J33" s="150">
        <f>IF(SER_hh_tes!J33=0,"",SER_hh_tes!J33/SER_hh_fec!J33)</f>
        <v>0.77517786042690184</v>
      </c>
      <c r="K33" s="150">
        <f>IF(SER_hh_tes!K33=0,"",SER_hh_tes!K33/SER_hh_fec!K33)</f>
        <v>0.77758748235532538</v>
      </c>
      <c r="L33" s="150">
        <f>IF(SER_hh_tes!L33=0,"",SER_hh_tes!L33/SER_hh_fec!L33)</f>
        <v>0.77943622561638348</v>
      </c>
      <c r="M33" s="150">
        <f>IF(SER_hh_tes!M33=0,"",SER_hh_tes!M33/SER_hh_fec!M33)</f>
        <v>0.78037807101471279</v>
      </c>
      <c r="N33" s="150">
        <f>IF(SER_hh_tes!N33=0,"",SER_hh_tes!N33/SER_hh_fec!N33)</f>
        <v>0.7816160629322273</v>
      </c>
      <c r="O33" s="150">
        <f>IF(SER_hh_tes!O33=0,"",SER_hh_tes!O33/SER_hh_fec!O33)</f>
        <v>0.78390799123375599</v>
      </c>
      <c r="P33" s="150">
        <f>IF(SER_hh_tes!P33=0,"",SER_hh_tes!P33/SER_hh_fec!P33)</f>
        <v>0.78730654521810739</v>
      </c>
      <c r="Q33" s="150">
        <f>IF(SER_hh_tes!Q33=0,"",SER_hh_tes!Q33/SER_hh_fec!Q33)</f>
        <v>0.79149800387860703</v>
      </c>
      <c r="R33" s="150">
        <f>IF(SER_hh_tes!R33=0,"",SER_hh_tes!R33/SER_hh_fec!R33)</f>
        <v>0.79596597507279965</v>
      </c>
      <c r="S33" s="150">
        <f>IF(SER_hh_tes!S33=0,"",SER_hh_tes!S33/SER_hh_fec!S33)</f>
        <v>0.80175700923248794</v>
      </c>
      <c r="T33" s="150">
        <f>IF(SER_hh_tes!T33=0,"",SER_hh_tes!T33/SER_hh_fec!T33)</f>
        <v>0.80900071793329276</v>
      </c>
      <c r="U33" s="150">
        <f>IF(SER_hh_tes!U33=0,"",SER_hh_tes!U33/SER_hh_fec!U33)</f>
        <v>0.81704921629552751</v>
      </c>
      <c r="V33" s="150">
        <f>IF(SER_hh_tes!V33=0,"",SER_hh_tes!V33/SER_hh_fec!V33)</f>
        <v>0.82524725901069673</v>
      </c>
      <c r="W33" s="150">
        <f>IF(SER_hh_tes!W33=0,"",SER_hh_tes!W33/SER_hh_fec!W33)</f>
        <v>0.83365004093304718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607.69996272000003</v>
      </c>
      <c r="C3" s="126">
        <f t="shared" si="0"/>
        <v>714.06201095999995</v>
      </c>
      <c r="D3" s="126">
        <f t="shared" si="0"/>
        <v>755.08377480000013</v>
      </c>
      <c r="E3" s="126">
        <f t="shared" si="0"/>
        <v>779.68550052000001</v>
      </c>
      <c r="F3" s="126">
        <f t="shared" si="0"/>
        <v>778.82867316000022</v>
      </c>
      <c r="G3" s="126">
        <f t="shared" si="0"/>
        <v>751.12181496000017</v>
      </c>
      <c r="H3" s="126">
        <f t="shared" si="0"/>
        <v>692.89520904000005</v>
      </c>
      <c r="I3" s="126">
        <f t="shared" si="0"/>
        <v>614.82735323999998</v>
      </c>
      <c r="J3" s="126">
        <f t="shared" si="0"/>
        <v>627.21562643999971</v>
      </c>
      <c r="K3" s="126">
        <f t="shared" si="0"/>
        <v>628.10442395999996</v>
      </c>
      <c r="L3" s="126">
        <f t="shared" si="0"/>
        <v>671.6031534</v>
      </c>
      <c r="M3" s="126">
        <f t="shared" si="0"/>
        <v>613.23641712000006</v>
      </c>
      <c r="N3" s="126">
        <f t="shared" si="0"/>
        <v>543.94437239999991</v>
      </c>
      <c r="O3" s="126">
        <f t="shared" si="0"/>
        <v>513.75531132000037</v>
      </c>
      <c r="P3" s="126">
        <f t="shared" si="0"/>
        <v>470.17943280000003</v>
      </c>
      <c r="Q3" s="126">
        <f t="shared" si="0"/>
        <v>585.25182396000037</v>
      </c>
      <c r="R3" s="126">
        <f t="shared" ref="R3:W3" si="1">SUM(R4,R16,R19,R29)</f>
        <v>609.69817800000021</v>
      </c>
      <c r="S3" s="126">
        <f t="shared" si="1"/>
        <v>626.75588843999981</v>
      </c>
      <c r="T3" s="126">
        <f t="shared" si="1"/>
        <v>627.27089364000039</v>
      </c>
      <c r="U3" s="126">
        <f t="shared" si="1"/>
        <v>612.0289555199995</v>
      </c>
      <c r="V3" s="126">
        <f t="shared" si="1"/>
        <v>570.75273611999978</v>
      </c>
      <c r="W3" s="126">
        <f t="shared" si="1"/>
        <v>653.68611216000022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514.31332574379735</v>
      </c>
      <c r="C4" s="131">
        <f t="shared" si="2"/>
        <v>606.67628336426162</v>
      </c>
      <c r="D4" s="131">
        <f t="shared" si="2"/>
        <v>642.27473677956834</v>
      </c>
      <c r="E4" s="131">
        <f t="shared" si="2"/>
        <v>660.3027319184099</v>
      </c>
      <c r="F4" s="131">
        <f t="shared" si="2"/>
        <v>651.96747900824471</v>
      </c>
      <c r="G4" s="131">
        <f t="shared" si="2"/>
        <v>618.95306767554189</v>
      </c>
      <c r="H4" s="131">
        <f t="shared" si="2"/>
        <v>556.08379450791438</v>
      </c>
      <c r="I4" s="131">
        <f t="shared" si="2"/>
        <v>474.32884136012183</v>
      </c>
      <c r="J4" s="131">
        <f t="shared" si="2"/>
        <v>479.15250295192811</v>
      </c>
      <c r="K4" s="131">
        <f t="shared" si="2"/>
        <v>471.9484950423091</v>
      </c>
      <c r="L4" s="131">
        <f t="shared" si="2"/>
        <v>511.00853043004292</v>
      </c>
      <c r="M4" s="131">
        <f t="shared" si="2"/>
        <v>455.98612519524033</v>
      </c>
      <c r="N4" s="131">
        <f t="shared" si="2"/>
        <v>385.62609146156666</v>
      </c>
      <c r="O4" s="131">
        <f t="shared" si="2"/>
        <v>354.64598138982115</v>
      </c>
      <c r="P4" s="131">
        <f t="shared" si="2"/>
        <v>309.45637811019481</v>
      </c>
      <c r="Q4" s="131">
        <f t="shared" si="2"/>
        <v>419.31711911745606</v>
      </c>
      <c r="R4" s="131">
        <f t="shared" ref="R4:W4" si="3">SUM(R5:R15)</f>
        <v>436.29645427554306</v>
      </c>
      <c r="S4" s="131">
        <f t="shared" si="3"/>
        <v>450.94438576420993</v>
      </c>
      <c r="T4" s="131">
        <f t="shared" si="3"/>
        <v>450.90207151302059</v>
      </c>
      <c r="U4" s="131">
        <f t="shared" si="3"/>
        <v>434.32399369168661</v>
      </c>
      <c r="V4" s="131">
        <f t="shared" si="3"/>
        <v>413.42390350534725</v>
      </c>
      <c r="W4" s="131">
        <f t="shared" si="3"/>
        <v>478.20244606971085</v>
      </c>
      <c r="DA4" s="156" t="s">
        <v>233</v>
      </c>
    </row>
    <row r="5" spans="1:105" ht="12" customHeight="1" x14ac:dyDescent="0.25">
      <c r="A5" s="132" t="s">
        <v>29</v>
      </c>
      <c r="B5" s="133">
        <v>16.881495839999999</v>
      </c>
      <c r="C5" s="133">
        <v>12.714039359999999</v>
      </c>
      <c r="D5" s="133">
        <v>16.907362560000003</v>
      </c>
      <c r="E5" s="133">
        <v>20.925083519999998</v>
      </c>
      <c r="F5" s="133">
        <v>9.3684887999999997</v>
      </c>
      <c r="G5" s="133">
        <v>1.3844159999999999</v>
      </c>
      <c r="H5" s="133">
        <v>8.098833599999999</v>
      </c>
      <c r="I5" s="133">
        <v>4.3262999999999998</v>
      </c>
      <c r="J5" s="133">
        <v>7.2681840000000015</v>
      </c>
      <c r="K5" s="133">
        <v>6.9220799999999993</v>
      </c>
      <c r="L5" s="133">
        <v>4.2024311999999986</v>
      </c>
      <c r="M5" s="133">
        <v>8.8183656000000017</v>
      </c>
      <c r="N5" s="133">
        <v>8.4919348800000005</v>
      </c>
      <c r="O5" s="133">
        <v>0.77855184000000044</v>
      </c>
      <c r="P5" s="133">
        <v>0.32096592000000007</v>
      </c>
      <c r="Q5" s="133">
        <v>0.16175808000000003</v>
      </c>
      <c r="R5" s="133">
        <v>0.17086607999999995</v>
      </c>
      <c r="S5" s="133">
        <v>0.51915600000000028</v>
      </c>
      <c r="T5" s="133">
        <v>0.17305200000000018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368.4899409156215</v>
      </c>
      <c r="C7" s="133">
        <v>401.77561488096308</v>
      </c>
      <c r="D7" s="133">
        <v>453.73648920622151</v>
      </c>
      <c r="E7" s="133">
        <v>455.36477022069869</v>
      </c>
      <c r="F7" s="133">
        <v>446.45644120878848</v>
      </c>
      <c r="G7" s="133">
        <v>399.80310607476963</v>
      </c>
      <c r="H7" s="133">
        <v>338.12848682743999</v>
      </c>
      <c r="I7" s="133">
        <v>267.69923441631624</v>
      </c>
      <c r="J7" s="133">
        <v>248.25470685350751</v>
      </c>
      <c r="K7" s="133">
        <v>235.08418170417298</v>
      </c>
      <c r="L7" s="133">
        <v>221.3832906848001</v>
      </c>
      <c r="M7" s="133">
        <v>200.78415754973329</v>
      </c>
      <c r="N7" s="133">
        <v>156.05936832859794</v>
      </c>
      <c r="O7" s="133">
        <v>126.12708670622105</v>
      </c>
      <c r="P7" s="133">
        <v>93.333370622485347</v>
      </c>
      <c r="Q7" s="133">
        <v>123.23641463358354</v>
      </c>
      <c r="R7" s="133">
        <v>117.86791867507226</v>
      </c>
      <c r="S7" s="133">
        <v>113.54734899310108</v>
      </c>
      <c r="T7" s="133">
        <v>92.346350439516911</v>
      </c>
      <c r="U7" s="133">
        <v>60.513228525724671</v>
      </c>
      <c r="V7" s="133">
        <v>60.017195936560135</v>
      </c>
      <c r="W7" s="133">
        <v>50.426566846126349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128.9418889881758</v>
      </c>
      <c r="C9" s="133">
        <v>192.18662912329853</v>
      </c>
      <c r="D9" s="133">
        <v>171.63088501334684</v>
      </c>
      <c r="E9" s="133">
        <v>184.01287817771126</v>
      </c>
      <c r="F9" s="133">
        <v>196.14254899945618</v>
      </c>
      <c r="G9" s="133">
        <v>217.76554560077233</v>
      </c>
      <c r="H9" s="133">
        <v>209.85647408047444</v>
      </c>
      <c r="I9" s="133">
        <v>202.30330694380561</v>
      </c>
      <c r="J9" s="133">
        <v>223.62961209842064</v>
      </c>
      <c r="K9" s="133">
        <v>229.94223333813616</v>
      </c>
      <c r="L9" s="133">
        <v>285.42280854524284</v>
      </c>
      <c r="M9" s="133">
        <v>246.38360204550708</v>
      </c>
      <c r="N9" s="133">
        <v>221.07478825296872</v>
      </c>
      <c r="O9" s="133">
        <v>227.74034284360008</v>
      </c>
      <c r="P9" s="133">
        <v>215.80204156770944</v>
      </c>
      <c r="Q9" s="133">
        <v>295.91894640387255</v>
      </c>
      <c r="R9" s="133">
        <v>318.25766952047081</v>
      </c>
      <c r="S9" s="133">
        <v>336.87788077110883</v>
      </c>
      <c r="T9" s="133">
        <v>358.38266907350368</v>
      </c>
      <c r="U9" s="133">
        <v>373.81076516596193</v>
      </c>
      <c r="V9" s="133">
        <v>353.40670756878711</v>
      </c>
      <c r="W9" s="133">
        <v>427.77587922358452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2.7417867475034895E-2</v>
      </c>
      <c r="C16" s="131">
        <f t="shared" si="4"/>
        <v>2.7674005979787007E-2</v>
      </c>
      <c r="D16" s="131">
        <f t="shared" si="4"/>
        <v>3.2915710809203358E-2</v>
      </c>
      <c r="E16" s="131">
        <f t="shared" si="4"/>
        <v>7.733028390048817E-2</v>
      </c>
      <c r="F16" s="131">
        <f t="shared" si="4"/>
        <v>4.7007876561737848E-2</v>
      </c>
      <c r="G16" s="131">
        <f t="shared" si="4"/>
        <v>5.511019173751186E-2</v>
      </c>
      <c r="H16" s="131">
        <f t="shared" si="4"/>
        <v>7.2970457818282625E-2</v>
      </c>
      <c r="I16" s="131">
        <f t="shared" si="4"/>
        <v>0.10735477009635724</v>
      </c>
      <c r="J16" s="131">
        <f t="shared" si="4"/>
        <v>0.10595605898952185</v>
      </c>
      <c r="K16" s="131">
        <f t="shared" si="4"/>
        <v>9.3542639621330165E-2</v>
      </c>
      <c r="L16" s="131">
        <f t="shared" si="4"/>
        <v>0.10968586943782609</v>
      </c>
      <c r="M16" s="131">
        <f t="shared" si="4"/>
        <v>0.13266367157462133</v>
      </c>
      <c r="N16" s="131">
        <f t="shared" si="4"/>
        <v>0.18661391699156094</v>
      </c>
      <c r="O16" s="131">
        <f t="shared" si="4"/>
        <v>0.16637494281341147</v>
      </c>
      <c r="P16" s="131">
        <f t="shared" si="4"/>
        <v>0.13701083174164008</v>
      </c>
      <c r="Q16" s="131">
        <f t="shared" si="4"/>
        <v>0.3392820932007809</v>
      </c>
      <c r="R16" s="131">
        <f t="shared" ref="R16:W16" si="5">SUM(R17:R18)</f>
        <v>0.26337840158837345</v>
      </c>
      <c r="S16" s="131">
        <f t="shared" si="5"/>
        <v>0.45825589008991963</v>
      </c>
      <c r="T16" s="131">
        <f t="shared" si="5"/>
        <v>0.42610043657531793</v>
      </c>
      <c r="U16" s="131">
        <f t="shared" si="5"/>
        <v>0.57990559076893744</v>
      </c>
      <c r="V16" s="131">
        <f t="shared" si="5"/>
        <v>0.44569984946062524</v>
      </c>
      <c r="W16" s="131">
        <f t="shared" si="5"/>
        <v>0.62071281525215816</v>
      </c>
      <c r="DA16" s="156" t="s">
        <v>234</v>
      </c>
    </row>
    <row r="17" spans="1:105" ht="12.95" customHeight="1" x14ac:dyDescent="0.25">
      <c r="A17" s="132" t="s">
        <v>73</v>
      </c>
      <c r="B17" s="133">
        <v>2.7417867475034895E-2</v>
      </c>
      <c r="C17" s="133">
        <v>2.7674005979787007E-2</v>
      </c>
      <c r="D17" s="133">
        <v>3.2915710809203358E-2</v>
      </c>
      <c r="E17" s="133">
        <v>7.733028390048817E-2</v>
      </c>
      <c r="F17" s="133">
        <v>4.7007876561737848E-2</v>
      </c>
      <c r="G17" s="133">
        <v>5.511019173751186E-2</v>
      </c>
      <c r="H17" s="133">
        <v>7.2970457818282625E-2</v>
      </c>
      <c r="I17" s="133">
        <v>0.10735477009635724</v>
      </c>
      <c r="J17" s="133">
        <v>0.10595605898952185</v>
      </c>
      <c r="K17" s="133">
        <v>9.3542639621330165E-2</v>
      </c>
      <c r="L17" s="133">
        <v>0.10968586943782609</v>
      </c>
      <c r="M17" s="133">
        <v>0.13266367157462133</v>
      </c>
      <c r="N17" s="133">
        <v>0.18661391699156094</v>
      </c>
      <c r="O17" s="133">
        <v>0.16637494281341147</v>
      </c>
      <c r="P17" s="133">
        <v>0.13701083174164008</v>
      </c>
      <c r="Q17" s="133">
        <v>0.3392820932007809</v>
      </c>
      <c r="R17" s="133">
        <v>0.26337840158837345</v>
      </c>
      <c r="S17" s="133">
        <v>0.45825589008991963</v>
      </c>
      <c r="T17" s="133">
        <v>0.42610043657531793</v>
      </c>
      <c r="U17" s="133">
        <v>0.57990559076893744</v>
      </c>
      <c r="V17" s="133">
        <v>0.44569984946062524</v>
      </c>
      <c r="W17" s="133">
        <v>0.62071281525215816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72.224869802253778</v>
      </c>
      <c r="C19" s="131">
        <f t="shared" si="6"/>
        <v>77.816099664199669</v>
      </c>
      <c r="D19" s="131">
        <f t="shared" si="6"/>
        <v>83.672404213962011</v>
      </c>
      <c r="E19" s="131">
        <f t="shared" si="6"/>
        <v>87.59722972752877</v>
      </c>
      <c r="F19" s="131">
        <f t="shared" si="6"/>
        <v>92.453539058518061</v>
      </c>
      <c r="G19" s="131">
        <f t="shared" si="6"/>
        <v>97.422606814301133</v>
      </c>
      <c r="H19" s="131">
        <f t="shared" si="6"/>
        <v>99.334770582754899</v>
      </c>
      <c r="I19" s="131">
        <f t="shared" si="6"/>
        <v>102.30890051132161</v>
      </c>
      <c r="J19" s="131">
        <f t="shared" si="6"/>
        <v>106.68343965420392</v>
      </c>
      <c r="K19" s="131">
        <f t="shared" si="6"/>
        <v>109.15116021485207</v>
      </c>
      <c r="L19" s="131">
        <f t="shared" si="6"/>
        <v>110.6114283588625</v>
      </c>
      <c r="M19" s="131">
        <f t="shared" si="6"/>
        <v>109.29624527132734</v>
      </c>
      <c r="N19" s="131">
        <f t="shared" si="6"/>
        <v>109.00118369876967</v>
      </c>
      <c r="O19" s="131">
        <f t="shared" si="6"/>
        <v>109.69524299306036</v>
      </c>
      <c r="P19" s="131">
        <f t="shared" si="6"/>
        <v>110.64009924287515</v>
      </c>
      <c r="Q19" s="131">
        <f t="shared" si="6"/>
        <v>113.42123590989988</v>
      </c>
      <c r="R19" s="131">
        <f t="shared" ref="R19:W19" si="7">SUM(R20:R27)</f>
        <v>116.29292085540615</v>
      </c>
      <c r="S19" s="131">
        <f t="shared" si="7"/>
        <v>117.89959091736158</v>
      </c>
      <c r="T19" s="131">
        <f t="shared" si="7"/>
        <v>118.09994468620386</v>
      </c>
      <c r="U19" s="131">
        <f t="shared" si="7"/>
        <v>117.35529104418993</v>
      </c>
      <c r="V19" s="131">
        <f t="shared" si="7"/>
        <v>105.0056925145204</v>
      </c>
      <c r="W19" s="131">
        <f t="shared" si="7"/>
        <v>113.74974419633116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4.6077595850133912</v>
      </c>
      <c r="C21" s="133">
        <v>5.8580912533289995</v>
      </c>
      <c r="D21" s="133">
        <v>6.7064296593953054</v>
      </c>
      <c r="E21" s="133">
        <v>7.2239413276466982</v>
      </c>
      <c r="F21" s="133">
        <v>7.9493240487903263</v>
      </c>
      <c r="G21" s="133">
        <v>8.2838088459438595</v>
      </c>
      <c r="H21" s="133">
        <v>8.8114511014717927</v>
      </c>
      <c r="I21" s="133">
        <v>9.2303032910482461</v>
      </c>
      <c r="J21" s="133">
        <v>10.113582279181662</v>
      </c>
      <c r="K21" s="133">
        <v>11.209979968459631</v>
      </c>
      <c r="L21" s="133">
        <v>11.602378611247946</v>
      </c>
      <c r="M21" s="133">
        <v>11.865001723347051</v>
      </c>
      <c r="N21" s="133">
        <v>12.076832488990437</v>
      </c>
      <c r="O21" s="133">
        <v>12.333539928061192</v>
      </c>
      <c r="P21" s="133">
        <v>12.465879500658909</v>
      </c>
      <c r="Q21" s="133">
        <v>12.593624669180743</v>
      </c>
      <c r="R21" s="133">
        <v>12.353136258356642</v>
      </c>
      <c r="S21" s="133">
        <v>11.521639704704793</v>
      </c>
      <c r="T21" s="133">
        <v>10.902266074777929</v>
      </c>
      <c r="U21" s="133">
        <v>9.9260221319043342</v>
      </c>
      <c r="V21" s="133">
        <v>8.0283393310861282</v>
      </c>
      <c r="W21" s="133">
        <v>8.4759454025047081</v>
      </c>
      <c r="DA21" s="157" t="s">
        <v>371</v>
      </c>
    </row>
    <row r="22" spans="1:105" ht="12" customHeight="1" x14ac:dyDescent="0.25">
      <c r="A22" s="132" t="s">
        <v>168</v>
      </c>
      <c r="B22" s="133">
        <v>23.795338964378463</v>
      </c>
      <c r="C22" s="133">
        <v>25.284702719036851</v>
      </c>
      <c r="D22" s="133">
        <v>26.898209033778361</v>
      </c>
      <c r="E22" s="133">
        <v>28.51065377930129</v>
      </c>
      <c r="F22" s="133">
        <v>29.91437167121158</v>
      </c>
      <c r="G22" s="133">
        <v>32.260471365230487</v>
      </c>
      <c r="H22" s="133">
        <v>33.566357612560012</v>
      </c>
      <c r="I22" s="133">
        <v>35.971307823683645</v>
      </c>
      <c r="J22" s="133">
        <v>37.097755586492433</v>
      </c>
      <c r="K22" s="133">
        <v>38.037544255826994</v>
      </c>
      <c r="L22" s="133">
        <v>37.828524515199859</v>
      </c>
      <c r="M22" s="133">
        <v>35.248755970266764</v>
      </c>
      <c r="N22" s="133">
        <v>33.450601191402029</v>
      </c>
      <c r="O22" s="133">
        <v>31.886234773778941</v>
      </c>
      <c r="P22" s="133">
        <v>29.980798257514678</v>
      </c>
      <c r="Q22" s="133">
        <v>28.561053246416513</v>
      </c>
      <c r="R22" s="133">
        <v>27.637531844927771</v>
      </c>
      <c r="S22" s="133">
        <v>26.623514966898902</v>
      </c>
      <c r="T22" s="133">
        <v>25.384707680483107</v>
      </c>
      <c r="U22" s="133">
        <v>24.92891515427532</v>
      </c>
      <c r="V22" s="133">
        <v>21.002084223439894</v>
      </c>
      <c r="W22" s="133">
        <v>21.414568753873674</v>
      </c>
      <c r="DA22" s="157" t="s">
        <v>372</v>
      </c>
    </row>
    <row r="23" spans="1:105" ht="12" customHeight="1" x14ac:dyDescent="0.25">
      <c r="A23" s="132" t="s">
        <v>153</v>
      </c>
      <c r="B23" s="133">
        <v>43.821771252861929</v>
      </c>
      <c r="C23" s="133">
        <v>46.673305691833811</v>
      </c>
      <c r="D23" s="133">
        <v>50.067765520788335</v>
      </c>
      <c r="E23" s="133">
        <v>51.862634620580785</v>
      </c>
      <c r="F23" s="133">
        <v>54.589843338516154</v>
      </c>
      <c r="G23" s="133">
        <v>56.87832660312678</v>
      </c>
      <c r="H23" s="133">
        <v>56.956961868723099</v>
      </c>
      <c r="I23" s="133">
        <v>57.107289396589721</v>
      </c>
      <c r="J23" s="133">
        <v>59.472101788529827</v>
      </c>
      <c r="K23" s="133">
        <v>59.903635990565455</v>
      </c>
      <c r="L23" s="133">
        <v>61.180525232414702</v>
      </c>
      <c r="M23" s="133">
        <v>62.182487577713516</v>
      </c>
      <c r="N23" s="133">
        <v>63.473750018377196</v>
      </c>
      <c r="O23" s="133">
        <v>65.475468291220224</v>
      </c>
      <c r="P23" s="133">
        <v>68.193421484701574</v>
      </c>
      <c r="Q23" s="133">
        <v>72.26655799430263</v>
      </c>
      <c r="R23" s="133">
        <v>76.302252752121746</v>
      </c>
      <c r="S23" s="133">
        <v>79.754436245757887</v>
      </c>
      <c r="T23" s="133">
        <v>81.812970930942811</v>
      </c>
      <c r="U23" s="133">
        <v>82.500353758010263</v>
      </c>
      <c r="V23" s="133">
        <v>75.975268959994381</v>
      </c>
      <c r="W23" s="133">
        <v>83.859230039952777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21.134349306473815</v>
      </c>
      <c r="C29" s="131">
        <f t="shared" si="8"/>
        <v>29.541953925558886</v>
      </c>
      <c r="D29" s="131">
        <f t="shared" si="8"/>
        <v>29.103718095660454</v>
      </c>
      <c r="E29" s="131">
        <f t="shared" si="8"/>
        <v>31.708208590160883</v>
      </c>
      <c r="F29" s="131">
        <f t="shared" si="8"/>
        <v>34.36064721667563</v>
      </c>
      <c r="G29" s="131">
        <f t="shared" si="8"/>
        <v>34.691030278419568</v>
      </c>
      <c r="H29" s="131">
        <f t="shared" si="8"/>
        <v>37.403673491512436</v>
      </c>
      <c r="I29" s="131">
        <f t="shared" si="8"/>
        <v>38.082256598460148</v>
      </c>
      <c r="J29" s="131">
        <f t="shared" si="8"/>
        <v>41.273727774878168</v>
      </c>
      <c r="K29" s="131">
        <f t="shared" si="8"/>
        <v>46.91122606321747</v>
      </c>
      <c r="L29" s="131">
        <f t="shared" si="8"/>
        <v>49.873508741656792</v>
      </c>
      <c r="M29" s="131">
        <f t="shared" si="8"/>
        <v>47.821382981857695</v>
      </c>
      <c r="N29" s="131">
        <f t="shared" si="8"/>
        <v>49.130483322672035</v>
      </c>
      <c r="O29" s="131">
        <f t="shared" si="8"/>
        <v>49.247711994305433</v>
      </c>
      <c r="P29" s="131">
        <f t="shared" si="8"/>
        <v>49.94594461518848</v>
      </c>
      <c r="Q29" s="131">
        <f t="shared" si="8"/>
        <v>52.174186839443621</v>
      </c>
      <c r="R29" s="131">
        <f t="shared" ref="R29:W29" si="9">SUM(R30:R33)</f>
        <v>56.845424467462635</v>
      </c>
      <c r="S29" s="131">
        <f t="shared" si="9"/>
        <v>57.45365586833833</v>
      </c>
      <c r="T29" s="131">
        <f t="shared" si="9"/>
        <v>57.84277700420062</v>
      </c>
      <c r="U29" s="131">
        <f t="shared" si="9"/>
        <v>59.76976519335409</v>
      </c>
      <c r="V29" s="131">
        <f t="shared" si="9"/>
        <v>51.877440250671548</v>
      </c>
      <c r="W29" s="131">
        <f t="shared" si="9"/>
        <v>61.113209078706042</v>
      </c>
      <c r="DA29" s="156" t="s">
        <v>236</v>
      </c>
    </row>
    <row r="30" spans="1:105" ht="12" customHeight="1" x14ac:dyDescent="0.25">
      <c r="A30" s="132" t="s">
        <v>52</v>
      </c>
      <c r="B30" s="133">
        <v>4.2685174149866096</v>
      </c>
      <c r="C30" s="133">
        <v>11.894462746671005</v>
      </c>
      <c r="D30" s="133">
        <v>11.046124340604697</v>
      </c>
      <c r="E30" s="133">
        <v>13.487371672353301</v>
      </c>
      <c r="F30" s="133">
        <v>16.016737431209677</v>
      </c>
      <c r="G30" s="133">
        <v>15.386263154056143</v>
      </c>
      <c r="H30" s="133">
        <v>17.817379898528202</v>
      </c>
      <c r="I30" s="133">
        <v>17.398527708951736</v>
      </c>
      <c r="J30" s="133">
        <v>19.474007720818314</v>
      </c>
      <c r="K30" s="133">
        <v>24.295128031540358</v>
      </c>
      <c r="L30" s="133">
        <v>26.861488388752061</v>
      </c>
      <c r="M30" s="133">
        <v>23.640106276652965</v>
      </c>
      <c r="N30" s="133">
        <v>23.428275511009588</v>
      </c>
      <c r="O30" s="133">
        <v>23.171568071938832</v>
      </c>
      <c r="P30" s="133">
        <v>23.039228499341096</v>
      </c>
      <c r="Q30" s="133">
        <v>22.911483330819237</v>
      </c>
      <c r="R30" s="133">
        <v>26.110730741643383</v>
      </c>
      <c r="S30" s="133">
        <v>24.279457775295231</v>
      </c>
      <c r="T30" s="133">
        <v>23.715327805222074</v>
      </c>
      <c r="U30" s="133">
        <v>26.17083766809569</v>
      </c>
      <c r="V30" s="133">
        <v>21.559250668913862</v>
      </c>
      <c r="W30" s="133">
        <v>26.141648477495316</v>
      </c>
      <c r="DA30" s="157" t="s">
        <v>378</v>
      </c>
    </row>
    <row r="31" spans="1:105" ht="12" customHeight="1" x14ac:dyDescent="0.25">
      <c r="A31" s="132" t="s">
        <v>153</v>
      </c>
      <c r="B31" s="133">
        <v>16.865831891487208</v>
      </c>
      <c r="C31" s="133">
        <v>17.647491178887879</v>
      </c>
      <c r="D31" s="133">
        <v>18.057593755055755</v>
      </c>
      <c r="E31" s="133">
        <v>18.220836917807581</v>
      </c>
      <c r="F31" s="133">
        <v>18.34390978546595</v>
      </c>
      <c r="G31" s="133">
        <v>19.304767124363423</v>
      </c>
      <c r="H31" s="133">
        <v>19.586293592984234</v>
      </c>
      <c r="I31" s="133">
        <v>20.683728889508412</v>
      </c>
      <c r="J31" s="133">
        <v>21.799720054059858</v>
      </c>
      <c r="K31" s="133">
        <v>22.616098031677112</v>
      </c>
      <c r="L31" s="133">
        <v>23.012020352904731</v>
      </c>
      <c r="M31" s="133">
        <v>24.181276705204731</v>
      </c>
      <c r="N31" s="133">
        <v>25.702207811662451</v>
      </c>
      <c r="O31" s="133">
        <v>26.076143922366601</v>
      </c>
      <c r="P31" s="133">
        <v>26.906716115847384</v>
      </c>
      <c r="Q31" s="133">
        <v>29.262703508624387</v>
      </c>
      <c r="R31" s="133">
        <v>30.734693725819248</v>
      </c>
      <c r="S31" s="133">
        <v>33.174198093043096</v>
      </c>
      <c r="T31" s="133">
        <v>34.127449198978546</v>
      </c>
      <c r="U31" s="133">
        <v>33.598927525258404</v>
      </c>
      <c r="V31" s="133">
        <v>30.318189581757686</v>
      </c>
      <c r="W31" s="133">
        <v>34.971560601210726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149156.13324589134</v>
      </c>
      <c r="C3" s="126">
        <f>IF(SER_hh_fec!C3=0,0,11630*1000*SER_hh_fec!C3/SER_hh_num!C3)</f>
        <v>166839.80020027803</v>
      </c>
      <c r="D3" s="126">
        <f>IF(SER_hh_fec!D3=0,0,11630*1000*SER_hh_fec!D3/SER_hh_num!D3)</f>
        <v>167569.75805976582</v>
      </c>
      <c r="E3" s="126">
        <f>IF(SER_hh_fec!E3=0,0,11630*1000*SER_hh_fec!E3/SER_hh_num!E3)</f>
        <v>167878.07274128264</v>
      </c>
      <c r="F3" s="126">
        <f>IF(SER_hh_fec!F3=0,0,11630*1000*SER_hh_fec!F3/SER_hh_num!F3)</f>
        <v>165287.18293970684</v>
      </c>
      <c r="G3" s="126">
        <f>IF(SER_hh_fec!G3=0,0,11630*1000*SER_hh_fec!G3/SER_hh_num!G3)</f>
        <v>165147.79864804904</v>
      </c>
      <c r="H3" s="126">
        <f>IF(SER_hh_fec!H3=0,0,11630*1000*SER_hh_fec!H3/SER_hh_num!H3)</f>
        <v>151980.87358979232</v>
      </c>
      <c r="I3" s="126">
        <f>IF(SER_hh_fec!I3=0,0,11630*1000*SER_hh_fec!I3/SER_hh_num!I3)</f>
        <v>139420.13758438235</v>
      </c>
      <c r="J3" s="126">
        <f>IF(SER_hh_fec!J3=0,0,11630*1000*SER_hh_fec!J3/SER_hh_num!J3)</f>
        <v>147496.79323995515</v>
      </c>
      <c r="K3" s="126">
        <f>IF(SER_hh_fec!K3=0,0,11630*1000*SER_hh_fec!K3/SER_hh_num!K3)</f>
        <v>145524.05599957728</v>
      </c>
      <c r="L3" s="126">
        <f>IF(SER_hh_fec!L3=0,0,11630*1000*SER_hh_fec!L3/SER_hh_num!L3)</f>
        <v>154431.17154343502</v>
      </c>
      <c r="M3" s="126">
        <f>IF(SER_hh_fec!M3=0,0,11630*1000*SER_hh_fec!M3/SER_hh_num!M3)</f>
        <v>148761.20321480589</v>
      </c>
      <c r="N3" s="126">
        <f>IF(SER_hh_fec!N3=0,0,11630*1000*SER_hh_fec!N3/SER_hh_num!N3)</f>
        <v>142313.42206323208</v>
      </c>
      <c r="O3" s="126">
        <f>IF(SER_hh_fec!O3=0,0,11630*1000*SER_hh_fec!O3/SER_hh_num!O3)</f>
        <v>136949.3223307619</v>
      </c>
      <c r="P3" s="126">
        <f>IF(SER_hh_fec!P3=0,0,11630*1000*SER_hh_fec!P3/SER_hh_num!P3)</f>
        <v>119319.09531025015</v>
      </c>
      <c r="Q3" s="126">
        <f>IF(SER_hh_fec!Q3=0,0,11630*1000*SER_hh_fec!Q3/SER_hh_num!Q3)</f>
        <v>131308.25942242931</v>
      </c>
      <c r="R3" s="126">
        <f>IF(SER_hh_fec!R3=0,0,11630*1000*SER_hh_fec!R3/SER_hh_num!R3)</f>
        <v>134723.99228250873</v>
      </c>
      <c r="S3" s="126">
        <f>IF(SER_hh_fec!S3=0,0,11630*1000*SER_hh_fec!S3/SER_hh_num!S3)</f>
        <v>143279.13017338488</v>
      </c>
      <c r="T3" s="126">
        <f>IF(SER_hh_fec!T3=0,0,11630*1000*SER_hh_fec!T3/SER_hh_num!T3)</f>
        <v>145698.07730423738</v>
      </c>
      <c r="U3" s="126">
        <f>IF(SER_hh_fec!U3=0,0,11630*1000*SER_hh_fec!U3/SER_hh_num!U3)</f>
        <v>145319.44754614032</v>
      </c>
      <c r="V3" s="126">
        <f>IF(SER_hh_fec!V3=0,0,11630*1000*SER_hh_fec!V3/SER_hh_num!V3)</f>
        <v>130210.49346437262</v>
      </c>
      <c r="W3" s="126">
        <f>IF(SER_hh_fec!W3=0,0,11630*1000*SER_hh_fec!W3/SER_hh_num!W3)</f>
        <v>148954.64167430322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104188.43981518775</v>
      </c>
      <c r="C4" s="131">
        <f>IF(SER_hh_fec!C4=0,0,11630*1000*SER_hh_fec!C4/SER_hh_num!C4)</f>
        <v>120869.53894444206</v>
      </c>
      <c r="D4" s="131">
        <f>IF(SER_hh_fec!D4=0,0,11630*1000*SER_hh_fec!D4/SER_hh_num!D4)</f>
        <v>121182.34420538292</v>
      </c>
      <c r="E4" s="131">
        <f>IF(SER_hh_fec!E4=0,0,11630*1000*SER_hh_fec!E4/SER_hh_num!E4)</f>
        <v>119849.83326346746</v>
      </c>
      <c r="F4" s="131">
        <f>IF(SER_hh_fec!F4=0,0,11630*1000*SER_hh_fec!F4/SER_hh_num!F4)</f>
        <v>118525.01913350528</v>
      </c>
      <c r="G4" s="131">
        <f>IF(SER_hh_fec!G4=0,0,11630*1000*SER_hh_fec!G4/SER_hh_num!G4)</f>
        <v>118010.53737122922</v>
      </c>
      <c r="H4" s="131">
        <f>IF(SER_hh_fec!H4=0,0,11630*1000*SER_hh_fec!H4/SER_hh_num!H4)</f>
        <v>104683.98518785108</v>
      </c>
      <c r="I4" s="131">
        <f>IF(SER_hh_fec!I4=0,0,11630*1000*SER_hh_fec!I4/SER_hh_num!I4)</f>
        <v>91853.142944961626</v>
      </c>
      <c r="J4" s="131">
        <f>IF(SER_hh_fec!J4=0,0,11630*1000*SER_hh_fec!J4/SER_hh_num!J4)</f>
        <v>98814.274401578266</v>
      </c>
      <c r="K4" s="131">
        <f>IF(SER_hh_fec!K4=0,0,11630*1000*SER_hh_fec!K4/SER_hh_num!K4)</f>
        <v>95734.402468021086</v>
      </c>
      <c r="L4" s="131">
        <f>IF(SER_hh_fec!L4=0,0,11630*1000*SER_hh_fec!L4/SER_hh_num!L4)</f>
        <v>104000.44860240638</v>
      </c>
      <c r="M4" s="131">
        <f>IF(SER_hh_fec!M4=0,0,11630*1000*SER_hh_fec!M4/SER_hh_num!M4)</f>
        <v>98356.496990381042</v>
      </c>
      <c r="N4" s="131">
        <f>IF(SER_hh_fec!N4=0,0,11630*1000*SER_hh_fec!N4/SER_hh_num!N4)</f>
        <v>88707.113560671685</v>
      </c>
      <c r="O4" s="131">
        <f>IF(SER_hh_fec!O4=0,0,11630*1000*SER_hh_fec!O4/SER_hh_num!O4)</f>
        <v>84737.752763980432</v>
      </c>
      <c r="P4" s="131">
        <f>IF(SER_hh_fec!P4=0,0,11630*1000*SER_hh_fec!P4/SER_hh_num!P4)</f>
        <v>68078.713568648673</v>
      </c>
      <c r="Q4" s="131">
        <f>IF(SER_hh_fec!Q4=0,0,11630*1000*SER_hh_fec!Q4/SER_hh_num!Q4)</f>
        <v>78810.588679328153</v>
      </c>
      <c r="R4" s="131">
        <f>IF(SER_hh_fec!R4=0,0,11630*1000*SER_hh_fec!R4/SER_hh_num!R4)</f>
        <v>83449.252026601462</v>
      </c>
      <c r="S4" s="131">
        <f>IF(SER_hh_fec!S4=0,0,11630*1000*SER_hh_fec!S4/SER_hh_num!S4)</f>
        <v>90633.966928559967</v>
      </c>
      <c r="T4" s="131">
        <f>IF(SER_hh_fec!T4=0,0,11630*1000*SER_hh_fec!T4/SER_hh_num!T4)</f>
        <v>94477.914004578764</v>
      </c>
      <c r="U4" s="131">
        <f>IF(SER_hh_fec!U4=0,0,11630*1000*SER_hh_fec!U4/SER_hh_num!U4)</f>
        <v>93642.561938450337</v>
      </c>
      <c r="V4" s="131">
        <f>IF(SER_hh_fec!V4=0,0,11630*1000*SER_hh_fec!V4/SER_hh_num!V4)</f>
        <v>85000.892436786453</v>
      </c>
      <c r="W4" s="131">
        <f>IF(SER_hh_fec!W4=0,0,11630*1000*SER_hh_fec!W4/SER_hh_num!W4)</f>
        <v>98726.583795455852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125985.02959202735</v>
      </c>
      <c r="C5" s="133">
        <f>IF(SER_hh_fec!C5=0,0,11630*1000*SER_hh_fec!C5/SER_hh_num!C5)</f>
        <v>97615.400019229084</v>
      </c>
      <c r="D5" s="133">
        <f>IF(SER_hh_fec!D5=0,0,11630*1000*SER_hh_fec!D5/SER_hh_num!D5)</f>
        <v>134329.00553445466</v>
      </c>
      <c r="E5" s="133">
        <f>IF(SER_hh_fec!E5=0,0,11630*1000*SER_hh_fec!E5/SER_hh_num!E5)</f>
        <v>181859.58911648669</v>
      </c>
      <c r="F5" s="133">
        <f>IF(SER_hh_fec!F5=0,0,11630*1000*SER_hh_fec!F5/SER_hh_num!F5)</f>
        <v>113842.10277763054</v>
      </c>
      <c r="G5" s="133">
        <f>IF(SER_hh_fec!G5=0,0,11630*1000*SER_hh_fec!G5/SER_hh_num!G5)</f>
        <v>26757.709569460596</v>
      </c>
      <c r="H5" s="133">
        <f>IF(SER_hh_fec!H5=0,0,11630*1000*SER_hh_fec!H5/SER_hh_num!H5)</f>
        <v>161766.33805075075</v>
      </c>
      <c r="I5" s="133">
        <f>IF(SER_hh_fec!I5=0,0,11630*1000*SER_hh_fec!I5/SER_hh_num!I5)</f>
        <v>88699.609828770452</v>
      </c>
      <c r="J5" s="133">
        <f>IF(SER_hh_fec!J5=0,0,11630*1000*SER_hh_fec!J5/SER_hh_num!J5)</f>
        <v>131913.0883530275</v>
      </c>
      <c r="K5" s="133">
        <f>IF(SER_hh_fec!K5=0,0,11630*1000*SER_hh_fec!K5/SER_hh_num!K5)</f>
        <v>123890.73220817182</v>
      </c>
      <c r="L5" s="133">
        <f>IF(SER_hh_fec!L5=0,0,11630*1000*SER_hh_fec!L5/SER_hh_num!L5)</f>
        <v>73263.073113535065</v>
      </c>
      <c r="M5" s="133">
        <f>IF(SER_hh_fec!M5=0,0,11630*1000*SER_hh_fec!M5/SER_hh_num!M5)</f>
        <v>151119.82683960311</v>
      </c>
      <c r="N5" s="133">
        <f>IF(SER_hh_fec!N5=0,0,11630*1000*SER_hh_fec!N5/SER_hh_num!N5)</f>
        <v>149261.52740308738</v>
      </c>
      <c r="O5" s="133">
        <f>IF(SER_hh_fec!O5=0,0,11630*1000*SER_hh_fec!O5/SER_hh_num!O5)</f>
        <v>25850.013765778054</v>
      </c>
      <c r="P5" s="133">
        <f>IF(SER_hh_fec!P5=0,0,11630*1000*SER_hh_fec!P5/SER_hh_num!P5)</f>
        <v>25036.974271041108</v>
      </c>
      <c r="Q5" s="133">
        <f>IF(SER_hh_fec!Q5=0,0,11630*1000*SER_hh_fec!Q5/SER_hh_num!Q5)</f>
        <v>47521.119525674141</v>
      </c>
      <c r="R5" s="133">
        <f>IF(SER_hh_fec!R5=0,0,11630*1000*SER_hh_fec!R5/SER_hh_num!R5)</f>
        <v>61314.226971651784</v>
      </c>
      <c r="S5" s="133">
        <f>IF(SER_hh_fec!S5=0,0,11630*1000*SER_hh_fec!S5/SER_hh_num!S5)</f>
        <v>173854.58218275747</v>
      </c>
      <c r="T5" s="133">
        <f>IF(SER_hh_fec!T5=0,0,11630*1000*SER_hh_fec!T5/SER_hh_num!T5)</f>
        <v>91348.748540447152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134597.14663914655</v>
      </c>
      <c r="C7" s="133">
        <f>IF(SER_hh_fec!C7=0,0,11630*1000*SER_hh_fec!C7/SER_hh_num!C7)</f>
        <v>140680.89602868495</v>
      </c>
      <c r="D7" s="133">
        <f>IF(SER_hh_fec!D7=0,0,11630*1000*SER_hh_fec!D7/SER_hh_num!D7)</f>
        <v>153124.96220429573</v>
      </c>
      <c r="E7" s="133">
        <f>IF(SER_hh_fec!E7=0,0,11630*1000*SER_hh_fec!E7/SER_hh_num!E7)</f>
        <v>148393.53158185448</v>
      </c>
      <c r="F7" s="133">
        <f>IF(SER_hh_fec!F7=0,0,11630*1000*SER_hh_fec!F7/SER_hh_num!F7)</f>
        <v>151006.87414600313</v>
      </c>
      <c r="G7" s="133">
        <f>IF(SER_hh_fec!G7=0,0,11630*1000*SER_hh_fec!G7/SER_hh_num!G7)</f>
        <v>145754.06737009439</v>
      </c>
      <c r="H7" s="133">
        <f>IF(SER_hh_fec!H7=0,0,11630*1000*SER_hh_fec!H7/SER_hh_num!H7)</f>
        <v>134841.32009041947</v>
      </c>
      <c r="I7" s="133">
        <f>IF(SER_hh_fec!I7=0,0,11630*1000*SER_hh_fec!I7/SER_hh_num!I7)</f>
        <v>118967.87236702775</v>
      </c>
      <c r="J7" s="133">
        <f>IF(SER_hh_fec!J7=0,0,11630*1000*SER_hh_fec!J7/SER_hh_num!J7)</f>
        <v>123858.15677794837</v>
      </c>
      <c r="K7" s="133">
        <f>IF(SER_hh_fec!K7=0,0,11630*1000*SER_hh_fec!K7/SER_hh_num!K7)</f>
        <v>127965.37216662247</v>
      </c>
      <c r="L7" s="133">
        <f>IF(SER_hh_fec!L7=0,0,11630*1000*SER_hh_fec!L7/SER_hh_num!L7)</f>
        <v>133184.38652725861</v>
      </c>
      <c r="M7" s="133">
        <f>IF(SER_hh_fec!M7=0,0,11630*1000*SER_hh_fec!M7/SER_hh_num!M7)</f>
        <v>131182.49214925594</v>
      </c>
      <c r="N7" s="133">
        <f>IF(SER_hh_fec!N7=0,0,11630*1000*SER_hh_fec!N7/SER_hh_num!N7)</f>
        <v>113506.66888141081</v>
      </c>
      <c r="O7" s="133">
        <f>IF(SER_hh_fec!O7=0,0,11630*1000*SER_hh_fec!O7/SER_hh_num!O7)</f>
        <v>100024.13253042455</v>
      </c>
      <c r="P7" s="133">
        <f>IF(SER_hh_fec!P7=0,0,11630*1000*SER_hh_fec!P7/SER_hh_num!P7)</f>
        <v>77818.655023526415</v>
      </c>
      <c r="Q7" s="133">
        <f>IF(SER_hh_fec!Q7=0,0,11630*1000*SER_hh_fec!Q7/SER_hh_num!Q7)</f>
        <v>102113.14183257559</v>
      </c>
      <c r="R7" s="133">
        <f>IF(SER_hh_fec!R7=0,0,11630*1000*SER_hh_fec!R7/SER_hh_num!R7)</f>
        <v>102981.95609794027</v>
      </c>
      <c r="S7" s="133">
        <f>IF(SER_hh_fec!S7=0,0,11630*1000*SER_hh_fec!S7/SER_hh_num!S7)</f>
        <v>111538.56009448988</v>
      </c>
      <c r="T7" s="133">
        <f>IF(SER_hh_fec!T7=0,0,11630*1000*SER_hh_fec!T7/SER_hh_num!T7)</f>
        <v>110034.2633880599</v>
      </c>
      <c r="U7" s="133">
        <f>IF(SER_hh_fec!U7=0,0,11630*1000*SER_hh_fec!U7/SER_hh_num!U7)</f>
        <v>91540.113496491875</v>
      </c>
      <c r="V7" s="133">
        <f>IF(SER_hh_fec!V7=0,0,11630*1000*SER_hh_fec!V7/SER_hh_num!V7)</f>
        <v>109250.04626349857</v>
      </c>
      <c r="W7" s="133">
        <f>IF(SER_hh_fec!W7=0,0,11630*1000*SER_hh_fec!W7/SER_hh_num!W7)</f>
        <v>103048.71929608242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105027.13860676516</v>
      </c>
      <c r="C9" s="133">
        <f>IF(SER_hh_fec!C9=0,0,11630*1000*SER_hh_fec!C9/SER_hh_num!C9)</f>
        <v>145224.30532413573</v>
      </c>
      <c r="D9" s="133">
        <f>IF(SER_hh_fec!D9=0,0,11630*1000*SER_hh_fec!D9/SER_hh_num!D9)</f>
        <v>126225.08724413604</v>
      </c>
      <c r="E9" s="133">
        <f>IF(SER_hh_fec!E9=0,0,11630*1000*SER_hh_fec!E9/SER_hh_num!E9)</f>
        <v>127175.59223152282</v>
      </c>
      <c r="F9" s="133">
        <f>IF(SER_hh_fec!F9=0,0,11630*1000*SER_hh_fec!F9/SER_hh_num!F9)</f>
        <v>126123.37892908895</v>
      </c>
      <c r="G9" s="133">
        <f>IF(SER_hh_fec!G9=0,0,11630*1000*SER_hh_fec!G9/SER_hh_num!G9)</f>
        <v>127502.44106210869</v>
      </c>
      <c r="H9" s="133">
        <f>IF(SER_hh_fec!H9=0,0,11630*1000*SER_hh_fec!H9/SER_hh_num!H9)</f>
        <v>113044.51641539736</v>
      </c>
      <c r="I9" s="133">
        <f>IF(SER_hh_fec!I9=0,0,11630*1000*SER_hh_fec!I9/SER_hh_num!I9)</f>
        <v>101012.85973195625</v>
      </c>
      <c r="J9" s="133">
        <f>IF(SER_hh_fec!J9=0,0,11630*1000*SER_hh_fec!J9/SER_hh_num!J9)</f>
        <v>105086.62891330717</v>
      </c>
      <c r="K9" s="133">
        <f>IF(SER_hh_fec!K9=0,0,11630*1000*SER_hh_fec!K9/SER_hh_num!K9)</f>
        <v>101998.77307174147</v>
      </c>
      <c r="L9" s="133">
        <f>IF(SER_hh_fec!L9=0,0,11630*1000*SER_hh_fec!L9/SER_hh_num!L9)</f>
        <v>120238.38607570148</v>
      </c>
      <c r="M9" s="133">
        <f>IF(SER_hh_fec!M9=0,0,11630*1000*SER_hh_fec!M9/SER_hh_num!M9)</f>
        <v>103647.91349189627</v>
      </c>
      <c r="N9" s="133">
        <f>IF(SER_hh_fec!N9=0,0,11630*1000*SER_hh_fec!N9/SER_hh_num!N9)</f>
        <v>90623.486834470837</v>
      </c>
      <c r="O9" s="133">
        <f>IF(SER_hh_fec!O9=0,0,11630*1000*SER_hh_fec!O9/SER_hh_num!O9)</f>
        <v>85864.199379079946</v>
      </c>
      <c r="P9" s="133">
        <f>IF(SER_hh_fec!P9=0,0,11630*1000*SER_hh_fec!P9/SER_hh_num!P9)</f>
        <v>71577.873676603718</v>
      </c>
      <c r="Q9" s="133">
        <f>IF(SER_hh_fec!Q9=0,0,11630*1000*SER_hh_fec!Q9/SER_hh_num!Q9)</f>
        <v>85471.985598933257</v>
      </c>
      <c r="R9" s="133">
        <f>IF(SER_hh_fec!R9=0,0,11630*1000*SER_hh_fec!R9/SER_hh_num!R9)</f>
        <v>88805.061108200462</v>
      </c>
      <c r="S9" s="133">
        <f>IF(SER_hh_fec!S9=0,0,11630*1000*SER_hh_fec!S9/SER_hh_num!S9)</f>
        <v>93278.040127923421</v>
      </c>
      <c r="T9" s="133">
        <f>IF(SER_hh_fec!T9=0,0,11630*1000*SER_hh_fec!T9/SER_hh_num!T9)</f>
        <v>97398.679845282299</v>
      </c>
      <c r="U9" s="133">
        <f>IF(SER_hh_fec!U9=0,0,11630*1000*SER_hh_fec!U9/SER_hh_num!U9)</f>
        <v>98191.714967573629</v>
      </c>
      <c r="V9" s="133">
        <f>IF(SER_hh_fec!V9=0,0,11630*1000*SER_hh_fec!V9/SER_hh_num!V9)</f>
        <v>88964.555869824908</v>
      </c>
      <c r="W9" s="133">
        <f>IF(SER_hh_fec!W9=0,0,11630*1000*SER_hh_fec!W9/SER_hh_num!W9)</f>
        <v>104468.495910404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171415.57194207943</v>
      </c>
      <c r="J10" s="133">
        <f>IF(SER_hh_fec!J10=0,0,11630*1000*SER_hh_fec!J10/SER_hh_num!J10)</f>
        <v>122797.41494549364</v>
      </c>
      <c r="K10" s="133">
        <f>IF(SER_hh_fec!K10=0,0,11630*1000*SER_hh_fec!K10/SER_hh_num!K10)</f>
        <v>138772.47079417674</v>
      </c>
      <c r="L10" s="133">
        <f>IF(SER_hh_fec!L10=0,0,11630*1000*SER_hh_fec!L10/SER_hh_num!L10)</f>
        <v>120550.02219353804</v>
      </c>
      <c r="M10" s="133">
        <f>IF(SER_hh_fec!M10=0,0,11630*1000*SER_hh_fec!M10/SER_hh_num!M10)</f>
        <v>142797.2543218238</v>
      </c>
      <c r="N10" s="133">
        <f>IF(SER_hh_fec!N10=0,0,11630*1000*SER_hh_fec!N10/SER_hh_num!N10)</f>
        <v>110941.19886604548</v>
      </c>
      <c r="O10" s="133">
        <f>IF(SER_hh_fec!O10=0,0,11630*1000*SER_hh_fec!O10/SER_hh_num!O10)</f>
        <v>95079.77194061839</v>
      </c>
      <c r="P10" s="133">
        <f>IF(SER_hh_fec!P10=0,0,11630*1000*SER_hh_fec!P10/SER_hh_num!P10)</f>
        <v>96556.351083886824</v>
      </c>
      <c r="Q10" s="133">
        <f>IF(SER_hh_fec!Q10=0,0,11630*1000*SER_hh_fec!Q10/SER_hh_num!Q10)</f>
        <v>103637.94564894961</v>
      </c>
      <c r="R10" s="133">
        <f>IF(SER_hh_fec!R10=0,0,11630*1000*SER_hh_fec!R10/SER_hh_num!R10)</f>
        <v>112905.21474584716</v>
      </c>
      <c r="S10" s="133">
        <f>IF(SER_hh_fec!S10=0,0,11630*1000*SER_hh_fec!S10/SER_hh_num!S10)</f>
        <v>118143.98031272937</v>
      </c>
      <c r="T10" s="133">
        <f>IF(SER_hh_fec!T10=0,0,11630*1000*SER_hh_fec!T10/SER_hh_num!T10)</f>
        <v>120097.89173241072</v>
      </c>
      <c r="U10" s="133">
        <f>IF(SER_hh_fec!U10=0,0,11630*1000*SER_hh_fec!U10/SER_hh_num!U10)</f>
        <v>127860.16514664704</v>
      </c>
      <c r="V10" s="133">
        <f>IF(SER_hh_fec!V10=0,0,11630*1000*SER_hh_fec!V10/SER_hh_num!V10)</f>
        <v>123712.03146327146</v>
      </c>
      <c r="W10" s="133">
        <f>IF(SER_hh_fec!W10=0,0,11630*1000*SER_hh_fec!W10/SER_hh_num!W10)</f>
        <v>115186.7098238191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105334.23131801622</v>
      </c>
      <c r="J11" s="133">
        <f>IF(SER_hh_fec!J11=0,0,11630*1000*SER_hh_fec!J11/SER_hh_num!J11)</f>
        <v>74425.069856146292</v>
      </c>
      <c r="K11" s="133">
        <f>IF(SER_hh_fec!K11=0,0,11630*1000*SER_hh_fec!K11/SER_hh_num!K11)</f>
        <v>57082.348428568243</v>
      </c>
      <c r="L11" s="133">
        <f>IF(SER_hh_fec!L11=0,0,11630*1000*SER_hh_fec!L11/SER_hh_num!L11)</f>
        <v>93790.990523081739</v>
      </c>
      <c r="M11" s="133">
        <f>IF(SER_hh_fec!M11=0,0,11630*1000*SER_hh_fec!M11/SER_hh_num!M11)</f>
        <v>81487.519469734543</v>
      </c>
      <c r="N11" s="133">
        <f>IF(SER_hh_fec!N11=0,0,11630*1000*SER_hh_fec!N11/SER_hh_num!N11)</f>
        <v>77643.360826026532</v>
      </c>
      <c r="O11" s="133">
        <f>IF(SER_hh_fec!O11=0,0,11630*1000*SER_hh_fec!O11/SER_hh_num!O11)</f>
        <v>78861.63528893012</v>
      </c>
      <c r="P11" s="133">
        <f>IF(SER_hh_fec!P11=0,0,11630*1000*SER_hh_fec!P11/SER_hh_num!P11)</f>
        <v>48350.799292953692</v>
      </c>
      <c r="Q11" s="133">
        <f>IF(SER_hh_fec!Q11=0,0,11630*1000*SER_hh_fec!Q11/SER_hh_num!Q11)</f>
        <v>67749.817259805262</v>
      </c>
      <c r="R11" s="133">
        <f>IF(SER_hh_fec!R11=0,0,11630*1000*SER_hh_fec!R11/SER_hh_num!R11)</f>
        <v>75864.177494840551</v>
      </c>
      <c r="S11" s="133">
        <f>IF(SER_hh_fec!S11=0,0,11630*1000*SER_hh_fec!S11/SER_hh_num!S11)</f>
        <v>75766.30450860862</v>
      </c>
      <c r="T11" s="133">
        <f>IF(SER_hh_fec!T11=0,0,11630*1000*SER_hh_fec!T11/SER_hh_num!T11)</f>
        <v>78144.674548767158</v>
      </c>
      <c r="U11" s="133">
        <f>IF(SER_hh_fec!U11=0,0,11630*1000*SER_hh_fec!U11/SER_hh_num!U11)</f>
        <v>81378.523115665201</v>
      </c>
      <c r="V11" s="133">
        <f>IF(SER_hh_fec!V11=0,0,11630*1000*SER_hh_fec!V11/SER_hh_num!V11)</f>
        <v>82872.594040269629</v>
      </c>
      <c r="W11" s="133">
        <f>IF(SER_hh_fec!W11=0,0,11630*1000*SER_hh_fec!W11/SER_hh_num!W11)</f>
        <v>80749.172100155207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76290.369975174472</v>
      </c>
      <c r="C12" s="133">
        <f>IF(SER_hh_fec!C12=0,0,11630*1000*SER_hh_fec!C12/SER_hh_num!C12)</f>
        <v>88246.40029495857</v>
      </c>
      <c r="D12" s="133">
        <f>IF(SER_hh_fec!D12=0,0,11630*1000*SER_hh_fec!D12/SER_hh_num!D12)</f>
        <v>84803.782191847422</v>
      </c>
      <c r="E12" s="133">
        <f>IF(SER_hh_fec!E12=0,0,11630*1000*SER_hh_fec!E12/SER_hh_num!E12)</f>
        <v>92569.599504055499</v>
      </c>
      <c r="F12" s="133">
        <f>IF(SER_hh_fec!F12=0,0,11630*1000*SER_hh_fec!F12/SER_hh_num!F12)</f>
        <v>88795.800893707026</v>
      </c>
      <c r="G12" s="133">
        <f>IF(SER_hh_fec!G12=0,0,11630*1000*SER_hh_fec!G12/SER_hh_num!G12)</f>
        <v>93168.331456642991</v>
      </c>
      <c r="H12" s="133">
        <f>IF(SER_hh_fec!H12=0,0,11630*1000*SER_hh_fec!H12/SER_hh_num!H12)</f>
        <v>79829.346809190421</v>
      </c>
      <c r="I12" s="133">
        <f>IF(SER_hh_fec!I12=0,0,11630*1000*SER_hh_fec!I12/SER_hh_num!I12)</f>
        <v>73605.462665784944</v>
      </c>
      <c r="J12" s="133">
        <f>IF(SER_hh_fec!J12=0,0,11630*1000*SER_hh_fec!J12/SER_hh_num!J12)</f>
        <v>79364.829969945713</v>
      </c>
      <c r="K12" s="133">
        <f>IF(SER_hh_fec!K12=0,0,11630*1000*SER_hh_fec!K12/SER_hh_num!K12)</f>
        <v>76366.660631109524</v>
      </c>
      <c r="L12" s="133">
        <f>IF(SER_hh_fec!L12=0,0,11630*1000*SER_hh_fec!L12/SER_hh_num!L12)</f>
        <v>85968.802450748364</v>
      </c>
      <c r="M12" s="133">
        <f>IF(SER_hh_fec!M12=0,0,11630*1000*SER_hh_fec!M12/SER_hh_num!M12)</f>
        <v>82570.91232457872</v>
      </c>
      <c r="N12" s="133">
        <f>IF(SER_hh_fec!N12=0,0,11630*1000*SER_hh_fec!N12/SER_hh_num!N12)</f>
        <v>75420.825146007526</v>
      </c>
      <c r="O12" s="133">
        <f>IF(SER_hh_fec!O12=0,0,11630*1000*SER_hh_fec!O12/SER_hh_num!O12)</f>
        <v>76208.725967735983</v>
      </c>
      <c r="P12" s="133">
        <f>IF(SER_hh_fec!P12=0,0,11630*1000*SER_hh_fec!P12/SER_hh_num!P12)</f>
        <v>57817.691917646836</v>
      </c>
      <c r="Q12" s="133">
        <f>IF(SER_hh_fec!Q12=0,0,11630*1000*SER_hh_fec!Q12/SER_hh_num!Q12)</f>
        <v>67370.311460229321</v>
      </c>
      <c r="R12" s="133">
        <f>IF(SER_hh_fec!R12=0,0,11630*1000*SER_hh_fec!R12/SER_hh_num!R12)</f>
        <v>75120.583807718882</v>
      </c>
      <c r="S12" s="133">
        <f>IF(SER_hh_fec!S12=0,0,11630*1000*SER_hh_fec!S12/SER_hh_num!S12)</f>
        <v>79097.039175662678</v>
      </c>
      <c r="T12" s="133">
        <f>IF(SER_hh_fec!T12=0,0,11630*1000*SER_hh_fec!T12/SER_hh_num!T12)</f>
        <v>78602.516299027513</v>
      </c>
      <c r="U12" s="133">
        <f>IF(SER_hh_fec!U12=0,0,11630*1000*SER_hh_fec!U12/SER_hh_num!U12)</f>
        <v>77640.477632125549</v>
      </c>
      <c r="V12" s="133">
        <f>IF(SER_hh_fec!V12=0,0,11630*1000*SER_hh_fec!V12/SER_hh_num!V12)</f>
        <v>79446.823292750836</v>
      </c>
      <c r="W12" s="133">
        <f>IF(SER_hh_fec!W12=0,0,11630*1000*SER_hh_fec!W12/SER_hh_num!W12)</f>
        <v>89121.873550554083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82303.561378920349</v>
      </c>
      <c r="C14" s="65">
        <f>IF(SER_hh_fec!C14=0,0,11630*1000*SER_hh_fec!C14/SER_hh_num!C14)</f>
        <v>98519.734543004539</v>
      </c>
      <c r="D14" s="65">
        <f>IF(SER_hh_fec!D14=0,0,11630*1000*SER_hh_fec!D14/SER_hh_num!D14)</f>
        <v>100884.16655126806</v>
      </c>
      <c r="E14" s="65">
        <f>IF(SER_hh_fec!E14=0,0,11630*1000*SER_hh_fec!E14/SER_hh_num!E14)</f>
        <v>93441.376639360009</v>
      </c>
      <c r="F14" s="65">
        <f>IF(SER_hh_fec!F14=0,0,11630*1000*SER_hh_fec!F14/SER_hh_num!F14)</f>
        <v>95891.294898646505</v>
      </c>
      <c r="G14" s="65">
        <f>IF(SER_hh_fec!G14=0,0,11630*1000*SER_hh_fec!G14/SER_hh_num!G14)</f>
        <v>100985.31368998282</v>
      </c>
      <c r="H14" s="65">
        <f>IF(SER_hh_fec!H14=0,0,11630*1000*SER_hh_fec!H14/SER_hh_num!H14)</f>
        <v>89339.003977137487</v>
      </c>
      <c r="I14" s="65">
        <f>IF(SER_hh_fec!I14=0,0,11630*1000*SER_hh_fec!I14/SER_hh_num!I14)</f>
        <v>77357.540918379891</v>
      </c>
      <c r="J14" s="65">
        <f>IF(SER_hh_fec!J14=0,0,11630*1000*SER_hh_fec!J14/SER_hh_num!J14)</f>
        <v>91065.803432755347</v>
      </c>
      <c r="K14" s="65">
        <f>IF(SER_hh_fec!K14=0,0,11630*1000*SER_hh_fec!K14/SER_hh_num!K14)</f>
        <v>86511.679085050491</v>
      </c>
      <c r="L14" s="65">
        <f>IF(SER_hh_fec!L14=0,0,11630*1000*SER_hh_fec!L14/SER_hh_num!L14)</f>
        <v>88939.769290349272</v>
      </c>
      <c r="M14" s="65">
        <f>IF(SER_hh_fec!M14=0,0,11630*1000*SER_hh_fec!M14/SER_hh_num!M14)</f>
        <v>89878.915104596294</v>
      </c>
      <c r="N14" s="65">
        <f>IF(SER_hh_fec!N14=0,0,11630*1000*SER_hh_fec!N14/SER_hh_num!N14)</f>
        <v>85219.392370855596</v>
      </c>
      <c r="O14" s="65">
        <f>IF(SER_hh_fec!O14=0,0,11630*1000*SER_hh_fec!O14/SER_hh_num!O14)</f>
        <v>83317.354883057924</v>
      </c>
      <c r="P14" s="65">
        <f>IF(SER_hh_fec!P14=0,0,11630*1000*SER_hh_fec!P14/SER_hh_num!P14)</f>
        <v>66975.824775073634</v>
      </c>
      <c r="Q14" s="65">
        <f>IF(SER_hh_fec!Q14=0,0,11630*1000*SER_hh_fec!Q14/SER_hh_num!Q14)</f>
        <v>68656.263597592057</v>
      </c>
      <c r="R14" s="65">
        <f>IF(SER_hh_fec!R14=0,0,11630*1000*SER_hh_fec!R14/SER_hh_num!R14)</f>
        <v>73676.603140781081</v>
      </c>
      <c r="S14" s="65">
        <f>IF(SER_hh_fec!S14=0,0,11630*1000*SER_hh_fec!S14/SER_hh_num!S14)</f>
        <v>85814.15963084028</v>
      </c>
      <c r="T14" s="65">
        <f>IF(SER_hh_fec!T14=0,0,11630*1000*SER_hh_fec!T14/SER_hh_num!T14)</f>
        <v>92529.556561416728</v>
      </c>
      <c r="U14" s="65">
        <f>IF(SER_hh_fec!U14=0,0,11630*1000*SER_hh_fec!U14/SER_hh_num!U14)</f>
        <v>92046.772917607217</v>
      </c>
      <c r="V14" s="65">
        <f>IF(SER_hh_fec!V14=0,0,11630*1000*SER_hh_fec!V14/SER_hh_num!V14)</f>
        <v>76333.530520726883</v>
      </c>
      <c r="W14" s="65">
        <f>IF(SER_hh_fec!W14=0,0,11630*1000*SER_hh_fec!W14/SER_hh_num!W14)</f>
        <v>93417.464223183997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857.23580610784677</v>
      </c>
      <c r="C15" s="135">
        <f>IF(SER_hh_fec!C15=0,0,11630*1000*SER_hh_fec!C15/SER_hh_num!C15)</f>
        <v>1001.3932642986255</v>
      </c>
      <c r="D15" s="135">
        <f>IF(SER_hh_fec!D15=0,0,11630*1000*SER_hh_fec!D15/SER_hh_num!D15)</f>
        <v>996.06126234548947</v>
      </c>
      <c r="E15" s="135">
        <f>IF(SER_hh_fec!E15=0,0,11630*1000*SER_hh_fec!E15/SER_hh_num!E15)</f>
        <v>990.26771446550947</v>
      </c>
      <c r="F15" s="135">
        <f>IF(SER_hh_fec!F15=0,0,11630*1000*SER_hh_fec!F15/SER_hh_num!F15)</f>
        <v>983.55807910226167</v>
      </c>
      <c r="G15" s="135">
        <f>IF(SER_hh_fec!G15=0,0,11630*1000*SER_hh_fec!G15/SER_hh_num!G15)</f>
        <v>964.29688777358172</v>
      </c>
      <c r="H15" s="135">
        <f>IF(SER_hh_fec!H15=0,0,11630*1000*SER_hh_fec!H15/SER_hh_num!H15)</f>
        <v>870.42519955513444</v>
      </c>
      <c r="I15" s="135">
        <f>IF(SER_hh_fec!I15=0,0,11630*1000*SER_hh_fec!I15/SER_hh_num!I15)</f>
        <v>763.10943779463594</v>
      </c>
      <c r="J15" s="135">
        <f>IF(SER_hh_fec!J15=0,0,11630*1000*SER_hh_fec!J15/SER_hh_num!J15)</f>
        <v>786.96120910986758</v>
      </c>
      <c r="K15" s="135">
        <f>IF(SER_hh_fec!K15=0,0,11630*1000*SER_hh_fec!K15/SER_hh_num!K15)</f>
        <v>771.96896483404453</v>
      </c>
      <c r="L15" s="135">
        <f>IF(SER_hh_fec!L15=0,0,11630*1000*SER_hh_fec!L15/SER_hh_num!L15)</f>
        <v>862.04338452268132</v>
      </c>
      <c r="M15" s="135">
        <f>IF(SER_hh_fec!M15=0,0,11630*1000*SER_hh_fec!M15/SER_hh_num!M15)</f>
        <v>775.95585824419743</v>
      </c>
      <c r="N15" s="135">
        <f>IF(SER_hh_fec!N15=0,0,11630*1000*SER_hh_fec!N15/SER_hh_num!N15)</f>
        <v>681.11604881484084</v>
      </c>
      <c r="O15" s="135">
        <f>IF(SER_hh_fec!O15=0,0,11630*1000*SER_hh_fec!O15/SER_hh_num!O15)</f>
        <v>653.17452415910509</v>
      </c>
      <c r="P15" s="135">
        <f>IF(SER_hh_fec!P15=0,0,11630*1000*SER_hh_fec!P15/SER_hh_num!P15)</f>
        <v>548.93179621211311</v>
      </c>
      <c r="Q15" s="135">
        <f>IF(SER_hh_fec!Q15=0,0,11630*1000*SER_hh_fec!Q15/SER_hh_num!Q15)</f>
        <v>696.77955807319324</v>
      </c>
      <c r="R15" s="135">
        <f>IF(SER_hh_fec!R15=0,0,11630*1000*SER_hh_fec!R15/SER_hh_num!R15)</f>
        <v>740.97462818402084</v>
      </c>
      <c r="S15" s="135">
        <f>IF(SER_hh_fec!S15=0,0,11630*1000*SER_hh_fec!S15/SER_hh_num!S15)</f>
        <v>798.63114117599173</v>
      </c>
      <c r="T15" s="135">
        <f>IF(SER_hh_fec!T15=0,0,11630*1000*SER_hh_fec!T15/SER_hh_num!T15)</f>
        <v>837.47088666094078</v>
      </c>
      <c r="U15" s="135">
        <f>IF(SER_hh_fec!U15=0,0,11630*1000*SER_hh_fec!U15/SER_hh_num!U15)</f>
        <v>838.51344328782068</v>
      </c>
      <c r="V15" s="135">
        <f>IF(SER_hh_fec!V15=0,0,11630*1000*SER_hh_fec!V15/SER_hh_num!V15)</f>
        <v>791.23991287917147</v>
      </c>
      <c r="W15" s="135">
        <f>IF(SER_hh_fec!W15=0,0,11630*1000*SER_hh_fec!W15/SER_hh_num!W15)</f>
        <v>910.33844198228667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13227.639692152679</v>
      </c>
      <c r="C16" s="131">
        <f>IF(SER_hh_fec!C16=0,0,11630*1000*SER_hh_fec!C16/SER_hh_num!C16)</f>
        <v>11932.420838665177</v>
      </c>
      <c r="D16" s="131">
        <f>IF(SER_hh_fec!D16=0,0,11630*1000*SER_hh_fec!D16/SER_hh_num!D16)</f>
        <v>10939.76042053251</v>
      </c>
      <c r="E16" s="131">
        <f>IF(SER_hh_fec!E16=0,0,11630*1000*SER_hh_fec!E16/SER_hh_num!E16)</f>
        <v>19886.352468959987</v>
      </c>
      <c r="F16" s="131">
        <f>IF(SER_hh_fec!F16=0,0,11630*1000*SER_hh_fec!F16/SER_hh_num!F16)</f>
        <v>9750.0370950974211</v>
      </c>
      <c r="G16" s="131">
        <f>IF(SER_hh_fec!G16=0,0,11630*1000*SER_hh_fec!G16/SER_hh_num!G16)</f>
        <v>9386.2374736604597</v>
      </c>
      <c r="H16" s="131">
        <f>IF(SER_hh_fec!H16=0,0,11630*1000*SER_hh_fec!H16/SER_hh_num!H16)</f>
        <v>10147.409451264042</v>
      </c>
      <c r="I16" s="131">
        <f>IF(SER_hh_fec!I16=0,0,11630*1000*SER_hh_fec!I16/SER_hh_num!I16)</f>
        <v>10050.240045541559</v>
      </c>
      <c r="J16" s="131">
        <f>IF(SER_hh_fec!J16=0,0,11630*1000*SER_hh_fec!J16/SER_hh_num!J16)</f>
        <v>9369.3744858530536</v>
      </c>
      <c r="K16" s="131">
        <f>IF(SER_hh_fec!K16=0,0,11630*1000*SER_hh_fec!K16/SER_hh_num!K16)</f>
        <v>8851.1498951610538</v>
      </c>
      <c r="L16" s="131">
        <f>IF(SER_hh_fec!L16=0,0,11630*1000*SER_hh_fec!L16/SER_hh_num!L16)</f>
        <v>8848.1252351213079</v>
      </c>
      <c r="M16" s="131">
        <f>IF(SER_hh_fec!M16=0,0,11630*1000*SER_hh_fec!M16/SER_hh_num!M16)</f>
        <v>9325.1340446586837</v>
      </c>
      <c r="N16" s="131">
        <f>IF(SER_hh_fec!N16=0,0,11630*1000*SER_hh_fec!N16/SER_hh_num!N16)</f>
        <v>13482.008534195749</v>
      </c>
      <c r="O16" s="131">
        <f>IF(SER_hh_fec!O16=0,0,11630*1000*SER_hh_fec!O16/SER_hh_num!O16)</f>
        <v>8828.9835567121809</v>
      </c>
      <c r="P16" s="131">
        <f>IF(SER_hh_fec!P16=0,0,11630*1000*SER_hh_fec!P16/SER_hh_num!P16)</f>
        <v>7033.0488399858787</v>
      </c>
      <c r="Q16" s="131">
        <f>IF(SER_hh_fec!Q16=0,0,11630*1000*SER_hh_fec!Q16/SER_hh_num!Q16)</f>
        <v>11119.727860751485</v>
      </c>
      <c r="R16" s="131">
        <f>IF(SER_hh_fec!R16=0,0,11630*1000*SER_hh_fec!R16/SER_hh_num!R16)</f>
        <v>7434.2763604571401</v>
      </c>
      <c r="S16" s="131">
        <f>IF(SER_hh_fec!S16=0,0,11630*1000*SER_hh_fec!S16/SER_hh_num!S16)</f>
        <v>10447.785407376616</v>
      </c>
      <c r="T16" s="131">
        <f>IF(SER_hh_fec!T16=0,0,11630*1000*SER_hh_fec!T16/SER_hh_num!T16)</f>
        <v>7682.9706335513483</v>
      </c>
      <c r="U16" s="131">
        <f>IF(SER_hh_fec!U16=0,0,11630*1000*SER_hh_fec!U16/SER_hh_num!U16)</f>
        <v>9126.6488096456233</v>
      </c>
      <c r="V16" s="131">
        <f>IF(SER_hh_fec!V16=0,0,11630*1000*SER_hh_fec!V16/SER_hh_num!V16)</f>
        <v>6986.7475229508109</v>
      </c>
      <c r="W16" s="131">
        <f>IF(SER_hh_fec!W16=0,0,11630*1000*SER_hh_fec!W16/SER_hh_num!W16)</f>
        <v>9053.0254649044291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18960.530693282944</v>
      </c>
      <c r="C17" s="133">
        <f>IF(SER_hh_fec!C17=0,0,11630*1000*SER_hh_fec!C17/SER_hh_num!C17)</f>
        <v>17847.330688249247</v>
      </c>
      <c r="D17" s="133">
        <f>IF(SER_hh_fec!D17=0,0,11630*1000*SER_hh_fec!D17/SER_hh_num!D17)</f>
        <v>17097.927251718211</v>
      </c>
      <c r="E17" s="133">
        <f>IF(SER_hh_fec!E17=0,0,11630*1000*SER_hh_fec!E17/SER_hh_num!E17)</f>
        <v>32480.020475493744</v>
      </c>
      <c r="F17" s="133">
        <f>IF(SER_hh_fec!F17=0,0,11630*1000*SER_hh_fec!F17/SER_hh_num!F17)</f>
        <v>16627.293157835586</v>
      </c>
      <c r="G17" s="133">
        <f>IF(SER_hh_fec!G17=0,0,11630*1000*SER_hh_fec!G17/SER_hh_num!G17)</f>
        <v>16698.254253573072</v>
      </c>
      <c r="H17" s="133">
        <f>IF(SER_hh_fec!H17=0,0,11630*1000*SER_hh_fec!H17/SER_hh_num!H17)</f>
        <v>18844.093094664189</v>
      </c>
      <c r="I17" s="133">
        <f>IF(SER_hh_fec!I17=0,0,11630*1000*SER_hh_fec!I17/SER_hh_num!I17)</f>
        <v>24970.416719212619</v>
      </c>
      <c r="J17" s="133">
        <f>IF(SER_hh_fec!J17=0,0,11630*1000*SER_hh_fec!J17/SER_hh_num!J17)</f>
        <v>23028.564551256488</v>
      </c>
      <c r="K17" s="133">
        <f>IF(SER_hh_fec!K17=0,0,11630*1000*SER_hh_fec!K17/SER_hh_num!K17)</f>
        <v>18148.275635637754</v>
      </c>
      <c r="L17" s="133">
        <f>IF(SER_hh_fec!L17=0,0,11630*1000*SER_hh_fec!L17/SER_hh_num!L17)</f>
        <v>18474.148770467928</v>
      </c>
      <c r="M17" s="133">
        <f>IF(SER_hh_fec!M17=0,0,11630*1000*SER_hh_fec!M17/SER_hh_num!M17)</f>
        <v>19945.98667040281</v>
      </c>
      <c r="N17" s="133">
        <f>IF(SER_hh_fec!N17=0,0,11630*1000*SER_hh_fec!N17/SER_hh_num!N17)</f>
        <v>25433.199771120147</v>
      </c>
      <c r="O17" s="133">
        <f>IF(SER_hh_fec!O17=0,0,11630*1000*SER_hh_fec!O17/SER_hh_num!O17)</f>
        <v>19719.962826129329</v>
      </c>
      <c r="P17" s="133">
        <f>IF(SER_hh_fec!P17=0,0,11630*1000*SER_hh_fec!P17/SER_hh_num!P17)</f>
        <v>16150.052004871201</v>
      </c>
      <c r="Q17" s="133">
        <f>IF(SER_hh_fec!Q17=0,0,11630*1000*SER_hh_fec!Q17/SER_hh_num!Q17)</f>
        <v>26574.363425499414</v>
      </c>
      <c r="R17" s="133">
        <f>IF(SER_hh_fec!R17=0,0,11630*1000*SER_hh_fec!R17/SER_hh_num!R17)</f>
        <v>17603.415676004111</v>
      </c>
      <c r="S17" s="133">
        <f>IF(SER_hh_fec!S17=0,0,11630*1000*SER_hh_fec!S17/SER_hh_num!S17)</f>
        <v>25153.717387673827</v>
      </c>
      <c r="T17" s="133">
        <f>IF(SER_hh_fec!T17=0,0,11630*1000*SER_hh_fec!T17/SER_hh_num!T17)</f>
        <v>18675.402177521893</v>
      </c>
      <c r="U17" s="133">
        <f>IF(SER_hh_fec!U17=0,0,11630*1000*SER_hh_fec!U17/SER_hh_num!U17)</f>
        <v>22380.503830730202</v>
      </c>
      <c r="V17" s="133">
        <f>IF(SER_hh_fec!V17=0,0,11630*1000*SER_hh_fec!V17/SER_hh_num!V17)</f>
        <v>17414.890966076393</v>
      </c>
      <c r="W17" s="133">
        <f>IF(SER_hh_fec!W17=0,0,11630*1000*SER_hh_fec!W17/SER_hh_num!W17)</f>
        <v>22730.288919088587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13220.641079674704</v>
      </c>
      <c r="C18" s="133">
        <f>IF(SER_hh_fec!C18=0,0,11630*1000*SER_hh_fec!C18/SER_hh_num!C18)</f>
        <v>11925.442855259176</v>
      </c>
      <c r="D18" s="133">
        <f>IF(SER_hh_fec!D18=0,0,11630*1000*SER_hh_fec!D18/SER_hh_num!D18)</f>
        <v>10931.805483913437</v>
      </c>
      <c r="E18" s="133">
        <f>IF(SER_hh_fec!E18=0,0,11630*1000*SER_hh_fec!E18/SER_hh_num!E18)</f>
        <v>19868.643910203071</v>
      </c>
      <c r="F18" s="133">
        <f>IF(SER_hh_fec!F18=0,0,11630*1000*SER_hh_fec!F18/SER_hh_num!F18)</f>
        <v>9739.9454243837918</v>
      </c>
      <c r="G18" s="133">
        <f>IF(SER_hh_fec!G18=0,0,11630*1000*SER_hh_fec!G18/SER_hh_num!G18)</f>
        <v>9375.1915703256454</v>
      </c>
      <c r="H18" s="133">
        <f>IF(SER_hh_fec!H18=0,0,11630*1000*SER_hh_fec!H18/SER_hh_num!H18)</f>
        <v>10134.006151225887</v>
      </c>
      <c r="I18" s="133">
        <f>IF(SER_hh_fec!I18=0,0,11630*1000*SER_hh_fec!I18/SER_hh_num!I18)</f>
        <v>10028.510908356835</v>
      </c>
      <c r="J18" s="133">
        <f>IF(SER_hh_fec!J18=0,0,11630*1000*SER_hh_fec!J18/SER_hh_num!J18)</f>
        <v>9350.2170201273893</v>
      </c>
      <c r="K18" s="133">
        <f>IF(SER_hh_fec!K18=0,0,11630*1000*SER_hh_fec!K18/SER_hh_num!K18)</f>
        <v>8837.5661552684069</v>
      </c>
      <c r="L18" s="133">
        <f>IF(SER_hh_fec!L18=0,0,11630*1000*SER_hh_fec!L18/SER_hh_num!L18)</f>
        <v>8832.7834396459093</v>
      </c>
      <c r="M18" s="133">
        <f>IF(SER_hh_fec!M18=0,0,11630*1000*SER_hh_fec!M18/SER_hh_num!M18)</f>
        <v>9307.0126164706035</v>
      </c>
      <c r="N18" s="133">
        <f>IF(SER_hh_fec!N18=0,0,11630*1000*SER_hh_fec!N18/SER_hh_num!N18)</f>
        <v>13459.711046510773</v>
      </c>
      <c r="O18" s="133">
        <f>IF(SER_hh_fec!O18=0,0,11630*1000*SER_hh_fec!O18/SER_hh_num!O18)</f>
        <v>8805.9856253978614</v>
      </c>
      <c r="P18" s="133">
        <f>IF(SER_hh_fec!P18=0,0,11630*1000*SER_hh_fec!P18/SER_hh_num!P18)</f>
        <v>7014.1464201072531</v>
      </c>
      <c r="Q18" s="133">
        <f>IF(SER_hh_fec!Q18=0,0,11630*1000*SER_hh_fec!Q18/SER_hh_num!Q18)</f>
        <v>11072.730779997559</v>
      </c>
      <c r="R18" s="133">
        <f>IF(SER_hh_fec!R18=0,0,11630*1000*SER_hh_fec!R18/SER_hh_num!R18)</f>
        <v>7398.2974208435189</v>
      </c>
      <c r="S18" s="133">
        <f>IF(SER_hh_fec!S18=0,0,11630*1000*SER_hh_fec!S18/SER_hh_num!S18)</f>
        <v>10384.439063713895</v>
      </c>
      <c r="T18" s="133">
        <f>IF(SER_hh_fec!T18=0,0,11630*1000*SER_hh_fec!T18/SER_hh_num!T18)</f>
        <v>7624.0473807365051</v>
      </c>
      <c r="U18" s="133">
        <f>IF(SER_hh_fec!U18=0,0,11630*1000*SER_hh_fec!U18/SER_hh_num!U18)</f>
        <v>9046.1291025558949</v>
      </c>
      <c r="V18" s="133">
        <f>IF(SER_hh_fec!V18=0,0,11630*1000*SER_hh_fec!V18/SER_hh_num!V18)</f>
        <v>6924.7501958056519</v>
      </c>
      <c r="W18" s="133">
        <f>IF(SER_hh_fec!W18=0,0,11630*1000*SER_hh_fec!W18/SER_hh_num!W18)</f>
        <v>8967.5243132358864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21662.278664424925</v>
      </c>
      <c r="C19" s="131">
        <f>IF(SER_hh_fec!C19=0,0,11630*1000*SER_hh_fec!C19/SER_hh_num!C19)</f>
        <v>21885.206582087965</v>
      </c>
      <c r="D19" s="131">
        <f>IF(SER_hh_fec!D19=0,0,11630*1000*SER_hh_fec!D19/SER_hh_num!D19)</f>
        <v>22241.593811872306</v>
      </c>
      <c r="E19" s="131">
        <f>IF(SER_hh_fec!E19=0,0,11630*1000*SER_hh_fec!E19/SER_hh_num!E19)</f>
        <v>22074.476596936485</v>
      </c>
      <c r="F19" s="131">
        <f>IF(SER_hh_fec!F19=0,0,11630*1000*SER_hh_fec!F19/SER_hh_num!F19)</f>
        <v>22612.2260783811</v>
      </c>
      <c r="G19" s="131">
        <f>IF(SER_hh_fec!G19=0,0,11630*1000*SER_hh_fec!G19/SER_hh_num!G19)</f>
        <v>22739.887278655937</v>
      </c>
      <c r="H19" s="131">
        <f>IF(SER_hh_fec!H19=0,0,11630*1000*SER_hh_fec!H19/SER_hh_num!H19)</f>
        <v>22130.243432745909</v>
      </c>
      <c r="I19" s="131">
        <f>IF(SER_hh_fec!I19=0,0,11630*1000*SER_hh_fec!I19/SER_hh_num!I19)</f>
        <v>21864.554060833605</v>
      </c>
      <c r="J19" s="131">
        <f>IF(SER_hh_fec!J19=0,0,11630*1000*SER_hh_fec!J19/SER_hh_num!J19)</f>
        <v>22190.533232127957</v>
      </c>
      <c r="K19" s="131">
        <f>IF(SER_hh_fec!K19=0,0,11630*1000*SER_hh_fec!K19/SER_hh_num!K19)</f>
        <v>22230.296631361554</v>
      </c>
      <c r="L19" s="131">
        <f>IF(SER_hh_fec!L19=0,0,11630*1000*SER_hh_fec!L19/SER_hh_num!L19)</f>
        <v>22329.342807422279</v>
      </c>
      <c r="M19" s="131">
        <f>IF(SER_hh_fec!M19=0,0,11630*1000*SER_hh_fec!M19/SER_hh_num!M19)</f>
        <v>22096.782751657276</v>
      </c>
      <c r="N19" s="131">
        <f>IF(SER_hh_fec!N19=0,0,11630*1000*SER_hh_fec!N19/SER_hh_num!N19)</f>
        <v>22481.723122413903</v>
      </c>
      <c r="O19" s="131">
        <f>IF(SER_hh_fec!O19=0,0,11630*1000*SER_hh_fec!O19/SER_hh_num!O19)</f>
        <v>22719.942164082586</v>
      </c>
      <c r="P19" s="131">
        <f>IF(SER_hh_fec!P19=0,0,11630*1000*SER_hh_fec!P19/SER_hh_num!P19)</f>
        <v>22283.11054809401</v>
      </c>
      <c r="Q19" s="131">
        <f>IF(SER_hh_fec!Q19=0,0,11630*1000*SER_hh_fec!Q19/SER_hh_num!Q19)</f>
        <v>21847.435843831536</v>
      </c>
      <c r="R19" s="131">
        <f>IF(SER_hh_fec!R19=0,0,11630*1000*SER_hh_fec!R19/SER_hh_num!R19)</f>
        <v>21662.616992246767</v>
      </c>
      <c r="S19" s="131">
        <f>IF(SER_hh_fec!S19=0,0,11630*1000*SER_hh_fec!S19/SER_hh_num!S19)</f>
        <v>21420.887530636697</v>
      </c>
      <c r="T19" s="131">
        <f>IF(SER_hh_fec!T19=0,0,11630*1000*SER_hh_fec!T19/SER_hh_num!T19)</f>
        <v>21080.087700022625</v>
      </c>
      <c r="U19" s="131">
        <f>IF(SER_hh_fec!U19=0,0,11630*1000*SER_hh_fec!U19/SER_hh_num!U19)</f>
        <v>20690.840987726689</v>
      </c>
      <c r="V19" s="131">
        <f>IF(SER_hh_fec!V19=0,0,11630*1000*SER_hh_fec!V19/SER_hh_num!V19)</f>
        <v>18921.626069168473</v>
      </c>
      <c r="W19" s="131">
        <f>IF(SER_hh_fec!W19=0,0,11630*1000*SER_hh_fec!W19/SER_hh_num!W19)</f>
        <v>19506.302357507931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22431.50383382343</v>
      </c>
      <c r="C21" s="133">
        <f>IF(SER_hh_fec!C21=0,0,11630*1000*SER_hh_fec!C21/SER_hh_num!C21)</f>
        <v>25016.882782044217</v>
      </c>
      <c r="D21" s="133">
        <f>IF(SER_hh_fec!D21=0,0,11630*1000*SER_hh_fec!D21/SER_hh_num!D21)</f>
        <v>25349.112919046591</v>
      </c>
      <c r="E21" s="133">
        <f>IF(SER_hh_fec!E21=0,0,11630*1000*SER_hh_fec!E21/SER_hh_num!E21)</f>
        <v>24888.747473859414</v>
      </c>
      <c r="F21" s="133">
        <f>IF(SER_hh_fec!F21=0,0,11630*1000*SER_hh_fec!F21/SER_hh_num!F21)</f>
        <v>25521.822588561157</v>
      </c>
      <c r="G21" s="133">
        <f>IF(SER_hh_fec!G21=0,0,11630*1000*SER_hh_fec!G21/SER_hh_num!G21)</f>
        <v>25079.560038765794</v>
      </c>
      <c r="H21" s="133">
        <f>IF(SER_hh_fec!H21=0,0,11630*1000*SER_hh_fec!H21/SER_hh_num!H21)</f>
        <v>24927.701413371316</v>
      </c>
      <c r="I21" s="133">
        <f>IF(SER_hh_fec!I21=0,0,11630*1000*SER_hh_fec!I21/SER_hh_num!I21)</f>
        <v>24356.981113895461</v>
      </c>
      <c r="J21" s="133">
        <f>IF(SER_hh_fec!J21=0,0,11630*1000*SER_hh_fec!J21/SER_hh_num!J21)</f>
        <v>24797.921154512249</v>
      </c>
      <c r="K21" s="133">
        <f>IF(SER_hh_fec!K21=0,0,11630*1000*SER_hh_fec!K21/SER_hh_num!K21)</f>
        <v>25653.396215264856</v>
      </c>
      <c r="L21" s="133">
        <f>IF(SER_hh_fec!L21=0,0,11630*1000*SER_hh_fec!L21/SER_hh_num!L21)</f>
        <v>25435.680082508174</v>
      </c>
      <c r="M21" s="133">
        <f>IF(SER_hh_fec!M21=0,0,11630*1000*SER_hh_fec!M21/SER_hh_num!M21)</f>
        <v>25335.932849165511</v>
      </c>
      <c r="N21" s="133">
        <f>IF(SER_hh_fec!N21=0,0,11630*1000*SER_hh_fec!N21/SER_hh_num!N21)</f>
        <v>25484.826209528692</v>
      </c>
      <c r="O21" s="133">
        <f>IF(SER_hh_fec!O21=0,0,11630*1000*SER_hh_fec!O21/SER_hh_num!O21)</f>
        <v>25628.366800420474</v>
      </c>
      <c r="P21" s="133">
        <f>IF(SER_hh_fec!P21=0,0,11630*1000*SER_hh_fec!P21/SER_hh_num!P21)</f>
        <v>25379.589688605814</v>
      </c>
      <c r="Q21" s="133">
        <f>IF(SER_hh_fec!Q21=0,0,11630*1000*SER_hh_fec!Q21/SER_hh_num!Q21)</f>
        <v>25317.434314092628</v>
      </c>
      <c r="R21" s="133">
        <f>IF(SER_hh_fec!R21=0,0,11630*1000*SER_hh_fec!R21/SER_hh_num!R21)</f>
        <v>25088.249668437755</v>
      </c>
      <c r="S21" s="133">
        <f>IF(SER_hh_fec!S21=0,0,11630*1000*SER_hh_fec!S21/SER_hh_num!S21)</f>
        <v>24343.577322501114</v>
      </c>
      <c r="T21" s="133">
        <f>IF(SER_hh_fec!T21=0,0,11630*1000*SER_hh_fec!T21/SER_hh_num!T21)</f>
        <v>24336.813224216374</v>
      </c>
      <c r="U21" s="133">
        <f>IF(SER_hh_fec!U21=0,0,11630*1000*SER_hh_fec!U21/SER_hh_num!U21)</f>
        <v>23525.035761370822</v>
      </c>
      <c r="V21" s="133">
        <f>IF(SER_hh_fec!V21=0,0,11630*1000*SER_hh_fec!V21/SER_hh_num!V21)</f>
        <v>20385.997415897655</v>
      </c>
      <c r="W21" s="133">
        <f>IF(SER_hh_fec!W21=0,0,11630*1000*SER_hh_fec!W21/SER_hh_num!W21)</f>
        <v>21678.0368155055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25468.551299279628</v>
      </c>
      <c r="C22" s="133">
        <f>IF(SER_hh_fec!C22=0,0,11630*1000*SER_hh_fec!C22/SER_hh_num!C22)</f>
        <v>26159.545364805726</v>
      </c>
      <c r="D22" s="133">
        <f>IF(SER_hh_fec!D22=0,0,11630*1000*SER_hh_fec!D22/SER_hh_num!D22)</f>
        <v>26392.173344081559</v>
      </c>
      <c r="E22" s="133">
        <f>IF(SER_hh_fec!E22=0,0,11630*1000*SER_hh_fec!E22/SER_hh_num!E22)</f>
        <v>26557.562891458736</v>
      </c>
      <c r="F22" s="133">
        <f>IF(SER_hh_fec!F22=0,0,11630*1000*SER_hh_fec!F22/SER_hh_num!F22)</f>
        <v>26574.142720225274</v>
      </c>
      <c r="G22" s="133">
        <f>IF(SER_hh_fec!G22=0,0,11630*1000*SER_hh_fec!G22/SER_hh_num!G22)</f>
        <v>26951.927079482877</v>
      </c>
      <c r="H22" s="133">
        <f>IF(SER_hh_fec!H22=0,0,11630*1000*SER_hh_fec!H22/SER_hh_num!H22)</f>
        <v>26409.761062173453</v>
      </c>
      <c r="I22" s="133">
        <f>IF(SER_hh_fec!I22=0,0,11630*1000*SER_hh_fec!I22/SER_hh_num!I22)</f>
        <v>26745.861687255834</v>
      </c>
      <c r="J22" s="133">
        <f>IF(SER_hh_fec!J22=0,0,11630*1000*SER_hh_fec!J22/SER_hh_num!J22)</f>
        <v>26762.011223638692</v>
      </c>
      <c r="K22" s="133">
        <f>IF(SER_hh_fec!K22=0,0,11630*1000*SER_hh_fec!K22/SER_hh_num!K22)</f>
        <v>27112.643046142453</v>
      </c>
      <c r="L22" s="133">
        <f>IF(SER_hh_fec!L22=0,0,11630*1000*SER_hh_fec!L22/SER_hh_num!L22)</f>
        <v>27519.877797090849</v>
      </c>
      <c r="M22" s="133">
        <f>IF(SER_hh_fec!M22=0,0,11630*1000*SER_hh_fec!M22/SER_hh_num!M22)</f>
        <v>26898.628941563886</v>
      </c>
      <c r="N22" s="133">
        <f>IF(SER_hh_fec!N22=0,0,11630*1000*SER_hh_fec!N22/SER_hh_num!N22)</f>
        <v>27185.943006758826</v>
      </c>
      <c r="O22" s="133">
        <f>IF(SER_hh_fec!O22=0,0,11630*1000*SER_hh_fec!O22/SER_hh_num!O22)</f>
        <v>27666.136622544611</v>
      </c>
      <c r="P22" s="133">
        <f>IF(SER_hh_fec!P22=0,0,11630*1000*SER_hh_fec!P22/SER_hh_num!P22)</f>
        <v>27404.230448122158</v>
      </c>
      <c r="Q22" s="133">
        <f>IF(SER_hh_fec!Q22=0,0,11630*1000*SER_hh_fec!Q22/SER_hh_num!Q22)</f>
        <v>27026.928806592874</v>
      </c>
      <c r="R22" s="133">
        <f>IF(SER_hh_fec!R22=0,0,11630*1000*SER_hh_fec!R22/SER_hh_num!R22)</f>
        <v>26665.443857634666</v>
      </c>
      <c r="S22" s="133">
        <f>IF(SER_hh_fec!S22=0,0,11630*1000*SER_hh_fec!S22/SER_hh_num!S22)</f>
        <v>25927.376989684402</v>
      </c>
      <c r="T22" s="133">
        <f>IF(SER_hh_fec!T22=0,0,11630*1000*SER_hh_fec!T22/SER_hh_num!T22)</f>
        <v>24958.405552705593</v>
      </c>
      <c r="U22" s="133">
        <f>IF(SER_hh_fec!U22=0,0,11630*1000*SER_hh_fec!U22/SER_hh_num!U22)</f>
        <v>24670.210200729005</v>
      </c>
      <c r="V22" s="133">
        <f>IF(SER_hh_fec!V22=0,0,11630*1000*SER_hh_fec!V22/SER_hh_num!V22)</f>
        <v>21222.473674605721</v>
      </c>
      <c r="W22" s="133">
        <f>IF(SER_hh_fec!W22=0,0,11630*1000*SER_hh_fec!W22/SER_hh_num!W22)</f>
        <v>21862.839040493222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24845.821087675871</v>
      </c>
      <c r="C23" s="133">
        <f>IF(SER_hh_fec!C23=0,0,11630*1000*SER_hh_fec!C23/SER_hh_num!C23)</f>
        <v>25334.583581095849</v>
      </c>
      <c r="D23" s="133">
        <f>IF(SER_hh_fec!D23=0,0,11630*1000*SER_hh_fec!D23/SER_hh_num!D23)</f>
        <v>25620.96520864225</v>
      </c>
      <c r="E23" s="133">
        <f>IF(SER_hh_fec!E23=0,0,11630*1000*SER_hh_fec!E23/SER_hh_num!E23)</f>
        <v>25295.208211440233</v>
      </c>
      <c r="F23" s="133">
        <f>IF(SER_hh_fec!F23=0,0,11630*1000*SER_hh_fec!F23/SER_hh_num!F23)</f>
        <v>25495.832162685907</v>
      </c>
      <c r="G23" s="133">
        <f>IF(SER_hh_fec!G23=0,0,11630*1000*SER_hh_fec!G23/SER_hh_num!G23)</f>
        <v>25593.386450052058</v>
      </c>
      <c r="H23" s="133">
        <f>IF(SER_hh_fec!H23=0,0,11630*1000*SER_hh_fec!H23/SER_hh_num!H23)</f>
        <v>24815.267651916314</v>
      </c>
      <c r="I23" s="133">
        <f>IF(SER_hh_fec!I23=0,0,11630*1000*SER_hh_fec!I23/SER_hh_num!I23)</f>
        <v>24187.620128086739</v>
      </c>
      <c r="J23" s="133">
        <f>IF(SER_hh_fec!J23=0,0,11630*1000*SER_hh_fec!J23/SER_hh_num!J23)</f>
        <v>24625.679984690047</v>
      </c>
      <c r="K23" s="133">
        <f>IF(SER_hh_fec!K23=0,0,11630*1000*SER_hh_fec!K23/SER_hh_num!K23)</f>
        <v>24277.254497752499</v>
      </c>
      <c r="L23" s="133">
        <f>IF(SER_hh_fec!L23=0,0,11630*1000*SER_hh_fec!L23/SER_hh_num!L23)</f>
        <v>24181.955861557646</v>
      </c>
      <c r="M23" s="133">
        <f>IF(SER_hh_fec!M23=0,0,11630*1000*SER_hh_fec!M23/SER_hh_num!M23)</f>
        <v>24014.71153595794</v>
      </c>
      <c r="N23" s="133">
        <f>IF(SER_hh_fec!N23=0,0,11630*1000*SER_hh_fec!N23/SER_hh_num!N23)</f>
        <v>23915.243791665791</v>
      </c>
      <c r="O23" s="133">
        <f>IF(SER_hh_fec!O23=0,0,11630*1000*SER_hh_fec!O23/SER_hh_num!O23)</f>
        <v>23701.668435629126</v>
      </c>
      <c r="P23" s="133">
        <f>IF(SER_hh_fec!P23=0,0,11630*1000*SER_hh_fec!P23/SER_hh_num!P23)</f>
        <v>23281.873595007841</v>
      </c>
      <c r="Q23" s="133">
        <f>IF(SER_hh_fec!Q23=0,0,11630*1000*SER_hh_fec!Q23/SER_hh_num!Q23)</f>
        <v>22927.911069441114</v>
      </c>
      <c r="R23" s="133">
        <f>IF(SER_hh_fec!R23=0,0,11630*1000*SER_hh_fec!R23/SER_hh_num!R23)</f>
        <v>22392.823014051755</v>
      </c>
      <c r="S23" s="133">
        <f>IF(SER_hh_fec!S23=0,0,11630*1000*SER_hh_fec!S23/SER_hh_num!S23)</f>
        <v>22222.847430524471</v>
      </c>
      <c r="T23" s="133">
        <f>IF(SER_hh_fec!T23=0,0,11630*1000*SER_hh_fec!T23/SER_hh_num!T23)</f>
        <v>21764.122945848496</v>
      </c>
      <c r="U23" s="133">
        <f>IF(SER_hh_fec!U23=0,0,11630*1000*SER_hh_fec!U23/SER_hh_num!U23)</f>
        <v>21163.431668539761</v>
      </c>
      <c r="V23" s="133">
        <f>IF(SER_hh_fec!V23=0,0,11630*1000*SER_hh_fec!V23/SER_hh_num!V23)</f>
        <v>18962.603759786427</v>
      </c>
      <c r="W23" s="133">
        <f>IF(SER_hh_fec!W23=0,0,11630*1000*SER_hh_fec!W23/SER_hh_num!W23)</f>
        <v>20110.881351350054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17051.296022552979</v>
      </c>
      <c r="C25" s="133">
        <f>IF(SER_hh_fec!C25=0,0,11630*1000*SER_hh_fec!C25/SER_hh_num!C25)</f>
        <v>17072.884222777971</v>
      </c>
      <c r="D25" s="133">
        <f>IF(SER_hh_fec!D25=0,0,11630*1000*SER_hh_fec!D25/SER_hh_num!D25)</f>
        <v>17408.624541091187</v>
      </c>
      <c r="E25" s="133">
        <f>IF(SER_hh_fec!E25=0,0,11630*1000*SER_hh_fec!E25/SER_hh_num!E25)</f>
        <v>17338.628059628725</v>
      </c>
      <c r="F25" s="133">
        <f>IF(SER_hh_fec!F25=0,0,11630*1000*SER_hh_fec!F25/SER_hh_num!F25)</f>
        <v>17643.392014822435</v>
      </c>
      <c r="G25" s="133">
        <f>IF(SER_hh_fec!G25=0,0,11630*1000*SER_hh_fec!G25/SER_hh_num!G25)</f>
        <v>17883.321955843421</v>
      </c>
      <c r="H25" s="133">
        <f>IF(SER_hh_fec!H25=0,0,11630*1000*SER_hh_fec!H25/SER_hh_num!H25)</f>
        <v>17530.560947553731</v>
      </c>
      <c r="I25" s="133">
        <f>IF(SER_hh_fec!I25=0,0,11630*1000*SER_hh_fec!I25/SER_hh_num!I25)</f>
        <v>17369.839445247995</v>
      </c>
      <c r="J25" s="133">
        <f>IF(SER_hh_fec!J25=0,0,11630*1000*SER_hh_fec!J25/SER_hh_num!J25)</f>
        <v>17609.238437891348</v>
      </c>
      <c r="K25" s="133">
        <f>IF(SER_hh_fec!K25=0,0,11630*1000*SER_hh_fec!K25/SER_hh_num!K25)</f>
        <v>17495.30127243332</v>
      </c>
      <c r="L25" s="133">
        <f>IF(SER_hh_fec!L25=0,0,11630*1000*SER_hh_fec!L25/SER_hh_num!L25)</f>
        <v>17626.748685805109</v>
      </c>
      <c r="M25" s="133">
        <f>IF(SER_hh_fec!M25=0,0,11630*1000*SER_hh_fec!M25/SER_hh_num!M25)</f>
        <v>17765.268391355472</v>
      </c>
      <c r="N25" s="133">
        <f>IF(SER_hh_fec!N25=0,0,11630*1000*SER_hh_fec!N25/SER_hh_num!N25)</f>
        <v>17941.108465082954</v>
      </c>
      <c r="O25" s="133">
        <f>IF(SER_hh_fec!O25=0,0,11630*1000*SER_hh_fec!O25/SER_hh_num!O25)</f>
        <v>18143.017457045924</v>
      </c>
      <c r="P25" s="133">
        <f>IF(SER_hh_fec!P25=0,0,11630*1000*SER_hh_fec!P25/SER_hh_num!P25)</f>
        <v>18175.985110370952</v>
      </c>
      <c r="Q25" s="133">
        <f>IF(SER_hh_fec!Q25=0,0,11630*1000*SER_hh_fec!Q25/SER_hh_num!Q25)</f>
        <v>18089.300115887087</v>
      </c>
      <c r="R25" s="133">
        <f>IF(SER_hh_fec!R25=0,0,11630*1000*SER_hh_fec!R25/SER_hh_num!R25)</f>
        <v>17999.008447292843</v>
      </c>
      <c r="S25" s="133">
        <f>IF(SER_hh_fec!S25=0,0,11630*1000*SER_hh_fec!S25/SER_hh_num!S25)</f>
        <v>18099.298661820321</v>
      </c>
      <c r="T25" s="133">
        <f>IF(SER_hh_fec!T25=0,0,11630*1000*SER_hh_fec!T25/SER_hh_num!T25)</f>
        <v>17978.609205044086</v>
      </c>
      <c r="U25" s="133">
        <f>IF(SER_hh_fec!U25=0,0,11630*1000*SER_hh_fec!U25/SER_hh_num!U25)</f>
        <v>17710.482086687058</v>
      </c>
      <c r="V25" s="133">
        <f>IF(SER_hh_fec!V25=0,0,11630*1000*SER_hh_fec!V25/SER_hh_num!V25)</f>
        <v>16661.05267702627</v>
      </c>
      <c r="W25" s="133">
        <f>IF(SER_hh_fec!W25=0,0,11630*1000*SER_hh_fec!W25/SER_hh_num!W25)</f>
        <v>17266.731754043532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20692.567142747925</v>
      </c>
      <c r="C26" s="65">
        <f>IF(SER_hh_fec!C26=0,0,11630*1000*SER_hh_fec!C26/SER_hh_num!C26)</f>
        <v>20246.175653011218</v>
      </c>
      <c r="D26" s="65">
        <f>IF(SER_hh_fec!D26=0,0,11630*1000*SER_hh_fec!D26/SER_hh_num!D26)</f>
        <v>20398.74829425809</v>
      </c>
      <c r="E26" s="65">
        <f>IF(SER_hh_fec!E26=0,0,11630*1000*SER_hh_fec!E26/SER_hh_num!E26)</f>
        <v>20048.930796265871</v>
      </c>
      <c r="F26" s="65">
        <f>IF(SER_hh_fec!F26=0,0,11630*1000*SER_hh_fec!F26/SER_hh_num!F26)</f>
        <v>20992.275779991898</v>
      </c>
      <c r="G26" s="65">
        <f>IF(SER_hh_fec!G26=0,0,11630*1000*SER_hh_fec!G26/SER_hh_num!G26)</f>
        <v>20858.470904883212</v>
      </c>
      <c r="H26" s="65">
        <f>IF(SER_hh_fec!H26=0,0,11630*1000*SER_hh_fec!H26/SER_hh_num!H26)</f>
        <v>20064.752906277372</v>
      </c>
      <c r="I26" s="65">
        <f>IF(SER_hh_fec!I26=0,0,11630*1000*SER_hh_fec!I26/SER_hh_num!I26)</f>
        <v>19779.138209181394</v>
      </c>
      <c r="J26" s="65">
        <f>IF(SER_hh_fec!J26=0,0,11630*1000*SER_hh_fec!J26/SER_hh_num!J26)</f>
        <v>19890.049603722135</v>
      </c>
      <c r="K26" s="65">
        <f>IF(SER_hh_fec!K26=0,0,11630*1000*SER_hh_fec!K26/SER_hh_num!K26)</f>
        <v>19904.587753993412</v>
      </c>
      <c r="L26" s="65">
        <f>IF(SER_hh_fec!L26=0,0,11630*1000*SER_hh_fec!L26/SER_hh_num!L26)</f>
        <v>19933.046328162862</v>
      </c>
      <c r="M26" s="65">
        <f>IF(SER_hh_fec!M26=0,0,11630*1000*SER_hh_fec!M26/SER_hh_num!M26)</f>
        <v>19488.533063568455</v>
      </c>
      <c r="N26" s="65">
        <f>IF(SER_hh_fec!N26=0,0,11630*1000*SER_hh_fec!N26/SER_hh_num!N26)</f>
        <v>20169.454712633229</v>
      </c>
      <c r="O26" s="65">
        <f>IF(SER_hh_fec!O26=0,0,11630*1000*SER_hh_fec!O26/SER_hh_num!O26)</f>
        <v>20537.784332291089</v>
      </c>
      <c r="P26" s="65">
        <f>IF(SER_hh_fec!P26=0,0,11630*1000*SER_hh_fec!P26/SER_hh_num!P26)</f>
        <v>19645.770409720644</v>
      </c>
      <c r="Q26" s="65">
        <f>IF(SER_hh_fec!Q26=0,0,11630*1000*SER_hh_fec!Q26/SER_hh_num!Q26)</f>
        <v>18734.098656656221</v>
      </c>
      <c r="R26" s="65">
        <f>IF(SER_hh_fec!R26=0,0,11630*1000*SER_hh_fec!R26/SER_hh_num!R26)</f>
        <v>18462.087315011839</v>
      </c>
      <c r="S26" s="65">
        <f>IF(SER_hh_fec!S26=0,0,11630*1000*SER_hh_fec!S26/SER_hh_num!S26)</f>
        <v>17750.397655397475</v>
      </c>
      <c r="T26" s="65">
        <f>IF(SER_hh_fec!T26=0,0,11630*1000*SER_hh_fec!T26/SER_hh_num!T26)</f>
        <v>17240.743446442</v>
      </c>
      <c r="U26" s="65">
        <f>IF(SER_hh_fec!U26=0,0,11630*1000*SER_hh_fec!U26/SER_hh_num!U26)</f>
        <v>16713.005526279569</v>
      </c>
      <c r="V26" s="65">
        <f>IF(SER_hh_fec!V26=0,0,11630*1000*SER_hh_fec!V26/SER_hh_num!V26)</f>
        <v>15546.452098923506</v>
      </c>
      <c r="W26" s="65">
        <f>IF(SER_hh_fec!W26=0,0,11630*1000*SER_hh_fec!W26/SER_hh_num!W26)</f>
        <v>14963.922727436155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127.57529672597484</v>
      </c>
      <c r="C27" s="146">
        <f>IF(SER_hh_fec!C27=0,0,11630*1000*SER_hh_fec!C27/SER_hh_num!C19)</f>
        <v>131.45233282237564</v>
      </c>
      <c r="D27" s="146">
        <f>IF(SER_hh_fec!D27=0,0,11630*1000*SER_hh_fec!D27/SER_hh_num!D19)</f>
        <v>151.39899428939708</v>
      </c>
      <c r="E27" s="146">
        <f>IF(SER_hh_fec!E27=0,0,11630*1000*SER_hh_fec!E27/SER_hh_num!E19)</f>
        <v>167.23375391155855</v>
      </c>
      <c r="F27" s="146">
        <f>IF(SER_hh_fec!F27=0,0,11630*1000*SER_hh_fec!F27/SER_hh_num!F19)</f>
        <v>191.67243935021961</v>
      </c>
      <c r="G27" s="146">
        <f>IF(SER_hh_fec!G27=0,0,11630*1000*SER_hh_fec!G27/SER_hh_num!G19)</f>
        <v>214.42274874549378</v>
      </c>
      <c r="H27" s="146">
        <f>IF(SER_hh_fec!H27=0,0,11630*1000*SER_hh_fec!H27/SER_hh_num!H19)</f>
        <v>238.87318099618537</v>
      </c>
      <c r="I27" s="146">
        <f>IF(SER_hh_fec!I27=0,0,11630*1000*SER_hh_fec!I27/SER_hh_num!I19)</f>
        <v>267.11455539841779</v>
      </c>
      <c r="J27" s="146">
        <f>IF(SER_hh_fec!J27=0,0,11630*1000*SER_hh_fec!J27/SER_hh_num!J19)</f>
        <v>326.89102377823826</v>
      </c>
      <c r="K27" s="146">
        <f>IF(SER_hh_fec!K27=0,0,11630*1000*SER_hh_fec!K27/SER_hh_num!K19)</f>
        <v>373.85176207253841</v>
      </c>
      <c r="L27" s="146">
        <f>IF(SER_hh_fec!L27=0,0,11630*1000*SER_hh_fec!L27/SER_hh_num!L19)</f>
        <v>416.8543397745475</v>
      </c>
      <c r="M27" s="146">
        <f>IF(SER_hh_fec!M27=0,0,11630*1000*SER_hh_fec!M27/SER_hh_num!M19)</f>
        <v>481.50374515505496</v>
      </c>
      <c r="N27" s="146">
        <f>IF(SER_hh_fec!N27=0,0,11630*1000*SER_hh_fec!N27/SER_hh_num!N19)</f>
        <v>575.68987513398258</v>
      </c>
      <c r="O27" s="146">
        <f>IF(SER_hh_fec!O27=0,0,11630*1000*SER_hh_fec!O27/SER_hh_num!O19)</f>
        <v>658.79976936810192</v>
      </c>
      <c r="P27" s="146">
        <f>IF(SER_hh_fec!P27=0,0,11630*1000*SER_hh_fec!P27/SER_hh_num!P19)</f>
        <v>726.80059503496886</v>
      </c>
      <c r="Q27" s="146">
        <f>IF(SER_hh_fec!Q27=0,0,11630*1000*SER_hh_fec!Q27/SER_hh_num!Q19)</f>
        <v>781.83644243574975</v>
      </c>
      <c r="R27" s="146">
        <f>IF(SER_hh_fec!R27=0,0,11630*1000*SER_hh_fec!R27/SER_hh_num!R19)</f>
        <v>863.85792072223569</v>
      </c>
      <c r="S27" s="146">
        <f>IF(SER_hh_fec!S27=0,0,11630*1000*SER_hh_fec!S27/SER_hh_num!S19)</f>
        <v>954.17491725796458</v>
      </c>
      <c r="T27" s="146">
        <f>IF(SER_hh_fec!T27=0,0,11630*1000*SER_hh_fec!T27/SER_hh_num!T19)</f>
        <v>1022.9574551706532</v>
      </c>
      <c r="U27" s="146">
        <f>IF(SER_hh_fec!U27=0,0,11630*1000*SER_hh_fec!U27/SER_hh_num!U19)</f>
        <v>1121.8784248360923</v>
      </c>
      <c r="V27" s="146">
        <f>IF(SER_hh_fec!V27=0,0,11630*1000*SER_hh_fec!V27/SER_hh_num!V19)</f>
        <v>1174.4520770501626</v>
      </c>
      <c r="W27" s="146">
        <f>IF(SER_hh_fec!W27=0,0,11630*1000*SER_hh_fec!W27/SER_hh_num!W19)</f>
        <v>1213.8637031748187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8875.1797928462474</v>
      </c>
      <c r="C28" s="147">
        <f>IF(SER_hh_fec!C27=0,0,11630*1000*SER_hh_fec!C27/SER_hh_num!C27)</f>
        <v>9184.4819588945429</v>
      </c>
      <c r="D28" s="147">
        <f>IF(SER_hh_fec!D27=0,0,11630*1000*SER_hh_fec!D27/SER_hh_num!D27)</f>
        <v>9153.4429783544274</v>
      </c>
      <c r="E28" s="147">
        <f>IF(SER_hh_fec!E27=0,0,11630*1000*SER_hh_fec!E27/SER_hh_num!E27)</f>
        <v>9720.7623762329185</v>
      </c>
      <c r="F28" s="147">
        <f>IF(SER_hh_fec!F27=0,0,11630*1000*SER_hh_fec!F27/SER_hh_num!F27)</f>
        <v>9575.7693114067879</v>
      </c>
      <c r="G28" s="147">
        <f>IF(SER_hh_fec!G27=0,0,11630*1000*SER_hh_fec!G27/SER_hh_num!G27)</f>
        <v>9697.8348349047264</v>
      </c>
      <c r="H28" s="147">
        <f>IF(SER_hh_fec!H27=0,0,11630*1000*SER_hh_fec!H27/SER_hh_num!H27)</f>
        <v>9481.5510533592605</v>
      </c>
      <c r="I28" s="147">
        <f>IF(SER_hh_fec!I27=0,0,11630*1000*SER_hh_fec!I27/SER_hh_num!I27)</f>
        <v>9506.7117692077791</v>
      </c>
      <c r="J28" s="147">
        <f>IF(SER_hh_fec!J27=0,0,11630*1000*SER_hh_fec!J27/SER_hh_num!J27)</f>
        <v>9660.7777128858652</v>
      </c>
      <c r="K28" s="147">
        <f>IF(SER_hh_fec!K27=0,0,11630*1000*SER_hh_fec!K27/SER_hh_num!K27)</f>
        <v>9992.4186358179722</v>
      </c>
      <c r="L28" s="147">
        <f>IF(SER_hh_fec!L27=0,0,11630*1000*SER_hh_fec!L27/SER_hh_num!L27)</f>
        <v>10092.697987704334</v>
      </c>
      <c r="M28" s="147">
        <f>IF(SER_hh_fec!M27=0,0,11630*1000*SER_hh_fec!M27/SER_hh_num!M27)</f>
        <v>9935.6562341192712</v>
      </c>
      <c r="N28" s="147">
        <f>IF(SER_hh_fec!N27=0,0,11630*1000*SER_hh_fec!N27/SER_hh_num!N27)</f>
        <v>10279.239540885515</v>
      </c>
      <c r="O28" s="147">
        <f>IF(SER_hh_fec!O27=0,0,11630*1000*SER_hh_fec!O27/SER_hh_num!O27)</f>
        <v>10705.340638709966</v>
      </c>
      <c r="P28" s="147">
        <f>IF(SER_hh_fec!P27=0,0,11630*1000*SER_hh_fec!P27/SER_hh_num!P27)</f>
        <v>10465.401375077015</v>
      </c>
      <c r="Q28" s="147">
        <f>IF(SER_hh_fec!Q27=0,0,11630*1000*SER_hh_fec!Q27/SER_hh_num!Q27)</f>
        <v>10077.15816032853</v>
      </c>
      <c r="R28" s="147">
        <f>IF(SER_hh_fec!R27=0,0,11630*1000*SER_hh_fec!R27/SER_hh_num!R27)</f>
        <v>10350.321934291249</v>
      </c>
      <c r="S28" s="147">
        <f>IF(SER_hh_fec!S27=0,0,11630*1000*SER_hh_fec!S27/SER_hh_num!S27)</f>
        <v>10608.907400777405</v>
      </c>
      <c r="T28" s="147">
        <f>IF(SER_hh_fec!T27=0,0,11630*1000*SER_hh_fec!T27/SER_hh_num!T27)</f>
        <v>10597.668509002195</v>
      </c>
      <c r="U28" s="147">
        <f>IF(SER_hh_fec!U27=0,0,11630*1000*SER_hh_fec!U27/SER_hh_num!U27)</f>
        <v>10584.004047903176</v>
      </c>
      <c r="V28" s="147">
        <f>IF(SER_hh_fec!V27=0,0,11630*1000*SER_hh_fec!V27/SER_hh_num!V27)</f>
        <v>10455.98975237348</v>
      </c>
      <c r="W28" s="147">
        <f>IF(SER_hh_fec!W27=0,0,11630*1000*SER_hh_fec!W27/SER_hh_num!W27)</f>
        <v>10482.716178263028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20752.764395158967</v>
      </c>
      <c r="C29" s="131">
        <f>IF(SER_hh_fec!C29=0,0,11630*1000*SER_hh_fec!C29/SER_hh_num!C29)</f>
        <v>21628.973705239379</v>
      </c>
      <c r="D29" s="131">
        <f>IF(SER_hh_fec!D29=0,0,11630*1000*SER_hh_fec!D29/SER_hh_num!D29)</f>
        <v>21693.761451286548</v>
      </c>
      <c r="E29" s="131">
        <f>IF(SER_hh_fec!E29=0,0,11630*1000*SER_hh_fec!E29/SER_hh_num!E29)</f>
        <v>21142.493977286693</v>
      </c>
      <c r="F29" s="131">
        <f>IF(SER_hh_fec!F29=0,0,11630*1000*SER_hh_fec!F29/SER_hh_num!F29)</f>
        <v>21569.724865774264</v>
      </c>
      <c r="G29" s="131">
        <f>IF(SER_hh_fec!G29=0,0,11630*1000*SER_hh_fec!G29/SER_hh_num!G29)</f>
        <v>21681.237269525915</v>
      </c>
      <c r="H29" s="131">
        <f>IF(SER_hh_fec!H29=0,0,11630*1000*SER_hh_fec!H29/SER_hh_num!H29)</f>
        <v>21955.557272723236</v>
      </c>
      <c r="I29" s="131">
        <f>IF(SER_hh_fec!I29=0,0,11630*1000*SER_hh_fec!I29/SER_hh_num!I29)</f>
        <v>22153.911158348204</v>
      </c>
      <c r="J29" s="131">
        <f>IF(SER_hh_fec!J29=0,0,11630*1000*SER_hh_fec!J29/SER_hh_num!J29)</f>
        <v>22877.304227881548</v>
      </c>
      <c r="K29" s="131">
        <f>IF(SER_hh_fec!K29=0,0,11630*1000*SER_hh_fec!K29/SER_hh_num!K29)</f>
        <v>23936.362903941932</v>
      </c>
      <c r="L29" s="131">
        <f>IF(SER_hh_fec!L29=0,0,11630*1000*SER_hh_fec!L29/SER_hh_num!L29)</f>
        <v>24307.449460079912</v>
      </c>
      <c r="M29" s="131">
        <f>IF(SER_hh_fec!M29=0,0,11630*1000*SER_hh_fec!M29/SER_hh_num!M29)</f>
        <v>24175.593516015291</v>
      </c>
      <c r="N29" s="131">
        <f>IF(SER_hh_fec!N29=0,0,11630*1000*SER_hh_fec!N29/SER_hh_num!N29)</f>
        <v>25038.731226363128</v>
      </c>
      <c r="O29" s="131">
        <f>IF(SER_hh_fec!O29=0,0,11630*1000*SER_hh_fec!O29/SER_hh_num!O29)</f>
        <v>25446.836704299527</v>
      </c>
      <c r="P29" s="131">
        <f>IF(SER_hh_fec!P29=0,0,11630*1000*SER_hh_fec!P29/SER_hh_num!P29)</f>
        <v>25751.791988470457</v>
      </c>
      <c r="Q29" s="131">
        <f>IF(SER_hh_fec!Q29=0,0,11630*1000*SER_hh_fec!Q29/SER_hh_num!Q29)</f>
        <v>25613.974902494509</v>
      </c>
      <c r="R29" s="131">
        <f>IF(SER_hh_fec!R29=0,0,11630*1000*SER_hh_fec!R29/SER_hh_num!R29)</f>
        <v>26252.441592039431</v>
      </c>
      <c r="S29" s="131">
        <f>IF(SER_hh_fec!S29=0,0,11630*1000*SER_hh_fec!S29/SER_hh_num!S29)</f>
        <v>26537.954624695929</v>
      </c>
      <c r="T29" s="131">
        <f>IF(SER_hh_fec!T29=0,0,11630*1000*SER_hh_fec!T29/SER_hh_num!T29)</f>
        <v>26707.043676309062</v>
      </c>
      <c r="U29" s="131">
        <f>IF(SER_hh_fec!U29=0,0,11630*1000*SER_hh_fec!U29/SER_hh_num!U29)</f>
        <v>26939.831709765058</v>
      </c>
      <c r="V29" s="131">
        <f>IF(SER_hh_fec!V29=0,0,11630*1000*SER_hh_fec!V29/SER_hh_num!V29)</f>
        <v>23196.280746508688</v>
      </c>
      <c r="W29" s="131">
        <f>IF(SER_hh_fec!W29=0,0,11630*1000*SER_hh_fec!W29/SER_hh_num!W29)</f>
        <v>26697.846850761511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16694.188340341239</v>
      </c>
      <c r="C30" s="133">
        <f>IF(SER_hh_fec!C30=0,0,11630*1000*SER_hh_fec!C30/SER_hh_num!C30)</f>
        <v>32762.193333359148</v>
      </c>
      <c r="D30" s="133">
        <f>IF(SER_hh_fec!D30=0,0,11630*1000*SER_hh_fec!D30/SER_hh_num!D30)</f>
        <v>25745.79137225149</v>
      </c>
      <c r="E30" s="133">
        <f>IF(SER_hh_fec!E30=0,0,11630*1000*SER_hh_fec!E30/SER_hh_num!E30)</f>
        <v>26676.232801107177</v>
      </c>
      <c r="F30" s="133">
        <f>IF(SER_hh_fec!F30=0,0,11630*1000*SER_hh_fec!F30/SER_hh_num!F30)</f>
        <v>28653.18993196822</v>
      </c>
      <c r="G30" s="133">
        <f>IF(SER_hh_fec!G30=0,0,11630*1000*SER_hh_fec!G30/SER_hh_num!G30)</f>
        <v>26131.215061922325</v>
      </c>
      <c r="H30" s="133">
        <f>IF(SER_hh_fec!H30=0,0,11630*1000*SER_hh_fec!H30/SER_hh_num!H30)</f>
        <v>28528.040377362289</v>
      </c>
      <c r="I30" s="133">
        <f>IF(SER_hh_fec!I30=0,0,11630*1000*SER_hh_fec!I30/SER_hh_num!I30)</f>
        <v>26658.37437787321</v>
      </c>
      <c r="J30" s="133">
        <f>IF(SER_hh_fec!J30=0,0,11630*1000*SER_hh_fec!J30/SER_hh_num!J30)</f>
        <v>27376.701562888091</v>
      </c>
      <c r="K30" s="133">
        <f>IF(SER_hh_fec!K30=0,0,11630*1000*SER_hh_fec!K30/SER_hh_num!K30)</f>
        <v>32192.808053678666</v>
      </c>
      <c r="L30" s="133">
        <f>IF(SER_hh_fec!L30=0,0,11630*1000*SER_hh_fec!L30/SER_hh_num!L30)</f>
        <v>34928.67194074914</v>
      </c>
      <c r="M30" s="133">
        <f>IF(SER_hh_fec!M30=0,0,11630*1000*SER_hh_fec!M30/SER_hh_num!M30)</f>
        <v>30736.379730317974</v>
      </c>
      <c r="N30" s="133">
        <f>IF(SER_hh_fec!N30=0,0,11630*1000*SER_hh_fec!N30/SER_hh_num!N30)</f>
        <v>30874.035408146981</v>
      </c>
      <c r="O30" s="133">
        <f>IF(SER_hh_fec!O30=0,0,11630*1000*SER_hh_fec!O30/SER_hh_num!O30)</f>
        <v>31759.187004530908</v>
      </c>
      <c r="P30" s="133">
        <f>IF(SER_hh_fec!P30=0,0,11630*1000*SER_hh_fec!P30/SER_hh_num!P30)</f>
        <v>31866.844515668097</v>
      </c>
      <c r="Q30" s="133">
        <f>IF(SER_hh_fec!Q30=0,0,11630*1000*SER_hh_fec!Q30/SER_hh_num!Q30)</f>
        <v>31563.829645817092</v>
      </c>
      <c r="R30" s="133">
        <f>IF(SER_hh_fec!R30=0,0,11630*1000*SER_hh_fec!R30/SER_hh_num!R30)</f>
        <v>35306.270795905191</v>
      </c>
      <c r="S30" s="133">
        <f>IF(SER_hh_fec!S30=0,0,11630*1000*SER_hh_fec!S30/SER_hh_num!S30)</f>
        <v>33267.290901840017</v>
      </c>
      <c r="T30" s="133">
        <f>IF(SER_hh_fec!T30=0,0,11630*1000*SER_hh_fec!T30/SER_hh_num!T30)</f>
        <v>32785.826937736463</v>
      </c>
      <c r="U30" s="133">
        <f>IF(SER_hh_fec!U30=0,0,11630*1000*SER_hh_fec!U30/SER_hh_num!U30)</f>
        <v>35710.625410646651</v>
      </c>
      <c r="V30" s="133">
        <f>IF(SER_hh_fec!V30=0,0,11630*1000*SER_hh_fec!V30/SER_hh_num!V30)</f>
        <v>29218.180909707869</v>
      </c>
      <c r="W30" s="133">
        <f>IF(SER_hh_fec!W30=0,0,11630*1000*SER_hh_fec!W30/SER_hh_num!W30)</f>
        <v>35162.504066114248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25935.292482271387</v>
      </c>
      <c r="C31" s="133">
        <f>IF(SER_hh_fec!C31=0,0,11630*1000*SER_hh_fec!C31/SER_hh_num!C31)</f>
        <v>26868.081123340555</v>
      </c>
      <c r="D31" s="133">
        <f>IF(SER_hh_fec!D31=0,0,11630*1000*SER_hh_fec!D31/SER_hh_num!D31)</f>
        <v>26959.802249025364</v>
      </c>
      <c r="E31" s="133">
        <f>IF(SER_hh_fec!E31=0,0,11630*1000*SER_hh_fec!E31/SER_hh_num!E31)</f>
        <v>26700.864600227495</v>
      </c>
      <c r="F31" s="133">
        <f>IF(SER_hh_fec!F31=0,0,11630*1000*SER_hh_fec!F31/SER_hh_num!F31)</f>
        <v>26499.801172913652</v>
      </c>
      <c r="G31" s="133">
        <f>IF(SER_hh_fec!G31=0,0,11630*1000*SER_hh_fec!G31/SER_hh_num!G31)</f>
        <v>27243.426415758542</v>
      </c>
      <c r="H31" s="133">
        <f>IF(SER_hh_fec!H31=0,0,11630*1000*SER_hh_fec!H31/SER_hh_num!H31)</f>
        <v>27122.005963773172</v>
      </c>
      <c r="I31" s="133">
        <f>IF(SER_hh_fec!I31=0,0,11630*1000*SER_hh_fec!I31/SER_hh_num!I31)</f>
        <v>27865.087659298952</v>
      </c>
      <c r="J31" s="133">
        <f>IF(SER_hh_fec!J31=0,0,11630*1000*SER_hh_fec!J31/SER_hh_num!J31)</f>
        <v>28951.978395068993</v>
      </c>
      <c r="K31" s="133">
        <f>IF(SER_hh_fec!K31=0,0,11630*1000*SER_hh_fec!K31/SER_hh_num!K31)</f>
        <v>29642.36881508648</v>
      </c>
      <c r="L31" s="133">
        <f>IF(SER_hh_fec!L31=0,0,11630*1000*SER_hh_fec!L31/SER_hh_num!L31)</f>
        <v>29601.860166331044</v>
      </c>
      <c r="M31" s="133">
        <f>IF(SER_hh_fec!M31=0,0,11630*1000*SER_hh_fec!M31/SER_hh_num!M31)</f>
        <v>30315.4302145287</v>
      </c>
      <c r="N31" s="133">
        <f>IF(SER_hh_fec!N31=0,0,11630*1000*SER_hh_fec!N31/SER_hh_num!N31)</f>
        <v>31547.594177578594</v>
      </c>
      <c r="O31" s="133">
        <f>IF(SER_hh_fec!O31=0,0,11630*1000*SER_hh_fec!O31/SER_hh_num!O31)</f>
        <v>31330.504266755281</v>
      </c>
      <c r="P31" s="133">
        <f>IF(SER_hh_fec!P31=0,0,11630*1000*SER_hh_fec!P31/SER_hh_num!P31)</f>
        <v>31450.949633264125</v>
      </c>
      <c r="Q31" s="133">
        <f>IF(SER_hh_fec!Q31=0,0,11630*1000*SER_hh_fec!Q31/SER_hh_num!Q31)</f>
        <v>32577.760774017628</v>
      </c>
      <c r="R31" s="133">
        <f>IF(SER_hh_fec!R31=0,0,11630*1000*SER_hh_fec!R31/SER_hh_num!R31)</f>
        <v>32806.529921172238</v>
      </c>
      <c r="S31" s="133">
        <f>IF(SER_hh_fec!S31=0,0,11630*1000*SER_hh_fec!S31/SER_hh_num!S31)</f>
        <v>34107.26082681046</v>
      </c>
      <c r="T31" s="133">
        <f>IF(SER_hh_fec!T31=0,0,11630*1000*SER_hh_fec!T31/SER_hh_num!T31)</f>
        <v>34389.554661215152</v>
      </c>
      <c r="U31" s="133">
        <f>IF(SER_hh_fec!U31=0,0,11630*1000*SER_hh_fec!U31/SER_hh_num!U31)</f>
        <v>33644.569587052472</v>
      </c>
      <c r="V31" s="133">
        <f>IF(SER_hh_fec!V31=0,0,11630*1000*SER_hh_fec!V31/SER_hh_num!V31)</f>
        <v>29985.056407897886</v>
      </c>
      <c r="W31" s="133">
        <f>IF(SER_hh_fec!W31=0,0,11630*1000*SER_hh_fec!W31/SER_hh_num!W31)</f>
        <v>34233.471067691025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44621.184488384111</v>
      </c>
      <c r="L32" s="133">
        <f>IF(SER_hh_fec!L32=0,0,11630*1000*SER_hh_fec!L32/SER_hh_num!L32)</f>
        <v>35449.293751095298</v>
      </c>
      <c r="M32" s="133">
        <f>IF(SER_hh_fec!M32=0,0,11630*1000*SER_hh_fec!M32/SER_hh_num!M32)</f>
        <v>29851.15087578692</v>
      </c>
      <c r="N32" s="133">
        <f>IF(SER_hh_fec!N32=0,0,11630*1000*SER_hh_fec!N32/SER_hh_num!N32)</f>
        <v>31794.813916196526</v>
      </c>
      <c r="O32" s="133">
        <f>IF(SER_hh_fec!O32=0,0,11630*1000*SER_hh_fec!O32/SER_hh_num!O32)</f>
        <v>32365.375246595275</v>
      </c>
      <c r="P32" s="133">
        <f>IF(SER_hh_fec!P32=0,0,11630*1000*SER_hh_fec!P32/SER_hh_num!P32)</f>
        <v>30625.871632215614</v>
      </c>
      <c r="Q32" s="133">
        <f>IF(SER_hh_fec!Q32=0,0,11630*1000*SER_hh_fec!Q32/SER_hh_num!Q32)</f>
        <v>30512.392001526412</v>
      </c>
      <c r="R32" s="133">
        <f>IF(SER_hh_fec!R32=0,0,11630*1000*SER_hh_fec!R32/SER_hh_num!R32)</f>
        <v>29628.381466473536</v>
      </c>
      <c r="S32" s="133">
        <f>IF(SER_hh_fec!S32=0,0,11630*1000*SER_hh_fec!S32/SER_hh_num!S32)</f>
        <v>30962.228981618322</v>
      </c>
      <c r="T32" s="133">
        <f>IF(SER_hh_fec!T32=0,0,11630*1000*SER_hh_fec!T32/SER_hh_num!T32)</f>
        <v>37375.303903546534</v>
      </c>
      <c r="U32" s="133">
        <f>IF(SER_hh_fec!U32=0,0,11630*1000*SER_hh_fec!U32/SER_hh_num!U32)</f>
        <v>39048.882707228338</v>
      </c>
      <c r="V32" s="133">
        <f>IF(SER_hh_fec!V32=0,0,11630*1000*SER_hh_fec!V32/SER_hh_num!V32)</f>
        <v>31284.221389791081</v>
      </c>
      <c r="W32" s="133">
        <f>IF(SER_hh_fec!W32=0,0,11630*1000*SER_hh_fec!W32/SER_hh_num!W32)</f>
        <v>32591.224073992456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20287.870577283964</v>
      </c>
      <c r="C33" s="68">
        <f>IF(SER_hh_fec!C33=0,0,11630*1000*SER_hh_fec!C33/SER_hh_num!C33)</f>
        <v>20330.541623758636</v>
      </c>
      <c r="D33" s="68">
        <f>IF(SER_hh_fec!D33=0,0,11630*1000*SER_hh_fec!D33/SER_hh_num!D33)</f>
        <v>20789.533699752832</v>
      </c>
      <c r="E33" s="68">
        <f>IF(SER_hh_fec!E33=0,0,11630*1000*SER_hh_fec!E33/SER_hh_num!E33)</f>
        <v>20076.288308181305</v>
      </c>
      <c r="F33" s="68">
        <f>IF(SER_hh_fec!F33=0,0,11630*1000*SER_hh_fec!F33/SER_hh_num!F33)</f>
        <v>20435.848792832694</v>
      </c>
      <c r="G33" s="68">
        <f>IF(SER_hh_fec!G33=0,0,11630*1000*SER_hh_fec!G33/SER_hh_num!G33)</f>
        <v>20692.012942091867</v>
      </c>
      <c r="H33" s="68">
        <f>IF(SER_hh_fec!H33=0,0,11630*1000*SER_hh_fec!H33/SER_hh_num!H33)</f>
        <v>20852.417935795867</v>
      </c>
      <c r="I33" s="68">
        <f>IF(SER_hh_fec!I33=0,0,11630*1000*SER_hh_fec!I33/SER_hh_num!I33)</f>
        <v>21183.421200944398</v>
      </c>
      <c r="J33" s="68">
        <f>IF(SER_hh_fec!J33=0,0,11630*1000*SER_hh_fec!J33/SER_hh_num!J33)</f>
        <v>21840.432658586338</v>
      </c>
      <c r="K33" s="68">
        <f>IF(SER_hh_fec!K33=0,0,11630*1000*SER_hh_fec!K33/SER_hh_num!K33)</f>
        <v>22451.020774620894</v>
      </c>
      <c r="L33" s="68">
        <f>IF(SER_hh_fec!L33=0,0,11630*1000*SER_hh_fec!L33/SER_hh_num!L33)</f>
        <v>22656.519469302799</v>
      </c>
      <c r="M33" s="68">
        <f>IF(SER_hh_fec!M33=0,0,11630*1000*SER_hh_fec!M33/SER_hh_num!M33)</f>
        <v>22849.282178410838</v>
      </c>
      <c r="N33" s="68">
        <f>IF(SER_hh_fec!N33=0,0,11630*1000*SER_hh_fec!N33/SER_hh_num!N33)</f>
        <v>23707.506559863425</v>
      </c>
      <c r="O33" s="68">
        <f>IF(SER_hh_fec!O33=0,0,11630*1000*SER_hh_fec!O33/SER_hh_num!O33)</f>
        <v>24151.911679247747</v>
      </c>
      <c r="P33" s="68">
        <f>IF(SER_hh_fec!P33=0,0,11630*1000*SER_hh_fec!P33/SER_hh_num!P33)</f>
        <v>24538.26343830418</v>
      </c>
      <c r="Q33" s="68">
        <f>IF(SER_hh_fec!Q33=0,0,11630*1000*SER_hh_fec!Q33/SER_hh_num!Q33)</f>
        <v>24272.845124673197</v>
      </c>
      <c r="R33" s="68">
        <f>IF(SER_hh_fec!R33=0,0,11630*1000*SER_hh_fec!R33/SER_hh_num!R33)</f>
        <v>24670.137648626449</v>
      </c>
      <c r="S33" s="68">
        <f>IF(SER_hh_fec!S33=0,0,11630*1000*SER_hh_fec!S33/SER_hh_num!S33)</f>
        <v>25004.056949906077</v>
      </c>
      <c r="T33" s="68">
        <f>IF(SER_hh_fec!T33=0,0,11630*1000*SER_hh_fec!T33/SER_hh_num!T33)</f>
        <v>25157.852822542176</v>
      </c>
      <c r="U33" s="68">
        <f>IF(SER_hh_fec!U33=0,0,11630*1000*SER_hh_fec!U33/SER_hh_num!U33)</f>
        <v>25276.348697468118</v>
      </c>
      <c r="V33" s="68">
        <f>IF(SER_hh_fec!V33=0,0,11630*1000*SER_hh_fec!V33/SER_hh_num!V33)</f>
        <v>21782.183910487329</v>
      </c>
      <c r="W33" s="68">
        <f>IF(SER_hh_fec!W33=0,0,11630*1000*SER_hh_fec!W33/SER_hh_num!W33)</f>
        <v>25014.043296106538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89088.994112084518</v>
      </c>
      <c r="C3" s="126">
        <f>IF(SER_hh_tes!C3=0,0,11630*1000*SER_hh_tes!C3/SER_hh_num!C3)</f>
        <v>99727.060020666249</v>
      </c>
      <c r="D3" s="126">
        <f>IF(SER_hh_tes!D3=0,0,11630*1000*SER_hh_tes!D3/SER_hh_num!D3)</f>
        <v>100978.18815461716</v>
      </c>
      <c r="E3" s="126">
        <f>IF(SER_hh_tes!E3=0,0,11630*1000*SER_hh_tes!E3/SER_hh_num!E3)</f>
        <v>106066.97347916015</v>
      </c>
      <c r="F3" s="126">
        <f>IF(SER_hh_tes!F3=0,0,11630*1000*SER_hh_tes!F3/SER_hh_num!F3)</f>
        <v>102793.78804034977</v>
      </c>
      <c r="G3" s="126">
        <f>IF(SER_hh_tes!G3=0,0,11630*1000*SER_hh_tes!G3/SER_hh_num!G3)</f>
        <v>105206.79555285854</v>
      </c>
      <c r="H3" s="126">
        <f>IF(SER_hh_tes!H3=0,0,11630*1000*SER_hh_tes!H3/SER_hh_num!H3)</f>
        <v>99803.794353443081</v>
      </c>
      <c r="I3" s="126">
        <f>IF(SER_hh_tes!I3=0,0,11630*1000*SER_hh_tes!I3/SER_hh_num!I3)</f>
        <v>94760.394296695682</v>
      </c>
      <c r="J3" s="126">
        <f>IF(SER_hh_tes!J3=0,0,11630*1000*SER_hh_tes!J3/SER_hh_num!J3)</f>
        <v>101819.46372702681</v>
      </c>
      <c r="K3" s="126">
        <f>IF(SER_hh_tes!K3=0,0,11630*1000*SER_hh_tes!K3/SER_hh_num!K3)</f>
        <v>101440.53706574948</v>
      </c>
      <c r="L3" s="126">
        <f>IF(SER_hh_tes!L3=0,0,11630*1000*SER_hh_tes!L3/SER_hh_num!L3)</f>
        <v>108894.5247971074</v>
      </c>
      <c r="M3" s="126">
        <f>IF(SER_hh_tes!M3=0,0,11630*1000*SER_hh_tes!M3/SER_hh_num!M3)</f>
        <v>107714.08745253451</v>
      </c>
      <c r="N3" s="126">
        <f>IF(SER_hh_tes!N3=0,0,11630*1000*SER_hh_tes!N3/SER_hh_num!N3)</f>
        <v>109477.40381285154</v>
      </c>
      <c r="O3" s="126">
        <f>IF(SER_hh_tes!O3=0,0,11630*1000*SER_hh_tes!O3/SER_hh_num!O3)</f>
        <v>103282.42031708246</v>
      </c>
      <c r="P3" s="126">
        <f>IF(SER_hh_tes!P3=0,0,11630*1000*SER_hh_tes!P3/SER_hh_num!P3)</f>
        <v>90033.382859101795</v>
      </c>
      <c r="Q3" s="126">
        <f>IF(SER_hh_tes!Q3=0,0,11630*1000*SER_hh_tes!Q3/SER_hh_num!Q3)</f>
        <v>103299.59198877643</v>
      </c>
      <c r="R3" s="126">
        <f>IF(SER_hh_tes!R3=0,0,11630*1000*SER_hh_tes!R3/SER_hh_num!R3)</f>
        <v>103031.44682835694</v>
      </c>
      <c r="S3" s="126">
        <f>IF(SER_hh_tes!S3=0,0,11630*1000*SER_hh_tes!S3/SER_hh_num!S3)</f>
        <v>114277.55597252508</v>
      </c>
      <c r="T3" s="126">
        <f>IF(SER_hh_tes!T3=0,0,11630*1000*SER_hh_tes!T3/SER_hh_num!T3)</f>
        <v>114671.31690270771</v>
      </c>
      <c r="U3" s="126">
        <f>IF(SER_hh_tes!U3=0,0,11630*1000*SER_hh_tes!U3/SER_hh_num!U3)</f>
        <v>117966.64063152255</v>
      </c>
      <c r="V3" s="126">
        <f>IF(SER_hh_tes!V3=0,0,11630*1000*SER_hh_tes!V3/SER_hh_num!V3)</f>
        <v>105550.5687132091</v>
      </c>
      <c r="W3" s="126">
        <f>IF(SER_hh_tes!W3=0,0,11630*1000*SER_hh_tes!W3/SER_hh_num!W3)</f>
        <v>124032.81025818689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56706.529176686956</v>
      </c>
      <c r="C4" s="131">
        <f>IF(SER_hh_tes!C4=0,0,11630*1000*SER_hh_tes!C4/SER_hh_num!C4)</f>
        <v>66650.21824098262</v>
      </c>
      <c r="D4" s="131">
        <f>IF(SER_hh_tes!D4=0,0,11630*1000*SER_hh_tes!D4/SER_hh_num!D4)</f>
        <v>67288.908522502781</v>
      </c>
      <c r="E4" s="131">
        <f>IF(SER_hh_tes!E4=0,0,11630*1000*SER_hh_tes!E4/SER_hh_num!E4)</f>
        <v>67723.951246730474</v>
      </c>
      <c r="F4" s="131">
        <f>IF(SER_hh_tes!F4=0,0,11630*1000*SER_hh_tes!F4/SER_hh_num!F4)</f>
        <v>68032.679337296417</v>
      </c>
      <c r="G4" s="131">
        <f>IF(SER_hh_tes!G4=0,0,11630*1000*SER_hh_tes!G4/SER_hh_num!G4)</f>
        <v>69583.580563264884</v>
      </c>
      <c r="H4" s="131">
        <f>IF(SER_hh_tes!H4=0,0,11630*1000*SER_hh_tes!H4/SER_hh_num!H4)</f>
        <v>62757.656499272984</v>
      </c>
      <c r="I4" s="131">
        <f>IF(SER_hh_tes!I4=0,0,11630*1000*SER_hh_tes!I4/SER_hh_num!I4)</f>
        <v>56357.609554470488</v>
      </c>
      <c r="J4" s="131">
        <f>IF(SER_hh_tes!J4=0,0,11630*1000*SER_hh_tes!J4/SER_hh_num!J4)</f>
        <v>62025.811735198156</v>
      </c>
      <c r="K4" s="131">
        <f>IF(SER_hh_tes!K4=0,0,11630*1000*SER_hh_tes!K4/SER_hh_num!K4)</f>
        <v>60614.5775443819</v>
      </c>
      <c r="L4" s="131">
        <f>IF(SER_hh_tes!L4=0,0,11630*1000*SER_hh_tes!L4/SER_hh_num!L4)</f>
        <v>66968.748332466712</v>
      </c>
      <c r="M4" s="131">
        <f>IF(SER_hh_tes!M4=0,0,11630*1000*SER_hh_tes!M4/SER_hh_num!M4)</f>
        <v>64590.847069683368</v>
      </c>
      <c r="N4" s="131">
        <f>IF(SER_hh_tes!N4=0,0,11630*1000*SER_hh_tes!N4/SER_hh_num!N4)</f>
        <v>59487.548402195258</v>
      </c>
      <c r="O4" s="131">
        <f>IF(SER_hh_tes!O4=0,0,11630*1000*SER_hh_tes!O4/SER_hh_num!O4)</f>
        <v>57943.350005220411</v>
      </c>
      <c r="P4" s="131">
        <f>IF(SER_hh_tes!P4=0,0,11630*1000*SER_hh_tes!P4/SER_hh_num!P4)</f>
        <v>46582.914103335213</v>
      </c>
      <c r="Q4" s="131">
        <f>IF(SER_hh_tes!Q4=0,0,11630*1000*SER_hh_tes!Q4/SER_hh_num!Q4)</f>
        <v>53963.842363308839</v>
      </c>
      <c r="R4" s="131">
        <f>IF(SER_hh_tes!R4=0,0,11630*1000*SER_hh_tes!R4/SER_hh_num!R4)</f>
        <v>57859.314298937417</v>
      </c>
      <c r="S4" s="131">
        <f>IF(SER_hh_tes!S4=0,0,11630*1000*SER_hh_tes!S4/SER_hh_num!S4)</f>
        <v>63854.355376811058</v>
      </c>
      <c r="T4" s="131">
        <f>IF(SER_hh_tes!T4=0,0,11630*1000*SER_hh_tes!T4/SER_hh_num!T4)</f>
        <v>67680.101107015304</v>
      </c>
      <c r="U4" s="131">
        <f>IF(SER_hh_tes!U4=0,0,11630*1000*SER_hh_tes!U4/SER_hh_num!U4)</f>
        <v>68148.428295027377</v>
      </c>
      <c r="V4" s="131">
        <f>IF(SER_hh_tes!V4=0,0,11630*1000*SER_hh_tes!V4/SER_hh_num!V4)</f>
        <v>62431.258657718179</v>
      </c>
      <c r="W4" s="131">
        <f>IF(SER_hh_tes!W4=0,0,11630*1000*SER_hh_tes!W4/SER_hh_num!W4)</f>
        <v>73634.289711965976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63787.255447738207</v>
      </c>
      <c r="C5" s="133">
        <f>IF(SER_hh_tes!C5=0,0,11630*1000*SER_hh_tes!C5/SER_hh_num!C5)</f>
        <v>49748.796788227839</v>
      </c>
      <c r="D5" s="133">
        <f>IF(SER_hh_tes!D5=0,0,11630*1000*SER_hh_tes!D5/SER_hh_num!D5)</f>
        <v>68931.996744789751</v>
      </c>
      <c r="E5" s="133">
        <f>IF(SER_hh_tes!E5=0,0,11630*1000*SER_hh_tes!E5/SER_hh_num!E5)</f>
        <v>93436.234875842783</v>
      </c>
      <c r="F5" s="133">
        <f>IF(SER_hh_tes!F5=0,0,11630*1000*SER_hh_tes!F5/SER_hh_num!F5)</f>
        <v>58573.27608937677</v>
      </c>
      <c r="G5" s="133">
        <f>IF(SER_hh_tes!G5=0,0,11630*1000*SER_hh_tes!G5/SER_hh_num!G5)</f>
        <v>13767.197476954365</v>
      </c>
      <c r="H5" s="133">
        <f>IF(SER_hh_tes!H5=0,0,11630*1000*SER_hh_tes!H5/SER_hh_num!H5)</f>
        <v>83230.932576167354</v>
      </c>
      <c r="I5" s="133">
        <f>IF(SER_hh_tes!I5=0,0,11630*1000*SER_hh_tes!I5/SER_hh_num!I5)</f>
        <v>45637.129047667659</v>
      </c>
      <c r="J5" s="133">
        <f>IF(SER_hh_tes!J5=0,0,11630*1000*SER_hh_tes!J5/SER_hh_num!J5)</f>
        <v>69246.303583490604</v>
      </c>
      <c r="K5" s="133">
        <f>IF(SER_hh_tes!K5=0,0,11630*1000*SER_hh_tes!K5/SER_hh_num!K5)</f>
        <v>65920.739401738902</v>
      </c>
      <c r="L5" s="133">
        <f>IF(SER_hh_tes!L5=0,0,11630*1000*SER_hh_tes!L5/SER_hh_num!L5)</f>
        <v>40775.424771010832</v>
      </c>
      <c r="M5" s="133">
        <f>IF(SER_hh_tes!M5=0,0,11630*1000*SER_hh_tes!M5/SER_hh_num!M5)</f>
        <v>88040.408636133841</v>
      </c>
      <c r="N5" s="133">
        <f>IF(SER_hh_tes!N5=0,0,11630*1000*SER_hh_tes!N5/SER_hh_num!N5)</f>
        <v>91063.688710700328</v>
      </c>
      <c r="O5" s="133">
        <f>IF(SER_hh_tes!O5=0,0,11630*1000*SER_hh_tes!O5/SER_hh_num!O5)</f>
        <v>16364.886399677705</v>
      </c>
      <c r="P5" s="133">
        <f>IF(SER_hh_tes!P5=0,0,11630*1000*SER_hh_tes!P5/SER_hh_num!P5)</f>
        <v>15850.174914787265</v>
      </c>
      <c r="Q5" s="133">
        <f>IF(SER_hh_tes!Q5=0,0,11630*1000*SER_hh_tes!Q5/SER_hh_num!Q5)</f>
        <v>30084.228568292056</v>
      </c>
      <c r="R5" s="133">
        <f>IF(SER_hh_tes!R5=0,0,11630*1000*SER_hh_tes!R5/SER_hh_num!R5)</f>
        <v>38816.240802297121</v>
      </c>
      <c r="S5" s="133">
        <f>IF(SER_hh_tes!S5=0,0,11630*1000*SER_hh_tes!S5/SER_hh_num!S5)</f>
        <v>111739.94834781664</v>
      </c>
      <c r="T5" s="133">
        <f>IF(SER_hh_tes!T5=0,0,11630*1000*SER_hh_tes!T5/SER_hh_num!T5)</f>
        <v>59045.154027642049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58984.779207414118</v>
      </c>
      <c r="C7" s="133">
        <f>IF(SER_hh_tes!C7=0,0,11630*1000*SER_hh_tes!C7/SER_hh_num!C7)</f>
        <v>62549.802354251624</v>
      </c>
      <c r="D7" s="133">
        <f>IF(SER_hh_tes!D7=0,0,11630*1000*SER_hh_tes!D7/SER_hh_num!D7)</f>
        <v>69052.16012219293</v>
      </c>
      <c r="E7" s="133">
        <f>IF(SER_hh_tes!E7=0,0,11630*1000*SER_hh_tes!E7/SER_hh_num!E7)</f>
        <v>67903.217737161351</v>
      </c>
      <c r="F7" s="133">
        <f>IF(SER_hh_tes!F7=0,0,11630*1000*SER_hh_tes!F7/SER_hh_num!F7)</f>
        <v>69609.232288944797</v>
      </c>
      <c r="G7" s="133">
        <f>IF(SER_hh_tes!G7=0,0,11630*1000*SER_hh_tes!G7/SER_hh_num!G7)</f>
        <v>67466.345597034786</v>
      </c>
      <c r="H7" s="133">
        <f>IF(SER_hh_tes!H7=0,0,11630*1000*SER_hh_tes!H7/SER_hh_num!H7)</f>
        <v>62696.516991431192</v>
      </c>
      <c r="I7" s="133">
        <f>IF(SER_hh_tes!I7=0,0,11630*1000*SER_hh_tes!I7/SER_hh_num!I7)</f>
        <v>55604.605292063658</v>
      </c>
      <c r="J7" s="133">
        <f>IF(SER_hh_tes!J7=0,0,11630*1000*SER_hh_tes!J7/SER_hh_num!J7)</f>
        <v>58243.318882726038</v>
      </c>
      <c r="K7" s="133">
        <f>IF(SER_hh_tes!K7=0,0,11630*1000*SER_hh_tes!K7/SER_hh_num!K7)</f>
        <v>60759.923850526677</v>
      </c>
      <c r="L7" s="133">
        <f>IF(SER_hh_tes!L7=0,0,11630*1000*SER_hh_tes!L7/SER_hh_num!L7)</f>
        <v>64319.344876829571</v>
      </c>
      <c r="M7" s="133">
        <f>IF(SER_hh_tes!M7=0,0,11630*1000*SER_hh_tes!M7/SER_hh_num!M7)</f>
        <v>65097.207169013251</v>
      </c>
      <c r="N7" s="133">
        <f>IF(SER_hh_tes!N7=0,0,11630*1000*SER_hh_tes!N7/SER_hh_num!N7)</f>
        <v>58390.123814816732</v>
      </c>
      <c r="O7" s="133">
        <f>IF(SER_hh_tes!O7=0,0,11630*1000*SER_hh_tes!O7/SER_hh_num!O7)</f>
        <v>53891.562875977019</v>
      </c>
      <c r="P7" s="133">
        <f>IF(SER_hh_tes!P7=0,0,11630*1000*SER_hh_tes!P7/SER_hh_num!P7)</f>
        <v>42406.028251529526</v>
      </c>
      <c r="Q7" s="133">
        <f>IF(SER_hh_tes!Q7=0,0,11630*1000*SER_hh_tes!Q7/SER_hh_num!Q7)</f>
        <v>57201.097380961342</v>
      </c>
      <c r="R7" s="133">
        <f>IF(SER_hh_tes!R7=0,0,11630*1000*SER_hh_tes!R7/SER_hh_num!R7)</f>
        <v>59287.514253245849</v>
      </c>
      <c r="S7" s="133">
        <f>IF(SER_hh_tes!S7=0,0,11630*1000*SER_hh_tes!S7/SER_hh_num!S7)</f>
        <v>66238.313877707871</v>
      </c>
      <c r="T7" s="133">
        <f>IF(SER_hh_tes!T7=0,0,11630*1000*SER_hh_tes!T7/SER_hh_num!T7)</f>
        <v>66902.687791045842</v>
      </c>
      <c r="U7" s="133">
        <f>IF(SER_hh_tes!U7=0,0,11630*1000*SER_hh_tes!U7/SER_hh_num!U7)</f>
        <v>56632.660914418557</v>
      </c>
      <c r="V7" s="133">
        <f>IF(SER_hh_tes!V7=0,0,11630*1000*SER_hh_tes!V7/SER_hh_num!V7)</f>
        <v>67936.150668477858</v>
      </c>
      <c r="W7" s="133">
        <f>IF(SER_hh_tes!W7=0,0,11630*1000*SER_hh_tes!W7/SER_hh_num!W7)</f>
        <v>64096.408777894809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50592.62763853791</v>
      </c>
      <c r="C9" s="133">
        <f>IF(SER_hh_tes!C9=0,0,11630*1000*SER_hh_tes!C9/SER_hh_num!C9)</f>
        <v>71577.711388863318</v>
      </c>
      <c r="D9" s="133">
        <f>IF(SER_hh_tes!D9=0,0,11630*1000*SER_hh_tes!D9/SER_hh_num!D9)</f>
        <v>63231.575469999858</v>
      </c>
      <c r="E9" s="133">
        <f>IF(SER_hh_tes!E9=0,0,11630*1000*SER_hh_tes!E9/SER_hh_num!E9)</f>
        <v>65097.67569961823</v>
      </c>
      <c r="F9" s="133">
        <f>IF(SER_hh_tes!F9=0,0,11630*1000*SER_hh_tes!F9/SER_hh_num!F9)</f>
        <v>65987.489136955453</v>
      </c>
      <c r="G9" s="133">
        <f>IF(SER_hh_tes!G9=0,0,11630*1000*SER_hh_tes!G9/SER_hh_num!G9)</f>
        <v>68323.249324126911</v>
      </c>
      <c r="H9" s="133">
        <f>IF(SER_hh_tes!H9=0,0,11630*1000*SER_hh_tes!H9/SER_hh_num!H9)</f>
        <v>61907.457984934154</v>
      </c>
      <c r="I9" s="133">
        <f>IF(SER_hh_tes!I9=0,0,11630*1000*SER_hh_tes!I9/SER_hh_num!I9)</f>
        <v>56446.490651084976</v>
      </c>
      <c r="J9" s="133">
        <f>IF(SER_hh_tes!J9=0,0,11630*1000*SER_hh_tes!J9/SER_hh_num!J9)</f>
        <v>59854.433038263473</v>
      </c>
      <c r="K9" s="133">
        <f>IF(SER_hh_tes!K9=0,0,11630*1000*SER_hh_tes!K9/SER_hh_num!K9)</f>
        <v>59178.00295490124</v>
      </c>
      <c r="L9" s="133">
        <f>IF(SER_hh_tes!L9=0,0,11630*1000*SER_hh_tes!L9/SER_hh_num!L9)</f>
        <v>71024.911796828877</v>
      </c>
      <c r="M9" s="133">
        <f>IF(SER_hh_tes!M9=0,0,11630*1000*SER_hh_tes!M9/SER_hh_num!M9)</f>
        <v>62151.986875048511</v>
      </c>
      <c r="N9" s="133">
        <f>IF(SER_hh_tes!N9=0,0,11630*1000*SER_hh_tes!N9/SER_hh_num!N9)</f>
        <v>55395.029855131885</v>
      </c>
      <c r="O9" s="133">
        <f>IF(SER_hh_tes!O9=0,0,11630*1000*SER_hh_tes!O9/SER_hh_num!O9)</f>
        <v>53724.681856191157</v>
      </c>
      <c r="P9" s="133">
        <f>IF(SER_hh_tes!P9=0,0,11630*1000*SER_hh_tes!P9/SER_hh_num!P9)</f>
        <v>45544.166684052674</v>
      </c>
      <c r="Q9" s="133">
        <f>IF(SER_hh_tes!Q9=0,0,11630*1000*SER_hh_tes!Q9/SER_hh_num!Q9)</f>
        <v>55457.736750480479</v>
      </c>
      <c r="R9" s="133">
        <f>IF(SER_hh_tes!R9=0,0,11630*1000*SER_hh_tes!R9/SER_hh_num!R9)</f>
        <v>58323.940321720947</v>
      </c>
      <c r="S9" s="133">
        <f>IF(SER_hh_tes!S9=0,0,11630*1000*SER_hh_tes!S9/SER_hh_num!S9)</f>
        <v>61996.873295480036</v>
      </c>
      <c r="T9" s="133">
        <f>IF(SER_hh_tes!T9=0,0,11630*1000*SER_hh_tes!T9/SER_hh_num!T9)</f>
        <v>65550.178326579742</v>
      </c>
      <c r="U9" s="133">
        <f>IF(SER_hh_tes!U9=0,0,11630*1000*SER_hh_tes!U9/SER_hh_num!U9)</f>
        <v>67022.372254264614</v>
      </c>
      <c r="V9" s="133">
        <f>IF(SER_hh_tes!V9=0,0,11630*1000*SER_hh_tes!V9/SER_hh_num!V9)</f>
        <v>61584.494204128132</v>
      </c>
      <c r="W9" s="133">
        <f>IF(SER_hh_tes!W9=0,0,11630*1000*SER_hh_tes!W9/SER_hh_num!W9)</f>
        <v>73221.610392752031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82092.817405081965</v>
      </c>
      <c r="J10" s="133">
        <f>IF(SER_hh_tes!J10=0,0,11630*1000*SER_hh_tes!J10/SER_hh_num!J10)</f>
        <v>59032.353959326734</v>
      </c>
      <c r="K10" s="133">
        <f>IF(SER_hh_tes!K10=0,0,11630*1000*SER_hh_tes!K10/SER_hh_num!K10)</f>
        <v>67114.794521084943</v>
      </c>
      <c r="L10" s="133">
        <f>IF(SER_hh_tes!L10=0,0,11630*1000*SER_hh_tes!L10/SER_hh_num!L10)</f>
        <v>58356.628009915097</v>
      </c>
      <c r="M10" s="133">
        <f>IF(SER_hh_tes!M10=0,0,11630*1000*SER_hh_tes!M10/SER_hh_num!M10)</f>
        <v>69550.421046549251</v>
      </c>
      <c r="N10" s="133">
        <f>IF(SER_hh_tes!N10=0,0,11630*1000*SER_hh_tes!N10/SER_hh_num!N10)</f>
        <v>54384.599409458075</v>
      </c>
      <c r="O10" s="133">
        <f>IF(SER_hh_tes!O10=0,0,11630*1000*SER_hh_tes!O10/SER_hh_num!O10)</f>
        <v>47205.017892086427</v>
      </c>
      <c r="P10" s="133">
        <f>IF(SER_hh_tes!P10=0,0,11630*1000*SER_hh_tes!P10/SER_hh_num!P10)</f>
        <v>48714.293298638593</v>
      </c>
      <c r="Q10" s="133">
        <f>IF(SER_hh_tes!Q10=0,0,11630*1000*SER_hh_tes!Q10/SER_hh_num!Q10)</f>
        <v>52955.460979283678</v>
      </c>
      <c r="R10" s="133">
        <f>IF(SER_hh_tes!R10=0,0,11630*1000*SER_hh_tes!R10/SER_hh_num!R10)</f>
        <v>58476.070573786186</v>
      </c>
      <c r="S10" s="133">
        <f>IF(SER_hh_tes!S10=0,0,11630*1000*SER_hh_tes!S10/SER_hh_num!S10)</f>
        <v>61982.009271885894</v>
      </c>
      <c r="T10" s="133">
        <f>IF(SER_hh_tes!T10=0,0,11630*1000*SER_hh_tes!T10/SER_hh_num!T10)</f>
        <v>63962.107625518234</v>
      </c>
      <c r="U10" s="133">
        <f>IF(SER_hh_tes!U10=0,0,11630*1000*SER_hh_tes!U10/SER_hh_num!U10)</f>
        <v>69087.008469606546</v>
      </c>
      <c r="V10" s="133">
        <f>IF(SER_hh_tes!V10=0,0,11630*1000*SER_hh_tes!V10/SER_hh_num!V10)</f>
        <v>67813.517162872609</v>
      </c>
      <c r="W10" s="133">
        <f>IF(SER_hh_tes!W10=0,0,11630*1000*SER_hh_tes!W10/SER_hh_num!W10)</f>
        <v>63798.44523606648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84790.870171908755</v>
      </c>
      <c r="J11" s="133">
        <f>IF(SER_hh_tes!J11=0,0,11630*1000*SER_hh_tes!J11/SER_hh_num!J11)</f>
        <v>59999.565065121649</v>
      </c>
      <c r="K11" s="133">
        <f>IF(SER_hh_tes!K11=0,0,11630*1000*SER_hh_tes!K11/SER_hh_num!K11)</f>
        <v>46119.353841141536</v>
      </c>
      <c r="L11" s="133">
        <f>IF(SER_hh_tes!L11=0,0,11630*1000*SER_hh_tes!L11/SER_hh_num!L11)</f>
        <v>76023.258834959532</v>
      </c>
      <c r="M11" s="133">
        <f>IF(SER_hh_tes!M11=0,0,11630*1000*SER_hh_tes!M11/SER_hh_num!M11)</f>
        <v>66197.460759015201</v>
      </c>
      <c r="N11" s="133">
        <f>IF(SER_hh_tes!N11=0,0,11630*1000*SER_hh_tes!N11/SER_hh_num!N11)</f>
        <v>63159.987384754277</v>
      </c>
      <c r="O11" s="133">
        <f>IF(SER_hh_tes!O11=0,0,11630*1000*SER_hh_tes!O11/SER_hh_num!O11)</f>
        <v>64156.290905361908</v>
      </c>
      <c r="P11" s="133">
        <f>IF(SER_hh_tes!P11=0,0,11630*1000*SER_hh_tes!P11/SER_hh_num!P11)</f>
        <v>39336.645264511433</v>
      </c>
      <c r="Q11" s="133">
        <f>IF(SER_hh_tes!Q11=0,0,11630*1000*SER_hh_tes!Q11/SER_hh_num!Q11)</f>
        <v>55119.058366276491</v>
      </c>
      <c r="R11" s="133">
        <f>IF(SER_hh_tes!R11=0,0,11630*1000*SER_hh_tes!R11/SER_hh_num!R11)</f>
        <v>61720.639204270141</v>
      </c>
      <c r="S11" s="133">
        <f>IF(SER_hh_tes!S11=0,0,11630*1000*SER_hh_tes!S11/SER_hh_num!S11)</f>
        <v>61641.01291066836</v>
      </c>
      <c r="T11" s="133">
        <f>IF(SER_hh_tes!T11=0,0,11630*1000*SER_hh_tes!T11/SER_hh_num!T11)</f>
        <v>63575.97779119914</v>
      </c>
      <c r="U11" s="133">
        <f>IF(SER_hh_tes!U11=0,0,11630*1000*SER_hh_tes!U11/SER_hh_num!U11)</f>
        <v>66206.932310574659</v>
      </c>
      <c r="V11" s="133">
        <f>IF(SER_hh_tes!V11=0,0,11630*1000*SER_hh_tes!V11/SER_hh_num!V11)</f>
        <v>67443.825145170282</v>
      </c>
      <c r="W11" s="133">
        <f>IF(SER_hh_tes!W11=0,0,11630*1000*SER_hh_tes!W11/SER_hh_num!W11)</f>
        <v>65789.3933552362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57148.445684089122</v>
      </c>
      <c r="C12" s="133">
        <f>IF(SER_hh_tes!C12=0,0,11630*1000*SER_hh_tes!C12/SER_hh_num!C12)</f>
        <v>66224.657666147978</v>
      </c>
      <c r="D12" s="133">
        <f>IF(SER_hh_tes!D12=0,0,11630*1000*SER_hh_tes!D12/SER_hh_num!D12)</f>
        <v>63848.76779447835</v>
      </c>
      <c r="E12" s="133">
        <f>IF(SER_hh_tes!E12=0,0,11630*1000*SER_hh_tes!E12/SER_hh_num!E12)</f>
        <v>69983.828253693428</v>
      </c>
      <c r="F12" s="133">
        <f>IF(SER_hh_tes!F12=0,0,11630*1000*SER_hh_tes!F12/SER_hh_num!F12)</f>
        <v>67365.266734687422</v>
      </c>
      <c r="G12" s="133">
        <f>IF(SER_hh_tes!G12=0,0,11630*1000*SER_hh_tes!G12/SER_hh_num!G12)</f>
        <v>70954.288647211404</v>
      </c>
      <c r="H12" s="133">
        <f>IF(SER_hh_tes!H12=0,0,11630*1000*SER_hh_tes!H12/SER_hh_num!H12)</f>
        <v>60997.414906438287</v>
      </c>
      <c r="I12" s="133">
        <f>IF(SER_hh_tes!I12=0,0,11630*1000*SER_hh_tes!I12/SER_hh_num!I12)</f>
        <v>56477.944872854227</v>
      </c>
      <c r="J12" s="133">
        <f>IF(SER_hh_tes!J12=0,0,11630*1000*SER_hh_tes!J12/SER_hh_num!J12)</f>
        <v>61175.202064735968</v>
      </c>
      <c r="K12" s="133">
        <f>IF(SER_hh_tes!K12=0,0,11630*1000*SER_hh_tes!K12/SER_hh_num!K12)</f>
        <v>59180.525305804942</v>
      </c>
      <c r="L12" s="133">
        <f>IF(SER_hh_tes!L12=0,0,11630*1000*SER_hh_tes!L12/SER_hh_num!L12)</f>
        <v>67020.473629745145</v>
      </c>
      <c r="M12" s="133">
        <f>IF(SER_hh_tes!M12=0,0,11630*1000*SER_hh_tes!M12/SER_hh_num!M12)</f>
        <v>64780.147891501932</v>
      </c>
      <c r="N12" s="133">
        <f>IF(SER_hh_tes!N12=0,0,11630*1000*SER_hh_tes!N12/SER_hh_num!N12)</f>
        <v>59563.647356359412</v>
      </c>
      <c r="O12" s="133">
        <f>IF(SER_hh_tes!O12=0,0,11630*1000*SER_hh_tes!O12/SER_hh_num!O12)</f>
        <v>60551.908822678633</v>
      </c>
      <c r="P12" s="133">
        <f>IF(SER_hh_tes!P12=0,0,11630*1000*SER_hh_tes!P12/SER_hh_num!P12)</f>
        <v>45975.578085101202</v>
      </c>
      <c r="Q12" s="133">
        <f>IF(SER_hh_tes!Q12=0,0,11630*1000*SER_hh_tes!Q12/SER_hh_num!Q12)</f>
        <v>53626.036302536151</v>
      </c>
      <c r="R12" s="133">
        <f>IF(SER_hh_tes!R12=0,0,11630*1000*SER_hh_tes!R12/SER_hh_num!R12)</f>
        <v>59866.993389044073</v>
      </c>
      <c r="S12" s="133">
        <f>IF(SER_hh_tes!S12=0,0,11630*1000*SER_hh_tes!S12/SER_hh_num!S12)</f>
        <v>63128.87187715881</v>
      </c>
      <c r="T12" s="133">
        <f>IF(SER_hh_tes!T12=0,0,11630*1000*SER_hh_tes!T12/SER_hh_num!T12)</f>
        <v>62962.683476393067</v>
      </c>
      <c r="U12" s="133">
        <f>IF(SER_hh_tes!U12=0,0,11630*1000*SER_hh_tes!U12/SER_hh_num!U12)</f>
        <v>62679.947888788782</v>
      </c>
      <c r="V12" s="133">
        <f>IF(SER_hh_tes!V12=0,0,11630*1000*SER_hh_tes!V12/SER_hh_num!V12)</f>
        <v>64904.546606267264</v>
      </c>
      <c r="W12" s="133">
        <f>IF(SER_hh_tes!W12=0,0,11630*1000*SER_hh_tes!W12/SER_hh_num!W12)</f>
        <v>73587.665412610542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54777.954434525091</v>
      </c>
      <c r="C14" s="65">
        <f>IF(SER_hh_tes!C14=0,0,11630*1000*SER_hh_tes!C14/SER_hh_num!C14)</f>
        <v>66049.544103983848</v>
      </c>
      <c r="D14" s="65">
        <f>IF(SER_hh_tes!D14=0,0,11630*1000*SER_hh_tes!D14/SER_hh_num!D14)</f>
        <v>68177.42221619928</v>
      </c>
      <c r="E14" s="65">
        <f>IF(SER_hh_tes!E14=0,0,11630*1000*SER_hh_tes!E14/SER_hh_num!E14)</f>
        <v>63642.278943689729</v>
      </c>
      <c r="F14" s="65">
        <f>IF(SER_hh_tes!F14=0,0,11630*1000*SER_hh_tes!F14/SER_hh_num!F14)</f>
        <v>65903.01664238605</v>
      </c>
      <c r="G14" s="65">
        <f>IF(SER_hh_tes!G14=0,0,11630*1000*SER_hh_tes!G14/SER_hh_num!G14)</f>
        <v>69969.618919928529</v>
      </c>
      <c r="H14" s="65">
        <f>IF(SER_hh_tes!H14=0,0,11630*1000*SER_hh_tes!H14/SER_hh_num!H14)</f>
        <v>62456.698941299532</v>
      </c>
      <c r="I14" s="65">
        <f>IF(SER_hh_tes!I14=0,0,11630*1000*SER_hh_tes!I14/SER_hh_num!I14)</f>
        <v>54440.920178795706</v>
      </c>
      <c r="J14" s="65">
        <f>IF(SER_hh_tes!J14=0,0,11630*1000*SER_hh_tes!J14/SER_hh_num!J14)</f>
        <v>64396.670392157714</v>
      </c>
      <c r="K14" s="65">
        <f>IF(SER_hh_tes!K14=0,0,11630*1000*SER_hh_tes!K14/SER_hh_num!K14)</f>
        <v>61407.944664269031</v>
      </c>
      <c r="L14" s="65">
        <f>IF(SER_hh_tes!L14=0,0,11630*1000*SER_hh_tes!L14/SER_hh_num!L14)</f>
        <v>63343.57556562026</v>
      </c>
      <c r="M14" s="65">
        <f>IF(SER_hh_tes!M14=0,0,11630*1000*SER_hh_tes!M14/SER_hh_num!M14)</f>
        <v>64366.254763145123</v>
      </c>
      <c r="N14" s="65">
        <f>IF(SER_hh_tes!N14=0,0,11630*1000*SER_hh_tes!N14/SER_hh_num!N14)</f>
        <v>61286.374737963321</v>
      </c>
      <c r="O14" s="65">
        <f>IF(SER_hh_tes!O14=0,0,11630*1000*SER_hh_tes!O14/SER_hh_num!O14)</f>
        <v>60156.895591691755</v>
      </c>
      <c r="P14" s="65">
        <f>IF(SER_hh_tes!P14=0,0,11630*1000*SER_hh_tes!P14/SER_hh_num!P14)</f>
        <v>48547.947408080392</v>
      </c>
      <c r="Q14" s="65">
        <f>IF(SER_hh_tes!Q14=0,0,11630*1000*SER_hh_tes!Q14/SER_hh_num!Q14)</f>
        <v>49954.942435875746</v>
      </c>
      <c r="R14" s="65">
        <f>IF(SER_hh_tes!R14=0,0,11630*1000*SER_hh_tes!R14/SER_hh_num!R14)</f>
        <v>54211.215533589821</v>
      </c>
      <c r="S14" s="65">
        <f>IF(SER_hh_tes!S14=0,0,11630*1000*SER_hh_tes!S14/SER_hh_num!S14)</f>
        <v>64313.301175284032</v>
      </c>
      <c r="T14" s="65">
        <f>IF(SER_hh_tes!T14=0,0,11630*1000*SER_hh_tes!T14/SER_hh_num!T14)</f>
        <v>70642.589932262694</v>
      </c>
      <c r="U14" s="65">
        <f>IF(SER_hh_tes!U14=0,0,11630*1000*SER_hh_tes!U14/SER_hh_num!U14)</f>
        <v>71408.97644937002</v>
      </c>
      <c r="V14" s="65">
        <f>IF(SER_hh_tes!V14=0,0,11630*1000*SER_hh_tes!V14/SER_hh_num!V14)</f>
        <v>59978.207142563202</v>
      </c>
      <c r="W14" s="65">
        <f>IF(SER_hh_tes!W14=0,0,11630*1000*SER_hh_tes!W14/SER_hh_num!W14)</f>
        <v>74404.918087683094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857.23580610784677</v>
      </c>
      <c r="C15" s="135">
        <f>IF(SER_hh_tes!C15=0,0,11630*1000*SER_hh_tes!C15/SER_hh_num!C15)</f>
        <v>1001.3932642986255</v>
      </c>
      <c r="D15" s="135">
        <f>IF(SER_hh_tes!D15=0,0,11630*1000*SER_hh_tes!D15/SER_hh_num!D15)</f>
        <v>996.06126234548947</v>
      </c>
      <c r="E15" s="135">
        <f>IF(SER_hh_tes!E15=0,0,11630*1000*SER_hh_tes!E15/SER_hh_num!E15)</f>
        <v>990.26771446550947</v>
      </c>
      <c r="F15" s="135">
        <f>IF(SER_hh_tes!F15=0,0,11630*1000*SER_hh_tes!F15/SER_hh_num!F15)</f>
        <v>983.55807910226167</v>
      </c>
      <c r="G15" s="135">
        <f>IF(SER_hh_tes!G15=0,0,11630*1000*SER_hh_tes!G15/SER_hh_num!G15)</f>
        <v>964.29688777358172</v>
      </c>
      <c r="H15" s="135">
        <f>IF(SER_hh_tes!H15=0,0,11630*1000*SER_hh_tes!H15/SER_hh_num!H15)</f>
        <v>870.42519955513444</v>
      </c>
      <c r="I15" s="135">
        <f>IF(SER_hh_tes!I15=0,0,11630*1000*SER_hh_tes!I15/SER_hh_num!I15)</f>
        <v>763.10943779463594</v>
      </c>
      <c r="J15" s="135">
        <f>IF(SER_hh_tes!J15=0,0,11630*1000*SER_hh_tes!J15/SER_hh_num!J15)</f>
        <v>786.96120910986758</v>
      </c>
      <c r="K15" s="135">
        <f>IF(SER_hh_tes!K15=0,0,11630*1000*SER_hh_tes!K15/SER_hh_num!K15)</f>
        <v>771.96896483404453</v>
      </c>
      <c r="L15" s="135">
        <f>IF(SER_hh_tes!L15=0,0,11630*1000*SER_hh_tes!L15/SER_hh_num!L15)</f>
        <v>862.04338452268132</v>
      </c>
      <c r="M15" s="135">
        <f>IF(SER_hh_tes!M15=0,0,11630*1000*SER_hh_tes!M15/SER_hh_num!M15)</f>
        <v>775.95585824419743</v>
      </c>
      <c r="N15" s="135">
        <f>IF(SER_hh_tes!N15=0,0,11630*1000*SER_hh_tes!N15/SER_hh_num!N15)</f>
        <v>681.11604881484084</v>
      </c>
      <c r="O15" s="135">
        <f>IF(SER_hh_tes!O15=0,0,11630*1000*SER_hh_tes!O15/SER_hh_num!O15)</f>
        <v>653.17452415910509</v>
      </c>
      <c r="P15" s="135">
        <f>IF(SER_hh_tes!P15=0,0,11630*1000*SER_hh_tes!P15/SER_hh_num!P15)</f>
        <v>548.93179621211311</v>
      </c>
      <c r="Q15" s="135">
        <f>IF(SER_hh_tes!Q15=0,0,11630*1000*SER_hh_tes!Q15/SER_hh_num!Q15)</f>
        <v>696.77955807319324</v>
      </c>
      <c r="R15" s="135">
        <f>IF(SER_hh_tes!R15=0,0,11630*1000*SER_hh_tes!R15/SER_hh_num!R15)</f>
        <v>740.97462818402084</v>
      </c>
      <c r="S15" s="135">
        <f>IF(SER_hh_tes!S15=0,0,11630*1000*SER_hh_tes!S15/SER_hh_num!S15)</f>
        <v>798.63114117599173</v>
      </c>
      <c r="T15" s="135">
        <f>IF(SER_hh_tes!T15=0,0,11630*1000*SER_hh_tes!T15/SER_hh_num!T15)</f>
        <v>837.47088666094078</v>
      </c>
      <c r="U15" s="135">
        <f>IF(SER_hh_tes!U15=0,0,11630*1000*SER_hh_tes!U15/SER_hh_num!U15)</f>
        <v>838.51344328782068</v>
      </c>
      <c r="V15" s="135">
        <f>IF(SER_hh_tes!V15=0,0,11630*1000*SER_hh_tes!V15/SER_hh_num!V15)</f>
        <v>791.23991287917147</v>
      </c>
      <c r="W15" s="135">
        <f>IF(SER_hh_tes!W15=0,0,11630*1000*SER_hh_tes!W15/SER_hh_num!W15)</f>
        <v>910.33844198228667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23486.261516257106</v>
      </c>
      <c r="C16" s="131">
        <f>IF(SER_hh_tes!C16=0,0,11630*1000*SER_hh_tes!C16/SER_hh_num!C16)</f>
        <v>22186.027674031222</v>
      </c>
      <c r="D16" s="131">
        <f>IF(SER_hh_tes!D16=0,0,11630*1000*SER_hh_tes!D16/SER_hh_num!D16)</f>
        <v>21376.475393988181</v>
      </c>
      <c r="E16" s="131">
        <f>IF(SER_hh_tes!E16=0,0,11630*1000*SER_hh_tes!E16/SER_hh_num!E16)</f>
        <v>40804.131648473871</v>
      </c>
      <c r="F16" s="131">
        <f>IF(SER_hh_tes!F16=0,0,11630*1000*SER_hh_tes!F16/SER_hh_num!F16)</f>
        <v>20964.948796053814</v>
      </c>
      <c r="G16" s="131">
        <f>IF(SER_hh_tes!G16=0,0,11630*1000*SER_hh_tes!G16/SER_hh_num!G16)</f>
        <v>21118.583889480557</v>
      </c>
      <c r="H16" s="131">
        <f>IF(SER_hh_tes!H16=0,0,11630*1000*SER_hh_tes!H16/SER_hh_num!H16)</f>
        <v>23896.233720817134</v>
      </c>
      <c r="I16" s="131">
        <f>IF(SER_hh_tes!I16=0,0,11630*1000*SER_hh_tes!I16/SER_hh_num!I16)</f>
        <v>24782.248856370872</v>
      </c>
      <c r="J16" s="131">
        <f>IF(SER_hh_tes!J16=0,0,11630*1000*SER_hh_tes!J16/SER_hh_num!J16)</f>
        <v>24082.813148382091</v>
      </c>
      <c r="K16" s="131">
        <f>IF(SER_hh_tes!K16=0,0,11630*1000*SER_hh_tes!K16/SER_hh_num!K16)</f>
        <v>23125.793107356145</v>
      </c>
      <c r="L16" s="131">
        <f>IF(SER_hh_tes!L16=0,0,11630*1000*SER_hh_tes!L16/SER_hh_num!L16)</f>
        <v>23570.567793744241</v>
      </c>
      <c r="M16" s="131">
        <f>IF(SER_hh_tes!M16=0,0,11630*1000*SER_hh_tes!M16/SER_hh_num!M16)</f>
        <v>25497.083350619043</v>
      </c>
      <c r="N16" s="131">
        <f>IF(SER_hh_tes!N16=0,0,11630*1000*SER_hh_tes!N16/SER_hh_num!N16)</f>
        <v>37800.815811725864</v>
      </c>
      <c r="O16" s="131">
        <f>IF(SER_hh_tes!O16=0,0,11630*1000*SER_hh_tes!O16/SER_hh_num!O16)</f>
        <v>25472.897660681803</v>
      </c>
      <c r="P16" s="131">
        <f>IF(SER_hh_tes!P16=0,0,11630*1000*SER_hh_tes!P16/SER_hh_num!P16)</f>
        <v>20964.521178024861</v>
      </c>
      <c r="Q16" s="131">
        <f>IF(SER_hh_tes!Q16=0,0,11630*1000*SER_hh_tes!Q16/SER_hh_num!Q16)</f>
        <v>34305.43245408278</v>
      </c>
      <c r="R16" s="131">
        <f>IF(SER_hh_tes!R16=0,0,11630*1000*SER_hh_tes!R16/SER_hh_num!R16)</f>
        <v>23764.37770605442</v>
      </c>
      <c r="S16" s="131">
        <f>IF(SER_hh_tes!S16=0,0,11630*1000*SER_hh_tes!S16/SER_hh_num!S16)</f>
        <v>34548.823674174339</v>
      </c>
      <c r="T16" s="131">
        <f>IF(SER_hh_tes!T16=0,0,11630*1000*SER_hh_tes!T16/SER_hh_num!T16)</f>
        <v>26163.192858288639</v>
      </c>
      <c r="U16" s="131">
        <f>IF(SER_hh_tes!U16=0,0,11630*1000*SER_hh_tes!U16/SER_hh_num!U16)</f>
        <v>31845.134845236913</v>
      </c>
      <c r="V16" s="131">
        <f>IF(SER_hh_tes!V16=0,0,11630*1000*SER_hh_tes!V16/SER_hh_num!V16)</f>
        <v>24995.145229101989</v>
      </c>
      <c r="W16" s="131">
        <f>IF(SER_hh_tes!W16=0,0,11630*1000*SER_hh_tes!W16/SER_hh_num!W16)</f>
        <v>33138.590796084965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23486.261516257106</v>
      </c>
      <c r="C17" s="133">
        <f>IF(SER_hh_tes!C17=0,0,11630*1000*SER_hh_tes!C17/SER_hh_num!C17)</f>
        <v>22186.036033316948</v>
      </c>
      <c r="D17" s="133">
        <f>IF(SER_hh_tes!D17=0,0,11630*1000*SER_hh_tes!D17/SER_hh_num!D17)</f>
        <v>21376.4750177514</v>
      </c>
      <c r="E17" s="133">
        <f>IF(SER_hh_tes!E17=0,0,11630*1000*SER_hh_tes!E17/SER_hh_num!E17)</f>
        <v>40804.125883773631</v>
      </c>
      <c r="F17" s="133">
        <f>IF(SER_hh_tes!F17=0,0,11630*1000*SER_hh_tes!F17/SER_hh_num!F17)</f>
        <v>20964.945800989131</v>
      </c>
      <c r="G17" s="133">
        <f>IF(SER_hh_tes!G17=0,0,11630*1000*SER_hh_tes!G17/SER_hh_num!G17)</f>
        <v>21118.58217888149</v>
      </c>
      <c r="H17" s="133">
        <f>IF(SER_hh_tes!H17=0,0,11630*1000*SER_hh_tes!H17/SER_hh_num!H17)</f>
        <v>23896.233423636375</v>
      </c>
      <c r="I17" s="133">
        <f>IF(SER_hh_tes!I17=0,0,11630*1000*SER_hh_tes!I17/SER_hh_num!I17)</f>
        <v>31731.188719437003</v>
      </c>
      <c r="J17" s="133">
        <f>IF(SER_hh_tes!J17=0,0,11630*1000*SER_hh_tes!J17/SER_hh_num!J17)</f>
        <v>29318.870198262157</v>
      </c>
      <c r="K17" s="133">
        <f>IF(SER_hh_tes!K17=0,0,11630*1000*SER_hh_tes!K17/SER_hh_num!K17)</f>
        <v>23125.794618551634</v>
      </c>
      <c r="L17" s="133">
        <f>IF(SER_hh_tes!L17=0,0,11630*1000*SER_hh_tes!L17/SER_hh_num!L17)</f>
        <v>23570.569726301186</v>
      </c>
      <c r="M17" s="133">
        <f>IF(SER_hh_tes!M17=0,0,11630*1000*SER_hh_tes!M17/SER_hh_num!M17)</f>
        <v>25497.085686381699</v>
      </c>
      <c r="N17" s="133">
        <f>IF(SER_hh_tes!N17=0,0,11630*1000*SER_hh_tes!N17/SER_hh_num!N17)</f>
        <v>32624.210900687776</v>
      </c>
      <c r="O17" s="133">
        <f>IF(SER_hh_tes!O17=0,0,11630*1000*SER_hh_tes!O17/SER_hh_num!O17)</f>
        <v>25470.999602380431</v>
      </c>
      <c r="P17" s="133">
        <f>IF(SER_hh_tes!P17=0,0,11630*1000*SER_hh_tes!P17/SER_hh_num!P17)</f>
        <v>20963.162752763619</v>
      </c>
      <c r="Q17" s="133">
        <f>IF(SER_hh_tes!Q17=0,0,11630*1000*SER_hh_tes!Q17/SER_hh_num!Q17)</f>
        <v>35368.388904724619</v>
      </c>
      <c r="R17" s="133">
        <f>IF(SER_hh_tes!R17=0,0,11630*1000*SER_hh_tes!R17/SER_hh_num!R17)</f>
        <v>23768.057527488359</v>
      </c>
      <c r="S17" s="133">
        <f>IF(SER_hh_tes!S17=0,0,11630*1000*SER_hh_tes!S17/SER_hh_num!S17)</f>
        <v>34554.021992787973</v>
      </c>
      <c r="T17" s="133">
        <f>IF(SER_hh_tes!T17=0,0,11630*1000*SER_hh_tes!T17/SER_hh_num!T17)</f>
        <v>26166.902188075044</v>
      </c>
      <c r="U17" s="133">
        <f>IF(SER_hh_tes!U17=0,0,11630*1000*SER_hh_tes!U17/SER_hh_num!U17)</f>
        <v>31849.410064177438</v>
      </c>
      <c r="V17" s="133">
        <f>IF(SER_hh_tes!V17=0,0,11630*1000*SER_hh_tes!V17/SER_hh_num!V17)</f>
        <v>24998.433102948264</v>
      </c>
      <c r="W17" s="133">
        <f>IF(SER_hh_tes!W17=0,0,11630*1000*SER_hh_tes!W17/SER_hh_num!W17)</f>
        <v>33142.572449818152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23486.261516257109</v>
      </c>
      <c r="C18" s="133">
        <f>IF(SER_hh_tes!C18=0,0,11630*1000*SER_hh_tes!C18/SER_hh_num!C18)</f>
        <v>22186.027664169542</v>
      </c>
      <c r="D18" s="133">
        <f>IF(SER_hh_tes!D18=0,0,11630*1000*SER_hh_tes!D18/SER_hh_num!D18)</f>
        <v>21376.47539447419</v>
      </c>
      <c r="E18" s="133">
        <f>IF(SER_hh_tes!E18=0,0,11630*1000*SER_hh_tes!E18/SER_hh_num!E18)</f>
        <v>40804.131656579884</v>
      </c>
      <c r="F18" s="133">
        <f>IF(SER_hh_tes!F18=0,0,11630*1000*SER_hh_tes!F18/SER_hh_num!F18)</f>
        <v>20964.948800448768</v>
      </c>
      <c r="G18" s="133">
        <f>IF(SER_hh_tes!G18=0,0,11630*1000*SER_hh_tes!G18/SER_hh_num!G18)</f>
        <v>21118.583892064675</v>
      </c>
      <c r="H18" s="133">
        <f>IF(SER_hh_tes!H18=0,0,11630*1000*SER_hh_tes!H18/SER_hh_num!H18)</f>
        <v>23896.233721275144</v>
      </c>
      <c r="I18" s="133">
        <f>IF(SER_hh_tes!I18=0,0,11630*1000*SER_hh_tes!I18/SER_hh_num!I18)</f>
        <v>24772.128703582108</v>
      </c>
      <c r="J18" s="133">
        <f>IF(SER_hh_tes!J18=0,0,11630*1000*SER_hh_tes!J18/SER_hh_num!J18)</f>
        <v>24075.469405232576</v>
      </c>
      <c r="K18" s="133">
        <f>IF(SER_hh_tes!K18=0,0,11630*1000*SER_hh_tes!K18/SER_hh_num!K18)</f>
        <v>23125.793105148186</v>
      </c>
      <c r="L18" s="133">
        <f>IF(SER_hh_tes!L18=0,0,11630*1000*SER_hh_tes!L18/SER_hh_num!L18)</f>
        <v>23570.567790664165</v>
      </c>
      <c r="M18" s="133">
        <f>IF(SER_hh_tes!M18=0,0,11630*1000*SER_hh_tes!M18/SER_hh_num!M18)</f>
        <v>25497.083346633735</v>
      </c>
      <c r="N18" s="133">
        <f>IF(SER_hh_tes!N18=0,0,11630*1000*SER_hh_tes!N18/SER_hh_num!N18)</f>
        <v>37810.473868564361</v>
      </c>
      <c r="O18" s="133">
        <f>IF(SER_hh_tes!O18=0,0,11630*1000*SER_hh_tes!O18/SER_hh_num!O18)</f>
        <v>25472.901668715735</v>
      </c>
      <c r="P18" s="133">
        <f>IF(SER_hh_tes!P18=0,0,11630*1000*SER_hh_tes!P18/SER_hh_num!P18)</f>
        <v>20964.523994468404</v>
      </c>
      <c r="Q18" s="133">
        <f>IF(SER_hh_tes!Q18=0,0,11630*1000*SER_hh_tes!Q18/SER_hh_num!Q18)</f>
        <v>34302.200035567344</v>
      </c>
      <c r="R18" s="133">
        <f>IF(SER_hh_tes!R18=0,0,11630*1000*SER_hh_tes!R18/SER_hh_num!R18)</f>
        <v>23764.364686656314</v>
      </c>
      <c r="S18" s="133">
        <f>IF(SER_hh_tes!S18=0,0,11630*1000*SER_hh_tes!S18/SER_hh_num!S18)</f>
        <v>34548.801282225439</v>
      </c>
      <c r="T18" s="133">
        <f>IF(SER_hh_tes!T18=0,0,11630*1000*SER_hh_tes!T18/SER_hh_num!T18)</f>
        <v>26163.172974992034</v>
      </c>
      <c r="U18" s="133">
        <f>IF(SER_hh_tes!U18=0,0,11630*1000*SER_hh_tes!U18/SER_hh_num!U18)</f>
        <v>31845.108872463235</v>
      </c>
      <c r="V18" s="133">
        <f>IF(SER_hh_tes!V18=0,0,11630*1000*SER_hh_tes!V18/SER_hh_num!V18)</f>
        <v>24995.125682056867</v>
      </c>
      <c r="W18" s="133">
        <f>IF(SER_hh_tes!W18=0,0,11630*1000*SER_hh_tes!W18/SER_hh_num!W18)</f>
        <v>33138.565905434814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12722.805255829771</v>
      </c>
      <c r="C19" s="131">
        <f>IF(SER_hh_tes!C19=0,0,11630*1000*SER_hh_tes!C19/SER_hh_num!C19)</f>
        <v>12870.558794984601</v>
      </c>
      <c r="D19" s="131">
        <f>IF(SER_hh_tes!D19=0,0,11630*1000*SER_hh_tes!D19/SER_hh_num!D19)</f>
        <v>13128.605397648558</v>
      </c>
      <c r="E19" s="131">
        <f>IF(SER_hh_tes!E19=0,0,11630*1000*SER_hh_tes!E19/SER_hh_num!E19)</f>
        <v>13100.061863979383</v>
      </c>
      <c r="F19" s="131">
        <f>IF(SER_hh_tes!F19=0,0,11630*1000*SER_hh_tes!F19/SER_hh_num!F19)</f>
        <v>13504.211741307248</v>
      </c>
      <c r="G19" s="131">
        <f>IF(SER_hh_tes!G19=0,0,11630*1000*SER_hh_tes!G19/SER_hh_num!G19)</f>
        <v>13656.007739973722</v>
      </c>
      <c r="H19" s="131">
        <f>IF(SER_hh_tes!H19=0,0,11630*1000*SER_hh_tes!H19/SER_hh_num!H19)</f>
        <v>13387.337999105977</v>
      </c>
      <c r="I19" s="131">
        <f>IF(SER_hh_tes!I19=0,0,11630*1000*SER_hh_tes!I19/SER_hh_num!I19)</f>
        <v>13328.881383066055</v>
      </c>
      <c r="J19" s="131">
        <f>IF(SER_hh_tes!J19=0,0,11630*1000*SER_hh_tes!J19/SER_hh_num!J19)</f>
        <v>13621.950759043562</v>
      </c>
      <c r="K19" s="131">
        <f>IF(SER_hh_tes!K19=0,0,11630*1000*SER_hh_tes!K19/SER_hh_num!K19)</f>
        <v>13744.876275963517</v>
      </c>
      <c r="L19" s="131">
        <f>IF(SER_hh_tes!L19=0,0,11630*1000*SER_hh_tes!L19/SER_hh_num!L19)</f>
        <v>13926.757319994269</v>
      </c>
      <c r="M19" s="131">
        <f>IF(SER_hh_tes!M19=0,0,11630*1000*SER_hh_tes!M19/SER_hh_num!M19)</f>
        <v>13960.717314273552</v>
      </c>
      <c r="N19" s="131">
        <f>IF(SER_hh_tes!N19=0,0,11630*1000*SER_hh_tes!N19/SER_hh_num!N19)</f>
        <v>14401.839244758048</v>
      </c>
      <c r="O19" s="131">
        <f>IF(SER_hh_tes!O19=0,0,11630*1000*SER_hh_tes!O19/SER_hh_num!O19)</f>
        <v>14778.958925442988</v>
      </c>
      <c r="P19" s="131">
        <f>IF(SER_hh_tes!P19=0,0,11630*1000*SER_hh_tes!P19/SER_hh_num!P19)</f>
        <v>14675.630658797763</v>
      </c>
      <c r="Q19" s="131">
        <f>IF(SER_hh_tes!Q19=0,0,11630*1000*SER_hh_tes!Q19/SER_hh_num!Q19)</f>
        <v>14612.188036370628</v>
      </c>
      <c r="R19" s="131">
        <f>IF(SER_hh_tes!R19=0,0,11630*1000*SER_hh_tes!R19/SER_hh_num!R19)</f>
        <v>14726.108777929589</v>
      </c>
      <c r="S19" s="131">
        <f>IF(SER_hh_tes!S19=0,0,11630*1000*SER_hh_tes!S19/SER_hh_num!S19)</f>
        <v>14875.786259016453</v>
      </c>
      <c r="T19" s="131">
        <f>IF(SER_hh_tes!T19=0,0,11630*1000*SER_hh_tes!T19/SER_hh_num!T19)</f>
        <v>14967.100111445878</v>
      </c>
      <c r="U19" s="131">
        <f>IF(SER_hh_tes!U19=0,0,11630*1000*SER_hh_tes!U19/SER_hh_num!U19)</f>
        <v>15029.105015475208</v>
      </c>
      <c r="V19" s="131">
        <f>IF(SER_hh_tes!V19=0,0,11630*1000*SER_hh_tes!V19/SER_hh_num!V19)</f>
        <v>14094.968278813547</v>
      </c>
      <c r="W19" s="131">
        <f>IF(SER_hh_tes!W19=0,0,11630*1000*SER_hh_tes!W19/SER_hh_num!W19)</f>
        <v>14810.863012052792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11647.52651883647</v>
      </c>
      <c r="C21" s="133">
        <f>IF(SER_hh_tes!C21=0,0,11630*1000*SER_hh_tes!C21/SER_hh_num!C21)</f>
        <v>13075.569905843469</v>
      </c>
      <c r="D21" s="133">
        <f>IF(SER_hh_tes!D21=0,0,11630*1000*SER_hh_tes!D21/SER_hh_num!D21)</f>
        <v>13328.855373691185</v>
      </c>
      <c r="E21" s="133">
        <f>IF(SER_hh_tes!E21=0,0,11630*1000*SER_hh_tes!E21/SER_hh_num!E21)</f>
        <v>13153.798542253637</v>
      </c>
      <c r="F21" s="133">
        <f>IF(SER_hh_tes!F21=0,0,11630*1000*SER_hh_tes!F21/SER_hh_num!F21)</f>
        <v>13549.892326502882</v>
      </c>
      <c r="G21" s="133">
        <f>IF(SER_hh_tes!G21=0,0,11630*1000*SER_hh_tes!G21/SER_hh_num!G21)</f>
        <v>13373.877333361856</v>
      </c>
      <c r="H21" s="133">
        <f>IF(SER_hh_tes!H21=0,0,11630*1000*SER_hh_tes!H21/SER_hh_num!H21)</f>
        <v>13358.201140030145</v>
      </c>
      <c r="I21" s="133">
        <f>IF(SER_hh_tes!I21=0,0,11630*1000*SER_hh_tes!I21/SER_hh_num!I21)</f>
        <v>13121.003650532984</v>
      </c>
      <c r="J21" s="133">
        <f>IF(SER_hh_tes!J21=0,0,11630*1000*SER_hh_tes!J21/SER_hh_num!J21)</f>
        <v>13435.738873628045</v>
      </c>
      <c r="K21" s="133">
        <f>IF(SER_hh_tes!K21=0,0,11630*1000*SER_hh_tes!K21/SER_hh_num!K21)</f>
        <v>13985.714272739329</v>
      </c>
      <c r="L21" s="133">
        <f>IF(SER_hh_tes!L21=0,0,11630*1000*SER_hh_tes!L21/SER_hh_num!L21)</f>
        <v>13950.172544526948</v>
      </c>
      <c r="M21" s="133">
        <f>IF(SER_hh_tes!M21=0,0,11630*1000*SER_hh_tes!M21/SER_hh_num!M21)</f>
        <v>13993.979240942268</v>
      </c>
      <c r="N21" s="133">
        <f>IF(SER_hh_tes!N21=0,0,11630*1000*SER_hh_tes!N21/SER_hh_num!N21)</f>
        <v>14202.58404679993</v>
      </c>
      <c r="O21" s="133">
        <f>IF(SER_hh_tes!O21=0,0,11630*1000*SER_hh_tes!O21/SER_hh_num!O21)</f>
        <v>14464.123524321303</v>
      </c>
      <c r="P21" s="133">
        <f>IF(SER_hh_tes!P21=0,0,11630*1000*SER_hh_tes!P21/SER_hh_num!P21)</f>
        <v>14505.639464145666</v>
      </c>
      <c r="Q21" s="133">
        <f>IF(SER_hh_tes!Q21=0,0,11630*1000*SER_hh_tes!Q21/SER_hh_num!Q21)</f>
        <v>14709.357680357894</v>
      </c>
      <c r="R21" s="133">
        <f>IF(SER_hh_tes!R21=0,0,11630*1000*SER_hh_tes!R21/SER_hh_num!R21)</f>
        <v>14816.989074468313</v>
      </c>
      <c r="S21" s="133">
        <f>IF(SER_hh_tes!S21=0,0,11630*1000*SER_hh_tes!S21/SER_hh_num!S21)</f>
        <v>14632.348416502202</v>
      </c>
      <c r="T21" s="133">
        <f>IF(SER_hh_tes!T21=0,0,11630*1000*SER_hh_tes!T21/SER_hh_num!T21)</f>
        <v>14872.68648975792</v>
      </c>
      <c r="U21" s="133">
        <f>IF(SER_hh_tes!U21=0,0,11630*1000*SER_hh_tes!U21/SER_hh_num!U21)</f>
        <v>14626.527697264521</v>
      </c>
      <c r="V21" s="133">
        <f>IF(SER_hh_tes!V21=0,0,11630*1000*SER_hh_tes!V21/SER_hh_num!V21)</f>
        <v>12903.216893063107</v>
      </c>
      <c r="W21" s="133">
        <f>IF(SER_hh_tes!W21=0,0,11630*1000*SER_hh_tes!W21/SER_hh_num!W21)</f>
        <v>14185.803996998364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12462.629342738133</v>
      </c>
      <c r="C22" s="133">
        <f>IF(SER_hh_tes!C22=0,0,11630*1000*SER_hh_tes!C22/SER_hh_num!C22)</f>
        <v>12849.075174956964</v>
      </c>
      <c r="D22" s="133">
        <f>IF(SER_hh_tes!D22=0,0,11630*1000*SER_hh_tes!D22/SER_hh_num!D22)</f>
        <v>13022.63559898576</v>
      </c>
      <c r="E22" s="133">
        <f>IF(SER_hh_tes!E22=0,0,11630*1000*SER_hh_tes!E22/SER_hh_num!E22)</f>
        <v>13167.838096402735</v>
      </c>
      <c r="F22" s="133">
        <f>IF(SER_hh_tes!F22=0,0,11630*1000*SER_hh_tes!F22/SER_hh_num!F22)</f>
        <v>13240.864183954982</v>
      </c>
      <c r="G22" s="133">
        <f>IF(SER_hh_tes!G22=0,0,11630*1000*SER_hh_tes!G22/SER_hh_num!G22)</f>
        <v>13504.426816871968</v>
      </c>
      <c r="H22" s="133">
        <f>IF(SER_hh_tes!H22=0,0,11630*1000*SER_hh_tes!H22/SER_hh_num!H22)</f>
        <v>13309.971983264115</v>
      </c>
      <c r="I22" s="133">
        <f>IF(SER_hh_tes!I22=0,0,11630*1000*SER_hh_tes!I22/SER_hh_num!I22)</f>
        <v>13560.537826532778</v>
      </c>
      <c r="J22" s="133">
        <f>IF(SER_hh_tes!J22=0,0,11630*1000*SER_hh_tes!J22/SER_hh_num!J22)</f>
        <v>13644.323344057013</v>
      </c>
      <c r="K22" s="133">
        <f>IF(SER_hh_tes!K22=0,0,11630*1000*SER_hh_tes!K22/SER_hh_num!K22)</f>
        <v>13898.623396351402</v>
      </c>
      <c r="L22" s="133">
        <f>IF(SER_hh_tes!L22=0,0,11630*1000*SER_hh_tes!L22/SER_hh_num!L22)</f>
        <v>14178.700140431327</v>
      </c>
      <c r="M22" s="133">
        <f>IF(SER_hh_tes!M22=0,0,11630*1000*SER_hh_tes!M22/SER_hh_num!M22)</f>
        <v>13928.981115690289</v>
      </c>
      <c r="N22" s="133">
        <f>IF(SER_hh_tes!N22=0,0,11630*1000*SER_hh_tes!N22/SER_hh_num!N22)</f>
        <v>14167.030671109535</v>
      </c>
      <c r="O22" s="133">
        <f>IF(SER_hh_tes!O22=0,0,11630*1000*SER_hh_tes!O22/SER_hh_num!O22)</f>
        <v>14538.714958795894</v>
      </c>
      <c r="P22" s="133">
        <f>IF(SER_hh_tes!P22=0,0,11630*1000*SER_hh_tes!P22/SER_hh_num!P22)</f>
        <v>14445.289005544353</v>
      </c>
      <c r="Q22" s="133">
        <f>IF(SER_hh_tes!Q22=0,0,11630*1000*SER_hh_tes!Q22/SER_hh_num!Q22)</f>
        <v>14410.86459780519</v>
      </c>
      <c r="R22" s="133">
        <f>IF(SER_hh_tes!R22=0,0,11630*1000*SER_hh_tes!R22/SER_hh_num!R22)</f>
        <v>14528.285708997142</v>
      </c>
      <c r="S22" s="133">
        <f>IF(SER_hh_tes!S22=0,0,11630*1000*SER_hh_tes!S22/SER_hh_num!S22)</f>
        <v>14615.303343696341</v>
      </c>
      <c r="T22" s="133">
        <f>IF(SER_hh_tes!T22=0,0,11630*1000*SER_hh_tes!T22/SER_hh_num!T22)</f>
        <v>14617.841270102699</v>
      </c>
      <c r="U22" s="133">
        <f>IF(SER_hh_tes!U22=0,0,11630*1000*SER_hh_tes!U22/SER_hh_num!U22)</f>
        <v>15052.472508161401</v>
      </c>
      <c r="V22" s="133">
        <f>IF(SER_hh_tes!V22=0,0,11630*1000*SER_hh_tes!V22/SER_hh_num!V22)</f>
        <v>13477.357846156679</v>
      </c>
      <c r="W22" s="133">
        <f>IF(SER_hh_tes!W22=0,0,11630*1000*SER_hh_tes!W22/SER_hh_num!W22)</f>
        <v>14489.888611950653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12420.809744225897</v>
      </c>
      <c r="C23" s="133">
        <f>IF(SER_hh_tes!C23=0,0,11630*1000*SER_hh_tes!C23/SER_hh_num!C23)</f>
        <v>12810.103432867825</v>
      </c>
      <c r="D23" s="133">
        <f>IF(SER_hh_tes!D23=0,0,11630*1000*SER_hh_tes!D23/SER_hh_num!D23)</f>
        <v>13127.405273596803</v>
      </c>
      <c r="E23" s="133">
        <f>IF(SER_hh_tes!E23=0,0,11630*1000*SER_hh_tes!E23/SER_hh_num!E23)</f>
        <v>13128.176555114553</v>
      </c>
      <c r="F23" s="133">
        <f>IF(SER_hh_tes!F23=0,0,11630*1000*SER_hh_tes!F23/SER_hh_num!F23)</f>
        <v>13397.08710357416</v>
      </c>
      <c r="G23" s="133">
        <f>IF(SER_hh_tes!G23=0,0,11630*1000*SER_hh_tes!G23/SER_hh_num!G23)</f>
        <v>13616.811052537429</v>
      </c>
      <c r="H23" s="133">
        <f>IF(SER_hh_tes!H23=0,0,11630*1000*SER_hh_tes!H23/SER_hh_num!H23)</f>
        <v>13370.07863811859</v>
      </c>
      <c r="I23" s="133">
        <f>IF(SER_hh_tes!I23=0,0,11630*1000*SER_hh_tes!I23/SER_hh_num!I23)</f>
        <v>13199.553824494436</v>
      </c>
      <c r="J23" s="133">
        <f>IF(SER_hh_tes!J23=0,0,11630*1000*SER_hh_tes!J23/SER_hh_num!J23)</f>
        <v>13621.180757449143</v>
      </c>
      <c r="K23" s="133">
        <f>IF(SER_hh_tes!K23=0,0,11630*1000*SER_hh_tes!K23/SER_hh_num!K23)</f>
        <v>13619.166701428396</v>
      </c>
      <c r="L23" s="133">
        <f>IF(SER_hh_tes!L23=0,0,11630*1000*SER_hh_tes!L23/SER_hh_num!L23)</f>
        <v>13774.032558028284</v>
      </c>
      <c r="M23" s="133">
        <f>IF(SER_hh_tes!M23=0,0,11630*1000*SER_hh_tes!M23/SER_hh_num!M23)</f>
        <v>13918.070189565526</v>
      </c>
      <c r="N23" s="133">
        <f>IF(SER_hh_tes!N23=0,0,11630*1000*SER_hh_tes!N23/SER_hh_num!N23)</f>
        <v>14145.645454181644</v>
      </c>
      <c r="O23" s="133">
        <f>IF(SER_hh_tes!O23=0,0,11630*1000*SER_hh_tes!O23/SER_hh_num!O23)</f>
        <v>14350.14237197275</v>
      </c>
      <c r="P23" s="133">
        <f>IF(SER_hh_tes!P23=0,0,11630*1000*SER_hh_tes!P23/SER_hh_num!P23)</f>
        <v>14339.698998874939</v>
      </c>
      <c r="Q23" s="133">
        <f>IF(SER_hh_tes!Q23=0,0,11630*1000*SER_hh_tes!Q23/SER_hh_num!Q23)</f>
        <v>14455.516088803655</v>
      </c>
      <c r="R23" s="133">
        <f>IF(SER_hh_tes!R23=0,0,11630*1000*SER_hh_tes!R23/SER_hh_num!R23)</f>
        <v>14491.950041570486</v>
      </c>
      <c r="S23" s="133">
        <f>IF(SER_hh_tes!S23=0,0,11630*1000*SER_hh_tes!S23/SER_hh_num!S23)</f>
        <v>14762.956648364161</v>
      </c>
      <c r="T23" s="133">
        <f>IF(SER_hh_tes!T23=0,0,11630*1000*SER_hh_tes!T23/SER_hh_num!T23)</f>
        <v>14824.836554612555</v>
      </c>
      <c r="U23" s="133">
        <f>IF(SER_hh_tes!U23=0,0,11630*1000*SER_hh_tes!U23/SER_hh_num!U23)</f>
        <v>14743.794258734415</v>
      </c>
      <c r="V23" s="133">
        <f>IF(SER_hh_tes!V23=0,0,11630*1000*SER_hh_tes!V23/SER_hh_num!V23)</f>
        <v>13483.614159259487</v>
      </c>
      <c r="W23" s="133">
        <f>IF(SER_hh_tes!W23=0,0,11630*1000*SER_hh_tes!W23/SER_hh_num!W23)</f>
        <v>14600.069929567167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12759.771939186716</v>
      </c>
      <c r="C25" s="133">
        <f>IF(SER_hh_tes!C25=0,0,11630*1000*SER_hh_tes!C25/SER_hh_num!C25)</f>
        <v>12805.760535641963</v>
      </c>
      <c r="D25" s="133">
        <f>IF(SER_hh_tes!D25=0,0,11630*1000*SER_hh_tes!D25/SER_hh_num!D25)</f>
        <v>13091.82835926006</v>
      </c>
      <c r="E25" s="133">
        <f>IF(SER_hh_tes!E25=0,0,11630*1000*SER_hh_tes!E25/SER_hh_num!E25)</f>
        <v>13078.403111986856</v>
      </c>
      <c r="F25" s="133">
        <f>IF(SER_hh_tes!F25=0,0,11630*1000*SER_hh_tes!F25/SER_hh_num!F25)</f>
        <v>13353.845260957685</v>
      </c>
      <c r="G25" s="133">
        <f>IF(SER_hh_tes!G25=0,0,11630*1000*SER_hh_tes!G25/SER_hh_num!G25)</f>
        <v>13589.322625876175</v>
      </c>
      <c r="H25" s="133">
        <f>IF(SER_hh_tes!H25=0,0,11630*1000*SER_hh_tes!H25/SER_hh_num!H25)</f>
        <v>13378.849351688619</v>
      </c>
      <c r="I25" s="133">
        <f>IF(SER_hh_tes!I25=0,0,11630*1000*SER_hh_tes!I25/SER_hh_num!I25)</f>
        <v>13316.383195229491</v>
      </c>
      <c r="J25" s="133">
        <f>IF(SER_hh_tes!J25=0,0,11630*1000*SER_hh_tes!J25/SER_hh_num!J25)</f>
        <v>13564.33636237296</v>
      </c>
      <c r="K25" s="133">
        <f>IF(SER_hh_tes!K25=0,0,11630*1000*SER_hh_tes!K25/SER_hh_num!K25)</f>
        <v>13547.396334503757</v>
      </c>
      <c r="L25" s="133">
        <f>IF(SER_hh_tes!L25=0,0,11630*1000*SER_hh_tes!L25/SER_hh_num!L25)</f>
        <v>13730.404897350159</v>
      </c>
      <c r="M25" s="133">
        <f>IF(SER_hh_tes!M25=0,0,11630*1000*SER_hh_tes!M25/SER_hh_num!M25)</f>
        <v>13933.743875249031</v>
      </c>
      <c r="N25" s="133">
        <f>IF(SER_hh_tes!N25=0,0,11630*1000*SER_hh_tes!N25/SER_hh_num!N25)</f>
        <v>14182.513944882163</v>
      </c>
      <c r="O25" s="133">
        <f>IF(SER_hh_tes!O25=0,0,11630*1000*SER_hh_tes!O25/SER_hh_num!O25)</f>
        <v>14457.875552751948</v>
      </c>
      <c r="P25" s="133">
        <f>IF(SER_hh_tes!P25=0,0,11630*1000*SER_hh_tes!P25/SER_hh_num!P25)</f>
        <v>14528.302298650411</v>
      </c>
      <c r="Q25" s="133">
        <f>IF(SER_hh_tes!Q25=0,0,11630*1000*SER_hh_tes!Q25/SER_hh_num!Q25)</f>
        <v>14520.720274097177</v>
      </c>
      <c r="R25" s="133">
        <f>IF(SER_hh_tes!R25=0,0,11630*1000*SER_hh_tes!R25/SER_hh_num!R25)</f>
        <v>14524.014827917772</v>
      </c>
      <c r="S25" s="133">
        <f>IF(SER_hh_tes!S25=0,0,11630*1000*SER_hh_tes!S25/SER_hh_num!S25)</f>
        <v>14705.151361632717</v>
      </c>
      <c r="T25" s="133">
        <f>IF(SER_hh_tes!T25=0,0,11630*1000*SER_hh_tes!T25/SER_hh_num!T25)</f>
        <v>14716.604749368702</v>
      </c>
      <c r="U25" s="133">
        <f>IF(SER_hh_tes!U25=0,0,11630*1000*SER_hh_tes!U25/SER_hh_num!U25)</f>
        <v>14615.123844255928</v>
      </c>
      <c r="V25" s="133">
        <f>IF(SER_hh_tes!V25=0,0,11630*1000*SER_hh_tes!V25/SER_hh_num!V25)</f>
        <v>13872.60184852716</v>
      </c>
      <c r="W25" s="133">
        <f>IF(SER_hh_tes!W25=0,0,11630*1000*SER_hh_tes!W25/SER_hh_num!W25)</f>
        <v>14502.566192852935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12759.202117380317</v>
      </c>
      <c r="C26" s="65">
        <f>IF(SER_hh_tes!C26=0,0,11630*1000*SER_hh_tes!C26/SER_hh_num!C26)</f>
        <v>12547.989835204849</v>
      </c>
      <c r="D26" s="65">
        <f>IF(SER_hh_tes!D26=0,0,11630*1000*SER_hh_tes!D26/SER_hh_num!D26)</f>
        <v>12699.01643382045</v>
      </c>
      <c r="E26" s="65">
        <f>IF(SER_hh_tes!E26=0,0,11630*1000*SER_hh_tes!E26/SER_hh_num!E26)</f>
        <v>12558.720793675624</v>
      </c>
      <c r="F26" s="65">
        <f>IF(SER_hh_tes!F26=0,0,11630*1000*SER_hh_tes!F26/SER_hh_num!F26)</f>
        <v>13211.323369542199</v>
      </c>
      <c r="G26" s="65">
        <f>IF(SER_hh_tes!G26=0,0,11630*1000*SER_hh_tes!G26/SER_hh_num!G26)</f>
        <v>13187.34884331258</v>
      </c>
      <c r="H26" s="65">
        <f>IF(SER_hh_tes!H26=0,0,11630*1000*SER_hh_tes!H26/SER_hh_num!H26)</f>
        <v>12762.036085108384</v>
      </c>
      <c r="I26" s="65">
        <f>IF(SER_hh_tes!I26=0,0,11630*1000*SER_hh_tes!I26/SER_hh_num!I26)</f>
        <v>12657.906660421959</v>
      </c>
      <c r="J26" s="65">
        <f>IF(SER_hh_tes!J26=0,0,11630*1000*SER_hh_tes!J26/SER_hh_num!J26)</f>
        <v>12780.265081808901</v>
      </c>
      <c r="K26" s="65">
        <f>IF(SER_hh_tes!K26=0,0,11630*1000*SER_hh_tes!K26/SER_hh_num!K26)</f>
        <v>12845.315686319329</v>
      </c>
      <c r="L26" s="65">
        <f>IF(SER_hh_tes!L26=0,0,11630*1000*SER_hh_tes!L26/SER_hh_num!L26)</f>
        <v>12921.912543951596</v>
      </c>
      <c r="M26" s="65">
        <f>IF(SER_hh_tes!M26=0,0,11630*1000*SER_hh_tes!M26/SER_hh_num!M26)</f>
        <v>12716.234138393966</v>
      </c>
      <c r="N26" s="65">
        <f>IF(SER_hh_tes!N26=0,0,11630*1000*SER_hh_tes!N26/SER_hh_num!N26)</f>
        <v>13235.901923180198</v>
      </c>
      <c r="O26" s="65">
        <f>IF(SER_hh_tes!O26=0,0,11630*1000*SER_hh_tes!O26/SER_hh_num!O26)</f>
        <v>13582.388636968899</v>
      </c>
      <c r="P26" s="65">
        <f>IF(SER_hh_tes!P26=0,0,11630*1000*SER_hh_tes!P26/SER_hh_num!P26)</f>
        <v>13104.956533479737</v>
      </c>
      <c r="Q26" s="65">
        <f>IF(SER_hh_tes!Q26=0,0,11630*1000*SER_hh_tes!Q26/SER_hh_num!Q26)</f>
        <v>12638.950329356838</v>
      </c>
      <c r="R26" s="65">
        <f>IF(SER_hh_tes!R26=0,0,11630*1000*SER_hh_tes!R26/SER_hh_num!R26)</f>
        <v>12539.92648705733</v>
      </c>
      <c r="S26" s="65">
        <f>IF(SER_hh_tes!S26=0,0,11630*1000*SER_hh_tes!S26/SER_hh_num!S26)</f>
        <v>12239.677558605252</v>
      </c>
      <c r="T26" s="65">
        <f>IF(SER_hh_tes!T26=0,0,11630*1000*SER_hh_tes!T26/SER_hh_num!T26)</f>
        <v>12120.78135742652</v>
      </c>
      <c r="U26" s="65">
        <f>IF(SER_hh_tes!U26=0,0,11630*1000*SER_hh_tes!U26/SER_hh_num!U26)</f>
        <v>12022.701961497376</v>
      </c>
      <c r="V26" s="65">
        <f>IF(SER_hh_tes!V26=0,0,11630*1000*SER_hh_tes!V26/SER_hh_num!V26)</f>
        <v>11469.421120413834</v>
      </c>
      <c r="W26" s="65">
        <f>IF(SER_hh_tes!W26=0,0,11630*1000*SER_hh_tes!W26/SER_hh_num!W26)</f>
        <v>11301.05041915897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127.57529672597484</v>
      </c>
      <c r="C27" s="146">
        <f>IF(SER_hh_tes!C27=0,0,11630*1000*SER_hh_tes!C27/SER_hh_num!C19)</f>
        <v>131.45233282237564</v>
      </c>
      <c r="D27" s="146">
        <f>IF(SER_hh_tes!D27=0,0,11630*1000*SER_hh_tes!D27/SER_hh_num!D19)</f>
        <v>151.39899428939708</v>
      </c>
      <c r="E27" s="146">
        <f>IF(SER_hh_tes!E27=0,0,11630*1000*SER_hh_tes!E27/SER_hh_num!E19)</f>
        <v>167.23375391155855</v>
      </c>
      <c r="F27" s="146">
        <f>IF(SER_hh_tes!F27=0,0,11630*1000*SER_hh_tes!F27/SER_hh_num!F19)</f>
        <v>191.67243935021961</v>
      </c>
      <c r="G27" s="146">
        <f>IF(SER_hh_tes!G27=0,0,11630*1000*SER_hh_tes!G27/SER_hh_num!G19)</f>
        <v>214.42274874549378</v>
      </c>
      <c r="H27" s="146">
        <f>IF(SER_hh_tes!H27=0,0,11630*1000*SER_hh_tes!H27/SER_hh_num!H19)</f>
        <v>238.87318099618537</v>
      </c>
      <c r="I27" s="146">
        <f>IF(SER_hh_tes!I27=0,0,11630*1000*SER_hh_tes!I27/SER_hh_num!I19)</f>
        <v>267.11455539841779</v>
      </c>
      <c r="J27" s="146">
        <f>IF(SER_hh_tes!J27=0,0,11630*1000*SER_hh_tes!J27/SER_hh_num!J19)</f>
        <v>326.89102377823826</v>
      </c>
      <c r="K27" s="146">
        <f>IF(SER_hh_tes!K27=0,0,11630*1000*SER_hh_tes!K27/SER_hh_num!K19)</f>
        <v>373.85176207253841</v>
      </c>
      <c r="L27" s="146">
        <f>IF(SER_hh_tes!L27=0,0,11630*1000*SER_hh_tes!L27/SER_hh_num!L19)</f>
        <v>416.8543397745475</v>
      </c>
      <c r="M27" s="146">
        <f>IF(SER_hh_tes!M27=0,0,11630*1000*SER_hh_tes!M27/SER_hh_num!M19)</f>
        <v>481.50374515505496</v>
      </c>
      <c r="N27" s="146">
        <f>IF(SER_hh_tes!N27=0,0,11630*1000*SER_hh_tes!N27/SER_hh_num!N19)</f>
        <v>575.68987513398258</v>
      </c>
      <c r="O27" s="146">
        <f>IF(SER_hh_tes!O27=0,0,11630*1000*SER_hh_tes!O27/SER_hh_num!O19)</f>
        <v>658.79976936810192</v>
      </c>
      <c r="P27" s="146">
        <f>IF(SER_hh_tes!P27=0,0,11630*1000*SER_hh_tes!P27/SER_hh_num!P19)</f>
        <v>726.80059503496886</v>
      </c>
      <c r="Q27" s="146">
        <f>IF(SER_hh_tes!Q27=0,0,11630*1000*SER_hh_tes!Q27/SER_hh_num!Q19)</f>
        <v>781.83644243574975</v>
      </c>
      <c r="R27" s="146">
        <f>IF(SER_hh_tes!R27=0,0,11630*1000*SER_hh_tes!R27/SER_hh_num!R19)</f>
        <v>863.85792072223569</v>
      </c>
      <c r="S27" s="146">
        <f>IF(SER_hh_tes!S27=0,0,11630*1000*SER_hh_tes!S27/SER_hh_num!S19)</f>
        <v>954.17491725796458</v>
      </c>
      <c r="T27" s="146">
        <f>IF(SER_hh_tes!T27=0,0,11630*1000*SER_hh_tes!T27/SER_hh_num!T19)</f>
        <v>1022.9574551706532</v>
      </c>
      <c r="U27" s="146">
        <f>IF(SER_hh_tes!U27=0,0,11630*1000*SER_hh_tes!U27/SER_hh_num!U19)</f>
        <v>1121.8784248360923</v>
      </c>
      <c r="V27" s="146">
        <f>IF(SER_hh_tes!V27=0,0,11630*1000*SER_hh_tes!V27/SER_hh_num!V19)</f>
        <v>1174.4520770501626</v>
      </c>
      <c r="W27" s="146">
        <f>IF(SER_hh_tes!W27=0,0,11630*1000*SER_hh_tes!W27/SER_hh_num!W19)</f>
        <v>1213.8637031748187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8875.1797928462474</v>
      </c>
      <c r="C28" s="147">
        <f>IF(SER_hh_tes!C27=0,0,11630*1000*SER_hh_tes!C27/SER_hh_num!C27)</f>
        <v>9184.4819588945429</v>
      </c>
      <c r="D28" s="147">
        <f>IF(SER_hh_tes!D27=0,0,11630*1000*SER_hh_tes!D27/SER_hh_num!D27)</f>
        <v>9153.4429783544274</v>
      </c>
      <c r="E28" s="147">
        <f>IF(SER_hh_tes!E27=0,0,11630*1000*SER_hh_tes!E27/SER_hh_num!E27)</f>
        <v>9720.7623762329185</v>
      </c>
      <c r="F28" s="147">
        <f>IF(SER_hh_tes!F27=0,0,11630*1000*SER_hh_tes!F27/SER_hh_num!F27)</f>
        <v>9575.7693114067879</v>
      </c>
      <c r="G28" s="147">
        <f>IF(SER_hh_tes!G27=0,0,11630*1000*SER_hh_tes!G27/SER_hh_num!G27)</f>
        <v>9697.8348349047264</v>
      </c>
      <c r="H28" s="147">
        <f>IF(SER_hh_tes!H27=0,0,11630*1000*SER_hh_tes!H27/SER_hh_num!H27)</f>
        <v>9481.5510533592605</v>
      </c>
      <c r="I28" s="147">
        <f>IF(SER_hh_tes!I27=0,0,11630*1000*SER_hh_tes!I27/SER_hh_num!I27)</f>
        <v>9506.7117692077791</v>
      </c>
      <c r="J28" s="147">
        <f>IF(SER_hh_tes!J27=0,0,11630*1000*SER_hh_tes!J27/SER_hh_num!J27)</f>
        <v>9660.7777128858652</v>
      </c>
      <c r="K28" s="147">
        <f>IF(SER_hh_tes!K27=0,0,11630*1000*SER_hh_tes!K27/SER_hh_num!K27)</f>
        <v>9992.4186358179722</v>
      </c>
      <c r="L28" s="147">
        <f>IF(SER_hh_tes!L27=0,0,11630*1000*SER_hh_tes!L27/SER_hh_num!L27)</f>
        <v>10092.697987704334</v>
      </c>
      <c r="M28" s="147">
        <f>IF(SER_hh_tes!M27=0,0,11630*1000*SER_hh_tes!M27/SER_hh_num!M27)</f>
        <v>9935.6562341192712</v>
      </c>
      <c r="N28" s="147">
        <f>IF(SER_hh_tes!N27=0,0,11630*1000*SER_hh_tes!N27/SER_hh_num!N27)</f>
        <v>10279.239540885515</v>
      </c>
      <c r="O28" s="147">
        <f>IF(SER_hh_tes!O27=0,0,11630*1000*SER_hh_tes!O27/SER_hh_num!O27)</f>
        <v>10705.340638709966</v>
      </c>
      <c r="P28" s="147">
        <f>IF(SER_hh_tes!P27=0,0,11630*1000*SER_hh_tes!P27/SER_hh_num!P27)</f>
        <v>10465.401375077015</v>
      </c>
      <c r="Q28" s="147">
        <f>IF(SER_hh_tes!Q27=0,0,11630*1000*SER_hh_tes!Q27/SER_hh_num!Q27)</f>
        <v>10077.15816032853</v>
      </c>
      <c r="R28" s="147">
        <f>IF(SER_hh_tes!R27=0,0,11630*1000*SER_hh_tes!R27/SER_hh_num!R27)</f>
        <v>10350.321934291249</v>
      </c>
      <c r="S28" s="147">
        <f>IF(SER_hh_tes!S27=0,0,11630*1000*SER_hh_tes!S27/SER_hh_num!S27)</f>
        <v>10608.907400777405</v>
      </c>
      <c r="T28" s="147">
        <f>IF(SER_hh_tes!T27=0,0,11630*1000*SER_hh_tes!T27/SER_hh_num!T27)</f>
        <v>10597.668509002195</v>
      </c>
      <c r="U28" s="147">
        <f>IF(SER_hh_tes!U27=0,0,11630*1000*SER_hh_tes!U27/SER_hh_num!U27)</f>
        <v>10584.004047903176</v>
      </c>
      <c r="V28" s="147">
        <f>IF(SER_hh_tes!V27=0,0,11630*1000*SER_hh_tes!V27/SER_hh_num!V27)</f>
        <v>10455.98975237348</v>
      </c>
      <c r="W28" s="147">
        <f>IF(SER_hh_tes!W27=0,0,11630*1000*SER_hh_tes!W27/SER_hh_num!W27)</f>
        <v>10482.716178263028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15127.315620388865</v>
      </c>
      <c r="C29" s="131">
        <f>IF(SER_hh_tes!C29=0,0,11630*1000*SER_hh_tes!C29/SER_hh_num!C29)</f>
        <v>15639.67566555168</v>
      </c>
      <c r="D29" s="131">
        <f>IF(SER_hh_tes!D29=0,0,11630*1000*SER_hh_tes!D29/SER_hh_num!D29)</f>
        <v>15769.31060994443</v>
      </c>
      <c r="E29" s="131">
        <f>IF(SER_hh_tes!E29=0,0,11630*1000*SER_hh_tes!E29/SER_hh_num!E29)</f>
        <v>15370.881009261295</v>
      </c>
      <c r="F29" s="131">
        <f>IF(SER_hh_tes!F29=0,0,11630*1000*SER_hh_tes!F29/SER_hh_num!F29)</f>
        <v>15708.812374158335</v>
      </c>
      <c r="G29" s="131">
        <f>IF(SER_hh_tes!G29=0,0,11630*1000*SER_hh_tes!G29/SER_hh_num!G29)</f>
        <v>15856.029952006727</v>
      </c>
      <c r="H29" s="131">
        <f>IF(SER_hh_tes!H29=0,0,11630*1000*SER_hh_tes!H29/SER_hh_num!H29)</f>
        <v>16096.978046111803</v>
      </c>
      <c r="I29" s="131">
        <f>IF(SER_hh_tes!I29=0,0,11630*1000*SER_hh_tes!I29/SER_hh_num!I29)</f>
        <v>16323.809951636353</v>
      </c>
      <c r="J29" s="131">
        <f>IF(SER_hh_tes!J29=0,0,11630*1000*SER_hh_tes!J29/SER_hh_num!J29)</f>
        <v>16880.611805460139</v>
      </c>
      <c r="K29" s="131">
        <f>IF(SER_hh_tes!K29=0,0,11630*1000*SER_hh_tes!K29/SER_hh_num!K29)</f>
        <v>17615.125649053967</v>
      </c>
      <c r="L29" s="131">
        <f>IF(SER_hh_tes!L29=0,0,11630*1000*SER_hh_tes!L29/SER_hh_num!L29)</f>
        <v>17892.347079228275</v>
      </c>
      <c r="M29" s="131">
        <f>IF(SER_hh_tes!M29=0,0,11630*1000*SER_hh_tes!M29/SER_hh_num!M29)</f>
        <v>17863.772741237924</v>
      </c>
      <c r="N29" s="131">
        <f>IF(SER_hh_tes!N29=0,0,11630*1000*SER_hh_tes!N29/SER_hh_num!N29)</f>
        <v>18524.516217749329</v>
      </c>
      <c r="O29" s="131">
        <f>IF(SER_hh_tes!O29=0,0,11630*1000*SER_hh_tes!O29/SER_hh_num!O29)</f>
        <v>18890.303774094955</v>
      </c>
      <c r="P29" s="131">
        <f>IF(SER_hh_tes!P29=0,0,11630*1000*SER_hh_tes!P29/SER_hh_num!P29)</f>
        <v>19219.759181883113</v>
      </c>
      <c r="Q29" s="131">
        <f>IF(SER_hh_tes!Q29=0,0,11630*1000*SER_hh_tes!Q29/SER_hh_num!Q29)</f>
        <v>19186.213975547395</v>
      </c>
      <c r="R29" s="131">
        <f>IF(SER_hh_tes!R29=0,0,11630*1000*SER_hh_tes!R29/SER_hh_num!R29)</f>
        <v>19706.478926228603</v>
      </c>
      <c r="S29" s="131">
        <f>IF(SER_hh_tes!S29=0,0,11630*1000*SER_hh_tes!S29/SER_hh_num!S29)</f>
        <v>20050.64878415077</v>
      </c>
      <c r="T29" s="131">
        <f>IF(SER_hh_tes!T29=0,0,11630*1000*SER_hh_tes!T29/SER_hh_num!T29)</f>
        <v>20333.445423653979</v>
      </c>
      <c r="U29" s="131">
        <f>IF(SER_hh_tes!U29=0,0,11630*1000*SER_hh_tes!U29/SER_hh_num!U29)</f>
        <v>20670.869792079204</v>
      </c>
      <c r="V29" s="131">
        <f>IF(SER_hh_tes!V29=0,0,11630*1000*SER_hh_tes!V29/SER_hh_num!V29)</f>
        <v>17963.780968262457</v>
      </c>
      <c r="W29" s="131">
        <f>IF(SER_hh_tes!W29=0,0,11630*1000*SER_hh_tes!W29/SER_hh_num!W29)</f>
        <v>20858.143809497666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9644.2387460767914</v>
      </c>
      <c r="C30" s="133">
        <f>IF(SER_hh_tes!C30=0,0,11630*1000*SER_hh_tes!C30/SER_hh_num!C30)</f>
        <v>19008.005196481648</v>
      </c>
      <c r="D30" s="133">
        <f>IF(SER_hh_tes!D30=0,0,11630*1000*SER_hh_tes!D30/SER_hh_num!D30)</f>
        <v>14970.065728763886</v>
      </c>
      <c r="E30" s="133">
        <f>IF(SER_hh_tes!E30=0,0,11630*1000*SER_hh_tes!E30/SER_hh_num!E30)</f>
        <v>15542.815599336984</v>
      </c>
      <c r="F30" s="133">
        <f>IF(SER_hh_tes!F30=0,0,11630*1000*SER_hh_tes!F30/SER_hh_num!F30)</f>
        <v>16720.512857419868</v>
      </c>
      <c r="G30" s="133">
        <f>IF(SER_hh_tes!G30=0,0,11630*1000*SER_hh_tes!G30/SER_hh_num!G30)</f>
        <v>15267.908884888015</v>
      </c>
      <c r="H30" s="133">
        <f>IF(SER_hh_tes!H30=0,0,11630*1000*SER_hh_tes!H30/SER_hh_num!H30)</f>
        <v>16691.42876963145</v>
      </c>
      <c r="I30" s="133">
        <f>IF(SER_hh_tes!I30=0,0,11630*1000*SER_hh_tes!I30/SER_hh_num!I30)</f>
        <v>15619.04031119556</v>
      </c>
      <c r="J30" s="133">
        <f>IF(SER_hh_tes!J30=0,0,11630*1000*SER_hh_tes!J30/SER_hh_num!J30)</f>
        <v>16068.785727444247</v>
      </c>
      <c r="K30" s="133">
        <f>IF(SER_hh_tes!K30=0,0,11630*1000*SER_hh_tes!K30/SER_hh_num!K30)</f>
        <v>18928.029954652309</v>
      </c>
      <c r="L30" s="133">
        <f>IF(SER_hh_tes!L30=0,0,11630*1000*SER_hh_tes!L30/SER_hh_num!L30)</f>
        <v>20563.12587979138</v>
      </c>
      <c r="M30" s="133">
        <f>IF(SER_hh_tes!M30=0,0,11630*1000*SER_hh_tes!M30/SER_hh_num!M30)</f>
        <v>18110.799438307884</v>
      </c>
      <c r="N30" s="133">
        <f>IF(SER_hh_tes!N30=0,0,11630*1000*SER_hh_tes!N30/SER_hh_num!N30)</f>
        <v>18210.811557618064</v>
      </c>
      <c r="O30" s="133">
        <f>IF(SER_hh_tes!O30=0,0,11630*1000*SER_hh_tes!O30/SER_hh_num!O30)</f>
        <v>18756.274931089836</v>
      </c>
      <c r="P30" s="133">
        <f>IF(SER_hh_tes!P30=0,0,11630*1000*SER_hh_tes!P30/SER_hh_num!P30)</f>
        <v>18839.234755581161</v>
      </c>
      <c r="Q30" s="133">
        <f>IF(SER_hh_tes!Q30=0,0,11630*1000*SER_hh_tes!Q30/SER_hh_num!Q30)</f>
        <v>18676.225013118808</v>
      </c>
      <c r="R30" s="133">
        <f>IF(SER_hh_tes!R30=0,0,11630*1000*SER_hh_tes!R30/SER_hh_num!R30)</f>
        <v>20915.274788398096</v>
      </c>
      <c r="S30" s="133">
        <f>IF(SER_hh_tes!S30=0,0,11630*1000*SER_hh_tes!S30/SER_hh_num!S30)</f>
        <v>19736.710118917454</v>
      </c>
      <c r="T30" s="133">
        <f>IF(SER_hh_tes!T30=0,0,11630*1000*SER_hh_tes!T30/SER_hh_num!T30)</f>
        <v>19497.606881513544</v>
      </c>
      <c r="U30" s="133">
        <f>IF(SER_hh_tes!U30=0,0,11630*1000*SER_hh_tes!U30/SER_hh_num!U30)</f>
        <v>21317.295472466416</v>
      </c>
      <c r="V30" s="133">
        <f>IF(SER_hh_tes!V30=0,0,11630*1000*SER_hh_tes!V30/SER_hh_num!V30)</f>
        <v>17521.245719090311</v>
      </c>
      <c r="W30" s="133">
        <f>IF(SER_hh_tes!W30=0,0,11630*1000*SER_hh_tes!W30/SER_hh_num!W30)</f>
        <v>21188.137401690674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15061.849464512219</v>
      </c>
      <c r="C31" s="133">
        <f>IF(SER_hh_tes!C31=0,0,11630*1000*SER_hh_tes!C31/SER_hh_num!C31)</f>
        <v>15624.417167943855</v>
      </c>
      <c r="D31" s="133">
        <f>IF(SER_hh_tes!D31=0,0,11630*1000*SER_hh_tes!D31/SER_hh_num!D31)</f>
        <v>15703.34743552751</v>
      </c>
      <c r="E31" s="133">
        <f>IF(SER_hh_tes!E31=0,0,11630*1000*SER_hh_tes!E31/SER_hh_num!E31)</f>
        <v>15580.720100244509</v>
      </c>
      <c r="F31" s="133">
        <f>IF(SER_hh_tes!F31=0,0,11630*1000*SER_hh_tes!F31/SER_hh_num!F31)</f>
        <v>15492.232479043765</v>
      </c>
      <c r="G31" s="133">
        <f>IF(SER_hh_tes!G31=0,0,11630*1000*SER_hh_tes!G31/SER_hh_num!G31)</f>
        <v>15961.147659001206</v>
      </c>
      <c r="H31" s="133">
        <f>IF(SER_hh_tes!H31=0,0,11630*1000*SER_hh_tes!H31/SER_hh_num!H31)</f>
        <v>15925.886381660019</v>
      </c>
      <c r="I31" s="133">
        <f>IF(SER_hh_tes!I31=0,0,11630*1000*SER_hh_tes!I31/SER_hh_num!I31)</f>
        <v>16403.083767075186</v>
      </c>
      <c r="J31" s="133">
        <f>IF(SER_hh_tes!J31=0,0,11630*1000*SER_hh_tes!J31/SER_hh_num!J31)</f>
        <v>17087.195464474073</v>
      </c>
      <c r="K31" s="133">
        <f>IF(SER_hh_tes!K31=0,0,11630*1000*SER_hh_tes!K31/SER_hh_num!K31)</f>
        <v>17543.443337313929</v>
      </c>
      <c r="L31" s="133">
        <f>IF(SER_hh_tes!L31=0,0,11630*1000*SER_hh_tes!L31/SER_hh_num!L31)</f>
        <v>17556.497144326848</v>
      </c>
      <c r="M31" s="133">
        <f>IF(SER_hh_tes!M31=0,0,11630*1000*SER_hh_tes!M31/SER_hh_num!M31)</f>
        <v>17996.280659332217</v>
      </c>
      <c r="N31" s="133">
        <f>IF(SER_hh_tes!N31=0,0,11630*1000*SER_hh_tes!N31/SER_hh_num!N31)</f>
        <v>18747.729047473818</v>
      </c>
      <c r="O31" s="133">
        <f>IF(SER_hh_tes!O31=0,0,11630*1000*SER_hh_tes!O31/SER_hh_num!O31)</f>
        <v>18642.15233804606</v>
      </c>
      <c r="P31" s="133">
        <f>IF(SER_hh_tes!P31=0,0,11630*1000*SER_hh_tes!P31/SER_hh_num!P31)</f>
        <v>18734.463557966064</v>
      </c>
      <c r="Q31" s="133">
        <f>IF(SER_hh_tes!Q31=0,0,11630*1000*SER_hh_tes!Q31/SER_hh_num!Q31)</f>
        <v>19423.883287018081</v>
      </c>
      <c r="R31" s="133">
        <f>IF(SER_hh_tes!R31=0,0,11630*1000*SER_hh_tes!R31/SER_hh_num!R31)</f>
        <v>19587.870501601978</v>
      </c>
      <c r="S31" s="133">
        <f>IF(SER_hh_tes!S31=0,0,11630*1000*SER_hh_tes!S31/SER_hh_num!S31)</f>
        <v>20411.257077038914</v>
      </c>
      <c r="T31" s="133">
        <f>IF(SER_hh_tes!T31=0,0,11630*1000*SER_hh_tes!T31/SER_hh_num!T31)</f>
        <v>20641.052624965243</v>
      </c>
      <c r="U31" s="133">
        <f>IF(SER_hh_tes!U31=0,0,11630*1000*SER_hh_tes!U31/SER_hh_num!U31)</f>
        <v>20266.005056220336</v>
      </c>
      <c r="V31" s="133">
        <f>IF(SER_hh_tes!V31=0,0,11630*1000*SER_hh_tes!V31/SER_hh_num!V31)</f>
        <v>18142.614110694147</v>
      </c>
      <c r="W31" s="133">
        <f>IF(SER_hh_tes!W31=0,0,11630*1000*SER_hh_tes!W31/SER_hh_num!W31)</f>
        <v>20817.852627761418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25672.738730017376</v>
      </c>
      <c r="L32" s="133">
        <f>IF(SER_hh_tes!L32=0,0,11630*1000*SER_hh_tes!L32/SER_hh_num!L32)</f>
        <v>20398.082834710167</v>
      </c>
      <c r="M32" s="133">
        <f>IF(SER_hh_tes!M32=0,0,11630*1000*SER_hh_tes!M32/SER_hh_num!M32)</f>
        <v>17177.757854765405</v>
      </c>
      <c r="N32" s="133">
        <f>IF(SER_hh_tes!N32=0,0,11630*1000*SER_hh_tes!N32/SER_hh_num!N32)</f>
        <v>18296.33962089233</v>
      </c>
      <c r="O32" s="133">
        <f>IF(SER_hh_tes!O32=0,0,11630*1000*SER_hh_tes!O32/SER_hh_num!O32)</f>
        <v>18624.881242824056</v>
      </c>
      <c r="P32" s="133">
        <f>IF(SER_hh_tes!P32=0,0,11630*1000*SER_hh_tes!P32/SER_hh_num!P32)</f>
        <v>17624.130654490047</v>
      </c>
      <c r="Q32" s="133">
        <f>IF(SER_hh_tes!Q32=0,0,11630*1000*SER_hh_tes!Q32/SER_hh_num!Q32)</f>
        <v>17559.512066131298</v>
      </c>
      <c r="R32" s="133">
        <f>IF(SER_hh_tes!R32=0,0,11630*1000*SER_hh_tes!R32/SER_hh_num!R32)</f>
        <v>17055.099230977961</v>
      </c>
      <c r="S32" s="133">
        <f>IF(SER_hh_tes!S32=0,0,11630*1000*SER_hh_tes!S32/SER_hh_num!S32)</f>
        <v>17834.623449033392</v>
      </c>
      <c r="T32" s="133">
        <f>IF(SER_hh_tes!T32=0,0,11630*1000*SER_hh_tes!T32/SER_hh_num!T32)</f>
        <v>21575.058215607685</v>
      </c>
      <c r="U32" s="133">
        <f>IF(SER_hh_tes!U32=0,0,11630*1000*SER_hh_tes!U32/SER_hh_num!U32)</f>
        <v>22593.941734907614</v>
      </c>
      <c r="V32" s="133">
        <f>IF(SER_hh_tes!V32=0,0,11630*1000*SER_hh_tes!V32/SER_hh_num!V32)</f>
        <v>18146.998520141176</v>
      </c>
      <c r="W32" s="133">
        <f>IF(SER_hh_tes!W32=0,0,11630*1000*SER_hh_tes!W32/SER_hh_num!W32)</f>
        <v>18968.714158330909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15371.563988184233</v>
      </c>
      <c r="C33" s="68">
        <f>IF(SER_hh_tes!C33=0,0,11630*1000*SER_hh_tes!C33/SER_hh_num!C33)</f>
        <v>15440.989145327108</v>
      </c>
      <c r="D33" s="68">
        <f>IF(SER_hh_tes!D33=0,0,11630*1000*SER_hh_tes!D33/SER_hh_num!D33)</f>
        <v>15831.464023347575</v>
      </c>
      <c r="E33" s="68">
        <f>IF(SER_hh_tes!E33=0,0,11630*1000*SER_hh_tes!E33/SER_hh_num!E33)</f>
        <v>15333.442518663578</v>
      </c>
      <c r="F33" s="68">
        <f>IF(SER_hh_tes!F33=0,0,11630*1000*SER_hh_tes!F33/SER_hh_num!F33)</f>
        <v>15651.288180828113</v>
      </c>
      <c r="G33" s="68">
        <f>IF(SER_hh_tes!G33=0,0,11630*1000*SER_hh_tes!G33/SER_hh_num!G33)</f>
        <v>15892.724348485588</v>
      </c>
      <c r="H33" s="68">
        <f>IF(SER_hh_tes!H33=0,0,11630*1000*SER_hh_tes!H33/SER_hh_num!H33)</f>
        <v>16066.247837408835</v>
      </c>
      <c r="I33" s="68">
        <f>IF(SER_hh_tes!I33=0,0,11630*1000*SER_hh_tes!I33/SER_hh_num!I33)</f>
        <v>16373.260289618012</v>
      </c>
      <c r="J33" s="68">
        <f>IF(SER_hh_tes!J33=0,0,11630*1000*SER_hh_tes!J33/SER_hh_num!J33)</f>
        <v>16930.219859080789</v>
      </c>
      <c r="K33" s="68">
        <f>IF(SER_hh_tes!K33=0,0,11630*1000*SER_hh_tes!K33/SER_hh_num!K33)</f>
        <v>17457.63272044457</v>
      </c>
      <c r="L33" s="68">
        <f>IF(SER_hh_tes!L33=0,0,11630*1000*SER_hh_tes!L33/SER_hh_num!L33)</f>
        <v>17659.312020757479</v>
      </c>
      <c r="M33" s="68">
        <f>IF(SER_hh_tes!M33=0,0,11630*1000*SER_hh_tes!M33/SER_hh_num!M33)</f>
        <v>17831.078750459103</v>
      </c>
      <c r="N33" s="68">
        <f>IF(SER_hh_tes!N33=0,0,11630*1000*SER_hh_tes!N33/SER_hh_num!N33)</f>
        <v>18530.167939260406</v>
      </c>
      <c r="O33" s="68">
        <f>IF(SER_hh_tes!O33=0,0,11630*1000*SER_hh_tes!O33/SER_hh_num!O33)</f>
        <v>18932.876568934196</v>
      </c>
      <c r="P33" s="68">
        <f>IF(SER_hh_tes!P33=0,0,11630*1000*SER_hh_tes!P33/SER_hh_num!P33)</f>
        <v>19319.135413263059</v>
      </c>
      <c r="Q33" s="68">
        <f>IF(SER_hh_tes!Q33=0,0,11630*1000*SER_hh_tes!Q33/SER_hh_num!Q33)</f>
        <v>19211.908464633416</v>
      </c>
      <c r="R33" s="68">
        <f>IF(SER_hh_tes!R33=0,0,11630*1000*SER_hh_tes!R33/SER_hh_num!R33)</f>
        <v>19636.590168669132</v>
      </c>
      <c r="S33" s="68">
        <f>IF(SER_hh_tes!S33=0,0,11630*1000*SER_hh_tes!S33/SER_hh_num!S33)</f>
        <v>20047.177918835499</v>
      </c>
      <c r="T33" s="68">
        <f>IF(SER_hh_tes!T33=0,0,11630*1000*SER_hh_tes!T33/SER_hh_num!T33)</f>
        <v>20352.720995096737</v>
      </c>
      <c r="U33" s="68">
        <f>IF(SER_hh_tes!U33=0,0,11630*1000*SER_hh_tes!U33/SER_hh_num!U33)</f>
        <v>20652.020894078803</v>
      </c>
      <c r="V33" s="68">
        <f>IF(SER_hh_tes!V33=0,0,11630*1000*SER_hh_tes!V33/SER_hh_num!V33)</f>
        <v>17975.687567396566</v>
      </c>
      <c r="W33" s="68">
        <f>IF(SER_hh_tes!W33=0,0,11630*1000*SER_hh_tes!W33/SER_hh_num!W33)</f>
        <v>20852.958217700227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19935.074071578263</v>
      </c>
      <c r="C3" s="126">
        <f>IF(SER_hh_emi!C3=0,0,1000000*SER_hh_emi!C3/SER_hh_num!C3)</f>
        <v>22525.826042843484</v>
      </c>
      <c r="D3" s="126">
        <f>IF(SER_hh_emi!D3=0,0,1000000*SER_hh_emi!D3/SER_hh_num!D3)</f>
        <v>22863.784821792317</v>
      </c>
      <c r="E3" s="126">
        <f>IF(SER_hh_emi!E3=0,0,1000000*SER_hh_emi!E3/SER_hh_num!E3)</f>
        <v>22353.803038294544</v>
      </c>
      <c r="F3" s="126">
        <f>IF(SER_hh_emi!F3=0,0,1000000*SER_hh_emi!F3/SER_hh_num!F3)</f>
        <v>21497.69464580531</v>
      </c>
      <c r="G3" s="126">
        <f>IF(SER_hh_emi!G3=0,0,1000000*SER_hh_emi!G3/SER_hh_num!G3)</f>
        <v>19992.254742605175</v>
      </c>
      <c r="H3" s="126">
        <f>IF(SER_hh_emi!H3=0,0,1000000*SER_hh_emi!H3/SER_hh_num!H3)</f>
        <v>17525.845264760865</v>
      </c>
      <c r="I3" s="126">
        <f>IF(SER_hh_emi!I3=0,0,1000000*SER_hh_emi!I3/SER_hh_num!I3)</f>
        <v>14780.787967553648</v>
      </c>
      <c r="J3" s="126">
        <f>IF(SER_hh_emi!J3=0,0,1000000*SER_hh_emi!J3/SER_hh_num!J3)</f>
        <v>14762.125297478617</v>
      </c>
      <c r="K3" s="126">
        <f>IF(SER_hh_emi!K3=0,0,1000000*SER_hh_emi!K3/SER_hh_num!K3)</f>
        <v>14575.007489479409</v>
      </c>
      <c r="L3" s="126">
        <f>IF(SER_hh_emi!L3=0,0,1000000*SER_hh_emi!L3/SER_hh_num!L3)</f>
        <v>15505.133423851412</v>
      </c>
      <c r="M3" s="126">
        <f>IF(SER_hh_emi!M3=0,0,1000000*SER_hh_emi!M3/SER_hh_num!M3)</f>
        <v>13986.814054698842</v>
      </c>
      <c r="N3" s="126">
        <f>IF(SER_hh_emi!N3=0,0,1000000*SER_hh_emi!N3/SER_hh_num!N3)</f>
        <v>12525.730713071544</v>
      </c>
      <c r="O3" s="126">
        <f>IF(SER_hh_emi!O3=0,0,1000000*SER_hh_emi!O3/SER_hh_num!O3)</f>
        <v>11829.781573844102</v>
      </c>
      <c r="P3" s="126">
        <f>IF(SER_hh_emi!P3=0,0,1000000*SER_hh_emi!P3/SER_hh_num!P3)</f>
        <v>10514.667431761369</v>
      </c>
      <c r="Q3" s="126">
        <f>IF(SER_hh_emi!Q3=0,0,1000000*SER_hh_emi!Q3/SER_hh_num!Q3)</f>
        <v>12671.241560021059</v>
      </c>
      <c r="R3" s="126">
        <f>IF(SER_hh_emi!R3=0,0,1000000*SER_hh_emi!R3/SER_hh_num!R3)</f>
        <v>13076.433793018927</v>
      </c>
      <c r="S3" s="126">
        <f>IF(SER_hh_emi!S3=0,0,1000000*SER_hh_emi!S3/SER_hh_num!S3)</f>
        <v>13330.83854557809</v>
      </c>
      <c r="T3" s="126">
        <f>IF(SER_hh_emi!T3=0,0,1000000*SER_hh_emi!T3/SER_hh_num!T3)</f>
        <v>13200.128305539818</v>
      </c>
      <c r="U3" s="126">
        <f>IF(SER_hh_emi!U3=0,0,1000000*SER_hh_emi!U3/SER_hh_num!U3)</f>
        <v>12741.414399466619</v>
      </c>
      <c r="V3" s="126">
        <f>IF(SER_hh_emi!V3=0,0,1000000*SER_hh_emi!V3/SER_hh_num!V3)</f>
        <v>11754.256442768419</v>
      </c>
      <c r="W3" s="126">
        <f>IF(SER_hh_emi!W3=0,0,1000000*SER_hh_emi!W3/SER_hh_num!W3)</f>
        <v>13323.35692156101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16871.605847746956</v>
      </c>
      <c r="C4" s="131">
        <f>IF(SER_hh_emi!C4=0,0,1000000*SER_hh_emi!C4/SER_hh_num!C4)</f>
        <v>19138.23199333833</v>
      </c>
      <c r="D4" s="131">
        <f>IF(SER_hh_emi!D4=0,0,1000000*SER_hh_emi!D4/SER_hh_num!D4)</f>
        <v>19447.94984118277</v>
      </c>
      <c r="E4" s="131">
        <f>IF(SER_hh_emi!E4=0,0,1000000*SER_hh_emi!E4/SER_hh_num!E4)</f>
        <v>18931.065416899233</v>
      </c>
      <c r="F4" s="131">
        <f>IF(SER_hh_emi!F4=0,0,1000000*SER_hh_emi!F4/SER_hh_num!F4)</f>
        <v>17995.996123059231</v>
      </c>
      <c r="G4" s="131">
        <f>IF(SER_hh_emi!G4=0,0,1000000*SER_hh_emi!G4/SER_hh_num!G4)</f>
        <v>16474.381593277714</v>
      </c>
      <c r="H4" s="131">
        <f>IF(SER_hh_emi!H4=0,0,1000000*SER_hh_emi!H4/SER_hh_num!H4)</f>
        <v>14065.38594817181</v>
      </c>
      <c r="I4" s="131">
        <f>IF(SER_hh_emi!I4=0,0,1000000*SER_hh_emi!I4/SER_hh_num!I4)</f>
        <v>11403.126412794132</v>
      </c>
      <c r="J4" s="131">
        <f>IF(SER_hh_emi!J4=0,0,1000000*SER_hh_emi!J4/SER_hh_num!J4)</f>
        <v>11277.316742448058</v>
      </c>
      <c r="K4" s="131">
        <f>IF(SER_hh_emi!K4=0,0,1000000*SER_hh_emi!K4/SER_hh_num!K4)</f>
        <v>10951.447860409036</v>
      </c>
      <c r="L4" s="131">
        <f>IF(SER_hh_emi!L4=0,0,1000000*SER_hh_emi!L4/SER_hh_num!L4)</f>
        <v>11797.525674101533</v>
      </c>
      <c r="M4" s="131">
        <f>IF(SER_hh_emi!M4=0,0,1000000*SER_hh_emi!M4/SER_hh_num!M4)</f>
        <v>10400.219175796969</v>
      </c>
      <c r="N4" s="131">
        <f>IF(SER_hh_emi!N4=0,0,1000000*SER_hh_emi!N4/SER_hh_num!N4)</f>
        <v>8880.041457676607</v>
      </c>
      <c r="O4" s="131">
        <f>IF(SER_hh_emi!O4=0,0,1000000*SER_hh_emi!O4/SER_hh_num!O4)</f>
        <v>8166.1141081031183</v>
      </c>
      <c r="P4" s="131">
        <f>IF(SER_hh_emi!P4=0,0,1000000*SER_hh_emi!P4/SER_hh_num!P4)</f>
        <v>6920.4024537801879</v>
      </c>
      <c r="Q4" s="131">
        <f>IF(SER_hh_emi!Q4=0,0,1000000*SER_hh_emi!Q4/SER_hh_num!Q4)</f>
        <v>9078.6022171415752</v>
      </c>
      <c r="R4" s="131">
        <f>IF(SER_hh_emi!R4=0,0,1000000*SER_hh_emi!R4/SER_hh_num!R4)</f>
        <v>9357.4196288036892</v>
      </c>
      <c r="S4" s="131">
        <f>IF(SER_hh_emi!S4=0,0,1000000*SER_hh_emi!S4/SER_hh_num!S4)</f>
        <v>9591.4005923744116</v>
      </c>
      <c r="T4" s="131">
        <f>IF(SER_hh_emi!T4=0,0,1000000*SER_hh_emi!T4/SER_hh_num!T4)</f>
        <v>9488.6679065671415</v>
      </c>
      <c r="U4" s="131">
        <f>IF(SER_hh_emi!U4=0,0,1000000*SER_hh_emi!U4/SER_hh_num!U4)</f>
        <v>9041.8957099102026</v>
      </c>
      <c r="V4" s="131">
        <f>IF(SER_hh_emi!V4=0,0,1000000*SER_hh_emi!V4/SER_hh_num!V4)</f>
        <v>8514.1783365020929</v>
      </c>
      <c r="W4" s="131">
        <f>IF(SER_hh_emi!W4=0,0,1000000*SER_hh_emi!W4/SER_hh_num!W4)</f>
        <v>9746.6685481468794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45898.865980967406</v>
      </c>
      <c r="C5" s="133">
        <f>IF(SER_hh_emi!C5=0,0,1000000*SER_hh_emi!C5/SER_hh_num!C5)</f>
        <v>35563.242535005549</v>
      </c>
      <c r="D5" s="133">
        <f>IF(SER_hh_emi!D5=0,0,1000000*SER_hh_emi!D5/SER_hh_num!D5)</f>
        <v>48938.743296312525</v>
      </c>
      <c r="E5" s="133">
        <f>IF(SER_hh_emi!E5=0,0,1000000*SER_hh_emi!E5/SER_hh_num!E5)</f>
        <v>66255.085506918418</v>
      </c>
      <c r="F5" s="133">
        <f>IF(SER_hh_emi!F5=0,0,1000000*SER_hh_emi!F5/SER_hh_num!F5)</f>
        <v>41474.95488394636</v>
      </c>
      <c r="G5" s="133">
        <f>IF(SER_hh_emi!G5=0,0,1000000*SER_hh_emi!G5/SER_hh_num!G5)</f>
        <v>9748.3687503458841</v>
      </c>
      <c r="H5" s="133">
        <f>IF(SER_hh_emi!H5=0,0,1000000*SER_hh_emi!H5/SER_hh_num!H5)</f>
        <v>58934.712278649524</v>
      </c>
      <c r="I5" s="133">
        <f>IF(SER_hh_emi!I5=0,0,1000000*SER_hh_emi!I5/SER_hh_num!I5)</f>
        <v>32315.041852817656</v>
      </c>
      <c r="J5" s="133">
        <f>IF(SER_hh_emi!J5=0,0,1000000*SER_hh_emi!J5/SER_hh_num!J5)</f>
        <v>48058.576348774994</v>
      </c>
      <c r="K5" s="133">
        <f>IF(SER_hh_emi!K5=0,0,1000000*SER_hh_emi!K5/SER_hh_num!K5)</f>
        <v>45135.871558081162</v>
      </c>
      <c r="L5" s="133">
        <f>IF(SER_hh_emi!L5=0,0,1000000*SER_hh_emi!L5/SER_hh_num!L5)</f>
        <v>26691.202796723097</v>
      </c>
      <c r="M5" s="133">
        <f>IF(SER_hh_emi!M5=0,0,1000000*SER_hh_emi!M5/SER_hh_num!M5)</f>
        <v>55055.975314204217</v>
      </c>
      <c r="N5" s="133">
        <f>IF(SER_hh_emi!N5=0,0,1000000*SER_hh_emi!N5/SER_hh_num!N5)</f>
        <v>54378.959663492795</v>
      </c>
      <c r="O5" s="133">
        <f>IF(SER_hh_emi!O5=0,0,1000000*SER_hh_emi!O5/SER_hh_num!O5)</f>
        <v>9417.6770151482615</v>
      </c>
      <c r="P5" s="133">
        <f>IF(SER_hh_emi!P5=0,0,1000000*SER_hh_emi!P5/SER_hh_num!P5)</f>
        <v>9121.4704664256969</v>
      </c>
      <c r="Q5" s="133">
        <f>IF(SER_hh_emi!Q5=0,0,1000000*SER_hh_emi!Q5/SER_hh_num!Q5)</f>
        <v>17312.894265593601</v>
      </c>
      <c r="R5" s="133">
        <f>IF(SER_hh_emi!R5=0,0,1000000*SER_hh_emi!R5/SER_hh_num!R5)</f>
        <v>22337.999170312181</v>
      </c>
      <c r="S5" s="133">
        <f>IF(SER_hh_emi!S5=0,0,1000000*SER_hh_emi!S5/SER_hh_num!S5)</f>
        <v>63338.701380822204</v>
      </c>
      <c r="T5" s="133">
        <f>IF(SER_hh_emi!T5=0,0,1000000*SER_hh_emi!T5/SER_hh_num!T5)</f>
        <v>33280.176068255707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35954.011519061583</v>
      </c>
      <c r="C7" s="133">
        <f>IF(SER_hh_emi!C7=0,0,1000000*SER_hh_emi!C7/SER_hh_num!C7)</f>
        <v>37586.704932606932</v>
      </c>
      <c r="D7" s="133">
        <f>IF(SER_hh_emi!D7=0,0,1000000*SER_hh_emi!D7/SER_hh_num!D7)</f>
        <v>40972.630790152551</v>
      </c>
      <c r="E7" s="133">
        <f>IF(SER_hh_emi!E7=0,0,1000000*SER_hh_emi!E7/SER_hh_num!E7)</f>
        <v>39683.863718927401</v>
      </c>
      <c r="F7" s="133">
        <f>IF(SER_hh_emi!F7=0,0,1000000*SER_hh_emi!F7/SER_hh_num!F7)</f>
        <v>40357.138385955746</v>
      </c>
      <c r="G7" s="133">
        <f>IF(SER_hh_emi!G7=0,0,1000000*SER_hh_emi!G7/SER_hh_num!G7)</f>
        <v>38960.700144306888</v>
      </c>
      <c r="H7" s="133">
        <f>IF(SER_hh_emi!H7=0,0,1000000*SER_hh_emi!H7/SER_hh_num!H7)</f>
        <v>36028.422798547581</v>
      </c>
      <c r="I7" s="133">
        <f>IF(SER_hh_emi!I7=0,0,1000000*SER_hh_emi!I7/SER_hh_num!I7)</f>
        <v>31791.699610103449</v>
      </c>
      <c r="J7" s="133">
        <f>IF(SER_hh_emi!J7=0,0,1000000*SER_hh_emi!J7/SER_hh_num!J7)</f>
        <v>33086.777947409704</v>
      </c>
      <c r="K7" s="133">
        <f>IF(SER_hh_emi!K7=0,0,1000000*SER_hh_emi!K7/SER_hh_num!K7)</f>
        <v>34276.588348219164</v>
      </c>
      <c r="L7" s="133">
        <f>IF(SER_hh_emi!L7=0,0,1000000*SER_hh_emi!L7/SER_hh_num!L7)</f>
        <v>35675.05687474204</v>
      </c>
      <c r="M7" s="133">
        <f>IF(SER_hh_emi!M7=0,0,1000000*SER_hh_emi!M7/SER_hh_num!M7)</f>
        <v>35193.024251438263</v>
      </c>
      <c r="N7" s="133">
        <f>IF(SER_hh_emi!N7=0,0,1000000*SER_hh_emi!N7/SER_hh_num!N7)</f>
        <v>30493.560338910505</v>
      </c>
      <c r="O7" s="133">
        <f>IF(SER_hh_emi!O7=0,0,1000000*SER_hh_emi!O7/SER_hh_num!O7)</f>
        <v>26818.200251954888</v>
      </c>
      <c r="P7" s="133">
        <f>IF(SER_hh_emi!P7=0,0,1000000*SER_hh_emi!P7/SER_hh_num!P7)</f>
        <v>20826.454081098684</v>
      </c>
      <c r="Q7" s="133">
        <f>IF(SER_hh_emi!Q7=0,0,1000000*SER_hh_emi!Q7/SER_hh_num!Q7)</f>
        <v>27311.663925235978</v>
      </c>
      <c r="R7" s="133">
        <f>IF(SER_hh_emi!R7=0,0,1000000*SER_hh_emi!R7/SER_hh_num!R7)</f>
        <v>27521.899729934819</v>
      </c>
      <c r="S7" s="133">
        <f>IF(SER_hh_emi!S7=0,0,1000000*SER_hh_emi!S7/SER_hh_num!S7)</f>
        <v>29776.68392821927</v>
      </c>
      <c r="T7" s="133">
        <f>IF(SER_hh_emi!T7=0,0,1000000*SER_hh_emi!T7/SER_hh_num!T7)</f>
        <v>29352.740101398867</v>
      </c>
      <c r="U7" s="133">
        <f>IF(SER_hh_emi!U7=0,0,1000000*SER_hh_emi!U7/SER_hh_num!U7)</f>
        <v>24426.862077761009</v>
      </c>
      <c r="V7" s="133">
        <f>IF(SER_hh_emi!V7=0,0,1000000*SER_hh_emi!V7/SER_hh_num!V7)</f>
        <v>29143.542341250879</v>
      </c>
      <c r="W7" s="133">
        <f>IF(SER_hh_emi!W7=0,0,1000000*SER_hh_emi!W7/SER_hh_num!W7)</f>
        <v>27489.276359422944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21173.662050811363</v>
      </c>
      <c r="C9" s="133">
        <f>IF(SER_hh_emi!C9=0,0,1000000*SER_hh_emi!C9/SER_hh_num!C9)</f>
        <v>29288.625541476169</v>
      </c>
      <c r="D9" s="133">
        <f>IF(SER_hh_emi!D9=0,0,1000000*SER_hh_emi!D9/SER_hh_num!D9)</f>
        <v>25445.487718535609</v>
      </c>
      <c r="E9" s="133">
        <f>IF(SER_hh_emi!E9=0,0,1000000*SER_hh_emi!E9/SER_hh_num!E9)</f>
        <v>25553.113267719818</v>
      </c>
      <c r="F9" s="133">
        <f>IF(SER_hh_emi!F9=0,0,1000000*SER_hh_emi!F9/SER_hh_num!F9)</f>
        <v>25382.494825784768</v>
      </c>
      <c r="G9" s="133">
        <f>IF(SER_hh_emi!G9=0,0,1000000*SER_hh_emi!G9/SER_hh_num!G9)</f>
        <v>25660.326399901405</v>
      </c>
      <c r="H9" s="133">
        <f>IF(SER_hh_emi!H9=0,0,1000000*SER_hh_emi!H9/SER_hh_num!H9)</f>
        <v>22737.699025952752</v>
      </c>
      <c r="I9" s="133">
        <f>IF(SER_hh_emi!I9=0,0,1000000*SER_hh_emi!I9/SER_hh_num!I9)</f>
        <v>20333.313935702939</v>
      </c>
      <c r="J9" s="133">
        <f>IF(SER_hh_emi!J9=0,0,1000000*SER_hh_emi!J9/SER_hh_num!J9)</f>
        <v>21060.785213613573</v>
      </c>
      <c r="K9" s="133">
        <f>IF(SER_hh_emi!K9=0,0,1000000*SER_hh_emi!K9/SER_hh_num!K9)</f>
        <v>20428.742590360147</v>
      </c>
      <c r="L9" s="133">
        <f>IF(SER_hh_emi!L9=0,0,1000000*SER_hh_emi!L9/SER_hh_num!L9)</f>
        <v>24155.51970002487</v>
      </c>
      <c r="M9" s="133">
        <f>IF(SER_hh_emi!M9=0,0,1000000*SER_hh_emi!M9/SER_hh_num!M9)</f>
        <v>20831.250178937364</v>
      </c>
      <c r="N9" s="133">
        <f>IF(SER_hh_emi!N9=0,0,1000000*SER_hh_emi!N9/SER_hh_num!N9)</f>
        <v>18215.043436328346</v>
      </c>
      <c r="O9" s="133">
        <f>IF(SER_hh_emi!O9=0,0,1000000*SER_hh_emi!O9/SER_hh_num!O9)</f>
        <v>17279.185907828869</v>
      </c>
      <c r="P9" s="133">
        <f>IF(SER_hh_emi!P9=0,0,1000000*SER_hh_emi!P9/SER_hh_num!P9)</f>
        <v>14400.466130169147</v>
      </c>
      <c r="Q9" s="133">
        <f>IF(SER_hh_emi!Q9=0,0,1000000*SER_hh_emi!Q9/SER_hh_num!Q9)</f>
        <v>17206.432338226823</v>
      </c>
      <c r="R9" s="133">
        <f>IF(SER_hh_emi!R9=0,0,1000000*SER_hh_emi!R9/SER_hh_num!R9)</f>
        <v>17885.686179174048</v>
      </c>
      <c r="S9" s="133">
        <f>IF(SER_hh_emi!S9=0,0,1000000*SER_hh_emi!S9/SER_hh_num!S9)</f>
        <v>18787.727881615436</v>
      </c>
      <c r="T9" s="133">
        <f>IF(SER_hh_emi!T9=0,0,1000000*SER_hh_emi!T9/SER_hh_num!T9)</f>
        <v>19629.003045196252</v>
      </c>
      <c r="U9" s="133">
        <f>IF(SER_hh_emi!U9=0,0,1000000*SER_hh_emi!U9/SER_hh_num!U9)</f>
        <v>19785.226686559454</v>
      </c>
      <c r="V9" s="133">
        <f>IF(SER_hh_emi!V9=0,0,1000000*SER_hh_emi!V9/SER_hh_num!V9)</f>
        <v>17929.689494409715</v>
      </c>
      <c r="W9" s="133">
        <f>IF(SER_hh_emi!W9=0,0,1000000*SER_hh_emi!W9/SER_hh_num!W9)</f>
        <v>21056.919958675393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4.6607234973643106</v>
      </c>
      <c r="C16" s="131">
        <f>IF(SER_hh_emi!C16=0,0,1000000*SER_hh_emi!C16/SER_hh_num!C16)</f>
        <v>4.2413363020634485</v>
      </c>
      <c r="D16" s="131">
        <f>IF(SER_hh_emi!D16=0,0,1000000*SER_hh_emi!D16/SER_hh_num!D16)</f>
        <v>4.4466525052772434</v>
      </c>
      <c r="E16" s="131">
        <f>IF(SER_hh_emi!E16=0,0,1000000*SER_hh_emi!E16/SER_hh_num!E16)</f>
        <v>9.1638309488773615</v>
      </c>
      <c r="F16" s="131">
        <f>IF(SER_hh_emi!F16=0,0,1000000*SER_hh_emi!F16/SER_hh_num!F16)</f>
        <v>4.9031064675110727</v>
      </c>
      <c r="G16" s="131">
        <f>IF(SER_hh_emi!G16=0,0,1000000*SER_hh_emi!G16/SER_hh_num!G16)</f>
        <v>5.0690109922222764</v>
      </c>
      <c r="H16" s="131">
        <f>IF(SER_hh_emi!H16=0,0,1000000*SER_hh_emi!H16/SER_hh_num!H16)</f>
        <v>5.832590735688628</v>
      </c>
      <c r="I16" s="131">
        <f>IF(SER_hh_emi!I16=0,0,1000000*SER_hh_emi!I16/SER_hh_num!I16)</f>
        <v>7.3096027803569728</v>
      </c>
      <c r="J16" s="131">
        <f>IF(SER_hh_emi!J16=0,0,1000000*SER_hh_emi!J16/SER_hh_num!J16)</f>
        <v>6.4639559730798855</v>
      </c>
      <c r="K16" s="131">
        <f>IF(SER_hh_emi!K16=0,0,1000000*SER_hh_emi!K16/SER_hh_num!K16)</f>
        <v>5.3029634816495257</v>
      </c>
      <c r="L16" s="131">
        <f>IF(SER_hh_emi!L16=0,0,1000000*SER_hh_emi!L16/SER_hh_num!L16)</f>
        <v>5.9057537363991273</v>
      </c>
      <c r="M16" s="131">
        <f>IF(SER_hh_emi!M16=0,0,1000000*SER_hh_emi!M16/SER_hh_num!M16)</f>
        <v>6.8281486618274494</v>
      </c>
      <c r="N16" s="131">
        <f>IF(SER_hh_emi!N16=0,0,1000000*SER_hh_emi!N16/SER_hh_num!N16)</f>
        <v>9.5197527485087257</v>
      </c>
      <c r="O16" s="131">
        <f>IF(SER_hh_emi!O16=0,0,1000000*SER_hh_emi!O16/SER_hh_num!O16)</f>
        <v>8.3622466797423911</v>
      </c>
      <c r="P16" s="131">
        <f>IF(SER_hh_emi!P16=0,0,1000000*SER_hh_emi!P16/SER_hh_num!P16)</f>
        <v>6.7226033176530988</v>
      </c>
      <c r="Q16" s="131">
        <f>IF(SER_hh_emi!Q16=0,0,1000000*SER_hh_emi!Q16/SER_hh_num!Q16)</f>
        <v>16.218972946560427</v>
      </c>
      <c r="R16" s="131">
        <f>IF(SER_hh_emi!R16=0,0,1000000*SER_hh_emi!R16/SER_hh_num!R16)</f>
        <v>12.499572246176353</v>
      </c>
      <c r="S16" s="131">
        <f>IF(SER_hh_emi!S16=0,0,1000000*SER_hh_emi!S16/SER_hh_num!S16)</f>
        <v>21.729978855262058</v>
      </c>
      <c r="T16" s="131">
        <f>IF(SER_hh_emi!T16=0,0,1000000*SER_hh_emi!T16/SER_hh_num!T16)</f>
        <v>20.067179110216124</v>
      </c>
      <c r="U16" s="131">
        <f>IF(SER_hh_emi!U16=0,0,1000000*SER_hh_emi!U16/SER_hh_num!U16)</f>
        <v>27.231124457304418</v>
      </c>
      <c r="V16" s="131">
        <f>IF(SER_hh_emi!V16=0,0,1000000*SER_hh_emi!V16/SER_hh_num!V16)</f>
        <v>20.742837423862646</v>
      </c>
      <c r="W16" s="131">
        <f>IF(SER_hh_emi!W16=0,0,1000000*SER_hh_emi!W16/SER_hh_num!W16)</f>
        <v>28.463004597490379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3822.4774522967855</v>
      </c>
      <c r="C17" s="133">
        <f>IF(SER_hh_emi!C17=0,0,1000000*SER_hh_emi!C17/SER_hh_num!C17)</f>
        <v>3599.4235556942526</v>
      </c>
      <c r="D17" s="133">
        <f>IF(SER_hh_emi!D17=0,0,1000000*SER_hh_emi!D17/SER_hh_num!D17)</f>
        <v>3446.7403223460437</v>
      </c>
      <c r="E17" s="133">
        <f>IF(SER_hh_emi!E17=0,0,1000000*SER_hh_emi!E17/SER_hh_num!E17)</f>
        <v>6526.1393918826834</v>
      </c>
      <c r="F17" s="133">
        <f>IF(SER_hh_emi!F17=0,0,1000000*SER_hh_emi!F17/SER_hh_num!F17)</f>
        <v>3346.2644763335688</v>
      </c>
      <c r="G17" s="133">
        <f>IF(SER_hh_emi!G17=0,0,1000000*SER_hh_emi!G17/SER_hh_num!G17)</f>
        <v>3360.5839298912374</v>
      </c>
      <c r="H17" s="133">
        <f>IF(SER_hh_emi!H17=0,0,1000000*SER_hh_emi!H17/SER_hh_num!H17)</f>
        <v>3790.2883818710243</v>
      </c>
      <c r="I17" s="133">
        <f>IF(SER_hh_emi!I17=0,0,1000000*SER_hh_emi!I17/SER_hh_num!I17)</f>
        <v>5026.4028125168561</v>
      </c>
      <c r="J17" s="133">
        <f>IF(SER_hh_emi!J17=0,0,1000000*SER_hh_emi!J17/SER_hh_num!J17)</f>
        <v>4615.2365606090207</v>
      </c>
      <c r="K17" s="133">
        <f>IF(SER_hh_emi!K17=0,0,1000000*SER_hh_emi!K17/SER_hh_num!K17)</f>
        <v>3634.8128536662052</v>
      </c>
      <c r="L17" s="133">
        <f>IF(SER_hh_emi!L17=0,0,1000000*SER_hh_emi!L17/SER_hh_num!L17)</f>
        <v>3711.3993220540224</v>
      </c>
      <c r="M17" s="133">
        <f>IF(SER_hh_emi!M17=0,0,1000000*SER_hh_emi!M17/SER_hh_num!M17)</f>
        <v>4008.7622065773357</v>
      </c>
      <c r="N17" s="133">
        <f>IF(SER_hh_emi!N17=0,0,1000000*SER_hh_emi!N17/SER_hh_num!N17)</f>
        <v>5111.9952976644327</v>
      </c>
      <c r="O17" s="133">
        <f>IF(SER_hh_emi!O17=0,0,1000000*SER_hh_emi!O17/SER_hh_num!O17)</f>
        <v>3968.4164789543534</v>
      </c>
      <c r="P17" s="133">
        <f>IF(SER_hh_emi!P17=0,0,1000000*SER_hh_emi!P17/SER_hh_num!P17)</f>
        <v>3249.164370925374</v>
      </c>
      <c r="Q17" s="133">
        <f>IF(SER_hh_emi!Q17=0,0,1000000*SER_hh_emi!Q17/SER_hh_num!Q17)</f>
        <v>5349.7059066568827</v>
      </c>
      <c r="R17" s="133">
        <f>IF(SER_hh_emi!R17=0,0,1000000*SER_hh_emi!R17/SER_hh_num!R17)</f>
        <v>3545.3966759726559</v>
      </c>
      <c r="S17" s="133">
        <f>IF(SER_hh_emi!S17=0,0,1000000*SER_hh_emi!S17/SER_hh_num!S17)</f>
        <v>5066.3714293585817</v>
      </c>
      <c r="T17" s="133">
        <f>IF(SER_hh_emi!T17=0,0,1000000*SER_hh_emi!T17/SER_hh_num!T17)</f>
        <v>3763.701179473409</v>
      </c>
      <c r="U17" s="133">
        <f>IF(SER_hh_emi!U17=0,0,1000000*SER_hh_emi!U17/SER_hh_num!U17)</f>
        <v>4509.5794670318019</v>
      </c>
      <c r="V17" s="133">
        <f>IF(SER_hh_emi!V17=0,0,1000000*SER_hh_emi!V17/SER_hh_num!V17)</f>
        <v>3509.7526711383011</v>
      </c>
      <c r="W17" s="133">
        <f>IF(SER_hh_emi!W17=0,0,1000000*SER_hh_emi!W17/SER_hh_num!W17)</f>
        <v>4581.5714128525897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2369.2746711281634</v>
      </c>
      <c r="C19" s="131">
        <f>IF(SER_hh_emi!C19=0,0,1000000*SER_hh_emi!C19/SER_hh_num!C19)</f>
        <v>2454.7894965196856</v>
      </c>
      <c r="D19" s="131">
        <f>IF(SER_hh_emi!D19=0,0,1000000*SER_hh_emi!D19/SER_hh_num!D19)</f>
        <v>2533.5835695539513</v>
      </c>
      <c r="E19" s="131">
        <f>IF(SER_hh_emi!E19=0,0,1000000*SER_hh_emi!E19/SER_hh_num!E19)</f>
        <v>2511.4372637729834</v>
      </c>
      <c r="F19" s="131">
        <f>IF(SER_hh_emi!F19=0,0,1000000*SER_hh_emi!F19/SER_hh_num!F19)</f>
        <v>2551.9578568414399</v>
      </c>
      <c r="G19" s="131">
        <f>IF(SER_hh_emi!G19=0,0,1000000*SER_hh_emi!G19/SER_hh_num!G19)</f>
        <v>2593.0515321591261</v>
      </c>
      <c r="H19" s="131">
        <f>IF(SER_hh_emi!H19=0,0,1000000*SER_hh_emi!H19/SER_hh_num!H19)</f>
        <v>2512.5383982029825</v>
      </c>
      <c r="I19" s="131">
        <f>IF(SER_hh_emi!I19=0,0,1000000*SER_hh_emi!I19/SER_hh_num!I19)</f>
        <v>2459.5622782272189</v>
      </c>
      <c r="J19" s="131">
        <f>IF(SER_hh_emi!J19=0,0,1000000*SER_hh_emi!J19/SER_hh_num!J19)</f>
        <v>2510.8977470477794</v>
      </c>
      <c r="K19" s="131">
        <f>IF(SER_hh_emi!K19=0,0,1000000*SER_hh_emi!K19/SER_hh_num!K19)</f>
        <v>2532.8256209164183</v>
      </c>
      <c r="L19" s="131">
        <f>IF(SER_hh_emi!L19=0,0,1000000*SER_hh_emi!L19/SER_hh_num!L19)</f>
        <v>2553.6582820144708</v>
      </c>
      <c r="M19" s="131">
        <f>IF(SER_hh_emi!M19=0,0,1000000*SER_hh_emi!M19/SER_hh_num!M19)</f>
        <v>2492.8497669238573</v>
      </c>
      <c r="N19" s="131">
        <f>IF(SER_hh_emi!N19=0,0,1000000*SER_hh_emi!N19/SER_hh_num!N19)</f>
        <v>2510.0351133200415</v>
      </c>
      <c r="O19" s="131">
        <f>IF(SER_hh_emi!O19=0,0,1000000*SER_hh_emi!O19/SER_hh_num!O19)</f>
        <v>2525.8537200589303</v>
      </c>
      <c r="P19" s="131">
        <f>IF(SER_hh_emi!P19=0,0,1000000*SER_hh_emi!P19/SER_hh_num!P19)</f>
        <v>2474.2550758292227</v>
      </c>
      <c r="Q19" s="131">
        <f>IF(SER_hh_emi!Q19=0,0,1000000*SER_hh_emi!Q19/SER_hh_num!Q19)</f>
        <v>2455.6743258414895</v>
      </c>
      <c r="R19" s="131">
        <f>IF(SER_hh_emi!R19=0,0,1000000*SER_hh_emi!R19/SER_hh_num!R19)</f>
        <v>2494.1794727858073</v>
      </c>
      <c r="S19" s="131">
        <f>IF(SER_hh_emi!S19=0,0,1000000*SER_hh_emi!S19/SER_hh_num!S19)</f>
        <v>2507.6755401868304</v>
      </c>
      <c r="T19" s="131">
        <f>IF(SER_hh_emi!T19=0,0,1000000*SER_hh_emi!T19/SER_hh_num!T19)</f>
        <v>2485.265040258254</v>
      </c>
      <c r="U19" s="131">
        <f>IF(SER_hh_emi!U19=0,0,1000000*SER_hh_emi!U19/SER_hh_num!U19)</f>
        <v>2443.1399555166558</v>
      </c>
      <c r="V19" s="131">
        <f>IF(SER_hh_emi!V19=0,0,1000000*SER_hh_emi!V19/SER_hh_num!V19)</f>
        <v>2162.5193532259464</v>
      </c>
      <c r="W19" s="131">
        <f>IF(SER_hh_emi!W19=0,0,1000000*SER_hh_emi!W19/SER_hh_num!W19)</f>
        <v>2318.4345108023863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5095.5404108913317</v>
      </c>
      <c r="C21" s="133">
        <f>IF(SER_hh_emi!C21=0,0,1000000*SER_hh_emi!C21/SER_hh_num!C21)</f>
        <v>5682.8350927691663</v>
      </c>
      <c r="D21" s="133">
        <f>IF(SER_hh_emi!D21=0,0,1000000*SER_hh_emi!D21/SER_hh_num!D21)</f>
        <v>5758.3044906906252</v>
      </c>
      <c r="E21" s="133">
        <f>IF(SER_hh_emi!E21=0,0,1000000*SER_hh_emi!E21/SER_hh_num!E21)</f>
        <v>5653.7278761619064</v>
      </c>
      <c r="F21" s="133">
        <f>IF(SER_hh_emi!F21=0,0,1000000*SER_hh_emi!F21/SER_hh_num!F21)</f>
        <v>5797.5372192175537</v>
      </c>
      <c r="G21" s="133">
        <f>IF(SER_hh_emi!G21=0,0,1000000*SER_hh_emi!G21/SER_hh_num!G21)</f>
        <v>5697.072858406038</v>
      </c>
      <c r="H21" s="133">
        <f>IF(SER_hh_emi!H21=0,0,1000000*SER_hh_emi!H21/SER_hh_num!H21)</f>
        <v>5662.5766530614292</v>
      </c>
      <c r="I21" s="133">
        <f>IF(SER_hh_emi!I21=0,0,1000000*SER_hh_emi!I21/SER_hh_num!I21)</f>
        <v>5532.9318298324933</v>
      </c>
      <c r="J21" s="133">
        <f>IF(SER_hh_emi!J21=0,0,1000000*SER_hh_emi!J21/SER_hh_num!J21)</f>
        <v>5633.0957694590033</v>
      </c>
      <c r="K21" s="133">
        <f>IF(SER_hh_emi!K21=0,0,1000000*SER_hh_emi!K21/SER_hh_num!K21)</f>
        <v>5827.4254842595656</v>
      </c>
      <c r="L21" s="133">
        <f>IF(SER_hh_emi!L21=0,0,1000000*SER_hh_emi!L21/SER_hh_num!L21)</f>
        <v>5777.9690875425558</v>
      </c>
      <c r="M21" s="133">
        <f>IF(SER_hh_emi!M21=0,0,1000000*SER_hh_emi!M21/SER_hh_num!M21)</f>
        <v>5755.3105060164389</v>
      </c>
      <c r="N21" s="133">
        <f>IF(SER_hh_emi!N21=0,0,1000000*SER_hh_emi!N21/SER_hh_num!N21)</f>
        <v>5789.1331217565394</v>
      </c>
      <c r="O21" s="133">
        <f>IF(SER_hh_emi!O21=0,0,1000000*SER_hh_emi!O21/SER_hh_num!O21)</f>
        <v>5821.7398023835158</v>
      </c>
      <c r="P21" s="133">
        <f>IF(SER_hh_emi!P21=0,0,1000000*SER_hh_emi!P21/SER_hh_num!P21)</f>
        <v>5765.2275936636979</v>
      </c>
      <c r="Q21" s="133">
        <f>IF(SER_hh_emi!Q21=0,0,1000000*SER_hh_emi!Q21/SER_hh_num!Q21)</f>
        <v>5751.1083787892821</v>
      </c>
      <c r="R21" s="133">
        <f>IF(SER_hh_emi!R21=0,0,1000000*SER_hh_emi!R21/SER_hh_num!R21)</f>
        <v>5699.046794682321</v>
      </c>
      <c r="S21" s="133">
        <f>IF(SER_hh_emi!S21=0,0,1000000*SER_hh_emi!S21/SER_hh_num!S21)</f>
        <v>5529.8870245793541</v>
      </c>
      <c r="T21" s="133">
        <f>IF(SER_hh_emi!T21=0,0,1000000*SER_hh_emi!T21/SER_hh_num!T21)</f>
        <v>5528.3504920129935</v>
      </c>
      <c r="U21" s="133">
        <f>IF(SER_hh_emi!U21=0,0,1000000*SER_hh_emi!U21/SER_hh_num!U21)</f>
        <v>5343.9471235529954</v>
      </c>
      <c r="V21" s="133">
        <f>IF(SER_hh_emi!V21=0,0,1000000*SER_hh_emi!V21/SER_hh_num!V21)</f>
        <v>4630.8831729953126</v>
      </c>
      <c r="W21" s="133">
        <f>IF(SER_hh_emi!W21=0,0,1000000*SER_hh_emi!W21/SER_hh_num!W21)</f>
        <v>4924.3828430102303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6803.2392190533055</v>
      </c>
      <c r="C22" s="133">
        <f>IF(SER_hh_emi!C22=0,0,1000000*SER_hh_emi!C22/SER_hh_num!C22)</f>
        <v>6989.2298141007896</v>
      </c>
      <c r="D22" s="133">
        <f>IF(SER_hh_emi!D22=0,0,1000000*SER_hh_emi!D22/SER_hh_num!D22)</f>
        <v>7061.9235336302563</v>
      </c>
      <c r="E22" s="133">
        <f>IF(SER_hh_emi!E22=0,0,1000000*SER_hh_emi!E22/SER_hh_num!E22)</f>
        <v>7102.1067782199989</v>
      </c>
      <c r="F22" s="133">
        <f>IF(SER_hh_emi!F22=0,0,1000000*SER_hh_emi!F22/SER_hh_num!F22)</f>
        <v>7102.036654380051</v>
      </c>
      <c r="G22" s="133">
        <f>IF(SER_hh_emi!G22=0,0,1000000*SER_hh_emi!G22/SER_hh_num!G22)</f>
        <v>7204.3680715177643</v>
      </c>
      <c r="H22" s="133">
        <f>IF(SER_hh_emi!H22=0,0,1000000*SER_hh_emi!H22/SER_hh_num!H22)</f>
        <v>7056.4574487891632</v>
      </c>
      <c r="I22" s="133">
        <f>IF(SER_hh_emi!I22=0,0,1000000*SER_hh_emi!I22/SER_hh_num!I22)</f>
        <v>7147.2775267541383</v>
      </c>
      <c r="J22" s="133">
        <f>IF(SER_hh_emi!J22=0,0,1000000*SER_hh_emi!J22/SER_hh_num!J22)</f>
        <v>7149.0545783761245</v>
      </c>
      <c r="K22" s="133">
        <f>IF(SER_hh_emi!K22=0,0,1000000*SER_hh_emi!K22/SER_hh_num!K22)</f>
        <v>7262.3467504534101</v>
      </c>
      <c r="L22" s="133">
        <f>IF(SER_hh_emi!L22=0,0,1000000*SER_hh_emi!L22/SER_hh_num!L22)</f>
        <v>7371.5337900830382</v>
      </c>
      <c r="M22" s="133">
        <f>IF(SER_hh_emi!M22=0,0,1000000*SER_hh_emi!M22/SER_hh_num!M22)</f>
        <v>7216.2381211193242</v>
      </c>
      <c r="N22" s="133">
        <f>IF(SER_hh_emi!N22=0,0,1000000*SER_hh_emi!N22/SER_hh_num!N22)</f>
        <v>7303.5020903740788</v>
      </c>
      <c r="O22" s="133">
        <f>IF(SER_hh_emi!O22=0,0,1000000*SER_hh_emi!O22/SER_hh_num!O22)</f>
        <v>7417.7698258533956</v>
      </c>
      <c r="P22" s="133">
        <f>IF(SER_hh_emi!P22=0,0,1000000*SER_hh_emi!P22/SER_hh_num!P22)</f>
        <v>7334.1404690574063</v>
      </c>
      <c r="Q22" s="133">
        <f>IF(SER_hh_emi!Q22=0,0,1000000*SER_hh_emi!Q22/SER_hh_num!Q22)</f>
        <v>7228.7502200961835</v>
      </c>
      <c r="R22" s="133">
        <f>IF(SER_hh_emi!R22=0,0,1000000*SER_hh_emi!R22/SER_hh_num!R22)</f>
        <v>7126.3326111816386</v>
      </c>
      <c r="S22" s="133">
        <f>IF(SER_hh_emi!S22=0,0,1000000*SER_hh_emi!S22/SER_hh_num!S22)</f>
        <v>6921.6539020728933</v>
      </c>
      <c r="T22" s="133">
        <f>IF(SER_hh_emi!T22=0,0,1000000*SER_hh_emi!T22/SER_hh_num!T22)</f>
        <v>6657.9042652397466</v>
      </c>
      <c r="U22" s="133">
        <f>IF(SER_hh_emi!U22=0,0,1000000*SER_hh_emi!U22/SER_hh_num!U22)</f>
        <v>6583.0792532901378</v>
      </c>
      <c r="V22" s="133">
        <f>IF(SER_hh_emi!V22=0,0,1000000*SER_hh_emi!V22/SER_hh_num!V22)</f>
        <v>5661.307077437822</v>
      </c>
      <c r="W22" s="133">
        <f>IF(SER_hh_emi!W22=0,0,1000000*SER_hh_emi!W22/SER_hh_num!W22)</f>
        <v>5832.1309424419705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5008.9626934907737</v>
      </c>
      <c r="C23" s="133">
        <f>IF(SER_hh_emi!C23=0,0,1000000*SER_hh_emi!C23/SER_hh_num!C23)</f>
        <v>5109.4417707820612</v>
      </c>
      <c r="D23" s="133">
        <f>IF(SER_hh_emi!D23=0,0,1000000*SER_hh_emi!D23/SER_hh_num!D23)</f>
        <v>5164.8841746696526</v>
      </c>
      <c r="E23" s="133">
        <f>IF(SER_hh_emi!E23=0,0,1000000*SER_hh_emi!E23/SER_hh_num!E23)</f>
        <v>5082.5107964173776</v>
      </c>
      <c r="F23" s="133">
        <f>IF(SER_hh_emi!F23=0,0,1000000*SER_hh_emi!F23/SER_hh_num!F23)</f>
        <v>5131.0695403451045</v>
      </c>
      <c r="G23" s="133">
        <f>IF(SER_hh_emi!G23=0,0,1000000*SER_hh_emi!G23/SER_hh_num!G23)</f>
        <v>5150.761385558435</v>
      </c>
      <c r="H23" s="133">
        <f>IF(SER_hh_emi!H23=0,0,1000000*SER_hh_emi!H23/SER_hh_num!H23)</f>
        <v>4991.3264703999494</v>
      </c>
      <c r="I23" s="133">
        <f>IF(SER_hh_emi!I23=0,0,1000000*SER_hh_emi!I23/SER_hh_num!I23)</f>
        <v>4868.8303125658895</v>
      </c>
      <c r="J23" s="133">
        <f>IF(SER_hh_emi!J23=0,0,1000000*SER_hh_emi!J23/SER_hh_num!J23)</f>
        <v>4935.3201473861782</v>
      </c>
      <c r="K23" s="133">
        <f>IF(SER_hh_emi!K23=0,0,1000000*SER_hh_emi!K23/SER_hh_num!K23)</f>
        <v>4862.3504773573777</v>
      </c>
      <c r="L23" s="133">
        <f>IF(SER_hh_emi!L23=0,0,1000000*SER_hh_emi!L23/SER_hh_num!L23)</f>
        <v>4858.0801045618146</v>
      </c>
      <c r="M23" s="133">
        <f>IF(SER_hh_emi!M23=0,0,1000000*SER_hh_emi!M23/SER_hh_num!M23)</f>
        <v>4826.4981621619017</v>
      </c>
      <c r="N23" s="133">
        <f>IF(SER_hh_emi!N23=0,0,1000000*SER_hh_emi!N23/SER_hh_num!N23)</f>
        <v>4806.8907925740559</v>
      </c>
      <c r="O23" s="133">
        <f>IF(SER_hh_emi!O23=0,0,1000000*SER_hh_emi!O23/SER_hh_num!O23)</f>
        <v>4769.6890926200995</v>
      </c>
      <c r="P23" s="133">
        <f>IF(SER_hh_emi!P23=0,0,1000000*SER_hh_emi!P23/SER_hh_num!P23)</f>
        <v>4683.9870330120975</v>
      </c>
      <c r="Q23" s="133">
        <f>IF(SER_hh_emi!Q23=0,0,1000000*SER_hh_emi!Q23/SER_hh_num!Q23)</f>
        <v>4615.6357279962858</v>
      </c>
      <c r="R23" s="133">
        <f>IF(SER_hh_emi!R23=0,0,1000000*SER_hh_emi!R23/SER_hh_num!R23)</f>
        <v>4510.0020212488989</v>
      </c>
      <c r="S23" s="133">
        <f>IF(SER_hh_emi!S23=0,0,1000000*SER_hh_emi!S23/SER_hh_num!S23)</f>
        <v>4476.0461273281408</v>
      </c>
      <c r="T23" s="133">
        <f>IF(SER_hh_emi!T23=0,0,1000000*SER_hh_emi!T23/SER_hh_num!T23)</f>
        <v>4386.1789118569704</v>
      </c>
      <c r="U23" s="133">
        <f>IF(SER_hh_emi!U23=0,0,1000000*SER_hh_emi!U23/SER_hh_num!U23)</f>
        <v>4264.3444323774929</v>
      </c>
      <c r="V23" s="133">
        <f>IF(SER_hh_emi!V23=0,0,1000000*SER_hh_emi!V23/SER_hh_num!V23)</f>
        <v>3821.6747568097089</v>
      </c>
      <c r="W23" s="133">
        <f>IF(SER_hh_emi!W23=0,0,1000000*SER_hh_emi!W23/SER_hh_num!W23)</f>
        <v>4053.5973570154752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693.29413316631462</v>
      </c>
      <c r="C29" s="131">
        <f>IF(SER_hh_emi!C29=0,0,1000000*SER_hh_emi!C29/SER_hh_num!C29)</f>
        <v>931.93154779118197</v>
      </c>
      <c r="D29" s="131">
        <f>IF(SER_hh_emi!D29=0,0,1000000*SER_hh_emi!D29/SER_hh_num!D29)</f>
        <v>881.25472995302391</v>
      </c>
      <c r="E29" s="131">
        <f>IF(SER_hh_emi!E29=0,0,1000000*SER_hh_emi!E29/SER_hh_num!E29)</f>
        <v>909.08327658894802</v>
      </c>
      <c r="F29" s="131">
        <f>IF(SER_hh_emi!F29=0,0,1000000*SER_hh_emi!F29/SER_hh_num!F29)</f>
        <v>948.44312639293662</v>
      </c>
      <c r="G29" s="131">
        <f>IF(SER_hh_emi!G29=0,0,1000000*SER_hh_emi!G29/SER_hh_num!G29)</f>
        <v>923.35477521249675</v>
      </c>
      <c r="H29" s="131">
        <f>IF(SER_hh_emi!H29=0,0,1000000*SER_hh_emi!H29/SER_hh_num!H29)</f>
        <v>946.07522954894864</v>
      </c>
      <c r="I29" s="131">
        <f>IF(SER_hh_emi!I29=0,0,1000000*SER_hh_emi!I29/SER_hh_num!I29)</f>
        <v>915.51840877204074</v>
      </c>
      <c r="J29" s="131">
        <f>IF(SER_hh_emi!J29=0,0,1000000*SER_hh_emi!J29/SER_hh_num!J29)</f>
        <v>971.41702984190556</v>
      </c>
      <c r="K29" s="131">
        <f>IF(SER_hh_emi!K29=0,0,1000000*SER_hh_emi!K29/SER_hh_num!K29)</f>
        <v>1088.5633743850192</v>
      </c>
      <c r="L29" s="131">
        <f>IF(SER_hh_emi!L29=0,0,1000000*SER_hh_emi!L29/SER_hh_num!L29)</f>
        <v>1151.4171775998818</v>
      </c>
      <c r="M29" s="131">
        <f>IF(SER_hh_emi!M29=0,0,1000000*SER_hh_emi!M29/SER_hh_num!M29)</f>
        <v>1090.7192934611658</v>
      </c>
      <c r="N29" s="131">
        <f>IF(SER_hh_emi!N29=0,0,1000000*SER_hh_emi!N29/SER_hh_num!N29)</f>
        <v>1131.3568723720516</v>
      </c>
      <c r="O29" s="131">
        <f>IF(SER_hh_emi!O29=0,0,1000000*SER_hh_emi!O29/SER_hh_num!O29)</f>
        <v>1133.9827794818468</v>
      </c>
      <c r="P29" s="131">
        <f>IF(SER_hh_emi!P29=0,0,1000000*SER_hh_emi!P29/SER_hh_num!P29)</f>
        <v>1116.9459158739273</v>
      </c>
      <c r="Q29" s="131">
        <f>IF(SER_hh_emi!Q29=0,0,1000000*SER_hh_emi!Q29/SER_hh_num!Q29)</f>
        <v>1129.6192469200166</v>
      </c>
      <c r="R29" s="131">
        <f>IF(SER_hh_emi!R29=0,0,1000000*SER_hh_emi!R29/SER_hh_num!R29)</f>
        <v>1219.1859124841149</v>
      </c>
      <c r="S29" s="131">
        <f>IF(SER_hh_emi!S29=0,0,1000000*SER_hh_emi!S29/SER_hh_num!S29)</f>
        <v>1222.0154997512172</v>
      </c>
      <c r="T29" s="131">
        <f>IF(SER_hh_emi!T29=0,0,1000000*SER_hh_emi!T29/SER_hh_num!T29)</f>
        <v>1217.2286100722192</v>
      </c>
      <c r="U29" s="131">
        <f>IF(SER_hh_emi!U29=0,0,1000000*SER_hh_emi!U29/SER_hh_num!U29)</f>
        <v>1244.3060741142583</v>
      </c>
      <c r="V29" s="131">
        <f>IF(SER_hh_emi!V29=0,0,1000000*SER_hh_emi!V29/SER_hh_num!V29)</f>
        <v>1068.3798739995602</v>
      </c>
      <c r="W29" s="131">
        <f>IF(SER_hh_emi!W29=0,0,1000000*SER_hh_emi!W29/SER_hh_num!W29)</f>
        <v>1245.60256372448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3792.2518233919168</v>
      </c>
      <c r="C30" s="133">
        <f>IF(SER_hh_emi!C30=0,0,1000000*SER_hh_emi!C30/SER_hh_num!C30)</f>
        <v>7442.259837605864</v>
      </c>
      <c r="D30" s="133">
        <f>IF(SER_hh_emi!D30=0,0,1000000*SER_hh_emi!D30/SER_hh_num!D30)</f>
        <v>5848.413968120648</v>
      </c>
      <c r="E30" s="133">
        <f>IF(SER_hh_emi!E30=0,0,1000000*SER_hh_emi!E30/SER_hh_num!E30)</f>
        <v>6059.773043099507</v>
      </c>
      <c r="F30" s="133">
        <f>IF(SER_hh_emi!F30=0,0,1000000*SER_hh_emi!F30/SER_hh_num!F30)</f>
        <v>6508.8586249459013</v>
      </c>
      <c r="G30" s="133">
        <f>IF(SER_hh_emi!G30=0,0,1000000*SER_hh_emi!G30/SER_hh_num!G30)</f>
        <v>5935.966813466277</v>
      </c>
      <c r="H30" s="133">
        <f>IF(SER_hh_emi!H30=0,0,1000000*SER_hh_emi!H30/SER_hh_num!H30)</f>
        <v>6480.4296521216193</v>
      </c>
      <c r="I30" s="133">
        <f>IF(SER_hh_emi!I30=0,0,1000000*SER_hh_emi!I30/SER_hh_num!I30)</f>
        <v>6055.7163236776796</v>
      </c>
      <c r="J30" s="133">
        <f>IF(SER_hh_emi!J30=0,0,1000000*SER_hh_emi!J30/SER_hh_num!J30)</f>
        <v>6218.8915270256603</v>
      </c>
      <c r="K30" s="133">
        <f>IF(SER_hh_emi!K30=0,0,1000000*SER_hh_emi!K30/SER_hh_num!K30)</f>
        <v>7312.9182774736464</v>
      </c>
      <c r="L30" s="133">
        <f>IF(SER_hh_emi!L30=0,0,1000000*SER_hh_emi!L30/SER_hh_num!L30)</f>
        <v>7934.3971180605758</v>
      </c>
      <c r="M30" s="133">
        <f>IF(SER_hh_emi!M30=0,0,1000000*SER_hh_emi!M30/SER_hh_num!M30)</f>
        <v>6982.0760195390321</v>
      </c>
      <c r="N30" s="133">
        <f>IF(SER_hh_emi!N30=0,0,1000000*SER_hh_emi!N30/SER_hh_num!N30)</f>
        <v>7013.3458833146688</v>
      </c>
      <c r="O30" s="133">
        <f>IF(SER_hh_emi!O30=0,0,1000000*SER_hh_emi!O30/SER_hh_num!O30)</f>
        <v>7214.4169199492417</v>
      </c>
      <c r="P30" s="133">
        <f>IF(SER_hh_emi!P30=0,0,1000000*SER_hh_emi!P30/SER_hh_num!P30)</f>
        <v>7238.872400179167</v>
      </c>
      <c r="Q30" s="133">
        <f>IF(SER_hh_emi!Q30=0,0,1000000*SER_hh_emi!Q30/SER_hh_num!Q30)</f>
        <v>7170.0395423438113</v>
      </c>
      <c r="R30" s="133">
        <f>IF(SER_hh_emi!R30=0,0,1000000*SER_hh_emi!R30/SER_hh_num!R30)</f>
        <v>8020.1724739978245</v>
      </c>
      <c r="S30" s="133">
        <f>IF(SER_hh_emi!S30=0,0,1000000*SER_hh_emi!S30/SER_hh_num!S30)</f>
        <v>7556.9978012619795</v>
      </c>
      <c r="T30" s="133">
        <f>IF(SER_hh_emi!T30=0,0,1000000*SER_hh_emi!T30/SER_hh_num!T30)</f>
        <v>7447.6284471762156</v>
      </c>
      <c r="U30" s="133">
        <f>IF(SER_hh_emi!U30=0,0,1000000*SER_hh_emi!U30/SER_hh_num!U30)</f>
        <v>8112.0256682824938</v>
      </c>
      <c r="V30" s="133">
        <f>IF(SER_hh_emi!V30=0,0,1000000*SER_hh_emi!V30/SER_hh_num!V30)</f>
        <v>6637.2019754492394</v>
      </c>
      <c r="W30" s="133">
        <f>IF(SER_hh_emi!W30=0,0,1000000*SER_hh_emi!W30/SER_hh_num!W30)</f>
        <v>7987.5144236585138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5228.6021069719063</v>
      </c>
      <c r="C31" s="133">
        <f>IF(SER_hh_emi!C31=0,0,1000000*SER_hh_emi!C31/SER_hh_num!C31)</f>
        <v>5418.7153127234915</v>
      </c>
      <c r="D31" s="133">
        <f>IF(SER_hh_emi!D31=0,0,1000000*SER_hh_emi!D31/SER_hh_num!D31)</f>
        <v>5434.777919344182</v>
      </c>
      <c r="E31" s="133">
        <f>IF(SER_hh_emi!E31=0,0,1000000*SER_hh_emi!E31/SER_hh_num!E31)</f>
        <v>5364.9462566178281</v>
      </c>
      <c r="F31" s="133">
        <f>IF(SER_hh_emi!F31=0,0,1000000*SER_hh_emi!F31/SER_hh_num!F31)</f>
        <v>5333.1196156264014</v>
      </c>
      <c r="G31" s="133">
        <f>IF(SER_hh_emi!G31=0,0,1000000*SER_hh_emi!G31/SER_hh_num!G31)</f>
        <v>5482.8378833902352</v>
      </c>
      <c r="H31" s="133">
        <f>IF(SER_hh_emi!H31=0,0,1000000*SER_hh_emi!H31/SER_hh_num!H31)</f>
        <v>5455.3022839095684</v>
      </c>
      <c r="I31" s="133">
        <f>IF(SER_hh_emi!I31=0,0,1000000*SER_hh_emi!I31/SER_hh_num!I31)</f>
        <v>5609.0836030767477</v>
      </c>
      <c r="J31" s="133">
        <f>IF(SER_hh_emi!J31=0,0,1000000*SER_hh_emi!J31/SER_hh_num!J31)</f>
        <v>5802.3690053922319</v>
      </c>
      <c r="K31" s="133">
        <f>IF(SER_hh_emi!K31=0,0,1000000*SER_hh_emi!K31/SER_hh_num!K31)</f>
        <v>5936.8981023526494</v>
      </c>
      <c r="L31" s="133">
        <f>IF(SER_hh_emi!L31=0,0,1000000*SER_hh_emi!L31/SER_hh_num!L31)</f>
        <v>5946.9221081776686</v>
      </c>
      <c r="M31" s="133">
        <f>IF(SER_hh_emi!M31=0,0,1000000*SER_hh_emi!M31/SER_hh_num!M31)</f>
        <v>6092.8222267623241</v>
      </c>
      <c r="N31" s="133">
        <f>IF(SER_hh_emi!N31=0,0,1000000*SER_hh_emi!N31/SER_hh_num!N31)</f>
        <v>6340.9698559256358</v>
      </c>
      <c r="O31" s="133">
        <f>IF(SER_hh_emi!O31=0,0,1000000*SER_hh_emi!O31/SER_hh_num!O31)</f>
        <v>6304.9048582078667</v>
      </c>
      <c r="P31" s="133">
        <f>IF(SER_hh_emi!P31=0,0,1000000*SER_hh_emi!P31/SER_hh_num!P31)</f>
        <v>6327.490769029584</v>
      </c>
      <c r="Q31" s="133">
        <f>IF(SER_hh_emi!Q31=0,0,1000000*SER_hh_emi!Q31/SER_hh_num!Q31)</f>
        <v>6558.2545270373384</v>
      </c>
      <c r="R31" s="133">
        <f>IF(SER_hh_emi!R31=0,0,1000000*SER_hh_emi!R31/SER_hh_num!R31)</f>
        <v>6607.3632682134003</v>
      </c>
      <c r="S31" s="133">
        <f>IF(SER_hh_emi!S31=0,0,1000000*SER_hh_emi!S31/SER_hh_num!S31)</f>
        <v>6869.7619967421433</v>
      </c>
      <c r="T31" s="133">
        <f>IF(SER_hh_emi!T31=0,0,1000000*SER_hh_emi!T31/SER_hh_num!T31)</f>
        <v>6930.6141955950925</v>
      </c>
      <c r="U31" s="133">
        <f>IF(SER_hh_emi!U31=0,0,1000000*SER_hh_emi!U31/SER_hh_num!U31)</f>
        <v>6779.2423858915536</v>
      </c>
      <c r="V31" s="133">
        <f>IF(SER_hh_emi!V31=0,0,1000000*SER_hh_emi!V31/SER_hh_num!V31)</f>
        <v>6043.1117270189288</v>
      </c>
      <c r="W31" s="133">
        <f>IF(SER_hh_emi!W31=0,0,1000000*SER_hh_emi!W31/SER_hh_num!W31)</f>
        <v>6900.1803261169616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165.72903693987928</v>
      </c>
      <c r="C3" s="126">
        <f>IF(SER_hh_fech!C3=0,0,SER_hh_fech!C3/SER_summary!C$26)</f>
        <v>185.3775557780867</v>
      </c>
      <c r="D3" s="126">
        <f>IF(SER_hh_fech!D3=0,0,SER_hh_fech!D3/SER_summary!D$26)</f>
        <v>186.18862006640649</v>
      </c>
      <c r="E3" s="126">
        <f>IF(SER_hh_fech!E3=0,0,SER_hh_fech!E3/SER_summary!E$26)</f>
        <v>186.53119193475851</v>
      </c>
      <c r="F3" s="126">
        <f>IF(SER_hh_fech!F3=0,0,SER_hh_fech!F3/SER_summary!F$26)</f>
        <v>183.65242548856315</v>
      </c>
      <c r="G3" s="126">
        <f>IF(SER_hh_fech!G3=0,0,SER_hh_fech!G3/SER_summary!G$26)</f>
        <v>183.49755405338783</v>
      </c>
      <c r="H3" s="126">
        <f>IF(SER_hh_fech!H3=0,0,SER_hh_fech!H3/SER_summary!H$26)</f>
        <v>168.86763732199148</v>
      </c>
      <c r="I3" s="126">
        <f>IF(SER_hh_fech!I3=0,0,SER_hh_fech!I3/SER_summary!I$26)</f>
        <v>154.91126398264709</v>
      </c>
      <c r="J3" s="126">
        <f>IF(SER_hh_fech!J3=0,0,SER_hh_fech!J3/SER_summary!J$26)</f>
        <v>163.88532582217238</v>
      </c>
      <c r="K3" s="126">
        <f>IF(SER_hh_fech!K3=0,0,SER_hh_fech!K3/SER_summary!K$26)</f>
        <v>161.69339555508589</v>
      </c>
      <c r="L3" s="126">
        <f>IF(SER_hh_fech!L3=0,0,SER_hh_fech!L3/SER_summary!L$26)</f>
        <v>171.59019060381669</v>
      </c>
      <c r="M3" s="126">
        <f>IF(SER_hh_fech!M3=0,0,SER_hh_fech!M3/SER_summary!M$26)</f>
        <v>165.29022579422875</v>
      </c>
      <c r="N3" s="126">
        <f>IF(SER_hh_fech!N3=0,0,SER_hh_fech!N3/SER_summary!N$26)</f>
        <v>158.12602451470232</v>
      </c>
      <c r="O3" s="126">
        <f>IF(SER_hh_fech!O3=0,0,SER_hh_fech!O3/SER_summary!O$26)</f>
        <v>152.16591370084654</v>
      </c>
      <c r="P3" s="126">
        <f>IF(SER_hh_fech!P3=0,0,SER_hh_fech!P3/SER_summary!P$26)</f>
        <v>132.57677256694461</v>
      </c>
      <c r="Q3" s="126">
        <f>IF(SER_hh_fech!Q3=0,0,SER_hh_fech!Q3/SER_summary!Q$26)</f>
        <v>145.89806602492143</v>
      </c>
      <c r="R3" s="126">
        <f>IF(SER_hh_fech!R3=0,0,SER_hh_fech!R3/SER_summary!R$26)</f>
        <v>149.69332475834304</v>
      </c>
      <c r="S3" s="126">
        <f>IF(SER_hh_fech!S3=0,0,SER_hh_fech!S3/SER_summary!S$26)</f>
        <v>159.1990335259832</v>
      </c>
      <c r="T3" s="126">
        <f>IF(SER_hh_fech!T3=0,0,SER_hh_fech!T3/SER_summary!T$26)</f>
        <v>161.88675256026374</v>
      </c>
      <c r="U3" s="126">
        <f>IF(SER_hh_fech!U3=0,0,SER_hh_fech!U3/SER_summary!U$26)</f>
        <v>161.46605282904483</v>
      </c>
      <c r="V3" s="126">
        <f>IF(SER_hh_fech!V3=0,0,SER_hh_fech!V3/SER_summary!V$26)</f>
        <v>144.67832607152513</v>
      </c>
      <c r="W3" s="126">
        <f>IF(SER_hh_fech!W3=0,0,SER_hh_fech!W3/SER_summary!W$26)</f>
        <v>165.50515741589246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115.7649331279864</v>
      </c>
      <c r="C4" s="131">
        <f>IF(SER_hh_fech!C4=0,0,SER_hh_fech!C4/SER_summary!C$26)</f>
        <v>134.29948771604674</v>
      </c>
      <c r="D4" s="131">
        <f>IF(SER_hh_fech!D4=0,0,SER_hh_fech!D4/SER_summary!D$26)</f>
        <v>134.64704911709214</v>
      </c>
      <c r="E4" s="131">
        <f>IF(SER_hh_fech!E4=0,0,SER_hh_fech!E4/SER_summary!E$26)</f>
        <v>133.16648140385274</v>
      </c>
      <c r="F4" s="131">
        <f>IF(SER_hh_fech!F4=0,0,SER_hh_fech!F4/SER_summary!F$26)</f>
        <v>131.69446570389476</v>
      </c>
      <c r="G4" s="131">
        <f>IF(SER_hh_fech!G4=0,0,SER_hh_fech!G4/SER_summary!G$26)</f>
        <v>131.12281930136581</v>
      </c>
      <c r="H4" s="131">
        <f>IF(SER_hh_fech!H4=0,0,SER_hh_fech!H4/SER_summary!H$26)</f>
        <v>116.31553909761233</v>
      </c>
      <c r="I4" s="131">
        <f>IF(SER_hh_fech!I4=0,0,SER_hh_fech!I4/SER_summary!I$26)</f>
        <v>102.05904771662404</v>
      </c>
      <c r="J4" s="131">
        <f>IF(SER_hh_fech!J4=0,0,SER_hh_fech!J4/SER_summary!J$26)</f>
        <v>109.79363822397583</v>
      </c>
      <c r="K4" s="131">
        <f>IF(SER_hh_fech!K4=0,0,SER_hh_fech!K4/SER_summary!K$26)</f>
        <v>106.37155829780122</v>
      </c>
      <c r="L4" s="131">
        <f>IF(SER_hh_fech!L4=0,0,SER_hh_fech!L4/SER_summary!L$26)</f>
        <v>115.55605400267376</v>
      </c>
      <c r="M4" s="131">
        <f>IF(SER_hh_fech!M4=0,0,SER_hh_fech!M4/SER_summary!M$26)</f>
        <v>109.28499665597892</v>
      </c>
      <c r="N4" s="131">
        <f>IF(SER_hh_fech!N4=0,0,SER_hh_fech!N4/SER_summary!N$26)</f>
        <v>98.563459511857445</v>
      </c>
      <c r="O4" s="131">
        <f>IF(SER_hh_fech!O4=0,0,SER_hh_fech!O4/SER_summary!O$26)</f>
        <v>94.153058626644906</v>
      </c>
      <c r="P4" s="131">
        <f>IF(SER_hh_fech!P4=0,0,SER_hh_fech!P4/SER_summary!P$26)</f>
        <v>75.643015076276299</v>
      </c>
      <c r="Q4" s="131">
        <f>IF(SER_hh_fech!Q4=0,0,SER_hh_fech!Q4/SER_summary!Q$26)</f>
        <v>87.567320754809046</v>
      </c>
      <c r="R4" s="131">
        <f>IF(SER_hh_fech!R4=0,0,SER_hh_fech!R4/SER_summary!R$26)</f>
        <v>92.721391140668288</v>
      </c>
      <c r="S4" s="131">
        <f>IF(SER_hh_fech!S4=0,0,SER_hh_fech!S4/SER_summary!S$26)</f>
        <v>100.70440769839996</v>
      </c>
      <c r="T4" s="131">
        <f>IF(SER_hh_fech!T4=0,0,SER_hh_fech!T4/SER_summary!T$26)</f>
        <v>104.97546000508751</v>
      </c>
      <c r="U4" s="131">
        <f>IF(SER_hh_fech!U4=0,0,SER_hh_fech!U4/SER_summary!U$26)</f>
        <v>104.04729104272261</v>
      </c>
      <c r="V4" s="131">
        <f>IF(SER_hh_fech!V4=0,0,SER_hh_fech!V4/SER_summary!V$26)</f>
        <v>94.44543604087383</v>
      </c>
      <c r="W4" s="131">
        <f>IF(SER_hh_fech!W4=0,0,SER_hh_fech!W4/SER_summary!W$26)</f>
        <v>109.69620421717316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139.98336621336372</v>
      </c>
      <c r="C5" s="133">
        <f>IF(SER_hh_fech!C5=0,0,SER_hh_fech!C5/SER_summary!C$26)</f>
        <v>108.4615555769212</v>
      </c>
      <c r="D5" s="133">
        <f>IF(SER_hh_fech!D5=0,0,SER_hh_fech!D5/SER_summary!D$26)</f>
        <v>149.25445059383853</v>
      </c>
      <c r="E5" s="133">
        <f>IF(SER_hh_fech!E5=0,0,SER_hh_fech!E5/SER_summary!E$26)</f>
        <v>202.06621012942969</v>
      </c>
      <c r="F5" s="133">
        <f>IF(SER_hh_fech!F5=0,0,SER_hh_fech!F5/SER_summary!F$26)</f>
        <v>126.49122530847838</v>
      </c>
      <c r="G5" s="133">
        <f>IF(SER_hh_fech!G5=0,0,SER_hh_fech!G5/SER_summary!G$26)</f>
        <v>29.730788410511778</v>
      </c>
      <c r="H5" s="133">
        <f>IF(SER_hh_fech!H5=0,0,SER_hh_fech!H5/SER_summary!H$26)</f>
        <v>179.7403756119453</v>
      </c>
      <c r="I5" s="133">
        <f>IF(SER_hh_fech!I5=0,0,SER_hh_fech!I5/SER_summary!I$26)</f>
        <v>98.555122031967187</v>
      </c>
      <c r="J5" s="133">
        <f>IF(SER_hh_fech!J5=0,0,SER_hh_fech!J5/SER_summary!J$26)</f>
        <v>146.57009817003055</v>
      </c>
      <c r="K5" s="133">
        <f>IF(SER_hh_fech!K5=0,0,SER_hh_fech!K5/SER_summary!K$26)</f>
        <v>137.65636912019093</v>
      </c>
      <c r="L5" s="133">
        <f>IF(SER_hh_fech!L5=0,0,SER_hh_fech!L5/SER_summary!L$26)</f>
        <v>81.403414570594521</v>
      </c>
      <c r="M5" s="133">
        <f>IF(SER_hh_fech!M5=0,0,SER_hh_fech!M5/SER_summary!M$26)</f>
        <v>167.9109187106701</v>
      </c>
      <c r="N5" s="133">
        <f>IF(SER_hh_fech!N5=0,0,SER_hh_fech!N5/SER_summary!N$26)</f>
        <v>165.84614155898601</v>
      </c>
      <c r="O5" s="133">
        <f>IF(SER_hh_fech!O5=0,0,SER_hh_fech!O5/SER_summary!O$26)</f>
        <v>28.722237517531166</v>
      </c>
      <c r="P5" s="133">
        <f>IF(SER_hh_fech!P5=0,0,SER_hh_fech!P5/SER_summary!P$26)</f>
        <v>27.818860301156786</v>
      </c>
      <c r="Q5" s="133">
        <f>IF(SER_hh_fech!Q5=0,0,SER_hh_fech!Q5/SER_summary!Q$26)</f>
        <v>52.801243917415704</v>
      </c>
      <c r="R5" s="133">
        <f>IF(SER_hh_fech!R5=0,0,SER_hh_fech!R5/SER_summary!R$26)</f>
        <v>68.126918857390876</v>
      </c>
      <c r="S5" s="133">
        <f>IF(SER_hh_fech!S5=0,0,SER_hh_fech!S5/SER_summary!S$26)</f>
        <v>193.17175798084162</v>
      </c>
      <c r="T5" s="133">
        <f>IF(SER_hh_fech!T5=0,0,SER_hh_fech!T5/SER_summary!T$26)</f>
        <v>101.49860948938573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149.55238515460726</v>
      </c>
      <c r="C7" s="133">
        <f>IF(SER_hh_fech!C7=0,0,SER_hh_fech!C7/SER_summary!C$26)</f>
        <v>156.31210669853883</v>
      </c>
      <c r="D7" s="133">
        <f>IF(SER_hh_fech!D7=0,0,SER_hh_fech!D7/SER_summary!D$26)</f>
        <v>170.13884689366193</v>
      </c>
      <c r="E7" s="133">
        <f>IF(SER_hh_fech!E7=0,0,SER_hh_fech!E7/SER_summary!E$26)</f>
        <v>164.8817017576161</v>
      </c>
      <c r="F7" s="133">
        <f>IF(SER_hh_fech!F7=0,0,SER_hh_fech!F7/SER_summary!F$26)</f>
        <v>167.78541571778126</v>
      </c>
      <c r="G7" s="133">
        <f>IF(SER_hh_fech!G7=0,0,SER_hh_fech!G7/SER_summary!G$26)</f>
        <v>161.94896374454933</v>
      </c>
      <c r="H7" s="133">
        <f>IF(SER_hh_fech!H7=0,0,SER_hh_fech!H7/SER_summary!H$26)</f>
        <v>149.82368898935499</v>
      </c>
      <c r="I7" s="133">
        <f>IF(SER_hh_fech!I7=0,0,SER_hh_fech!I7/SER_summary!I$26)</f>
        <v>132.18652485225309</v>
      </c>
      <c r="J7" s="133">
        <f>IF(SER_hh_fech!J7=0,0,SER_hh_fech!J7/SER_summary!J$26)</f>
        <v>137.62017419772039</v>
      </c>
      <c r="K7" s="133">
        <f>IF(SER_hh_fech!K7=0,0,SER_hh_fech!K7/SER_summary!K$26)</f>
        <v>142.18374685180277</v>
      </c>
      <c r="L7" s="133">
        <f>IF(SER_hh_fech!L7=0,0,SER_hh_fech!L7/SER_summary!L$26)</f>
        <v>147.98265169695401</v>
      </c>
      <c r="M7" s="133">
        <f>IF(SER_hh_fech!M7=0,0,SER_hh_fech!M7/SER_summary!M$26)</f>
        <v>145.75832461028435</v>
      </c>
      <c r="N7" s="133">
        <f>IF(SER_hh_fech!N7=0,0,SER_hh_fech!N7/SER_summary!N$26)</f>
        <v>126.11852097934536</v>
      </c>
      <c r="O7" s="133">
        <f>IF(SER_hh_fech!O7=0,0,SER_hh_fech!O7/SER_summary!O$26)</f>
        <v>111.13792503380505</v>
      </c>
      <c r="P7" s="133">
        <f>IF(SER_hh_fech!P7=0,0,SER_hh_fech!P7/SER_summary!P$26)</f>
        <v>86.465172248362677</v>
      </c>
      <c r="Q7" s="133">
        <f>IF(SER_hh_fech!Q7=0,0,SER_hh_fech!Q7/SER_summary!Q$26)</f>
        <v>113.45904648063953</v>
      </c>
      <c r="R7" s="133">
        <f>IF(SER_hh_fech!R7=0,0,SER_hh_fech!R7/SER_summary!R$26)</f>
        <v>114.42439566437808</v>
      </c>
      <c r="S7" s="133">
        <f>IF(SER_hh_fech!S7=0,0,SER_hh_fech!S7/SER_summary!S$26)</f>
        <v>123.93173343832208</v>
      </c>
      <c r="T7" s="133">
        <f>IF(SER_hh_fech!T7=0,0,SER_hh_fech!T7/SER_summary!T$26)</f>
        <v>122.26029265339989</v>
      </c>
      <c r="U7" s="133">
        <f>IF(SER_hh_fech!U7=0,0,SER_hh_fech!U7/SER_summary!U$26)</f>
        <v>101.71123721832431</v>
      </c>
      <c r="V7" s="133">
        <f>IF(SER_hh_fech!V7=0,0,SER_hh_fech!V7/SER_summary!V$26)</f>
        <v>121.3889402927762</v>
      </c>
      <c r="W7" s="133">
        <f>IF(SER_hh_fech!W7=0,0,SER_hh_fech!W7/SER_summary!W$26)</f>
        <v>114.49857699564711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116.69682067418351</v>
      </c>
      <c r="C9" s="133">
        <f>IF(SER_hh_fech!C9=0,0,SER_hh_fech!C9/SER_summary!C$26)</f>
        <v>161.3603392490397</v>
      </c>
      <c r="D9" s="133">
        <f>IF(SER_hh_fech!D9=0,0,SER_hh_fech!D9/SER_summary!D$26)</f>
        <v>140.25009693792896</v>
      </c>
      <c r="E9" s="133">
        <f>IF(SER_hh_fech!E9=0,0,SER_hh_fech!E9/SER_summary!E$26)</f>
        <v>141.30621359058094</v>
      </c>
      <c r="F9" s="133">
        <f>IF(SER_hh_fech!F9=0,0,SER_hh_fech!F9/SER_summary!F$26)</f>
        <v>140.13708769898773</v>
      </c>
      <c r="G9" s="133">
        <f>IF(SER_hh_fech!G9=0,0,SER_hh_fech!G9/SER_summary!G$26)</f>
        <v>141.66937895789854</v>
      </c>
      <c r="H9" s="133">
        <f>IF(SER_hh_fech!H9=0,0,SER_hh_fech!H9/SER_summary!H$26)</f>
        <v>125.60501823933042</v>
      </c>
      <c r="I9" s="133">
        <f>IF(SER_hh_fech!I9=0,0,SER_hh_fech!I9/SER_summary!I$26)</f>
        <v>112.23651081328474</v>
      </c>
      <c r="J9" s="133">
        <f>IF(SER_hh_fech!J9=0,0,SER_hh_fech!J9/SER_summary!J$26)</f>
        <v>116.76292101478573</v>
      </c>
      <c r="K9" s="133">
        <f>IF(SER_hh_fech!K9=0,0,SER_hh_fech!K9/SER_summary!K$26)</f>
        <v>113.33197007971276</v>
      </c>
      <c r="L9" s="133">
        <f>IF(SER_hh_fech!L9=0,0,SER_hh_fech!L9/SER_summary!L$26)</f>
        <v>133.59820675077941</v>
      </c>
      <c r="M9" s="133">
        <f>IF(SER_hh_fech!M9=0,0,SER_hh_fech!M9/SER_summary!M$26)</f>
        <v>115.16434832432917</v>
      </c>
      <c r="N9" s="133">
        <f>IF(SER_hh_fech!N9=0,0,SER_hh_fech!N9/SER_summary!N$26)</f>
        <v>100.69276314941206</v>
      </c>
      <c r="O9" s="133">
        <f>IF(SER_hh_fech!O9=0,0,SER_hh_fech!O9/SER_summary!O$26)</f>
        <v>95.404665976755481</v>
      </c>
      <c r="P9" s="133">
        <f>IF(SER_hh_fech!P9=0,0,SER_hh_fech!P9/SER_summary!P$26)</f>
        <v>79.530970751781908</v>
      </c>
      <c r="Q9" s="133">
        <f>IF(SER_hh_fech!Q9=0,0,SER_hh_fech!Q9/SER_summary!Q$26)</f>
        <v>94.968872887703611</v>
      </c>
      <c r="R9" s="133">
        <f>IF(SER_hh_fech!R9=0,0,SER_hh_fech!R9/SER_summary!R$26)</f>
        <v>98.67229012022274</v>
      </c>
      <c r="S9" s="133">
        <f>IF(SER_hh_fech!S9=0,0,SER_hh_fech!S9/SER_summary!S$26)</f>
        <v>103.6422668088038</v>
      </c>
      <c r="T9" s="133">
        <f>IF(SER_hh_fech!T9=0,0,SER_hh_fech!T9/SER_summary!T$26)</f>
        <v>108.220755383647</v>
      </c>
      <c r="U9" s="133">
        <f>IF(SER_hh_fech!U9=0,0,SER_hh_fech!U9/SER_summary!U$26)</f>
        <v>109.10190551952627</v>
      </c>
      <c r="V9" s="133">
        <f>IF(SER_hh_fech!V9=0,0,SER_hh_fech!V9/SER_summary!V$26)</f>
        <v>98.849506522027681</v>
      </c>
      <c r="W9" s="133">
        <f>IF(SER_hh_fech!W9=0,0,SER_hh_fech!W9/SER_summary!W$26)</f>
        <v>116.07610656711554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190.46174660231051</v>
      </c>
      <c r="J10" s="133">
        <f>IF(SER_hh_fech!J10=0,0,SER_hh_fech!J10/SER_summary!J$26)</f>
        <v>136.44157216165959</v>
      </c>
      <c r="K10" s="133">
        <f>IF(SER_hh_fech!K10=0,0,SER_hh_fech!K10/SER_summary!K$26)</f>
        <v>154.19163421575195</v>
      </c>
      <c r="L10" s="133">
        <f>IF(SER_hh_fech!L10=0,0,SER_hh_fech!L10/SER_summary!L$26)</f>
        <v>133.94446910393117</v>
      </c>
      <c r="M10" s="133">
        <f>IF(SER_hh_fech!M10=0,0,SER_hh_fech!M10/SER_summary!M$26)</f>
        <v>158.66361591313753</v>
      </c>
      <c r="N10" s="133">
        <f>IF(SER_hh_fech!N10=0,0,SER_hh_fech!N10/SER_summary!N$26)</f>
        <v>123.26799874005054</v>
      </c>
      <c r="O10" s="133">
        <f>IF(SER_hh_fech!O10=0,0,SER_hh_fech!O10/SER_summary!O$26)</f>
        <v>105.64419104513154</v>
      </c>
      <c r="P10" s="133">
        <f>IF(SER_hh_fech!P10=0,0,SER_hh_fech!P10/SER_summary!P$26)</f>
        <v>107.28483453765203</v>
      </c>
      <c r="Q10" s="133">
        <f>IF(SER_hh_fech!Q10=0,0,SER_hh_fech!Q10/SER_summary!Q$26)</f>
        <v>115.15327294327733</v>
      </c>
      <c r="R10" s="133">
        <f>IF(SER_hh_fech!R10=0,0,SER_hh_fech!R10/SER_summary!R$26)</f>
        <v>125.45023860649684</v>
      </c>
      <c r="S10" s="133">
        <f>IF(SER_hh_fech!S10=0,0,SER_hh_fech!S10/SER_summary!S$26)</f>
        <v>131.27108923636598</v>
      </c>
      <c r="T10" s="133">
        <f>IF(SER_hh_fech!T10=0,0,SER_hh_fech!T10/SER_summary!T$26)</f>
        <v>133.44210192490078</v>
      </c>
      <c r="U10" s="133">
        <f>IF(SER_hh_fech!U10=0,0,SER_hh_fech!U10/SER_summary!U$26)</f>
        <v>142.06685016294117</v>
      </c>
      <c r="V10" s="133">
        <f>IF(SER_hh_fech!V10=0,0,SER_hh_fech!V10/SER_summary!V$26)</f>
        <v>137.45781273696829</v>
      </c>
      <c r="W10" s="133">
        <f>IF(SER_hh_fech!W10=0,0,SER_hh_fech!W10/SER_summary!W$26)</f>
        <v>127.98523313757676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117.03803479779582</v>
      </c>
      <c r="J11" s="133">
        <f>IF(SER_hh_fech!J11=0,0,SER_hh_fech!J11/SER_summary!J$26)</f>
        <v>82.694522062384763</v>
      </c>
      <c r="K11" s="133">
        <f>IF(SER_hh_fech!K11=0,0,SER_hh_fech!K11/SER_summary!K$26)</f>
        <v>63.424831587298058</v>
      </c>
      <c r="L11" s="133">
        <f>IF(SER_hh_fech!L11=0,0,SER_hh_fech!L11/SER_summary!L$26)</f>
        <v>104.21221169231305</v>
      </c>
      <c r="M11" s="133">
        <f>IF(SER_hh_fech!M11=0,0,SER_hh_fech!M11/SER_summary!M$26)</f>
        <v>90.541688299705044</v>
      </c>
      <c r="N11" s="133">
        <f>IF(SER_hh_fech!N11=0,0,SER_hh_fech!N11/SER_summary!N$26)</f>
        <v>86.270400917807265</v>
      </c>
      <c r="O11" s="133">
        <f>IF(SER_hh_fech!O11=0,0,SER_hh_fech!O11/SER_summary!O$26)</f>
        <v>87.624039209922344</v>
      </c>
      <c r="P11" s="133">
        <f>IF(SER_hh_fech!P11=0,0,SER_hh_fech!P11/SER_summary!P$26)</f>
        <v>53.723110325504102</v>
      </c>
      <c r="Q11" s="133">
        <f>IF(SER_hh_fech!Q11=0,0,SER_hh_fech!Q11/SER_summary!Q$26)</f>
        <v>75.27757473311695</v>
      </c>
      <c r="R11" s="133">
        <f>IF(SER_hh_fech!R11=0,0,SER_hh_fech!R11/SER_summary!R$26)</f>
        <v>84.293530549822833</v>
      </c>
      <c r="S11" s="133">
        <f>IF(SER_hh_fech!S11=0,0,SER_hh_fech!S11/SER_summary!S$26)</f>
        <v>84.184782787342911</v>
      </c>
      <c r="T11" s="133">
        <f>IF(SER_hh_fech!T11=0,0,SER_hh_fech!T11/SER_summary!T$26)</f>
        <v>86.827416165296839</v>
      </c>
      <c r="U11" s="133">
        <f>IF(SER_hh_fech!U11=0,0,SER_hh_fech!U11/SER_summary!U$26)</f>
        <v>90.420581239628007</v>
      </c>
      <c r="V11" s="133">
        <f>IF(SER_hh_fech!V11=0,0,SER_hh_fech!V11/SER_summary!V$26)</f>
        <v>92.080660044744036</v>
      </c>
      <c r="W11" s="133">
        <f>IF(SER_hh_fech!W11=0,0,SER_hh_fech!W11/SER_summary!W$26)</f>
        <v>89.721302333505776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84.767077750193863</v>
      </c>
      <c r="C12" s="133">
        <f>IF(SER_hh_fech!C12=0,0,SER_hh_fech!C12/SER_summary!C$26)</f>
        <v>98.051555883287307</v>
      </c>
      <c r="D12" s="133">
        <f>IF(SER_hh_fech!D12=0,0,SER_hh_fech!D12/SER_summary!D$26)</f>
        <v>94.226424657608263</v>
      </c>
      <c r="E12" s="133">
        <f>IF(SER_hh_fech!E12=0,0,SER_hh_fech!E12/SER_summary!E$26)</f>
        <v>102.85511056006168</v>
      </c>
      <c r="F12" s="133">
        <f>IF(SER_hh_fech!F12=0,0,SER_hh_fech!F12/SER_summary!F$26)</f>
        <v>98.662000993007808</v>
      </c>
      <c r="G12" s="133">
        <f>IF(SER_hh_fech!G12=0,0,SER_hh_fech!G12/SER_summary!G$26)</f>
        <v>103.5203682851589</v>
      </c>
      <c r="H12" s="133">
        <f>IF(SER_hh_fech!H12=0,0,SER_hh_fech!H12/SER_summary!H$26)</f>
        <v>88.699274232433808</v>
      </c>
      <c r="I12" s="133">
        <f>IF(SER_hh_fech!I12=0,0,SER_hh_fech!I12/SER_summary!I$26)</f>
        <v>81.783847406427725</v>
      </c>
      <c r="J12" s="133">
        <f>IF(SER_hh_fech!J12=0,0,SER_hh_fech!J12/SER_summary!J$26)</f>
        <v>88.183144411050776</v>
      </c>
      <c r="K12" s="133">
        <f>IF(SER_hh_fech!K12=0,0,SER_hh_fech!K12/SER_summary!K$26)</f>
        <v>84.85184514567726</v>
      </c>
      <c r="L12" s="133">
        <f>IF(SER_hh_fech!L12=0,0,SER_hh_fech!L12/SER_summary!L$26)</f>
        <v>95.520891611942631</v>
      </c>
      <c r="M12" s="133">
        <f>IF(SER_hh_fech!M12=0,0,SER_hh_fech!M12/SER_summary!M$26)</f>
        <v>91.745458138420787</v>
      </c>
      <c r="N12" s="133">
        <f>IF(SER_hh_fech!N12=0,0,SER_hh_fech!N12/SER_summary!N$26)</f>
        <v>83.800916828897257</v>
      </c>
      <c r="O12" s="133">
        <f>IF(SER_hh_fech!O12=0,0,SER_hh_fech!O12/SER_summary!O$26)</f>
        <v>84.676362186373311</v>
      </c>
      <c r="P12" s="133">
        <f>IF(SER_hh_fech!P12=0,0,SER_hh_fech!P12/SER_summary!P$26)</f>
        <v>64.241879908496486</v>
      </c>
      <c r="Q12" s="133">
        <f>IF(SER_hh_fech!Q12=0,0,SER_hh_fech!Q12/SER_summary!Q$26)</f>
        <v>74.85590162247702</v>
      </c>
      <c r="R12" s="133">
        <f>IF(SER_hh_fech!R12=0,0,SER_hh_fech!R12/SER_summary!R$26)</f>
        <v>83.467315341909867</v>
      </c>
      <c r="S12" s="133">
        <f>IF(SER_hh_fech!S12=0,0,SER_hh_fech!S12/SER_summary!S$26)</f>
        <v>87.885599084069639</v>
      </c>
      <c r="T12" s="133">
        <f>IF(SER_hh_fech!T12=0,0,SER_hh_fech!T12/SER_summary!T$26)</f>
        <v>87.336129221141675</v>
      </c>
      <c r="U12" s="133">
        <f>IF(SER_hh_fech!U12=0,0,SER_hh_fech!U12/SER_summary!U$26)</f>
        <v>86.267197369028395</v>
      </c>
      <c r="V12" s="133">
        <f>IF(SER_hh_fech!V12=0,0,SER_hh_fech!V12/SER_summary!V$26)</f>
        <v>88.274248103056479</v>
      </c>
      <c r="W12" s="133">
        <f>IF(SER_hh_fech!W12=0,0,SER_hh_fech!W12/SER_summary!W$26)</f>
        <v>99.024303945060083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91.448401532133715</v>
      </c>
      <c r="C14" s="65">
        <f>IF(SER_hh_fech!C14=0,0,SER_hh_fech!C14/SER_summary!C$26)</f>
        <v>109.46637171444949</v>
      </c>
      <c r="D14" s="65">
        <f>IF(SER_hh_fech!D14=0,0,SER_hh_fech!D14/SER_summary!D$26)</f>
        <v>112.09351839029786</v>
      </c>
      <c r="E14" s="65">
        <f>IF(SER_hh_fech!E14=0,0,SER_hh_fech!E14/SER_summary!E$26)</f>
        <v>103.82375182151114</v>
      </c>
      <c r="F14" s="65">
        <f>IF(SER_hh_fech!F14=0,0,SER_hh_fech!F14/SER_summary!F$26)</f>
        <v>106.54588322071834</v>
      </c>
      <c r="G14" s="65">
        <f>IF(SER_hh_fech!G14=0,0,SER_hh_fech!G14/SER_summary!G$26)</f>
        <v>112.20590409998093</v>
      </c>
      <c r="H14" s="65">
        <f>IF(SER_hh_fech!H14=0,0,SER_hh_fech!H14/SER_summary!H$26)</f>
        <v>99.265559974597224</v>
      </c>
      <c r="I14" s="65">
        <f>IF(SER_hh_fech!I14=0,0,SER_hh_fech!I14/SER_summary!I$26)</f>
        <v>85.952823242644328</v>
      </c>
      <c r="J14" s="65">
        <f>IF(SER_hh_fech!J14=0,0,SER_hh_fech!J14/SER_summary!J$26)</f>
        <v>101.18422603639482</v>
      </c>
      <c r="K14" s="65">
        <f>IF(SER_hh_fech!K14=0,0,SER_hh_fech!K14/SER_summary!K$26)</f>
        <v>96.124087872278338</v>
      </c>
      <c r="L14" s="65">
        <f>IF(SER_hh_fech!L14=0,0,SER_hh_fech!L14/SER_summary!L$26)</f>
        <v>98.821965878165855</v>
      </c>
      <c r="M14" s="65">
        <f>IF(SER_hh_fech!M14=0,0,SER_hh_fech!M14/SER_summary!M$26)</f>
        <v>99.865461227329206</v>
      </c>
      <c r="N14" s="65">
        <f>IF(SER_hh_fech!N14=0,0,SER_hh_fech!N14/SER_summary!N$26)</f>
        <v>94.688213745395117</v>
      </c>
      <c r="O14" s="65">
        <f>IF(SER_hh_fech!O14=0,0,SER_hh_fech!O14/SER_summary!O$26)</f>
        <v>92.574838758953234</v>
      </c>
      <c r="P14" s="65">
        <f>IF(SER_hh_fech!P14=0,0,SER_hh_fech!P14/SER_summary!P$26)</f>
        <v>74.417583083415153</v>
      </c>
      <c r="Q14" s="65">
        <f>IF(SER_hh_fech!Q14=0,0,SER_hh_fech!Q14/SER_summary!Q$26)</f>
        <v>76.284737330657833</v>
      </c>
      <c r="R14" s="65">
        <f>IF(SER_hh_fech!R14=0,0,SER_hh_fech!R14/SER_summary!R$26)</f>
        <v>81.86289237864564</v>
      </c>
      <c r="S14" s="65">
        <f>IF(SER_hh_fech!S14=0,0,SER_hh_fech!S14/SER_summary!S$26)</f>
        <v>95.349066256489195</v>
      </c>
      <c r="T14" s="65">
        <f>IF(SER_hh_fech!T14=0,0,SER_hh_fech!T14/SER_summary!T$26)</f>
        <v>102.81061840157415</v>
      </c>
      <c r="U14" s="65">
        <f>IF(SER_hh_fech!U14=0,0,SER_hh_fech!U14/SER_summary!U$26)</f>
        <v>102.27419213067469</v>
      </c>
      <c r="V14" s="65">
        <f>IF(SER_hh_fech!V14=0,0,SER_hh_fech!V14/SER_summary!V$26)</f>
        <v>84.815033911918761</v>
      </c>
      <c r="W14" s="65">
        <f>IF(SER_hh_fech!W14=0,0,SER_hh_fech!W14/SER_summary!W$26)</f>
        <v>103.79718247020443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0.95248422900871865</v>
      </c>
      <c r="C15" s="135">
        <f>IF(SER_hh_fech!C15=0,0,SER_hh_fech!C15/SER_summary!C$26)</f>
        <v>1.1126591825540284</v>
      </c>
      <c r="D15" s="135">
        <f>IF(SER_hh_fech!D15=0,0,SER_hh_fech!D15/SER_summary!D$26)</f>
        <v>1.1067347359394328</v>
      </c>
      <c r="E15" s="135">
        <f>IF(SER_hh_fech!E15=0,0,SER_hh_fech!E15/SER_summary!E$26)</f>
        <v>1.1002974605172329</v>
      </c>
      <c r="F15" s="135">
        <f>IF(SER_hh_fech!F15=0,0,SER_hh_fech!F15/SER_summary!F$26)</f>
        <v>1.092842310113624</v>
      </c>
      <c r="G15" s="135">
        <f>IF(SER_hh_fech!G15=0,0,SER_hh_fech!G15/SER_summary!G$26)</f>
        <v>1.0714409864150909</v>
      </c>
      <c r="H15" s="135">
        <f>IF(SER_hh_fech!H15=0,0,SER_hh_fech!H15/SER_summary!H$26)</f>
        <v>0.96713911061681612</v>
      </c>
      <c r="I15" s="135">
        <f>IF(SER_hh_fech!I15=0,0,SER_hh_fech!I15/SER_summary!I$26)</f>
        <v>0.84789937532737336</v>
      </c>
      <c r="J15" s="135">
        <f>IF(SER_hh_fech!J15=0,0,SER_hh_fech!J15/SER_summary!J$26)</f>
        <v>0.87440134345540832</v>
      </c>
      <c r="K15" s="135">
        <f>IF(SER_hh_fech!K15=0,0,SER_hh_fech!K15/SER_summary!K$26)</f>
        <v>0.85774329426004958</v>
      </c>
      <c r="L15" s="135">
        <f>IF(SER_hh_fech!L15=0,0,SER_hh_fech!L15/SER_summary!L$26)</f>
        <v>0.95782598280297926</v>
      </c>
      <c r="M15" s="135">
        <f>IF(SER_hh_fech!M15=0,0,SER_hh_fech!M15/SER_summary!M$26)</f>
        <v>0.86217317582688591</v>
      </c>
      <c r="N15" s="135">
        <f>IF(SER_hh_fech!N15=0,0,SER_hh_fech!N15/SER_summary!N$26)</f>
        <v>0.75679560979426774</v>
      </c>
      <c r="O15" s="135">
        <f>IF(SER_hh_fech!O15=0,0,SER_hh_fech!O15/SER_summary!O$26)</f>
        <v>0.72574947128789447</v>
      </c>
      <c r="P15" s="135">
        <f>IF(SER_hh_fech!P15=0,0,SER_hh_fech!P15/SER_summary!P$26)</f>
        <v>0.60992421801345897</v>
      </c>
      <c r="Q15" s="135">
        <f>IF(SER_hh_fech!Q15=0,0,SER_hh_fech!Q15/SER_summary!Q$26)</f>
        <v>0.77419950897021461</v>
      </c>
      <c r="R15" s="135">
        <f>IF(SER_hh_fech!R15=0,0,SER_hh_fech!R15/SER_summary!R$26)</f>
        <v>0.82330514242668984</v>
      </c>
      <c r="S15" s="135">
        <f>IF(SER_hh_fech!S15=0,0,SER_hh_fech!S15/SER_summary!S$26)</f>
        <v>0.88736793463999086</v>
      </c>
      <c r="T15" s="135">
        <f>IF(SER_hh_fech!T15=0,0,SER_hh_fech!T15/SER_summary!T$26)</f>
        <v>0.93052320740104533</v>
      </c>
      <c r="U15" s="135">
        <f>IF(SER_hh_fech!U15=0,0,SER_hh_fech!U15/SER_summary!U$26)</f>
        <v>0.93168160365313424</v>
      </c>
      <c r="V15" s="135">
        <f>IF(SER_hh_fech!V15=0,0,SER_hh_fech!V15/SER_summary!V$26)</f>
        <v>0.87915545875463497</v>
      </c>
      <c r="W15" s="135">
        <f>IF(SER_hh_fech!W15=0,0,SER_hh_fech!W15/SER_summary!W$26)</f>
        <v>1.0114871577580962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14.697377435725199</v>
      </c>
      <c r="C16" s="131">
        <f>IF(SER_hh_fech!C16=0,0,SER_hh_fech!C16/SER_summary!C$26)</f>
        <v>13.25824537629464</v>
      </c>
      <c r="D16" s="131">
        <f>IF(SER_hh_fech!D16=0,0,SER_hh_fech!D16/SER_summary!D$26)</f>
        <v>12.155289356147234</v>
      </c>
      <c r="E16" s="131">
        <f>IF(SER_hh_fech!E16=0,0,SER_hh_fech!E16/SER_summary!E$26)</f>
        <v>22.095947187733323</v>
      </c>
      <c r="F16" s="131">
        <f>IF(SER_hh_fech!F16=0,0,SER_hh_fech!F16/SER_summary!F$26)</f>
        <v>10.833374550108246</v>
      </c>
      <c r="G16" s="131">
        <f>IF(SER_hh_fech!G16=0,0,SER_hh_fech!G16/SER_summary!G$26)</f>
        <v>10.429152748511623</v>
      </c>
      <c r="H16" s="131">
        <f>IF(SER_hh_fech!H16=0,0,SER_hh_fech!H16/SER_summary!H$26)</f>
        <v>11.274899390293381</v>
      </c>
      <c r="I16" s="131">
        <f>IF(SER_hh_fech!I16=0,0,SER_hh_fech!I16/SER_summary!I$26)</f>
        <v>11.166933383935067</v>
      </c>
      <c r="J16" s="131">
        <f>IF(SER_hh_fech!J16=0,0,SER_hh_fech!J16/SER_summary!J$26)</f>
        <v>10.41041609539228</v>
      </c>
      <c r="K16" s="131">
        <f>IF(SER_hh_fech!K16=0,0,SER_hh_fech!K16/SER_summary!K$26)</f>
        <v>9.8346109946233948</v>
      </c>
      <c r="L16" s="131">
        <f>IF(SER_hh_fech!L16=0,0,SER_hh_fech!L16/SER_summary!L$26)</f>
        <v>9.8312502612458985</v>
      </c>
      <c r="M16" s="131">
        <f>IF(SER_hh_fech!M16=0,0,SER_hh_fech!M16/SER_summary!M$26)</f>
        <v>10.361260049620759</v>
      </c>
      <c r="N16" s="131">
        <f>IF(SER_hh_fech!N16=0,0,SER_hh_fech!N16/SER_summary!N$26)</f>
        <v>14.980009482439723</v>
      </c>
      <c r="O16" s="131">
        <f>IF(SER_hh_fech!O16=0,0,SER_hh_fech!O16/SER_summary!O$26)</f>
        <v>9.8099817296801994</v>
      </c>
      <c r="P16" s="131">
        <f>IF(SER_hh_fech!P16=0,0,SER_hh_fech!P16/SER_summary!P$26)</f>
        <v>7.8144987110954212</v>
      </c>
      <c r="Q16" s="131">
        <f>IF(SER_hh_fech!Q16=0,0,SER_hh_fech!Q16/SER_summary!Q$26)</f>
        <v>12.35525317861276</v>
      </c>
      <c r="R16" s="131">
        <f>IF(SER_hh_fech!R16=0,0,SER_hh_fech!R16/SER_summary!R$26)</f>
        <v>8.2603070671745993</v>
      </c>
      <c r="S16" s="131">
        <f>IF(SER_hh_fech!S16=0,0,SER_hh_fech!S16/SER_summary!S$26)</f>
        <v>11.608650452640685</v>
      </c>
      <c r="T16" s="131">
        <f>IF(SER_hh_fech!T16=0,0,SER_hh_fech!T16/SER_summary!T$26)</f>
        <v>8.5366340372792759</v>
      </c>
      <c r="U16" s="131">
        <f>IF(SER_hh_fech!U16=0,0,SER_hh_fech!U16/SER_summary!U$26)</f>
        <v>10.140720899606249</v>
      </c>
      <c r="V16" s="131">
        <f>IF(SER_hh_fech!V16=0,0,SER_hh_fech!V16/SER_summary!V$26)</f>
        <v>7.7630528032786792</v>
      </c>
      <c r="W16" s="131">
        <f>IF(SER_hh_fech!W16=0,0,SER_hh_fech!W16/SER_summary!W$26)</f>
        <v>10.058917183227143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21.067256325869938</v>
      </c>
      <c r="C17" s="133">
        <f>IF(SER_hh_fech!C17=0,0,SER_hh_fech!C17/SER_summary!C$26)</f>
        <v>19.830367431388051</v>
      </c>
      <c r="D17" s="133">
        <f>IF(SER_hh_fech!D17=0,0,SER_hh_fech!D17/SER_summary!D$26)</f>
        <v>18.997696946353571</v>
      </c>
      <c r="E17" s="133">
        <f>IF(SER_hh_fech!E17=0,0,SER_hh_fech!E17/SER_summary!E$26)</f>
        <v>36.088911639437498</v>
      </c>
      <c r="F17" s="133">
        <f>IF(SER_hh_fech!F17=0,0,SER_hh_fech!F17/SER_summary!F$26)</f>
        <v>18.474770175372871</v>
      </c>
      <c r="G17" s="133">
        <f>IF(SER_hh_fech!G17=0,0,SER_hh_fech!G17/SER_summary!G$26)</f>
        <v>18.553615837303415</v>
      </c>
      <c r="H17" s="133">
        <f>IF(SER_hh_fech!H17=0,0,SER_hh_fech!H17/SER_summary!H$26)</f>
        <v>20.937881216293547</v>
      </c>
      <c r="I17" s="133">
        <f>IF(SER_hh_fech!I17=0,0,SER_hh_fech!I17/SER_summary!I$26)</f>
        <v>27.744907465791801</v>
      </c>
      <c r="J17" s="133">
        <f>IF(SER_hh_fech!J17=0,0,SER_hh_fech!J17/SER_summary!J$26)</f>
        <v>25.587293945840539</v>
      </c>
      <c r="K17" s="133">
        <f>IF(SER_hh_fech!K17=0,0,SER_hh_fech!K17/SER_summary!K$26)</f>
        <v>20.164750706264172</v>
      </c>
      <c r="L17" s="133">
        <f>IF(SER_hh_fech!L17=0,0,SER_hh_fech!L17/SER_summary!L$26)</f>
        <v>20.526831967186585</v>
      </c>
      <c r="M17" s="133">
        <f>IF(SER_hh_fech!M17=0,0,SER_hh_fech!M17/SER_summary!M$26)</f>
        <v>22.162207411558676</v>
      </c>
      <c r="N17" s="133">
        <f>IF(SER_hh_fech!N17=0,0,SER_hh_fech!N17/SER_summary!N$26)</f>
        <v>28.259110856800167</v>
      </c>
      <c r="O17" s="133">
        <f>IF(SER_hh_fech!O17=0,0,SER_hh_fech!O17/SER_summary!O$26)</f>
        <v>21.911069806810364</v>
      </c>
      <c r="P17" s="133">
        <f>IF(SER_hh_fech!P17=0,0,SER_hh_fech!P17/SER_summary!P$26)</f>
        <v>17.944502227634668</v>
      </c>
      <c r="Q17" s="133">
        <f>IF(SER_hh_fech!Q17=0,0,SER_hh_fech!Q17/SER_summary!Q$26)</f>
        <v>29.527070472777122</v>
      </c>
      <c r="R17" s="133">
        <f>IF(SER_hh_fech!R17=0,0,SER_hh_fech!R17/SER_summary!R$26)</f>
        <v>19.55935075111568</v>
      </c>
      <c r="S17" s="133">
        <f>IF(SER_hh_fech!S17=0,0,SER_hh_fech!S17/SER_summary!S$26)</f>
        <v>27.948574875193142</v>
      </c>
      <c r="T17" s="133">
        <f>IF(SER_hh_fech!T17=0,0,SER_hh_fech!T17/SER_summary!T$26)</f>
        <v>20.750446863913215</v>
      </c>
      <c r="U17" s="133">
        <f>IF(SER_hh_fech!U17=0,0,SER_hh_fech!U17/SER_summary!U$26)</f>
        <v>24.867226478589117</v>
      </c>
      <c r="V17" s="133">
        <f>IF(SER_hh_fech!V17=0,0,SER_hh_fech!V17/SER_summary!V$26)</f>
        <v>19.349878851195992</v>
      </c>
      <c r="W17" s="133">
        <f>IF(SER_hh_fech!W17=0,0,SER_hh_fech!W17/SER_summary!W$26)</f>
        <v>25.255876576765093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14.68960119963856</v>
      </c>
      <c r="C18" s="133">
        <f>IF(SER_hh_fech!C18=0,0,SER_hh_fech!C18/SER_summary!C$26)</f>
        <v>13.250492061399084</v>
      </c>
      <c r="D18" s="133">
        <f>IF(SER_hh_fech!D18=0,0,SER_hh_fech!D18/SER_summary!D$26)</f>
        <v>12.146450537681599</v>
      </c>
      <c r="E18" s="133">
        <f>IF(SER_hh_fech!E18=0,0,SER_hh_fech!E18/SER_summary!E$26)</f>
        <v>22.076271011336747</v>
      </c>
      <c r="F18" s="133">
        <f>IF(SER_hh_fech!F18=0,0,SER_hh_fech!F18/SER_summary!F$26)</f>
        <v>10.822161582648658</v>
      </c>
      <c r="G18" s="133">
        <f>IF(SER_hh_fech!G18=0,0,SER_hh_fech!G18/SER_summary!G$26)</f>
        <v>10.416879522584052</v>
      </c>
      <c r="H18" s="133">
        <f>IF(SER_hh_fech!H18=0,0,SER_hh_fech!H18/SER_summary!H$26)</f>
        <v>11.260006834695432</v>
      </c>
      <c r="I18" s="133">
        <f>IF(SER_hh_fech!I18=0,0,SER_hh_fech!I18/SER_summary!I$26)</f>
        <v>11.142789898174263</v>
      </c>
      <c r="J18" s="133">
        <f>IF(SER_hh_fech!J18=0,0,SER_hh_fech!J18/SER_summary!J$26)</f>
        <v>10.389130022363764</v>
      </c>
      <c r="K18" s="133">
        <f>IF(SER_hh_fech!K18=0,0,SER_hh_fech!K18/SER_summary!K$26)</f>
        <v>9.8195179502982306</v>
      </c>
      <c r="L18" s="133">
        <f>IF(SER_hh_fech!L18=0,0,SER_hh_fech!L18/SER_summary!L$26)</f>
        <v>9.8142038218287873</v>
      </c>
      <c r="M18" s="133">
        <f>IF(SER_hh_fech!M18=0,0,SER_hh_fech!M18/SER_summary!M$26)</f>
        <v>10.341125129411781</v>
      </c>
      <c r="N18" s="133">
        <f>IF(SER_hh_fech!N18=0,0,SER_hh_fech!N18/SER_summary!N$26)</f>
        <v>14.955234496123083</v>
      </c>
      <c r="O18" s="133">
        <f>IF(SER_hh_fech!O18=0,0,SER_hh_fech!O18/SER_summary!O$26)</f>
        <v>9.7844284726642901</v>
      </c>
      <c r="P18" s="133">
        <f>IF(SER_hh_fech!P18=0,0,SER_hh_fech!P18/SER_summary!P$26)</f>
        <v>7.793496022341392</v>
      </c>
      <c r="Q18" s="133">
        <f>IF(SER_hh_fech!Q18=0,0,SER_hh_fech!Q18/SER_summary!Q$26)</f>
        <v>12.303034199997287</v>
      </c>
      <c r="R18" s="133">
        <f>IF(SER_hh_fech!R18=0,0,SER_hh_fech!R18/SER_summary!R$26)</f>
        <v>8.22033046760391</v>
      </c>
      <c r="S18" s="133">
        <f>IF(SER_hh_fech!S18=0,0,SER_hh_fech!S18/SER_summary!S$26)</f>
        <v>11.538265626348773</v>
      </c>
      <c r="T18" s="133">
        <f>IF(SER_hh_fech!T18=0,0,SER_hh_fech!T18/SER_summary!T$26)</f>
        <v>8.471163756373894</v>
      </c>
      <c r="U18" s="133">
        <f>IF(SER_hh_fech!U18=0,0,SER_hh_fech!U18/SER_summary!U$26)</f>
        <v>10.05125455839544</v>
      </c>
      <c r="V18" s="133">
        <f>IF(SER_hh_fech!V18=0,0,SER_hh_fech!V18/SER_summary!V$26)</f>
        <v>7.694166884228502</v>
      </c>
      <c r="W18" s="133">
        <f>IF(SER_hh_fech!W18=0,0,SER_hh_fech!W18/SER_summary!W$26)</f>
        <v>9.9639159035954279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24.069198516027694</v>
      </c>
      <c r="C19" s="131">
        <f>IF(SER_hh_fech!C19=0,0,SER_hh_fech!C19/SER_summary!C$26)</f>
        <v>24.31689620231996</v>
      </c>
      <c r="D19" s="131">
        <f>IF(SER_hh_fech!D19=0,0,SER_hh_fech!D19/SER_summary!D$26)</f>
        <v>24.712882013191454</v>
      </c>
      <c r="E19" s="131">
        <f>IF(SER_hh_fech!E19=0,0,SER_hh_fech!E19/SER_summary!E$26)</f>
        <v>24.527196218818322</v>
      </c>
      <c r="F19" s="131">
        <f>IF(SER_hh_fech!F19=0,0,SER_hh_fech!F19/SER_summary!F$26)</f>
        <v>25.124695642645666</v>
      </c>
      <c r="G19" s="131">
        <f>IF(SER_hh_fech!G19=0,0,SER_hh_fech!G19/SER_summary!G$26)</f>
        <v>25.266541420728821</v>
      </c>
      <c r="H19" s="131">
        <f>IF(SER_hh_fech!H19=0,0,SER_hh_fech!H19/SER_summary!H$26)</f>
        <v>24.589159369717681</v>
      </c>
      <c r="I19" s="131">
        <f>IF(SER_hh_fech!I19=0,0,SER_hh_fech!I19/SER_summary!I$26)</f>
        <v>24.293948956481785</v>
      </c>
      <c r="J19" s="131">
        <f>IF(SER_hh_fech!J19=0,0,SER_hh_fech!J19/SER_summary!J$26)</f>
        <v>24.656148035697726</v>
      </c>
      <c r="K19" s="131">
        <f>IF(SER_hh_fech!K19=0,0,SER_hh_fech!K19/SER_summary!K$26)</f>
        <v>24.700329590401729</v>
      </c>
      <c r="L19" s="131">
        <f>IF(SER_hh_fech!L19=0,0,SER_hh_fech!L19/SER_summary!L$26)</f>
        <v>24.810380897135865</v>
      </c>
      <c r="M19" s="131">
        <f>IF(SER_hh_fech!M19=0,0,SER_hh_fech!M19/SER_summary!M$26)</f>
        <v>24.551980835174749</v>
      </c>
      <c r="N19" s="131">
        <f>IF(SER_hh_fech!N19=0,0,SER_hh_fech!N19/SER_summary!N$26)</f>
        <v>24.979692358237674</v>
      </c>
      <c r="O19" s="131">
        <f>IF(SER_hh_fech!O19=0,0,SER_hh_fech!O19/SER_summary!O$26)</f>
        <v>25.244380182313982</v>
      </c>
      <c r="P19" s="131">
        <f>IF(SER_hh_fech!P19=0,0,SER_hh_fech!P19/SER_summary!P$26)</f>
        <v>24.759011720104454</v>
      </c>
      <c r="Q19" s="131">
        <f>IF(SER_hh_fech!Q19=0,0,SER_hh_fech!Q19/SER_summary!Q$26)</f>
        <v>24.274928715368372</v>
      </c>
      <c r="R19" s="131">
        <f>IF(SER_hh_fech!R19=0,0,SER_hh_fech!R19/SER_summary!R$26)</f>
        <v>24.06957443582974</v>
      </c>
      <c r="S19" s="131">
        <f>IF(SER_hh_fech!S19=0,0,SER_hh_fech!S19/SER_summary!S$26)</f>
        <v>23.800986145151885</v>
      </c>
      <c r="T19" s="131">
        <f>IF(SER_hh_fech!T19=0,0,SER_hh_fech!T19/SER_summary!T$26)</f>
        <v>23.422319666691806</v>
      </c>
      <c r="U19" s="131">
        <f>IF(SER_hh_fech!U19=0,0,SER_hh_fech!U19/SER_summary!U$26)</f>
        <v>22.989823319696324</v>
      </c>
      <c r="V19" s="131">
        <f>IF(SER_hh_fech!V19=0,0,SER_hh_fech!V19/SER_summary!V$26)</f>
        <v>21.024028965742747</v>
      </c>
      <c r="W19" s="131">
        <f>IF(SER_hh_fech!W19=0,0,SER_hh_fech!W19/SER_summary!W$26)</f>
        <v>21.673669286119921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24.923893148692699</v>
      </c>
      <c r="C21" s="133">
        <f>IF(SER_hh_fech!C21=0,0,SER_hh_fech!C21/SER_summary!C$26)</f>
        <v>27.796536424493574</v>
      </c>
      <c r="D21" s="133">
        <f>IF(SER_hh_fech!D21=0,0,SER_hh_fech!D21/SER_summary!D$26)</f>
        <v>28.165681021162882</v>
      </c>
      <c r="E21" s="133">
        <f>IF(SER_hh_fech!E21=0,0,SER_hh_fech!E21/SER_summary!E$26)</f>
        <v>27.654163859843795</v>
      </c>
      <c r="F21" s="133">
        <f>IF(SER_hh_fech!F21=0,0,SER_hh_fech!F21/SER_summary!F$26)</f>
        <v>28.357580653956841</v>
      </c>
      <c r="G21" s="133">
        <f>IF(SER_hh_fech!G21=0,0,SER_hh_fech!G21/SER_summary!G$26)</f>
        <v>27.866177820850886</v>
      </c>
      <c r="H21" s="133">
        <f>IF(SER_hh_fech!H21=0,0,SER_hh_fech!H21/SER_summary!H$26)</f>
        <v>27.697446014857022</v>
      </c>
      <c r="I21" s="133">
        <f>IF(SER_hh_fech!I21=0,0,SER_hh_fech!I21/SER_summary!I$26)</f>
        <v>27.063312348772737</v>
      </c>
      <c r="J21" s="133">
        <f>IF(SER_hh_fech!J21=0,0,SER_hh_fech!J21/SER_summary!J$26)</f>
        <v>27.553245727235829</v>
      </c>
      <c r="K21" s="133">
        <f>IF(SER_hh_fech!K21=0,0,SER_hh_fech!K21/SER_summary!K$26)</f>
        <v>28.503773572516511</v>
      </c>
      <c r="L21" s="133">
        <f>IF(SER_hh_fech!L21=0,0,SER_hh_fech!L21/SER_summary!L$26)</f>
        <v>28.261866758342414</v>
      </c>
      <c r="M21" s="133">
        <f>IF(SER_hh_fech!M21=0,0,SER_hh_fech!M21/SER_summary!M$26)</f>
        <v>28.151036499072784</v>
      </c>
      <c r="N21" s="133">
        <f>IF(SER_hh_fech!N21=0,0,SER_hh_fech!N21/SER_summary!N$26)</f>
        <v>28.316473566142996</v>
      </c>
      <c r="O21" s="133">
        <f>IF(SER_hh_fech!O21=0,0,SER_hh_fech!O21/SER_summary!O$26)</f>
        <v>28.475963111578302</v>
      </c>
      <c r="P21" s="133">
        <f>IF(SER_hh_fech!P21=0,0,SER_hh_fech!P21/SER_summary!P$26)</f>
        <v>28.199544098450904</v>
      </c>
      <c r="Q21" s="133">
        <f>IF(SER_hh_fech!Q21=0,0,SER_hh_fech!Q21/SER_summary!Q$26)</f>
        <v>28.130482571214028</v>
      </c>
      <c r="R21" s="133">
        <f>IF(SER_hh_fech!R21=0,0,SER_hh_fech!R21/SER_summary!R$26)</f>
        <v>27.87583296493084</v>
      </c>
      <c r="S21" s="133">
        <f>IF(SER_hh_fech!S21=0,0,SER_hh_fech!S21/SER_summary!S$26)</f>
        <v>27.04841924722346</v>
      </c>
      <c r="T21" s="133">
        <f>IF(SER_hh_fech!T21=0,0,SER_hh_fech!T21/SER_summary!T$26)</f>
        <v>27.040903582462636</v>
      </c>
      <c r="U21" s="133">
        <f>IF(SER_hh_fech!U21=0,0,SER_hh_fech!U21/SER_summary!U$26)</f>
        <v>26.138928623745361</v>
      </c>
      <c r="V21" s="133">
        <f>IF(SER_hh_fech!V21=0,0,SER_hh_fech!V21/SER_summary!V$26)</f>
        <v>22.651108239886284</v>
      </c>
      <c r="W21" s="133">
        <f>IF(SER_hh_fech!W21=0,0,SER_hh_fech!W21/SER_summary!W$26)</f>
        <v>24.086707572783887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28.298390332532922</v>
      </c>
      <c r="C22" s="133">
        <f>IF(SER_hh_fech!C22=0,0,SER_hh_fech!C22/SER_summary!C$26)</f>
        <v>29.066161516450808</v>
      </c>
      <c r="D22" s="133">
        <f>IF(SER_hh_fech!D22=0,0,SER_hh_fech!D22/SER_summary!D$26)</f>
        <v>29.324637048979515</v>
      </c>
      <c r="E22" s="133">
        <f>IF(SER_hh_fech!E22=0,0,SER_hh_fech!E22/SER_summary!E$26)</f>
        <v>29.508403212731931</v>
      </c>
      <c r="F22" s="133">
        <f>IF(SER_hh_fech!F22=0,0,SER_hh_fech!F22/SER_summary!F$26)</f>
        <v>29.526825244694749</v>
      </c>
      <c r="G22" s="133">
        <f>IF(SER_hh_fech!G22=0,0,SER_hh_fech!G22/SER_summary!G$26)</f>
        <v>29.946585643869867</v>
      </c>
      <c r="H22" s="133">
        <f>IF(SER_hh_fech!H22=0,0,SER_hh_fech!H22/SER_summary!H$26)</f>
        <v>29.344178957970506</v>
      </c>
      <c r="I22" s="133">
        <f>IF(SER_hh_fech!I22=0,0,SER_hh_fech!I22/SER_summary!I$26)</f>
        <v>29.717624096950932</v>
      </c>
      <c r="J22" s="133">
        <f>IF(SER_hh_fech!J22=0,0,SER_hh_fech!J22/SER_summary!J$26)</f>
        <v>29.735568026265209</v>
      </c>
      <c r="K22" s="133">
        <f>IF(SER_hh_fech!K22=0,0,SER_hh_fech!K22/SER_summary!K$26)</f>
        <v>30.125158940158286</v>
      </c>
      <c r="L22" s="133">
        <f>IF(SER_hh_fech!L22=0,0,SER_hh_fech!L22/SER_summary!L$26)</f>
        <v>30.577641996767611</v>
      </c>
      <c r="M22" s="133">
        <f>IF(SER_hh_fech!M22=0,0,SER_hh_fech!M22/SER_summary!M$26)</f>
        <v>29.887365490626536</v>
      </c>
      <c r="N22" s="133">
        <f>IF(SER_hh_fech!N22=0,0,SER_hh_fech!N22/SER_summary!N$26)</f>
        <v>30.206603340843142</v>
      </c>
      <c r="O22" s="133">
        <f>IF(SER_hh_fech!O22=0,0,SER_hh_fech!O22/SER_summary!O$26)</f>
        <v>30.740151802827341</v>
      </c>
      <c r="P22" s="133">
        <f>IF(SER_hh_fech!P22=0,0,SER_hh_fech!P22/SER_summary!P$26)</f>
        <v>30.449144942357954</v>
      </c>
      <c r="Q22" s="133">
        <f>IF(SER_hh_fech!Q22=0,0,SER_hh_fech!Q22/SER_summary!Q$26)</f>
        <v>30.0299208962143</v>
      </c>
      <c r="R22" s="133">
        <f>IF(SER_hh_fech!R22=0,0,SER_hh_fech!R22/SER_summary!R$26)</f>
        <v>29.628270952927405</v>
      </c>
      <c r="S22" s="133">
        <f>IF(SER_hh_fech!S22=0,0,SER_hh_fech!S22/SER_summary!S$26)</f>
        <v>28.808196655204892</v>
      </c>
      <c r="T22" s="133">
        <f>IF(SER_hh_fech!T22=0,0,SER_hh_fech!T22/SER_summary!T$26)</f>
        <v>27.731561725228438</v>
      </c>
      <c r="U22" s="133">
        <f>IF(SER_hh_fech!U22=0,0,SER_hh_fech!U22/SER_summary!U$26)</f>
        <v>27.411344667476676</v>
      </c>
      <c r="V22" s="133">
        <f>IF(SER_hh_fech!V22=0,0,SER_hh_fech!V22/SER_summary!V$26)</f>
        <v>23.580526305117466</v>
      </c>
      <c r="W22" s="133">
        <f>IF(SER_hh_fech!W22=0,0,SER_hh_fech!W22/SER_summary!W$26)</f>
        <v>24.292043378325797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27.606467875195413</v>
      </c>
      <c r="C23" s="133">
        <f>IF(SER_hh_fech!C23=0,0,SER_hh_fech!C23/SER_summary!C$26)</f>
        <v>28.149537312328722</v>
      </c>
      <c r="D23" s="133">
        <f>IF(SER_hh_fech!D23=0,0,SER_hh_fech!D23/SER_summary!D$26)</f>
        <v>28.467739120713613</v>
      </c>
      <c r="E23" s="133">
        <f>IF(SER_hh_fech!E23=0,0,SER_hh_fech!E23/SER_summary!E$26)</f>
        <v>28.105786901600261</v>
      </c>
      <c r="F23" s="133">
        <f>IF(SER_hh_fech!F23=0,0,SER_hh_fech!F23/SER_summary!F$26)</f>
        <v>28.328702402984341</v>
      </c>
      <c r="G23" s="133">
        <f>IF(SER_hh_fech!G23=0,0,SER_hh_fech!G23/SER_summary!G$26)</f>
        <v>28.437096055613402</v>
      </c>
      <c r="H23" s="133">
        <f>IF(SER_hh_fech!H23=0,0,SER_hh_fech!H23/SER_summary!H$26)</f>
        <v>27.572519613240352</v>
      </c>
      <c r="I23" s="133">
        <f>IF(SER_hh_fech!I23=0,0,SER_hh_fech!I23/SER_summary!I$26)</f>
        <v>26.875133475651936</v>
      </c>
      <c r="J23" s="133">
        <f>IF(SER_hh_fech!J23=0,0,SER_hh_fech!J23/SER_summary!J$26)</f>
        <v>27.361866649655603</v>
      </c>
      <c r="K23" s="133">
        <f>IF(SER_hh_fech!K23=0,0,SER_hh_fech!K23/SER_summary!K$26)</f>
        <v>26.974727219725004</v>
      </c>
      <c r="L23" s="133">
        <f>IF(SER_hh_fech!L23=0,0,SER_hh_fech!L23/SER_summary!L$26)</f>
        <v>26.868839846175163</v>
      </c>
      <c r="M23" s="133">
        <f>IF(SER_hh_fech!M23=0,0,SER_hh_fech!M23/SER_summary!M$26)</f>
        <v>26.68301281773104</v>
      </c>
      <c r="N23" s="133">
        <f>IF(SER_hh_fech!N23=0,0,SER_hh_fech!N23/SER_summary!N$26)</f>
        <v>26.572493101850881</v>
      </c>
      <c r="O23" s="133">
        <f>IF(SER_hh_fech!O23=0,0,SER_hh_fech!O23/SER_summary!O$26)</f>
        <v>26.335187150699024</v>
      </c>
      <c r="P23" s="133">
        <f>IF(SER_hh_fech!P23=0,0,SER_hh_fech!P23/SER_summary!P$26)</f>
        <v>25.868748438897601</v>
      </c>
      <c r="Q23" s="133">
        <f>IF(SER_hh_fech!Q23=0,0,SER_hh_fech!Q23/SER_summary!Q$26)</f>
        <v>25.475456743823457</v>
      </c>
      <c r="R23" s="133">
        <f>IF(SER_hh_fech!R23=0,0,SER_hh_fech!R23/SER_summary!R$26)</f>
        <v>24.880914460057507</v>
      </c>
      <c r="S23" s="133">
        <f>IF(SER_hh_fech!S23=0,0,SER_hh_fech!S23/SER_summary!S$26)</f>
        <v>24.692052700582746</v>
      </c>
      <c r="T23" s="133">
        <f>IF(SER_hh_fech!T23=0,0,SER_hh_fech!T23/SER_summary!T$26)</f>
        <v>24.182358828720552</v>
      </c>
      <c r="U23" s="133">
        <f>IF(SER_hh_fech!U23=0,0,SER_hh_fech!U23/SER_summary!U$26)</f>
        <v>23.514924076155292</v>
      </c>
      <c r="V23" s="133">
        <f>IF(SER_hh_fech!V23=0,0,SER_hh_fech!V23/SER_summary!V$26)</f>
        <v>21.069559733096028</v>
      </c>
      <c r="W23" s="133">
        <f>IF(SER_hh_fech!W23=0,0,SER_hh_fech!W23/SER_summary!W$26)</f>
        <v>22.345423723722281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18.945884469503309</v>
      </c>
      <c r="C25" s="133">
        <f>IF(SER_hh_fech!C25=0,0,SER_hh_fech!C25/SER_summary!C$26)</f>
        <v>18.969871358642191</v>
      </c>
      <c r="D25" s="133">
        <f>IF(SER_hh_fech!D25=0,0,SER_hh_fech!D25/SER_summary!D$26)</f>
        <v>19.342916156767988</v>
      </c>
      <c r="E25" s="133">
        <f>IF(SER_hh_fech!E25=0,0,SER_hh_fech!E25/SER_summary!E$26)</f>
        <v>19.265142288476365</v>
      </c>
      <c r="F25" s="133">
        <f>IF(SER_hh_fech!F25=0,0,SER_hh_fech!F25/SER_summary!F$26)</f>
        <v>19.603768905358262</v>
      </c>
      <c r="G25" s="133">
        <f>IF(SER_hh_fech!G25=0,0,SER_hh_fech!G25/SER_summary!G$26)</f>
        <v>19.870357728714914</v>
      </c>
      <c r="H25" s="133">
        <f>IF(SER_hh_fech!H25=0,0,SER_hh_fech!H25/SER_summary!H$26)</f>
        <v>19.47840105283748</v>
      </c>
      <c r="I25" s="133">
        <f>IF(SER_hh_fech!I25=0,0,SER_hh_fech!I25/SER_summary!I$26)</f>
        <v>19.299821605831109</v>
      </c>
      <c r="J25" s="133">
        <f>IF(SER_hh_fech!J25=0,0,SER_hh_fech!J25/SER_summary!J$26)</f>
        <v>19.565820486545942</v>
      </c>
      <c r="K25" s="133">
        <f>IF(SER_hh_fech!K25=0,0,SER_hh_fech!K25/SER_summary!K$26)</f>
        <v>19.439223636037024</v>
      </c>
      <c r="L25" s="133">
        <f>IF(SER_hh_fech!L25=0,0,SER_hh_fech!L25/SER_summary!L$26)</f>
        <v>19.585276317561231</v>
      </c>
      <c r="M25" s="133">
        <f>IF(SER_hh_fech!M25=0,0,SER_hh_fech!M25/SER_summary!M$26)</f>
        <v>19.739187101506076</v>
      </c>
      <c r="N25" s="133">
        <f>IF(SER_hh_fech!N25=0,0,SER_hh_fech!N25/SER_summary!N$26)</f>
        <v>19.934564961203286</v>
      </c>
      <c r="O25" s="133">
        <f>IF(SER_hh_fech!O25=0,0,SER_hh_fech!O25/SER_summary!O$26)</f>
        <v>20.158908285606579</v>
      </c>
      <c r="P25" s="133">
        <f>IF(SER_hh_fech!P25=0,0,SER_hh_fech!P25/SER_summary!P$26)</f>
        <v>20.19553901152328</v>
      </c>
      <c r="Q25" s="133">
        <f>IF(SER_hh_fech!Q25=0,0,SER_hh_fech!Q25/SER_summary!Q$26)</f>
        <v>20.099222350985649</v>
      </c>
      <c r="R25" s="133">
        <f>IF(SER_hh_fech!R25=0,0,SER_hh_fech!R25/SER_summary!R$26)</f>
        <v>19.998898274769825</v>
      </c>
      <c r="S25" s="133">
        <f>IF(SER_hh_fech!S25=0,0,SER_hh_fech!S25/SER_summary!S$26)</f>
        <v>20.110331846467023</v>
      </c>
      <c r="T25" s="133">
        <f>IF(SER_hh_fech!T25=0,0,SER_hh_fech!T25/SER_summary!T$26)</f>
        <v>19.976232450048983</v>
      </c>
      <c r="U25" s="133">
        <f>IF(SER_hh_fech!U25=0,0,SER_hh_fech!U25/SER_summary!U$26)</f>
        <v>19.678313429652288</v>
      </c>
      <c r="V25" s="133">
        <f>IF(SER_hh_fech!V25=0,0,SER_hh_fech!V25/SER_summary!V$26)</f>
        <v>18.51228075225141</v>
      </c>
      <c r="W25" s="133">
        <f>IF(SER_hh_fech!W25=0,0,SER_hh_fech!W25/SER_summary!W$26)</f>
        <v>19.18525750449281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22.991741269719917</v>
      </c>
      <c r="C26" s="65">
        <f>IF(SER_hh_fech!C26=0,0,SER_hh_fech!C26/SER_summary!C$26)</f>
        <v>22.495750725568019</v>
      </c>
      <c r="D26" s="65">
        <f>IF(SER_hh_fech!D26=0,0,SER_hh_fech!D26/SER_summary!D$26)</f>
        <v>22.665275882508993</v>
      </c>
      <c r="E26" s="65">
        <f>IF(SER_hh_fech!E26=0,0,SER_hh_fech!E26/SER_summary!E$26)</f>
        <v>22.27658977362875</v>
      </c>
      <c r="F26" s="65">
        <f>IF(SER_hh_fech!F26=0,0,SER_hh_fech!F26/SER_summary!F$26)</f>
        <v>23.324750866657666</v>
      </c>
      <c r="G26" s="65">
        <f>IF(SER_hh_fech!G26=0,0,SER_hh_fech!G26/SER_summary!G$26)</f>
        <v>23.176078783203572</v>
      </c>
      <c r="H26" s="65">
        <f>IF(SER_hh_fech!H26=0,0,SER_hh_fech!H26/SER_summary!H$26)</f>
        <v>22.29416989586375</v>
      </c>
      <c r="I26" s="65">
        <f>IF(SER_hh_fech!I26=0,0,SER_hh_fech!I26/SER_summary!I$26)</f>
        <v>21.976820232423773</v>
      </c>
      <c r="J26" s="65">
        <f>IF(SER_hh_fech!J26=0,0,SER_hh_fech!J26/SER_summary!J$26)</f>
        <v>22.100055115246814</v>
      </c>
      <c r="K26" s="65">
        <f>IF(SER_hh_fech!K26=0,0,SER_hh_fech!K26/SER_summary!K$26)</f>
        <v>22.116208615548238</v>
      </c>
      <c r="L26" s="65">
        <f>IF(SER_hh_fech!L26=0,0,SER_hh_fech!L26/SER_summary!L$26)</f>
        <v>22.147829253514292</v>
      </c>
      <c r="M26" s="65">
        <f>IF(SER_hh_fech!M26=0,0,SER_hh_fech!M26/SER_summary!M$26)</f>
        <v>21.653925626187171</v>
      </c>
      <c r="N26" s="65">
        <f>IF(SER_hh_fech!N26=0,0,SER_hh_fech!N26/SER_summary!N$26)</f>
        <v>22.410505236259148</v>
      </c>
      <c r="O26" s="65">
        <f>IF(SER_hh_fech!O26=0,0,SER_hh_fech!O26/SER_summary!O$26)</f>
        <v>22.819760369212318</v>
      </c>
      <c r="P26" s="65">
        <f>IF(SER_hh_fech!P26=0,0,SER_hh_fech!P26/SER_summary!P$26)</f>
        <v>21.828633788578493</v>
      </c>
      <c r="Q26" s="65">
        <f>IF(SER_hh_fech!Q26=0,0,SER_hh_fech!Q26/SER_summary!Q$26)</f>
        <v>20.815665174062463</v>
      </c>
      <c r="R26" s="65">
        <f>IF(SER_hh_fech!R26=0,0,SER_hh_fech!R26/SER_summary!R$26)</f>
        <v>20.513430350013152</v>
      </c>
      <c r="S26" s="65">
        <f>IF(SER_hh_fech!S26=0,0,SER_hh_fech!S26/SER_summary!S$26)</f>
        <v>19.722664061552749</v>
      </c>
      <c r="T26" s="65">
        <f>IF(SER_hh_fech!T26=0,0,SER_hh_fech!T26/SER_summary!T$26)</f>
        <v>19.15638160715778</v>
      </c>
      <c r="U26" s="65">
        <f>IF(SER_hh_fech!U26=0,0,SER_hh_fech!U26/SER_summary!U$26)</f>
        <v>18.570006140310635</v>
      </c>
      <c r="V26" s="65">
        <f>IF(SER_hh_fech!V26=0,0,SER_hh_fech!V26/SER_summary!V$26)</f>
        <v>17.273835665470564</v>
      </c>
      <c r="W26" s="65">
        <f>IF(SER_hh_fech!W26=0,0,SER_hh_fech!W26/SER_summary!W$26)</f>
        <v>16.626580808262393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0.14175032969552759</v>
      </c>
      <c r="C27" s="146">
        <f>IF(SER_hh_fech!C27=0,0,SER_hh_fech!C27/SER_summary!C$26)</f>
        <v>0.14605814758041738</v>
      </c>
      <c r="D27" s="146">
        <f>IF(SER_hh_fech!D27=0,0,SER_hh_fech!D27/SER_summary!D$26)</f>
        <v>0.16822110476599678</v>
      </c>
      <c r="E27" s="146">
        <f>IF(SER_hh_fech!E27=0,0,SER_hh_fech!E27/SER_summary!E$26)</f>
        <v>0.18581528212395396</v>
      </c>
      <c r="F27" s="146">
        <f>IF(SER_hh_fech!F27=0,0,SER_hh_fech!F27/SER_summary!F$26)</f>
        <v>0.21296937705579957</v>
      </c>
      <c r="G27" s="146">
        <f>IF(SER_hh_fech!G27=0,0,SER_hh_fech!G27/SER_summary!G$26)</f>
        <v>0.23824749860610422</v>
      </c>
      <c r="H27" s="146">
        <f>IF(SER_hh_fech!H27=0,0,SER_hh_fech!H27/SER_summary!H$26)</f>
        <v>0.26541464555131711</v>
      </c>
      <c r="I27" s="146">
        <f>IF(SER_hh_fech!I27=0,0,SER_hh_fech!I27/SER_summary!I$26)</f>
        <v>0.29679395044268647</v>
      </c>
      <c r="J27" s="146">
        <f>IF(SER_hh_fech!J27=0,0,SER_hh_fech!J27/SER_summary!J$26)</f>
        <v>0.36321224864248691</v>
      </c>
      <c r="K27" s="146">
        <f>IF(SER_hh_fech!K27=0,0,SER_hh_fech!K27/SER_summary!K$26)</f>
        <v>0.41539084674726495</v>
      </c>
      <c r="L27" s="146">
        <f>IF(SER_hh_fech!L27=0,0,SER_hh_fech!L27/SER_summary!L$26)</f>
        <v>0.46317148863838609</v>
      </c>
      <c r="M27" s="146">
        <f>IF(SER_hh_fech!M27=0,0,SER_hh_fech!M27/SER_summary!M$26)</f>
        <v>0.53500416128339434</v>
      </c>
      <c r="N27" s="146">
        <f>IF(SER_hh_fech!N27=0,0,SER_hh_fech!N27/SER_summary!N$26)</f>
        <v>0.63965541681553628</v>
      </c>
      <c r="O27" s="146">
        <f>IF(SER_hh_fech!O27=0,0,SER_hh_fech!O27/SER_summary!O$26)</f>
        <v>0.73199974374233534</v>
      </c>
      <c r="P27" s="146">
        <f>IF(SER_hh_fech!P27=0,0,SER_hh_fech!P27/SER_summary!P$26)</f>
        <v>0.80755621670552091</v>
      </c>
      <c r="Q27" s="146">
        <f>IF(SER_hh_fech!Q27=0,0,SER_hh_fech!Q27/SER_summary!Q$26)</f>
        <v>0.868707158261944</v>
      </c>
      <c r="R27" s="146">
        <f>IF(SER_hh_fech!R27=0,0,SER_hh_fech!R27/SER_summary!R$26)</f>
        <v>0.95984213413581743</v>
      </c>
      <c r="S27" s="146">
        <f>IF(SER_hh_fech!S27=0,0,SER_hh_fech!S27/SER_summary!S$26)</f>
        <v>1.0601943525088495</v>
      </c>
      <c r="T27" s="146">
        <f>IF(SER_hh_fech!T27=0,0,SER_hh_fech!T27/SER_summary!T$26)</f>
        <v>1.1366193946340593</v>
      </c>
      <c r="U27" s="146">
        <f>IF(SER_hh_fech!U27=0,0,SER_hh_fech!U27/SER_summary!U$26)</f>
        <v>1.2465315831512138</v>
      </c>
      <c r="V27" s="146">
        <f>IF(SER_hh_fech!V27=0,0,SER_hh_fech!V27/SER_summary!V$26)</f>
        <v>1.3049467522779585</v>
      </c>
      <c r="W27" s="146">
        <f>IF(SER_hh_fech!W27=0,0,SER_hh_fech!W27/SER_summary!W$26)</f>
        <v>1.3487374479720207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9.861310880940275</v>
      </c>
      <c r="C28" s="147">
        <f>IF(SER_hh_fech!C28=0,0,SER_hh_fech!C28/SER_summary!C$26)</f>
        <v>10.204979954327269</v>
      </c>
      <c r="D28" s="147">
        <f>IF(SER_hh_fech!D28=0,0,SER_hh_fech!D28/SER_summary!D$26)</f>
        <v>10.170492198171587</v>
      </c>
      <c r="E28" s="147">
        <f>IF(SER_hh_fech!E28=0,0,SER_hh_fech!E28/SER_summary!E$26)</f>
        <v>10.800847084703245</v>
      </c>
      <c r="F28" s="147">
        <f>IF(SER_hh_fech!F28=0,0,SER_hh_fech!F28/SER_summary!F$26)</f>
        <v>10.639743679340876</v>
      </c>
      <c r="G28" s="147">
        <f>IF(SER_hh_fech!G28=0,0,SER_hh_fech!G28/SER_summary!G$26)</f>
        <v>10.775372038783031</v>
      </c>
      <c r="H28" s="147">
        <f>IF(SER_hh_fech!H28=0,0,SER_hh_fech!H28/SER_summary!H$26)</f>
        <v>10.535056725954735</v>
      </c>
      <c r="I28" s="147">
        <f>IF(SER_hh_fech!I28=0,0,SER_hh_fech!I28/SER_summary!I$26)</f>
        <v>10.563013076897533</v>
      </c>
      <c r="J28" s="147">
        <f>IF(SER_hh_fech!J28=0,0,SER_hh_fech!J28/SER_summary!J$26)</f>
        <v>10.734197458762072</v>
      </c>
      <c r="K28" s="147">
        <f>IF(SER_hh_fech!K28=0,0,SER_hh_fech!K28/SER_summary!K$26)</f>
        <v>11.102687373131081</v>
      </c>
      <c r="L28" s="147">
        <f>IF(SER_hh_fech!L28=0,0,SER_hh_fech!L28/SER_summary!L$26)</f>
        <v>11.214108875227037</v>
      </c>
      <c r="M28" s="147">
        <f>IF(SER_hh_fech!M28=0,0,SER_hh_fech!M28/SER_summary!M$26)</f>
        <v>11.0396180379103</v>
      </c>
      <c r="N28" s="147">
        <f>IF(SER_hh_fech!N28=0,0,SER_hh_fech!N28/SER_summary!N$26)</f>
        <v>11.421377267650573</v>
      </c>
      <c r="O28" s="147">
        <f>IF(SER_hh_fech!O28=0,0,SER_hh_fech!O28/SER_summary!O$26)</f>
        <v>11.894822931899961</v>
      </c>
      <c r="P28" s="147">
        <f>IF(SER_hh_fech!P28=0,0,SER_hh_fech!P28/SER_summary!P$26)</f>
        <v>11.628223750085573</v>
      </c>
      <c r="Q28" s="147">
        <f>IF(SER_hh_fech!Q28=0,0,SER_hh_fech!Q28/SER_summary!Q$26)</f>
        <v>11.196842400365032</v>
      </c>
      <c r="R28" s="147">
        <f>IF(SER_hh_fech!R28=0,0,SER_hh_fech!R28/SER_summary!R$26)</f>
        <v>11.500357704768055</v>
      </c>
      <c r="S28" s="147">
        <f>IF(SER_hh_fech!S28=0,0,SER_hh_fech!S28/SER_summary!S$26)</f>
        <v>11.787674889752672</v>
      </c>
      <c r="T28" s="147">
        <f>IF(SER_hh_fech!T28=0,0,SER_hh_fech!T28/SER_summary!T$26)</f>
        <v>11.775187232224662</v>
      </c>
      <c r="U28" s="147">
        <f>IF(SER_hh_fech!U28=0,0,SER_hh_fech!U28/SER_summary!U$26)</f>
        <v>11.760004497670197</v>
      </c>
      <c r="V28" s="147">
        <f>IF(SER_hh_fech!V28=0,0,SER_hh_fech!V28/SER_summary!V$26)</f>
        <v>11.617766391526089</v>
      </c>
      <c r="W28" s="147">
        <f>IF(SER_hh_fech!W28=0,0,SER_hh_fech!W28/SER_summary!W$26)</f>
        <v>11.647462420292252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23.058627105732185</v>
      </c>
      <c r="C29" s="131">
        <f>IF(SER_hh_fech!C29=0,0,SER_hh_fech!C29/SER_summary!C$26)</f>
        <v>24.032193005821533</v>
      </c>
      <c r="D29" s="131">
        <f>IF(SER_hh_fech!D29=0,0,SER_hh_fech!D29/SER_summary!D$26)</f>
        <v>24.104179390318389</v>
      </c>
      <c r="E29" s="131">
        <f>IF(SER_hh_fech!E29=0,0,SER_hh_fech!E29/SER_summary!E$26)</f>
        <v>23.491659974762996</v>
      </c>
      <c r="F29" s="131">
        <f>IF(SER_hh_fech!F29=0,0,SER_hh_fech!F29/SER_summary!F$26)</f>
        <v>23.966360961971404</v>
      </c>
      <c r="G29" s="131">
        <f>IF(SER_hh_fech!G29=0,0,SER_hh_fech!G29/SER_summary!G$26)</f>
        <v>24.090263632806575</v>
      </c>
      <c r="H29" s="131">
        <f>IF(SER_hh_fech!H29=0,0,SER_hh_fech!H29/SER_summary!H$26)</f>
        <v>24.395063636359154</v>
      </c>
      <c r="I29" s="131">
        <f>IF(SER_hh_fech!I29=0,0,SER_hh_fech!I29/SER_summary!I$26)</f>
        <v>24.61545684260912</v>
      </c>
      <c r="J29" s="131">
        <f>IF(SER_hh_fech!J29=0,0,SER_hh_fech!J29/SER_summary!J$26)</f>
        <v>25.419226919868382</v>
      </c>
      <c r="K29" s="131">
        <f>IF(SER_hh_fech!K29=0,0,SER_hh_fech!K29/SER_summary!K$26)</f>
        <v>26.595958782157705</v>
      </c>
      <c r="L29" s="131">
        <f>IF(SER_hh_fech!L29=0,0,SER_hh_fech!L29/SER_summary!L$26)</f>
        <v>27.008277177866567</v>
      </c>
      <c r="M29" s="131">
        <f>IF(SER_hh_fech!M29=0,0,SER_hh_fech!M29/SER_summary!M$26)</f>
        <v>26.86177057335032</v>
      </c>
      <c r="N29" s="131">
        <f>IF(SER_hh_fech!N29=0,0,SER_hh_fech!N29/SER_summary!N$26)</f>
        <v>27.820812473736812</v>
      </c>
      <c r="O29" s="131">
        <f>IF(SER_hh_fech!O29=0,0,SER_hh_fech!O29/SER_summary!O$26)</f>
        <v>28.27426300477725</v>
      </c>
      <c r="P29" s="131">
        <f>IF(SER_hh_fech!P29=0,0,SER_hh_fech!P29/SER_summary!P$26)</f>
        <v>28.613102209411618</v>
      </c>
      <c r="Q29" s="131">
        <f>IF(SER_hh_fech!Q29=0,0,SER_hh_fech!Q29/SER_summary!Q$26)</f>
        <v>28.459972113882785</v>
      </c>
      <c r="R29" s="131">
        <f>IF(SER_hh_fech!R29=0,0,SER_hh_fech!R29/SER_summary!R$26)</f>
        <v>29.169379546710481</v>
      </c>
      <c r="S29" s="131">
        <f>IF(SER_hh_fech!S29=0,0,SER_hh_fech!S29/SER_summary!S$26)</f>
        <v>29.486616249662145</v>
      </c>
      <c r="T29" s="131">
        <f>IF(SER_hh_fech!T29=0,0,SER_hh_fech!T29/SER_summary!T$26)</f>
        <v>29.674492973676735</v>
      </c>
      <c r="U29" s="131">
        <f>IF(SER_hh_fech!U29=0,0,SER_hh_fech!U29/SER_summary!U$26)</f>
        <v>29.933146344183402</v>
      </c>
      <c r="V29" s="131">
        <f>IF(SER_hh_fech!V29=0,0,SER_hh_fech!V29/SER_summary!V$26)</f>
        <v>25.773645273898541</v>
      </c>
      <c r="W29" s="131">
        <f>IF(SER_hh_fech!W29=0,0,SER_hh_fech!W29/SER_summary!W$26)</f>
        <v>29.664274278623896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18.549098155934711</v>
      </c>
      <c r="C30" s="133">
        <f>IF(SER_hh_fech!C30=0,0,SER_hh_fech!C30/SER_summary!C$26)</f>
        <v>36.402437037065717</v>
      </c>
      <c r="D30" s="133">
        <f>IF(SER_hh_fech!D30=0,0,SER_hh_fech!D30/SER_summary!D$26)</f>
        <v>28.606434858057213</v>
      </c>
      <c r="E30" s="133">
        <f>IF(SER_hh_fech!E30=0,0,SER_hh_fech!E30/SER_summary!E$26)</f>
        <v>29.640258667896866</v>
      </c>
      <c r="F30" s="133">
        <f>IF(SER_hh_fech!F30=0,0,SER_hh_fech!F30/SER_summary!F$26)</f>
        <v>31.836877702186911</v>
      </c>
      <c r="G30" s="133">
        <f>IF(SER_hh_fech!G30=0,0,SER_hh_fech!G30/SER_summary!G$26)</f>
        <v>29.034683402135919</v>
      </c>
      <c r="H30" s="133">
        <f>IF(SER_hh_fech!H30=0,0,SER_hh_fech!H30/SER_summary!H$26)</f>
        <v>31.69782264151366</v>
      </c>
      <c r="I30" s="133">
        <f>IF(SER_hh_fech!I30=0,0,SER_hh_fech!I30/SER_summary!I$26)</f>
        <v>29.62041597541468</v>
      </c>
      <c r="J30" s="133">
        <f>IF(SER_hh_fech!J30=0,0,SER_hh_fech!J30/SER_summary!J$26)</f>
        <v>30.418557292097876</v>
      </c>
      <c r="K30" s="133">
        <f>IF(SER_hh_fech!K30=0,0,SER_hh_fech!K30/SER_summary!K$26)</f>
        <v>35.769786726309633</v>
      </c>
      <c r="L30" s="133">
        <f>IF(SER_hh_fech!L30=0,0,SER_hh_fech!L30/SER_summary!L$26)</f>
        <v>38.809635489721266</v>
      </c>
      <c r="M30" s="133">
        <f>IF(SER_hh_fech!M30=0,0,SER_hh_fech!M30/SER_summary!M$26)</f>
        <v>34.151533033686633</v>
      </c>
      <c r="N30" s="133">
        <f>IF(SER_hh_fech!N30=0,0,SER_hh_fech!N30/SER_summary!N$26)</f>
        <v>34.304483786829984</v>
      </c>
      <c r="O30" s="133">
        <f>IF(SER_hh_fech!O30=0,0,SER_hh_fech!O30/SER_summary!O$26)</f>
        <v>35.287985560589895</v>
      </c>
      <c r="P30" s="133">
        <f>IF(SER_hh_fech!P30=0,0,SER_hh_fech!P30/SER_summary!P$26)</f>
        <v>35.407605017408997</v>
      </c>
      <c r="Q30" s="133">
        <f>IF(SER_hh_fech!Q30=0,0,SER_hh_fech!Q30/SER_summary!Q$26)</f>
        <v>35.070921828685655</v>
      </c>
      <c r="R30" s="133">
        <f>IF(SER_hh_fech!R30=0,0,SER_hh_fech!R30/SER_summary!R$26)</f>
        <v>39.229189773227993</v>
      </c>
      <c r="S30" s="133">
        <f>IF(SER_hh_fech!S30=0,0,SER_hh_fech!S30/SER_summary!S$26)</f>
        <v>36.963656557600018</v>
      </c>
      <c r="T30" s="133">
        <f>IF(SER_hh_fech!T30=0,0,SER_hh_fech!T30/SER_summary!T$26)</f>
        <v>36.428696597484958</v>
      </c>
      <c r="U30" s="133">
        <f>IF(SER_hh_fech!U30=0,0,SER_hh_fech!U30/SER_summary!U$26)</f>
        <v>39.678472678496284</v>
      </c>
      <c r="V30" s="133">
        <f>IF(SER_hh_fech!V30=0,0,SER_hh_fech!V30/SER_summary!V$26)</f>
        <v>32.464645455230965</v>
      </c>
      <c r="W30" s="133">
        <f>IF(SER_hh_fech!W30=0,0,SER_hh_fech!W30/SER_summary!W$26)</f>
        <v>39.069448962349163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28.816991646968209</v>
      </c>
      <c r="C31" s="133">
        <f>IF(SER_hh_fech!C31=0,0,SER_hh_fech!C31/SER_summary!C$26)</f>
        <v>29.853423470378395</v>
      </c>
      <c r="D31" s="133">
        <f>IF(SER_hh_fech!D31=0,0,SER_hh_fech!D31/SER_summary!D$26)</f>
        <v>29.955335832250409</v>
      </c>
      <c r="E31" s="133">
        <f>IF(SER_hh_fech!E31=0,0,SER_hh_fech!E31/SER_summary!E$26)</f>
        <v>29.667627333586108</v>
      </c>
      <c r="F31" s="133">
        <f>IF(SER_hh_fech!F31=0,0,SER_hh_fech!F31/SER_summary!F$26)</f>
        <v>29.444223525459613</v>
      </c>
      <c r="G31" s="133">
        <f>IF(SER_hh_fech!G31=0,0,SER_hh_fech!G31/SER_summary!G$26)</f>
        <v>30.270473795287273</v>
      </c>
      <c r="H31" s="133">
        <f>IF(SER_hh_fech!H31=0,0,SER_hh_fech!H31/SER_summary!H$26)</f>
        <v>30.135562181970194</v>
      </c>
      <c r="I31" s="133">
        <f>IF(SER_hh_fech!I31=0,0,SER_hh_fech!I31/SER_summary!I$26)</f>
        <v>30.961208510332174</v>
      </c>
      <c r="J31" s="133">
        <f>IF(SER_hh_fech!J31=0,0,SER_hh_fech!J31/SER_summary!J$26)</f>
        <v>32.168864883409988</v>
      </c>
      <c r="K31" s="133">
        <f>IF(SER_hh_fech!K31=0,0,SER_hh_fech!K31/SER_summary!K$26)</f>
        <v>32.93596535009609</v>
      </c>
      <c r="L31" s="133">
        <f>IF(SER_hh_fech!L31=0,0,SER_hh_fech!L31/SER_summary!L$26)</f>
        <v>32.890955740367829</v>
      </c>
      <c r="M31" s="133">
        <f>IF(SER_hh_fech!M31=0,0,SER_hh_fech!M31/SER_summary!M$26)</f>
        <v>33.683811349476329</v>
      </c>
      <c r="N31" s="133">
        <f>IF(SER_hh_fech!N31=0,0,SER_hh_fech!N31/SER_summary!N$26)</f>
        <v>35.052882419531777</v>
      </c>
      <c r="O31" s="133">
        <f>IF(SER_hh_fech!O31=0,0,SER_hh_fech!O31/SER_summary!O$26)</f>
        <v>34.811671407505862</v>
      </c>
      <c r="P31" s="133">
        <f>IF(SER_hh_fech!P31=0,0,SER_hh_fech!P31/SER_summary!P$26)</f>
        <v>34.945499592515695</v>
      </c>
      <c r="Q31" s="133">
        <f>IF(SER_hh_fech!Q31=0,0,SER_hh_fech!Q31/SER_summary!Q$26)</f>
        <v>36.197511971130695</v>
      </c>
      <c r="R31" s="133">
        <f>IF(SER_hh_fech!R31=0,0,SER_hh_fech!R31/SER_summary!R$26)</f>
        <v>36.451699912413595</v>
      </c>
      <c r="S31" s="133">
        <f>IF(SER_hh_fech!S31=0,0,SER_hh_fech!S31/SER_summary!S$26)</f>
        <v>37.896956474233846</v>
      </c>
      <c r="T31" s="133">
        <f>IF(SER_hh_fech!T31=0,0,SER_hh_fech!T31/SER_summary!T$26)</f>
        <v>38.210616290239059</v>
      </c>
      <c r="U31" s="133">
        <f>IF(SER_hh_fech!U31=0,0,SER_hh_fech!U31/SER_summary!U$26)</f>
        <v>37.382855096724974</v>
      </c>
      <c r="V31" s="133">
        <f>IF(SER_hh_fech!V31=0,0,SER_hh_fech!V31/SER_summary!V$26)</f>
        <v>33.316729342108765</v>
      </c>
      <c r="W31" s="133">
        <f>IF(SER_hh_fech!W31=0,0,SER_hh_fech!W31/SER_summary!W$26)</f>
        <v>38.037190075212244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49.579093875982352</v>
      </c>
      <c r="L32" s="133">
        <f>IF(SER_hh_fech!L32=0,0,SER_hh_fech!L32/SER_summary!L$26)</f>
        <v>39.388104167883661</v>
      </c>
      <c r="M32" s="133">
        <f>IF(SER_hh_fech!M32=0,0,SER_hh_fech!M32/SER_summary!M$26)</f>
        <v>33.16794541754102</v>
      </c>
      <c r="N32" s="133">
        <f>IF(SER_hh_fech!N32=0,0,SER_hh_fech!N32/SER_summary!N$26)</f>
        <v>35.327571017996142</v>
      </c>
      <c r="O32" s="133">
        <f>IF(SER_hh_fech!O32=0,0,SER_hh_fech!O32/SER_summary!O$26)</f>
        <v>35.961528051772525</v>
      </c>
      <c r="P32" s="133">
        <f>IF(SER_hh_fech!P32=0,0,SER_hh_fech!P32/SER_summary!P$26)</f>
        <v>34.02874625801735</v>
      </c>
      <c r="Q32" s="133">
        <f>IF(SER_hh_fech!Q32=0,0,SER_hh_fech!Q32/SER_summary!Q$26)</f>
        <v>33.902657779473785</v>
      </c>
      <c r="R32" s="133">
        <f>IF(SER_hh_fech!R32=0,0,SER_hh_fech!R32/SER_summary!R$26)</f>
        <v>32.92042385163726</v>
      </c>
      <c r="S32" s="133">
        <f>IF(SER_hh_fech!S32=0,0,SER_hh_fech!S32/SER_summary!S$26)</f>
        <v>34.402476646242583</v>
      </c>
      <c r="T32" s="133">
        <f>IF(SER_hh_fech!T32=0,0,SER_hh_fech!T32/SER_summary!T$26)</f>
        <v>41.528115448385037</v>
      </c>
      <c r="U32" s="133">
        <f>IF(SER_hh_fech!U32=0,0,SER_hh_fech!U32/SER_summary!U$26)</f>
        <v>43.387647452475939</v>
      </c>
      <c r="V32" s="133">
        <f>IF(SER_hh_fech!V32=0,0,SER_hh_fech!V32/SER_summary!V$26)</f>
        <v>34.760245988656756</v>
      </c>
      <c r="W32" s="133">
        <f>IF(SER_hh_fech!W32=0,0,SER_hh_fech!W32/SER_summary!W$26)</f>
        <v>36.212471193324944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22.542078419204405</v>
      </c>
      <c r="C33" s="68">
        <f>IF(SER_hh_fech!C33=0,0,SER_hh_fech!C33/SER_summary!C$26)</f>
        <v>22.589490693065152</v>
      </c>
      <c r="D33" s="68">
        <f>IF(SER_hh_fech!D33=0,0,SER_hh_fech!D33/SER_summary!D$26)</f>
        <v>23.09948188861426</v>
      </c>
      <c r="E33" s="68">
        <f>IF(SER_hh_fech!E33=0,0,SER_hh_fech!E33/SER_summary!E$26)</f>
        <v>22.306987009090342</v>
      </c>
      <c r="F33" s="68">
        <f>IF(SER_hh_fech!F33=0,0,SER_hh_fech!F33/SER_summary!F$26)</f>
        <v>22.706498658702994</v>
      </c>
      <c r="G33" s="68">
        <f>IF(SER_hh_fech!G33=0,0,SER_hh_fech!G33/SER_summary!G$26)</f>
        <v>22.991125491213189</v>
      </c>
      <c r="H33" s="68">
        <f>IF(SER_hh_fech!H33=0,0,SER_hh_fech!H33/SER_summary!H$26)</f>
        <v>23.169353261995411</v>
      </c>
      <c r="I33" s="68">
        <f>IF(SER_hh_fech!I33=0,0,SER_hh_fech!I33/SER_summary!I$26)</f>
        <v>23.537134667716</v>
      </c>
      <c r="J33" s="68">
        <f>IF(SER_hh_fech!J33=0,0,SER_hh_fech!J33/SER_summary!J$26)</f>
        <v>24.267147398429262</v>
      </c>
      <c r="K33" s="68">
        <f>IF(SER_hh_fech!K33=0,0,SER_hh_fech!K33/SER_summary!K$26)</f>
        <v>24.945578638467662</v>
      </c>
      <c r="L33" s="68">
        <f>IF(SER_hh_fech!L33=0,0,SER_hh_fech!L33/SER_summary!L$26)</f>
        <v>25.173910521447553</v>
      </c>
      <c r="M33" s="68">
        <f>IF(SER_hh_fech!M33=0,0,SER_hh_fech!M33/SER_summary!M$26)</f>
        <v>25.388091309345374</v>
      </c>
      <c r="N33" s="68">
        <f>IF(SER_hh_fech!N33=0,0,SER_hh_fech!N33/SER_summary!N$26)</f>
        <v>26.34167395540381</v>
      </c>
      <c r="O33" s="68">
        <f>IF(SER_hh_fech!O33=0,0,SER_hh_fech!O33/SER_summary!O$26)</f>
        <v>26.835457421386383</v>
      </c>
      <c r="P33" s="68">
        <f>IF(SER_hh_fech!P33=0,0,SER_hh_fech!P33/SER_summary!P$26)</f>
        <v>27.264737153671312</v>
      </c>
      <c r="Q33" s="68">
        <f>IF(SER_hh_fech!Q33=0,0,SER_hh_fech!Q33/SER_summary!Q$26)</f>
        <v>26.969827916303547</v>
      </c>
      <c r="R33" s="68">
        <f>IF(SER_hh_fech!R33=0,0,SER_hh_fech!R33/SER_summary!R$26)</f>
        <v>27.411264054029388</v>
      </c>
      <c r="S33" s="68">
        <f>IF(SER_hh_fech!S33=0,0,SER_hh_fech!S33/SER_summary!S$26)</f>
        <v>27.782285499895639</v>
      </c>
      <c r="T33" s="68">
        <f>IF(SER_hh_fech!T33=0,0,SER_hh_fech!T33/SER_summary!T$26)</f>
        <v>27.95316980282464</v>
      </c>
      <c r="U33" s="68">
        <f>IF(SER_hh_fech!U33=0,0,SER_hh_fech!U33/SER_summary!U$26)</f>
        <v>28.08483188607569</v>
      </c>
      <c r="V33" s="68">
        <f>IF(SER_hh_fech!V33=0,0,SER_hh_fech!V33/SER_summary!V$26)</f>
        <v>24.202426567208143</v>
      </c>
      <c r="W33" s="68">
        <f>IF(SER_hh_fech!W33=0,0,SER_hh_fech!W33/SER_summary!W$26)</f>
        <v>27.793381440118374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98.987771235649461</v>
      </c>
      <c r="C3" s="126">
        <f>IF(SER_hh_tesh!C3=0,0,SER_hh_tesh!C3/SER_summary!C$26)</f>
        <v>110.80784446740694</v>
      </c>
      <c r="D3" s="126">
        <f>IF(SER_hh_tesh!D3=0,0,SER_hh_tesh!D3/SER_summary!D$26)</f>
        <v>112.19798683846354</v>
      </c>
      <c r="E3" s="126">
        <f>IF(SER_hh_tesh!E3=0,0,SER_hh_tesh!E3/SER_summary!E$26)</f>
        <v>117.85219275462241</v>
      </c>
      <c r="F3" s="126">
        <f>IF(SER_hh_tesh!F3=0,0,SER_hh_tesh!F3/SER_summary!F$26)</f>
        <v>114.21532004483308</v>
      </c>
      <c r="G3" s="126">
        <f>IF(SER_hh_tesh!G3=0,0,SER_hh_tesh!G3/SER_summary!G$26)</f>
        <v>116.89643950317617</v>
      </c>
      <c r="H3" s="126">
        <f>IF(SER_hh_tesh!H3=0,0,SER_hh_tesh!H3/SER_summary!H$26)</f>
        <v>110.89310483715899</v>
      </c>
      <c r="I3" s="126">
        <f>IF(SER_hh_tesh!I3=0,0,SER_hh_tesh!I3/SER_summary!I$26)</f>
        <v>105.28932699632855</v>
      </c>
      <c r="J3" s="126">
        <f>IF(SER_hh_tesh!J3=0,0,SER_hh_tesh!J3/SER_summary!J$26)</f>
        <v>113.13273747447423</v>
      </c>
      <c r="K3" s="126">
        <f>IF(SER_hh_tesh!K3=0,0,SER_hh_tesh!K3/SER_summary!K$26)</f>
        <v>112.71170785083277</v>
      </c>
      <c r="L3" s="126">
        <f>IF(SER_hh_tesh!L3=0,0,SER_hh_tesh!L3/SER_summary!L$26)</f>
        <v>120.99391644123044</v>
      </c>
      <c r="M3" s="126">
        <f>IF(SER_hh_tesh!M3=0,0,SER_hh_tesh!M3/SER_summary!M$26)</f>
        <v>119.68231939170499</v>
      </c>
      <c r="N3" s="126">
        <f>IF(SER_hh_tesh!N3=0,0,SER_hh_tesh!N3/SER_summary!N$26)</f>
        <v>121.64155979205728</v>
      </c>
      <c r="O3" s="126">
        <f>IF(SER_hh_tesh!O3=0,0,SER_hh_tesh!O3/SER_summary!O$26)</f>
        <v>114.75824479675828</v>
      </c>
      <c r="P3" s="126">
        <f>IF(SER_hh_tesh!P3=0,0,SER_hh_tesh!P3/SER_summary!P$26)</f>
        <v>100.03709206566866</v>
      </c>
      <c r="Q3" s="126">
        <f>IF(SER_hh_tesh!Q3=0,0,SER_hh_tesh!Q3/SER_summary!Q$26)</f>
        <v>114.7773244319738</v>
      </c>
      <c r="R3" s="126">
        <f>IF(SER_hh_tesh!R3=0,0,SER_hh_tesh!R3/SER_summary!R$26)</f>
        <v>114.47938536484105</v>
      </c>
      <c r="S3" s="126">
        <f>IF(SER_hh_tesh!S3=0,0,SER_hh_tesh!S3/SER_summary!S$26)</f>
        <v>126.97506219169453</v>
      </c>
      <c r="T3" s="126">
        <f>IF(SER_hh_tesh!T3=0,0,SER_hh_tesh!T3/SER_summary!T$26)</f>
        <v>127.4125743363419</v>
      </c>
      <c r="U3" s="126">
        <f>IF(SER_hh_tesh!U3=0,0,SER_hh_tesh!U3/SER_summary!U$26)</f>
        <v>131.07404514613617</v>
      </c>
      <c r="V3" s="126">
        <f>IF(SER_hh_tesh!V3=0,0,SER_hh_tesh!V3/SER_summary!V$26)</f>
        <v>117.27840968134345</v>
      </c>
      <c r="W3" s="126">
        <f>IF(SER_hh_tesh!W3=0,0,SER_hh_tesh!W3/SER_summary!W$26)</f>
        <v>137.81423362020763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63.007254640763286</v>
      </c>
      <c r="C4" s="131">
        <f>IF(SER_hh_tesh!C4=0,0,SER_hh_tesh!C4/SER_summary!C$26)</f>
        <v>74.05579804553625</v>
      </c>
      <c r="D4" s="131">
        <f>IF(SER_hh_tesh!D4=0,0,SER_hh_tesh!D4/SER_summary!D$26)</f>
        <v>74.765453913891989</v>
      </c>
      <c r="E4" s="131">
        <f>IF(SER_hh_tesh!E4=0,0,SER_hh_tesh!E4/SER_summary!E$26)</f>
        <v>75.248834718589421</v>
      </c>
      <c r="F4" s="131">
        <f>IF(SER_hh_tesh!F4=0,0,SER_hh_tesh!F4/SER_summary!F$26)</f>
        <v>75.591865930329348</v>
      </c>
      <c r="G4" s="131">
        <f>IF(SER_hh_tesh!G4=0,0,SER_hh_tesh!G4/SER_summary!G$26)</f>
        <v>77.315089514738773</v>
      </c>
      <c r="H4" s="131">
        <f>IF(SER_hh_tesh!H4=0,0,SER_hh_tesh!H4/SER_summary!H$26)</f>
        <v>69.730729443636662</v>
      </c>
      <c r="I4" s="131">
        <f>IF(SER_hh_tesh!I4=0,0,SER_hh_tesh!I4/SER_summary!I$26)</f>
        <v>62.619566171633885</v>
      </c>
      <c r="J4" s="131">
        <f>IF(SER_hh_tesh!J4=0,0,SER_hh_tesh!J4/SER_summary!J$26)</f>
        <v>68.917568594664615</v>
      </c>
      <c r="K4" s="131">
        <f>IF(SER_hh_tesh!K4=0,0,SER_hh_tesh!K4/SER_summary!K$26)</f>
        <v>67.349530604868789</v>
      </c>
      <c r="L4" s="131">
        <f>IF(SER_hh_tesh!L4=0,0,SER_hh_tesh!L4/SER_summary!L$26)</f>
        <v>74.409720369407452</v>
      </c>
      <c r="M4" s="131">
        <f>IF(SER_hh_tesh!M4=0,0,SER_hh_tesh!M4/SER_summary!M$26)</f>
        <v>71.767607855203735</v>
      </c>
      <c r="N4" s="131">
        <f>IF(SER_hh_tesh!N4=0,0,SER_hh_tesh!N4/SER_summary!N$26)</f>
        <v>66.097276002439187</v>
      </c>
      <c r="O4" s="131">
        <f>IF(SER_hh_tesh!O4=0,0,SER_hh_tesh!O4/SER_summary!O$26)</f>
        <v>64.381500005800447</v>
      </c>
      <c r="P4" s="131">
        <f>IF(SER_hh_tesh!P4=0,0,SER_hh_tesh!P4/SER_summary!P$26)</f>
        <v>51.758793448150236</v>
      </c>
      <c r="Q4" s="131">
        <f>IF(SER_hh_tesh!Q4=0,0,SER_hh_tesh!Q4/SER_summary!Q$26)</f>
        <v>59.959824848120924</v>
      </c>
      <c r="R4" s="131">
        <f>IF(SER_hh_tesh!R4=0,0,SER_hh_tesh!R4/SER_summary!R$26)</f>
        <v>64.288126998819351</v>
      </c>
      <c r="S4" s="131">
        <f>IF(SER_hh_tesh!S4=0,0,SER_hh_tesh!S4/SER_summary!S$26)</f>
        <v>70.949283752012292</v>
      </c>
      <c r="T4" s="131">
        <f>IF(SER_hh_tesh!T4=0,0,SER_hh_tesh!T4/SER_summary!T$26)</f>
        <v>75.200112341128118</v>
      </c>
      <c r="U4" s="131">
        <f>IF(SER_hh_tesh!U4=0,0,SER_hh_tesh!U4/SER_summary!U$26)</f>
        <v>75.720475883363761</v>
      </c>
      <c r="V4" s="131">
        <f>IF(SER_hh_tesh!V4=0,0,SER_hh_tesh!V4/SER_summary!V$26)</f>
        <v>69.368065175242421</v>
      </c>
      <c r="W4" s="131">
        <f>IF(SER_hh_tesh!W4=0,0,SER_hh_tesh!W4/SER_summary!W$26)</f>
        <v>81.815877457739958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70.874728275264673</v>
      </c>
      <c r="C5" s="133">
        <f>IF(SER_hh_tesh!C5=0,0,SER_hh_tesh!C5/SER_summary!C$26)</f>
        <v>55.27644087580871</v>
      </c>
      <c r="D5" s="133">
        <f>IF(SER_hh_tesh!D5=0,0,SER_hh_tesh!D5/SER_summary!D$26)</f>
        <v>76.591107494210846</v>
      </c>
      <c r="E5" s="133">
        <f>IF(SER_hh_tesh!E5=0,0,SER_hh_tesh!E5/SER_summary!E$26)</f>
        <v>103.81803875093644</v>
      </c>
      <c r="F5" s="133">
        <f>IF(SER_hh_tesh!F5=0,0,SER_hh_tesh!F5/SER_summary!F$26)</f>
        <v>65.0814178770853</v>
      </c>
      <c r="G5" s="133">
        <f>IF(SER_hh_tesh!G5=0,0,SER_hh_tesh!G5/SER_summary!G$26)</f>
        <v>15.296886085504852</v>
      </c>
      <c r="H5" s="133">
        <f>IF(SER_hh_tesh!H5=0,0,SER_hh_tesh!H5/SER_summary!H$26)</f>
        <v>92.478813973519294</v>
      </c>
      <c r="I5" s="133">
        <f>IF(SER_hh_tesh!I5=0,0,SER_hh_tesh!I5/SER_summary!I$26)</f>
        <v>50.707921164075181</v>
      </c>
      <c r="J5" s="133">
        <f>IF(SER_hh_tesh!J5=0,0,SER_hh_tesh!J5/SER_summary!J$26)</f>
        <v>76.940337314989549</v>
      </c>
      <c r="K5" s="133">
        <f>IF(SER_hh_tesh!K5=0,0,SER_hh_tesh!K5/SER_summary!K$26)</f>
        <v>73.245266001932123</v>
      </c>
      <c r="L5" s="133">
        <f>IF(SER_hh_tesh!L5=0,0,SER_hh_tesh!L5/SER_summary!L$26)</f>
        <v>45.306027523345371</v>
      </c>
      <c r="M5" s="133">
        <f>IF(SER_hh_tesh!M5=0,0,SER_hh_tesh!M5/SER_summary!M$26)</f>
        <v>97.822676262370919</v>
      </c>
      <c r="N5" s="133">
        <f>IF(SER_hh_tesh!N5=0,0,SER_hh_tesh!N5/SER_summary!N$26)</f>
        <v>101.18187634522261</v>
      </c>
      <c r="O5" s="133">
        <f>IF(SER_hh_tesh!O5=0,0,SER_hh_tesh!O5/SER_summary!O$26)</f>
        <v>18.183207110753003</v>
      </c>
      <c r="P5" s="133">
        <f>IF(SER_hh_tesh!P5=0,0,SER_hh_tesh!P5/SER_summary!P$26)</f>
        <v>17.611305460874739</v>
      </c>
      <c r="Q5" s="133">
        <f>IF(SER_hh_tesh!Q5=0,0,SER_hh_tesh!Q5/SER_summary!Q$26)</f>
        <v>33.426920631435614</v>
      </c>
      <c r="R5" s="133">
        <f>IF(SER_hh_tesh!R5=0,0,SER_hh_tesh!R5/SER_summary!R$26)</f>
        <v>43.129156446996802</v>
      </c>
      <c r="S5" s="133">
        <f>IF(SER_hh_tesh!S5=0,0,SER_hh_tesh!S5/SER_summary!S$26)</f>
        <v>124.15549816424071</v>
      </c>
      <c r="T5" s="133">
        <f>IF(SER_hh_tesh!T5=0,0,SER_hh_tesh!T5/SER_summary!T$26)</f>
        <v>65.605726697380049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65.538643563793471</v>
      </c>
      <c r="C7" s="133">
        <f>IF(SER_hh_tesh!C7=0,0,SER_hh_tesh!C7/SER_summary!C$26)</f>
        <v>69.499780393612909</v>
      </c>
      <c r="D7" s="133">
        <f>IF(SER_hh_tesh!D7=0,0,SER_hh_tesh!D7/SER_summary!D$26)</f>
        <v>76.72462235799216</v>
      </c>
      <c r="E7" s="133">
        <f>IF(SER_hh_tesh!E7=0,0,SER_hh_tesh!E7/SER_summary!E$26)</f>
        <v>75.448019707957073</v>
      </c>
      <c r="F7" s="133">
        <f>IF(SER_hh_tesh!F7=0,0,SER_hh_tesh!F7/SER_summary!F$26)</f>
        <v>77.343591432160892</v>
      </c>
      <c r="G7" s="133">
        <f>IF(SER_hh_tesh!G7=0,0,SER_hh_tesh!G7/SER_summary!G$26)</f>
        <v>74.962606218927547</v>
      </c>
      <c r="H7" s="133">
        <f>IF(SER_hh_tesh!H7=0,0,SER_hh_tesh!H7/SER_summary!H$26)</f>
        <v>69.662796657145776</v>
      </c>
      <c r="I7" s="133">
        <f>IF(SER_hh_tesh!I7=0,0,SER_hh_tesh!I7/SER_summary!I$26)</f>
        <v>61.782894768959629</v>
      </c>
      <c r="J7" s="133">
        <f>IF(SER_hh_tesh!J7=0,0,SER_hh_tesh!J7/SER_summary!J$26)</f>
        <v>64.714798758584479</v>
      </c>
      <c r="K7" s="133">
        <f>IF(SER_hh_tesh!K7=0,0,SER_hh_tesh!K7/SER_summary!K$26)</f>
        <v>67.511026500585203</v>
      </c>
      <c r="L7" s="133">
        <f>IF(SER_hh_tesh!L7=0,0,SER_hh_tesh!L7/SER_summary!L$26)</f>
        <v>71.465938752032855</v>
      </c>
      <c r="M7" s="133">
        <f>IF(SER_hh_tesh!M7=0,0,SER_hh_tesh!M7/SER_summary!M$26)</f>
        <v>72.330230187792495</v>
      </c>
      <c r="N7" s="133">
        <f>IF(SER_hh_tesh!N7=0,0,SER_hh_tesh!N7/SER_summary!N$26)</f>
        <v>64.877915349796382</v>
      </c>
      <c r="O7" s="133">
        <f>IF(SER_hh_tesh!O7=0,0,SER_hh_tesh!O7/SER_summary!O$26)</f>
        <v>59.879514306641127</v>
      </c>
      <c r="P7" s="133">
        <f>IF(SER_hh_tesh!P7=0,0,SER_hh_tesh!P7/SER_summary!P$26)</f>
        <v>47.117809168366136</v>
      </c>
      <c r="Q7" s="133">
        <f>IF(SER_hh_tesh!Q7=0,0,SER_hh_tesh!Q7/SER_summary!Q$26)</f>
        <v>63.556774867734816</v>
      </c>
      <c r="R7" s="133">
        <f>IF(SER_hh_tesh!R7=0,0,SER_hh_tesh!R7/SER_summary!R$26)</f>
        <v>65.875015836939838</v>
      </c>
      <c r="S7" s="133">
        <f>IF(SER_hh_tesh!S7=0,0,SER_hh_tesh!S7/SER_summary!S$26)</f>
        <v>73.59812653078653</v>
      </c>
      <c r="T7" s="133">
        <f>IF(SER_hh_tesh!T7=0,0,SER_hh_tesh!T7/SER_summary!T$26)</f>
        <v>74.336319767828712</v>
      </c>
      <c r="U7" s="133">
        <f>IF(SER_hh_tesh!U7=0,0,SER_hh_tesh!U7/SER_summary!U$26)</f>
        <v>62.925178793798402</v>
      </c>
      <c r="V7" s="133">
        <f>IF(SER_hh_tesh!V7=0,0,SER_hh_tesh!V7/SER_summary!V$26)</f>
        <v>75.48461185386428</v>
      </c>
      <c r="W7" s="133">
        <f>IF(SER_hh_tesh!W7=0,0,SER_hh_tesh!W7/SER_summary!W$26)</f>
        <v>71.21823197543867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56.214030709486565</v>
      </c>
      <c r="C9" s="133">
        <f>IF(SER_hh_tesh!C9=0,0,SER_hh_tesh!C9/SER_summary!C$26)</f>
        <v>79.530790432070347</v>
      </c>
      <c r="D9" s="133">
        <f>IF(SER_hh_tesh!D9=0,0,SER_hh_tesh!D9/SER_summary!D$26)</f>
        <v>70.257306077777628</v>
      </c>
      <c r="E9" s="133">
        <f>IF(SER_hh_tesh!E9=0,0,SER_hh_tesh!E9/SER_summary!E$26)</f>
        <v>72.3307507773536</v>
      </c>
      <c r="F9" s="133">
        <f>IF(SER_hh_tesh!F9=0,0,SER_hh_tesh!F9/SER_summary!F$26)</f>
        <v>73.31943237439495</v>
      </c>
      <c r="G9" s="133">
        <f>IF(SER_hh_tesh!G9=0,0,SER_hh_tesh!G9/SER_summary!G$26)</f>
        <v>75.914721471252136</v>
      </c>
      <c r="H9" s="133">
        <f>IF(SER_hh_tesh!H9=0,0,SER_hh_tesh!H9/SER_summary!H$26)</f>
        <v>68.78606442770463</v>
      </c>
      <c r="I9" s="133">
        <f>IF(SER_hh_tesh!I9=0,0,SER_hh_tesh!I9/SER_summary!I$26)</f>
        <v>62.71832294564998</v>
      </c>
      <c r="J9" s="133">
        <f>IF(SER_hh_tesh!J9=0,0,SER_hh_tesh!J9/SER_summary!J$26)</f>
        <v>66.504925598070514</v>
      </c>
      <c r="K9" s="133">
        <f>IF(SER_hh_tesh!K9=0,0,SER_hh_tesh!K9/SER_summary!K$26)</f>
        <v>65.753336616556936</v>
      </c>
      <c r="L9" s="133">
        <f>IF(SER_hh_tesh!L9=0,0,SER_hh_tesh!L9/SER_summary!L$26)</f>
        <v>78.916568663143195</v>
      </c>
      <c r="M9" s="133">
        <f>IF(SER_hh_tesh!M9=0,0,SER_hh_tesh!M9/SER_summary!M$26)</f>
        <v>69.057763194498335</v>
      </c>
      <c r="N9" s="133">
        <f>IF(SER_hh_tesh!N9=0,0,SER_hh_tesh!N9/SER_summary!N$26)</f>
        <v>61.550033172368771</v>
      </c>
      <c r="O9" s="133">
        <f>IF(SER_hh_tesh!O9=0,0,SER_hh_tesh!O9/SER_summary!O$26)</f>
        <v>59.694090951323503</v>
      </c>
      <c r="P9" s="133">
        <f>IF(SER_hh_tesh!P9=0,0,SER_hh_tesh!P9/SER_summary!P$26)</f>
        <v>50.604629648947416</v>
      </c>
      <c r="Q9" s="133">
        <f>IF(SER_hh_tesh!Q9=0,0,SER_hh_tesh!Q9/SER_summary!Q$26)</f>
        <v>61.619707500533856</v>
      </c>
      <c r="R9" s="133">
        <f>IF(SER_hh_tesh!R9=0,0,SER_hh_tesh!R9/SER_summary!R$26)</f>
        <v>64.8043781352455</v>
      </c>
      <c r="S9" s="133">
        <f>IF(SER_hh_tesh!S9=0,0,SER_hh_tesh!S9/SER_summary!S$26)</f>
        <v>68.885414772755595</v>
      </c>
      <c r="T9" s="133">
        <f>IF(SER_hh_tesh!T9=0,0,SER_hh_tesh!T9/SER_summary!T$26)</f>
        <v>72.833531473977487</v>
      </c>
      <c r="U9" s="133">
        <f>IF(SER_hh_tesh!U9=0,0,SER_hh_tesh!U9/SER_summary!U$26)</f>
        <v>74.469302504738465</v>
      </c>
      <c r="V9" s="133">
        <f>IF(SER_hh_tesh!V9=0,0,SER_hh_tesh!V9/SER_summary!V$26)</f>
        <v>68.427215782364584</v>
      </c>
      <c r="W9" s="133">
        <f>IF(SER_hh_tesh!W9=0,0,SER_hh_tesh!W9/SER_summary!W$26)</f>
        <v>81.357344880835583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91.214241561202201</v>
      </c>
      <c r="J10" s="133">
        <f>IF(SER_hh_tesh!J10=0,0,SER_hh_tesh!J10/SER_summary!J$26)</f>
        <v>65.591504399251917</v>
      </c>
      <c r="K10" s="133">
        <f>IF(SER_hh_tesh!K10=0,0,SER_hh_tesh!K10/SER_summary!K$26)</f>
        <v>74.571993912316614</v>
      </c>
      <c r="L10" s="133">
        <f>IF(SER_hh_tesh!L10=0,0,SER_hh_tesh!L10/SER_summary!L$26)</f>
        <v>64.840697788794557</v>
      </c>
      <c r="M10" s="133">
        <f>IF(SER_hh_tesh!M10=0,0,SER_hh_tesh!M10/SER_summary!M$26)</f>
        <v>77.278245607276929</v>
      </c>
      <c r="N10" s="133">
        <f>IF(SER_hh_tesh!N10=0,0,SER_hh_tesh!N10/SER_summary!N$26)</f>
        <v>60.427332677175649</v>
      </c>
      <c r="O10" s="133">
        <f>IF(SER_hh_tesh!O10=0,0,SER_hh_tesh!O10/SER_summary!O$26)</f>
        <v>52.450019880096022</v>
      </c>
      <c r="P10" s="133">
        <f>IF(SER_hh_tesh!P10=0,0,SER_hh_tesh!P10/SER_summary!P$26)</f>
        <v>54.126992554042879</v>
      </c>
      <c r="Q10" s="133">
        <f>IF(SER_hh_tesh!Q10=0,0,SER_hh_tesh!Q10/SER_summary!Q$26)</f>
        <v>58.83940108809297</v>
      </c>
      <c r="R10" s="133">
        <f>IF(SER_hh_tesh!R10=0,0,SER_hh_tesh!R10/SER_summary!R$26)</f>
        <v>64.973411748651316</v>
      </c>
      <c r="S10" s="133">
        <f>IF(SER_hh_tesh!S10=0,0,SER_hh_tesh!S10/SER_summary!S$26)</f>
        <v>68.868899190984322</v>
      </c>
      <c r="T10" s="133">
        <f>IF(SER_hh_tesh!T10=0,0,SER_hh_tesh!T10/SER_summary!T$26)</f>
        <v>71.069008472798032</v>
      </c>
      <c r="U10" s="133">
        <f>IF(SER_hh_tesh!U10=0,0,SER_hh_tesh!U10/SER_summary!U$26)</f>
        <v>76.763342744007289</v>
      </c>
      <c r="V10" s="133">
        <f>IF(SER_hh_tesh!V10=0,0,SER_hh_tesh!V10/SER_summary!V$26)</f>
        <v>75.348352403191782</v>
      </c>
      <c r="W10" s="133">
        <f>IF(SER_hh_tesh!W10=0,0,SER_hh_tesh!W10/SER_summary!W$26)</f>
        <v>70.887161373407196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94.212077968787511</v>
      </c>
      <c r="J11" s="133">
        <f>IF(SER_hh_tesh!J11=0,0,SER_hh_tesh!J11/SER_summary!J$26)</f>
        <v>66.666183405690717</v>
      </c>
      <c r="K11" s="133">
        <f>IF(SER_hh_tesh!K11=0,0,SER_hh_tesh!K11/SER_summary!K$26)</f>
        <v>51.243726490157272</v>
      </c>
      <c r="L11" s="133">
        <f>IF(SER_hh_tesh!L11=0,0,SER_hh_tesh!L11/SER_summary!L$26)</f>
        <v>84.47028759439948</v>
      </c>
      <c r="M11" s="133">
        <f>IF(SER_hh_tesh!M11=0,0,SER_hh_tesh!M11/SER_summary!M$26)</f>
        <v>73.552734176683543</v>
      </c>
      <c r="N11" s="133">
        <f>IF(SER_hh_tesh!N11=0,0,SER_hh_tesh!N11/SER_summary!N$26)</f>
        <v>70.17776376083809</v>
      </c>
      <c r="O11" s="133">
        <f>IF(SER_hh_tesh!O11=0,0,SER_hh_tesh!O11/SER_summary!O$26)</f>
        <v>71.284767672624326</v>
      </c>
      <c r="P11" s="133">
        <f>IF(SER_hh_tesh!P11=0,0,SER_hh_tesh!P11/SER_summary!P$26)</f>
        <v>43.707383627234925</v>
      </c>
      <c r="Q11" s="133">
        <f>IF(SER_hh_tesh!Q11=0,0,SER_hh_tesh!Q11/SER_summary!Q$26)</f>
        <v>61.243398184751648</v>
      </c>
      <c r="R11" s="133">
        <f>IF(SER_hh_tesh!R11=0,0,SER_hh_tesh!R11/SER_summary!R$26)</f>
        <v>68.578488004744599</v>
      </c>
      <c r="S11" s="133">
        <f>IF(SER_hh_tesh!S11=0,0,SER_hh_tesh!S11/SER_summary!S$26)</f>
        <v>68.490014345187063</v>
      </c>
      <c r="T11" s="133">
        <f>IF(SER_hh_tesh!T11=0,0,SER_hh_tesh!T11/SER_summary!T$26)</f>
        <v>70.639975323554594</v>
      </c>
      <c r="U11" s="133">
        <f>IF(SER_hh_tesh!U11=0,0,SER_hh_tesh!U11/SER_summary!U$26)</f>
        <v>73.563258122860745</v>
      </c>
      <c r="V11" s="133">
        <f>IF(SER_hh_tesh!V11=0,0,SER_hh_tesh!V11/SER_summary!V$26)</f>
        <v>74.937583494633643</v>
      </c>
      <c r="W11" s="133">
        <f>IF(SER_hh_tesh!W11=0,0,SER_hh_tesh!W11/SER_summary!W$26)</f>
        <v>73.09932595026244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63.498272982321247</v>
      </c>
      <c r="C12" s="133">
        <f>IF(SER_hh_tesh!C12=0,0,SER_hh_tesh!C12/SER_summary!C$26)</f>
        <v>73.582952962386642</v>
      </c>
      <c r="D12" s="133">
        <f>IF(SER_hh_tesh!D12=0,0,SER_hh_tesh!D12/SER_summary!D$26)</f>
        <v>70.943075327198173</v>
      </c>
      <c r="E12" s="133">
        <f>IF(SER_hh_tesh!E12=0,0,SER_hh_tesh!E12/SER_summary!E$26)</f>
        <v>77.759809170770481</v>
      </c>
      <c r="F12" s="133">
        <f>IF(SER_hh_tesh!F12=0,0,SER_hh_tesh!F12/SER_summary!F$26)</f>
        <v>74.850296371874919</v>
      </c>
      <c r="G12" s="133">
        <f>IF(SER_hh_tesh!G12=0,0,SER_hh_tesh!G12/SER_summary!G$26)</f>
        <v>78.838098496901566</v>
      </c>
      <c r="H12" s="133">
        <f>IF(SER_hh_tesh!H12=0,0,SER_hh_tesh!H12/SER_summary!H$26)</f>
        <v>67.774905451598102</v>
      </c>
      <c r="I12" s="133">
        <f>IF(SER_hh_tesh!I12=0,0,SER_hh_tesh!I12/SER_summary!I$26)</f>
        <v>62.753272080949145</v>
      </c>
      <c r="J12" s="133">
        <f>IF(SER_hh_tesh!J12=0,0,SER_hh_tesh!J12/SER_summary!J$26)</f>
        <v>67.972446738595508</v>
      </c>
      <c r="K12" s="133">
        <f>IF(SER_hh_tesh!K12=0,0,SER_hh_tesh!K12/SER_summary!K$26)</f>
        <v>65.756139228672168</v>
      </c>
      <c r="L12" s="133">
        <f>IF(SER_hh_tesh!L12=0,0,SER_hh_tesh!L12/SER_summary!L$26)</f>
        <v>74.467192921939045</v>
      </c>
      <c r="M12" s="133">
        <f>IF(SER_hh_tesh!M12=0,0,SER_hh_tesh!M12/SER_summary!M$26)</f>
        <v>71.977942101668802</v>
      </c>
      <c r="N12" s="133">
        <f>IF(SER_hh_tesh!N12=0,0,SER_hh_tesh!N12/SER_summary!N$26)</f>
        <v>66.181830395954904</v>
      </c>
      <c r="O12" s="133">
        <f>IF(SER_hh_tesh!O12=0,0,SER_hh_tesh!O12/SER_summary!O$26)</f>
        <v>67.279898691865142</v>
      </c>
      <c r="P12" s="133">
        <f>IF(SER_hh_tesh!P12=0,0,SER_hh_tesh!P12/SER_summary!P$26)</f>
        <v>51.08397565011245</v>
      </c>
      <c r="Q12" s="133">
        <f>IF(SER_hh_tesh!Q12=0,0,SER_hh_tesh!Q12/SER_summary!Q$26)</f>
        <v>59.584484780595716</v>
      </c>
      <c r="R12" s="133">
        <f>IF(SER_hh_tesh!R12=0,0,SER_hh_tesh!R12/SER_summary!R$26)</f>
        <v>66.518881543382307</v>
      </c>
      <c r="S12" s="133">
        <f>IF(SER_hh_tesh!S12=0,0,SER_hh_tesh!S12/SER_summary!S$26)</f>
        <v>70.143190974620893</v>
      </c>
      <c r="T12" s="133">
        <f>IF(SER_hh_tesh!T12=0,0,SER_hh_tesh!T12/SER_summary!T$26)</f>
        <v>69.958537195992292</v>
      </c>
      <c r="U12" s="133">
        <f>IF(SER_hh_tesh!U12=0,0,SER_hh_tesh!U12/SER_summary!U$26)</f>
        <v>69.644386543098662</v>
      </c>
      <c r="V12" s="133">
        <f>IF(SER_hh_tesh!V12=0,0,SER_hh_tesh!V12/SER_summary!V$26)</f>
        <v>72.116162895852511</v>
      </c>
      <c r="W12" s="133">
        <f>IF(SER_hh_tesh!W12=0,0,SER_hh_tesh!W12/SER_summary!W$26)</f>
        <v>81.764072680678368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60.864393816138993</v>
      </c>
      <c r="C14" s="65">
        <f>IF(SER_hh_tesh!C14=0,0,SER_hh_tesh!C14/SER_summary!C$26)</f>
        <v>73.388382337759836</v>
      </c>
      <c r="D14" s="65">
        <f>IF(SER_hh_tesh!D14=0,0,SER_hh_tesh!D14/SER_summary!D$26)</f>
        <v>75.752691351332544</v>
      </c>
      <c r="E14" s="65">
        <f>IF(SER_hh_tesh!E14=0,0,SER_hh_tesh!E14/SER_summary!E$26)</f>
        <v>70.713643270766369</v>
      </c>
      <c r="F14" s="65">
        <f>IF(SER_hh_tesh!F14=0,0,SER_hh_tesh!F14/SER_summary!F$26)</f>
        <v>73.225574047095606</v>
      </c>
      <c r="G14" s="65">
        <f>IF(SER_hh_tesh!G14=0,0,SER_hh_tesh!G14/SER_summary!G$26)</f>
        <v>77.744021022142817</v>
      </c>
      <c r="H14" s="65">
        <f>IF(SER_hh_tesh!H14=0,0,SER_hh_tesh!H14/SER_summary!H$26)</f>
        <v>69.396332156999492</v>
      </c>
      <c r="I14" s="65">
        <f>IF(SER_hh_tesh!I14=0,0,SER_hh_tesh!I14/SER_summary!I$26)</f>
        <v>60.489911309773014</v>
      </c>
      <c r="J14" s="65">
        <f>IF(SER_hh_tesh!J14=0,0,SER_hh_tesh!J14/SER_summary!J$26)</f>
        <v>71.551855991286345</v>
      </c>
      <c r="K14" s="65">
        <f>IF(SER_hh_tesh!K14=0,0,SER_hh_tesh!K14/SER_summary!K$26)</f>
        <v>68.2310496269656</v>
      </c>
      <c r="L14" s="65">
        <f>IF(SER_hh_tesh!L14=0,0,SER_hh_tesh!L14/SER_summary!L$26)</f>
        <v>70.381750628466961</v>
      </c>
      <c r="M14" s="65">
        <f>IF(SER_hh_tesh!M14=0,0,SER_hh_tesh!M14/SER_summary!M$26)</f>
        <v>71.518060847939012</v>
      </c>
      <c r="N14" s="65">
        <f>IF(SER_hh_tesh!N14=0,0,SER_hh_tesh!N14/SER_summary!N$26)</f>
        <v>68.095971931070366</v>
      </c>
      <c r="O14" s="65">
        <f>IF(SER_hh_tesh!O14=0,0,SER_hh_tesh!O14/SER_summary!O$26)</f>
        <v>66.840995101879713</v>
      </c>
      <c r="P14" s="65">
        <f>IF(SER_hh_tesh!P14=0,0,SER_hh_tesh!P14/SER_summary!P$26)</f>
        <v>53.942163786755991</v>
      </c>
      <c r="Q14" s="65">
        <f>IF(SER_hh_tesh!Q14=0,0,SER_hh_tesh!Q14/SER_summary!Q$26)</f>
        <v>55.505491595417489</v>
      </c>
      <c r="R14" s="65">
        <f>IF(SER_hh_tesh!R14=0,0,SER_hh_tesh!R14/SER_summary!R$26)</f>
        <v>60.234683926210913</v>
      </c>
      <c r="S14" s="65">
        <f>IF(SER_hh_tesh!S14=0,0,SER_hh_tesh!S14/SER_summary!S$26)</f>
        <v>71.459223528093375</v>
      </c>
      <c r="T14" s="65">
        <f>IF(SER_hh_tesh!T14=0,0,SER_hh_tesh!T14/SER_summary!T$26)</f>
        <v>78.491766591402993</v>
      </c>
      <c r="U14" s="65">
        <f>IF(SER_hh_tesh!U14=0,0,SER_hh_tesh!U14/SER_summary!U$26)</f>
        <v>79.343307165966706</v>
      </c>
      <c r="V14" s="65">
        <f>IF(SER_hh_tesh!V14=0,0,SER_hh_tesh!V14/SER_summary!V$26)</f>
        <v>66.642452380625784</v>
      </c>
      <c r="W14" s="65">
        <f>IF(SER_hh_tesh!W14=0,0,SER_hh_tesh!W14/SER_summary!W$26)</f>
        <v>82.672131208536754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0.95248422900871865</v>
      </c>
      <c r="C15" s="135">
        <f>IF(SER_hh_tesh!C15=0,0,SER_hh_tesh!C15/SER_summary!C$26)</f>
        <v>1.1126591825540284</v>
      </c>
      <c r="D15" s="135">
        <f>IF(SER_hh_tesh!D15=0,0,SER_hh_tesh!D15/SER_summary!D$26)</f>
        <v>1.1067347359394328</v>
      </c>
      <c r="E15" s="135">
        <f>IF(SER_hh_tesh!E15=0,0,SER_hh_tesh!E15/SER_summary!E$26)</f>
        <v>1.1002974605172329</v>
      </c>
      <c r="F15" s="135">
        <f>IF(SER_hh_tesh!F15=0,0,SER_hh_tesh!F15/SER_summary!F$26)</f>
        <v>1.092842310113624</v>
      </c>
      <c r="G15" s="135">
        <f>IF(SER_hh_tesh!G15=0,0,SER_hh_tesh!G15/SER_summary!G$26)</f>
        <v>1.0714409864150909</v>
      </c>
      <c r="H15" s="135">
        <f>IF(SER_hh_tesh!H15=0,0,SER_hh_tesh!H15/SER_summary!H$26)</f>
        <v>0.96713911061681612</v>
      </c>
      <c r="I15" s="135">
        <f>IF(SER_hh_tesh!I15=0,0,SER_hh_tesh!I15/SER_summary!I$26)</f>
        <v>0.84789937532737336</v>
      </c>
      <c r="J15" s="135">
        <f>IF(SER_hh_tesh!J15=0,0,SER_hh_tesh!J15/SER_summary!J$26)</f>
        <v>0.87440134345540832</v>
      </c>
      <c r="K15" s="135">
        <f>IF(SER_hh_tesh!K15=0,0,SER_hh_tesh!K15/SER_summary!K$26)</f>
        <v>0.85774329426004958</v>
      </c>
      <c r="L15" s="135">
        <f>IF(SER_hh_tesh!L15=0,0,SER_hh_tesh!L15/SER_summary!L$26)</f>
        <v>0.95782598280297926</v>
      </c>
      <c r="M15" s="135">
        <f>IF(SER_hh_tesh!M15=0,0,SER_hh_tesh!M15/SER_summary!M$26)</f>
        <v>0.86217317582688591</v>
      </c>
      <c r="N15" s="135">
        <f>IF(SER_hh_tesh!N15=0,0,SER_hh_tesh!N15/SER_summary!N$26)</f>
        <v>0.75679560979426774</v>
      </c>
      <c r="O15" s="135">
        <f>IF(SER_hh_tesh!O15=0,0,SER_hh_tesh!O15/SER_summary!O$26)</f>
        <v>0.72574947128789447</v>
      </c>
      <c r="P15" s="135">
        <f>IF(SER_hh_tesh!P15=0,0,SER_hh_tesh!P15/SER_summary!P$26)</f>
        <v>0.60992421801345897</v>
      </c>
      <c r="Q15" s="135">
        <f>IF(SER_hh_tesh!Q15=0,0,SER_hh_tesh!Q15/SER_summary!Q$26)</f>
        <v>0.77419950897021461</v>
      </c>
      <c r="R15" s="135">
        <f>IF(SER_hh_tesh!R15=0,0,SER_hh_tesh!R15/SER_summary!R$26)</f>
        <v>0.82330514242668984</v>
      </c>
      <c r="S15" s="135">
        <f>IF(SER_hh_tesh!S15=0,0,SER_hh_tesh!S15/SER_summary!S$26)</f>
        <v>0.88736793463999086</v>
      </c>
      <c r="T15" s="135">
        <f>IF(SER_hh_tesh!T15=0,0,SER_hh_tesh!T15/SER_summary!T$26)</f>
        <v>0.93052320740104533</v>
      </c>
      <c r="U15" s="135">
        <f>IF(SER_hh_tesh!U15=0,0,SER_hh_tesh!U15/SER_summary!U$26)</f>
        <v>0.93168160365313424</v>
      </c>
      <c r="V15" s="135">
        <f>IF(SER_hh_tesh!V15=0,0,SER_hh_tesh!V15/SER_summary!V$26)</f>
        <v>0.87915545875463497</v>
      </c>
      <c r="W15" s="135">
        <f>IF(SER_hh_tesh!W15=0,0,SER_hh_tesh!W15/SER_summary!W$26)</f>
        <v>1.0114871577580962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26.095846129174561</v>
      </c>
      <c r="C16" s="131">
        <f>IF(SER_hh_tesh!C16=0,0,SER_hh_tesh!C16/SER_summary!C$26)</f>
        <v>24.651141860034691</v>
      </c>
      <c r="D16" s="131">
        <f>IF(SER_hh_tesh!D16=0,0,SER_hh_tesh!D16/SER_summary!D$26)</f>
        <v>23.751639326653539</v>
      </c>
      <c r="E16" s="131">
        <f>IF(SER_hh_tesh!E16=0,0,SER_hh_tesh!E16/SER_summary!E$26)</f>
        <v>45.337924053859865</v>
      </c>
      <c r="F16" s="131">
        <f>IF(SER_hh_tesh!F16=0,0,SER_hh_tesh!F16/SER_summary!F$26)</f>
        <v>23.294387551170903</v>
      </c>
      <c r="G16" s="131">
        <f>IF(SER_hh_tesh!G16=0,0,SER_hh_tesh!G16/SER_summary!G$26)</f>
        <v>23.465093210533954</v>
      </c>
      <c r="H16" s="131">
        <f>IF(SER_hh_tesh!H16=0,0,SER_hh_tesh!H16/SER_summary!H$26)</f>
        <v>26.551370800907929</v>
      </c>
      <c r="I16" s="131">
        <f>IF(SER_hh_tesh!I16=0,0,SER_hh_tesh!I16/SER_summary!I$26)</f>
        <v>27.535832062634306</v>
      </c>
      <c r="J16" s="131">
        <f>IF(SER_hh_tesh!J16=0,0,SER_hh_tesh!J16/SER_summary!J$26)</f>
        <v>26.758681275980098</v>
      </c>
      <c r="K16" s="131">
        <f>IF(SER_hh_tesh!K16=0,0,SER_hh_tesh!K16/SER_summary!K$26)</f>
        <v>25.695325674840163</v>
      </c>
      <c r="L16" s="131">
        <f>IF(SER_hh_tesh!L16=0,0,SER_hh_tesh!L16/SER_summary!L$26)</f>
        <v>26.189519770826934</v>
      </c>
      <c r="M16" s="131">
        <f>IF(SER_hh_tesh!M16=0,0,SER_hh_tesh!M16/SER_summary!M$26)</f>
        <v>28.330092611798932</v>
      </c>
      <c r="N16" s="131">
        <f>IF(SER_hh_tesh!N16=0,0,SER_hh_tesh!N16/SER_summary!N$26)</f>
        <v>42.000906457473185</v>
      </c>
      <c r="O16" s="131">
        <f>IF(SER_hh_tesh!O16=0,0,SER_hh_tesh!O16/SER_summary!O$26)</f>
        <v>28.303219622979778</v>
      </c>
      <c r="P16" s="131">
        <f>IF(SER_hh_tesh!P16=0,0,SER_hh_tesh!P16/SER_summary!P$26)</f>
        <v>23.293912420027624</v>
      </c>
      <c r="Q16" s="131">
        <f>IF(SER_hh_tesh!Q16=0,0,SER_hh_tesh!Q16/SER_summary!Q$26)</f>
        <v>38.117147171203086</v>
      </c>
      <c r="R16" s="131">
        <f>IF(SER_hh_tesh!R16=0,0,SER_hh_tesh!R16/SER_summary!R$26)</f>
        <v>26.404864117838244</v>
      </c>
      <c r="S16" s="131">
        <f>IF(SER_hh_tesh!S16=0,0,SER_hh_tesh!S16/SER_summary!S$26)</f>
        <v>38.387581860193713</v>
      </c>
      <c r="T16" s="131">
        <f>IF(SER_hh_tesh!T16=0,0,SER_hh_tesh!T16/SER_summary!T$26)</f>
        <v>29.070214286987376</v>
      </c>
      <c r="U16" s="131">
        <f>IF(SER_hh_tesh!U16=0,0,SER_hh_tesh!U16/SER_summary!U$26)</f>
        <v>35.38348316137435</v>
      </c>
      <c r="V16" s="131">
        <f>IF(SER_hh_tesh!V16=0,0,SER_hh_tesh!V16/SER_summary!V$26)</f>
        <v>27.772383587891099</v>
      </c>
      <c r="W16" s="131">
        <f>IF(SER_hh_tesh!W16=0,0,SER_hh_tesh!W16/SER_summary!W$26)</f>
        <v>36.820656440094403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26.095846129174561</v>
      </c>
      <c r="C17" s="133">
        <f>IF(SER_hh_tesh!C17=0,0,SER_hh_tesh!C17/SER_summary!C$26)</f>
        <v>24.651151148129941</v>
      </c>
      <c r="D17" s="133">
        <f>IF(SER_hh_tesh!D17=0,0,SER_hh_tesh!D17/SER_summary!D$26)</f>
        <v>23.751638908612669</v>
      </c>
      <c r="E17" s="133">
        <f>IF(SER_hh_tesh!E17=0,0,SER_hh_tesh!E17/SER_summary!E$26)</f>
        <v>45.337917648637372</v>
      </c>
      <c r="F17" s="133">
        <f>IF(SER_hh_tesh!F17=0,0,SER_hh_tesh!F17/SER_summary!F$26)</f>
        <v>23.294384223321256</v>
      </c>
      <c r="G17" s="133">
        <f>IF(SER_hh_tesh!G17=0,0,SER_hh_tesh!G17/SER_summary!G$26)</f>
        <v>23.465091309868324</v>
      </c>
      <c r="H17" s="133">
        <f>IF(SER_hh_tesh!H17=0,0,SER_hh_tesh!H17/SER_summary!H$26)</f>
        <v>26.551370470707088</v>
      </c>
      <c r="I17" s="133">
        <f>IF(SER_hh_tesh!I17=0,0,SER_hh_tesh!I17/SER_summary!I$26)</f>
        <v>35.256876354930007</v>
      </c>
      <c r="J17" s="133">
        <f>IF(SER_hh_tesh!J17=0,0,SER_hh_tesh!J17/SER_summary!J$26)</f>
        <v>32.5765224425135</v>
      </c>
      <c r="K17" s="133">
        <f>IF(SER_hh_tesh!K17=0,0,SER_hh_tesh!K17/SER_summary!K$26)</f>
        <v>25.695327353946261</v>
      </c>
      <c r="L17" s="133">
        <f>IF(SER_hh_tesh!L17=0,0,SER_hh_tesh!L17/SER_summary!L$26)</f>
        <v>26.18952191811243</v>
      </c>
      <c r="M17" s="133">
        <f>IF(SER_hh_tesh!M17=0,0,SER_hh_tesh!M17/SER_summary!M$26)</f>
        <v>28.330095207090771</v>
      </c>
      <c r="N17" s="133">
        <f>IF(SER_hh_tesh!N17=0,0,SER_hh_tesh!N17/SER_summary!N$26)</f>
        <v>36.24912322298642</v>
      </c>
      <c r="O17" s="133">
        <f>IF(SER_hh_tesh!O17=0,0,SER_hh_tesh!O17/SER_summary!O$26)</f>
        <v>28.301110669311587</v>
      </c>
      <c r="P17" s="133">
        <f>IF(SER_hh_tesh!P17=0,0,SER_hh_tesh!P17/SER_summary!P$26)</f>
        <v>23.292403058626242</v>
      </c>
      <c r="Q17" s="133">
        <f>IF(SER_hh_tesh!Q17=0,0,SER_hh_tesh!Q17/SER_summary!Q$26)</f>
        <v>39.298209894138459</v>
      </c>
      <c r="R17" s="133">
        <f>IF(SER_hh_tesh!R17=0,0,SER_hh_tesh!R17/SER_summary!R$26)</f>
        <v>26.4089528083204</v>
      </c>
      <c r="S17" s="133">
        <f>IF(SER_hh_tesh!S17=0,0,SER_hh_tesh!S17/SER_summary!S$26)</f>
        <v>38.393357769764414</v>
      </c>
      <c r="T17" s="133">
        <f>IF(SER_hh_tesh!T17=0,0,SER_hh_tesh!T17/SER_summary!T$26)</f>
        <v>29.074335764527827</v>
      </c>
      <c r="U17" s="133">
        <f>IF(SER_hh_tesh!U17=0,0,SER_hh_tesh!U17/SER_summary!U$26)</f>
        <v>35.388233404641603</v>
      </c>
      <c r="V17" s="133">
        <f>IF(SER_hh_tesh!V17=0,0,SER_hh_tesh!V17/SER_summary!V$26)</f>
        <v>27.776036781053627</v>
      </c>
      <c r="W17" s="133">
        <f>IF(SER_hh_tesh!W17=0,0,SER_hh_tesh!W17/SER_summary!W$26)</f>
        <v>36.825080499797942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26.095846129174564</v>
      </c>
      <c r="C18" s="133">
        <f>IF(SER_hh_tesh!C18=0,0,SER_hh_tesh!C18/SER_summary!C$26)</f>
        <v>24.65114184907727</v>
      </c>
      <c r="D18" s="133">
        <f>IF(SER_hh_tesh!D18=0,0,SER_hh_tesh!D18/SER_summary!D$26)</f>
        <v>23.751639327193548</v>
      </c>
      <c r="E18" s="133">
        <f>IF(SER_hh_tesh!E18=0,0,SER_hh_tesh!E18/SER_summary!E$26)</f>
        <v>45.337924062866541</v>
      </c>
      <c r="F18" s="133">
        <f>IF(SER_hh_tesh!F18=0,0,SER_hh_tesh!F18/SER_summary!F$26)</f>
        <v>23.294387556054186</v>
      </c>
      <c r="G18" s="133">
        <f>IF(SER_hh_tesh!G18=0,0,SER_hh_tesh!G18/SER_summary!G$26)</f>
        <v>23.465093213405197</v>
      </c>
      <c r="H18" s="133">
        <f>IF(SER_hh_tesh!H18=0,0,SER_hh_tesh!H18/SER_summary!H$26)</f>
        <v>26.55137080141683</v>
      </c>
      <c r="I18" s="133">
        <f>IF(SER_hh_tesh!I18=0,0,SER_hh_tesh!I18/SER_summary!I$26)</f>
        <v>27.524587448424569</v>
      </c>
      <c r="J18" s="133">
        <f>IF(SER_hh_tesh!J18=0,0,SER_hh_tesh!J18/SER_summary!J$26)</f>
        <v>26.750521561369524</v>
      </c>
      <c r="K18" s="133">
        <f>IF(SER_hh_tesh!K18=0,0,SER_hh_tesh!K18/SER_summary!K$26)</f>
        <v>25.695325672386875</v>
      </c>
      <c r="L18" s="133">
        <f>IF(SER_hh_tesh!L18=0,0,SER_hh_tesh!L18/SER_summary!L$26)</f>
        <v>26.189519767404629</v>
      </c>
      <c r="M18" s="133">
        <f>IF(SER_hh_tesh!M18=0,0,SER_hh_tesh!M18/SER_summary!M$26)</f>
        <v>28.330092607370812</v>
      </c>
      <c r="N18" s="133">
        <f>IF(SER_hh_tesh!N18=0,0,SER_hh_tesh!N18/SER_summary!N$26)</f>
        <v>42.011637631738182</v>
      </c>
      <c r="O18" s="133">
        <f>IF(SER_hh_tesh!O18=0,0,SER_hh_tesh!O18/SER_summary!O$26)</f>
        <v>28.303224076350812</v>
      </c>
      <c r="P18" s="133">
        <f>IF(SER_hh_tesh!P18=0,0,SER_hh_tesh!P18/SER_summary!P$26)</f>
        <v>23.293915549409338</v>
      </c>
      <c r="Q18" s="133">
        <f>IF(SER_hh_tesh!Q18=0,0,SER_hh_tesh!Q18/SER_summary!Q$26)</f>
        <v>38.113555595074821</v>
      </c>
      <c r="R18" s="133">
        <f>IF(SER_hh_tesh!R18=0,0,SER_hh_tesh!R18/SER_summary!R$26)</f>
        <v>26.404849651840347</v>
      </c>
      <c r="S18" s="133">
        <f>IF(SER_hh_tesh!S18=0,0,SER_hh_tesh!S18/SER_summary!S$26)</f>
        <v>38.387556980250487</v>
      </c>
      <c r="T18" s="133">
        <f>IF(SER_hh_tesh!T18=0,0,SER_hh_tesh!T18/SER_summary!T$26)</f>
        <v>29.070192194435595</v>
      </c>
      <c r="U18" s="133">
        <f>IF(SER_hh_tesh!U18=0,0,SER_hh_tesh!U18/SER_summary!U$26)</f>
        <v>35.383454302736929</v>
      </c>
      <c r="V18" s="133">
        <f>IF(SER_hh_tesh!V18=0,0,SER_hh_tesh!V18/SER_summary!V$26)</f>
        <v>27.772361868952075</v>
      </c>
      <c r="W18" s="133">
        <f>IF(SER_hh_tesh!W18=0,0,SER_hh_tesh!W18/SER_summary!W$26)</f>
        <v>36.820628783816453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14.136450284255302</v>
      </c>
      <c r="C19" s="131">
        <f>IF(SER_hh_tesh!C19=0,0,SER_hh_tesh!C19/SER_summary!C$26)</f>
        <v>14.300620883316224</v>
      </c>
      <c r="D19" s="131">
        <f>IF(SER_hh_tesh!D19=0,0,SER_hh_tesh!D19/SER_summary!D$26)</f>
        <v>14.587339330720622</v>
      </c>
      <c r="E19" s="131">
        <f>IF(SER_hh_tesh!E19=0,0,SER_hh_tesh!E19/SER_summary!E$26)</f>
        <v>14.555624293310427</v>
      </c>
      <c r="F19" s="131">
        <f>IF(SER_hh_tesh!F19=0,0,SER_hh_tesh!F19/SER_summary!F$26)</f>
        <v>15.004679712563609</v>
      </c>
      <c r="G19" s="131">
        <f>IF(SER_hh_tesh!G19=0,0,SER_hh_tesh!G19/SER_summary!G$26)</f>
        <v>15.173341933304137</v>
      </c>
      <c r="H19" s="131">
        <f>IF(SER_hh_tesh!H19=0,0,SER_hh_tesh!H19/SER_summary!H$26)</f>
        <v>14.874819999006643</v>
      </c>
      <c r="I19" s="131">
        <f>IF(SER_hh_tesh!I19=0,0,SER_hh_tesh!I19/SER_summary!I$26)</f>
        <v>14.809868203406729</v>
      </c>
      <c r="J19" s="131">
        <f>IF(SER_hh_tesh!J19=0,0,SER_hh_tesh!J19/SER_summary!J$26)</f>
        <v>15.135500843381735</v>
      </c>
      <c r="K19" s="131">
        <f>IF(SER_hh_tesh!K19=0,0,SER_hh_tesh!K19/SER_summary!K$26)</f>
        <v>15.272084751070576</v>
      </c>
      <c r="L19" s="131">
        <f>IF(SER_hh_tesh!L19=0,0,SER_hh_tesh!L19/SER_summary!L$26)</f>
        <v>15.474174799993632</v>
      </c>
      <c r="M19" s="131">
        <f>IF(SER_hh_tesh!M19=0,0,SER_hh_tesh!M19/SER_summary!M$26)</f>
        <v>15.511908126970612</v>
      </c>
      <c r="N19" s="131">
        <f>IF(SER_hh_tesh!N19=0,0,SER_hh_tesh!N19/SER_summary!N$26)</f>
        <v>16.002043605286723</v>
      </c>
      <c r="O19" s="131">
        <f>IF(SER_hh_tesh!O19=0,0,SER_hh_tesh!O19/SER_summary!O$26)</f>
        <v>16.421065472714428</v>
      </c>
      <c r="P19" s="131">
        <f>IF(SER_hh_tesh!P19=0,0,SER_hh_tesh!P19/SER_summary!P$26)</f>
        <v>16.306256287553069</v>
      </c>
      <c r="Q19" s="131">
        <f>IF(SER_hh_tesh!Q19=0,0,SER_hh_tesh!Q19/SER_summary!Q$26)</f>
        <v>16.235764484856251</v>
      </c>
      <c r="R19" s="131">
        <f>IF(SER_hh_tesh!R19=0,0,SER_hh_tesh!R19/SER_summary!R$26)</f>
        <v>16.362343086588432</v>
      </c>
      <c r="S19" s="131">
        <f>IF(SER_hh_tesh!S19=0,0,SER_hh_tesh!S19/SER_summary!S$26)</f>
        <v>16.528651398907169</v>
      </c>
      <c r="T19" s="131">
        <f>IF(SER_hh_tesh!T19=0,0,SER_hh_tesh!T19/SER_summary!T$26)</f>
        <v>16.630111234939864</v>
      </c>
      <c r="U19" s="131">
        <f>IF(SER_hh_tesh!U19=0,0,SER_hh_tesh!U19/SER_summary!U$26)</f>
        <v>16.699005572750234</v>
      </c>
      <c r="V19" s="131">
        <f>IF(SER_hh_tesh!V19=0,0,SER_hh_tesh!V19/SER_summary!V$26)</f>
        <v>15.661075865348385</v>
      </c>
      <c r="W19" s="131">
        <f>IF(SER_hh_tesh!W19=0,0,SER_hh_tesh!W19/SER_summary!W$26)</f>
        <v>16.456514457836434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12.941696132040523</v>
      </c>
      <c r="C21" s="133">
        <f>IF(SER_hh_tesh!C21=0,0,SER_hh_tesh!C21/SER_summary!C$26)</f>
        <v>14.528411006492744</v>
      </c>
      <c r="D21" s="133">
        <f>IF(SER_hh_tesh!D21=0,0,SER_hh_tesh!D21/SER_summary!D$26)</f>
        <v>14.809839304101319</v>
      </c>
      <c r="E21" s="133">
        <f>IF(SER_hh_tesh!E21=0,0,SER_hh_tesh!E21/SER_summary!E$26)</f>
        <v>14.615331713615154</v>
      </c>
      <c r="F21" s="133">
        <f>IF(SER_hh_tesh!F21=0,0,SER_hh_tesh!F21/SER_summary!F$26)</f>
        <v>15.055435918336537</v>
      </c>
      <c r="G21" s="133">
        <f>IF(SER_hh_tesh!G21=0,0,SER_hh_tesh!G21/SER_summary!G$26)</f>
        <v>14.859863703735398</v>
      </c>
      <c r="H21" s="133">
        <f>IF(SER_hh_tesh!H21=0,0,SER_hh_tesh!H21/SER_summary!H$26)</f>
        <v>14.842445711144608</v>
      </c>
      <c r="I21" s="133">
        <f>IF(SER_hh_tesh!I21=0,0,SER_hh_tesh!I21/SER_summary!I$26)</f>
        <v>14.578892945036651</v>
      </c>
      <c r="J21" s="133">
        <f>IF(SER_hh_tesh!J21=0,0,SER_hh_tesh!J21/SER_summary!J$26)</f>
        <v>14.928598748475602</v>
      </c>
      <c r="K21" s="133">
        <f>IF(SER_hh_tesh!K21=0,0,SER_hh_tesh!K21/SER_summary!K$26)</f>
        <v>15.539682525265924</v>
      </c>
      <c r="L21" s="133">
        <f>IF(SER_hh_tesh!L21=0,0,SER_hh_tesh!L21/SER_summary!L$26)</f>
        <v>15.500191716141053</v>
      </c>
      <c r="M21" s="133">
        <f>IF(SER_hh_tesh!M21=0,0,SER_hh_tesh!M21/SER_summary!M$26)</f>
        <v>15.548865823269185</v>
      </c>
      <c r="N21" s="133">
        <f>IF(SER_hh_tesh!N21=0,0,SER_hh_tesh!N21/SER_summary!N$26)</f>
        <v>15.780648940888813</v>
      </c>
      <c r="O21" s="133">
        <f>IF(SER_hh_tesh!O21=0,0,SER_hh_tesh!O21/SER_summary!O$26)</f>
        <v>16.071248360357</v>
      </c>
      <c r="P21" s="133">
        <f>IF(SER_hh_tesh!P21=0,0,SER_hh_tesh!P21/SER_summary!P$26)</f>
        <v>16.117377182384075</v>
      </c>
      <c r="Q21" s="133">
        <f>IF(SER_hh_tesh!Q21=0,0,SER_hh_tesh!Q21/SER_summary!Q$26)</f>
        <v>16.343730755953214</v>
      </c>
      <c r="R21" s="133">
        <f>IF(SER_hh_tesh!R21=0,0,SER_hh_tesh!R21/SER_summary!R$26)</f>
        <v>16.46332119385368</v>
      </c>
      <c r="S21" s="133">
        <f>IF(SER_hh_tesh!S21=0,0,SER_hh_tesh!S21/SER_summary!S$26)</f>
        <v>16.258164907224668</v>
      </c>
      <c r="T21" s="133">
        <f>IF(SER_hh_tesh!T21=0,0,SER_hh_tesh!T21/SER_summary!T$26)</f>
        <v>16.525207210842133</v>
      </c>
      <c r="U21" s="133">
        <f>IF(SER_hh_tesh!U21=0,0,SER_hh_tesh!U21/SER_summary!U$26)</f>
        <v>16.251697441405025</v>
      </c>
      <c r="V21" s="133">
        <f>IF(SER_hh_tesh!V21=0,0,SER_hh_tesh!V21/SER_summary!V$26)</f>
        <v>14.336907658959008</v>
      </c>
      <c r="W21" s="133">
        <f>IF(SER_hh_tesh!W21=0,0,SER_hh_tesh!W21/SER_summary!W$26)</f>
        <v>15.762004441109291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13.847365936375704</v>
      </c>
      <c r="C22" s="133">
        <f>IF(SER_hh_tesh!C22=0,0,SER_hh_tesh!C22/SER_summary!C$26)</f>
        <v>14.276750194396627</v>
      </c>
      <c r="D22" s="133">
        <f>IF(SER_hh_tesh!D22=0,0,SER_hh_tesh!D22/SER_summary!D$26)</f>
        <v>14.46959510998418</v>
      </c>
      <c r="E22" s="133">
        <f>IF(SER_hh_tesh!E22=0,0,SER_hh_tesh!E22/SER_summary!E$26)</f>
        <v>14.630931218225262</v>
      </c>
      <c r="F22" s="133">
        <f>IF(SER_hh_tesh!F22=0,0,SER_hh_tesh!F22/SER_summary!F$26)</f>
        <v>14.712071315505536</v>
      </c>
      <c r="G22" s="133">
        <f>IF(SER_hh_tesh!G22=0,0,SER_hh_tesh!G22/SER_summary!G$26)</f>
        <v>15.004918685413299</v>
      </c>
      <c r="H22" s="133">
        <f>IF(SER_hh_tesh!H22=0,0,SER_hh_tesh!H22/SER_summary!H$26)</f>
        <v>14.788857759182351</v>
      </c>
      <c r="I22" s="133">
        <f>IF(SER_hh_tesh!I22=0,0,SER_hh_tesh!I22/SER_summary!I$26)</f>
        <v>15.067264251703088</v>
      </c>
      <c r="J22" s="133">
        <f>IF(SER_hh_tesh!J22=0,0,SER_hh_tesh!J22/SER_summary!J$26)</f>
        <v>15.160359271174457</v>
      </c>
      <c r="K22" s="133">
        <f>IF(SER_hh_tesh!K22=0,0,SER_hh_tesh!K22/SER_summary!K$26)</f>
        <v>15.442914884834893</v>
      </c>
      <c r="L22" s="133">
        <f>IF(SER_hh_tesh!L22=0,0,SER_hh_tesh!L22/SER_summary!L$26)</f>
        <v>15.75411126714592</v>
      </c>
      <c r="M22" s="133">
        <f>IF(SER_hh_tesh!M22=0,0,SER_hh_tesh!M22/SER_summary!M$26)</f>
        <v>15.476645684100319</v>
      </c>
      <c r="N22" s="133">
        <f>IF(SER_hh_tesh!N22=0,0,SER_hh_tesh!N22/SER_summary!N$26)</f>
        <v>15.741145190121706</v>
      </c>
      <c r="O22" s="133">
        <f>IF(SER_hh_tesh!O22=0,0,SER_hh_tesh!O22/SER_summary!O$26)</f>
        <v>16.154127731995434</v>
      </c>
      <c r="P22" s="133">
        <f>IF(SER_hh_tesh!P22=0,0,SER_hh_tesh!P22/SER_summary!P$26)</f>
        <v>16.050321117271505</v>
      </c>
      <c r="Q22" s="133">
        <f>IF(SER_hh_tesh!Q22=0,0,SER_hh_tesh!Q22/SER_summary!Q$26)</f>
        <v>16.012071775339098</v>
      </c>
      <c r="R22" s="133">
        <f>IF(SER_hh_tesh!R22=0,0,SER_hh_tesh!R22/SER_summary!R$26)</f>
        <v>16.142539676663493</v>
      </c>
      <c r="S22" s="133">
        <f>IF(SER_hh_tesh!S22=0,0,SER_hh_tesh!S22/SER_summary!S$26)</f>
        <v>16.239225937440381</v>
      </c>
      <c r="T22" s="133">
        <f>IF(SER_hh_tesh!T22=0,0,SER_hh_tesh!T22/SER_summary!T$26)</f>
        <v>16.242045855669666</v>
      </c>
      <c r="U22" s="133">
        <f>IF(SER_hh_tesh!U22=0,0,SER_hh_tesh!U22/SER_summary!U$26)</f>
        <v>16.724969453512671</v>
      </c>
      <c r="V22" s="133">
        <f>IF(SER_hh_tesh!V22=0,0,SER_hh_tesh!V22/SER_summary!V$26)</f>
        <v>14.974842051285199</v>
      </c>
      <c r="W22" s="133">
        <f>IF(SER_hh_tesh!W22=0,0,SER_hh_tesh!W22/SER_summary!W$26)</f>
        <v>16.099876235500723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13.800899715806551</v>
      </c>
      <c r="C23" s="133">
        <f>IF(SER_hh_tesh!C23=0,0,SER_hh_tesh!C23/SER_summary!C$26)</f>
        <v>14.233448258742028</v>
      </c>
      <c r="D23" s="133">
        <f>IF(SER_hh_tesh!D23=0,0,SER_hh_tesh!D23/SER_summary!D$26)</f>
        <v>14.586005859552005</v>
      </c>
      <c r="E23" s="133">
        <f>IF(SER_hh_tesh!E23=0,0,SER_hh_tesh!E23/SER_summary!E$26)</f>
        <v>14.586862839016172</v>
      </c>
      <c r="F23" s="133">
        <f>IF(SER_hh_tesh!F23=0,0,SER_hh_tesh!F23/SER_summary!F$26)</f>
        <v>14.885652337304622</v>
      </c>
      <c r="G23" s="133">
        <f>IF(SER_hh_tesh!G23=0,0,SER_hh_tesh!G23/SER_summary!G$26)</f>
        <v>15.129790058374923</v>
      </c>
      <c r="H23" s="133">
        <f>IF(SER_hh_tesh!H23=0,0,SER_hh_tesh!H23/SER_summary!H$26)</f>
        <v>14.85564293124288</v>
      </c>
      <c r="I23" s="133">
        <f>IF(SER_hh_tesh!I23=0,0,SER_hh_tesh!I23/SER_summary!I$26)</f>
        <v>14.666170916104932</v>
      </c>
      <c r="J23" s="133">
        <f>IF(SER_hh_tesh!J23=0,0,SER_hh_tesh!J23/SER_summary!J$26)</f>
        <v>15.134645286054601</v>
      </c>
      <c r="K23" s="133">
        <f>IF(SER_hh_tesh!K23=0,0,SER_hh_tesh!K23/SER_summary!K$26)</f>
        <v>15.132407446031554</v>
      </c>
      <c r="L23" s="133">
        <f>IF(SER_hh_tesh!L23=0,0,SER_hh_tesh!L23/SER_summary!L$26)</f>
        <v>15.304480620031427</v>
      </c>
      <c r="M23" s="133">
        <f>IF(SER_hh_tesh!M23=0,0,SER_hh_tesh!M23/SER_summary!M$26)</f>
        <v>15.464522432850583</v>
      </c>
      <c r="N23" s="133">
        <f>IF(SER_hh_tesh!N23=0,0,SER_hh_tesh!N23/SER_summary!N$26)</f>
        <v>15.717383837979606</v>
      </c>
      <c r="O23" s="133">
        <f>IF(SER_hh_tesh!O23=0,0,SER_hh_tesh!O23/SER_summary!O$26)</f>
        <v>15.944602635525277</v>
      </c>
      <c r="P23" s="133">
        <f>IF(SER_hh_tesh!P23=0,0,SER_hh_tesh!P23/SER_summary!P$26)</f>
        <v>15.932998887638821</v>
      </c>
      <c r="Q23" s="133">
        <f>IF(SER_hh_tesh!Q23=0,0,SER_hh_tesh!Q23/SER_summary!Q$26)</f>
        <v>16.06168454311517</v>
      </c>
      <c r="R23" s="133">
        <f>IF(SER_hh_tesh!R23=0,0,SER_hh_tesh!R23/SER_summary!R$26)</f>
        <v>16.102166712856096</v>
      </c>
      <c r="S23" s="133">
        <f>IF(SER_hh_tesh!S23=0,0,SER_hh_tesh!S23/SER_summary!S$26)</f>
        <v>16.403285164849066</v>
      </c>
      <c r="T23" s="133">
        <f>IF(SER_hh_tesh!T23=0,0,SER_hh_tesh!T23/SER_summary!T$26)</f>
        <v>16.472040616236171</v>
      </c>
      <c r="U23" s="133">
        <f>IF(SER_hh_tesh!U23=0,0,SER_hh_tesh!U23/SER_summary!U$26)</f>
        <v>16.381993620816019</v>
      </c>
      <c r="V23" s="133">
        <f>IF(SER_hh_tesh!V23=0,0,SER_hh_tesh!V23/SER_summary!V$26)</f>
        <v>14.981793510288318</v>
      </c>
      <c r="W23" s="133">
        <f>IF(SER_hh_tesh!W23=0,0,SER_hh_tesh!W23/SER_summary!W$26)</f>
        <v>16.222299921741296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14.177524376874128</v>
      </c>
      <c r="C25" s="133">
        <f>IF(SER_hh_tesh!C25=0,0,SER_hh_tesh!C25/SER_summary!C$26)</f>
        <v>14.228622817379959</v>
      </c>
      <c r="D25" s="133">
        <f>IF(SER_hh_tesh!D25=0,0,SER_hh_tesh!D25/SER_summary!D$26)</f>
        <v>14.546475954733403</v>
      </c>
      <c r="E25" s="133">
        <f>IF(SER_hh_tesh!E25=0,0,SER_hh_tesh!E25/SER_summary!E$26)</f>
        <v>14.531559013318731</v>
      </c>
      <c r="F25" s="133">
        <f>IF(SER_hh_tesh!F25=0,0,SER_hh_tesh!F25/SER_summary!F$26)</f>
        <v>14.83760584550854</v>
      </c>
      <c r="G25" s="133">
        <f>IF(SER_hh_tesh!G25=0,0,SER_hh_tesh!G25/SER_summary!G$26)</f>
        <v>15.099247362084641</v>
      </c>
      <c r="H25" s="133">
        <f>IF(SER_hh_tesh!H25=0,0,SER_hh_tesh!H25/SER_summary!H$26)</f>
        <v>14.865388168542912</v>
      </c>
      <c r="I25" s="133">
        <f>IF(SER_hh_tesh!I25=0,0,SER_hh_tesh!I25/SER_summary!I$26)</f>
        <v>14.79598132803277</v>
      </c>
      <c r="J25" s="133">
        <f>IF(SER_hh_tesh!J25=0,0,SER_hh_tesh!J25/SER_summary!J$26)</f>
        <v>15.071484847081065</v>
      </c>
      <c r="K25" s="133">
        <f>IF(SER_hh_tesh!K25=0,0,SER_hh_tesh!K25/SER_summary!K$26)</f>
        <v>15.052662593893066</v>
      </c>
      <c r="L25" s="133">
        <f>IF(SER_hh_tesh!L25=0,0,SER_hh_tesh!L25/SER_summary!L$26)</f>
        <v>15.256005441500177</v>
      </c>
      <c r="M25" s="133">
        <f>IF(SER_hh_tesh!M25=0,0,SER_hh_tesh!M25/SER_summary!M$26)</f>
        <v>15.481937639165588</v>
      </c>
      <c r="N25" s="133">
        <f>IF(SER_hh_tesh!N25=0,0,SER_hh_tesh!N25/SER_summary!N$26)</f>
        <v>15.75834882764685</v>
      </c>
      <c r="O25" s="133">
        <f>IF(SER_hh_tesh!O25=0,0,SER_hh_tesh!O25/SER_summary!O$26)</f>
        <v>16.064306169724386</v>
      </c>
      <c r="P25" s="133">
        <f>IF(SER_hh_tesh!P25=0,0,SER_hh_tesh!P25/SER_summary!P$26)</f>
        <v>16.142558109611567</v>
      </c>
      <c r="Q25" s="133">
        <f>IF(SER_hh_tesh!Q25=0,0,SER_hh_tesh!Q25/SER_summary!Q$26)</f>
        <v>16.13413363788575</v>
      </c>
      <c r="R25" s="133">
        <f>IF(SER_hh_tesh!R25=0,0,SER_hh_tesh!R25/SER_summary!R$26)</f>
        <v>16.137794253241967</v>
      </c>
      <c r="S25" s="133">
        <f>IF(SER_hh_tesh!S25=0,0,SER_hh_tesh!S25/SER_summary!S$26)</f>
        <v>16.339057068480798</v>
      </c>
      <c r="T25" s="133">
        <f>IF(SER_hh_tesh!T25=0,0,SER_hh_tesh!T25/SER_summary!T$26)</f>
        <v>16.351783054854113</v>
      </c>
      <c r="U25" s="133">
        <f>IF(SER_hh_tesh!U25=0,0,SER_hh_tesh!U25/SER_summary!U$26)</f>
        <v>16.2390264936177</v>
      </c>
      <c r="V25" s="133">
        <f>IF(SER_hh_tesh!V25=0,0,SER_hh_tesh!V25/SER_summary!V$26)</f>
        <v>15.414002053919067</v>
      </c>
      <c r="W25" s="133">
        <f>IF(SER_hh_tesh!W25=0,0,SER_hh_tesh!W25/SER_summary!W$26)</f>
        <v>16.113962436503261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14.176891241533685</v>
      </c>
      <c r="C26" s="65">
        <f>IF(SER_hh_tesh!C26=0,0,SER_hh_tesh!C26/SER_summary!C$26)</f>
        <v>13.942210928005387</v>
      </c>
      <c r="D26" s="65">
        <f>IF(SER_hh_tesh!D26=0,0,SER_hh_tesh!D26/SER_summary!D$26)</f>
        <v>14.110018259800503</v>
      </c>
      <c r="E26" s="65">
        <f>IF(SER_hh_tesh!E26=0,0,SER_hh_tesh!E26/SER_summary!E$26)</f>
        <v>13.95413421519514</v>
      </c>
      <c r="F26" s="65">
        <f>IF(SER_hh_tesh!F26=0,0,SER_hh_tesh!F26/SER_summary!F$26)</f>
        <v>14.679248188380221</v>
      </c>
      <c r="G26" s="65">
        <f>IF(SER_hh_tesh!G26=0,0,SER_hh_tesh!G26/SER_summary!G$26)</f>
        <v>14.65260982590287</v>
      </c>
      <c r="H26" s="65">
        <f>IF(SER_hh_tesh!H26=0,0,SER_hh_tesh!H26/SER_summary!H$26)</f>
        <v>14.180040094564873</v>
      </c>
      <c r="I26" s="65">
        <f>IF(SER_hh_tesh!I26=0,0,SER_hh_tesh!I26/SER_summary!I$26)</f>
        <v>14.064340733802178</v>
      </c>
      <c r="J26" s="65">
        <f>IF(SER_hh_tesh!J26=0,0,SER_hh_tesh!J26/SER_summary!J$26)</f>
        <v>14.200294535343222</v>
      </c>
      <c r="K26" s="65">
        <f>IF(SER_hh_tesh!K26=0,0,SER_hh_tesh!K26/SER_summary!K$26)</f>
        <v>14.272572984799256</v>
      </c>
      <c r="L26" s="65">
        <f>IF(SER_hh_tesh!L26=0,0,SER_hh_tesh!L26/SER_summary!L$26)</f>
        <v>14.357680604390662</v>
      </c>
      <c r="M26" s="65">
        <f>IF(SER_hh_tesh!M26=0,0,SER_hh_tesh!M26/SER_summary!M$26)</f>
        <v>14.129149042659961</v>
      </c>
      <c r="N26" s="65">
        <f>IF(SER_hh_tesh!N26=0,0,SER_hh_tesh!N26/SER_summary!N$26)</f>
        <v>14.706557692422443</v>
      </c>
      <c r="O26" s="65">
        <f>IF(SER_hh_tesh!O26=0,0,SER_hh_tesh!O26/SER_summary!O$26)</f>
        <v>15.091542929965442</v>
      </c>
      <c r="P26" s="65">
        <f>IF(SER_hh_tesh!P26=0,0,SER_hh_tesh!P26/SER_summary!P$26)</f>
        <v>14.561062814977486</v>
      </c>
      <c r="Q26" s="65">
        <f>IF(SER_hh_tesh!Q26=0,0,SER_hh_tesh!Q26/SER_summary!Q$26)</f>
        <v>14.043278143729818</v>
      </c>
      <c r="R26" s="65">
        <f>IF(SER_hh_tesh!R26=0,0,SER_hh_tesh!R26/SER_summary!R$26)</f>
        <v>13.933251652285922</v>
      </c>
      <c r="S26" s="65">
        <f>IF(SER_hh_tesh!S26=0,0,SER_hh_tesh!S26/SER_summary!S$26)</f>
        <v>13.599641731783613</v>
      </c>
      <c r="T26" s="65">
        <f>IF(SER_hh_tesh!T26=0,0,SER_hh_tesh!T26/SER_summary!T$26)</f>
        <v>13.467534841585023</v>
      </c>
      <c r="U26" s="65">
        <f>IF(SER_hh_tesh!U26=0,0,SER_hh_tesh!U26/SER_summary!U$26)</f>
        <v>13.358557734997087</v>
      </c>
      <c r="V26" s="65">
        <f>IF(SER_hh_tesh!V26=0,0,SER_hh_tesh!V26/SER_summary!V$26)</f>
        <v>12.74380124490426</v>
      </c>
      <c r="W26" s="65">
        <f>IF(SER_hh_tesh!W26=0,0,SER_hh_tesh!W26/SER_summary!W$26)</f>
        <v>12.556722687954409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0.14175032969552759</v>
      </c>
      <c r="C27" s="146">
        <f>IF(SER_hh_tesh!C27=0,0,SER_hh_tesh!C27/SER_summary!C$26)</f>
        <v>0.14605814758041738</v>
      </c>
      <c r="D27" s="146">
        <f>IF(SER_hh_tesh!D27=0,0,SER_hh_tesh!D27/SER_summary!D$26)</f>
        <v>0.16822110476599678</v>
      </c>
      <c r="E27" s="146">
        <f>IF(SER_hh_tesh!E27=0,0,SER_hh_tesh!E27/SER_summary!E$26)</f>
        <v>0.18581528212395396</v>
      </c>
      <c r="F27" s="146">
        <f>IF(SER_hh_tesh!F27=0,0,SER_hh_tesh!F27/SER_summary!F$26)</f>
        <v>0.21296937705579957</v>
      </c>
      <c r="G27" s="146">
        <f>IF(SER_hh_tesh!G27=0,0,SER_hh_tesh!G27/SER_summary!G$26)</f>
        <v>0.23824749860610422</v>
      </c>
      <c r="H27" s="146">
        <f>IF(SER_hh_tesh!H27=0,0,SER_hh_tesh!H27/SER_summary!H$26)</f>
        <v>0.26541464555131711</v>
      </c>
      <c r="I27" s="146">
        <f>IF(SER_hh_tesh!I27=0,0,SER_hh_tesh!I27/SER_summary!I$26)</f>
        <v>0.29679395044268647</v>
      </c>
      <c r="J27" s="146">
        <f>IF(SER_hh_tesh!J27=0,0,SER_hh_tesh!J27/SER_summary!J$26)</f>
        <v>0.36321224864248691</v>
      </c>
      <c r="K27" s="146">
        <f>IF(SER_hh_tesh!K27=0,0,SER_hh_tesh!K27/SER_summary!K$26)</f>
        <v>0.41539084674726495</v>
      </c>
      <c r="L27" s="146">
        <f>IF(SER_hh_tesh!L27=0,0,SER_hh_tesh!L27/SER_summary!L$26)</f>
        <v>0.46317148863838609</v>
      </c>
      <c r="M27" s="146">
        <f>IF(SER_hh_tesh!M27=0,0,SER_hh_tesh!M27/SER_summary!M$26)</f>
        <v>0.53500416128339434</v>
      </c>
      <c r="N27" s="146">
        <f>IF(SER_hh_tesh!N27=0,0,SER_hh_tesh!N27/SER_summary!N$26)</f>
        <v>0.63965541681553628</v>
      </c>
      <c r="O27" s="146">
        <f>IF(SER_hh_tesh!O27=0,0,SER_hh_tesh!O27/SER_summary!O$26)</f>
        <v>0.73199974374233534</v>
      </c>
      <c r="P27" s="146">
        <f>IF(SER_hh_tesh!P27=0,0,SER_hh_tesh!P27/SER_summary!P$26)</f>
        <v>0.80755621670552091</v>
      </c>
      <c r="Q27" s="146">
        <f>IF(SER_hh_tesh!Q27=0,0,SER_hh_tesh!Q27/SER_summary!Q$26)</f>
        <v>0.868707158261944</v>
      </c>
      <c r="R27" s="146">
        <f>IF(SER_hh_tesh!R27=0,0,SER_hh_tesh!R27/SER_summary!R$26)</f>
        <v>0.95984213413581743</v>
      </c>
      <c r="S27" s="146">
        <f>IF(SER_hh_tesh!S27=0,0,SER_hh_tesh!S27/SER_summary!S$26)</f>
        <v>1.0601943525088495</v>
      </c>
      <c r="T27" s="146">
        <f>IF(SER_hh_tesh!T27=0,0,SER_hh_tesh!T27/SER_summary!T$26)</f>
        <v>1.1366193946340593</v>
      </c>
      <c r="U27" s="146">
        <f>IF(SER_hh_tesh!U27=0,0,SER_hh_tesh!U27/SER_summary!U$26)</f>
        <v>1.2465315831512138</v>
      </c>
      <c r="V27" s="146">
        <f>IF(SER_hh_tesh!V27=0,0,SER_hh_tesh!V27/SER_summary!V$26)</f>
        <v>1.3049467522779585</v>
      </c>
      <c r="W27" s="146">
        <f>IF(SER_hh_tesh!W27=0,0,SER_hh_tesh!W27/SER_summary!W$26)</f>
        <v>1.3487374479720207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9.861310880940275</v>
      </c>
      <c r="C28" s="147">
        <f>IF(SER_hh_tesh!C28=0,0,SER_hh_tesh!C28/SER_summary!C$26)</f>
        <v>10.204979954327269</v>
      </c>
      <c r="D28" s="147">
        <f>IF(SER_hh_tesh!D28=0,0,SER_hh_tesh!D28/SER_summary!D$26)</f>
        <v>10.170492198171587</v>
      </c>
      <c r="E28" s="147">
        <f>IF(SER_hh_tesh!E28=0,0,SER_hh_tesh!E28/SER_summary!E$26)</f>
        <v>10.800847084703245</v>
      </c>
      <c r="F28" s="147">
        <f>IF(SER_hh_tesh!F28=0,0,SER_hh_tesh!F28/SER_summary!F$26)</f>
        <v>10.639743679340876</v>
      </c>
      <c r="G28" s="147">
        <f>IF(SER_hh_tesh!G28=0,0,SER_hh_tesh!G28/SER_summary!G$26)</f>
        <v>10.775372038783031</v>
      </c>
      <c r="H28" s="147">
        <f>IF(SER_hh_tesh!H28=0,0,SER_hh_tesh!H28/SER_summary!H$26)</f>
        <v>10.535056725954735</v>
      </c>
      <c r="I28" s="147">
        <f>IF(SER_hh_tesh!I28=0,0,SER_hh_tesh!I28/SER_summary!I$26)</f>
        <v>10.563013076897533</v>
      </c>
      <c r="J28" s="147">
        <f>IF(SER_hh_tesh!J28=0,0,SER_hh_tesh!J28/SER_summary!J$26)</f>
        <v>10.734197458762072</v>
      </c>
      <c r="K28" s="147">
        <f>IF(SER_hh_tesh!K28=0,0,SER_hh_tesh!K28/SER_summary!K$26)</f>
        <v>11.102687373131081</v>
      </c>
      <c r="L28" s="147">
        <f>IF(SER_hh_tesh!L28=0,0,SER_hh_tesh!L28/SER_summary!L$26)</f>
        <v>11.214108875227037</v>
      </c>
      <c r="M28" s="147">
        <f>IF(SER_hh_tesh!M28=0,0,SER_hh_tesh!M28/SER_summary!M$26)</f>
        <v>11.0396180379103</v>
      </c>
      <c r="N28" s="147">
        <f>IF(SER_hh_tesh!N28=0,0,SER_hh_tesh!N28/SER_summary!N$26)</f>
        <v>11.421377267650573</v>
      </c>
      <c r="O28" s="147">
        <f>IF(SER_hh_tesh!O28=0,0,SER_hh_tesh!O28/SER_summary!O$26)</f>
        <v>11.894822931899961</v>
      </c>
      <c r="P28" s="147">
        <f>IF(SER_hh_tesh!P28=0,0,SER_hh_tesh!P28/SER_summary!P$26)</f>
        <v>11.628223750085573</v>
      </c>
      <c r="Q28" s="147">
        <f>IF(SER_hh_tesh!Q28=0,0,SER_hh_tesh!Q28/SER_summary!Q$26)</f>
        <v>11.196842400365032</v>
      </c>
      <c r="R28" s="147">
        <f>IF(SER_hh_tesh!R28=0,0,SER_hh_tesh!R28/SER_summary!R$26)</f>
        <v>11.500357704768055</v>
      </c>
      <c r="S28" s="147">
        <f>IF(SER_hh_tesh!S28=0,0,SER_hh_tesh!S28/SER_summary!S$26)</f>
        <v>11.787674889752672</v>
      </c>
      <c r="T28" s="147">
        <f>IF(SER_hh_tesh!T28=0,0,SER_hh_tesh!T28/SER_summary!T$26)</f>
        <v>11.775187232224662</v>
      </c>
      <c r="U28" s="147">
        <f>IF(SER_hh_tesh!U28=0,0,SER_hh_tesh!U28/SER_summary!U$26)</f>
        <v>11.760004497670197</v>
      </c>
      <c r="V28" s="147">
        <f>IF(SER_hh_tesh!V28=0,0,SER_hh_tesh!V28/SER_summary!V$26)</f>
        <v>11.617766391526089</v>
      </c>
      <c r="W28" s="147">
        <f>IF(SER_hh_tesh!W28=0,0,SER_hh_tesh!W28/SER_summary!W$26)</f>
        <v>11.647462420292252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16.80812846709874</v>
      </c>
      <c r="C29" s="131">
        <f>IF(SER_hh_tesh!C29=0,0,SER_hh_tesh!C29/SER_summary!C$26)</f>
        <v>17.377417406168533</v>
      </c>
      <c r="D29" s="131">
        <f>IF(SER_hh_tesh!D29=0,0,SER_hh_tesh!D29/SER_summary!D$26)</f>
        <v>17.521456233271593</v>
      </c>
      <c r="E29" s="131">
        <f>IF(SER_hh_tesh!E29=0,0,SER_hh_tesh!E29/SER_summary!E$26)</f>
        <v>17.078756676956996</v>
      </c>
      <c r="F29" s="131">
        <f>IF(SER_hh_tesh!F29=0,0,SER_hh_tesh!F29/SER_summary!F$26)</f>
        <v>17.454235971287037</v>
      </c>
      <c r="G29" s="131">
        <f>IF(SER_hh_tesh!G29=0,0,SER_hh_tesh!G29/SER_summary!G$26)</f>
        <v>17.617811057785254</v>
      </c>
      <c r="H29" s="131">
        <f>IF(SER_hh_tesh!H29=0,0,SER_hh_tesh!H29/SER_summary!H$26)</f>
        <v>17.885531162346449</v>
      </c>
      <c r="I29" s="131">
        <f>IF(SER_hh_tesh!I29=0,0,SER_hh_tesh!I29/SER_summary!I$26)</f>
        <v>18.137566612929284</v>
      </c>
      <c r="J29" s="131">
        <f>IF(SER_hh_tesh!J29=0,0,SER_hh_tesh!J29/SER_summary!J$26)</f>
        <v>18.756235339400153</v>
      </c>
      <c r="K29" s="131">
        <f>IF(SER_hh_tesh!K29=0,0,SER_hh_tesh!K29/SER_summary!K$26)</f>
        <v>19.572361832282187</v>
      </c>
      <c r="L29" s="131">
        <f>IF(SER_hh_tesh!L29=0,0,SER_hh_tesh!L29/SER_summary!L$26)</f>
        <v>19.880385643586973</v>
      </c>
      <c r="M29" s="131">
        <f>IF(SER_hh_tesh!M29=0,0,SER_hh_tesh!M29/SER_summary!M$26)</f>
        <v>19.848636379153248</v>
      </c>
      <c r="N29" s="131">
        <f>IF(SER_hh_tesh!N29=0,0,SER_hh_tesh!N29/SER_summary!N$26)</f>
        <v>20.582795797499259</v>
      </c>
      <c r="O29" s="131">
        <f>IF(SER_hh_tesh!O29=0,0,SER_hh_tesh!O29/SER_summary!O$26)</f>
        <v>20.989226415661058</v>
      </c>
      <c r="P29" s="131">
        <f>IF(SER_hh_tesh!P29=0,0,SER_hh_tesh!P29/SER_summary!P$26)</f>
        <v>21.355287979870127</v>
      </c>
      <c r="Q29" s="131">
        <f>IF(SER_hh_tesh!Q29=0,0,SER_hh_tesh!Q29/SER_summary!Q$26)</f>
        <v>21.318015528385992</v>
      </c>
      <c r="R29" s="131">
        <f>IF(SER_hh_tesh!R29=0,0,SER_hh_tesh!R29/SER_summary!R$26)</f>
        <v>21.896087695809559</v>
      </c>
      <c r="S29" s="131">
        <f>IF(SER_hh_tesh!S29=0,0,SER_hh_tesh!S29/SER_summary!S$26)</f>
        <v>22.278498649056409</v>
      </c>
      <c r="T29" s="131">
        <f>IF(SER_hh_tesh!T29=0,0,SER_hh_tesh!T29/SER_summary!T$26)</f>
        <v>22.592717137393311</v>
      </c>
      <c r="U29" s="131">
        <f>IF(SER_hh_tesh!U29=0,0,SER_hh_tesh!U29/SER_summary!U$26)</f>
        <v>22.967633102310231</v>
      </c>
      <c r="V29" s="131">
        <f>IF(SER_hh_tesh!V29=0,0,SER_hh_tesh!V29/SER_summary!V$26)</f>
        <v>19.95975663140273</v>
      </c>
      <c r="W29" s="131">
        <f>IF(SER_hh_tesh!W29=0,0,SER_hh_tesh!W29/SER_summary!W$26)</f>
        <v>23.175715343886292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10.715820828974213</v>
      </c>
      <c r="C30" s="133">
        <f>IF(SER_hh_tesh!C30=0,0,SER_hh_tesh!C30/SER_summary!C$26)</f>
        <v>21.120005773868499</v>
      </c>
      <c r="D30" s="133">
        <f>IF(SER_hh_tesh!D30=0,0,SER_hh_tesh!D30/SER_summary!D$26)</f>
        <v>16.633406365293208</v>
      </c>
      <c r="E30" s="133">
        <f>IF(SER_hh_tesh!E30=0,0,SER_hh_tesh!E30/SER_summary!E$26)</f>
        <v>17.269795110374428</v>
      </c>
      <c r="F30" s="133">
        <f>IF(SER_hh_tesh!F30=0,0,SER_hh_tesh!F30/SER_summary!F$26)</f>
        <v>18.578347619355409</v>
      </c>
      <c r="G30" s="133">
        <f>IF(SER_hh_tesh!G30=0,0,SER_hh_tesh!G30/SER_summary!G$26)</f>
        <v>16.964343205431131</v>
      </c>
      <c r="H30" s="133">
        <f>IF(SER_hh_tesh!H30=0,0,SER_hh_tesh!H30/SER_summary!H$26)</f>
        <v>18.546031966257168</v>
      </c>
      <c r="I30" s="133">
        <f>IF(SER_hh_tesh!I30=0,0,SER_hh_tesh!I30/SER_summary!I$26)</f>
        <v>17.354489234661735</v>
      </c>
      <c r="J30" s="133">
        <f>IF(SER_hh_tesh!J30=0,0,SER_hh_tesh!J30/SER_summary!J$26)</f>
        <v>17.85420636382694</v>
      </c>
      <c r="K30" s="133">
        <f>IF(SER_hh_tesh!K30=0,0,SER_hh_tesh!K30/SER_summary!K$26)</f>
        <v>21.031144394058124</v>
      </c>
      <c r="L30" s="133">
        <f>IF(SER_hh_tesh!L30=0,0,SER_hh_tesh!L30/SER_summary!L$26)</f>
        <v>22.847917644212643</v>
      </c>
      <c r="M30" s="133">
        <f>IF(SER_hh_tesh!M30=0,0,SER_hh_tesh!M30/SER_summary!M$26)</f>
        <v>20.123110487008759</v>
      </c>
      <c r="N30" s="133">
        <f>IF(SER_hh_tesh!N30=0,0,SER_hh_tesh!N30/SER_summary!N$26)</f>
        <v>20.234235064020073</v>
      </c>
      <c r="O30" s="133">
        <f>IF(SER_hh_tesh!O30=0,0,SER_hh_tesh!O30/SER_summary!O$26)</f>
        <v>20.840305478988704</v>
      </c>
      <c r="P30" s="133">
        <f>IF(SER_hh_tesh!P30=0,0,SER_hh_tesh!P30/SER_summary!P$26)</f>
        <v>20.932483061756844</v>
      </c>
      <c r="Q30" s="133">
        <f>IF(SER_hh_tesh!Q30=0,0,SER_hh_tesh!Q30/SER_summary!Q$26)</f>
        <v>20.751361125687563</v>
      </c>
      <c r="R30" s="133">
        <f>IF(SER_hh_tesh!R30=0,0,SER_hh_tesh!R30/SER_summary!R$26)</f>
        <v>23.239194209331217</v>
      </c>
      <c r="S30" s="133">
        <f>IF(SER_hh_tesh!S30=0,0,SER_hh_tesh!S30/SER_summary!S$26)</f>
        <v>21.929677909908282</v>
      </c>
      <c r="T30" s="133">
        <f>IF(SER_hh_tesh!T30=0,0,SER_hh_tesh!T30/SER_summary!T$26)</f>
        <v>21.664007646126159</v>
      </c>
      <c r="U30" s="133">
        <f>IF(SER_hh_tesh!U30=0,0,SER_hh_tesh!U30/SER_summary!U$26)</f>
        <v>23.68588385829602</v>
      </c>
      <c r="V30" s="133">
        <f>IF(SER_hh_tesh!V30=0,0,SER_hh_tesh!V30/SER_summary!V$26)</f>
        <v>19.468050798989236</v>
      </c>
      <c r="W30" s="133">
        <f>IF(SER_hh_tesh!W30=0,0,SER_hh_tesh!W30/SER_summary!W$26)</f>
        <v>23.542374890767412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16.735388293902467</v>
      </c>
      <c r="C31" s="133">
        <f>IF(SER_hh_tesh!C31=0,0,SER_hh_tesh!C31/SER_summary!C$26)</f>
        <v>17.360463519937618</v>
      </c>
      <c r="D31" s="133">
        <f>IF(SER_hh_tesh!D31=0,0,SER_hh_tesh!D31/SER_summary!D$26)</f>
        <v>17.448163817252791</v>
      </c>
      <c r="E31" s="133">
        <f>IF(SER_hh_tesh!E31=0,0,SER_hh_tesh!E31/SER_summary!E$26)</f>
        <v>17.311911222493901</v>
      </c>
      <c r="F31" s="133">
        <f>IF(SER_hh_tesh!F31=0,0,SER_hh_tesh!F31/SER_summary!F$26)</f>
        <v>17.21359164338196</v>
      </c>
      <c r="G31" s="133">
        <f>IF(SER_hh_tesh!G31=0,0,SER_hh_tesh!G31/SER_summary!G$26)</f>
        <v>17.734608510001344</v>
      </c>
      <c r="H31" s="133">
        <f>IF(SER_hh_tesh!H31=0,0,SER_hh_tesh!H31/SER_summary!H$26)</f>
        <v>17.695429312955579</v>
      </c>
      <c r="I31" s="133">
        <f>IF(SER_hh_tesh!I31=0,0,SER_hh_tesh!I31/SER_summary!I$26)</f>
        <v>18.225648630083544</v>
      </c>
      <c r="J31" s="133">
        <f>IF(SER_hh_tesh!J31=0,0,SER_hh_tesh!J31/SER_summary!J$26)</f>
        <v>18.985772738304522</v>
      </c>
      <c r="K31" s="133">
        <f>IF(SER_hh_tesh!K31=0,0,SER_hh_tesh!K31/SER_summary!K$26)</f>
        <v>19.492714819237701</v>
      </c>
      <c r="L31" s="133">
        <f>IF(SER_hh_tesh!L31=0,0,SER_hh_tesh!L31/SER_summary!L$26)</f>
        <v>19.507219049252054</v>
      </c>
      <c r="M31" s="133">
        <f>IF(SER_hh_tesh!M31=0,0,SER_hh_tesh!M31/SER_summary!M$26)</f>
        <v>19.995867399258017</v>
      </c>
      <c r="N31" s="133">
        <f>IF(SER_hh_tesh!N31=0,0,SER_hh_tesh!N31/SER_summary!N$26)</f>
        <v>20.830810052748689</v>
      </c>
      <c r="O31" s="133">
        <f>IF(SER_hh_tesh!O31=0,0,SER_hh_tesh!O31/SER_summary!O$26)</f>
        <v>20.713502597828953</v>
      </c>
      <c r="P31" s="133">
        <f>IF(SER_hh_tesh!P31=0,0,SER_hh_tesh!P31/SER_summary!P$26)</f>
        <v>20.816070619962293</v>
      </c>
      <c r="Q31" s="133">
        <f>IF(SER_hh_tesh!Q31=0,0,SER_hh_tesh!Q31/SER_summary!Q$26)</f>
        <v>21.5820925411312</v>
      </c>
      <c r="R31" s="133">
        <f>IF(SER_hh_tesh!R31=0,0,SER_hh_tesh!R31/SER_summary!R$26)</f>
        <v>21.764300557335531</v>
      </c>
      <c r="S31" s="133">
        <f>IF(SER_hh_tesh!S31=0,0,SER_hh_tesh!S31/SER_summary!S$26)</f>
        <v>22.679174530043237</v>
      </c>
      <c r="T31" s="133">
        <f>IF(SER_hh_tesh!T31=0,0,SER_hh_tesh!T31/SER_summary!T$26)</f>
        <v>22.934502916628048</v>
      </c>
      <c r="U31" s="133">
        <f>IF(SER_hh_tesh!U31=0,0,SER_hh_tesh!U31/SER_summary!U$26)</f>
        <v>22.517783395800375</v>
      </c>
      <c r="V31" s="133">
        <f>IF(SER_hh_tesh!V31=0,0,SER_hh_tesh!V31/SER_summary!V$26)</f>
        <v>20.158460122993496</v>
      </c>
      <c r="W31" s="133">
        <f>IF(SER_hh_tesh!W31=0,0,SER_hh_tesh!W31/SER_summary!W$26)</f>
        <v>23.130947364179352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28.525265255574865</v>
      </c>
      <c r="L32" s="133">
        <f>IF(SER_hh_tesh!L32=0,0,SER_hh_tesh!L32/SER_summary!L$26)</f>
        <v>22.664536483011297</v>
      </c>
      <c r="M32" s="133">
        <f>IF(SER_hh_tesh!M32=0,0,SER_hh_tesh!M32/SER_summary!M$26)</f>
        <v>19.086397616406003</v>
      </c>
      <c r="N32" s="133">
        <f>IF(SER_hh_tesh!N32=0,0,SER_hh_tesh!N32/SER_summary!N$26)</f>
        <v>20.329266245435925</v>
      </c>
      <c r="O32" s="133">
        <f>IF(SER_hh_tesh!O32=0,0,SER_hh_tesh!O32/SER_summary!O$26)</f>
        <v>20.694312492026725</v>
      </c>
      <c r="P32" s="133">
        <f>IF(SER_hh_tesh!P32=0,0,SER_hh_tesh!P32/SER_summary!P$26)</f>
        <v>19.582367393877831</v>
      </c>
      <c r="Q32" s="133">
        <f>IF(SER_hh_tesh!Q32=0,0,SER_hh_tesh!Q32/SER_summary!Q$26)</f>
        <v>19.510568962368104</v>
      </c>
      <c r="R32" s="133">
        <f>IF(SER_hh_tesh!R32=0,0,SER_hh_tesh!R32/SER_summary!R$26)</f>
        <v>18.95011025664218</v>
      </c>
      <c r="S32" s="133">
        <f>IF(SER_hh_tesh!S32=0,0,SER_hh_tesh!S32/SER_summary!S$26)</f>
        <v>19.816248276703767</v>
      </c>
      <c r="T32" s="133">
        <f>IF(SER_hh_tesh!T32=0,0,SER_hh_tesh!T32/SER_summary!T$26)</f>
        <v>23.97228690623076</v>
      </c>
      <c r="U32" s="133">
        <f>IF(SER_hh_tesh!U32=0,0,SER_hh_tesh!U32/SER_summary!U$26)</f>
        <v>25.104379705452907</v>
      </c>
      <c r="V32" s="133">
        <f>IF(SER_hh_tesh!V32=0,0,SER_hh_tesh!V32/SER_summary!V$26)</f>
        <v>20.163331689045751</v>
      </c>
      <c r="W32" s="133">
        <f>IF(SER_hh_tesh!W32=0,0,SER_hh_tesh!W32/SER_summary!W$26)</f>
        <v>21.076349064812121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17.079515542426925</v>
      </c>
      <c r="C33" s="68">
        <f>IF(SER_hh_tesh!C33=0,0,SER_hh_tesh!C33/SER_summary!C$26)</f>
        <v>17.156654605919009</v>
      </c>
      <c r="D33" s="68">
        <f>IF(SER_hh_tesh!D33=0,0,SER_hh_tesh!D33/SER_summary!D$26)</f>
        <v>17.590515581497307</v>
      </c>
      <c r="E33" s="68">
        <f>IF(SER_hh_tesh!E33=0,0,SER_hh_tesh!E33/SER_summary!E$26)</f>
        <v>17.037158354070645</v>
      </c>
      <c r="F33" s="68">
        <f>IF(SER_hh_tesh!F33=0,0,SER_hh_tesh!F33/SER_summary!F$26)</f>
        <v>17.390320200920126</v>
      </c>
      <c r="G33" s="68">
        <f>IF(SER_hh_tesh!G33=0,0,SER_hh_tesh!G33/SER_summary!G$26)</f>
        <v>17.658582609428432</v>
      </c>
      <c r="H33" s="68">
        <f>IF(SER_hh_tesh!H33=0,0,SER_hh_tesh!H33/SER_summary!H$26)</f>
        <v>17.851386486009819</v>
      </c>
      <c r="I33" s="68">
        <f>IF(SER_hh_tesh!I33=0,0,SER_hh_tesh!I33/SER_summary!I$26)</f>
        <v>18.192511432908905</v>
      </c>
      <c r="J33" s="68">
        <f>IF(SER_hh_tesh!J33=0,0,SER_hh_tesh!J33/SER_summary!J$26)</f>
        <v>18.811355398978652</v>
      </c>
      <c r="K33" s="68">
        <f>IF(SER_hh_tesh!K33=0,0,SER_hh_tesh!K33/SER_summary!K$26)</f>
        <v>19.397369689382856</v>
      </c>
      <c r="L33" s="68">
        <f>IF(SER_hh_tesh!L33=0,0,SER_hh_tesh!L33/SER_summary!L$26)</f>
        <v>19.621457800841643</v>
      </c>
      <c r="M33" s="68">
        <f>IF(SER_hh_tesh!M33=0,0,SER_hh_tesh!M33/SER_summary!M$26)</f>
        <v>19.812309722732333</v>
      </c>
      <c r="N33" s="68">
        <f>IF(SER_hh_tesh!N33=0,0,SER_hh_tesh!N33/SER_summary!N$26)</f>
        <v>20.58907548806712</v>
      </c>
      <c r="O33" s="68">
        <f>IF(SER_hh_tesh!O33=0,0,SER_hh_tesh!O33/SER_summary!O$26)</f>
        <v>21.036529521037995</v>
      </c>
      <c r="P33" s="68">
        <f>IF(SER_hh_tesh!P33=0,0,SER_hh_tesh!P33/SER_summary!P$26)</f>
        <v>21.465706014736732</v>
      </c>
      <c r="Q33" s="68">
        <f>IF(SER_hh_tesh!Q33=0,0,SER_hh_tesh!Q33/SER_summary!Q$26)</f>
        <v>21.346564960703791</v>
      </c>
      <c r="R33" s="68">
        <f>IF(SER_hh_tesh!R33=0,0,SER_hh_tesh!R33/SER_summary!R$26)</f>
        <v>21.818433520743479</v>
      </c>
      <c r="S33" s="68">
        <f>IF(SER_hh_tesh!S33=0,0,SER_hh_tesh!S33/SER_summary!S$26)</f>
        <v>22.274642132039443</v>
      </c>
      <c r="T33" s="68">
        <f>IF(SER_hh_tesh!T33=0,0,SER_hh_tesh!T33/SER_summary!T$26)</f>
        <v>22.614134438996373</v>
      </c>
      <c r="U33" s="68">
        <f>IF(SER_hh_tesh!U33=0,0,SER_hh_tesh!U33/SER_summary!U$26)</f>
        <v>22.946689882309784</v>
      </c>
      <c r="V33" s="68">
        <f>IF(SER_hh_tesh!V33=0,0,SER_hh_tesh!V33/SER_summary!V$26)</f>
        <v>19.972986185996184</v>
      </c>
      <c r="W33" s="68">
        <f>IF(SER_hh_tesh!W33=0,0,SER_hh_tesh!W33/SER_summary!W$26)</f>
        <v>23.169953575222472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22.150082301753624</v>
      </c>
      <c r="C3" s="126">
        <f>IF(SER_hh_emih!C3=0,0,SER_hh_emih!C3/SER_summary!C$26)</f>
        <v>25.028695603159427</v>
      </c>
      <c r="D3" s="126">
        <f>IF(SER_hh_emih!D3=0,0,SER_hh_emih!D3/SER_summary!D$26)</f>
        <v>25.404205357547021</v>
      </c>
      <c r="E3" s="126">
        <f>IF(SER_hh_emih!E3=0,0,SER_hh_emih!E3/SER_summary!E$26)</f>
        <v>24.837558931438384</v>
      </c>
      <c r="F3" s="126">
        <f>IF(SER_hh_emih!F3=0,0,SER_hh_emih!F3/SER_summary!F$26)</f>
        <v>23.886327384228121</v>
      </c>
      <c r="G3" s="126">
        <f>IF(SER_hh_emih!G3=0,0,SER_hh_emih!G3/SER_summary!G$26)</f>
        <v>22.21361638067242</v>
      </c>
      <c r="H3" s="126">
        <f>IF(SER_hh_emih!H3=0,0,SER_hh_emih!H3/SER_summary!H$26)</f>
        <v>19.473161405289851</v>
      </c>
      <c r="I3" s="126">
        <f>IF(SER_hh_emih!I3=0,0,SER_hh_emih!I3/SER_summary!I$26)</f>
        <v>16.423097741726277</v>
      </c>
      <c r="J3" s="126">
        <f>IF(SER_hh_emih!J3=0,0,SER_hh_emih!J3/SER_summary!J$26)</f>
        <v>16.402361441642906</v>
      </c>
      <c r="K3" s="126">
        <f>IF(SER_hh_emih!K3=0,0,SER_hh_emih!K3/SER_summary!K$26)</f>
        <v>16.194452766088233</v>
      </c>
      <c r="L3" s="126">
        <f>IF(SER_hh_emih!L3=0,0,SER_hh_emih!L3/SER_summary!L$26)</f>
        <v>17.227926026501567</v>
      </c>
      <c r="M3" s="126">
        <f>IF(SER_hh_emih!M3=0,0,SER_hh_emih!M3/SER_summary!M$26)</f>
        <v>15.540904505220933</v>
      </c>
      <c r="N3" s="126">
        <f>IF(SER_hh_emih!N3=0,0,SER_hh_emih!N3/SER_summary!N$26)</f>
        <v>13.917478570079494</v>
      </c>
      <c r="O3" s="126">
        <f>IF(SER_hh_emih!O3=0,0,SER_hh_emih!O3/SER_summary!O$26)</f>
        <v>13.144201748715668</v>
      </c>
      <c r="P3" s="126">
        <f>IF(SER_hh_emih!P3=0,0,SER_hh_emih!P3/SER_summary!P$26)</f>
        <v>11.682963813068188</v>
      </c>
      <c r="Q3" s="126">
        <f>IF(SER_hh_emih!Q3=0,0,SER_hh_emih!Q3/SER_summary!Q$26)</f>
        <v>14.079157288912286</v>
      </c>
      <c r="R3" s="126">
        <f>IF(SER_hh_emih!R3=0,0,SER_hh_emih!R3/SER_summary!R$26)</f>
        <v>14.529370881132142</v>
      </c>
      <c r="S3" s="126">
        <f>IF(SER_hh_emih!S3=0,0,SER_hh_emih!S3/SER_summary!S$26)</f>
        <v>14.8120428284201</v>
      </c>
      <c r="T3" s="126">
        <f>IF(SER_hh_emih!T3=0,0,SER_hh_emih!T3/SER_summary!T$26)</f>
        <v>14.666809228377575</v>
      </c>
      <c r="U3" s="126">
        <f>IF(SER_hh_emih!U3=0,0,SER_hh_emih!U3/SER_summary!U$26)</f>
        <v>14.157127110518468</v>
      </c>
      <c r="V3" s="126">
        <f>IF(SER_hh_emih!V3=0,0,SER_hh_emih!V3/SER_summary!V$26)</f>
        <v>13.060284936409355</v>
      </c>
      <c r="W3" s="126">
        <f>IF(SER_hh_emih!W3=0,0,SER_hh_emih!W3/SER_summary!W$26)</f>
        <v>14.803729912845565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18.74622871971884</v>
      </c>
      <c r="C4" s="131">
        <f>IF(SER_hh_emih!C4=0,0,SER_hh_emih!C4/SER_summary!C$26)</f>
        <v>21.264702214820367</v>
      </c>
      <c r="D4" s="131">
        <f>IF(SER_hh_emih!D4=0,0,SER_hh_emih!D4/SER_summary!D$26)</f>
        <v>21.608833156869746</v>
      </c>
      <c r="E4" s="131">
        <f>IF(SER_hh_emih!E4=0,0,SER_hh_emih!E4/SER_summary!E$26)</f>
        <v>21.034517129888041</v>
      </c>
      <c r="F4" s="131">
        <f>IF(SER_hh_emih!F4=0,0,SER_hh_emih!F4/SER_summary!F$26)</f>
        <v>19.99555124784359</v>
      </c>
      <c r="G4" s="131">
        <f>IF(SER_hh_emih!G4=0,0,SER_hh_emih!G4/SER_summary!G$26)</f>
        <v>18.304868436975241</v>
      </c>
      <c r="H4" s="131">
        <f>IF(SER_hh_emih!H4=0,0,SER_hh_emih!H4/SER_summary!H$26)</f>
        <v>15.628206609079792</v>
      </c>
      <c r="I4" s="131">
        <f>IF(SER_hh_emih!I4=0,0,SER_hh_emih!I4/SER_summary!I$26)</f>
        <v>12.670140458660148</v>
      </c>
      <c r="J4" s="131">
        <f>IF(SER_hh_emih!J4=0,0,SER_hh_emih!J4/SER_summary!J$26)</f>
        <v>12.530351936053396</v>
      </c>
      <c r="K4" s="131">
        <f>IF(SER_hh_emih!K4=0,0,SER_hh_emih!K4/SER_summary!K$26)</f>
        <v>12.168275400454487</v>
      </c>
      <c r="L4" s="131">
        <f>IF(SER_hh_emih!L4=0,0,SER_hh_emih!L4/SER_summary!L$26)</f>
        <v>13.108361860112813</v>
      </c>
      <c r="M4" s="131">
        <f>IF(SER_hh_emih!M4=0,0,SER_hh_emih!M4/SER_summary!M$26)</f>
        <v>11.555799084218853</v>
      </c>
      <c r="N4" s="131">
        <f>IF(SER_hh_emih!N4=0,0,SER_hh_emih!N4/SER_summary!N$26)</f>
        <v>9.8667127307517877</v>
      </c>
      <c r="O4" s="131">
        <f>IF(SER_hh_emih!O4=0,0,SER_hh_emih!O4/SER_summary!O$26)</f>
        <v>9.073460120114575</v>
      </c>
      <c r="P4" s="131">
        <f>IF(SER_hh_emih!P4=0,0,SER_hh_emih!P4/SER_summary!P$26)</f>
        <v>7.6893360597557647</v>
      </c>
      <c r="Q4" s="131">
        <f>IF(SER_hh_emih!Q4=0,0,SER_hh_emih!Q4/SER_summary!Q$26)</f>
        <v>10.087335796823972</v>
      </c>
      <c r="R4" s="131">
        <f>IF(SER_hh_emih!R4=0,0,SER_hh_emih!R4/SER_summary!R$26)</f>
        <v>10.397132920892988</v>
      </c>
      <c r="S4" s="131">
        <f>IF(SER_hh_emih!S4=0,0,SER_hh_emih!S4/SER_summary!S$26)</f>
        <v>10.657111769304901</v>
      </c>
      <c r="T4" s="131">
        <f>IF(SER_hh_emih!T4=0,0,SER_hh_emih!T4/SER_summary!T$26)</f>
        <v>10.542964340630157</v>
      </c>
      <c r="U4" s="131">
        <f>IF(SER_hh_emih!U4=0,0,SER_hh_emih!U4/SER_summary!U$26)</f>
        <v>10.046550788789116</v>
      </c>
      <c r="V4" s="131">
        <f>IF(SER_hh_emih!V4=0,0,SER_hh_emih!V4/SER_summary!V$26)</f>
        <v>9.4601981516689921</v>
      </c>
      <c r="W4" s="131">
        <f>IF(SER_hh_emih!W4=0,0,SER_hh_emih!W4/SER_summary!W$26)</f>
        <v>10.829631720163198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50.998739978852676</v>
      </c>
      <c r="C5" s="133">
        <f>IF(SER_hh_emih!C5=0,0,SER_hh_emih!C5/SER_summary!C$26)</f>
        <v>39.514713927783944</v>
      </c>
      <c r="D5" s="133">
        <f>IF(SER_hh_emih!D5=0,0,SER_hh_emih!D5/SER_summary!D$26)</f>
        <v>54.376381440347259</v>
      </c>
      <c r="E5" s="133">
        <f>IF(SER_hh_emih!E5=0,0,SER_hh_emih!E5/SER_summary!E$26)</f>
        <v>73.61676167435381</v>
      </c>
      <c r="F5" s="133">
        <f>IF(SER_hh_emih!F5=0,0,SER_hh_emih!F5/SER_summary!F$26)</f>
        <v>46.083283204384848</v>
      </c>
      <c r="G5" s="133">
        <f>IF(SER_hh_emih!G5=0,0,SER_hh_emih!G5/SER_summary!G$26)</f>
        <v>10.831520833717651</v>
      </c>
      <c r="H5" s="133">
        <f>IF(SER_hh_emih!H5=0,0,SER_hh_emih!H5/SER_summary!H$26)</f>
        <v>65.483013642943931</v>
      </c>
      <c r="I5" s="133">
        <f>IF(SER_hh_emih!I5=0,0,SER_hh_emih!I5/SER_summary!I$26)</f>
        <v>35.905602058686291</v>
      </c>
      <c r="J5" s="133">
        <f>IF(SER_hh_emih!J5=0,0,SER_hh_emih!J5/SER_summary!J$26)</f>
        <v>53.398418165305543</v>
      </c>
      <c r="K5" s="133">
        <f>IF(SER_hh_emih!K5=0,0,SER_hh_emih!K5/SER_summary!K$26)</f>
        <v>50.150968397867963</v>
      </c>
      <c r="L5" s="133">
        <f>IF(SER_hh_emih!L5=0,0,SER_hh_emih!L5/SER_summary!L$26)</f>
        <v>29.656891996358997</v>
      </c>
      <c r="M5" s="133">
        <f>IF(SER_hh_emih!M5=0,0,SER_hh_emih!M5/SER_summary!M$26)</f>
        <v>61.173305904671345</v>
      </c>
      <c r="N5" s="133">
        <f>IF(SER_hh_emih!N5=0,0,SER_hh_emih!N5/SER_summary!N$26)</f>
        <v>60.42106629276978</v>
      </c>
      <c r="O5" s="133">
        <f>IF(SER_hh_emih!O5=0,0,SER_hh_emih!O5/SER_summary!O$26)</f>
        <v>10.464085572386956</v>
      </c>
      <c r="P5" s="133">
        <f>IF(SER_hh_emih!P5=0,0,SER_hh_emih!P5/SER_summary!P$26)</f>
        <v>10.134967184917441</v>
      </c>
      <c r="Q5" s="133">
        <f>IF(SER_hh_emih!Q5=0,0,SER_hh_emih!Q5/SER_summary!Q$26)</f>
        <v>19.236549183992889</v>
      </c>
      <c r="R5" s="133">
        <f>IF(SER_hh_emih!R5=0,0,SER_hh_emih!R5/SER_summary!R$26)</f>
        <v>24.819999078124646</v>
      </c>
      <c r="S5" s="133">
        <f>IF(SER_hh_emih!S5=0,0,SER_hh_emih!S5/SER_summary!S$26)</f>
        <v>70.376334867580226</v>
      </c>
      <c r="T5" s="133">
        <f>IF(SER_hh_emih!T5=0,0,SER_hh_emih!T5/SER_summary!T$26)</f>
        <v>36.977973409173011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39.948901687846202</v>
      </c>
      <c r="C7" s="133">
        <f>IF(SER_hh_emih!C7=0,0,SER_hh_emih!C7/SER_summary!C$26)</f>
        <v>41.763005480674366</v>
      </c>
      <c r="D7" s="133">
        <f>IF(SER_hh_emih!D7=0,0,SER_hh_emih!D7/SER_summary!D$26)</f>
        <v>45.52514532239173</v>
      </c>
      <c r="E7" s="133">
        <f>IF(SER_hh_emih!E7=0,0,SER_hh_emih!E7/SER_summary!E$26)</f>
        <v>44.093181909919338</v>
      </c>
      <c r="F7" s="133">
        <f>IF(SER_hh_emih!F7=0,0,SER_hh_emih!F7/SER_summary!F$26)</f>
        <v>44.84126487328416</v>
      </c>
      <c r="G7" s="133">
        <f>IF(SER_hh_emih!G7=0,0,SER_hh_emih!G7/SER_summary!G$26)</f>
        <v>43.289666827007657</v>
      </c>
      <c r="H7" s="133">
        <f>IF(SER_hh_emih!H7=0,0,SER_hh_emih!H7/SER_summary!H$26)</f>
        <v>40.031580887275098</v>
      </c>
      <c r="I7" s="133">
        <f>IF(SER_hh_emih!I7=0,0,SER_hh_emih!I7/SER_summary!I$26)</f>
        <v>35.324110677892726</v>
      </c>
      <c r="J7" s="133">
        <f>IF(SER_hh_emih!J7=0,0,SER_hh_emih!J7/SER_summary!J$26)</f>
        <v>36.763086608233003</v>
      </c>
      <c r="K7" s="133">
        <f>IF(SER_hh_emih!K7=0,0,SER_hh_emih!K7/SER_summary!K$26)</f>
        <v>38.085098164687963</v>
      </c>
      <c r="L7" s="133">
        <f>IF(SER_hh_emih!L7=0,0,SER_hh_emih!L7/SER_summary!L$26)</f>
        <v>39.638952083046711</v>
      </c>
      <c r="M7" s="133">
        <f>IF(SER_hh_emih!M7=0,0,SER_hh_emih!M7/SER_summary!M$26)</f>
        <v>39.103360279375842</v>
      </c>
      <c r="N7" s="133">
        <f>IF(SER_hh_emih!N7=0,0,SER_hh_emih!N7/SER_summary!N$26)</f>
        <v>33.881733709900566</v>
      </c>
      <c r="O7" s="133">
        <f>IF(SER_hh_emih!O7=0,0,SER_hh_emih!O7/SER_summary!O$26)</f>
        <v>29.798000279949871</v>
      </c>
      <c r="P7" s="133">
        <f>IF(SER_hh_emih!P7=0,0,SER_hh_emih!P7/SER_summary!P$26)</f>
        <v>23.140504534554093</v>
      </c>
      <c r="Q7" s="133">
        <f>IF(SER_hh_emih!Q7=0,0,SER_hh_emih!Q7/SER_summary!Q$26)</f>
        <v>30.346293250262192</v>
      </c>
      <c r="R7" s="133">
        <f>IF(SER_hh_emih!R7=0,0,SER_hh_emih!R7/SER_summary!R$26)</f>
        <v>30.579888588816466</v>
      </c>
      <c r="S7" s="133">
        <f>IF(SER_hh_emih!S7=0,0,SER_hh_emih!S7/SER_summary!S$26)</f>
        <v>33.085204364688082</v>
      </c>
      <c r="T7" s="133">
        <f>IF(SER_hh_emih!T7=0,0,SER_hh_emih!T7/SER_summary!T$26)</f>
        <v>32.614155668220967</v>
      </c>
      <c r="U7" s="133">
        <f>IF(SER_hh_emih!U7=0,0,SER_hh_emih!U7/SER_summary!U$26)</f>
        <v>27.140957864178901</v>
      </c>
      <c r="V7" s="133">
        <f>IF(SER_hh_emih!V7=0,0,SER_hh_emih!V7/SER_summary!V$26)</f>
        <v>32.381713712500975</v>
      </c>
      <c r="W7" s="133">
        <f>IF(SER_hh_emih!W7=0,0,SER_hh_emih!W7/SER_summary!W$26)</f>
        <v>30.543640399358821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23.526291167568182</v>
      </c>
      <c r="C9" s="133">
        <f>IF(SER_hh_emih!C9=0,0,SER_hh_emih!C9/SER_summary!C$26)</f>
        <v>32.542917268306851</v>
      </c>
      <c r="D9" s="133">
        <f>IF(SER_hh_emih!D9=0,0,SER_hh_emih!D9/SER_summary!D$26)</f>
        <v>28.272764131706236</v>
      </c>
      <c r="E9" s="133">
        <f>IF(SER_hh_emih!E9=0,0,SER_hh_emih!E9/SER_summary!E$26)</f>
        <v>28.392348075244247</v>
      </c>
      <c r="F9" s="133">
        <f>IF(SER_hh_emih!F9=0,0,SER_hh_emih!F9/SER_summary!F$26)</f>
        <v>28.202772028649743</v>
      </c>
      <c r="G9" s="133">
        <f>IF(SER_hh_emih!G9=0,0,SER_hh_emih!G9/SER_summary!G$26)</f>
        <v>28.511473777668233</v>
      </c>
      <c r="H9" s="133">
        <f>IF(SER_hh_emih!H9=0,0,SER_hh_emih!H9/SER_summary!H$26)</f>
        <v>25.264110028836395</v>
      </c>
      <c r="I9" s="133">
        <f>IF(SER_hh_emih!I9=0,0,SER_hh_emih!I9/SER_summary!I$26)</f>
        <v>22.592571039669934</v>
      </c>
      <c r="J9" s="133">
        <f>IF(SER_hh_emih!J9=0,0,SER_hh_emih!J9/SER_summary!J$26)</f>
        <v>23.400872459570635</v>
      </c>
      <c r="K9" s="133">
        <f>IF(SER_hh_emih!K9=0,0,SER_hh_emih!K9/SER_summary!K$26)</f>
        <v>22.698602878177944</v>
      </c>
      <c r="L9" s="133">
        <f>IF(SER_hh_emih!L9=0,0,SER_hh_emih!L9/SER_summary!L$26)</f>
        <v>26.839466333360967</v>
      </c>
      <c r="M9" s="133">
        <f>IF(SER_hh_emih!M9=0,0,SER_hh_emih!M9/SER_summary!M$26)</f>
        <v>23.145833532152622</v>
      </c>
      <c r="N9" s="133">
        <f>IF(SER_hh_emih!N9=0,0,SER_hh_emih!N9/SER_summary!N$26)</f>
        <v>20.238937151475941</v>
      </c>
      <c r="O9" s="133">
        <f>IF(SER_hh_emih!O9=0,0,SER_hh_emih!O9/SER_summary!O$26)</f>
        <v>19.199095453143187</v>
      </c>
      <c r="P9" s="133">
        <f>IF(SER_hh_emih!P9=0,0,SER_hh_emih!P9/SER_summary!P$26)</f>
        <v>16.000517922410165</v>
      </c>
      <c r="Q9" s="133">
        <f>IF(SER_hh_emih!Q9=0,0,SER_hh_emih!Q9/SER_summary!Q$26)</f>
        <v>19.118258153585355</v>
      </c>
      <c r="R9" s="133">
        <f>IF(SER_hh_emih!R9=0,0,SER_hh_emih!R9/SER_summary!R$26)</f>
        <v>19.872984643526721</v>
      </c>
      <c r="S9" s="133">
        <f>IF(SER_hh_emih!S9=0,0,SER_hh_emih!S9/SER_summary!S$26)</f>
        <v>20.87525320179493</v>
      </c>
      <c r="T9" s="133">
        <f>IF(SER_hh_emih!T9=0,0,SER_hh_emih!T9/SER_summary!T$26)</f>
        <v>21.81000338355139</v>
      </c>
      <c r="U9" s="133">
        <f>IF(SER_hh_emih!U9=0,0,SER_hh_emih!U9/SER_summary!U$26)</f>
        <v>21.983585207288286</v>
      </c>
      <c r="V9" s="133">
        <f>IF(SER_hh_emih!V9=0,0,SER_hh_emih!V9/SER_summary!V$26)</f>
        <v>19.921877216010795</v>
      </c>
      <c r="W9" s="133">
        <f>IF(SER_hh_emih!W9=0,0,SER_hh_emih!W9/SER_summary!W$26)</f>
        <v>23.396577731861544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5.1785816637381224E-3</v>
      </c>
      <c r="C16" s="131">
        <f>IF(SER_hh_emih!C16=0,0,SER_hh_emih!C16/SER_summary!C$26)</f>
        <v>4.7125958911816094E-3</v>
      </c>
      <c r="D16" s="131">
        <f>IF(SER_hh_emih!D16=0,0,SER_hh_emih!D16/SER_summary!D$26)</f>
        <v>4.9407250058636047E-3</v>
      </c>
      <c r="E16" s="131">
        <f>IF(SER_hh_emih!E16=0,0,SER_hh_emih!E16/SER_summary!E$26)</f>
        <v>1.0182034387641514E-2</v>
      </c>
      <c r="F16" s="131">
        <f>IF(SER_hh_emih!F16=0,0,SER_hh_emih!F16/SER_summary!F$26)</f>
        <v>5.4478960750123026E-3</v>
      </c>
      <c r="G16" s="131">
        <f>IF(SER_hh_emih!G16=0,0,SER_hh_emih!G16/SER_summary!G$26)</f>
        <v>5.6322344358025302E-3</v>
      </c>
      <c r="H16" s="131">
        <f>IF(SER_hh_emih!H16=0,0,SER_hh_emih!H16/SER_summary!H$26)</f>
        <v>6.4806563729873654E-3</v>
      </c>
      <c r="I16" s="131">
        <f>IF(SER_hh_emih!I16=0,0,SER_hh_emih!I16/SER_summary!I$26)</f>
        <v>8.1217808670633034E-3</v>
      </c>
      <c r="J16" s="131">
        <f>IF(SER_hh_emih!J16=0,0,SER_hh_emih!J16/SER_summary!J$26)</f>
        <v>7.1821733034220939E-3</v>
      </c>
      <c r="K16" s="131">
        <f>IF(SER_hh_emih!K16=0,0,SER_hh_emih!K16/SER_summary!K$26)</f>
        <v>5.8921816462772511E-3</v>
      </c>
      <c r="L16" s="131">
        <f>IF(SER_hh_emih!L16=0,0,SER_hh_emih!L16/SER_summary!L$26)</f>
        <v>6.5619485959990302E-3</v>
      </c>
      <c r="M16" s="131">
        <f>IF(SER_hh_emih!M16=0,0,SER_hh_emih!M16/SER_summary!M$26)</f>
        <v>7.5868318464749427E-3</v>
      </c>
      <c r="N16" s="131">
        <f>IF(SER_hh_emih!N16=0,0,SER_hh_emih!N16/SER_summary!N$26)</f>
        <v>1.0577503053898585E-2</v>
      </c>
      <c r="O16" s="131">
        <f>IF(SER_hh_emih!O16=0,0,SER_hh_emih!O16/SER_summary!O$26)</f>
        <v>9.2913851997137673E-3</v>
      </c>
      <c r="P16" s="131">
        <f>IF(SER_hh_emih!P16=0,0,SER_hh_emih!P16/SER_summary!P$26)</f>
        <v>7.469559241836776E-3</v>
      </c>
      <c r="Q16" s="131">
        <f>IF(SER_hh_emih!Q16=0,0,SER_hh_emih!Q16/SER_summary!Q$26)</f>
        <v>1.8021081051733806E-2</v>
      </c>
      <c r="R16" s="131">
        <f>IF(SER_hh_emih!R16=0,0,SER_hh_emih!R16/SER_summary!R$26)</f>
        <v>1.3888413606862614E-2</v>
      </c>
      <c r="S16" s="131">
        <f>IF(SER_hh_emih!S16=0,0,SER_hh_emih!S16/SER_summary!S$26)</f>
        <v>2.4144420950291175E-2</v>
      </c>
      <c r="T16" s="131">
        <f>IF(SER_hh_emih!T16=0,0,SER_hh_emih!T16/SER_summary!T$26)</f>
        <v>2.2296865678017915E-2</v>
      </c>
      <c r="U16" s="131">
        <f>IF(SER_hh_emih!U16=0,0,SER_hh_emih!U16/SER_summary!U$26)</f>
        <v>3.025680495256047E-2</v>
      </c>
      <c r="V16" s="131">
        <f>IF(SER_hh_emih!V16=0,0,SER_hh_emih!V16/SER_summary!V$26)</f>
        <v>2.3047597137625161E-2</v>
      </c>
      <c r="W16" s="131">
        <f>IF(SER_hh_emih!W16=0,0,SER_hh_emih!W16/SER_summary!W$26)</f>
        <v>3.1625560663878192E-2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4.2471971692186505</v>
      </c>
      <c r="C17" s="133">
        <f>IF(SER_hh_emih!C17=0,0,SER_hh_emih!C17/SER_summary!C$26)</f>
        <v>3.9993595063269471</v>
      </c>
      <c r="D17" s="133">
        <f>IF(SER_hh_emih!D17=0,0,SER_hh_emih!D17/SER_summary!D$26)</f>
        <v>3.8297114692733825</v>
      </c>
      <c r="E17" s="133">
        <f>IF(SER_hh_emih!E17=0,0,SER_hh_emih!E17/SER_summary!E$26)</f>
        <v>7.2512659909807606</v>
      </c>
      <c r="F17" s="133">
        <f>IF(SER_hh_emih!F17=0,0,SER_hh_emih!F17/SER_summary!F$26)</f>
        <v>3.7180716403706322</v>
      </c>
      <c r="G17" s="133">
        <f>IF(SER_hh_emih!G17=0,0,SER_hh_emih!G17/SER_summary!G$26)</f>
        <v>3.7339821443235977</v>
      </c>
      <c r="H17" s="133">
        <f>IF(SER_hh_emih!H17=0,0,SER_hh_emih!H17/SER_summary!H$26)</f>
        <v>4.2114315354122498</v>
      </c>
      <c r="I17" s="133">
        <f>IF(SER_hh_emih!I17=0,0,SER_hh_emih!I17/SER_summary!I$26)</f>
        <v>5.584892013907619</v>
      </c>
      <c r="J17" s="133">
        <f>IF(SER_hh_emih!J17=0,0,SER_hh_emih!J17/SER_summary!J$26)</f>
        <v>5.1280406228989115</v>
      </c>
      <c r="K17" s="133">
        <f>IF(SER_hh_emih!K17=0,0,SER_hh_emih!K17/SER_summary!K$26)</f>
        <v>4.0386809485180066</v>
      </c>
      <c r="L17" s="133">
        <f>IF(SER_hh_emih!L17=0,0,SER_hh_emih!L17/SER_summary!L$26)</f>
        <v>4.1237770245044691</v>
      </c>
      <c r="M17" s="133">
        <f>IF(SER_hh_emih!M17=0,0,SER_hh_emih!M17/SER_summary!M$26)</f>
        <v>4.4541802295303725</v>
      </c>
      <c r="N17" s="133">
        <f>IF(SER_hh_emih!N17=0,0,SER_hh_emih!N17/SER_summary!N$26)</f>
        <v>5.6799947751827036</v>
      </c>
      <c r="O17" s="133">
        <f>IF(SER_hh_emih!O17=0,0,SER_hh_emih!O17/SER_summary!O$26)</f>
        <v>4.4093516432826139</v>
      </c>
      <c r="P17" s="133">
        <f>IF(SER_hh_emih!P17=0,0,SER_hh_emih!P17/SER_summary!P$26)</f>
        <v>3.6101826343615269</v>
      </c>
      <c r="Q17" s="133">
        <f>IF(SER_hh_emih!Q17=0,0,SER_hh_emih!Q17/SER_summary!Q$26)</f>
        <v>5.944117674063202</v>
      </c>
      <c r="R17" s="133">
        <f>IF(SER_hh_emih!R17=0,0,SER_hh_emih!R17/SER_summary!R$26)</f>
        <v>3.9393296399696176</v>
      </c>
      <c r="S17" s="133">
        <f>IF(SER_hh_emih!S17=0,0,SER_hh_emih!S17/SER_summary!S$26)</f>
        <v>5.6293015881762019</v>
      </c>
      <c r="T17" s="133">
        <f>IF(SER_hh_emih!T17=0,0,SER_hh_emih!T17/SER_summary!T$26)</f>
        <v>4.1818901994148989</v>
      </c>
      <c r="U17" s="133">
        <f>IF(SER_hh_emih!U17=0,0,SER_hh_emih!U17/SER_summary!U$26)</f>
        <v>5.0106438522575587</v>
      </c>
      <c r="V17" s="133">
        <f>IF(SER_hh_emih!V17=0,0,SER_hh_emih!V17/SER_summary!V$26)</f>
        <v>3.899725190153668</v>
      </c>
      <c r="W17" s="133">
        <f>IF(SER_hh_emih!W17=0,0,SER_hh_emih!W17/SER_summary!W$26)</f>
        <v>5.0906349031695433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2.6325274123646261</v>
      </c>
      <c r="C19" s="131">
        <f>IF(SER_hh_emih!C19=0,0,SER_hh_emih!C19/SER_summary!C$26)</f>
        <v>2.7275438850218729</v>
      </c>
      <c r="D19" s="131">
        <f>IF(SER_hh_emih!D19=0,0,SER_hh_emih!D19/SER_summary!D$26)</f>
        <v>2.8150928550599463</v>
      </c>
      <c r="E19" s="131">
        <f>IF(SER_hh_emih!E19=0,0,SER_hh_emih!E19/SER_summary!E$26)</f>
        <v>2.7904858486366488</v>
      </c>
      <c r="F19" s="131">
        <f>IF(SER_hh_emih!F19=0,0,SER_hh_emih!F19/SER_summary!F$26)</f>
        <v>2.8355087298238222</v>
      </c>
      <c r="G19" s="131">
        <f>IF(SER_hh_emih!G19=0,0,SER_hh_emih!G19/SER_summary!G$26)</f>
        <v>2.881168369065696</v>
      </c>
      <c r="H19" s="131">
        <f>IF(SER_hh_emih!H19=0,0,SER_hh_emih!H19/SER_summary!H$26)</f>
        <v>2.7917093313366474</v>
      </c>
      <c r="I19" s="131">
        <f>IF(SER_hh_emih!I19=0,0,SER_hh_emih!I19/SER_summary!I$26)</f>
        <v>2.7328469758080214</v>
      </c>
      <c r="J19" s="131">
        <f>IF(SER_hh_emih!J19=0,0,SER_hh_emih!J19/SER_summary!J$26)</f>
        <v>2.7898863856086433</v>
      </c>
      <c r="K19" s="131">
        <f>IF(SER_hh_emih!K19=0,0,SER_hh_emih!K19/SER_summary!K$26)</f>
        <v>2.8142506899071318</v>
      </c>
      <c r="L19" s="131">
        <f>IF(SER_hh_emih!L19=0,0,SER_hh_emih!L19/SER_summary!L$26)</f>
        <v>2.8373980911271897</v>
      </c>
      <c r="M19" s="131">
        <f>IF(SER_hh_emih!M19=0,0,SER_hh_emih!M19/SER_summary!M$26)</f>
        <v>2.7698330743598412</v>
      </c>
      <c r="N19" s="131">
        <f>IF(SER_hh_emih!N19=0,0,SER_hh_emih!N19/SER_summary!N$26)</f>
        <v>2.7889279036889354</v>
      </c>
      <c r="O19" s="131">
        <f>IF(SER_hh_emih!O19=0,0,SER_hh_emih!O19/SER_summary!O$26)</f>
        <v>2.806504133398811</v>
      </c>
      <c r="P19" s="131">
        <f>IF(SER_hh_emih!P19=0,0,SER_hh_emih!P19/SER_summary!P$26)</f>
        <v>2.7491723064769142</v>
      </c>
      <c r="Q19" s="131">
        <f>IF(SER_hh_emih!Q19=0,0,SER_hh_emih!Q19/SER_summary!Q$26)</f>
        <v>2.7285270287127656</v>
      </c>
      <c r="R19" s="131">
        <f>IF(SER_hh_emih!R19=0,0,SER_hh_emih!R19/SER_summary!R$26)</f>
        <v>2.7713105253175638</v>
      </c>
      <c r="S19" s="131">
        <f>IF(SER_hh_emih!S19=0,0,SER_hh_emih!S19/SER_summary!S$26)</f>
        <v>2.7863061557631448</v>
      </c>
      <c r="T19" s="131">
        <f>IF(SER_hh_emih!T19=0,0,SER_hh_emih!T19/SER_summary!T$26)</f>
        <v>2.7614056002869489</v>
      </c>
      <c r="U19" s="131">
        <f>IF(SER_hh_emih!U19=0,0,SER_hh_emih!U19/SER_summary!U$26)</f>
        <v>2.7145999505740623</v>
      </c>
      <c r="V19" s="131">
        <f>IF(SER_hh_emih!V19=0,0,SER_hh_emih!V19/SER_summary!V$26)</f>
        <v>2.4027992813621628</v>
      </c>
      <c r="W19" s="131">
        <f>IF(SER_hh_emih!W19=0,0,SER_hh_emih!W19/SER_summary!W$26)</f>
        <v>2.5760383453359843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5.6617115676570355</v>
      </c>
      <c r="C21" s="133">
        <f>IF(SER_hh_emih!C21=0,0,SER_hh_emih!C21/SER_summary!C$26)</f>
        <v>6.3142612141879626</v>
      </c>
      <c r="D21" s="133">
        <f>IF(SER_hh_emih!D21=0,0,SER_hh_emih!D21/SER_summary!D$26)</f>
        <v>6.3981161007673624</v>
      </c>
      <c r="E21" s="133">
        <f>IF(SER_hh_emih!E21=0,0,SER_hh_emih!E21/SER_summary!E$26)</f>
        <v>6.2819198624021189</v>
      </c>
      <c r="F21" s="133">
        <f>IF(SER_hh_emih!F21=0,0,SER_hh_emih!F21/SER_summary!F$26)</f>
        <v>6.441708021352837</v>
      </c>
      <c r="G21" s="133">
        <f>IF(SER_hh_emih!G21=0,0,SER_hh_emih!G21/SER_summary!G$26)</f>
        <v>6.3300809537844875</v>
      </c>
      <c r="H21" s="133">
        <f>IF(SER_hh_emih!H21=0,0,SER_hh_emih!H21/SER_summary!H$26)</f>
        <v>6.2917518367349219</v>
      </c>
      <c r="I21" s="133">
        <f>IF(SER_hh_emih!I21=0,0,SER_hh_emih!I21/SER_summary!I$26)</f>
        <v>6.1477020331472154</v>
      </c>
      <c r="J21" s="133">
        <f>IF(SER_hh_emih!J21=0,0,SER_hh_emih!J21/SER_summary!J$26)</f>
        <v>6.258995299398892</v>
      </c>
      <c r="K21" s="133">
        <f>IF(SER_hh_emih!K21=0,0,SER_hh_emih!K21/SER_summary!K$26)</f>
        <v>6.4749172047328516</v>
      </c>
      <c r="L21" s="133">
        <f>IF(SER_hh_emih!L21=0,0,SER_hh_emih!L21/SER_summary!L$26)</f>
        <v>6.4199656528250619</v>
      </c>
      <c r="M21" s="133">
        <f>IF(SER_hh_emih!M21=0,0,SER_hh_emih!M21/SER_summary!M$26)</f>
        <v>6.3947894511293759</v>
      </c>
      <c r="N21" s="133">
        <f>IF(SER_hh_emih!N21=0,0,SER_hh_emih!N21/SER_summary!N$26)</f>
        <v>6.4323701352850442</v>
      </c>
      <c r="O21" s="133">
        <f>IF(SER_hh_emih!O21=0,0,SER_hh_emih!O21/SER_summary!O$26)</f>
        <v>6.4685997804261275</v>
      </c>
      <c r="P21" s="133">
        <f>IF(SER_hh_emih!P21=0,0,SER_hh_emih!P21/SER_summary!P$26)</f>
        <v>6.4058084374041089</v>
      </c>
      <c r="Q21" s="133">
        <f>IF(SER_hh_emih!Q21=0,0,SER_hh_emih!Q21/SER_summary!Q$26)</f>
        <v>6.3901204208769791</v>
      </c>
      <c r="R21" s="133">
        <f>IF(SER_hh_emih!R21=0,0,SER_hh_emih!R21/SER_summary!R$26)</f>
        <v>6.3322742163136896</v>
      </c>
      <c r="S21" s="133">
        <f>IF(SER_hh_emih!S21=0,0,SER_hh_emih!S21/SER_summary!S$26)</f>
        <v>6.1443189161992819</v>
      </c>
      <c r="T21" s="133">
        <f>IF(SER_hh_emih!T21=0,0,SER_hh_emih!T21/SER_summary!T$26)</f>
        <v>6.142611657792215</v>
      </c>
      <c r="U21" s="133">
        <f>IF(SER_hh_emih!U21=0,0,SER_hh_emih!U21/SER_summary!U$26)</f>
        <v>5.9377190261699955</v>
      </c>
      <c r="V21" s="133">
        <f>IF(SER_hh_emih!V21=0,0,SER_hh_emih!V21/SER_summary!V$26)</f>
        <v>5.1454257477725696</v>
      </c>
      <c r="W21" s="133">
        <f>IF(SER_hh_emih!W21=0,0,SER_hh_emih!W21/SER_summary!W$26)</f>
        <v>5.4715364922335885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7.5591546878370064</v>
      </c>
      <c r="C22" s="133">
        <f>IF(SER_hh_emih!C22=0,0,SER_hh_emih!C22/SER_summary!C$26)</f>
        <v>7.7658109045564325</v>
      </c>
      <c r="D22" s="133">
        <f>IF(SER_hh_emih!D22=0,0,SER_hh_emih!D22/SER_summary!D$26)</f>
        <v>7.8465817040336194</v>
      </c>
      <c r="E22" s="133">
        <f>IF(SER_hh_emih!E22=0,0,SER_hh_emih!E22/SER_summary!E$26)</f>
        <v>7.8912297535777771</v>
      </c>
      <c r="F22" s="133">
        <f>IF(SER_hh_emih!F22=0,0,SER_hh_emih!F22/SER_summary!F$26)</f>
        <v>7.8911518382000567</v>
      </c>
      <c r="G22" s="133">
        <f>IF(SER_hh_emih!G22=0,0,SER_hh_emih!G22/SER_summary!G$26)</f>
        <v>8.0048534127975177</v>
      </c>
      <c r="H22" s="133">
        <f>IF(SER_hh_emih!H22=0,0,SER_hh_emih!H22/SER_summary!H$26)</f>
        <v>7.8405082764324048</v>
      </c>
      <c r="I22" s="133">
        <f>IF(SER_hh_emih!I22=0,0,SER_hh_emih!I22/SER_summary!I$26)</f>
        <v>7.9414194741712656</v>
      </c>
      <c r="J22" s="133">
        <f>IF(SER_hh_emih!J22=0,0,SER_hh_emih!J22/SER_summary!J$26)</f>
        <v>7.9433939759734704</v>
      </c>
      <c r="K22" s="133">
        <f>IF(SER_hh_emih!K22=0,0,SER_hh_emih!K22/SER_summary!K$26)</f>
        <v>8.0692741671704571</v>
      </c>
      <c r="L22" s="133">
        <f>IF(SER_hh_emih!L22=0,0,SER_hh_emih!L22/SER_summary!L$26)</f>
        <v>8.1905931000922649</v>
      </c>
      <c r="M22" s="133">
        <f>IF(SER_hh_emih!M22=0,0,SER_hh_emih!M22/SER_summary!M$26)</f>
        <v>8.0180423567992474</v>
      </c>
      <c r="N22" s="133">
        <f>IF(SER_hh_emih!N22=0,0,SER_hh_emih!N22/SER_summary!N$26)</f>
        <v>8.1150023226378671</v>
      </c>
      <c r="O22" s="133">
        <f>IF(SER_hh_emih!O22=0,0,SER_hh_emih!O22/SER_summary!O$26)</f>
        <v>8.2419664731704376</v>
      </c>
      <c r="P22" s="133">
        <f>IF(SER_hh_emih!P22=0,0,SER_hh_emih!P22/SER_summary!P$26)</f>
        <v>8.1490449656193409</v>
      </c>
      <c r="Q22" s="133">
        <f>IF(SER_hh_emih!Q22=0,0,SER_hh_emih!Q22/SER_summary!Q$26)</f>
        <v>8.0319446889957593</v>
      </c>
      <c r="R22" s="133">
        <f>IF(SER_hh_emih!R22=0,0,SER_hh_emih!R22/SER_summary!R$26)</f>
        <v>7.9181473457573759</v>
      </c>
      <c r="S22" s="133">
        <f>IF(SER_hh_emih!S22=0,0,SER_hh_emih!S22/SER_summary!S$26)</f>
        <v>7.6907265578587705</v>
      </c>
      <c r="T22" s="133">
        <f>IF(SER_hh_emih!T22=0,0,SER_hh_emih!T22/SER_summary!T$26)</f>
        <v>7.3976714058219404</v>
      </c>
      <c r="U22" s="133">
        <f>IF(SER_hh_emih!U22=0,0,SER_hh_emih!U22/SER_summary!U$26)</f>
        <v>7.3145325036557098</v>
      </c>
      <c r="V22" s="133">
        <f>IF(SER_hh_emih!V22=0,0,SER_hh_emih!V22/SER_summary!V$26)</f>
        <v>6.2903411971531353</v>
      </c>
      <c r="W22" s="133">
        <f>IF(SER_hh_emih!W22=0,0,SER_hh_emih!W22/SER_summary!W$26)</f>
        <v>6.4801454916021886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5.5655141038786375</v>
      </c>
      <c r="C23" s="133">
        <f>IF(SER_hh_emih!C23=0,0,SER_hh_emih!C23/SER_summary!C$26)</f>
        <v>5.6771575230911795</v>
      </c>
      <c r="D23" s="133">
        <f>IF(SER_hh_emih!D23=0,0,SER_hh_emih!D23/SER_summary!D$26)</f>
        <v>5.7387601940773925</v>
      </c>
      <c r="E23" s="133">
        <f>IF(SER_hh_emih!E23=0,0,SER_hh_emih!E23/SER_summary!E$26)</f>
        <v>5.6472342182415316</v>
      </c>
      <c r="F23" s="133">
        <f>IF(SER_hh_emih!F23=0,0,SER_hh_emih!F23/SER_summary!F$26)</f>
        <v>5.7011883781612269</v>
      </c>
      <c r="G23" s="133">
        <f>IF(SER_hh_emih!G23=0,0,SER_hh_emih!G23/SER_summary!G$26)</f>
        <v>5.7230682061760394</v>
      </c>
      <c r="H23" s="133">
        <f>IF(SER_hh_emih!H23=0,0,SER_hh_emih!H23/SER_summary!H$26)</f>
        <v>5.5459183004443888</v>
      </c>
      <c r="I23" s="133">
        <f>IF(SER_hh_emih!I23=0,0,SER_hh_emih!I23/SER_summary!I$26)</f>
        <v>5.4098114584065442</v>
      </c>
      <c r="J23" s="133">
        <f>IF(SER_hh_emih!J23=0,0,SER_hh_emih!J23/SER_summary!J$26)</f>
        <v>5.4836890526513082</v>
      </c>
      <c r="K23" s="133">
        <f>IF(SER_hh_emih!K23=0,0,SER_hh_emih!K23/SER_summary!K$26)</f>
        <v>5.4026116415081979</v>
      </c>
      <c r="L23" s="133">
        <f>IF(SER_hh_emih!L23=0,0,SER_hh_emih!L23/SER_summary!L$26)</f>
        <v>5.397866782846461</v>
      </c>
      <c r="M23" s="133">
        <f>IF(SER_hh_emih!M23=0,0,SER_hh_emih!M23/SER_summary!M$26)</f>
        <v>5.362775735735446</v>
      </c>
      <c r="N23" s="133">
        <f>IF(SER_hh_emih!N23=0,0,SER_hh_emih!N23/SER_summary!N$26)</f>
        <v>5.3409897695267299</v>
      </c>
      <c r="O23" s="133">
        <f>IF(SER_hh_emih!O23=0,0,SER_hh_emih!O23/SER_summary!O$26)</f>
        <v>5.2996545473556651</v>
      </c>
      <c r="P23" s="133">
        <f>IF(SER_hh_emih!P23=0,0,SER_hh_emih!P23/SER_summary!P$26)</f>
        <v>5.2044300366801082</v>
      </c>
      <c r="Q23" s="133">
        <f>IF(SER_hh_emih!Q23=0,0,SER_hh_emih!Q23/SER_summary!Q$26)</f>
        <v>5.1284841422180945</v>
      </c>
      <c r="R23" s="133">
        <f>IF(SER_hh_emih!R23=0,0,SER_hh_emih!R23/SER_summary!R$26)</f>
        <v>5.0111133569432207</v>
      </c>
      <c r="S23" s="133">
        <f>IF(SER_hh_emih!S23=0,0,SER_hh_emih!S23/SER_summary!S$26)</f>
        <v>4.9733845859201562</v>
      </c>
      <c r="T23" s="133">
        <f>IF(SER_hh_emih!T23=0,0,SER_hh_emih!T23/SER_summary!T$26)</f>
        <v>4.8735321242855223</v>
      </c>
      <c r="U23" s="133">
        <f>IF(SER_hh_emih!U23=0,0,SER_hh_emih!U23/SER_summary!U$26)</f>
        <v>4.7381604804194373</v>
      </c>
      <c r="V23" s="133">
        <f>IF(SER_hh_emih!V23=0,0,SER_hh_emih!V23/SER_summary!V$26)</f>
        <v>4.2463052853441212</v>
      </c>
      <c r="W23" s="133">
        <f>IF(SER_hh_emih!W23=0,0,SER_hh_emih!W23/SER_summary!W$26)</f>
        <v>4.5039970633505275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0.77032681462923847</v>
      </c>
      <c r="C29" s="131">
        <f>IF(SER_hh_emih!C29=0,0,SER_hh_emih!C29/SER_summary!C$26)</f>
        <v>1.0354794975457577</v>
      </c>
      <c r="D29" s="131">
        <f>IF(SER_hh_emih!D29=0,0,SER_hh_emih!D29/SER_summary!D$26)</f>
        <v>0.97917192217002669</v>
      </c>
      <c r="E29" s="131">
        <f>IF(SER_hh_emih!E29=0,0,SER_hh_emih!E29/SER_summary!E$26)</f>
        <v>1.0100925295432757</v>
      </c>
      <c r="F29" s="131">
        <f>IF(SER_hh_emih!F29=0,0,SER_hh_emih!F29/SER_summary!F$26)</f>
        <v>1.0538256959921517</v>
      </c>
      <c r="G29" s="131">
        <f>IF(SER_hh_emih!G29=0,0,SER_hh_emih!G29/SER_summary!G$26)</f>
        <v>1.0259497502361077</v>
      </c>
      <c r="H29" s="131">
        <f>IF(SER_hh_emih!H29=0,0,SER_hh_emih!H29/SER_summary!H$26)</f>
        <v>1.0511946994988319</v>
      </c>
      <c r="I29" s="131">
        <f>IF(SER_hh_emih!I29=0,0,SER_hh_emih!I29/SER_summary!I$26)</f>
        <v>1.0172426764133786</v>
      </c>
      <c r="J29" s="131">
        <f>IF(SER_hh_emih!J29=0,0,SER_hh_emih!J29/SER_summary!J$26)</f>
        <v>1.0793522553798949</v>
      </c>
      <c r="K29" s="131">
        <f>IF(SER_hh_emih!K29=0,0,SER_hh_emih!K29/SER_summary!K$26)</f>
        <v>1.2095148604277992</v>
      </c>
      <c r="L29" s="131">
        <f>IF(SER_hh_emih!L29=0,0,SER_hh_emih!L29/SER_summary!L$26)</f>
        <v>1.2793524195554242</v>
      </c>
      <c r="M29" s="131">
        <f>IF(SER_hh_emih!M29=0,0,SER_hh_emih!M29/SER_summary!M$26)</f>
        <v>1.2119103260679618</v>
      </c>
      <c r="N29" s="131">
        <f>IF(SER_hh_emih!N29=0,0,SER_hh_emih!N29/SER_summary!N$26)</f>
        <v>1.2570631915245019</v>
      </c>
      <c r="O29" s="131">
        <f>IF(SER_hh_emih!O29=0,0,SER_hh_emih!O29/SER_summary!O$26)</f>
        <v>1.2599808660909408</v>
      </c>
      <c r="P29" s="131">
        <f>IF(SER_hh_emih!P29=0,0,SER_hh_emih!P29/SER_summary!P$26)</f>
        <v>1.241051017637697</v>
      </c>
      <c r="Q29" s="131">
        <f>IF(SER_hh_emih!Q29=0,0,SER_hh_emih!Q29/SER_summary!Q$26)</f>
        <v>1.2551324965777961</v>
      </c>
      <c r="R29" s="131">
        <f>IF(SER_hh_emih!R29=0,0,SER_hh_emih!R29/SER_summary!R$26)</f>
        <v>1.3546510138712387</v>
      </c>
      <c r="S29" s="131">
        <f>IF(SER_hh_emih!S29=0,0,SER_hh_emih!S29/SER_summary!S$26)</f>
        <v>1.3577949997235748</v>
      </c>
      <c r="T29" s="131">
        <f>IF(SER_hh_emih!T29=0,0,SER_hh_emih!T29/SER_summary!T$26)</f>
        <v>1.3524762334135769</v>
      </c>
      <c r="U29" s="131">
        <f>IF(SER_hh_emih!U29=0,0,SER_hh_emih!U29/SER_summary!U$26)</f>
        <v>1.3825623045713984</v>
      </c>
      <c r="V29" s="131">
        <f>IF(SER_hh_emih!V29=0,0,SER_hh_emih!V29/SER_summary!V$26)</f>
        <v>1.1870887488884003</v>
      </c>
      <c r="W29" s="131">
        <f>IF(SER_hh_emih!W29=0,0,SER_hh_emih!W29/SER_summary!W$26)</f>
        <v>1.3840028485827554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4.2136131371021301</v>
      </c>
      <c r="C30" s="133">
        <f>IF(SER_hh_emih!C30=0,0,SER_hh_emih!C30/SER_summary!C$26)</f>
        <v>8.2691775973398496</v>
      </c>
      <c r="D30" s="133">
        <f>IF(SER_hh_emih!D30=0,0,SER_hh_emih!D30/SER_summary!D$26)</f>
        <v>6.4982377423562765</v>
      </c>
      <c r="E30" s="133">
        <f>IF(SER_hh_emih!E30=0,0,SER_hh_emih!E30/SER_summary!E$26)</f>
        <v>6.733081158999453</v>
      </c>
      <c r="F30" s="133">
        <f>IF(SER_hh_emih!F30=0,0,SER_hh_emih!F30/SER_summary!F$26)</f>
        <v>7.2320651388287791</v>
      </c>
      <c r="G30" s="133">
        <f>IF(SER_hh_emih!G30=0,0,SER_hh_emih!G30/SER_summary!G$26)</f>
        <v>6.5955186816291977</v>
      </c>
      <c r="H30" s="133">
        <f>IF(SER_hh_emih!H30=0,0,SER_hh_emih!H30/SER_summary!H$26)</f>
        <v>7.2004773912462445</v>
      </c>
      <c r="I30" s="133">
        <f>IF(SER_hh_emih!I30=0,0,SER_hh_emih!I30/SER_summary!I$26)</f>
        <v>6.7285736929752007</v>
      </c>
      <c r="J30" s="133">
        <f>IF(SER_hh_emih!J30=0,0,SER_hh_emih!J30/SER_summary!J$26)</f>
        <v>6.9098794744729553</v>
      </c>
      <c r="K30" s="133">
        <f>IF(SER_hh_emih!K30=0,0,SER_hh_emih!K30/SER_summary!K$26)</f>
        <v>8.1254647527484973</v>
      </c>
      <c r="L30" s="133">
        <f>IF(SER_hh_emih!L30=0,0,SER_hh_emih!L30/SER_summary!L$26)</f>
        <v>8.8159967978450844</v>
      </c>
      <c r="M30" s="133">
        <f>IF(SER_hh_emih!M30=0,0,SER_hh_emih!M30/SER_summary!M$26)</f>
        <v>7.7578622439322569</v>
      </c>
      <c r="N30" s="133">
        <f>IF(SER_hh_emih!N30=0,0,SER_hh_emih!N30/SER_summary!N$26)</f>
        <v>7.7926065370163</v>
      </c>
      <c r="O30" s="133">
        <f>IF(SER_hh_emih!O30=0,0,SER_hh_emih!O30/SER_summary!O$26)</f>
        <v>8.0160187999436001</v>
      </c>
      <c r="P30" s="133">
        <f>IF(SER_hh_emih!P30=0,0,SER_hh_emih!P30/SER_summary!P$26)</f>
        <v>8.0431915557546301</v>
      </c>
      <c r="Q30" s="133">
        <f>IF(SER_hh_emih!Q30=0,0,SER_hh_emih!Q30/SER_summary!Q$26)</f>
        <v>7.966710602604234</v>
      </c>
      <c r="R30" s="133">
        <f>IF(SER_hh_emih!R30=0,0,SER_hh_emih!R30/SER_summary!R$26)</f>
        <v>8.911302748886472</v>
      </c>
      <c r="S30" s="133">
        <f>IF(SER_hh_emih!S30=0,0,SER_hh_emih!S30/SER_summary!S$26)</f>
        <v>8.3966642236244216</v>
      </c>
      <c r="T30" s="133">
        <f>IF(SER_hh_emih!T30=0,0,SER_hh_emih!T30/SER_summary!T$26)</f>
        <v>8.275142719084684</v>
      </c>
      <c r="U30" s="133">
        <f>IF(SER_hh_emih!U30=0,0,SER_hh_emih!U30/SER_summary!U$26)</f>
        <v>9.0133618536472166</v>
      </c>
      <c r="V30" s="133">
        <f>IF(SER_hh_emih!V30=0,0,SER_hh_emih!V30/SER_summary!V$26)</f>
        <v>7.3746688616102656</v>
      </c>
      <c r="W30" s="133">
        <f>IF(SER_hh_emih!W30=0,0,SER_hh_emih!W30/SER_summary!W$26)</f>
        <v>8.875016026287236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5.8095578966354511</v>
      </c>
      <c r="C31" s="133">
        <f>IF(SER_hh_emih!C31=0,0,SER_hh_emih!C31/SER_summary!C$26)</f>
        <v>6.0207947919149909</v>
      </c>
      <c r="D31" s="133">
        <f>IF(SER_hh_emih!D31=0,0,SER_hh_emih!D31/SER_summary!D$26)</f>
        <v>6.0386421326046475</v>
      </c>
      <c r="E31" s="133">
        <f>IF(SER_hh_emih!E31=0,0,SER_hh_emih!E31/SER_summary!E$26)</f>
        <v>5.9610513962420324</v>
      </c>
      <c r="F31" s="133">
        <f>IF(SER_hh_emih!F31=0,0,SER_hh_emih!F31/SER_summary!F$26)</f>
        <v>5.9256884618071126</v>
      </c>
      <c r="G31" s="133">
        <f>IF(SER_hh_emih!G31=0,0,SER_hh_emih!G31/SER_summary!G$26)</f>
        <v>6.0920420926558174</v>
      </c>
      <c r="H31" s="133">
        <f>IF(SER_hh_emih!H31=0,0,SER_hh_emih!H31/SER_summary!H$26)</f>
        <v>6.0614469821217432</v>
      </c>
      <c r="I31" s="133">
        <f>IF(SER_hh_emih!I31=0,0,SER_hh_emih!I31/SER_summary!I$26)</f>
        <v>6.2323151145297206</v>
      </c>
      <c r="J31" s="133">
        <f>IF(SER_hh_emih!J31=0,0,SER_hh_emih!J31/SER_summary!J$26)</f>
        <v>6.4470766726580342</v>
      </c>
      <c r="K31" s="133">
        <f>IF(SER_hh_emih!K31=0,0,SER_hh_emih!K31/SER_summary!K$26)</f>
        <v>6.5965534470585006</v>
      </c>
      <c r="L31" s="133">
        <f>IF(SER_hh_emih!L31=0,0,SER_hh_emih!L31/SER_summary!L$26)</f>
        <v>6.6076912313085208</v>
      </c>
      <c r="M31" s="133">
        <f>IF(SER_hh_emih!M31=0,0,SER_hh_emih!M31/SER_summary!M$26)</f>
        <v>6.7698024741803593</v>
      </c>
      <c r="N31" s="133">
        <f>IF(SER_hh_emih!N31=0,0,SER_hh_emih!N31/SER_summary!N$26)</f>
        <v>7.0455220621395966</v>
      </c>
      <c r="O31" s="133">
        <f>IF(SER_hh_emih!O31=0,0,SER_hh_emih!O31/SER_summary!O$26)</f>
        <v>7.0054498424531841</v>
      </c>
      <c r="P31" s="133">
        <f>IF(SER_hh_emih!P31=0,0,SER_hh_emih!P31/SER_summary!P$26)</f>
        <v>7.0305452989217603</v>
      </c>
      <c r="Q31" s="133">
        <f>IF(SER_hh_emih!Q31=0,0,SER_hh_emih!Q31/SER_summary!Q$26)</f>
        <v>7.2869494744859304</v>
      </c>
      <c r="R31" s="133">
        <f>IF(SER_hh_emih!R31=0,0,SER_hh_emih!R31/SER_summary!R$26)</f>
        <v>7.3415147424593332</v>
      </c>
      <c r="S31" s="133">
        <f>IF(SER_hh_emih!S31=0,0,SER_hh_emih!S31/SER_summary!S$26)</f>
        <v>7.633068885269048</v>
      </c>
      <c r="T31" s="133">
        <f>IF(SER_hh_emih!T31=0,0,SER_hh_emih!T31/SER_summary!T$26)</f>
        <v>7.7006824395501026</v>
      </c>
      <c r="U31" s="133">
        <f>IF(SER_hh_emih!U31=0,0,SER_hh_emih!U31/SER_summary!U$26)</f>
        <v>7.5324915398795049</v>
      </c>
      <c r="V31" s="133">
        <f>IF(SER_hh_emih!V31=0,0,SER_hh_emih!V31/SER_summary!V$26)</f>
        <v>6.714568585576588</v>
      </c>
      <c r="W31" s="133">
        <f>IF(SER_hh_emih!W31=0,0,SER_hh_emih!W31/SER_summary!W$26)</f>
        <v>7.666867029018845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1337.8264947964008</v>
      </c>
      <c r="D3" s="125">
        <f t="shared" si="0"/>
        <v>1452.4458958303217</v>
      </c>
      <c r="E3" s="125">
        <f t="shared" si="0"/>
        <v>1986.0602194382861</v>
      </c>
      <c r="F3" s="125">
        <f t="shared" si="0"/>
        <v>1488.8085417479883</v>
      </c>
      <c r="G3" s="125">
        <f t="shared" si="0"/>
        <v>1487.0483926629695</v>
      </c>
      <c r="H3" s="125">
        <f t="shared" si="0"/>
        <v>2115.0896767780346</v>
      </c>
      <c r="I3" s="125">
        <f t="shared" si="0"/>
        <v>2218.9451982418218</v>
      </c>
      <c r="J3" s="125">
        <f t="shared" si="0"/>
        <v>1058.0383596082784</v>
      </c>
      <c r="K3" s="125">
        <f t="shared" si="0"/>
        <v>776.513483945301</v>
      </c>
      <c r="L3" s="125">
        <f t="shared" si="0"/>
        <v>392.70263348415506</v>
      </c>
      <c r="M3" s="125">
        <f t="shared" si="0"/>
        <v>702.38881857395847</v>
      </c>
      <c r="N3" s="125">
        <f t="shared" si="0"/>
        <v>175.28347633652706</v>
      </c>
      <c r="O3" s="125">
        <f t="shared" si="0"/>
        <v>176.67645039564508</v>
      </c>
      <c r="P3" s="125">
        <f t="shared" si="0"/>
        <v>1461.4106133184459</v>
      </c>
      <c r="Q3" s="125">
        <f t="shared" si="0"/>
        <v>1649.9640930767225</v>
      </c>
      <c r="R3" s="125">
        <f t="shared" si="0"/>
        <v>672.76712240084157</v>
      </c>
      <c r="S3" s="125">
        <f t="shared" si="0"/>
        <v>626.44459646534642</v>
      </c>
      <c r="T3" s="125">
        <f t="shared" si="0"/>
        <v>743.22898985092866</v>
      </c>
      <c r="U3" s="125">
        <f t="shared" si="0"/>
        <v>755.77482765026127</v>
      </c>
      <c r="V3" s="125">
        <f t="shared" si="0"/>
        <v>766.32506004415416</v>
      </c>
      <c r="W3" s="125">
        <f t="shared" si="0"/>
        <v>752.54067665983587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1337.8264947964008</v>
      </c>
      <c r="D4" s="140">
        <f t="shared" si="1"/>
        <v>1452.4458958303217</v>
      </c>
      <c r="E4" s="140">
        <f t="shared" si="1"/>
        <v>1986.0602194382861</v>
      </c>
      <c r="F4" s="140">
        <f t="shared" si="1"/>
        <v>1488.8085417479883</v>
      </c>
      <c r="G4" s="140">
        <f t="shared" si="1"/>
        <v>1487.0483926629695</v>
      </c>
      <c r="H4" s="140">
        <f t="shared" si="1"/>
        <v>2115.0896767780346</v>
      </c>
      <c r="I4" s="140">
        <f t="shared" si="1"/>
        <v>2218.9451982418218</v>
      </c>
      <c r="J4" s="140">
        <f t="shared" si="1"/>
        <v>1058.0383596082784</v>
      </c>
      <c r="K4" s="140">
        <f t="shared" si="1"/>
        <v>776.513483945301</v>
      </c>
      <c r="L4" s="140">
        <f t="shared" si="1"/>
        <v>392.70263348415506</v>
      </c>
      <c r="M4" s="140">
        <f t="shared" si="1"/>
        <v>702.38881857395847</v>
      </c>
      <c r="N4" s="140">
        <f t="shared" si="1"/>
        <v>175.28347633652706</v>
      </c>
      <c r="O4" s="140">
        <f t="shared" si="1"/>
        <v>176.67645039564508</v>
      </c>
      <c r="P4" s="140">
        <f t="shared" si="1"/>
        <v>1461.4106133184459</v>
      </c>
      <c r="Q4" s="140">
        <f t="shared" si="1"/>
        <v>1649.9640930767225</v>
      </c>
      <c r="R4" s="140">
        <f t="shared" ref="R4:W4" si="2">SUM(R5:R14)</f>
        <v>672.76712240084157</v>
      </c>
      <c r="S4" s="140">
        <f t="shared" si="2"/>
        <v>626.44459646534642</v>
      </c>
      <c r="T4" s="140">
        <f t="shared" si="2"/>
        <v>743.22898985092866</v>
      </c>
      <c r="U4" s="140">
        <f t="shared" si="2"/>
        <v>755.77482765026127</v>
      </c>
      <c r="V4" s="140">
        <f t="shared" si="2"/>
        <v>766.32506004415416</v>
      </c>
      <c r="W4" s="140">
        <f t="shared" si="2"/>
        <v>752.54067665983587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6.8583705112671547</v>
      </c>
      <c r="D5" s="141">
        <v>6.5467811229006152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5.1126079412939571</v>
      </c>
      <c r="K5" s="141">
        <v>2.4995805398186888</v>
      </c>
      <c r="L5" s="141">
        <v>3.9346146941107283</v>
      </c>
      <c r="M5" s="141">
        <v>5.753231884642009</v>
      </c>
      <c r="N5" s="141">
        <v>1.3595984663957534</v>
      </c>
      <c r="O5" s="141">
        <v>0</v>
      </c>
      <c r="P5" s="141">
        <v>0</v>
      </c>
      <c r="Q5" s="141">
        <v>0</v>
      </c>
      <c r="R5" s="141">
        <v>0</v>
      </c>
      <c r="S5" s="141">
        <v>0.15138995071432187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461.55166974229229</v>
      </c>
      <c r="D7" s="141">
        <v>464.49214253028885</v>
      </c>
      <c r="E7" s="141">
        <v>563.39843866778983</v>
      </c>
      <c r="F7" s="141">
        <v>154.740093487189</v>
      </c>
      <c r="G7" s="141">
        <v>7.2197207715970126</v>
      </c>
      <c r="H7" s="141">
        <v>0</v>
      </c>
      <c r="I7" s="141">
        <v>0</v>
      </c>
      <c r="J7" s="141">
        <v>0</v>
      </c>
      <c r="K7" s="141">
        <v>25.614501196693116</v>
      </c>
      <c r="L7" s="141">
        <v>36.081493961796774</v>
      </c>
      <c r="M7" s="141">
        <v>92.537094285303553</v>
      </c>
      <c r="N7" s="141">
        <v>25.775404940896443</v>
      </c>
      <c r="O7" s="141">
        <v>26.721152246858406</v>
      </c>
      <c r="P7" s="141">
        <v>69.756635736720739</v>
      </c>
      <c r="Q7" s="141">
        <v>199.08553341254483</v>
      </c>
      <c r="R7" s="141">
        <v>59.283040448700284</v>
      </c>
      <c r="S7" s="141">
        <v>26.011830485120779</v>
      </c>
      <c r="T7" s="141">
        <v>0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352.50170778220956</v>
      </c>
      <c r="D9" s="141">
        <v>258.21510912890034</v>
      </c>
      <c r="E9" s="141">
        <v>436.98986159696432</v>
      </c>
      <c r="F9" s="141">
        <v>393.20310777928256</v>
      </c>
      <c r="G9" s="141">
        <v>483.81639723130098</v>
      </c>
      <c r="H9" s="141">
        <v>588.30373939318793</v>
      </c>
      <c r="I9" s="141">
        <v>583.76745035705255</v>
      </c>
      <c r="J9" s="141">
        <v>359.34606823373065</v>
      </c>
      <c r="K9" s="141">
        <v>291.0368030680994</v>
      </c>
      <c r="L9" s="141">
        <v>144.04912891724214</v>
      </c>
      <c r="M9" s="141">
        <v>131.27761480621024</v>
      </c>
      <c r="N9" s="141">
        <v>59.843498314481138</v>
      </c>
      <c r="O9" s="141">
        <v>89.836609523406324</v>
      </c>
      <c r="P9" s="141">
        <v>973.09487245564731</v>
      </c>
      <c r="Q9" s="141">
        <v>1155.7746394237404</v>
      </c>
      <c r="R9" s="141">
        <v>263.22815285515946</v>
      </c>
      <c r="S9" s="141">
        <v>170.02061827444541</v>
      </c>
      <c r="T9" s="141">
        <v>225.85721312396279</v>
      </c>
      <c r="U9" s="141">
        <v>286.23473922259859</v>
      </c>
      <c r="V9" s="141">
        <v>343.47475655082638</v>
      </c>
      <c r="W9" s="141">
        <v>323.58585744116027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68.545472504991579</v>
      </c>
      <c r="J10" s="141">
        <v>11.022163104845097</v>
      </c>
      <c r="K10" s="141">
        <v>9.7679758460428285</v>
      </c>
      <c r="L10" s="141">
        <v>0.56105518297681789</v>
      </c>
      <c r="M10" s="141">
        <v>4.7980201185077647</v>
      </c>
      <c r="N10" s="141">
        <v>1.4283598484036404</v>
      </c>
      <c r="O10" s="141">
        <v>2.8330945823668343</v>
      </c>
      <c r="P10" s="141">
        <v>44.76809743168905</v>
      </c>
      <c r="Q10" s="141">
        <v>43.19787793617062</v>
      </c>
      <c r="R10" s="141">
        <v>22.185074191087075</v>
      </c>
      <c r="S10" s="141">
        <v>17.511952310950434</v>
      </c>
      <c r="T10" s="141">
        <v>25.272062974773434</v>
      </c>
      <c r="U10" s="141">
        <v>26.014662450080344</v>
      </c>
      <c r="V10" s="141">
        <v>30.4997391352383</v>
      </c>
      <c r="W10" s="141">
        <v>20.55535070694193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173.51869922469723</v>
      </c>
      <c r="J11" s="141">
        <v>38.592798984393475</v>
      </c>
      <c r="K11" s="141">
        <v>33.863086768614281</v>
      </c>
      <c r="L11" s="141">
        <v>24.396593559068574</v>
      </c>
      <c r="M11" s="141">
        <v>25.242055166832984</v>
      </c>
      <c r="N11" s="141">
        <v>3.8333857066920443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146.90500107460886</v>
      </c>
      <c r="D12" s="141">
        <v>259.95597357338283</v>
      </c>
      <c r="E12" s="141">
        <v>389.54512954551666</v>
      </c>
      <c r="F12" s="141">
        <v>252.31443398875481</v>
      </c>
      <c r="G12" s="141">
        <v>267.07892995262353</v>
      </c>
      <c r="H12" s="141">
        <v>238.13499092441978</v>
      </c>
      <c r="I12" s="141">
        <v>314.55459134943845</v>
      </c>
      <c r="J12" s="141">
        <v>205.89277966083827</v>
      </c>
      <c r="K12" s="141">
        <v>205.89104286029217</v>
      </c>
      <c r="L12" s="141">
        <v>121.3470370583846</v>
      </c>
      <c r="M12" s="141">
        <v>197.10823632833208</v>
      </c>
      <c r="N12" s="141">
        <v>54.162884482303561</v>
      </c>
      <c r="O12" s="141">
        <v>38.569397415940614</v>
      </c>
      <c r="P12" s="141">
        <v>17.49796412848783</v>
      </c>
      <c r="Q12" s="141">
        <v>15.870037659501463</v>
      </c>
      <c r="R12" s="141">
        <v>3.3638168417614902</v>
      </c>
      <c r="S12" s="141">
        <v>0</v>
      </c>
      <c r="T12" s="141">
        <v>35.902005675675348</v>
      </c>
      <c r="U12" s="141">
        <v>100.10722968203615</v>
      </c>
      <c r="V12" s="141">
        <v>186.33189173791527</v>
      </c>
      <c r="W12" s="141">
        <v>173.11406195543083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370.00974568602294</v>
      </c>
      <c r="D14" s="142">
        <v>463.23588947484905</v>
      </c>
      <c r="E14" s="142">
        <v>596.12678962801533</v>
      </c>
      <c r="F14" s="142">
        <v>688.55090649276201</v>
      </c>
      <c r="G14" s="142">
        <v>728.9333447074481</v>
      </c>
      <c r="H14" s="142">
        <v>1288.6509464604269</v>
      </c>
      <c r="I14" s="142">
        <v>1078.558984805642</v>
      </c>
      <c r="J14" s="142">
        <v>438.07194168317676</v>
      </c>
      <c r="K14" s="142">
        <v>207.84049366574044</v>
      </c>
      <c r="L14" s="142">
        <v>62.332710110575398</v>
      </c>
      <c r="M14" s="142">
        <v>245.67256598412988</v>
      </c>
      <c r="N14" s="142">
        <v>28.880344577354467</v>
      </c>
      <c r="O14" s="142">
        <v>18.716196627072886</v>
      </c>
      <c r="P14" s="142">
        <v>356.29304356590097</v>
      </c>
      <c r="Q14" s="142">
        <v>236.03600464476509</v>
      </c>
      <c r="R14" s="142">
        <v>324.70703806413326</v>
      </c>
      <c r="S14" s="142">
        <v>412.74880544411542</v>
      </c>
      <c r="T14" s="142">
        <v>456.19770807651702</v>
      </c>
      <c r="U14" s="142">
        <v>343.41819629554618</v>
      </c>
      <c r="V14" s="142">
        <v>206.01867262017424</v>
      </c>
      <c r="W14" s="142">
        <v>235.28540655630289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967.81674911037794</v>
      </c>
      <c r="D15" s="144">
        <f t="shared" si="3"/>
        <v>989.21000635547261</v>
      </c>
      <c r="E15" s="144">
        <f t="shared" si="3"/>
        <v>1389.9334298102708</v>
      </c>
      <c r="F15" s="144">
        <f t="shared" si="3"/>
        <v>800.25763525522632</v>
      </c>
      <c r="G15" s="144">
        <f t="shared" si="3"/>
        <v>758.1150479555215</v>
      </c>
      <c r="H15" s="144">
        <f t="shared" si="3"/>
        <v>826.43873031760768</v>
      </c>
      <c r="I15" s="144">
        <f t="shared" si="3"/>
        <v>1140.3862134361798</v>
      </c>
      <c r="J15" s="144">
        <f t="shared" si="3"/>
        <v>619.9664179251015</v>
      </c>
      <c r="K15" s="144">
        <f t="shared" si="3"/>
        <v>568.67299027956051</v>
      </c>
      <c r="L15" s="144">
        <f t="shared" si="3"/>
        <v>330.36992337357964</v>
      </c>
      <c r="M15" s="144">
        <f t="shared" si="3"/>
        <v>456.71625258982863</v>
      </c>
      <c r="N15" s="144">
        <f t="shared" si="3"/>
        <v>146.4031317591726</v>
      </c>
      <c r="O15" s="144">
        <f t="shared" si="3"/>
        <v>157.96025376857219</v>
      </c>
      <c r="P15" s="144">
        <f t="shared" si="3"/>
        <v>1105.117569752545</v>
      </c>
      <c r="Q15" s="144">
        <f t="shared" si="3"/>
        <v>1413.9280884319573</v>
      </c>
      <c r="R15" s="144">
        <f t="shared" ref="R15:W15" si="4">SUM(R5:R12)</f>
        <v>348.06008433670831</v>
      </c>
      <c r="S15" s="144">
        <f t="shared" si="4"/>
        <v>213.69579102123095</v>
      </c>
      <c r="T15" s="144">
        <f t="shared" si="4"/>
        <v>287.03128177441158</v>
      </c>
      <c r="U15" s="144">
        <f t="shared" si="4"/>
        <v>412.35663135471509</v>
      </c>
      <c r="V15" s="144">
        <f t="shared" si="4"/>
        <v>560.30638742397991</v>
      </c>
      <c r="W15" s="144">
        <f t="shared" si="4"/>
        <v>517.25527010353301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1337.8264947964008</v>
      </c>
      <c r="D16" s="140">
        <f t="shared" si="5"/>
        <v>1452.4458958303219</v>
      </c>
      <c r="E16" s="140">
        <f t="shared" si="5"/>
        <v>1782.8840154133759</v>
      </c>
      <c r="F16" s="140">
        <f t="shared" si="5"/>
        <v>1488.8085417479886</v>
      </c>
      <c r="G16" s="140">
        <f t="shared" si="5"/>
        <v>1487.0483926629695</v>
      </c>
      <c r="H16" s="140">
        <f t="shared" si="5"/>
        <v>2115.089676778035</v>
      </c>
      <c r="I16" s="140">
        <f t="shared" si="5"/>
        <v>2218.9451982418213</v>
      </c>
      <c r="J16" s="140">
        <f t="shared" si="5"/>
        <v>1058.0383596082784</v>
      </c>
      <c r="K16" s="140">
        <f t="shared" si="5"/>
        <v>776.513483945301</v>
      </c>
      <c r="L16" s="140">
        <f t="shared" si="5"/>
        <v>392.70263348415506</v>
      </c>
      <c r="M16" s="140">
        <f t="shared" si="5"/>
        <v>702.38881857395859</v>
      </c>
      <c r="N16" s="140">
        <f t="shared" si="5"/>
        <v>175.28347633652706</v>
      </c>
      <c r="O16" s="140">
        <f t="shared" si="5"/>
        <v>176.67645039564505</v>
      </c>
      <c r="P16" s="140">
        <f t="shared" si="5"/>
        <v>1461.4106133184459</v>
      </c>
      <c r="Q16" s="140">
        <f t="shared" si="5"/>
        <v>1649.9640930767225</v>
      </c>
      <c r="R16" s="140">
        <f t="shared" ref="R16:W16" si="6">SUM(R17:R18)</f>
        <v>672.76712240084157</v>
      </c>
      <c r="S16" s="140">
        <f t="shared" si="6"/>
        <v>626.44459646534642</v>
      </c>
      <c r="T16" s="140">
        <f t="shared" si="6"/>
        <v>743.22898985092854</v>
      </c>
      <c r="U16" s="140">
        <f t="shared" si="6"/>
        <v>755.77482765026139</v>
      </c>
      <c r="V16" s="140">
        <f t="shared" si="6"/>
        <v>766.32506004415416</v>
      </c>
      <c r="W16" s="140">
        <f t="shared" si="6"/>
        <v>752.54067665983598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1.3716536761571103</v>
      </c>
      <c r="D17" s="141">
        <v>2.4827866028594712</v>
      </c>
      <c r="E17" s="141">
        <v>3.2087518465931821</v>
      </c>
      <c r="F17" s="141">
        <v>2.434106671298581</v>
      </c>
      <c r="G17" s="141">
        <v>2.3739485585447291</v>
      </c>
      <c r="H17" s="141">
        <v>3.3152316698722384</v>
      </c>
      <c r="I17" s="141">
        <v>2.3898773739471064</v>
      </c>
      <c r="J17" s="141">
        <v>1.1746976080071516</v>
      </c>
      <c r="K17" s="141">
        <v>1.4956137295558976</v>
      </c>
      <c r="L17" s="141">
        <v>1.0164885356836846</v>
      </c>
      <c r="M17" s="141">
        <v>1.6428990531936407</v>
      </c>
      <c r="N17" s="141">
        <v>0.53083019378351837</v>
      </c>
      <c r="O17" s="141">
        <v>0.62847369945001241</v>
      </c>
      <c r="P17" s="141">
        <v>1.9851302121982741</v>
      </c>
      <c r="Q17" s="141">
        <v>13.461308052299769</v>
      </c>
      <c r="R17" s="141">
        <v>3.5846047642942165</v>
      </c>
      <c r="S17" s="141">
        <v>4.762505176703467</v>
      </c>
      <c r="T17" s="141">
        <v>7.8485784844486499</v>
      </c>
      <c r="U17" s="141">
        <v>6.8397454458244207</v>
      </c>
      <c r="V17" s="141">
        <v>1.8891576165996957</v>
      </c>
      <c r="W17" s="141">
        <v>4.6974585210990547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1336.4548411202436</v>
      </c>
      <c r="D18" s="141">
        <v>1449.9631092274624</v>
      </c>
      <c r="E18" s="141">
        <v>1779.6752635667826</v>
      </c>
      <c r="F18" s="141">
        <v>1486.3744350766899</v>
      </c>
      <c r="G18" s="141">
        <v>1484.6744441044248</v>
      </c>
      <c r="H18" s="141">
        <v>2111.7744451081626</v>
      </c>
      <c r="I18" s="141">
        <v>2216.5553208678743</v>
      </c>
      <c r="J18" s="141">
        <v>1056.8636620002712</v>
      </c>
      <c r="K18" s="141">
        <v>775.01787021574512</v>
      </c>
      <c r="L18" s="141">
        <v>391.68614494847139</v>
      </c>
      <c r="M18" s="141">
        <v>700.74591952076491</v>
      </c>
      <c r="N18" s="141">
        <v>174.75264614274354</v>
      </c>
      <c r="O18" s="141">
        <v>176.04797669619504</v>
      </c>
      <c r="P18" s="141">
        <v>1459.4254831062476</v>
      </c>
      <c r="Q18" s="141">
        <v>1636.5027850244228</v>
      </c>
      <c r="R18" s="141">
        <v>669.18251763654735</v>
      </c>
      <c r="S18" s="141">
        <v>621.68209128864294</v>
      </c>
      <c r="T18" s="141">
        <v>735.38041136647985</v>
      </c>
      <c r="U18" s="141">
        <v>748.93508220443698</v>
      </c>
      <c r="V18" s="141">
        <v>764.43590242755442</v>
      </c>
      <c r="W18" s="141">
        <v>747.84321813873692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1337.8264947964005</v>
      </c>
      <c r="D19" s="140">
        <f t="shared" si="7"/>
        <v>1452.4458958303217</v>
      </c>
      <c r="E19" s="140">
        <f t="shared" si="7"/>
        <v>1986.0602194382859</v>
      </c>
      <c r="F19" s="140">
        <f t="shared" si="7"/>
        <v>1488.8085417479883</v>
      </c>
      <c r="G19" s="140">
        <f t="shared" si="7"/>
        <v>1487.0483926629697</v>
      </c>
      <c r="H19" s="140">
        <f t="shared" si="7"/>
        <v>2115.089676778035</v>
      </c>
      <c r="I19" s="140">
        <f t="shared" si="7"/>
        <v>2218.9451982418218</v>
      </c>
      <c r="J19" s="140">
        <f t="shared" si="7"/>
        <v>1058.0383596082781</v>
      </c>
      <c r="K19" s="140">
        <f t="shared" si="7"/>
        <v>776.51348394530089</v>
      </c>
      <c r="L19" s="140">
        <f t="shared" si="7"/>
        <v>392.70263348415506</v>
      </c>
      <c r="M19" s="140">
        <f t="shared" si="7"/>
        <v>702.38881857395859</v>
      </c>
      <c r="N19" s="140">
        <f t="shared" si="7"/>
        <v>175.28347633652706</v>
      </c>
      <c r="O19" s="140">
        <f t="shared" si="7"/>
        <v>176.67645039564505</v>
      </c>
      <c r="P19" s="140">
        <f t="shared" si="7"/>
        <v>1461.4106133184459</v>
      </c>
      <c r="Q19" s="140">
        <f t="shared" si="7"/>
        <v>1649.9640930767227</v>
      </c>
      <c r="R19" s="140">
        <f t="shared" ref="R19:W19" si="8">SUM(R20:R26)</f>
        <v>672.76712240084157</v>
      </c>
      <c r="S19" s="140">
        <f t="shared" si="8"/>
        <v>626.44459646534631</v>
      </c>
      <c r="T19" s="140">
        <f t="shared" si="8"/>
        <v>743.22898985092843</v>
      </c>
      <c r="U19" s="140">
        <f t="shared" si="8"/>
        <v>755.77482765026116</v>
      </c>
      <c r="V19" s="140">
        <f t="shared" si="8"/>
        <v>766.32506004415427</v>
      </c>
      <c r="W19" s="140">
        <f t="shared" si="8"/>
        <v>752.54067665983598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73.342864594346509</v>
      </c>
      <c r="D21" s="141">
        <v>80.106057889292629</v>
      </c>
      <c r="E21" s="141">
        <v>86.186053281076255</v>
      </c>
      <c r="F21" s="141">
        <v>65.575129786516726</v>
      </c>
      <c r="G21" s="141">
        <v>61.589310449763261</v>
      </c>
      <c r="H21" s="141">
        <v>84.707415095940675</v>
      </c>
      <c r="I21" s="141">
        <v>92.271054577429737</v>
      </c>
      <c r="J21" s="141">
        <v>62.986660028078568</v>
      </c>
      <c r="K21" s="141">
        <v>49.876191137331269</v>
      </c>
      <c r="L21" s="141">
        <v>22.537253678481271</v>
      </c>
      <c r="M21" s="141">
        <v>31.01325826190438</v>
      </c>
      <c r="N21" s="141">
        <v>8.5061747856135046</v>
      </c>
      <c r="O21" s="141">
        <v>8.3925460960061802</v>
      </c>
      <c r="P21" s="141">
        <v>62.763022127501692</v>
      </c>
      <c r="Q21" s="141">
        <v>62.238842648254689</v>
      </c>
      <c r="R21" s="141">
        <v>24.559302901764383</v>
      </c>
      <c r="S21" s="141">
        <v>15.188446558885419</v>
      </c>
      <c r="T21" s="141">
        <v>12.315089257524543</v>
      </c>
      <c r="U21" s="141">
        <v>11.088072706776678</v>
      </c>
      <c r="V21" s="141">
        <v>9.5443054468833246</v>
      </c>
      <c r="W21" s="141">
        <v>28.775931416537475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146.25659049405559</v>
      </c>
      <c r="D22" s="141">
        <v>181.98018775299508</v>
      </c>
      <c r="E22" s="141">
        <v>224.47661268768428</v>
      </c>
      <c r="F22" s="141">
        <v>187.81893726291651</v>
      </c>
      <c r="G22" s="141">
        <v>214.59450936086148</v>
      </c>
      <c r="H22" s="141">
        <v>268.09407053445602</v>
      </c>
      <c r="I22" s="141">
        <v>273.76046383306596</v>
      </c>
      <c r="J22" s="141">
        <v>137.6500151273691</v>
      </c>
      <c r="K22" s="141">
        <v>84.859758081543347</v>
      </c>
      <c r="L22" s="141">
        <v>29.821338624115192</v>
      </c>
      <c r="M22" s="141">
        <v>25.506726076296736</v>
      </c>
      <c r="N22" s="141">
        <v>6.5647697076182157</v>
      </c>
      <c r="O22" s="141">
        <v>6.6965479613278509</v>
      </c>
      <c r="P22" s="141">
        <v>16.733311593749708</v>
      </c>
      <c r="Q22" s="141">
        <v>69.869811071779822</v>
      </c>
      <c r="R22" s="141">
        <v>56.266424963107021</v>
      </c>
      <c r="S22" s="141">
        <v>61.702769113851147</v>
      </c>
      <c r="T22" s="141">
        <v>70.928753877252319</v>
      </c>
      <c r="U22" s="141">
        <v>70.927854031693357</v>
      </c>
      <c r="V22" s="141">
        <v>61.093767298165268</v>
      </c>
      <c r="W22" s="141">
        <v>63.466800591893687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397.75685381720052</v>
      </c>
      <c r="D23" s="141">
        <v>486.84984586357081</v>
      </c>
      <c r="E23" s="141">
        <v>559.81644110377738</v>
      </c>
      <c r="F23" s="141">
        <v>446.39529357956746</v>
      </c>
      <c r="G23" s="141">
        <v>434.46875771411783</v>
      </c>
      <c r="H23" s="141">
        <v>515.35996893232561</v>
      </c>
      <c r="I23" s="141">
        <v>507.74595754783769</v>
      </c>
      <c r="J23" s="141">
        <v>324.31616396445145</v>
      </c>
      <c r="K23" s="141">
        <v>245.64032694512628</v>
      </c>
      <c r="L23" s="141">
        <v>138.71523597484463</v>
      </c>
      <c r="M23" s="141">
        <v>228.2694517988156</v>
      </c>
      <c r="N23" s="141">
        <v>74.829867733455117</v>
      </c>
      <c r="O23" s="141">
        <v>77.308276078511383</v>
      </c>
      <c r="P23" s="141">
        <v>626.32154227206513</v>
      </c>
      <c r="Q23" s="141">
        <v>755.88054490620254</v>
      </c>
      <c r="R23" s="141">
        <v>409.01744954300148</v>
      </c>
      <c r="S23" s="141">
        <v>301.56634446009042</v>
      </c>
      <c r="T23" s="141">
        <v>337.52937794142741</v>
      </c>
      <c r="U23" s="141">
        <v>315.52899522271917</v>
      </c>
      <c r="V23" s="141">
        <v>298.16813215478379</v>
      </c>
      <c r="W23" s="141">
        <v>344.94433441240426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205.18207929454803</v>
      </c>
      <c r="D25" s="141">
        <v>216.83766325535279</v>
      </c>
      <c r="E25" s="141">
        <v>266.68834746455553</v>
      </c>
      <c r="F25" s="141">
        <v>236.68419283357775</v>
      </c>
      <c r="G25" s="141">
        <v>257.88555643850322</v>
      </c>
      <c r="H25" s="141">
        <v>317.9946736936177</v>
      </c>
      <c r="I25" s="141">
        <v>311.83710406116023</v>
      </c>
      <c r="J25" s="141">
        <v>185.55420746503503</v>
      </c>
      <c r="K25" s="141">
        <v>144.93059006688392</v>
      </c>
      <c r="L25" s="141">
        <v>85.399146740833984</v>
      </c>
      <c r="M25" s="141">
        <v>144.95389751953729</v>
      </c>
      <c r="N25" s="141">
        <v>45.448753589232112</v>
      </c>
      <c r="O25" s="141">
        <v>40.110742477532881</v>
      </c>
      <c r="P25" s="141">
        <v>180.7287510800949</v>
      </c>
      <c r="Q25" s="141">
        <v>201.98544808241141</v>
      </c>
      <c r="R25" s="141">
        <v>103.34617495420129</v>
      </c>
      <c r="S25" s="141">
        <v>98.011899900777763</v>
      </c>
      <c r="T25" s="141">
        <v>119.07077964033581</v>
      </c>
      <c r="U25" s="141">
        <v>131.14388790750758</v>
      </c>
      <c r="V25" s="141">
        <v>150.79958209538682</v>
      </c>
      <c r="W25" s="141">
        <v>138.73535988535221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515.28810659624992</v>
      </c>
      <c r="D26" s="142">
        <v>486.67214106911041</v>
      </c>
      <c r="E26" s="142">
        <v>848.89276490119255</v>
      </c>
      <c r="F26" s="142">
        <v>552.33498828540985</v>
      </c>
      <c r="G26" s="142">
        <v>518.51025869972386</v>
      </c>
      <c r="H26" s="142">
        <v>928.93354852169477</v>
      </c>
      <c r="I26" s="142">
        <v>1033.3306182223282</v>
      </c>
      <c r="J26" s="142">
        <v>347.53131302334401</v>
      </c>
      <c r="K26" s="142">
        <v>251.2066177144161</v>
      </c>
      <c r="L26" s="142">
        <v>116.22965846587998</v>
      </c>
      <c r="M26" s="142">
        <v>272.64548491740459</v>
      </c>
      <c r="N26" s="142">
        <v>39.933910520608116</v>
      </c>
      <c r="O26" s="142">
        <v>44.16833778226674</v>
      </c>
      <c r="P26" s="142">
        <v>574.86398624503443</v>
      </c>
      <c r="Q26" s="142">
        <v>559.98944636807425</v>
      </c>
      <c r="R26" s="142">
        <v>79.577770038767397</v>
      </c>
      <c r="S26" s="142">
        <v>149.97513643174159</v>
      </c>
      <c r="T26" s="142">
        <v>203.38498913438835</v>
      </c>
      <c r="U26" s="142">
        <v>227.08601778156441</v>
      </c>
      <c r="V26" s="142">
        <v>246.71927304893504</v>
      </c>
      <c r="W26" s="142">
        <v>176.61825035364834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48.119806098606716</v>
      </c>
      <c r="D27" s="151">
        <v>122.96875605815296</v>
      </c>
      <c r="E27" s="151">
        <v>86.203808691435313</v>
      </c>
      <c r="F27" s="151">
        <v>155.08935787611992</v>
      </c>
      <c r="G27" s="151">
        <v>136.77687285573535</v>
      </c>
      <c r="H27" s="151">
        <v>197.78800917127762</v>
      </c>
      <c r="I27" s="151">
        <v>207.24467636433852</v>
      </c>
      <c r="J27" s="151">
        <v>297.09322276602018</v>
      </c>
      <c r="K27" s="151">
        <v>207.48967339018031</v>
      </c>
      <c r="L27" s="151">
        <v>155.77953072386435</v>
      </c>
      <c r="M27" s="151">
        <v>305.87347146243309</v>
      </c>
      <c r="N27" s="151">
        <v>63.518915820331827</v>
      </c>
      <c r="O27" s="151">
        <v>51.34622442972001</v>
      </c>
      <c r="P27" s="151">
        <v>492.98841079185712</v>
      </c>
      <c r="Q27" s="151">
        <v>557.14533574671157</v>
      </c>
      <c r="R27" s="151">
        <v>192.67865740251966</v>
      </c>
      <c r="S27" s="151">
        <v>183.93014647880241</v>
      </c>
      <c r="T27" s="151">
        <v>240.83394177550093</v>
      </c>
      <c r="U27" s="151">
        <v>279.70212347660174</v>
      </c>
      <c r="V27" s="151">
        <v>284.72025692749321</v>
      </c>
      <c r="W27" s="151">
        <v>213.71005770922602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1337.8264947964005</v>
      </c>
      <c r="D29" s="140">
        <f t="shared" si="9"/>
        <v>1452.4458958303219</v>
      </c>
      <c r="E29" s="140">
        <f t="shared" si="9"/>
        <v>1986.0602194382864</v>
      </c>
      <c r="F29" s="140">
        <f t="shared" si="9"/>
        <v>1488.8085417479883</v>
      </c>
      <c r="G29" s="140">
        <f t="shared" si="9"/>
        <v>1487.0483926629699</v>
      </c>
      <c r="H29" s="140">
        <f t="shared" si="9"/>
        <v>2115.089676778035</v>
      </c>
      <c r="I29" s="140">
        <f t="shared" si="9"/>
        <v>2218.9451982418213</v>
      </c>
      <c r="J29" s="140">
        <f t="shared" si="9"/>
        <v>1058.0383596082784</v>
      </c>
      <c r="K29" s="140">
        <f t="shared" si="9"/>
        <v>776.513483945301</v>
      </c>
      <c r="L29" s="140">
        <f t="shared" si="9"/>
        <v>392.70263348415511</v>
      </c>
      <c r="M29" s="140">
        <f t="shared" si="9"/>
        <v>702.38881857395847</v>
      </c>
      <c r="N29" s="140">
        <f t="shared" si="9"/>
        <v>175.28347633652703</v>
      </c>
      <c r="O29" s="140">
        <f t="shared" si="9"/>
        <v>176.67645039564505</v>
      </c>
      <c r="P29" s="140">
        <f t="shared" si="9"/>
        <v>1461.4106133184459</v>
      </c>
      <c r="Q29" s="140">
        <f t="shared" si="9"/>
        <v>1649.9640930767227</v>
      </c>
      <c r="R29" s="140">
        <f t="shared" ref="R29:W29" si="10">SUM(R30:R33)</f>
        <v>672.76712240084157</v>
      </c>
      <c r="S29" s="140">
        <f t="shared" si="10"/>
        <v>626.44459646534642</v>
      </c>
      <c r="T29" s="140">
        <f t="shared" si="10"/>
        <v>743.22898985092843</v>
      </c>
      <c r="U29" s="140">
        <f t="shared" si="10"/>
        <v>755.77482765026127</v>
      </c>
      <c r="V29" s="140">
        <f t="shared" si="10"/>
        <v>766.32506004415427</v>
      </c>
      <c r="W29" s="140">
        <f t="shared" si="10"/>
        <v>752.54067665983598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179.71881327186574</v>
      </c>
      <c r="D30" s="141">
        <v>131.61505987325441</v>
      </c>
      <c r="E30" s="141">
        <v>179.67968329156028</v>
      </c>
      <c r="F30" s="141">
        <v>116.89093022380368</v>
      </c>
      <c r="G30" s="141">
        <v>84.98557204577277</v>
      </c>
      <c r="H30" s="141">
        <v>120.21537561656827</v>
      </c>
      <c r="I30" s="141">
        <v>115.16381525069332</v>
      </c>
      <c r="J30" s="141">
        <v>99.558647047532972</v>
      </c>
      <c r="K30" s="141">
        <v>66.725432322777138</v>
      </c>
      <c r="L30" s="141">
        <v>30.814482432677703</v>
      </c>
      <c r="M30" s="141">
        <v>54.776712798693517</v>
      </c>
      <c r="N30" s="141">
        <v>15.584796732934933</v>
      </c>
      <c r="O30" s="141">
        <v>11.05723567222554</v>
      </c>
      <c r="P30" s="141">
        <v>82.354989671865269</v>
      </c>
      <c r="Q30" s="141">
        <v>96.881425367533552</v>
      </c>
      <c r="R30" s="141">
        <v>50.066753248131</v>
      </c>
      <c r="S30" s="141">
        <v>33.650658517788557</v>
      </c>
      <c r="T30" s="141">
        <v>43.027031274352289</v>
      </c>
      <c r="U30" s="141">
        <v>56.071251141523781</v>
      </c>
      <c r="V30" s="141">
        <v>58.614969272128455</v>
      </c>
      <c r="W30" s="141">
        <v>54.374653694164145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111.83870660357631</v>
      </c>
      <c r="D31" s="141">
        <v>129.66675179968516</v>
      </c>
      <c r="E31" s="141">
        <v>161.80287645109513</v>
      </c>
      <c r="F31" s="141">
        <v>124.85257097188779</v>
      </c>
      <c r="G31" s="141">
        <v>136.98405940531754</v>
      </c>
      <c r="H31" s="141">
        <v>167.58032417310523</v>
      </c>
      <c r="I31" s="141">
        <v>184.09621724064382</v>
      </c>
      <c r="J31" s="141">
        <v>102.6460242909518</v>
      </c>
      <c r="K31" s="141">
        <v>76.086857655133173</v>
      </c>
      <c r="L31" s="141">
        <v>41.163734255363515</v>
      </c>
      <c r="M31" s="141">
        <v>71.557977374089489</v>
      </c>
      <c r="N31" s="141">
        <v>21.509113413294539</v>
      </c>
      <c r="O31" s="141">
        <v>18.217341744721381</v>
      </c>
      <c r="P31" s="141">
        <v>127.99807703303875</v>
      </c>
      <c r="Q31" s="141">
        <v>164.2521477430837</v>
      </c>
      <c r="R31" s="141">
        <v>78.888261590068254</v>
      </c>
      <c r="S31" s="141">
        <v>73.638748093937551</v>
      </c>
      <c r="T31" s="141">
        <v>74.530524710477692</v>
      </c>
      <c r="U31" s="141">
        <v>70.120138664393238</v>
      </c>
      <c r="V31" s="141">
        <v>78.754529397561924</v>
      </c>
      <c r="W31" s="141">
        <v>77.198020101066717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28.870852632193976</v>
      </c>
      <c r="L32" s="141">
        <v>4.762528089152366</v>
      </c>
      <c r="M32" s="141">
        <v>4.0112126836745645</v>
      </c>
      <c r="N32" s="141">
        <v>9.5498449630414817E-2</v>
      </c>
      <c r="O32" s="141">
        <v>0.13213550468388957</v>
      </c>
      <c r="P32" s="141">
        <v>1.0463582343117375</v>
      </c>
      <c r="Q32" s="141">
        <v>3.3969525437522834</v>
      </c>
      <c r="R32" s="141">
        <v>3.1970247797304236</v>
      </c>
      <c r="S32" s="141">
        <v>3.6560351415922443</v>
      </c>
      <c r="T32" s="141">
        <v>10.470056524638126</v>
      </c>
      <c r="U32" s="141">
        <v>9.6801930023359244</v>
      </c>
      <c r="V32" s="141">
        <v>8.4303895147338466</v>
      </c>
      <c r="W32" s="141">
        <v>9.0073998835751539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1046.2689749209585</v>
      </c>
      <c r="D33" s="153">
        <v>1191.1640841573824</v>
      </c>
      <c r="E33" s="153">
        <v>1644.5776596956309</v>
      </c>
      <c r="F33" s="153">
        <v>1247.065040552297</v>
      </c>
      <c r="G33" s="153">
        <v>1265.0787612118795</v>
      </c>
      <c r="H33" s="153">
        <v>1827.2939769883615</v>
      </c>
      <c r="I33" s="153">
        <v>1919.6851657504844</v>
      </c>
      <c r="J33" s="153">
        <v>855.83368826979358</v>
      </c>
      <c r="K33" s="153">
        <v>604.83034133519664</v>
      </c>
      <c r="L33" s="153">
        <v>315.96188870696153</v>
      </c>
      <c r="M33" s="153">
        <v>572.04291571750093</v>
      </c>
      <c r="N33" s="153">
        <v>138.09406774066716</v>
      </c>
      <c r="O33" s="153">
        <v>147.26973747401425</v>
      </c>
      <c r="P33" s="153">
        <v>1250.0111883792301</v>
      </c>
      <c r="Q33" s="153">
        <v>1385.4335674223532</v>
      </c>
      <c r="R33" s="153">
        <v>540.61508278291194</v>
      </c>
      <c r="S33" s="153">
        <v>515.49915471202803</v>
      </c>
      <c r="T33" s="153">
        <v>615.20137734146033</v>
      </c>
      <c r="U33" s="153">
        <v>619.90324484200835</v>
      </c>
      <c r="V33" s="153">
        <v>620.52517185972999</v>
      </c>
      <c r="W33" s="153">
        <v>611.96060298102998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18.958100372723042</v>
      </c>
      <c r="D3" s="126">
        <f t="shared" si="0"/>
        <v>19.912518378208627</v>
      </c>
      <c r="E3" s="126">
        <f t="shared" si="0"/>
        <v>27.478941902399061</v>
      </c>
      <c r="F3" s="126">
        <f t="shared" si="0"/>
        <v>18.918259535308323</v>
      </c>
      <c r="G3" s="126">
        <f t="shared" si="0"/>
        <v>18.85391882307783</v>
      </c>
      <c r="H3" s="126">
        <f t="shared" si="0"/>
        <v>24.608307860602736</v>
      </c>
      <c r="I3" s="126">
        <f t="shared" si="0"/>
        <v>24.670126985194425</v>
      </c>
      <c r="J3" s="126">
        <f t="shared" si="0"/>
        <v>11.965218252435339</v>
      </c>
      <c r="K3" s="126">
        <f t="shared" si="0"/>
        <v>8.5365284742430667</v>
      </c>
      <c r="L3" s="126">
        <f t="shared" si="0"/>
        <v>4.5570294764870996</v>
      </c>
      <c r="M3" s="126">
        <f t="shared" si="0"/>
        <v>7.6265389786893216</v>
      </c>
      <c r="N3" s="126">
        <f t="shared" si="0"/>
        <v>1.8377608524676141</v>
      </c>
      <c r="O3" s="126">
        <f t="shared" si="0"/>
        <v>1.7229242620370031</v>
      </c>
      <c r="P3" s="126">
        <f t="shared" si="0"/>
        <v>12.443089545701643</v>
      </c>
      <c r="Q3" s="126">
        <f t="shared" si="0"/>
        <v>15.429048879933694</v>
      </c>
      <c r="R3" s="126">
        <f t="shared" ref="R3:W3" si="1">SUM(R4,R16,R19,R29)</f>
        <v>5.9606686737531147</v>
      </c>
      <c r="S3" s="126">
        <f t="shared" si="1"/>
        <v>5.7294844596466934</v>
      </c>
      <c r="T3" s="126">
        <f t="shared" si="1"/>
        <v>6.6427171323830958</v>
      </c>
      <c r="U3" s="126">
        <f t="shared" si="1"/>
        <v>6.5689261649257942</v>
      </c>
      <c r="V3" s="126">
        <f t="shared" si="1"/>
        <v>5.7018167461966422</v>
      </c>
      <c r="W3" s="126">
        <f t="shared" si="1"/>
        <v>5.9563240459357658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12.854770010345518</v>
      </c>
      <c r="D4" s="131">
        <f t="shared" si="2"/>
        <v>13.44135671063647</v>
      </c>
      <c r="E4" s="131">
        <f t="shared" si="2"/>
        <v>17.760588817946086</v>
      </c>
      <c r="F4" s="131">
        <f t="shared" si="2"/>
        <v>12.416136131183118</v>
      </c>
      <c r="G4" s="131">
        <f t="shared" si="2"/>
        <v>12.374073841618465</v>
      </c>
      <c r="H4" s="131">
        <f t="shared" si="2"/>
        <v>15.357705980771058</v>
      </c>
      <c r="I4" s="131">
        <f t="shared" si="2"/>
        <v>14.969884124982199</v>
      </c>
      <c r="J4" s="131">
        <f t="shared" si="2"/>
        <v>7.3493171588566115</v>
      </c>
      <c r="K4" s="131">
        <f t="shared" si="2"/>
        <v>5.0819048061570999</v>
      </c>
      <c r="L4" s="131">
        <f t="shared" si="2"/>
        <v>2.8576419630544927</v>
      </c>
      <c r="M4" s="131">
        <f t="shared" si="2"/>
        <v>4.628143267089146</v>
      </c>
      <c r="N4" s="131">
        <f t="shared" si="2"/>
        <v>1.0241053234571023</v>
      </c>
      <c r="O4" s="131">
        <f t="shared" si="2"/>
        <v>0.95810546068905278</v>
      </c>
      <c r="P4" s="131">
        <f t="shared" si="2"/>
        <v>6.3849510671290739</v>
      </c>
      <c r="Q4" s="131">
        <f t="shared" si="2"/>
        <v>8.2555247958929403</v>
      </c>
      <c r="R4" s="131">
        <f t="shared" ref="R4:W4" si="3">SUM(R5:R15)</f>
        <v>3.1554484322303238</v>
      </c>
      <c r="S4" s="131">
        <f t="shared" si="3"/>
        <v>3.0268811237003672</v>
      </c>
      <c r="T4" s="131">
        <f t="shared" si="3"/>
        <v>3.593858499550191</v>
      </c>
      <c r="U4" s="131">
        <f t="shared" si="3"/>
        <v>3.4299914537392708</v>
      </c>
      <c r="V4" s="131">
        <f t="shared" si="3"/>
        <v>2.9525282766251952</v>
      </c>
      <c r="W4" s="131">
        <f t="shared" si="3"/>
        <v>2.9319584947631472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5.0076481783829549E-2</v>
      </c>
      <c r="D5" s="133">
        <v>6.4776067881654728E-2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4.3274287631513995E-2</v>
      </c>
      <c r="K5" s="133">
        <v>1.9522366732024513E-2</v>
      </c>
      <c r="L5" s="133">
        <v>1.8423179838094186E-2</v>
      </c>
      <c r="M5" s="133">
        <v>5.6416646963845796E-2</v>
      </c>
      <c r="N5" s="133">
        <v>1.3297100794671252E-2</v>
      </c>
      <c r="O5" s="133">
        <v>0</v>
      </c>
      <c r="P5" s="133">
        <v>0</v>
      </c>
      <c r="Q5" s="133">
        <v>0</v>
      </c>
      <c r="R5" s="133">
        <v>0</v>
      </c>
      <c r="S5" s="133">
        <v>1.407326999679792E-3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4.9135547325401623</v>
      </c>
      <c r="D7" s="133">
        <v>5.337096044477236</v>
      </c>
      <c r="E7" s="133">
        <v>6.2182967857630578</v>
      </c>
      <c r="F7" s="133">
        <v>1.7067208271659682</v>
      </c>
      <c r="G7" s="133">
        <v>7.5072807002395187E-2</v>
      </c>
      <c r="H7" s="133">
        <v>0</v>
      </c>
      <c r="I7" s="133">
        <v>0</v>
      </c>
      <c r="J7" s="133">
        <v>0</v>
      </c>
      <c r="K7" s="133">
        <v>0.21042718050734005</v>
      </c>
      <c r="L7" s="133">
        <v>0.30177892345611346</v>
      </c>
      <c r="M7" s="133">
        <v>0.74654314807406641</v>
      </c>
      <c r="N7" s="133">
        <v>0.17524539984054674</v>
      </c>
      <c r="O7" s="133">
        <v>0.1554772312069832</v>
      </c>
      <c r="P7" s="133">
        <v>0.2942964370865635</v>
      </c>
      <c r="Q7" s="133">
        <v>1.059371402198378</v>
      </c>
      <c r="R7" s="133">
        <v>0.30830375872887328</v>
      </c>
      <c r="S7" s="133">
        <v>0.14249727075779819</v>
      </c>
      <c r="T7" s="133">
        <v>0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3.7591518217368014</v>
      </c>
      <c r="D9" s="133">
        <v>2.3756772007252103</v>
      </c>
      <c r="E9" s="133">
        <v>4.0422569240701192</v>
      </c>
      <c r="F9" s="133">
        <v>3.5975162348349428</v>
      </c>
      <c r="G9" s="133">
        <v>4.4699526230001334</v>
      </c>
      <c r="H9" s="133">
        <v>4.8022250487499152</v>
      </c>
      <c r="I9" s="133">
        <v>4.2314179613698668</v>
      </c>
      <c r="J9" s="133">
        <v>2.6795169182867329</v>
      </c>
      <c r="K9" s="133">
        <v>2.0759659447097185</v>
      </c>
      <c r="L9" s="133">
        <v>1.1884105231823998</v>
      </c>
      <c r="M9" s="133">
        <v>0.90888037828079937</v>
      </c>
      <c r="N9" s="133">
        <v>0.351158594005407</v>
      </c>
      <c r="O9" s="133">
        <v>0.48227247124693445</v>
      </c>
      <c r="P9" s="133">
        <v>4.2176710767928176</v>
      </c>
      <c r="Q9" s="133">
        <v>5.8162343137635926</v>
      </c>
      <c r="R9" s="133">
        <v>1.3175963087796372</v>
      </c>
      <c r="S9" s="133">
        <v>0.8527868163161586</v>
      </c>
      <c r="T9" s="133">
        <v>1.1249779773350401</v>
      </c>
      <c r="U9" s="133">
        <v>1.3615683982058449</v>
      </c>
      <c r="V9" s="133">
        <v>1.3916371927431974</v>
      </c>
      <c r="W9" s="133">
        <v>1.3498376215727703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0.95751952230500481</v>
      </c>
      <c r="J10" s="133">
        <v>0.10619051416534132</v>
      </c>
      <c r="K10" s="133">
        <v>0.1024790653830827</v>
      </c>
      <c r="L10" s="133">
        <v>4.8998112914261068E-3</v>
      </c>
      <c r="M10" s="133">
        <v>4.7762255881429731E-2</v>
      </c>
      <c r="N10" s="133">
        <v>1.0607690673330191E-2</v>
      </c>
      <c r="O10" s="133">
        <v>1.739122469905837E-2</v>
      </c>
      <c r="P10" s="133">
        <v>0.2764618786795468</v>
      </c>
      <c r="Q10" s="133">
        <v>0.27927718324415413</v>
      </c>
      <c r="R10" s="133">
        <v>0.14886247087948437</v>
      </c>
      <c r="S10" s="133">
        <v>0.11604131612103057</v>
      </c>
      <c r="T10" s="133">
        <v>0.16044958877387497</v>
      </c>
      <c r="U10" s="133">
        <v>0.164762208736522</v>
      </c>
      <c r="V10" s="133">
        <v>0.17420927078472428</v>
      </c>
      <c r="W10" s="133">
        <v>9.4793694028532327E-2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1.4894790681167729</v>
      </c>
      <c r="J11" s="133">
        <v>0.22759637017629436</v>
      </c>
      <c r="K11" s="133">
        <v>0.1488430779427222</v>
      </c>
      <c r="L11" s="133">
        <v>0.1705510438897658</v>
      </c>
      <c r="M11" s="133">
        <v>0.1485729776211295</v>
      </c>
      <c r="N11" s="133">
        <v>2.0725601550849057E-2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1.0695420982686175</v>
      </c>
      <c r="D12" s="133">
        <v>1.7999653819989485</v>
      </c>
      <c r="E12" s="133">
        <v>2.9150114007314629</v>
      </c>
      <c r="F12" s="133">
        <v>1.7891506645109188</v>
      </c>
      <c r="G12" s="133">
        <v>1.9616434414448545</v>
      </c>
      <c r="H12" s="133">
        <v>1.4767734384768754</v>
      </c>
      <c r="I12" s="133">
        <v>1.7730122476208159</v>
      </c>
      <c r="J12" s="133">
        <v>1.2303001146951895</v>
      </c>
      <c r="K12" s="133">
        <v>1.1623427911701938</v>
      </c>
      <c r="L12" s="133">
        <v>0.75467006800429504</v>
      </c>
      <c r="M12" s="133">
        <v>1.1499251805175572</v>
      </c>
      <c r="N12" s="133">
        <v>0.27993294332130314</v>
      </c>
      <c r="O12" s="133">
        <v>0.19419808487213386</v>
      </c>
      <c r="P12" s="133">
        <v>6.3755857412814657E-2</v>
      </c>
      <c r="Q12" s="133">
        <v>6.4064045422397242E-2</v>
      </c>
      <c r="R12" s="133">
        <v>1.4360261439735547E-2</v>
      </c>
      <c r="S12" s="133">
        <v>0</v>
      </c>
      <c r="T12" s="133">
        <v>0.14245990428152847</v>
      </c>
      <c r="U12" s="133">
        <v>0.36977256443371326</v>
      </c>
      <c r="V12" s="133">
        <v>0.66422208017783257</v>
      </c>
      <c r="W12" s="133">
        <v>0.60816337940859699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2.9679295595591402</v>
      </c>
      <c r="D14" s="65">
        <v>3.7785634088000379</v>
      </c>
      <c r="E14" s="65">
        <v>4.4697645748274617</v>
      </c>
      <c r="F14" s="65">
        <v>5.2604046022178776</v>
      </c>
      <c r="G14" s="65">
        <v>5.8108277814195564</v>
      </c>
      <c r="H14" s="65">
        <v>9.0211764870834177</v>
      </c>
      <c r="I14" s="65">
        <v>6.4569824749757618</v>
      </c>
      <c r="J14" s="65">
        <v>3.0276679601014891</v>
      </c>
      <c r="K14" s="65">
        <v>1.3328309434883474</v>
      </c>
      <c r="L14" s="65">
        <v>0.39991124569604586</v>
      </c>
      <c r="M14" s="65">
        <v>1.5480785575832516</v>
      </c>
      <c r="N14" s="65">
        <v>0.16642212277195537</v>
      </c>
      <c r="O14" s="65">
        <v>0.10105692364416641</v>
      </c>
      <c r="P14" s="65">
        <v>1.4802201044634682</v>
      </c>
      <c r="Q14" s="65">
        <v>0.95635059154732271</v>
      </c>
      <c r="R14" s="65">
        <v>1.3469003357366018</v>
      </c>
      <c r="S14" s="65">
        <v>1.9020926342436486</v>
      </c>
      <c r="T14" s="65">
        <v>2.1516083144184077</v>
      </c>
      <c r="U14" s="65">
        <v>1.5159005108888528</v>
      </c>
      <c r="V14" s="65">
        <v>0.70299300414066856</v>
      </c>
      <c r="W14" s="65">
        <v>0.8606941399750484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9.4515316456968854E-2</v>
      </c>
      <c r="D15" s="135">
        <v>8.5278606753381656E-2</v>
      </c>
      <c r="E15" s="135">
        <v>0.11525913255398529</v>
      </c>
      <c r="F15" s="135">
        <v>6.2343802453410584E-2</v>
      </c>
      <c r="G15" s="135">
        <v>5.6577188751525821E-2</v>
      </c>
      <c r="H15" s="135">
        <v>5.7531006460850846E-2</v>
      </c>
      <c r="I15" s="135">
        <v>6.1472850593976079E-2</v>
      </c>
      <c r="J15" s="135">
        <v>3.4770993800051442E-2</v>
      </c>
      <c r="K15" s="135">
        <v>2.9493436223670823E-2</v>
      </c>
      <c r="L15" s="135">
        <v>1.8997167696352884E-2</v>
      </c>
      <c r="M15" s="135">
        <v>2.1964122167066662E-2</v>
      </c>
      <c r="N15" s="135">
        <v>6.7158704990394379E-3</v>
      </c>
      <c r="O15" s="135">
        <v>7.7095250197764826E-3</v>
      </c>
      <c r="P15" s="135">
        <v>5.2545712693862108E-2</v>
      </c>
      <c r="Q15" s="135">
        <v>8.0227259717094976E-2</v>
      </c>
      <c r="R15" s="135">
        <v>1.9425296665991673E-2</v>
      </c>
      <c r="S15" s="135">
        <v>1.205575926205125E-2</v>
      </c>
      <c r="T15" s="135">
        <v>1.4362714741339591E-2</v>
      </c>
      <c r="U15" s="135">
        <v>1.7987771474337898E-2</v>
      </c>
      <c r="V15" s="135">
        <v>1.9466728778772278E-2</v>
      </c>
      <c r="W15" s="135">
        <v>1.8469659778198918E-2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1.1215472316634829</v>
      </c>
      <c r="D16" s="131">
        <f t="shared" si="4"/>
        <v>1.1304645005544349</v>
      </c>
      <c r="E16" s="131">
        <f t="shared" si="4"/>
        <v>2.5551677614254924</v>
      </c>
      <c r="F16" s="131">
        <f t="shared" si="4"/>
        <v>1.0573086271842935</v>
      </c>
      <c r="G16" s="131">
        <f t="shared" si="4"/>
        <v>1.0252714345141529</v>
      </c>
      <c r="H16" s="131">
        <f t="shared" si="4"/>
        <v>1.5941390569568663</v>
      </c>
      <c r="I16" s="131">
        <f t="shared" si="4"/>
        <v>1.672961229193568</v>
      </c>
      <c r="J16" s="131">
        <f t="shared" si="4"/>
        <v>0.74313613601089923</v>
      </c>
      <c r="K16" s="131">
        <f t="shared" si="4"/>
        <v>0.50164677734396523</v>
      </c>
      <c r="L16" s="131">
        <f t="shared" si="4"/>
        <v>0.24692981308618167</v>
      </c>
      <c r="M16" s="131">
        <f t="shared" si="4"/>
        <v>0.45414965892589931</v>
      </c>
      <c r="N16" s="131">
        <f t="shared" si="4"/>
        <v>0.15822863697305187</v>
      </c>
      <c r="O16" s="131">
        <f t="shared" si="4"/>
        <v>0.10054153772639926</v>
      </c>
      <c r="P16" s="131">
        <f t="shared" si="4"/>
        <v>0.64272026564131601</v>
      </c>
      <c r="Q16" s="131">
        <f t="shared" si="4"/>
        <v>1.1414243026630435</v>
      </c>
      <c r="R16" s="131">
        <f t="shared" ref="R16:W16" si="5">SUM(R17:R18)</f>
        <v>0.30563780932945783</v>
      </c>
      <c r="S16" s="131">
        <f t="shared" si="5"/>
        <v>0.39640534640138686</v>
      </c>
      <c r="T16" s="131">
        <f t="shared" si="5"/>
        <v>0.34190437610778346</v>
      </c>
      <c r="U16" s="131">
        <f t="shared" si="5"/>
        <v>0.40266033047874</v>
      </c>
      <c r="V16" s="131">
        <f t="shared" si="5"/>
        <v>0.30107679500318019</v>
      </c>
      <c r="W16" s="131">
        <f t="shared" si="5"/>
        <v>0.35842957294161865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2.0577413736437159E-3</v>
      </c>
      <c r="D17" s="133">
        <v>3.5609404650683838E-3</v>
      </c>
      <c r="E17" s="133">
        <v>8.7309455148060437E-3</v>
      </c>
      <c r="F17" s="133">
        <v>3.3772709930124773E-3</v>
      </c>
      <c r="G17" s="133">
        <v>3.2885738114516558E-3</v>
      </c>
      <c r="H17" s="133">
        <v>5.1603046195457993E-3</v>
      </c>
      <c r="I17" s="133">
        <v>4.8897355129340816E-3</v>
      </c>
      <c r="J17" s="133">
        <v>2.1872942891619919E-3</v>
      </c>
      <c r="K17" s="133">
        <v>2.1607747685252134E-3</v>
      </c>
      <c r="L17" s="133">
        <v>1.4658771917123051E-3</v>
      </c>
      <c r="M17" s="133">
        <v>2.5080318249970568E-3</v>
      </c>
      <c r="N17" s="133">
        <v>1.0033857819412163E-3</v>
      </c>
      <c r="O17" s="133">
        <v>8.8941947586464252E-4</v>
      </c>
      <c r="P17" s="133">
        <v>2.2156420425562149E-3</v>
      </c>
      <c r="Q17" s="133">
        <v>2.5070556571539299E-2</v>
      </c>
      <c r="R17" s="133">
        <v>4.2769357419027848E-3</v>
      </c>
      <c r="S17" s="133">
        <v>7.8503237663684819E-3</v>
      </c>
      <c r="T17" s="133">
        <v>9.2822847197782474E-3</v>
      </c>
      <c r="U17" s="133">
        <v>9.2912433399258299E-3</v>
      </c>
      <c r="V17" s="133">
        <v>1.8807314394682045E-3</v>
      </c>
      <c r="W17" s="133">
        <v>5.5889500713870478E-3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1.1194894902898391</v>
      </c>
      <c r="D18" s="133">
        <v>1.1269035600893667</v>
      </c>
      <c r="E18" s="133">
        <v>2.5464368159106865</v>
      </c>
      <c r="F18" s="133">
        <v>1.0539313561912811</v>
      </c>
      <c r="G18" s="133">
        <v>1.0219828607027013</v>
      </c>
      <c r="H18" s="133">
        <v>1.5889787523373204</v>
      </c>
      <c r="I18" s="133">
        <v>1.668071493680634</v>
      </c>
      <c r="J18" s="133">
        <v>0.74094884172173725</v>
      </c>
      <c r="K18" s="133">
        <v>0.49948600257544001</v>
      </c>
      <c r="L18" s="133">
        <v>0.24546393589446935</v>
      </c>
      <c r="M18" s="133">
        <v>0.45164162710090228</v>
      </c>
      <c r="N18" s="133">
        <v>0.15722525119111064</v>
      </c>
      <c r="O18" s="133">
        <v>9.9652118250534619E-2</v>
      </c>
      <c r="P18" s="133">
        <v>0.64050462359875981</v>
      </c>
      <c r="Q18" s="133">
        <v>1.1163537460915043</v>
      </c>
      <c r="R18" s="133">
        <v>0.30136087358755503</v>
      </c>
      <c r="S18" s="133">
        <v>0.3885550226350184</v>
      </c>
      <c r="T18" s="133">
        <v>0.33262209138800519</v>
      </c>
      <c r="U18" s="133">
        <v>0.39336908713881419</v>
      </c>
      <c r="V18" s="133">
        <v>0.29919606356371198</v>
      </c>
      <c r="W18" s="133">
        <v>0.3528406228702316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2.4245974852152363</v>
      </c>
      <c r="D19" s="131">
        <f t="shared" si="6"/>
        <v>2.6577543514436752</v>
      </c>
      <c r="E19" s="131">
        <f t="shared" si="6"/>
        <v>3.5882129022687064</v>
      </c>
      <c r="F19" s="131">
        <f t="shared" si="6"/>
        <v>2.7155449641581293</v>
      </c>
      <c r="G19" s="131">
        <f t="shared" si="6"/>
        <v>2.724813283293352</v>
      </c>
      <c r="H19" s="131">
        <f t="shared" si="6"/>
        <v>3.7376418751471014</v>
      </c>
      <c r="I19" s="131">
        <f t="shared" si="6"/>
        <v>3.8672211751659944</v>
      </c>
      <c r="J19" s="131">
        <f t="shared" si="6"/>
        <v>1.7944879661724422</v>
      </c>
      <c r="K19" s="131">
        <f t="shared" si="6"/>
        <v>1.3085722023578148</v>
      </c>
      <c r="L19" s="131">
        <f t="shared" si="6"/>
        <v>0.63170479925260437</v>
      </c>
      <c r="M19" s="131">
        <f t="shared" si="6"/>
        <v>1.0929542534862393</v>
      </c>
      <c r="N19" s="131">
        <f t="shared" si="6"/>
        <v>0.2782701500232837</v>
      </c>
      <c r="O19" s="131">
        <f t="shared" si="6"/>
        <v>0.28414400310250293</v>
      </c>
      <c r="P19" s="131">
        <f t="shared" si="6"/>
        <v>2.2570079839677404</v>
      </c>
      <c r="Q19" s="131">
        <f t="shared" si="6"/>
        <v>2.4795649105676212</v>
      </c>
      <c r="R19" s="131">
        <f t="shared" ref="R19:W19" si="7">SUM(R20:R27)</f>
        <v>1.0081768973806893</v>
      </c>
      <c r="S19" s="131">
        <f t="shared" si="7"/>
        <v>0.92387846427847564</v>
      </c>
      <c r="T19" s="131">
        <f t="shared" si="7"/>
        <v>1.0706429873907246</v>
      </c>
      <c r="U19" s="131">
        <f t="shared" si="7"/>
        <v>1.062630677711768</v>
      </c>
      <c r="V19" s="131">
        <f t="shared" si="7"/>
        <v>0.98864730352887109</v>
      </c>
      <c r="W19" s="131">
        <f t="shared" si="7"/>
        <v>1.0190184065222063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0.1519594435282895</v>
      </c>
      <c r="D21" s="133">
        <v>0.16784077722740309</v>
      </c>
      <c r="E21" s="133">
        <v>0.17808107872873541</v>
      </c>
      <c r="F21" s="133">
        <v>0.13738522276259441</v>
      </c>
      <c r="G21" s="133">
        <v>0.12652324572877835</v>
      </c>
      <c r="H21" s="133">
        <v>0.17204252033705286</v>
      </c>
      <c r="I21" s="133">
        <v>0.18311497195622761</v>
      </c>
      <c r="J21" s="133">
        <v>0.12312802793461133</v>
      </c>
      <c r="K21" s="133">
        <v>9.9287268491154185E-2</v>
      </c>
      <c r="L21" s="133">
        <v>4.1987429955220312E-2</v>
      </c>
      <c r="M21" s="133">
        <v>5.9153306237191255E-2</v>
      </c>
      <c r="N21" s="133">
        <v>1.4440368591640221E-2</v>
      </c>
      <c r="O21" s="133">
        <v>1.5387333580015443E-2</v>
      </c>
      <c r="P21" s="133">
        <v>0.11239755541582454</v>
      </c>
      <c r="Q21" s="133">
        <v>0.10687566581954133</v>
      </c>
      <c r="R21" s="133">
        <v>3.2128246851323747E-2</v>
      </c>
      <c r="S21" s="133">
        <v>2.3031263183898826E-2</v>
      </c>
      <c r="T21" s="133">
        <v>1.8415192698068017E-2</v>
      </c>
      <c r="U21" s="133">
        <v>1.5547430765560585E-2</v>
      </c>
      <c r="V21" s="133">
        <v>1.176079660572199E-2</v>
      </c>
      <c r="W21" s="133">
        <v>3.8526328662964494E-2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0.31652069727085286</v>
      </c>
      <c r="D22" s="133">
        <v>0.39408165465723671</v>
      </c>
      <c r="E22" s="133">
        <v>0.49140009771108201</v>
      </c>
      <c r="F22" s="133">
        <v>0.40778731140630631</v>
      </c>
      <c r="G22" s="133">
        <v>0.47059151410938393</v>
      </c>
      <c r="H22" s="133">
        <v>0.57495816596253846</v>
      </c>
      <c r="I22" s="133">
        <v>0.59223329070070019</v>
      </c>
      <c r="J22" s="133">
        <v>0.28727151893030722</v>
      </c>
      <c r="K22" s="133">
        <v>0.17621113328793403</v>
      </c>
      <c r="L22" s="133">
        <v>5.6220066604927579E-2</v>
      </c>
      <c r="M22" s="133">
        <v>4.8597946627902892E-2</v>
      </c>
      <c r="N22" s="133">
        <v>8.4071411438624618E-3</v>
      </c>
      <c r="O22" s="133">
        <v>1.2863373155700684E-2</v>
      </c>
      <c r="P22" s="133">
        <v>3.0983657367297565E-2</v>
      </c>
      <c r="Q22" s="133">
        <v>0.1119518457844737</v>
      </c>
      <c r="R22" s="133">
        <v>7.6435918919269319E-2</v>
      </c>
      <c r="S22" s="133">
        <v>9.6852055344953364E-2</v>
      </c>
      <c r="T22" s="133">
        <v>0.1081967886897173</v>
      </c>
      <c r="U22" s="133">
        <v>0.10668382447944801</v>
      </c>
      <c r="V22" s="133">
        <v>8.2067196411532317E-2</v>
      </c>
      <c r="W22" s="133">
        <v>9.0525546489377121E-2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0.78603983401922262</v>
      </c>
      <c r="D23" s="133">
        <v>0.96655109678801066</v>
      </c>
      <c r="E23" s="133">
        <v>1.1049089324715651</v>
      </c>
      <c r="F23" s="133">
        <v>0.87931099620735231</v>
      </c>
      <c r="G23" s="133">
        <v>0.85633265905114664</v>
      </c>
      <c r="H23" s="133">
        <v>0.98379709132794224</v>
      </c>
      <c r="I23" s="133">
        <v>0.94522921050301578</v>
      </c>
      <c r="J23" s="133">
        <v>0.59147924206113367</v>
      </c>
      <c r="K23" s="133">
        <v>0.44307492608323956</v>
      </c>
      <c r="L23" s="133">
        <v>0.23443631299456866</v>
      </c>
      <c r="M23" s="133">
        <v>0.39971134211143577</v>
      </c>
      <c r="N23" s="133">
        <v>0.12115503676987578</v>
      </c>
      <c r="O23" s="133">
        <v>0.13215222060525036</v>
      </c>
      <c r="P23" s="133">
        <v>1.0570388479905199</v>
      </c>
      <c r="Q23" s="133">
        <v>1.2318982351100201</v>
      </c>
      <c r="R23" s="133">
        <v>0.56602843776619549</v>
      </c>
      <c r="S23" s="133">
        <v>0.45580707201128279</v>
      </c>
      <c r="T23" s="133">
        <v>0.50199774649323847</v>
      </c>
      <c r="U23" s="133">
        <v>0.44937081459320494</v>
      </c>
      <c r="V23" s="133">
        <v>0.38869502150369195</v>
      </c>
      <c r="W23" s="133">
        <v>0.48097956197651776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0.2903663898850351</v>
      </c>
      <c r="D25" s="133">
        <v>0.30721950203013887</v>
      </c>
      <c r="E25" s="133">
        <v>0.38062158045153693</v>
      </c>
      <c r="F25" s="133">
        <v>0.33899205864323001</v>
      </c>
      <c r="G25" s="133">
        <v>0.37358528585139139</v>
      </c>
      <c r="H25" s="133">
        <v>0.45135127581108853</v>
      </c>
      <c r="I25" s="133">
        <v>0.43891469148901707</v>
      </c>
      <c r="J25" s="133">
        <v>0.25496330313265964</v>
      </c>
      <c r="K25" s="133">
        <v>0.19919960200347223</v>
      </c>
      <c r="L25" s="133">
        <v>0.11175764803501376</v>
      </c>
      <c r="M25" s="133">
        <v>0.20023944287683368</v>
      </c>
      <c r="N25" s="133">
        <v>6.0839481025914688E-2</v>
      </c>
      <c r="O25" s="133">
        <v>5.6992836389446931E-2</v>
      </c>
      <c r="P25" s="133">
        <v>0.26304337788722087</v>
      </c>
      <c r="Q25" s="133">
        <v>0.2887775505476971</v>
      </c>
      <c r="R25" s="133">
        <v>0.13912191867018744</v>
      </c>
      <c r="S25" s="133">
        <v>0.13175372700733887</v>
      </c>
      <c r="T25" s="133">
        <v>0.15854857870316635</v>
      </c>
      <c r="U25" s="133">
        <v>0.16821568428573735</v>
      </c>
      <c r="V25" s="133">
        <v>0.18471051923867143</v>
      </c>
      <c r="W25" s="133">
        <v>0.17545123125309584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0.84176691652165569</v>
      </c>
      <c r="D26" s="65">
        <v>0.72557390576293412</v>
      </c>
      <c r="E26" s="65">
        <v>1.3615257165183647</v>
      </c>
      <c r="F26" s="65">
        <v>0.82503903338115514</v>
      </c>
      <c r="G26" s="65">
        <v>0.7845496945988748</v>
      </c>
      <c r="H26" s="65">
        <v>1.3955818298383014</v>
      </c>
      <c r="I26" s="65">
        <v>1.5399257509437718</v>
      </c>
      <c r="J26" s="65">
        <v>0.29339434713575269</v>
      </c>
      <c r="K26" s="65">
        <v>0.21470393508684321</v>
      </c>
      <c r="L26" s="65">
        <v>5.4365220998460299E-2</v>
      </c>
      <c r="M26" s="65">
        <v>0.12853329565838062</v>
      </c>
      <c r="N26" s="65">
        <v>1.9207073081854372E-2</v>
      </c>
      <c r="O26" s="65">
        <v>2.0301878890688581E-2</v>
      </c>
      <c r="P26" s="65">
        <v>0.35678930413977561</v>
      </c>
      <c r="Q26" s="65">
        <v>0.2707732148991564</v>
      </c>
      <c r="R26" s="65">
        <v>3.3121008030834009E-2</v>
      </c>
      <c r="S26" s="65">
        <v>5.4899357336390911E-2</v>
      </c>
      <c r="T26" s="65">
        <v>7.2288793542358107E-2</v>
      </c>
      <c r="U26" s="65">
        <v>7.8559840638748324E-2</v>
      </c>
      <c r="V26" s="65">
        <v>7.2307877372960128E-2</v>
      </c>
      <c r="W26" s="65">
        <v>5.1423137830532845E-2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3.7944203990180912E-2</v>
      </c>
      <c r="D27" s="148">
        <v>9.6487414977951963E-2</v>
      </c>
      <c r="E27" s="148">
        <v>7.1675496387421683E-2</v>
      </c>
      <c r="F27" s="148">
        <v>0.12703034175749112</v>
      </c>
      <c r="G27" s="148">
        <v>0.11323088395377699</v>
      </c>
      <c r="H27" s="148">
        <v>0.15991099187017804</v>
      </c>
      <c r="I27" s="148">
        <v>0.16780325957326159</v>
      </c>
      <c r="J27" s="148">
        <v>0.24425152697797781</v>
      </c>
      <c r="K27" s="148">
        <v>0.17609533740517144</v>
      </c>
      <c r="L27" s="148">
        <v>0.13293812066441379</v>
      </c>
      <c r="M27" s="148">
        <v>0.25671891997449492</v>
      </c>
      <c r="N27" s="148">
        <v>5.4221049410136141E-2</v>
      </c>
      <c r="O27" s="148">
        <v>4.6446360481400911E-2</v>
      </c>
      <c r="P27" s="148">
        <v>0.43675524116710202</v>
      </c>
      <c r="Q27" s="148">
        <v>0.4692883984067327</v>
      </c>
      <c r="R27" s="148">
        <v>0.16134136714287933</v>
      </c>
      <c r="S27" s="148">
        <v>0.16153498939461089</v>
      </c>
      <c r="T27" s="148">
        <v>0.21119588726417651</v>
      </c>
      <c r="U27" s="148">
        <v>0.244253082949069</v>
      </c>
      <c r="V27" s="148">
        <v>0.24910589239629333</v>
      </c>
      <c r="W27" s="148">
        <v>0.18211260030971835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2.5571856454988051</v>
      </c>
      <c r="D29" s="131">
        <f t="shared" si="8"/>
        <v>2.6829428155740489</v>
      </c>
      <c r="E29" s="131">
        <f t="shared" si="8"/>
        <v>3.5749724207587716</v>
      </c>
      <c r="F29" s="131">
        <f t="shared" si="8"/>
        <v>2.7292698127827828</v>
      </c>
      <c r="G29" s="131">
        <f t="shared" si="8"/>
        <v>2.7297602636518619</v>
      </c>
      <c r="H29" s="131">
        <f t="shared" si="8"/>
        <v>3.9188209477277094</v>
      </c>
      <c r="I29" s="131">
        <f t="shared" si="8"/>
        <v>4.1600604558526619</v>
      </c>
      <c r="J29" s="131">
        <f t="shared" si="8"/>
        <v>2.078276991395386</v>
      </c>
      <c r="K29" s="131">
        <f t="shared" si="8"/>
        <v>1.6444046883841876</v>
      </c>
      <c r="L29" s="131">
        <f t="shared" si="8"/>
        <v>0.82075290109382026</v>
      </c>
      <c r="M29" s="131">
        <f t="shared" si="8"/>
        <v>1.4512917991880381</v>
      </c>
      <c r="N29" s="131">
        <f t="shared" si="8"/>
        <v>0.37715674201417626</v>
      </c>
      <c r="O29" s="131">
        <f t="shared" si="8"/>
        <v>0.38013326051904811</v>
      </c>
      <c r="P29" s="131">
        <f t="shared" si="8"/>
        <v>3.1584102289635125</v>
      </c>
      <c r="Q29" s="131">
        <f t="shared" si="8"/>
        <v>3.5525348708100881</v>
      </c>
      <c r="R29" s="131">
        <f t="shared" ref="R29:W29" si="9">SUM(R30:R33)</f>
        <v>1.4914055348126432</v>
      </c>
      <c r="S29" s="131">
        <f t="shared" si="9"/>
        <v>1.382319525266464</v>
      </c>
      <c r="T29" s="131">
        <f t="shared" si="9"/>
        <v>1.6363112693343966</v>
      </c>
      <c r="U29" s="131">
        <f t="shared" si="9"/>
        <v>1.6736437029960156</v>
      </c>
      <c r="V29" s="131">
        <f t="shared" si="9"/>
        <v>1.459564371039396</v>
      </c>
      <c r="W29" s="131">
        <f t="shared" si="9"/>
        <v>1.6469175717087936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0.50255918021035706</v>
      </c>
      <c r="D30" s="133">
        <v>0.28939553260952872</v>
      </c>
      <c r="E30" s="133">
        <v>0.40955052108411444</v>
      </c>
      <c r="F30" s="133">
        <v>0.2861725109451369</v>
      </c>
      <c r="G30" s="133">
        <v>0.1896928651552906</v>
      </c>
      <c r="H30" s="133">
        <v>0.29289877519170798</v>
      </c>
      <c r="I30" s="133">
        <v>0.26217006528579745</v>
      </c>
      <c r="J30" s="133">
        <v>0.2328316294574358</v>
      </c>
      <c r="K30" s="133">
        <v>0.18355614836893061</v>
      </c>
      <c r="L30" s="133">
        <v>9.1967619090593589E-2</v>
      </c>
      <c r="M30" s="133">
        <v>0.14388386045224252</v>
      </c>
      <c r="N30" s="133">
        <v>4.1163181768096774E-2</v>
      </c>
      <c r="O30" s="133">
        <v>3.007957185613741E-2</v>
      </c>
      <c r="P30" s="133">
        <v>0.22502546565717921</v>
      </c>
      <c r="Q30" s="133">
        <v>0.26242675579508112</v>
      </c>
      <c r="R30" s="133">
        <v>0.15118990379177885</v>
      </c>
      <c r="S30" s="133">
        <v>9.5187065821878844E-2</v>
      </c>
      <c r="T30" s="133">
        <v>0.11921429195120037</v>
      </c>
      <c r="U30" s="133">
        <v>0.16837388593177308</v>
      </c>
      <c r="V30" s="133">
        <v>0.14350420997476379</v>
      </c>
      <c r="W30" s="133">
        <v>0.15979175046013555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0.25565598064161005</v>
      </c>
      <c r="D31" s="133">
        <v>0.29735417157913296</v>
      </c>
      <c r="E31" s="133">
        <v>0.36747935121099001</v>
      </c>
      <c r="F31" s="133">
        <v>0.28143601891266834</v>
      </c>
      <c r="G31" s="133">
        <v>0.31755809483929809</v>
      </c>
      <c r="H31" s="133">
        <v>0.38694322076350596</v>
      </c>
      <c r="I31" s="133">
        <v>0.43705426493462479</v>
      </c>
      <c r="J31" s="133">
        <v>0.25342180516514795</v>
      </c>
      <c r="K31" s="133">
        <v>0.19255319912929364</v>
      </c>
      <c r="L31" s="133">
        <v>0.10408906005325197</v>
      </c>
      <c r="M31" s="133">
        <v>0.18532375998420567</v>
      </c>
      <c r="N31" s="133">
        <v>5.8031188693697049E-2</v>
      </c>
      <c r="O31" s="133">
        <v>4.8873264288514115E-2</v>
      </c>
      <c r="P31" s="133">
        <v>0.34509208304957928</v>
      </c>
      <c r="Q31" s="133">
        <v>0.45913183405918573</v>
      </c>
      <c r="R31" s="133">
        <v>0.22121207218049485</v>
      </c>
      <c r="S31" s="133">
        <v>0.21334423492396035</v>
      </c>
      <c r="T31" s="133">
        <v>0.21621632644060032</v>
      </c>
      <c r="U31" s="133">
        <v>0.1977161793749446</v>
      </c>
      <c r="V31" s="133">
        <v>0.19695086972273748</v>
      </c>
      <c r="W31" s="133">
        <v>0.21963880082119344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0.11076970263440047</v>
      </c>
      <c r="L32" s="133">
        <v>1.4510090687012523E-2</v>
      </c>
      <c r="M32" s="133">
        <v>1.0288524450919051E-2</v>
      </c>
      <c r="N32" s="133">
        <v>2.6089842776043143E-4</v>
      </c>
      <c r="O32" s="133">
        <v>3.674717586050256E-4</v>
      </c>
      <c r="P32" s="133">
        <v>2.7535884275703667E-3</v>
      </c>
      <c r="Q32" s="133">
        <v>8.9066185160631851E-3</v>
      </c>
      <c r="R32" s="133">
        <v>8.1259901814322681E-3</v>
      </c>
      <c r="S32" s="133">
        <v>9.6869835989805055E-3</v>
      </c>
      <c r="T32" s="133">
        <v>3.343735331115559E-2</v>
      </c>
      <c r="U32" s="133">
        <v>3.2253218556023033E-2</v>
      </c>
      <c r="V32" s="133">
        <v>2.2481941630958121E-2</v>
      </c>
      <c r="W32" s="133">
        <v>2.5027646469775653E-2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1.798970484646838</v>
      </c>
      <c r="D33" s="68">
        <v>2.0961931113853871</v>
      </c>
      <c r="E33" s="68">
        <v>2.7979425484636673</v>
      </c>
      <c r="F33" s="68">
        <v>2.1616612829249777</v>
      </c>
      <c r="G33" s="68">
        <v>2.2225093036572732</v>
      </c>
      <c r="H33" s="68">
        <v>3.2389789517724954</v>
      </c>
      <c r="I33" s="68">
        <v>3.4608361256322393</v>
      </c>
      <c r="J33" s="68">
        <v>1.5920235567728021</v>
      </c>
      <c r="K33" s="68">
        <v>1.1575256382515631</v>
      </c>
      <c r="L33" s="68">
        <v>0.61018613126296217</v>
      </c>
      <c r="M33" s="68">
        <v>1.1117956543006708</v>
      </c>
      <c r="N33" s="68">
        <v>0.27770147312462201</v>
      </c>
      <c r="O33" s="68">
        <v>0.30081295261579155</v>
      </c>
      <c r="P33" s="68">
        <v>2.5855390918291836</v>
      </c>
      <c r="Q33" s="68">
        <v>2.8220696624397581</v>
      </c>
      <c r="R33" s="68">
        <v>1.1108775686589372</v>
      </c>
      <c r="S33" s="68">
        <v>1.0641012409216442</v>
      </c>
      <c r="T33" s="68">
        <v>1.2674432976314403</v>
      </c>
      <c r="U33" s="68">
        <v>1.2753004191332749</v>
      </c>
      <c r="V33" s="68">
        <v>1.0966273497109367</v>
      </c>
      <c r="W33" s="68">
        <v>1.242459373957689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13.488630880738299</v>
      </c>
      <c r="D3" s="126">
        <f t="shared" si="0"/>
        <v>14.500615563721558</v>
      </c>
      <c r="E3" s="126">
        <f t="shared" si="0"/>
        <v>22.108368346115288</v>
      </c>
      <c r="F3" s="126">
        <f t="shared" si="0"/>
        <v>14.580156179811741</v>
      </c>
      <c r="G3" s="126">
        <f t="shared" si="0"/>
        <v>14.856398529491214</v>
      </c>
      <c r="H3" s="126">
        <f t="shared" si="0"/>
        <v>20.152138790763338</v>
      </c>
      <c r="I3" s="126">
        <f t="shared" si="0"/>
        <v>20.543161951397565</v>
      </c>
      <c r="J3" s="126">
        <f t="shared" si="0"/>
        <v>9.9667511348377129</v>
      </c>
      <c r="K3" s="126">
        <f t="shared" si="0"/>
        <v>7.0700830003076929</v>
      </c>
      <c r="L3" s="126">
        <f t="shared" si="0"/>
        <v>3.7889335791415935</v>
      </c>
      <c r="M3" s="126">
        <f t="shared" si="0"/>
        <v>6.5749002253138098</v>
      </c>
      <c r="N3" s="126">
        <f t="shared" si="0"/>
        <v>1.7141147857797085</v>
      </c>
      <c r="O3" s="126">
        <f t="shared" si="0"/>
        <v>1.5092899057896736</v>
      </c>
      <c r="P3" s="126">
        <f t="shared" si="0"/>
        <v>10.929712412917173</v>
      </c>
      <c r="Q3" s="126">
        <f t="shared" si="0"/>
        <v>14.645177070465676</v>
      </c>
      <c r="R3" s="126">
        <f t="shared" ref="R3:W3" si="1">SUM(R4,R16,R19,R29)</f>
        <v>5.4130629648202753</v>
      </c>
      <c r="S3" s="126">
        <f t="shared" si="1"/>
        <v>5.6458861413176429</v>
      </c>
      <c r="T3" s="126">
        <f t="shared" si="1"/>
        <v>6.3073613286246655</v>
      </c>
      <c r="U3" s="126">
        <f t="shared" si="1"/>
        <v>6.4918371560613606</v>
      </c>
      <c r="V3" s="126">
        <f t="shared" si="1"/>
        <v>5.5384720922404291</v>
      </c>
      <c r="W3" s="126">
        <f t="shared" si="1"/>
        <v>5.9696806603909929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7.6409211111005932</v>
      </c>
      <c r="D4" s="131">
        <f t="shared" si="2"/>
        <v>8.2637331533913105</v>
      </c>
      <c r="E4" s="131">
        <f t="shared" si="2"/>
        <v>11.113553200428091</v>
      </c>
      <c r="F4" s="131">
        <f t="shared" si="2"/>
        <v>8.2292381851209697</v>
      </c>
      <c r="G4" s="131">
        <f t="shared" si="2"/>
        <v>8.4814020142916178</v>
      </c>
      <c r="H4" s="131">
        <f t="shared" si="2"/>
        <v>10.631875320665383</v>
      </c>
      <c r="I4" s="131">
        <f t="shared" si="2"/>
        <v>10.395619161946168</v>
      </c>
      <c r="J4" s="131">
        <f t="shared" si="2"/>
        <v>5.1458049063759335</v>
      </c>
      <c r="K4" s="131">
        <f t="shared" si="2"/>
        <v>3.5411300514177739</v>
      </c>
      <c r="L4" s="131">
        <f t="shared" si="2"/>
        <v>1.9997591587343089</v>
      </c>
      <c r="M4" s="131">
        <f t="shared" si="2"/>
        <v>3.2964077866115127</v>
      </c>
      <c r="N4" s="131">
        <f t="shared" si="2"/>
        <v>0.72628796998094225</v>
      </c>
      <c r="O4" s="131">
        <f t="shared" si="2"/>
        <v>0.67653371774905791</v>
      </c>
      <c r="P4" s="131">
        <f t="shared" si="2"/>
        <v>4.5267604873849763</v>
      </c>
      <c r="Q4" s="131">
        <f t="shared" si="2"/>
        <v>5.8983184675412126</v>
      </c>
      <c r="R4" s="131">
        <f t="shared" ref="R4:W4" si="3">SUM(R5:R15)</f>
        <v>2.3496176084984</v>
      </c>
      <c r="S4" s="131">
        <f t="shared" si="3"/>
        <v>2.3433536613580461</v>
      </c>
      <c r="T4" s="131">
        <f t="shared" si="3"/>
        <v>2.8338096467514373</v>
      </c>
      <c r="U4" s="131">
        <f t="shared" si="3"/>
        <v>2.7119275575837656</v>
      </c>
      <c r="V4" s="131">
        <f t="shared" si="3"/>
        <v>2.3267760170089393</v>
      </c>
      <c r="W4" s="131">
        <f t="shared" si="3"/>
        <v>2.3460054325126602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2.9049745215395578E-2</v>
      </c>
      <c r="D5" s="133">
        <v>3.8006167933978582E-2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2.7100509266409733E-2</v>
      </c>
      <c r="K5" s="133">
        <v>1.2353023292037007E-2</v>
      </c>
      <c r="L5" s="133">
        <v>1.1776821349141927E-2</v>
      </c>
      <c r="M5" s="133">
        <v>3.640939896329675E-2</v>
      </c>
      <c r="N5" s="133">
        <v>8.6568985948915038E-3</v>
      </c>
      <c r="O5" s="133">
        <v>0</v>
      </c>
      <c r="P5" s="133">
        <v>0</v>
      </c>
      <c r="Q5" s="133">
        <v>0</v>
      </c>
      <c r="R5" s="133">
        <v>0</v>
      </c>
      <c r="S5" s="133">
        <v>9.6538355836605174E-4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2.4586081214667375</v>
      </c>
      <c r="D7" s="133">
        <v>2.703131266644645</v>
      </c>
      <c r="E7" s="133">
        <v>3.188766054329458</v>
      </c>
      <c r="F7" s="133">
        <v>0.88595471900437406</v>
      </c>
      <c r="G7" s="133">
        <v>3.945648536429483E-2</v>
      </c>
      <c r="H7" s="133">
        <v>0</v>
      </c>
      <c r="I7" s="133">
        <v>0</v>
      </c>
      <c r="J7" s="133">
        <v>0</v>
      </c>
      <c r="K7" s="133">
        <v>0.11659168545501351</v>
      </c>
      <c r="L7" s="133">
        <v>0.16974293891576853</v>
      </c>
      <c r="M7" s="133">
        <v>0.42996752770883584</v>
      </c>
      <c r="N7" s="133">
        <v>0.10440846882015722</v>
      </c>
      <c r="O7" s="133">
        <v>9.6820443974549253E-2</v>
      </c>
      <c r="P7" s="133">
        <v>0.19235831801028178</v>
      </c>
      <c r="Q7" s="133">
        <v>0.7195100667916744</v>
      </c>
      <c r="R7" s="133">
        <v>0.21325074227880889</v>
      </c>
      <c r="S7" s="133">
        <v>9.9838889798133004E-2</v>
      </c>
      <c r="T7" s="133">
        <v>0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2.1489577632692276</v>
      </c>
      <c r="D9" s="133">
        <v>1.3760667706207459</v>
      </c>
      <c r="E9" s="133">
        <v>2.3720163122978626</v>
      </c>
      <c r="F9" s="133">
        <v>2.1379500679008343</v>
      </c>
      <c r="G9" s="133">
        <v>2.6898393453175808</v>
      </c>
      <c r="H9" s="133">
        <v>2.9256132458298612</v>
      </c>
      <c r="I9" s="133">
        <v>2.6094663153207405</v>
      </c>
      <c r="J9" s="133">
        <v>1.6727024266530093</v>
      </c>
      <c r="K9" s="133">
        <v>1.3120091707960615</v>
      </c>
      <c r="L9" s="133">
        <v>0.76051602606647128</v>
      </c>
      <c r="M9" s="133">
        <v>0.59086210313945808</v>
      </c>
      <c r="N9" s="133">
        <v>0.23286377693121474</v>
      </c>
      <c r="O9" s="133">
        <v>0.32766644501945219</v>
      </c>
      <c r="P9" s="133">
        <v>2.9418923003911099</v>
      </c>
      <c r="Q9" s="133">
        <v>4.1461516659090929</v>
      </c>
      <c r="R9" s="133">
        <v>0.95074946918786207</v>
      </c>
      <c r="S9" s="133">
        <v>0.62109342640241816</v>
      </c>
      <c r="T9" s="133">
        <v>0.82536779198063548</v>
      </c>
      <c r="U9" s="133">
        <v>1.0050296789491961</v>
      </c>
      <c r="V9" s="133">
        <v>1.0326208276089006</v>
      </c>
      <c r="W9" s="133">
        <v>1.0052258569200303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0.45856671255600107</v>
      </c>
      <c r="J10" s="133">
        <v>5.1807045782061412E-2</v>
      </c>
      <c r="K10" s="133">
        <v>5.0911980995642307E-2</v>
      </c>
      <c r="L10" s="133">
        <v>2.4777495571389214E-3</v>
      </c>
      <c r="M10" s="133">
        <v>2.4543102844807936E-2</v>
      </c>
      <c r="N10" s="133">
        <v>5.5264841363192778E-3</v>
      </c>
      <c r="O10" s="133">
        <v>9.1631059882834424E-3</v>
      </c>
      <c r="P10" s="133">
        <v>0.14708943112632084</v>
      </c>
      <c r="Q10" s="133">
        <v>0.15030336885443876</v>
      </c>
      <c r="R10" s="133">
        <v>8.1464577205032709E-2</v>
      </c>
      <c r="S10" s="133">
        <v>6.4681618794898837E-2</v>
      </c>
      <c r="T10" s="133">
        <v>9.107203204014673E-2</v>
      </c>
      <c r="U10" s="133">
        <v>9.5068485181415752E-2</v>
      </c>
      <c r="V10" s="133">
        <v>0.10189197462023125</v>
      </c>
      <c r="W10" s="133">
        <v>5.6043901538925557E-2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1.1989855976369928</v>
      </c>
      <c r="J11" s="133">
        <v>0.18425036982587259</v>
      </c>
      <c r="K11" s="133">
        <v>0.12117755398995513</v>
      </c>
      <c r="L11" s="133">
        <v>0.13963222523726324</v>
      </c>
      <c r="M11" s="133">
        <v>0.12232664568960404</v>
      </c>
      <c r="N11" s="133">
        <v>1.7161669393611145E-2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0.82832632560616859</v>
      </c>
      <c r="D12" s="133">
        <v>1.3983541410928981</v>
      </c>
      <c r="E12" s="133">
        <v>2.2718246024279987</v>
      </c>
      <c r="F12" s="133">
        <v>1.3988254436511407</v>
      </c>
      <c r="G12" s="133">
        <v>1.5386772895526972</v>
      </c>
      <c r="H12" s="133">
        <v>1.1621903452404434</v>
      </c>
      <c r="I12" s="133">
        <v>1.4000474443034934</v>
      </c>
      <c r="J12" s="133">
        <v>0.9749207737737442</v>
      </c>
      <c r="K12" s="133">
        <v>0.92449086804905167</v>
      </c>
      <c r="L12" s="133">
        <v>0.60259288177129622</v>
      </c>
      <c r="M12" s="133">
        <v>0.92316066464081958</v>
      </c>
      <c r="N12" s="133">
        <v>0.22636470490952676</v>
      </c>
      <c r="O12" s="133">
        <v>0.15852090878881409</v>
      </c>
      <c r="P12" s="133">
        <v>5.2611119181870357E-2</v>
      </c>
      <c r="Q12" s="133">
        <v>5.3404103954456147E-2</v>
      </c>
      <c r="R12" s="133">
        <v>1.2063307747547729E-2</v>
      </c>
      <c r="S12" s="133">
        <v>0</v>
      </c>
      <c r="T12" s="133">
        <v>0.12142810842018231</v>
      </c>
      <c r="U12" s="133">
        <v>0.31732370924239139</v>
      </c>
      <c r="V12" s="133">
        <v>0.57365587172853183</v>
      </c>
      <c r="W12" s="133">
        <v>0.52831730389717146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2.0814638390860951</v>
      </c>
      <c r="D14" s="65">
        <v>2.6628962003456595</v>
      </c>
      <c r="E14" s="65">
        <v>3.165687098818788</v>
      </c>
      <c r="F14" s="65">
        <v>3.7441641521112108</v>
      </c>
      <c r="G14" s="65">
        <v>4.1568517053055203</v>
      </c>
      <c r="H14" s="65">
        <v>6.4865407231342278</v>
      </c>
      <c r="I14" s="65">
        <v>4.6670802415349657</v>
      </c>
      <c r="J14" s="65">
        <v>2.2002527872747852</v>
      </c>
      <c r="K14" s="65">
        <v>0.97410233261634205</v>
      </c>
      <c r="L14" s="65">
        <v>0.29402334814087572</v>
      </c>
      <c r="M14" s="65">
        <v>1.1471742214576237</v>
      </c>
      <c r="N14" s="65">
        <v>0.12459009669618211</v>
      </c>
      <c r="O14" s="65">
        <v>7.6653288958182422E-2</v>
      </c>
      <c r="P14" s="65">
        <v>1.140263605981531</v>
      </c>
      <c r="Q14" s="65">
        <v>0.7487220023144564</v>
      </c>
      <c r="R14" s="65">
        <v>1.0726642154131569</v>
      </c>
      <c r="S14" s="65">
        <v>1.5447185835421788</v>
      </c>
      <c r="T14" s="65">
        <v>1.7815789995691331</v>
      </c>
      <c r="U14" s="65">
        <v>1.2765179127364241</v>
      </c>
      <c r="V14" s="65">
        <v>0.59914061427250331</v>
      </c>
      <c r="W14" s="65">
        <v>0.73794871037833432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9.4515316456968854E-2</v>
      </c>
      <c r="D15" s="135">
        <v>8.5278606753381656E-2</v>
      </c>
      <c r="E15" s="135">
        <v>0.11525913255398529</v>
      </c>
      <c r="F15" s="135">
        <v>6.2343802453410584E-2</v>
      </c>
      <c r="G15" s="135">
        <v>5.6577188751525821E-2</v>
      </c>
      <c r="H15" s="135">
        <v>5.7531006460850846E-2</v>
      </c>
      <c r="I15" s="135">
        <v>6.1472850593976079E-2</v>
      </c>
      <c r="J15" s="135">
        <v>3.4770993800051442E-2</v>
      </c>
      <c r="K15" s="135">
        <v>2.9493436223670823E-2</v>
      </c>
      <c r="L15" s="135">
        <v>1.8997167696352884E-2</v>
      </c>
      <c r="M15" s="135">
        <v>2.1964122167066662E-2</v>
      </c>
      <c r="N15" s="135">
        <v>6.7158704990394379E-3</v>
      </c>
      <c r="O15" s="135">
        <v>7.7095250197764826E-3</v>
      </c>
      <c r="P15" s="135">
        <v>5.2545712693862108E-2</v>
      </c>
      <c r="Q15" s="135">
        <v>8.0227259717094976E-2</v>
      </c>
      <c r="R15" s="135">
        <v>1.9425296665991673E-2</v>
      </c>
      <c r="S15" s="135">
        <v>1.205575926205125E-2</v>
      </c>
      <c r="T15" s="135">
        <v>1.4362714741339591E-2</v>
      </c>
      <c r="U15" s="135">
        <v>1.7987771474337898E-2</v>
      </c>
      <c r="V15" s="135">
        <v>1.9466728778772278E-2</v>
      </c>
      <c r="W15" s="135">
        <v>1.8469659778198918E-2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2.5358541306813991</v>
      </c>
      <c r="D16" s="131">
        <f t="shared" si="4"/>
        <v>2.6370945009749192</v>
      </c>
      <c r="E16" s="131">
        <f t="shared" si="4"/>
        <v>6.1483803581878016</v>
      </c>
      <c r="F16" s="131">
        <f t="shared" si="4"/>
        <v>2.6225333418310619</v>
      </c>
      <c r="G16" s="131">
        <f t="shared" si="4"/>
        <v>2.6195147559385616</v>
      </c>
      <c r="H16" s="131">
        <f t="shared" si="4"/>
        <v>4.1927545111851989</v>
      </c>
      <c r="I16" s="131">
        <f t="shared" si="4"/>
        <v>4.5279079111122948</v>
      </c>
      <c r="J16" s="131">
        <f t="shared" si="4"/>
        <v>2.0687971960433722</v>
      </c>
      <c r="K16" s="131">
        <f t="shared" si="4"/>
        <v>1.4352122966600065</v>
      </c>
      <c r="L16" s="131">
        <f t="shared" si="4"/>
        <v>0.72585392718042674</v>
      </c>
      <c r="M16" s="131">
        <f t="shared" si="4"/>
        <v>1.3793120770435079</v>
      </c>
      <c r="N16" s="131">
        <f t="shared" si="4"/>
        <v>0.49886909945234664</v>
      </c>
      <c r="O16" s="131">
        <f t="shared" si="4"/>
        <v>0.33056107216966601</v>
      </c>
      <c r="P16" s="131">
        <f t="shared" si="4"/>
        <v>2.2178137599682168</v>
      </c>
      <c r="Q16" s="131">
        <f t="shared" si="4"/>
        <v>4.0414055850510948</v>
      </c>
      <c r="R16" s="131">
        <f t="shared" ref="R16:W16" si="5">SUM(R17:R18)</f>
        <v>1.1124353127202906</v>
      </c>
      <c r="S16" s="131">
        <f t="shared" si="5"/>
        <v>1.4632615325673732</v>
      </c>
      <c r="T16" s="131">
        <f t="shared" si="5"/>
        <v>1.2748134575037069</v>
      </c>
      <c r="U16" s="131">
        <f t="shared" si="5"/>
        <v>1.5250558266366085</v>
      </c>
      <c r="V16" s="131">
        <f t="shared" si="5"/>
        <v>1.1673875301538972</v>
      </c>
      <c r="W16" s="131">
        <f t="shared" si="5"/>
        <v>1.399583325536959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2.5994198205221215E-3</v>
      </c>
      <c r="D17" s="133">
        <v>4.5113479326374835E-3</v>
      </c>
      <c r="E17" s="133">
        <v>1.1086655097842475E-2</v>
      </c>
      <c r="F17" s="133">
        <v>4.2963015821814105E-3</v>
      </c>
      <c r="G17" s="133">
        <v>4.1891689830478532E-3</v>
      </c>
      <c r="H17" s="133">
        <v>6.5806807274273104E-3</v>
      </c>
      <c r="I17" s="133">
        <v>6.2411468337020479E-3</v>
      </c>
      <c r="J17" s="133">
        <v>2.7942222814220986E-3</v>
      </c>
      <c r="K17" s="133">
        <v>2.7634363586530051E-3</v>
      </c>
      <c r="L17" s="133">
        <v>1.8776376806859466E-3</v>
      </c>
      <c r="M17" s="133">
        <v>3.2264033599174935E-3</v>
      </c>
      <c r="N17" s="133">
        <v>1.3040542493750653E-3</v>
      </c>
      <c r="O17" s="133">
        <v>1.1758860997168655E-3</v>
      </c>
      <c r="P17" s="133">
        <v>2.9984393550159818E-3</v>
      </c>
      <c r="Q17" s="133">
        <v>3.4767082449872928E-2</v>
      </c>
      <c r="R17" s="133">
        <v>6.0497285125237716E-3</v>
      </c>
      <c r="S17" s="133">
        <v>1.132030731158337E-2</v>
      </c>
      <c r="T17" s="133">
        <v>1.3684597393896285E-2</v>
      </c>
      <c r="U17" s="133">
        <v>1.4015515290233121E-2</v>
      </c>
      <c r="V17" s="133">
        <v>2.8992414308504082E-3</v>
      </c>
      <c r="W17" s="133">
        <v>8.7665133850730066E-3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2.5332547108608772</v>
      </c>
      <c r="D18" s="133">
        <v>2.6325831530422819</v>
      </c>
      <c r="E18" s="133">
        <v>6.1372937030899593</v>
      </c>
      <c r="F18" s="133">
        <v>2.6182370402488804</v>
      </c>
      <c r="G18" s="133">
        <v>2.6153255869555139</v>
      </c>
      <c r="H18" s="133">
        <v>4.186173830457772</v>
      </c>
      <c r="I18" s="133">
        <v>4.521666764278593</v>
      </c>
      <c r="J18" s="133">
        <v>2.0660029737619503</v>
      </c>
      <c r="K18" s="133">
        <v>1.4324488603013534</v>
      </c>
      <c r="L18" s="133">
        <v>0.7239762894997408</v>
      </c>
      <c r="M18" s="133">
        <v>1.3760856736835905</v>
      </c>
      <c r="N18" s="133">
        <v>0.49756504520297157</v>
      </c>
      <c r="O18" s="133">
        <v>0.32938518606994915</v>
      </c>
      <c r="P18" s="133">
        <v>2.2148153206132006</v>
      </c>
      <c r="Q18" s="133">
        <v>4.0066385026012217</v>
      </c>
      <c r="R18" s="133">
        <v>1.1063855842077668</v>
      </c>
      <c r="S18" s="133">
        <v>1.4519412252557899</v>
      </c>
      <c r="T18" s="133">
        <v>1.2611288601098105</v>
      </c>
      <c r="U18" s="133">
        <v>1.5110403113463755</v>
      </c>
      <c r="V18" s="133">
        <v>1.1644882887230468</v>
      </c>
      <c r="W18" s="133">
        <v>1.390816812151886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1.4787568746466129</v>
      </c>
      <c r="D19" s="131">
        <f t="shared" si="6"/>
        <v>1.6338068693049459</v>
      </c>
      <c r="E19" s="131">
        <f t="shared" si="6"/>
        <v>2.2212610535210482</v>
      </c>
      <c r="F19" s="131">
        <f t="shared" si="6"/>
        <v>1.7157538973355666</v>
      </c>
      <c r="G19" s="131">
        <f t="shared" si="6"/>
        <v>1.7271478984969226</v>
      </c>
      <c r="H19" s="131">
        <f t="shared" si="6"/>
        <v>2.40118140192217</v>
      </c>
      <c r="I19" s="131">
        <f t="shared" si="6"/>
        <v>2.5026960272348227</v>
      </c>
      <c r="J19" s="131">
        <f t="shared" si="6"/>
        <v>1.2179124242802022</v>
      </c>
      <c r="K19" s="131">
        <f t="shared" si="6"/>
        <v>0.89873581375356781</v>
      </c>
      <c r="L19" s="131">
        <f t="shared" si="6"/>
        <v>0.45857852539391386</v>
      </c>
      <c r="M19" s="131">
        <f t="shared" si="6"/>
        <v>0.82017146891499471</v>
      </c>
      <c r="N19" s="131">
        <f t="shared" si="6"/>
        <v>0.20970471845226971</v>
      </c>
      <c r="O19" s="131">
        <f t="shared" si="6"/>
        <v>0.21520424895237603</v>
      </c>
      <c r="P19" s="131">
        <f t="shared" si="6"/>
        <v>1.7675064489679297</v>
      </c>
      <c r="Q19" s="131">
        <f t="shared" si="6"/>
        <v>1.9817844402733422</v>
      </c>
      <c r="R19" s="131">
        <f t="shared" ref="R19:W19" si="7">SUM(R20:R27)</f>
        <v>0.81061663444064491</v>
      </c>
      <c r="S19" s="131">
        <f t="shared" si="7"/>
        <v>0.75872752587537096</v>
      </c>
      <c r="T19" s="131">
        <f t="shared" si="7"/>
        <v>0.89828880978216974</v>
      </c>
      <c r="U19" s="131">
        <f t="shared" si="7"/>
        <v>0.91028704834382101</v>
      </c>
      <c r="V19" s="131">
        <f t="shared" si="7"/>
        <v>0.86088866555335897</v>
      </c>
      <c r="W19" s="131">
        <f t="shared" si="7"/>
        <v>0.87488791972713253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8.1705019969070966E-2</v>
      </c>
      <c r="D21" s="133">
        <v>9.0611523386942644E-2</v>
      </c>
      <c r="E21" s="133">
        <v>9.6594364590545059E-2</v>
      </c>
      <c r="F21" s="133">
        <v>7.4877592100523901E-2</v>
      </c>
      <c r="G21" s="133">
        <v>6.932897115306752E-2</v>
      </c>
      <c r="H21" s="133">
        <v>9.4827870623817104E-2</v>
      </c>
      <c r="I21" s="133">
        <v>0.10159068278571695</v>
      </c>
      <c r="J21" s="133">
        <v>6.883486244170256E-2</v>
      </c>
      <c r="K21" s="133">
        <v>5.6018933828733332E-2</v>
      </c>
      <c r="L21" s="133">
        <v>2.3946928162571074E-2</v>
      </c>
      <c r="M21" s="133">
        <v>3.4499271208567182E-2</v>
      </c>
      <c r="N21" s="133">
        <v>8.7320321083919124E-3</v>
      </c>
      <c r="O21" s="133">
        <v>9.7910236117992946E-3</v>
      </c>
      <c r="P21" s="133">
        <v>7.5847809369419233E-2</v>
      </c>
      <c r="Q21" s="133">
        <v>7.5858779958929062E-2</v>
      </c>
      <c r="R21" s="133">
        <v>2.3562358544057572E-2</v>
      </c>
      <c r="S21" s="133">
        <v>1.7414526176311767E-2</v>
      </c>
      <c r="T21" s="133">
        <v>1.4303470192246542E-2</v>
      </c>
      <c r="U21" s="133">
        <v>1.2342859903223907E-2</v>
      </c>
      <c r="V21" s="133">
        <v>9.4830527797312818E-3</v>
      </c>
      <c r="W21" s="133">
        <v>3.1290334966673904E-2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0.16043984084903806</v>
      </c>
      <c r="D22" s="133">
        <v>0.20064060473058495</v>
      </c>
      <c r="E22" s="133">
        <v>0.2514767972777619</v>
      </c>
      <c r="F22" s="133">
        <v>0.2097770284762456</v>
      </c>
      <c r="G22" s="133">
        <v>0.24350393579639723</v>
      </c>
      <c r="H22" s="133">
        <v>0.29941755078334498</v>
      </c>
      <c r="I22" s="133">
        <v>0.3106055951050859</v>
      </c>
      <c r="J22" s="133">
        <v>0.15192058610718429</v>
      </c>
      <c r="K22" s="133">
        <v>9.4121249281709576E-2</v>
      </c>
      <c r="L22" s="133">
        <v>3.038301421949989E-2</v>
      </c>
      <c r="M22" s="133">
        <v>2.6906812931929581E-2</v>
      </c>
      <c r="N22" s="133">
        <v>4.8401724882302048E-3</v>
      </c>
      <c r="O22" s="133">
        <v>7.8233284601533244E-3</v>
      </c>
      <c r="P22" s="133">
        <v>2.0069456572365352E-2</v>
      </c>
      <c r="Q22" s="133">
        <v>7.653689610158472E-2</v>
      </c>
      <c r="R22" s="133">
        <v>5.4108821798208279E-2</v>
      </c>
      <c r="S22" s="133">
        <v>7.0823567755699479E-2</v>
      </c>
      <c r="T22" s="133">
        <v>8.140823868596897E-2</v>
      </c>
      <c r="U22" s="133">
        <v>8.2150513163848485E-2</v>
      </c>
      <c r="V22" s="133">
        <v>6.4243648389722546E-2</v>
      </c>
      <c r="W22" s="133">
        <v>7.1409212286543761E-2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0.43503786467385691</v>
      </c>
      <c r="D23" s="133">
        <v>0.54098983700216841</v>
      </c>
      <c r="E23" s="133">
        <v>0.6256418817076137</v>
      </c>
      <c r="F23" s="133">
        <v>0.50368517422062753</v>
      </c>
      <c r="G23" s="133">
        <v>0.49636852615858473</v>
      </c>
      <c r="H23" s="133">
        <v>0.57718552601807804</v>
      </c>
      <c r="I23" s="133">
        <v>0.56147057123546873</v>
      </c>
      <c r="J23" s="133">
        <v>0.35593743017483487</v>
      </c>
      <c r="K23" s="133">
        <v>0.27034759027280764</v>
      </c>
      <c r="L23" s="133">
        <v>0.14516380083879565</v>
      </c>
      <c r="M23" s="133">
        <v>0.25296786222457163</v>
      </c>
      <c r="N23" s="133">
        <v>7.9042142723452086E-2</v>
      </c>
      <c r="O23" s="133">
        <v>8.9690815925767067E-2</v>
      </c>
      <c r="P23" s="133">
        <v>0.74974057872225031</v>
      </c>
      <c r="Q23" s="133">
        <v>0.90725295884789148</v>
      </c>
      <c r="R23" s="133">
        <v>0.42697866551753155</v>
      </c>
      <c r="S23" s="133">
        <v>0.35126779300106836</v>
      </c>
      <c r="T23" s="133">
        <v>0.39405340211166723</v>
      </c>
      <c r="U23" s="133">
        <v>0.35807239539496777</v>
      </c>
      <c r="V23" s="133">
        <v>0.31317655837270858</v>
      </c>
      <c r="W23" s="133">
        <v>0.38973633217284365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0.22476582036172763</v>
      </c>
      <c r="D25" s="133">
        <v>0.23867675732950752</v>
      </c>
      <c r="E25" s="133">
        <v>0.29680336763141923</v>
      </c>
      <c r="F25" s="133">
        <v>0.26532537440706289</v>
      </c>
      <c r="G25" s="133">
        <v>0.2935118282447341</v>
      </c>
      <c r="H25" s="133">
        <v>0.35597985899581802</v>
      </c>
      <c r="I25" s="133">
        <v>0.3475376129661667</v>
      </c>
      <c r="J25" s="133">
        <v>0.20271169290478191</v>
      </c>
      <c r="K25" s="133">
        <v>0.15906128492410584</v>
      </c>
      <c r="L25" s="133">
        <v>8.9645768112670984E-2</v>
      </c>
      <c r="M25" s="133">
        <v>0.16163080624872891</v>
      </c>
      <c r="N25" s="133">
        <v>4.9523993074945302E-2</v>
      </c>
      <c r="O25" s="133">
        <v>4.690201984598083E-2</v>
      </c>
      <c r="P25" s="133">
        <v>0.21921010009545802</v>
      </c>
      <c r="Q25" s="133">
        <v>0.24349361632576885</v>
      </c>
      <c r="R25" s="133">
        <v>0.11835340475340501</v>
      </c>
      <c r="S25" s="133">
        <v>0.11305027003469746</v>
      </c>
      <c r="T25" s="133">
        <v>0.13716258144880777</v>
      </c>
      <c r="U25" s="133">
        <v>0.14666441021314364</v>
      </c>
      <c r="V25" s="133">
        <v>0.16223140999648608</v>
      </c>
      <c r="W25" s="133">
        <v>0.15513623973394064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0.53886412480273826</v>
      </c>
      <c r="D26" s="65">
        <v>0.46640073187779063</v>
      </c>
      <c r="E26" s="65">
        <v>0.87906914592628671</v>
      </c>
      <c r="F26" s="65">
        <v>0.53505838637361547</v>
      </c>
      <c r="G26" s="65">
        <v>0.51120375319036204</v>
      </c>
      <c r="H26" s="65">
        <v>0.91385960363093377</v>
      </c>
      <c r="I26" s="65">
        <v>1.0136883055691224</v>
      </c>
      <c r="J26" s="65">
        <v>0.19425632567372092</v>
      </c>
      <c r="K26" s="65">
        <v>0.14309141804103997</v>
      </c>
      <c r="L26" s="65">
        <v>3.6500893395962485E-2</v>
      </c>
      <c r="M26" s="65">
        <v>8.7447796326702479E-2</v>
      </c>
      <c r="N26" s="65">
        <v>1.3345328647114067E-2</v>
      </c>
      <c r="O26" s="65">
        <v>1.4550700627274586E-2</v>
      </c>
      <c r="P26" s="65">
        <v>0.26588326304133481</v>
      </c>
      <c r="Q26" s="65">
        <v>0.2093537906324355</v>
      </c>
      <c r="R26" s="65">
        <v>2.6272016684563186E-2</v>
      </c>
      <c r="S26" s="65">
        <v>4.4636379512983021E-2</v>
      </c>
      <c r="T26" s="65">
        <v>6.0165230079302752E-2</v>
      </c>
      <c r="U26" s="65">
        <v>6.6803786719568201E-2</v>
      </c>
      <c r="V26" s="65">
        <v>6.2648103618417147E-2</v>
      </c>
      <c r="W26" s="65">
        <v>4.5203200257412368E-2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3.7944203990180912E-2</v>
      </c>
      <c r="D27" s="148">
        <v>9.6487414977951963E-2</v>
      </c>
      <c r="E27" s="148">
        <v>7.1675496387421683E-2</v>
      </c>
      <c r="F27" s="148">
        <v>0.12703034175749112</v>
      </c>
      <c r="G27" s="148">
        <v>0.11323088395377699</v>
      </c>
      <c r="H27" s="148">
        <v>0.15991099187017804</v>
      </c>
      <c r="I27" s="148">
        <v>0.16780325957326159</v>
      </c>
      <c r="J27" s="148">
        <v>0.24425152697797781</v>
      </c>
      <c r="K27" s="148">
        <v>0.17609533740517144</v>
      </c>
      <c r="L27" s="148">
        <v>0.13293812066441379</v>
      </c>
      <c r="M27" s="148">
        <v>0.25671891997449492</v>
      </c>
      <c r="N27" s="148">
        <v>5.4221049410136141E-2</v>
      </c>
      <c r="O27" s="148">
        <v>4.6446360481400911E-2</v>
      </c>
      <c r="P27" s="148">
        <v>0.43675524116710202</v>
      </c>
      <c r="Q27" s="148">
        <v>0.4692883984067327</v>
      </c>
      <c r="R27" s="148">
        <v>0.16134136714287933</v>
      </c>
      <c r="S27" s="148">
        <v>0.16153498939461089</v>
      </c>
      <c r="T27" s="148">
        <v>0.21119588726417651</v>
      </c>
      <c r="U27" s="148">
        <v>0.244253082949069</v>
      </c>
      <c r="V27" s="148">
        <v>0.24910589239629333</v>
      </c>
      <c r="W27" s="148">
        <v>0.18211260030971835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1.8330987643096934</v>
      </c>
      <c r="D29" s="131">
        <f t="shared" si="8"/>
        <v>1.9659810400503819</v>
      </c>
      <c r="E29" s="131">
        <f t="shared" si="8"/>
        <v>2.6251737339783476</v>
      </c>
      <c r="F29" s="131">
        <f t="shared" si="8"/>
        <v>2.0126307555241416</v>
      </c>
      <c r="G29" s="131">
        <f t="shared" si="8"/>
        <v>2.0283338607641124</v>
      </c>
      <c r="H29" s="131">
        <f t="shared" si="8"/>
        <v>2.9263275569905867</v>
      </c>
      <c r="I29" s="131">
        <f t="shared" si="8"/>
        <v>3.116938851104281</v>
      </c>
      <c r="J29" s="131">
        <f t="shared" si="8"/>
        <v>1.5342366081382051</v>
      </c>
      <c r="K29" s="131">
        <f t="shared" si="8"/>
        <v>1.1950048384763443</v>
      </c>
      <c r="L29" s="131">
        <f t="shared" si="8"/>
        <v>0.60474196783294398</v>
      </c>
      <c r="M29" s="131">
        <f t="shared" si="8"/>
        <v>1.079008892743794</v>
      </c>
      <c r="N29" s="131">
        <f t="shared" si="8"/>
        <v>0.27925299789414981</v>
      </c>
      <c r="O29" s="131">
        <f t="shared" si="8"/>
        <v>0.28699086691857367</v>
      </c>
      <c r="P29" s="131">
        <f t="shared" si="8"/>
        <v>2.4176317165960497</v>
      </c>
      <c r="Q29" s="131">
        <f t="shared" si="8"/>
        <v>2.7236685776000269</v>
      </c>
      <c r="R29" s="131">
        <f t="shared" ref="R29:W29" si="9">SUM(R30:R33)</f>
        <v>1.1403934091609389</v>
      </c>
      <c r="S29" s="131">
        <f t="shared" si="9"/>
        <v>1.0805434215168526</v>
      </c>
      <c r="T29" s="131">
        <f t="shared" si="9"/>
        <v>1.3004494145873511</v>
      </c>
      <c r="U29" s="131">
        <f t="shared" si="9"/>
        <v>1.3445667234971654</v>
      </c>
      <c r="V29" s="131">
        <f t="shared" si="9"/>
        <v>1.1834198795242332</v>
      </c>
      <c r="W29" s="131">
        <f t="shared" si="9"/>
        <v>1.3492039826142408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0.29373139609433696</v>
      </c>
      <c r="D30" s="133">
        <v>0.16941410981924448</v>
      </c>
      <c r="E30" s="133">
        <v>0.240131400201891</v>
      </c>
      <c r="F30" s="133">
        <v>0.16805471209998951</v>
      </c>
      <c r="G30" s="133">
        <v>0.11156938697548968</v>
      </c>
      <c r="H30" s="133">
        <v>0.17253365254672726</v>
      </c>
      <c r="I30" s="133">
        <v>0.15466451184794988</v>
      </c>
      <c r="J30" s="133">
        <v>0.13755688449880121</v>
      </c>
      <c r="K30" s="133">
        <v>0.1085968170028075</v>
      </c>
      <c r="L30" s="133">
        <v>5.4483411967650226E-2</v>
      </c>
      <c r="M30" s="133">
        <v>8.5300950936107595E-2</v>
      </c>
      <c r="N30" s="133">
        <v>2.4403421880245888E-2</v>
      </c>
      <c r="O30" s="133">
        <v>1.7832549634231823E-2</v>
      </c>
      <c r="P30" s="133">
        <v>0.1334054156252564</v>
      </c>
      <c r="Q30" s="133">
        <v>0.15557861562817982</v>
      </c>
      <c r="R30" s="133">
        <v>9.0039544449491138E-2</v>
      </c>
      <c r="S30" s="133">
        <v>5.7106903910255642E-2</v>
      </c>
      <c r="T30" s="133">
        <v>7.2134491923122102E-2</v>
      </c>
      <c r="U30" s="133">
        <v>0.1027762190967095</v>
      </c>
      <c r="V30" s="133">
        <v>8.8306730819767143E-2</v>
      </c>
      <c r="W30" s="133">
        <v>9.9062565231409785E-2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0.15025061113478536</v>
      </c>
      <c r="D31" s="133">
        <v>0.17508186193867312</v>
      </c>
      <c r="E31" s="133">
        <v>0.21676744018907626</v>
      </c>
      <c r="F31" s="133">
        <v>0.16631513801399803</v>
      </c>
      <c r="G31" s="133">
        <v>0.18799852098862138</v>
      </c>
      <c r="H31" s="133">
        <v>0.22948110082395767</v>
      </c>
      <c r="I31" s="133">
        <v>0.25965139059328896</v>
      </c>
      <c r="J31" s="133">
        <v>0.1508110645494968</v>
      </c>
      <c r="K31" s="133">
        <v>0.11477433155521065</v>
      </c>
      <c r="L31" s="133">
        <v>6.2140239286682608E-2</v>
      </c>
      <c r="M31" s="133">
        <v>0.11072892899727078</v>
      </c>
      <c r="N31" s="133">
        <v>3.4673003467225363E-2</v>
      </c>
      <c r="O31" s="133">
        <v>2.9201243336142886E-2</v>
      </c>
      <c r="P31" s="133">
        <v>0.20618876265392927</v>
      </c>
      <c r="Q31" s="133">
        <v>0.27432627234769619</v>
      </c>
      <c r="R31" s="133">
        <v>0.13286784627022857</v>
      </c>
      <c r="S31" s="133">
        <v>0.12923984679077127</v>
      </c>
      <c r="T31" s="133">
        <v>0.13227759954559259</v>
      </c>
      <c r="U31" s="133">
        <v>0.12218874331173375</v>
      </c>
      <c r="V31" s="133">
        <v>0.12285580707904407</v>
      </c>
      <c r="W31" s="133">
        <v>0.13818546909879356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6.3731200046358613E-2</v>
      </c>
      <c r="L32" s="133">
        <v>8.353090495714862E-3</v>
      </c>
      <c r="M32" s="133">
        <v>5.9246466194432809E-3</v>
      </c>
      <c r="N32" s="133">
        <v>1.5023835491889513E-4</v>
      </c>
      <c r="O32" s="133">
        <v>2.1160860556303224E-4</v>
      </c>
      <c r="P32" s="133">
        <v>1.5856538463380543E-3</v>
      </c>
      <c r="Q32" s="133">
        <v>5.1288761117879228E-3</v>
      </c>
      <c r="R32" s="133">
        <v>4.6883555341528643E-3</v>
      </c>
      <c r="S32" s="133">
        <v>5.6065356893148068E-3</v>
      </c>
      <c r="T32" s="133">
        <v>1.9423222617349127E-2</v>
      </c>
      <c r="U32" s="133">
        <v>1.8805994555239753E-2</v>
      </c>
      <c r="V32" s="133">
        <v>1.3154451078941427E-2</v>
      </c>
      <c r="W32" s="133">
        <v>1.469121184018231E-2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1.3891167570805711</v>
      </c>
      <c r="D33" s="68">
        <v>1.6214850682924644</v>
      </c>
      <c r="E33" s="68">
        <v>2.1682748935873803</v>
      </c>
      <c r="F33" s="68">
        <v>1.678260905410154</v>
      </c>
      <c r="G33" s="68">
        <v>1.7287659528000012</v>
      </c>
      <c r="H33" s="68">
        <v>2.5243128036199018</v>
      </c>
      <c r="I33" s="68">
        <v>2.7026229486630422</v>
      </c>
      <c r="J33" s="68">
        <v>1.2458686590899071</v>
      </c>
      <c r="K33" s="68">
        <v>0.90790248987196764</v>
      </c>
      <c r="L33" s="68">
        <v>0.47976522608289635</v>
      </c>
      <c r="M33" s="68">
        <v>0.87705436619097221</v>
      </c>
      <c r="N33" s="68">
        <v>0.22002633419175965</v>
      </c>
      <c r="O33" s="68">
        <v>0.23974546534263594</v>
      </c>
      <c r="P33" s="68">
        <v>2.0764518844705258</v>
      </c>
      <c r="Q33" s="68">
        <v>2.2886348135123629</v>
      </c>
      <c r="R33" s="68">
        <v>0.91279766290706632</v>
      </c>
      <c r="S33" s="68">
        <v>0.88859013512651086</v>
      </c>
      <c r="T33" s="68">
        <v>1.0766141005012873</v>
      </c>
      <c r="U33" s="68">
        <v>1.1007957665334824</v>
      </c>
      <c r="V33" s="68">
        <v>0.95910289054648057</v>
      </c>
      <c r="W33" s="68">
        <v>1.0972647364438552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0.71149696517831351</v>
      </c>
      <c r="D3" s="127">
        <f>IF(SER_hh_tes_in!D3=0,"",SER_hh_tes_in!D3/SER_hh_fec_in!D3)</f>
        <v>0.72821605425812863</v>
      </c>
      <c r="E3" s="127">
        <f>IF(SER_hh_tes_in!E3=0,"",SER_hh_tes_in!E3/SER_hh_fec_in!E3)</f>
        <v>0.80455675566551221</v>
      </c>
      <c r="F3" s="127">
        <f>IF(SER_hh_tes_in!F3=0,"",SER_hh_tes_in!F3/SER_hh_fec_in!F3)</f>
        <v>0.77069225911611428</v>
      </c>
      <c r="G3" s="127">
        <f>IF(SER_hh_tes_in!G3=0,"",SER_hh_tes_in!G3/SER_hh_fec_in!G3)</f>
        <v>0.78797403706366254</v>
      </c>
      <c r="H3" s="127">
        <f>IF(SER_hh_tes_in!H3=0,"",SER_hh_tes_in!H3/SER_hh_fec_in!H3)</f>
        <v>0.81891607114629739</v>
      </c>
      <c r="I3" s="127">
        <f>IF(SER_hh_tes_in!I3=0,"",SER_hh_tes_in!I3/SER_hh_fec_in!I3)</f>
        <v>0.83271407414020915</v>
      </c>
      <c r="J3" s="127">
        <f>IF(SER_hh_tes_in!J3=0,"",SER_hh_tes_in!J3/SER_hh_fec_in!J3)</f>
        <v>0.83297696076785999</v>
      </c>
      <c r="K3" s="127">
        <f>IF(SER_hh_tes_in!K3=0,"",SER_hh_tes_in!K3/SER_hh_fec_in!K3)</f>
        <v>0.8282152424887913</v>
      </c>
      <c r="L3" s="127">
        <f>IF(SER_hh_tes_in!L3=0,"",SER_hh_tes_in!L3/SER_hh_fec_in!L3)</f>
        <v>0.83144811739563029</v>
      </c>
      <c r="M3" s="127">
        <f>IF(SER_hh_tes_in!M3=0,"",SER_hh_tes_in!M3/SER_hh_fec_in!M3)</f>
        <v>0.86210799468617627</v>
      </c>
      <c r="N3" s="127">
        <f>IF(SER_hh_tes_in!N3=0,"",SER_hh_tes_in!N3/SER_hh_fec_in!N3)</f>
        <v>0.93271917479258393</v>
      </c>
      <c r="O3" s="127">
        <f>IF(SER_hh_tes_in!O3=0,"",SER_hh_tes_in!O3/SER_hh_fec_in!O3)</f>
        <v>0.87600478967383577</v>
      </c>
      <c r="P3" s="127">
        <f>IF(SER_hh_tes_in!P3=0,"",SER_hh_tes_in!P3/SER_hh_fec_in!P3)</f>
        <v>0.8783760956452128</v>
      </c>
      <c r="Q3" s="127">
        <f>IF(SER_hh_tes_in!Q3=0,"",SER_hh_tes_in!Q3/SER_hh_fec_in!Q3)</f>
        <v>0.94919506603628145</v>
      </c>
      <c r="R3" s="127">
        <f>IF(SER_hh_tes_in!R3=0,"",SER_hh_tes_in!R3/SER_hh_fec_in!R3)</f>
        <v>0.90813015470157954</v>
      </c>
      <c r="S3" s="127">
        <f>IF(SER_hh_tes_in!S3=0,"",SER_hh_tes_in!S3/SER_hh_fec_in!S3)</f>
        <v>0.98540910287516414</v>
      </c>
      <c r="T3" s="127">
        <f>IF(SER_hh_tes_in!T3=0,"",SER_hh_tes_in!T3/SER_hh_fec_in!T3)</f>
        <v>0.94951526655808083</v>
      </c>
      <c r="U3" s="127">
        <f>IF(SER_hh_tes_in!U3=0,"",SER_hh_tes_in!U3/SER_hh_fec_in!U3)</f>
        <v>0.98826459501462449</v>
      </c>
      <c r="V3" s="127">
        <f>IF(SER_hh_tes_in!V3=0,"",SER_hh_tes_in!V3/SER_hh_fec_in!V3)</f>
        <v>0.97135217401275287</v>
      </c>
      <c r="W3" s="127">
        <f>IF(SER_hh_tes_in!W3=0,"",SER_hh_tes_in!W3/SER_hh_fec_in!W3)</f>
        <v>1.0022424257565941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0.59440356419843998</v>
      </c>
      <c r="D4" s="136">
        <f>IF(SER_hh_tes_in!D4=0,"",SER_hh_tes_in!D4/SER_hh_fec_in!D4)</f>
        <v>0.61479903638388078</v>
      </c>
      <c r="E4" s="136">
        <f>IF(SER_hh_tes_in!E4=0,"",SER_hh_tes_in!E4/SER_hh_fec_in!E4)</f>
        <v>0.62574238468932208</v>
      </c>
      <c r="F4" s="136">
        <f>IF(SER_hh_tes_in!F4=0,"",SER_hh_tes_in!F4/SER_hh_fec_in!F4)</f>
        <v>0.66278575703219322</v>
      </c>
      <c r="G4" s="136">
        <f>IF(SER_hh_tes_in!G4=0,"",SER_hh_tes_in!G4/SER_hh_fec_in!G4)</f>
        <v>0.68541711669487615</v>
      </c>
      <c r="H4" s="136">
        <f>IF(SER_hh_tes_in!H4=0,"",SER_hh_tes_in!H4/SER_hh_fec_in!H4)</f>
        <v>0.6922827754338603</v>
      </c>
      <c r="I4" s="136">
        <f>IF(SER_hh_tes_in!I4=0,"",SER_hh_tes_in!I4/SER_hh_fec_in!I4)</f>
        <v>0.69443551300424844</v>
      </c>
      <c r="J4" s="136">
        <f>IF(SER_hh_tes_in!J4=0,"",SER_hh_tes_in!J4/SER_hh_fec_in!J4)</f>
        <v>0.70017455977862642</v>
      </c>
      <c r="K4" s="136">
        <f>IF(SER_hh_tes_in!K4=0,"",SER_hh_tes_in!K4/SER_hh_fec_in!K4)</f>
        <v>0.69681156701861779</v>
      </c>
      <c r="L4" s="136">
        <f>IF(SER_hh_tes_in!L4=0,"",SER_hh_tes_in!L4/SER_hh_fec_in!L4)</f>
        <v>0.69979346068840442</v>
      </c>
      <c r="M4" s="136">
        <f>IF(SER_hh_tes_in!M4=0,"",SER_hh_tes_in!M4/SER_hh_fec_in!M4)</f>
        <v>0.71225275372358476</v>
      </c>
      <c r="N4" s="136">
        <f>IF(SER_hh_tes_in!N4=0,"",SER_hh_tes_in!N4/SER_hh_fec_in!N4)</f>
        <v>0.70919265171788259</v>
      </c>
      <c r="O4" s="136">
        <f>IF(SER_hh_tes_in!O4=0,"",SER_hh_tes_in!O4/SER_hh_fec_in!O4)</f>
        <v>0.70611612761554099</v>
      </c>
      <c r="P4" s="136">
        <f>IF(SER_hh_tes_in!P4=0,"",SER_hh_tes_in!P4/SER_hh_fec_in!P4)</f>
        <v>0.70897340320892799</v>
      </c>
      <c r="Q4" s="136">
        <f>IF(SER_hh_tes_in!Q4=0,"",SER_hh_tes_in!Q4/SER_hh_fec_in!Q4)</f>
        <v>0.71446923283127683</v>
      </c>
      <c r="R4" s="136">
        <f>IF(SER_hh_tes_in!R4=0,"",SER_hh_tes_in!R4/SER_hh_fec_in!R4)</f>
        <v>0.74462240754720588</v>
      </c>
      <c r="S4" s="136">
        <f>IF(SER_hh_tes_in!S4=0,"",SER_hh_tes_in!S4/SER_hh_fec_in!S4)</f>
        <v>0.77418093595076254</v>
      </c>
      <c r="T4" s="136">
        <f>IF(SER_hh_tes_in!T4=0,"",SER_hh_tes_in!T4/SER_hh_fec_in!T4)</f>
        <v>0.78851453030388319</v>
      </c>
      <c r="U4" s="136">
        <f>IF(SER_hh_tes_in!U4=0,"",SER_hh_tes_in!U4/SER_hh_fec_in!U4)</f>
        <v>0.79065140370169318</v>
      </c>
      <c r="V4" s="136">
        <f>IF(SER_hh_tes_in!V4=0,"",SER_hh_tes_in!V4/SER_hh_fec_in!V4)</f>
        <v>0.78806222972688866</v>
      </c>
      <c r="W4" s="136">
        <f>IF(SER_hh_tes_in!W4=0,"",SER_hh_tes_in!W4/SER_hh_fec_in!W4)</f>
        <v>0.80014960535864543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0.58010755110148693</v>
      </c>
      <c r="D5" s="137">
        <f>IF(SER_hh_tes_in!D5=0,"",SER_hh_tes_in!D5/SER_hh_fec_in!D5)</f>
        <v>0.58673163062962541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>
        <f>IF(SER_hh_tes_in!J5=0,"",SER_hh_tes_in!J5/SER_hh_fec_in!J5)</f>
        <v>0.62624969120633434</v>
      </c>
      <c r="K5" s="137">
        <f>IF(SER_hh_tes_in!K5=0,"",SER_hh_tes_in!K5/SER_hh_fec_in!K5)</f>
        <v>0.63276258773343774</v>
      </c>
      <c r="L5" s="137">
        <f>IF(SER_hh_tes_in!L5=0,"",SER_hh_tes_in!L5/SER_hh_fec_in!L5)</f>
        <v>0.6392393415598443</v>
      </c>
      <c r="M5" s="137">
        <f>IF(SER_hh_tes_in!M5=0,"",SER_hh_tes_in!M5/SER_hh_fec_in!M5)</f>
        <v>0.64536623359820466</v>
      </c>
      <c r="N5" s="137">
        <f>IF(SER_hh_tes_in!N5=0,"",SER_hh_tes_in!N5/SER_hh_fec_in!N5)</f>
        <v>0.65103654763305352</v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>
        <f>IF(SER_hh_tes_in!S5=0,"",SER_hh_tes_in!S5/SER_hh_fec_in!S5)</f>
        <v>0.68596961373277476</v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0.50037259281646584</v>
      </c>
      <c r="D7" s="137">
        <f>IF(SER_hh_tes_in!D7=0,"",SER_hh_tes_in!D7/SER_hh_fec_in!D7)</f>
        <v>0.50647978678251693</v>
      </c>
      <c r="E7" s="137">
        <f>IF(SER_hh_tes_in!E7=0,"",SER_hh_tes_in!E7/SER_hh_fec_in!E7)</f>
        <v>0.51280377315380243</v>
      </c>
      <c r="F7" s="137">
        <f>IF(SER_hh_tes_in!F7=0,"",SER_hh_tes_in!F7/SER_hh_fec_in!F7)</f>
        <v>0.51909761977623092</v>
      </c>
      <c r="G7" s="137">
        <f>IF(SER_hh_tes_in!G7=0,"",SER_hh_tes_in!G7/SER_hh_fec_in!G7)</f>
        <v>0.5255762630939852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0.55407141403458859</v>
      </c>
      <c r="L7" s="137">
        <f>IF(SER_hh_tes_in!L7=0,"",SER_hh_tes_in!L7/SER_hh_fec_in!L7)</f>
        <v>0.56247446631392595</v>
      </c>
      <c r="M7" s="137">
        <f>IF(SER_hh_tes_in!M7=0,"",SER_hh_tes_in!M7/SER_hh_fec_in!M7)</f>
        <v>0.5759446440812791</v>
      </c>
      <c r="N7" s="137">
        <f>IF(SER_hh_tes_in!N7=0,"",SER_hh_tes_in!N7/SER_hh_fec_in!N7)</f>
        <v>0.59578436247203626</v>
      </c>
      <c r="O7" s="137">
        <f>IF(SER_hh_tes_in!O7=0,"",SER_hh_tes_in!O7/SER_hh_fec_in!O7)</f>
        <v>0.62273069325279184</v>
      </c>
      <c r="P7" s="137">
        <f>IF(SER_hh_tes_in!P7=0,"",SER_hh_tes_in!P7/SER_hh_fec_in!P7)</f>
        <v>0.6536209541459792</v>
      </c>
      <c r="Q7" s="137">
        <f>IF(SER_hh_tes_in!Q7=0,"",SER_hh_tes_in!Q7/SER_hh_fec_in!Q7)</f>
        <v>0.67918585049451696</v>
      </c>
      <c r="R7" s="137">
        <f>IF(SER_hh_tes_in!R7=0,"",SER_hh_tes_in!R7/SER_hh_fec_in!R7)</f>
        <v>0.69169037431796165</v>
      </c>
      <c r="S7" s="137">
        <f>IF(SER_hh_tes_in!S7=0,"",SER_hh_tes_in!S7/SER_hh_fec_in!S7)</f>
        <v>0.7006372070650293</v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0.57166027475750292</v>
      </c>
      <c r="D9" s="137">
        <f>IF(SER_hh_tes_in!D9=0,"",SER_hh_tes_in!D9/SER_hh_fec_in!D9)</f>
        <v>0.57923137461633312</v>
      </c>
      <c r="E9" s="137">
        <f>IF(SER_hh_tes_in!E9=0,"",SER_hh_tes_in!E9/SER_hh_fec_in!E9)</f>
        <v>0.58680493517702892</v>
      </c>
      <c r="F9" s="137">
        <f>IF(SER_hh_tes_in!F9=0,"",SER_hh_tes_in!F9/SER_hh_fec_in!F9)</f>
        <v>0.59428503677035538</v>
      </c>
      <c r="G9" s="137">
        <f>IF(SER_hh_tes_in!G9=0,"",SER_hh_tes_in!G9/SER_hh_fec_in!G9)</f>
        <v>0.60176014651184828</v>
      </c>
      <c r="H9" s="137">
        <f>IF(SER_hh_tes_in!H9=0,"",SER_hh_tes_in!H9/SER_hh_fec_in!H9)</f>
        <v>0.60922035434208532</v>
      </c>
      <c r="I9" s="137">
        <f>IF(SER_hh_tes_in!I9=0,"",SER_hh_tes_in!I9/SER_hh_fec_in!I9)</f>
        <v>0.61668838652751745</v>
      </c>
      <c r="J9" s="137">
        <f>IF(SER_hh_tes_in!J9=0,"",SER_hh_tes_in!J9/SER_hh_fec_in!J9)</f>
        <v>0.62425522124432986</v>
      </c>
      <c r="K9" s="137">
        <f>IF(SER_hh_tes_in!K9=0,"",SER_hh_tes_in!K9/SER_hh_fec_in!K9)</f>
        <v>0.63199937076979329</v>
      </c>
      <c r="L9" s="137">
        <f>IF(SER_hh_tes_in!L9=0,"",SER_hh_tes_in!L9/SER_hh_fec_in!L9)</f>
        <v>0.63994386723361729</v>
      </c>
      <c r="M9" s="137">
        <f>IF(SER_hh_tes_in!M9=0,"",SER_hh_tes_in!M9/SER_hh_fec_in!M9)</f>
        <v>0.65009886587837717</v>
      </c>
      <c r="N9" s="137">
        <f>IF(SER_hh_tes_in!N9=0,"",SER_hh_tes_in!N9/SER_hh_fec_in!N9)</f>
        <v>0.66312993874109538</v>
      </c>
      <c r="O9" s="137">
        <f>IF(SER_hh_tes_in!O9=0,"",SER_hh_tes_in!O9/SER_hh_fec_in!O9)</f>
        <v>0.67942183009587442</v>
      </c>
      <c r="P9" s="137">
        <f>IF(SER_hh_tes_in!P9=0,"",SER_hh_tes_in!P9/SER_hh_fec_in!P9)</f>
        <v>0.69751582018296465</v>
      </c>
      <c r="Q9" s="137">
        <f>IF(SER_hh_tes_in!Q9=0,"",SER_hh_tes_in!Q9/SER_hh_fec_in!Q9)</f>
        <v>0.71285843077153888</v>
      </c>
      <c r="R9" s="137">
        <f>IF(SER_hh_tes_in!R9=0,"",SER_hh_tes_in!R9/SER_hh_fec_in!R9)</f>
        <v>0.7215787285169688</v>
      </c>
      <c r="S9" s="137">
        <f>IF(SER_hh_tes_in!S9=0,"",SER_hh_tes_in!S9/SER_hh_fec_in!S9)</f>
        <v>0.72831030513041672</v>
      </c>
      <c r="T9" s="137">
        <f>IF(SER_hh_tes_in!T9=0,"",SER_hh_tes_in!T9/SER_hh_fec_in!T9)</f>
        <v>0.73367462173423958</v>
      </c>
      <c r="U9" s="137">
        <f>IF(SER_hh_tes_in!U9=0,"",SER_hh_tes_in!U9/SER_hh_fec_in!U9)</f>
        <v>0.73814116152632203</v>
      </c>
      <c r="V9" s="137">
        <f>IF(SER_hh_tes_in!V9=0,"",SER_hh_tes_in!V9/SER_hh_fec_in!V9)</f>
        <v>0.74201870501419753</v>
      </c>
      <c r="W9" s="137">
        <f>IF(SER_hh_tes_in!W9=0,"",SER_hh_tes_in!W9/SER_hh_fec_in!W9)</f>
        <v>0.74470131877698453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0.47891108418563488</v>
      </c>
      <c r="J10" s="137">
        <f>IF(SER_hh_tes_in!J10=0,"",SER_hh_tes_in!J10/SER_hh_fec_in!J10)</f>
        <v>0.48786886652979689</v>
      </c>
      <c r="K10" s="137">
        <f>IF(SER_hh_tes_in!K10=0,"",SER_hh_tes_in!K10/SER_hh_fec_in!K10)</f>
        <v>0.49680372088997299</v>
      </c>
      <c r="L10" s="137">
        <f>IF(SER_hh_tes_in!L10=0,"",SER_hh_tes_in!L10/SER_hh_fec_in!L10)</f>
        <v>0.50568264975318344</v>
      </c>
      <c r="M10" s="137">
        <f>IF(SER_hh_tes_in!M10=0,"",SER_hh_tes_in!M10/SER_hh_fec_in!M10)</f>
        <v>0.51385979141639437</v>
      </c>
      <c r="N10" s="137">
        <f>IF(SER_hh_tes_in!N10=0,"",SER_hh_tes_in!N10/SER_hh_fec_in!N10)</f>
        <v>0.52098843249774807</v>
      </c>
      <c r="O10" s="137">
        <f>IF(SER_hh_tes_in!O10=0,"",SER_hh_tes_in!O10/SER_hh_fec_in!O10)</f>
        <v>0.5268810073381186</v>
      </c>
      <c r="P10" s="137">
        <f>IF(SER_hh_tes_in!P10=0,"",SER_hh_tes_in!P10/SER_hh_fec_in!P10)</f>
        <v>0.532042362689778</v>
      </c>
      <c r="Q10" s="137">
        <f>IF(SER_hh_tes_in!Q10=0,"",SER_hh_tes_in!Q10/SER_hh_fec_in!Q10)</f>
        <v>0.5381870695932871</v>
      </c>
      <c r="R10" s="137">
        <f>IF(SER_hh_tes_in!R10=0,"",SER_hh_tes_in!R10/SER_hh_fec_in!R10)</f>
        <v>0.54724724588902296</v>
      </c>
      <c r="S10" s="137">
        <f>IF(SER_hh_tes_in!S10=0,"",SER_hh_tes_in!S10/SER_hh_fec_in!S10)</f>
        <v>0.55740163035927826</v>
      </c>
      <c r="T10" s="137">
        <f>IF(SER_hh_tes_in!T10=0,"",SER_hh_tes_in!T10/SER_hh_fec_in!T10)</f>
        <v>0.56760526926931854</v>
      </c>
      <c r="U10" s="137">
        <f>IF(SER_hh_tes_in!U10=0,"",SER_hh_tes_in!U10/SER_hh_fec_in!U10)</f>
        <v>0.57700419234755262</v>
      </c>
      <c r="V10" s="137">
        <f>IF(SER_hh_tes_in!V10=0,"",SER_hh_tes_in!V10/SER_hh_fec_in!V10)</f>
        <v>0.58488261939941344</v>
      </c>
      <c r="W10" s="137">
        <f>IF(SER_hh_tes_in!W10=0,"",SER_hh_tes_in!W10/SER_hh_fec_in!W10)</f>
        <v>0.59121972313956539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>
        <f>IF(SER_hh_tes_in!I11=0,"",SER_hh_tes_in!I11/SER_hh_fec_in!I11)</f>
        <v>0.80496975305126883</v>
      </c>
      <c r="J11" s="137">
        <f>IF(SER_hh_tes_in!J11=0,"",SER_hh_tes_in!J11/SER_hh_fec_in!J11)</f>
        <v>0.80954880643814175</v>
      </c>
      <c r="K11" s="137">
        <f>IF(SER_hh_tes_in!K11=0,"",SER_hh_tes_in!K11/SER_hh_fec_in!K11)</f>
        <v>0.81412958979917549</v>
      </c>
      <c r="L11" s="137">
        <f>IF(SER_hh_tes_in!L11=0,"",SER_hh_tes_in!L11/SER_hh_fec_in!L11)</f>
        <v>0.81871222862472381</v>
      </c>
      <c r="M11" s="137">
        <f>IF(SER_hh_tes_in!M11=0,"",SER_hh_tes_in!M11/SER_hh_fec_in!M11)</f>
        <v>0.82334383848417392</v>
      </c>
      <c r="N11" s="137">
        <f>IF(SER_hh_tes_in!N11=0,"",SER_hh_tes_in!N11/SER_hh_fec_in!N11)</f>
        <v>0.82804204025181072</v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0.77446818311038834</v>
      </c>
      <c r="D12" s="137">
        <f>IF(SER_hh_tes_in!D12=0,"",SER_hh_tes_in!D12/SER_hh_fec_in!D12)</f>
        <v>0.7768783528158516</v>
      </c>
      <c r="E12" s="137">
        <f>IF(SER_hh_tes_in!E12=0,"",SER_hh_tes_in!E12/SER_hh_fec_in!E12)</f>
        <v>0.77935359081543576</v>
      </c>
      <c r="F12" s="137">
        <f>IF(SER_hh_tes_in!F12=0,"",SER_hh_tes_in!F12/SER_hh_fec_in!F12)</f>
        <v>0.7818377017642183</v>
      </c>
      <c r="G12" s="137">
        <f>IF(SER_hh_tes_in!G12=0,"",SER_hh_tes_in!G12/SER_hh_fec_in!G12)</f>
        <v>0.78438173678463186</v>
      </c>
      <c r="H12" s="137">
        <f>IF(SER_hh_tes_in!H12=0,"",SER_hh_tes_in!H12/SER_hh_fec_in!H12)</f>
        <v>0.78697944786920815</v>
      </c>
      <c r="I12" s="137">
        <f>IF(SER_hh_tes_in!I12=0,"",SER_hh_tes_in!I12/SER_hh_fec_in!I12)</f>
        <v>0.78964341401600602</v>
      </c>
      <c r="J12" s="137">
        <f>IF(SER_hh_tes_in!J12=0,"",SER_hh_tes_in!J12/SER_hh_fec_in!J12)</f>
        <v>0.79242516694008736</v>
      </c>
      <c r="K12" s="137">
        <f>IF(SER_hh_tes_in!K12=0,"",SER_hh_tes_in!K12/SER_hh_fec_in!K12)</f>
        <v>0.79536852215370679</v>
      </c>
      <c r="L12" s="137">
        <f>IF(SER_hh_tes_in!L12=0,"",SER_hh_tes_in!L12/SER_hh_fec_in!L12)</f>
        <v>0.79848520210273755</v>
      </c>
      <c r="M12" s="137">
        <f>IF(SER_hh_tes_in!M12=0,"",SER_hh_tes_in!M12/SER_hh_fec_in!M12)</f>
        <v>0.80280063458156847</v>
      </c>
      <c r="N12" s="137">
        <f>IF(SER_hh_tes_in!N12=0,"",SER_hh_tes_in!N12/SER_hh_fec_in!N12)</f>
        <v>0.80863903413364424</v>
      </c>
      <c r="O12" s="137">
        <f>IF(SER_hh_tes_in!O12=0,"",SER_hh_tes_in!O12/SER_hh_fec_in!O12)</f>
        <v>0.81628461420301468</v>
      </c>
      <c r="P12" s="137">
        <f>IF(SER_hh_tes_in!P12=0,"",SER_hh_tes_in!P12/SER_hh_fec_in!P12)</f>
        <v>0.82519663787465192</v>
      </c>
      <c r="Q12" s="137">
        <f>IF(SER_hh_tes_in!Q12=0,"",SER_hh_tes_in!Q12/SER_hh_fec_in!Q12)</f>
        <v>0.83360492773042549</v>
      </c>
      <c r="R12" s="137">
        <f>IF(SER_hh_tes_in!R12=0,"",SER_hh_tes_in!R12/SER_hh_fec_in!R12)</f>
        <v>0.84004791961293723</v>
      </c>
      <c r="S12" s="137" t="str">
        <f>IF(SER_hh_tes_in!S12=0,"",SER_hh_tes_in!S12/SER_hh_fec_in!S12)</f>
        <v/>
      </c>
      <c r="T12" s="137">
        <f>IF(SER_hh_tes_in!T12=0,"",SER_hh_tes_in!T12/SER_hh_fec_in!T12)</f>
        <v>0.85236691006205345</v>
      </c>
      <c r="U12" s="137">
        <f>IF(SER_hh_tes_in!U12=0,"",SER_hh_tes_in!U12/SER_hh_fec_in!U12)</f>
        <v>0.8581591490660091</v>
      </c>
      <c r="V12" s="137">
        <f>IF(SER_hh_tes_in!V12=0,"",SER_hh_tes_in!V12/SER_hh_fec_in!V12)</f>
        <v>0.86365071088113576</v>
      </c>
      <c r="W12" s="137">
        <f>IF(SER_hh_tes_in!W12=0,"",SER_hh_tes_in!W12/SER_hh_fec_in!W12)</f>
        <v>0.86870949778483686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0.70131847717951845</v>
      </c>
      <c r="D14" s="138">
        <f>IF(SER_hh_tes_in!D14=0,"",SER_hh_tes_in!D14/SER_hh_fec_in!D14)</f>
        <v>0.70473773025588005</v>
      </c>
      <c r="E14" s="138">
        <f>IF(SER_hh_tes_in!E14=0,"",SER_hh_tes_in!E14/SER_hh_fec_in!E14)</f>
        <v>0.70824470636487324</v>
      </c>
      <c r="F14" s="138">
        <f>IF(SER_hh_tes_in!F14=0,"",SER_hh_tes_in!F14/SER_hh_fec_in!F14)</f>
        <v>0.71176353060990905</v>
      </c>
      <c r="G14" s="138">
        <f>IF(SER_hh_tes_in!G14=0,"",SER_hh_tes_in!G14/SER_hh_fec_in!G14)</f>
        <v>0.71536308795749959</v>
      </c>
      <c r="H14" s="138">
        <f>IF(SER_hh_tes_in!H14=0,"",SER_hh_tes_in!H14/SER_hh_fec_in!H14)</f>
        <v>0.71903489887618333</v>
      </c>
      <c r="I14" s="138">
        <f>IF(SER_hh_tes_in!I14=0,"",SER_hh_tes_in!I14/SER_hh_fec_in!I14)</f>
        <v>0.72279586627691517</v>
      </c>
      <c r="J14" s="138">
        <f>IF(SER_hh_tes_in!J14=0,"",SER_hh_tes_in!J14/SER_hh_fec_in!J14)</f>
        <v>0.72671535197044246</v>
      </c>
      <c r="K14" s="138">
        <f>IF(SER_hh_tes_in!K14=0,"",SER_hh_tes_in!K14/SER_hh_fec_in!K14)</f>
        <v>0.73085212897809526</v>
      </c>
      <c r="L14" s="138">
        <f>IF(SER_hh_tes_in!L14=0,"",SER_hh_tes_in!L14/SER_hh_fec_in!L14)</f>
        <v>0.73522150553462895</v>
      </c>
      <c r="M14" s="138">
        <f>IF(SER_hh_tes_in!M14=0,"",SER_hh_tes_in!M14/SER_hh_fec_in!M14)</f>
        <v>0.741031012824381</v>
      </c>
      <c r="N14" s="138">
        <f>IF(SER_hh_tes_in!N14=0,"",SER_hh_tes_in!N14/SER_hh_fec_in!N14)</f>
        <v>0.7486390308030455</v>
      </c>
      <c r="O14" s="138">
        <f>IF(SER_hh_tes_in!O14=0,"",SER_hh_tes_in!O14/SER_hh_fec_in!O14)</f>
        <v>0.75851595510751824</v>
      </c>
      <c r="P14" s="138">
        <f>IF(SER_hh_tes_in!P14=0,"",SER_hh_tes_in!P14/SER_hh_fec_in!P14)</f>
        <v>0.77033381896595676</v>
      </c>
      <c r="Q14" s="138">
        <f>IF(SER_hh_tes_in!Q14=0,"",SER_hh_tes_in!Q14/SER_hh_fec_in!Q14)</f>
        <v>0.78289490165219155</v>
      </c>
      <c r="R14" s="138">
        <f>IF(SER_hh_tes_in!R14=0,"",SER_hh_tes_in!R14/SER_hh_fec_in!R14)</f>
        <v>0.79639464550770278</v>
      </c>
      <c r="S14" s="138">
        <f>IF(SER_hh_tes_in!S14=0,"",SER_hh_tes_in!S14/SER_hh_fec_in!S14)</f>
        <v>0.81211532799843023</v>
      </c>
      <c r="T14" s="138">
        <f>IF(SER_hh_tes_in!T14=0,"",SER_hh_tes_in!T14/SER_hh_fec_in!T14)</f>
        <v>0.82802199063387816</v>
      </c>
      <c r="U14" s="138">
        <f>IF(SER_hh_tes_in!U14=0,"",SER_hh_tes_in!U14/SER_hh_fec_in!U14)</f>
        <v>0.84208554820522752</v>
      </c>
      <c r="V14" s="138">
        <f>IF(SER_hh_tes_in!V14=0,"",SER_hh_tes_in!V14/SER_hh_fec_in!V14)</f>
        <v>0.85227109052797279</v>
      </c>
      <c r="W14" s="138">
        <f>IF(SER_hh_tes_in!W14=0,"",SER_hh_tes_in!W14/SER_hh_fec_in!W14)</f>
        <v>0.85738786417173407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2.2610319557565233</v>
      </c>
      <c r="D16" s="136">
        <f>IF(SER_hh_tes_in!D16=0,"",SER_hh_tes_in!D16/SER_hh_fec_in!D16)</f>
        <v>2.3327530406143309</v>
      </c>
      <c r="E16" s="136">
        <f>IF(SER_hh_tes_in!E16=0,"",SER_hh_tes_in!E16/SER_hh_fec_in!E16)</f>
        <v>2.4062531043980089</v>
      </c>
      <c r="F16" s="136">
        <f>IF(SER_hh_tes_in!F16=0,"",SER_hh_tes_in!F16/SER_hh_fec_in!F16)</f>
        <v>2.4803858347539451</v>
      </c>
      <c r="G16" s="136">
        <f>IF(SER_hh_tes_in!G16=0,"",SER_hh_tes_in!G16/SER_hh_fec_in!G16)</f>
        <v>2.5549475658413088</v>
      </c>
      <c r="H16" s="136">
        <f>IF(SER_hh_tes_in!H16=0,"",SER_hh_tes_in!H16/SER_hh_fec_in!H16)</f>
        <v>2.6301058824748718</v>
      </c>
      <c r="I16" s="136">
        <f>IF(SER_hh_tes_in!I16=0,"",SER_hh_tes_in!I16/SER_hh_fec_in!I16)</f>
        <v>2.7065229200170533</v>
      </c>
      <c r="J16" s="136">
        <f>IF(SER_hh_tes_in!J16=0,"",SER_hh_tes_in!J16/SER_hh_fec_in!J16)</f>
        <v>2.7838737692780291</v>
      </c>
      <c r="K16" s="136">
        <f>IF(SER_hh_tes_in!K16=0,"",SER_hh_tes_in!K16/SER_hh_fec_in!K16)</f>
        <v>2.8610017276676758</v>
      </c>
      <c r="L16" s="136">
        <f>IF(SER_hh_tes_in!L16=0,"",SER_hh_tes_in!L16/SER_hh_fec_in!L16)</f>
        <v>2.9395151525388892</v>
      </c>
      <c r="M16" s="136">
        <f>IF(SER_hh_tes_in!M16=0,"",SER_hh_tes_in!M16/SER_hh_fec_in!M16)</f>
        <v>3.0371311525493438</v>
      </c>
      <c r="N16" s="136">
        <f>IF(SER_hh_tes_in!N16=0,"",SER_hh_tes_in!N16/SER_hh_fec_in!N16)</f>
        <v>3.1528369895350217</v>
      </c>
      <c r="O16" s="136">
        <f>IF(SER_hh_tes_in!O16=0,"",SER_hh_tes_in!O16/SER_hh_fec_in!O16)</f>
        <v>3.2878060117720915</v>
      </c>
      <c r="P16" s="136">
        <f>IF(SER_hh_tes_in!P16=0,"",SER_hh_tes_in!P16/SER_hh_fec_in!P16)</f>
        <v>3.4506672319648248</v>
      </c>
      <c r="Q16" s="136">
        <f>IF(SER_hh_tes_in!Q16=0,"",SER_hh_tes_in!Q16/SER_hh_fec_in!Q16)</f>
        <v>3.5406689481046962</v>
      </c>
      <c r="R16" s="136">
        <f>IF(SER_hh_tes_in!R16=0,"",SER_hh_tes_in!R16/SER_hh_fec_in!R16)</f>
        <v>3.6397175963303581</v>
      </c>
      <c r="S16" s="136">
        <f>IF(SER_hh_tes_in!S16=0,"",SER_hh_tes_in!S16/SER_hh_fec_in!S16)</f>
        <v>3.6913264310156992</v>
      </c>
      <c r="T16" s="136">
        <f>IF(SER_hh_tes_in!T16=0,"",SER_hh_tes_in!T16/SER_hh_fec_in!T16)</f>
        <v>3.7285672444912756</v>
      </c>
      <c r="U16" s="136">
        <f>IF(SER_hh_tes_in!U16=0,"",SER_hh_tes_in!U16/SER_hh_fec_in!U16)</f>
        <v>3.7874498956065645</v>
      </c>
      <c r="V16" s="136">
        <f>IF(SER_hh_tes_in!V16=0,"",SER_hh_tes_in!V16/SER_hh_fec_in!V16)</f>
        <v>3.8773746417141393</v>
      </c>
      <c r="W16" s="136">
        <f>IF(SER_hh_tes_in!W16=0,"",SER_hh_tes_in!W16/SER_hh_fec_in!W16)</f>
        <v>3.9047652068734977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1.2632393233748498</v>
      </c>
      <c r="D17" s="137">
        <f>IF(SER_hh_tes_in!D17=0,"",SER_hh_tes_in!D17/SER_hh_fec_in!D17)</f>
        <v>1.2668978818635903</v>
      </c>
      <c r="E17" s="137">
        <f>IF(SER_hh_tes_in!E17=0,"",SER_hh_tes_in!E17/SER_hh_fec_in!E17)</f>
        <v>1.2698115088499395</v>
      </c>
      <c r="F17" s="137">
        <f>IF(SER_hh_tes_in!F17=0,"",SER_hh_tes_in!F17/SER_hh_fec_in!F17)</f>
        <v>1.2721222522771769</v>
      </c>
      <c r="G17" s="137">
        <f>IF(SER_hh_tes_in!G17=0,"",SER_hh_tes_in!G17/SER_hh_fec_in!G17)</f>
        <v>1.2738558485323013</v>
      </c>
      <c r="H17" s="137">
        <f>IF(SER_hh_tes_in!H17=0,"",SER_hh_tes_in!H17/SER_hh_fec_in!H17)</f>
        <v>1.2752504382205503</v>
      </c>
      <c r="I17" s="137">
        <f>IF(SER_hh_tes_in!I17=0,"",SER_hh_tes_in!I17/SER_hh_fec_in!I17)</f>
        <v>1.2763771817909744</v>
      </c>
      <c r="J17" s="137">
        <f>IF(SER_hh_tes_in!J17=0,"",SER_hh_tes_in!J17/SER_hh_fec_in!J17)</f>
        <v>1.2774788903657937</v>
      </c>
      <c r="K17" s="137">
        <f>IF(SER_hh_tes_in!K17=0,"",SER_hh_tes_in!K17/SER_hh_fec_in!K17)</f>
        <v>1.2789099534604083</v>
      </c>
      <c r="L17" s="137">
        <f>IF(SER_hh_tes_in!L17=0,"",SER_hh_tes_in!L17/SER_hh_fec_in!L17)</f>
        <v>1.2808969887120354</v>
      </c>
      <c r="M17" s="137">
        <f>IF(SER_hh_tes_in!M17=0,"",SER_hh_tes_in!M17/SER_hh_fec_in!M17)</f>
        <v>1.2864283968650516</v>
      </c>
      <c r="N17" s="137">
        <f>IF(SER_hh_tes_in!N17=0,"",SER_hh_tes_in!N17/SER_hh_fec_in!N17)</f>
        <v>1.2996539046548536</v>
      </c>
      <c r="O17" s="137">
        <f>IF(SER_hh_tes_in!O17=0,"",SER_hh_tes_in!O17/SER_hh_fec_in!O17)</f>
        <v>1.3220826973388868</v>
      </c>
      <c r="P17" s="137">
        <f>IF(SER_hh_tes_in!P17=0,"",SER_hh_tes_in!P17/SER_hh_fec_in!P17)</f>
        <v>1.3533049551436762</v>
      </c>
      <c r="Q17" s="137">
        <f>IF(SER_hh_tes_in!Q17=0,"",SER_hh_tes_in!Q17/SER_hh_fec_in!Q17)</f>
        <v>1.3867694700221118</v>
      </c>
      <c r="R17" s="137">
        <f>IF(SER_hh_tes_in!R17=0,"",SER_hh_tes_in!R17/SER_hh_fec_in!R17)</f>
        <v>1.4145006793654284</v>
      </c>
      <c r="S17" s="137">
        <f>IF(SER_hh_tes_in!S17=0,"",SER_hh_tes_in!S17/SER_hh_fec_in!S17)</f>
        <v>1.4420178897691609</v>
      </c>
      <c r="T17" s="137">
        <f>IF(SER_hh_tes_in!T17=0,"",SER_hh_tes_in!T17/SER_hh_fec_in!T17)</f>
        <v>1.4742703770697532</v>
      </c>
      <c r="U17" s="137">
        <f>IF(SER_hh_tes_in!U17=0,"",SER_hh_tes_in!U17/SER_hh_fec_in!U17)</f>
        <v>1.5084649898261091</v>
      </c>
      <c r="V17" s="137">
        <f>IF(SER_hh_tes_in!V17=0,"",SER_hh_tes_in!V17/SER_hh_fec_in!V17)</f>
        <v>1.5415499363748593</v>
      </c>
      <c r="W17" s="137">
        <f>IF(SER_hh_tes_in!W17=0,"",SER_hh_tes_in!W17/SER_hh_fec_in!W17)</f>
        <v>1.5685438719436191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2.2628660052940828</v>
      </c>
      <c r="D18" s="137">
        <f>IF(SER_hh_tes_in!D18=0,"",SER_hh_tes_in!D18/SER_hh_fec_in!D18)</f>
        <v>2.3361210721825305</v>
      </c>
      <c r="E18" s="137">
        <f>IF(SER_hh_tes_in!E18=0,"",SER_hh_tes_in!E18/SER_hh_fec_in!E18)</f>
        <v>2.4101496117016628</v>
      </c>
      <c r="F18" s="137">
        <f>IF(SER_hh_tes_in!F18=0,"",SER_hh_tes_in!F18/SER_hh_fec_in!F18)</f>
        <v>2.4842576557459295</v>
      </c>
      <c r="G18" s="137">
        <f>IF(SER_hh_tes_in!G18=0,"",SER_hh_tes_in!G18/SER_hh_fec_in!G18)</f>
        <v>2.5590699096042102</v>
      </c>
      <c r="H18" s="137">
        <f>IF(SER_hh_tes_in!H18=0,"",SER_hh_tes_in!H18/SER_hh_fec_in!H18)</f>
        <v>2.6345058574887092</v>
      </c>
      <c r="I18" s="137">
        <f>IF(SER_hh_tes_in!I18=0,"",SER_hh_tes_in!I18/SER_hh_fec_in!I18)</f>
        <v>2.7107152069971789</v>
      </c>
      <c r="J18" s="137">
        <f>IF(SER_hh_tes_in!J18=0,"",SER_hh_tes_in!J18/SER_hh_fec_in!J18)</f>
        <v>2.7883206740173785</v>
      </c>
      <c r="K18" s="137">
        <f>IF(SER_hh_tes_in!K18=0,"",SER_hh_tes_in!K18/SER_hh_fec_in!K18)</f>
        <v>2.8678458513659812</v>
      </c>
      <c r="L18" s="137">
        <f>IF(SER_hh_tes_in!L18=0,"",SER_hh_tes_in!L18/SER_hh_fec_in!L18)</f>
        <v>2.9494201943009464</v>
      </c>
      <c r="M18" s="137">
        <f>IF(SER_hh_tes_in!M18=0,"",SER_hh_tes_in!M18/SER_hh_fec_in!M18)</f>
        <v>3.0468530602830284</v>
      </c>
      <c r="N18" s="137">
        <f>IF(SER_hh_tes_in!N18=0,"",SER_hh_tes_in!N18/SER_hh_fec_in!N18)</f>
        <v>3.1646637002231319</v>
      </c>
      <c r="O18" s="137">
        <f>IF(SER_hh_tes_in!O18=0,"",SER_hh_tes_in!O18/SER_hh_fec_in!O18)</f>
        <v>3.3053505720956617</v>
      </c>
      <c r="P18" s="137">
        <f>IF(SER_hh_tes_in!P18=0,"",SER_hh_tes_in!P18/SER_hh_fec_in!P18)</f>
        <v>3.4579224552181502</v>
      </c>
      <c r="Q18" s="137">
        <f>IF(SER_hh_tes_in!Q18=0,"",SER_hh_tes_in!Q18/SER_hh_fec_in!Q18)</f>
        <v>3.5890402272836637</v>
      </c>
      <c r="R18" s="137">
        <f>IF(SER_hh_tes_in!R18=0,"",SER_hh_tes_in!R18/SER_hh_fec_in!R18)</f>
        <v>3.6712980389152148</v>
      </c>
      <c r="S18" s="137">
        <f>IF(SER_hh_tes_in!S18=0,"",SER_hh_tes_in!S18/SER_hh_fec_in!S18)</f>
        <v>3.7367712181644932</v>
      </c>
      <c r="T18" s="137">
        <f>IF(SER_hh_tes_in!T18=0,"",SER_hh_tes_in!T18/SER_hh_fec_in!T18)</f>
        <v>3.7914765518045459</v>
      </c>
      <c r="U18" s="137">
        <f>IF(SER_hh_tes_in!U18=0,"",SER_hh_tes_in!U18/SER_hh_fec_in!U18)</f>
        <v>3.8412787398648627</v>
      </c>
      <c r="V18" s="137">
        <f>IF(SER_hh_tes_in!V18=0,"",SER_hh_tes_in!V18/SER_hh_fec_in!V18)</f>
        <v>3.8920575185812099</v>
      </c>
      <c r="W18" s="137">
        <f>IF(SER_hh_tes_in!W18=0,"",SER_hh_tes_in!W18/SER_hh_fec_in!W18)</f>
        <v>3.9417706522511251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0.60989788353069285</v>
      </c>
      <c r="D19" s="136">
        <f>IF(SER_hh_tes_in!D19=0,"",SER_hh_tes_in!D19/SER_hh_fec_in!D19)</f>
        <v>0.61473208327830309</v>
      </c>
      <c r="E19" s="136">
        <f>IF(SER_hh_tes_in!E19=0,"",SER_hh_tes_in!E19/SER_hh_fec_in!E19)</f>
        <v>0.6190438287863631</v>
      </c>
      <c r="F19" s="136">
        <f>IF(SER_hh_tes_in!F19=0,"",SER_hh_tes_in!F19/SER_hh_fec_in!F19)</f>
        <v>0.63182673090720964</v>
      </c>
      <c r="G19" s="136">
        <f>IF(SER_hh_tes_in!G19=0,"",SER_hh_tes_in!G19/SER_hh_fec_in!G19)</f>
        <v>0.63385917453008056</v>
      </c>
      <c r="H19" s="136">
        <f>IF(SER_hh_tes_in!H19=0,"",SER_hh_tes_in!H19/SER_hh_fec_in!H19)</f>
        <v>0.64243217572247135</v>
      </c>
      <c r="I19" s="136">
        <f>IF(SER_hh_tes_in!I19=0,"",SER_hh_tes_in!I19/SER_hh_fec_in!I19)</f>
        <v>0.64715616559670874</v>
      </c>
      <c r="J19" s="136">
        <f>IF(SER_hh_tes_in!J19=0,"",SER_hh_tes_in!J19/SER_hh_fec_in!J19)</f>
        <v>0.67869634527444156</v>
      </c>
      <c r="K19" s="136">
        <f>IF(SER_hh_tes_in!K19=0,"",SER_hh_tes_in!K19/SER_hh_fec_in!K19)</f>
        <v>0.68680643844810807</v>
      </c>
      <c r="L19" s="136">
        <f>IF(SER_hh_tes_in!L19=0,"",SER_hh_tes_in!L19/SER_hh_fec_in!L19)</f>
        <v>0.72593801081846576</v>
      </c>
      <c r="M19" s="136">
        <f>IF(SER_hh_tes_in!M19=0,"",SER_hh_tes_in!M19/SER_hh_fec_in!M19)</f>
        <v>0.75041701544127892</v>
      </c>
      <c r="N19" s="136">
        <f>IF(SER_hh_tes_in!N19=0,"",SER_hh_tes_in!N19/SER_hh_fec_in!N19)</f>
        <v>0.75360119809732762</v>
      </c>
      <c r="O19" s="136">
        <f>IF(SER_hh_tes_in!O19=0,"",SER_hh_tes_in!O19/SER_hh_fec_in!O19)</f>
        <v>0.75737740935092912</v>
      </c>
      <c r="P19" s="136">
        <f>IF(SER_hh_tes_in!P19=0,"",SER_hh_tes_in!P19/SER_hh_fec_in!P19)</f>
        <v>0.78311927185154029</v>
      </c>
      <c r="Q19" s="136">
        <f>IF(SER_hh_tes_in!Q19=0,"",SER_hh_tes_in!Q19/SER_hh_fec_in!Q19)</f>
        <v>0.79924684843990346</v>
      </c>
      <c r="R19" s="136">
        <f>IF(SER_hh_tes_in!R19=0,"",SER_hh_tes_in!R19/SER_hh_fec_in!R19)</f>
        <v>0.80404206498550101</v>
      </c>
      <c r="S19" s="136">
        <f>IF(SER_hh_tes_in!S19=0,"",SER_hh_tes_in!S19/SER_hh_fec_in!S19)</f>
        <v>0.82124170571279287</v>
      </c>
      <c r="T19" s="136">
        <f>IF(SER_hh_tes_in!T19=0,"",SER_hh_tes_in!T19/SER_hh_fec_in!T19)</f>
        <v>0.83901806705090265</v>
      </c>
      <c r="U19" s="136">
        <f>IF(SER_hh_tes_in!U19=0,"",SER_hh_tes_in!U19/SER_hh_fec_in!U19)</f>
        <v>0.85663539312077974</v>
      </c>
      <c r="V19" s="136">
        <f>IF(SER_hh_tes_in!V19=0,"",SER_hh_tes_in!V19/SER_hh_fec_in!V19)</f>
        <v>0.87077430189766225</v>
      </c>
      <c r="W19" s="136">
        <f>IF(SER_hh_tes_in!W19=0,"",SER_hh_tes_in!W19/SER_hh_fec_in!W19)</f>
        <v>0.85855948639144342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0.53767648835763449</v>
      </c>
      <c r="D21" s="137">
        <f>IF(SER_hh_tes_in!D21=0,"",SER_hh_tes_in!D21/SER_hh_fec_in!D21)</f>
        <v>0.53986596632697581</v>
      </c>
      <c r="E21" s="137">
        <f>IF(SER_hh_tes_in!E21=0,"",SER_hh_tes_in!E21/SER_hh_fec_in!E21)</f>
        <v>0.54241789908339355</v>
      </c>
      <c r="F21" s="137">
        <f>IF(SER_hh_tes_in!F21=0,"",SER_hh_tes_in!F21/SER_hh_fec_in!F21)</f>
        <v>0.5450192574925945</v>
      </c>
      <c r="G21" s="137">
        <f>IF(SER_hh_tes_in!G21=0,"",SER_hh_tes_in!G21/SER_hh_fec_in!G21)</f>
        <v>0.54795441544144874</v>
      </c>
      <c r="H21" s="137">
        <f>IF(SER_hh_tes_in!H21=0,"",SER_hh_tes_in!H21/SER_hh_fec_in!H21)</f>
        <v>0.55118856918648607</v>
      </c>
      <c r="I21" s="137">
        <f>IF(SER_hh_tes_in!I21=0,"",SER_hh_tes_in!I21/SER_hh_fec_in!I21)</f>
        <v>0.55479178846174038</v>
      </c>
      <c r="J21" s="137">
        <f>IF(SER_hh_tes_in!J21=0,"",SER_hh_tes_in!J21/SER_hh_fec_in!J21)</f>
        <v>0.55905112423515924</v>
      </c>
      <c r="K21" s="137">
        <f>IF(SER_hh_tes_in!K21=0,"",SER_hh_tes_in!K21/SER_hh_fec_in!K21)</f>
        <v>0.56421064533288312</v>
      </c>
      <c r="L21" s="137">
        <f>IF(SER_hh_tes_in!L21=0,"",SER_hh_tes_in!L21/SER_hh_fec_in!L21)</f>
        <v>0.57033565017221888</v>
      </c>
      <c r="M21" s="137">
        <f>IF(SER_hh_tes_in!M21=0,"",SER_hh_tes_in!M21/SER_hh_fec_in!M21)</f>
        <v>0.58321797044163481</v>
      </c>
      <c r="N21" s="137">
        <f>IF(SER_hh_tes_in!N21=0,"",SER_hh_tes_in!N21/SER_hh_fec_in!N21)</f>
        <v>0.60469592953790918</v>
      </c>
      <c r="O21" s="137">
        <f>IF(SER_hh_tes_in!O21=0,"",SER_hh_tes_in!O21/SER_hh_fec_in!O21)</f>
        <v>0.63630411083799143</v>
      </c>
      <c r="P21" s="137">
        <f>IF(SER_hh_tes_in!P21=0,"",SER_hh_tes_in!P21/SER_hh_fec_in!P21)</f>
        <v>0.67481725104085821</v>
      </c>
      <c r="Q21" s="137">
        <f>IF(SER_hh_tes_in!Q21=0,"",SER_hh_tes_in!Q21/SER_hh_fec_in!Q21)</f>
        <v>0.70978533211681671</v>
      </c>
      <c r="R21" s="137">
        <f>IF(SER_hh_tes_in!R21=0,"",SER_hh_tes_in!R21/SER_hh_fec_in!R21)</f>
        <v>0.73338450906127661</v>
      </c>
      <c r="S21" s="137">
        <f>IF(SER_hh_tes_in!S21=0,"",SER_hh_tes_in!S21/SER_hh_fec_in!S21)</f>
        <v>0.75612553411687278</v>
      </c>
      <c r="T21" s="137">
        <f>IF(SER_hh_tes_in!T21=0,"",SER_hh_tes_in!T21/SER_hh_fec_in!T21)</f>
        <v>0.77672117945022401</v>
      </c>
      <c r="U21" s="137">
        <f>IF(SER_hh_tes_in!U21=0,"",SER_hh_tes_in!U21/SER_hh_fec_in!U21)</f>
        <v>0.79388421722802038</v>
      </c>
      <c r="V21" s="137">
        <f>IF(SER_hh_tes_in!V21=0,"",SER_hh_tes_in!V21/SER_hh_fec_in!V21)</f>
        <v>0.80632741961692322</v>
      </c>
      <c r="W21" s="137">
        <f>IF(SER_hh_tes_in!W21=0,"",SER_hh_tes_in!W21/SER_hh_fec_in!W21)</f>
        <v>0.81218055424921454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0.50688578103234305</v>
      </c>
      <c r="D22" s="137">
        <f>IF(SER_hh_tes_in!D22=0,"",SER_hh_tes_in!D22/SER_hh_fec_in!D22)</f>
        <v>0.50913459776527181</v>
      </c>
      <c r="E22" s="137">
        <f>IF(SER_hh_tes_in!E22=0,"",SER_hh_tes_in!E22/SER_hh_fec_in!E22)</f>
        <v>0.51175569245738595</v>
      </c>
      <c r="F22" s="137">
        <f>IF(SER_hh_tes_in!F22=0,"",SER_hh_tes_in!F22/SER_hh_fec_in!F22)</f>
        <v>0.51442755232575255</v>
      </c>
      <c r="G22" s="137">
        <f>IF(SER_hh_tes_in!G22=0,"",SER_hh_tes_in!G22/SER_hh_fec_in!G22)</f>
        <v>0.51744225829749524</v>
      </c>
      <c r="H22" s="137">
        <f>IF(SER_hh_tes_in!H22=0,"",SER_hh_tes_in!H22/SER_hh_fec_in!H22)</f>
        <v>0.52076406338553261</v>
      </c>
      <c r="I22" s="137">
        <f>IF(SER_hh_tes_in!I22=0,"",SER_hh_tes_in!I22/SER_hh_fec_in!I22)</f>
        <v>0.5244649363388425</v>
      </c>
      <c r="J22" s="137">
        <f>IF(SER_hh_tes_in!J22=0,"",SER_hh_tes_in!J22/SER_hh_fec_in!J22)</f>
        <v>0.52883970771930433</v>
      </c>
      <c r="K22" s="137">
        <f>IF(SER_hh_tes_in!K22=0,"",SER_hh_tes_in!K22/SER_hh_fec_in!K22)</f>
        <v>0.5341390610541773</v>
      </c>
      <c r="L22" s="137">
        <f>IF(SER_hh_tes_in!L22=0,"",SER_hh_tes_in!L22/SER_hh_fec_in!L22)</f>
        <v>0.54043006446450703</v>
      </c>
      <c r="M22" s="137">
        <f>IF(SER_hh_tes_in!M22=0,"",SER_hh_tes_in!M22/SER_hh_fec_in!M22)</f>
        <v>0.5536615186222873</v>
      </c>
      <c r="N22" s="137">
        <f>IF(SER_hh_tes_in!N22=0,"",SER_hh_tes_in!N22/SER_hh_fec_in!N22)</f>
        <v>0.57572156877177183</v>
      </c>
      <c r="O22" s="137">
        <f>IF(SER_hh_tes_in!O22=0,"",SER_hh_tes_in!O22/SER_hh_fec_in!O22)</f>
        <v>0.60818638824033844</v>
      </c>
      <c r="P22" s="137">
        <f>IF(SER_hh_tes_in!P22=0,"",SER_hh_tes_in!P22/SER_hh_fec_in!P22)</f>
        <v>0.64774330333087582</v>
      </c>
      <c r="Q22" s="137">
        <f>IF(SER_hh_tes_in!Q22=0,"",SER_hh_tes_in!Q22/SER_hh_fec_in!Q22)</f>
        <v>0.6836590818603494</v>
      </c>
      <c r="R22" s="137">
        <f>IF(SER_hh_tes_in!R22=0,"",SER_hh_tes_in!R22/SER_hh_fec_in!R22)</f>
        <v>0.70789783865040401</v>
      </c>
      <c r="S22" s="137">
        <f>IF(SER_hh_tes_in!S22=0,"",SER_hh_tes_in!S22/SER_hh_fec_in!S22)</f>
        <v>0.73125518610266493</v>
      </c>
      <c r="T22" s="137">
        <f>IF(SER_hh_tes_in!T22=0,"",SER_hh_tes_in!T22/SER_hh_fec_in!T22)</f>
        <v>0.75240901021035356</v>
      </c>
      <c r="U22" s="137">
        <f>IF(SER_hh_tes_in!U22=0,"",SER_hh_tes_in!U22/SER_hh_fec_in!U22)</f>
        <v>0.77003719696676498</v>
      </c>
      <c r="V22" s="137">
        <f>IF(SER_hh_tes_in!V22=0,"",SER_hh_tes_in!V22/SER_hh_fec_in!V22)</f>
        <v>0.78281763236516322</v>
      </c>
      <c r="W22" s="137">
        <f>IF(SER_hh_tes_in!W22=0,"",SER_hh_tes_in!W22/SER_hh_fec_in!W22)</f>
        <v>0.78882939740025104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0.55345523960204035</v>
      </c>
      <c r="D23" s="137">
        <f>IF(SER_hh_tes_in!D23=0,"",SER_hh_tes_in!D23/SER_hh_fec_in!D23)</f>
        <v>0.55971157531138915</v>
      </c>
      <c r="E23" s="137">
        <f>IF(SER_hh_tes_in!E23=0,"",SER_hh_tes_in!E23/SER_hh_fec_in!E23)</f>
        <v>0.56623841415429466</v>
      </c>
      <c r="F23" s="137">
        <f>IF(SER_hh_tes_in!F23=0,"",SER_hh_tes_in!F23/SER_hh_fec_in!F23)</f>
        <v>0.5728180090924877</v>
      </c>
      <c r="G23" s="137">
        <f>IF(SER_hh_tes_in!G23=0,"",SER_hh_tes_in!G23/SER_hh_fec_in!G23)</f>
        <v>0.57964451187530597</v>
      </c>
      <c r="H23" s="137">
        <f>IF(SER_hh_tes_in!H23=0,"",SER_hh_tes_in!H23/SER_hh_fec_in!H23)</f>
        <v>0.58669163703156046</v>
      </c>
      <c r="I23" s="137">
        <f>IF(SER_hh_tes_in!I23=0,"",SER_hh_tes_in!I23/SER_hh_fec_in!I23)</f>
        <v>0.59400467632255571</v>
      </c>
      <c r="J23" s="137">
        <f>IF(SER_hh_tes_in!J23=0,"",SER_hh_tes_in!J23/SER_hh_fec_in!J23)</f>
        <v>0.60177501569538794</v>
      </c>
      <c r="K23" s="137">
        <f>IF(SER_hh_tes_in!K23=0,"",SER_hh_tes_in!K23/SER_hh_fec_in!K23)</f>
        <v>0.61016224199971536</v>
      </c>
      <c r="L23" s="137">
        <f>IF(SER_hh_tes_in!L23=0,"",SER_hh_tes_in!L23/SER_hh_fec_in!L23)</f>
        <v>0.61920356528623088</v>
      </c>
      <c r="M23" s="137">
        <f>IF(SER_hh_tes_in!M23=0,"",SER_hh_tes_in!M23/SER_hh_fec_in!M23)</f>
        <v>0.63287636745130582</v>
      </c>
      <c r="N23" s="137">
        <f>IF(SER_hh_tes_in!N23=0,"",SER_hh_tes_in!N23/SER_hh_fec_in!N23)</f>
        <v>0.65240492538156925</v>
      </c>
      <c r="O23" s="137">
        <f>IF(SER_hh_tes_in!O23=0,"",SER_hh_tes_in!O23/SER_hh_fec_in!O23)</f>
        <v>0.67869321843392227</v>
      </c>
      <c r="P23" s="137">
        <f>IF(SER_hh_tes_in!P23=0,"",SER_hh_tes_in!P23/SER_hh_fec_in!P23)</f>
        <v>0.70928384528869681</v>
      </c>
      <c r="Q23" s="137">
        <f>IF(SER_hh_tes_in!Q23=0,"",SER_hh_tes_in!Q23/SER_hh_fec_in!Q23)</f>
        <v>0.73646745566354777</v>
      </c>
      <c r="R23" s="137">
        <f>IF(SER_hh_tes_in!R23=0,"",SER_hh_tes_in!R23/SER_hh_fec_in!R23)</f>
        <v>0.75434136702138621</v>
      </c>
      <c r="S23" s="137">
        <f>IF(SER_hh_tes_in!S23=0,"",SER_hh_tes_in!S23/SER_hh_fec_in!S23)</f>
        <v>0.7706501600580109</v>
      </c>
      <c r="T23" s="137">
        <f>IF(SER_hh_tes_in!T23=0,"",SER_hh_tes_in!T23/SER_hh_fec_in!T23)</f>
        <v>0.78497046025479489</v>
      </c>
      <c r="U23" s="137">
        <f>IF(SER_hh_tes_in!U23=0,"",SER_hh_tes_in!U23/SER_hh_fec_in!U23)</f>
        <v>0.79683055455907725</v>
      </c>
      <c r="V23" s="137">
        <f>IF(SER_hh_tes_in!V23=0,"",SER_hh_tes_in!V23/SER_hh_fec_in!V23)</f>
        <v>0.80571281093636016</v>
      </c>
      <c r="W23" s="137">
        <f>IF(SER_hh_tes_in!W23=0,"",SER_hh_tes_in!W23/SER_hh_fec_in!W23)</f>
        <v>0.8102970749344881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0.77407657425750709</v>
      </c>
      <c r="D25" s="137">
        <f>IF(SER_hh_tes_in!D25=0,"",SER_hh_tes_in!D25/SER_hh_fec_in!D25)</f>
        <v>0.77689324978494634</v>
      </c>
      <c r="E25" s="137">
        <f>IF(SER_hh_tes_in!E25=0,"",SER_hh_tes_in!E25/SER_hh_fec_in!E25)</f>
        <v>0.77978596820316148</v>
      </c>
      <c r="F25" s="137">
        <f>IF(SER_hh_tes_in!F25=0,"",SER_hh_tes_in!F25/SER_hh_fec_in!F25)</f>
        <v>0.78268905610648198</v>
      </c>
      <c r="G25" s="137">
        <f>IF(SER_hh_tes_in!G25=0,"",SER_hh_tes_in!G25/SER_hh_fec_in!G25)</f>
        <v>0.78566217503943736</v>
      </c>
      <c r="H25" s="137">
        <f>IF(SER_hh_tes_in!H25=0,"",SER_hh_tes_in!H25/SER_hh_fec_in!H25)</f>
        <v>0.78869802318851123</v>
      </c>
      <c r="I25" s="137">
        <f>IF(SER_hh_tes_in!I25=0,"",SER_hh_tes_in!I25/SER_hh_fec_in!I25)</f>
        <v>0.79181130116001852</v>
      </c>
      <c r="J25" s="137">
        <f>IF(SER_hh_tes_in!J25=0,"",SER_hh_tes_in!J25/SER_hh_fec_in!J25)</f>
        <v>0.79506223214918603</v>
      </c>
      <c r="K25" s="137">
        <f>IF(SER_hh_tes_in!K25=0,"",SER_hh_tes_in!K25/SER_hh_fec_in!K25)</f>
        <v>0.7985020217125397</v>
      </c>
      <c r="L25" s="137">
        <f>IF(SER_hh_tes_in!L25=0,"",SER_hh_tes_in!L25/SER_hh_fec_in!L25)</f>
        <v>0.80214436943577139</v>
      </c>
      <c r="M25" s="137">
        <f>IF(SER_hh_tes_in!M25=0,"",SER_hh_tes_in!M25/SER_hh_fec_in!M25)</f>
        <v>0.80718765457286679</v>
      </c>
      <c r="N25" s="137">
        <f>IF(SER_hh_tes_in!N25=0,"",SER_hh_tes_in!N25/SER_hh_fec_in!N25)</f>
        <v>0.81401077457992232</v>
      </c>
      <c r="O25" s="137">
        <f>IF(SER_hh_tes_in!O25=0,"",SER_hh_tes_in!O25/SER_hh_fec_in!O25)</f>
        <v>0.82294587911868577</v>
      </c>
      <c r="P25" s="137">
        <f>IF(SER_hh_tes_in!P25=0,"",SER_hh_tes_in!P25/SER_hh_fec_in!P25)</f>
        <v>0.83336102910541143</v>
      </c>
      <c r="Q25" s="137">
        <f>IF(SER_hh_tes_in!Q25=0,"",SER_hh_tes_in!Q25/SER_hh_fec_in!Q25)</f>
        <v>0.8431874841515814</v>
      </c>
      <c r="R25" s="137">
        <f>IF(SER_hh_tes_in!R25=0,"",SER_hh_tes_in!R25/SER_hh_fec_in!R25)</f>
        <v>0.85071716868700054</v>
      </c>
      <c r="S25" s="137">
        <f>IF(SER_hh_tes_in!S25=0,"",SER_hh_tes_in!S25/SER_hh_fec_in!S25)</f>
        <v>0.85804229301536494</v>
      </c>
      <c r="T25" s="137">
        <f>IF(SER_hh_tes_in!T25=0,"",SER_hh_tes_in!T25/SER_hh_fec_in!T25)</f>
        <v>0.86511391379674674</v>
      </c>
      <c r="U25" s="137">
        <f>IF(SER_hh_tes_in!U25=0,"",SER_hh_tes_in!U25/SER_hh_fec_in!U25)</f>
        <v>0.8718830876912409</v>
      </c>
      <c r="V25" s="137">
        <f>IF(SER_hh_tes_in!V25=0,"",SER_hh_tes_in!V25/SER_hh_fec_in!V25)</f>
        <v>0.87830087135893298</v>
      </c>
      <c r="W25" s="137">
        <f>IF(SER_hh_tes_in!W25=0,"",SER_hh_tes_in!W25/SER_hh_fec_in!W25)</f>
        <v>0.88421288711362789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0.64015835527182441</v>
      </c>
      <c r="D26" s="138">
        <f>IF(SER_hh_tes_in!D26=0,"",SER_hh_tes_in!D26/SER_hh_fec_in!D26)</f>
        <v>0.64280251559953039</v>
      </c>
      <c r="E26" s="138">
        <f>IF(SER_hh_tes_in!E26=0,"",SER_hh_tes_in!E26/SER_hh_fec_in!E26)</f>
        <v>0.64565004925078073</v>
      </c>
      <c r="F26" s="138">
        <f>IF(SER_hh_tes_in!F26=0,"",SER_hh_tes_in!F26/SER_hh_fec_in!F26)</f>
        <v>0.6485249360637545</v>
      </c>
      <c r="G26" s="138">
        <f>IF(SER_hh_tes_in!G26=0,"",SER_hh_tes_in!G26/SER_hh_fec_in!G26)</f>
        <v>0.65158874792721788</v>
      </c>
      <c r="H26" s="138">
        <f>IF(SER_hh_tes_in!H26=0,"",SER_hh_tes_in!H26/SER_hh_fec_in!H26)</f>
        <v>0.65482337480477071</v>
      </c>
      <c r="I26" s="138">
        <f>IF(SER_hh_tes_in!I26=0,"",SER_hh_tes_in!I26/SER_hh_fec_in!I26)</f>
        <v>0.65827089711816611</v>
      </c>
      <c r="J26" s="138">
        <f>IF(SER_hh_tes_in!J26=0,"",SER_hh_tes_in!J26/SER_hh_fec_in!J26)</f>
        <v>0.66209975607961902</v>
      </c>
      <c r="K26" s="138">
        <f>IF(SER_hh_tes_in!K26=0,"",SER_hh_tes_in!K26/SER_hh_fec_in!K26)</f>
        <v>0.6664592243414752</v>
      </c>
      <c r="L26" s="138">
        <f>IF(SER_hh_tes_in!L26=0,"",SER_hh_tes_in!L26/SER_hh_fec_in!L26)</f>
        <v>0.67140154542913089</v>
      </c>
      <c r="M26" s="138">
        <f>IF(SER_hh_tes_in!M26=0,"",SER_hh_tes_in!M26/SER_hh_fec_in!M26)</f>
        <v>0.680351311920949</v>
      </c>
      <c r="N26" s="138">
        <f>IF(SER_hh_tes_in!N26=0,"",SER_hh_tes_in!N26/SER_hh_fec_in!N26)</f>
        <v>0.69481323834404995</v>
      </c>
      <c r="O26" s="138">
        <f>IF(SER_hh_tes_in!O26=0,"",SER_hh_tes_in!O26/SER_hh_fec_in!O26)</f>
        <v>0.7167169455408503</v>
      </c>
      <c r="P26" s="138">
        <f>IF(SER_hh_tes_in!P26=0,"",SER_hh_tes_in!P26/SER_hh_fec_in!P26)</f>
        <v>0.74521085681753652</v>
      </c>
      <c r="Q26" s="138">
        <f>IF(SER_hh_tes_in!Q26=0,"",SER_hh_tes_in!Q26/SER_hh_fec_in!Q26)</f>
        <v>0.77317023661444795</v>
      </c>
      <c r="R26" s="138">
        <f>IF(SER_hh_tes_in!R26=0,"",SER_hh_tes_in!R26/SER_hh_fec_in!R26)</f>
        <v>0.79321307673079411</v>
      </c>
      <c r="S26" s="138">
        <f>IF(SER_hh_tes_in!S26=0,"",SER_hh_tes_in!S26/SER_hh_fec_in!S26)</f>
        <v>0.81305832488124752</v>
      </c>
      <c r="T26" s="138">
        <f>IF(SER_hh_tes_in!T26=0,"",SER_hh_tes_in!T26/SER_hh_fec_in!T26)</f>
        <v>0.83228986307605934</v>
      </c>
      <c r="U26" s="138">
        <f>IF(SER_hh_tes_in!U26=0,"",SER_hh_tes_in!U26/SER_hh_fec_in!U26)</f>
        <v>0.85035542557628807</v>
      </c>
      <c r="V26" s="138">
        <f>IF(SER_hh_tes_in!V26=0,"",SER_hh_tes_in!V26/SER_hh_fec_in!V26)</f>
        <v>0.86640772616352169</v>
      </c>
      <c r="W26" s="138">
        <f>IF(SER_hh_tes_in!W26=0,"",SER_hh_tes_in!W26/SER_hh_fec_in!W26)</f>
        <v>0.87904399001051725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0.71684227053923133</v>
      </c>
      <c r="D29" s="136">
        <f>IF(SER_hh_tes_in!D29=0,"",SER_hh_tes_in!D29/SER_hh_fec_in!D29)</f>
        <v>0.73277038505561132</v>
      </c>
      <c r="E29" s="136">
        <f>IF(SER_hh_tes_in!E29=0,"",SER_hh_tes_in!E29/SER_hh_fec_in!E29)</f>
        <v>0.73431999607458975</v>
      </c>
      <c r="F29" s="136">
        <f>IF(SER_hh_tes_in!F29=0,"",SER_hh_tes_in!F29/SER_hh_fec_in!F29)</f>
        <v>0.7374246203500302</v>
      </c>
      <c r="G29" s="136">
        <f>IF(SER_hh_tes_in!G29=0,"",SER_hh_tes_in!G29/SER_hh_fec_in!G29)</f>
        <v>0.74304468702706361</v>
      </c>
      <c r="H29" s="136">
        <f>IF(SER_hh_tes_in!H29=0,"",SER_hh_tes_in!H29/SER_hh_fec_in!H29)</f>
        <v>0.7467367343454131</v>
      </c>
      <c r="I29" s="136">
        <f>IF(SER_hh_tes_in!I29=0,"",SER_hh_tes_in!I29/SER_hh_fec_in!I29)</f>
        <v>0.74925325825954159</v>
      </c>
      <c r="J29" s="136">
        <f>IF(SER_hh_tes_in!J29=0,"",SER_hh_tes_in!J29/SER_hh_fec_in!J29)</f>
        <v>0.73822527723222098</v>
      </c>
      <c r="K29" s="136">
        <f>IF(SER_hh_tes_in!K29=0,"",SER_hh_tes_in!K29/SER_hh_fec_in!K29)</f>
        <v>0.7267097004269496</v>
      </c>
      <c r="L29" s="136">
        <f>IF(SER_hh_tes_in!L29=0,"",SER_hh_tes_in!L29/SER_hh_fec_in!L29)</f>
        <v>0.73681368293307548</v>
      </c>
      <c r="M29" s="136">
        <f>IF(SER_hh_tes_in!M29=0,"",SER_hh_tes_in!M29/SER_hh_fec_in!M29)</f>
        <v>0.74348169909557316</v>
      </c>
      <c r="N29" s="136">
        <f>IF(SER_hh_tes_in!N29=0,"",SER_hh_tes_in!N29/SER_hh_fec_in!N29)</f>
        <v>0.74041629589549662</v>
      </c>
      <c r="O29" s="136">
        <f>IF(SER_hh_tes_in!O29=0,"",SER_hh_tes_in!O29/SER_hh_fec_in!O29)</f>
        <v>0.75497436484959424</v>
      </c>
      <c r="P29" s="136">
        <f>IF(SER_hh_tes_in!P29=0,"",SER_hh_tes_in!P29/SER_hh_fec_in!P29)</f>
        <v>0.76545842412289733</v>
      </c>
      <c r="Q29" s="136">
        <f>IF(SER_hh_tes_in!Q29=0,"",SER_hh_tes_in!Q29/SER_hh_fec_in!Q29)</f>
        <v>0.76668313659056242</v>
      </c>
      <c r="R29" s="136">
        <f>IF(SER_hh_tes_in!R29=0,"",SER_hh_tes_in!R29/SER_hh_fec_in!R29)</f>
        <v>0.76464340686800525</v>
      </c>
      <c r="S29" s="136">
        <f>IF(SER_hh_tes_in!S29=0,"",SER_hh_tes_in!S29/SER_hh_fec_in!S29)</f>
        <v>0.78168860510637783</v>
      </c>
      <c r="T29" s="136">
        <f>IF(SER_hh_tes_in!T29=0,"",SER_hh_tes_in!T29/SER_hh_fec_in!T29)</f>
        <v>0.79474452016475794</v>
      </c>
      <c r="U29" s="136">
        <f>IF(SER_hh_tes_in!U29=0,"",SER_hh_tes_in!U29/SER_hh_fec_in!U29)</f>
        <v>0.80337692012358164</v>
      </c>
      <c r="V29" s="136">
        <f>IF(SER_hh_tes_in!V29=0,"",SER_hh_tes_in!V29/SER_hh_fec_in!V29)</f>
        <v>0.81080348561912852</v>
      </c>
      <c r="W29" s="136">
        <f>IF(SER_hh_tes_in!W29=0,"",SER_hh_tes_in!W29/SER_hh_fec_in!W29)</f>
        <v>0.81922981804993811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0.58447125763654206</v>
      </c>
      <c r="D30" s="137">
        <f>IF(SER_hh_tes_in!D30=0,"",SER_hh_tes_in!D30/SER_hh_fec_in!D30)</f>
        <v>0.58540679011734786</v>
      </c>
      <c r="E30" s="137">
        <f>IF(SER_hh_tes_in!E30=0,"",SER_hh_tes_in!E30/SER_hh_fec_in!E30)</f>
        <v>0.5863291287390946</v>
      </c>
      <c r="F30" s="137">
        <f>IF(SER_hh_tes_in!F30=0,"",SER_hh_tes_in!F30/SER_hh_fec_in!F30)</f>
        <v>0.58724966819824231</v>
      </c>
      <c r="G30" s="137">
        <f>IF(SER_hh_tes_in!G30=0,"",SER_hh_tes_in!G30/SER_hh_fec_in!G30)</f>
        <v>0.58815805688924705</v>
      </c>
      <c r="H30" s="137">
        <f>IF(SER_hh_tes_in!H30=0,"",SER_hh_tes_in!H30/SER_hh_fec_in!H30)</f>
        <v>0.58905556171684437</v>
      </c>
      <c r="I30" s="137">
        <f>IF(SER_hh_tes_in!I30=0,"",SER_hh_tes_in!I30/SER_hh_fec_in!I30)</f>
        <v>0.58993963204512556</v>
      </c>
      <c r="J30" s="137">
        <f>IF(SER_hh_tes_in!J30=0,"",SER_hh_tes_in!J30/SER_hh_fec_in!J30)</f>
        <v>0.59079981881906696</v>
      </c>
      <c r="K30" s="137">
        <f>IF(SER_hh_tes_in!K30=0,"",SER_hh_tes_in!K30/SER_hh_fec_in!K30)</f>
        <v>0.5916272375934698</v>
      </c>
      <c r="L30" s="137">
        <f>IF(SER_hh_tes_in!L30=0,"",SER_hh_tes_in!L30/SER_hh_fec_in!L30)</f>
        <v>0.59241951141499938</v>
      </c>
      <c r="M30" s="137">
        <f>IF(SER_hh_tes_in!M30=0,"",SER_hh_tes_in!M30/SER_hh_fec_in!M30)</f>
        <v>0.59284585962593361</v>
      </c>
      <c r="N30" s="137">
        <f>IF(SER_hh_tes_in!N30=0,"",SER_hh_tes_in!N30/SER_hh_fec_in!N30)</f>
        <v>0.59284585962593361</v>
      </c>
      <c r="O30" s="137">
        <f>IF(SER_hh_tes_in!O30=0,"",SER_hh_tes_in!O30/SER_hh_fec_in!O30)</f>
        <v>0.59284585962593361</v>
      </c>
      <c r="P30" s="137">
        <f>IF(SER_hh_tes_in!P30=0,"",SER_hh_tes_in!P30/SER_hh_fec_in!P30)</f>
        <v>0.59284585962593361</v>
      </c>
      <c r="Q30" s="137">
        <f>IF(SER_hh_tes_in!Q30=0,"",SER_hh_tes_in!Q30/SER_hh_fec_in!Q30)</f>
        <v>0.59284585962593361</v>
      </c>
      <c r="R30" s="137">
        <f>IF(SER_hh_tes_in!R30=0,"",SER_hh_tes_in!R30/SER_hh_fec_in!R30)</f>
        <v>0.59553939906923303</v>
      </c>
      <c r="S30" s="137">
        <f>IF(SER_hh_tes_in!S30=0,"",SER_hh_tes_in!S30/SER_hh_fec_in!S30)</f>
        <v>0.59994394634580239</v>
      </c>
      <c r="T30" s="137">
        <f>IF(SER_hh_tes_in!T30=0,"",SER_hh_tes_in!T30/SER_hh_fec_in!T30)</f>
        <v>0.60508258483512956</v>
      </c>
      <c r="U30" s="137">
        <f>IF(SER_hh_tes_in!U30=0,"",SER_hh_tes_in!U30/SER_hh_fec_in!U30)</f>
        <v>0.61040474612764795</v>
      </c>
      <c r="V30" s="137">
        <f>IF(SER_hh_tes_in!V30=0,"",SER_hh_tes_in!V30/SER_hh_fec_in!V30)</f>
        <v>0.61535986181378577</v>
      </c>
      <c r="W30" s="137">
        <f>IF(SER_hh_tes_in!W30=0,"",SER_hh_tes_in!W30/SER_hh_fec_in!W30)</f>
        <v>0.6199479318935408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0.58770622442591458</v>
      </c>
      <c r="D31" s="137">
        <f>IF(SER_hh_tes_in!D31=0,"",SER_hh_tes_in!D31/SER_hh_fec_in!D31)</f>
        <v>0.58879907757433192</v>
      </c>
      <c r="E31" s="137">
        <f>IF(SER_hh_tes_in!E31=0,"",SER_hh_tes_in!E31/SER_hh_fec_in!E31)</f>
        <v>0.58987651816283471</v>
      </c>
      <c r="F31" s="137">
        <f>IF(SER_hh_tes_in!F31=0,"",SER_hh_tes_in!F31/SER_hh_fec_in!F31)</f>
        <v>0.59095185703862174</v>
      </c>
      <c r="G31" s="137">
        <f>IF(SER_hh_tes_in!G31=0,"",SER_hh_tes_in!G31/SER_hh_fec_in!G31)</f>
        <v>0.59201300185327976</v>
      </c>
      <c r="H31" s="137">
        <f>IF(SER_hh_tes_in!H31=0,"",SER_hh_tes_in!H31/SER_hh_fec_in!H31)</f>
        <v>0.59306143255631083</v>
      </c>
      <c r="I31" s="137">
        <f>IF(SER_hh_tes_in!I31=0,"",SER_hh_tes_in!I31/SER_hh_fec_in!I31)</f>
        <v>0.59409416959271177</v>
      </c>
      <c r="J31" s="137">
        <f>IF(SER_hh_tes_in!J31=0,"",SER_hh_tes_in!J31/SER_hh_fec_in!J31)</f>
        <v>0.59509900677732697</v>
      </c>
      <c r="K31" s="137">
        <f>IF(SER_hh_tes_in!K31=0,"",SER_hh_tes_in!K31/SER_hh_fec_in!K31)</f>
        <v>0.59606556564216395</v>
      </c>
      <c r="L31" s="137">
        <f>IF(SER_hh_tes_in!L31=0,"",SER_hh_tes_in!L31/SER_hh_fec_in!L31)</f>
        <v>0.59699106952153913</v>
      </c>
      <c r="M31" s="137">
        <f>IF(SER_hh_tes_in!M31=0,"",SER_hh_tes_in!M31/SER_hh_fec_in!M31)</f>
        <v>0.59748911314290043</v>
      </c>
      <c r="N31" s="137">
        <f>IF(SER_hh_tes_in!N31=0,"",SER_hh_tes_in!N31/SER_hh_fec_in!N31)</f>
        <v>0.59748911314290054</v>
      </c>
      <c r="O31" s="137">
        <f>IF(SER_hh_tes_in!O31=0,"",SER_hh_tes_in!O31/SER_hh_fec_in!O31)</f>
        <v>0.59748911314290043</v>
      </c>
      <c r="P31" s="137">
        <f>IF(SER_hh_tes_in!P31=0,"",SER_hh_tes_in!P31/SER_hh_fec_in!P31)</f>
        <v>0.59748911314290043</v>
      </c>
      <c r="Q31" s="137">
        <f>IF(SER_hh_tes_in!Q31=0,"",SER_hh_tes_in!Q31/SER_hh_fec_in!Q31)</f>
        <v>0.59748911314290043</v>
      </c>
      <c r="R31" s="137">
        <f>IF(SER_hh_tes_in!R31=0,"",SER_hh_tes_in!R31/SER_hh_fec_in!R31)</f>
        <v>0.60063560257153115</v>
      </c>
      <c r="S31" s="137">
        <f>IF(SER_hh_tes_in!S31=0,"",SER_hh_tes_in!S31/SER_hh_fec_in!S31)</f>
        <v>0.6057808257009365</v>
      </c>
      <c r="T31" s="137">
        <f>IF(SER_hh_tes_in!T31=0,"",SER_hh_tes_in!T31/SER_hh_fec_in!T31)</f>
        <v>0.61178358601857175</v>
      </c>
      <c r="U31" s="137">
        <f>IF(SER_hh_tes_in!U31=0,"",SER_hh_tes_in!U31/SER_hh_fec_in!U31)</f>
        <v>0.61800073063326655</v>
      </c>
      <c r="V31" s="137">
        <f>IF(SER_hh_tes_in!V31=0,"",SER_hh_tes_in!V31/SER_hh_fec_in!V31)</f>
        <v>0.62378910665384424</v>
      </c>
      <c r="W31" s="137">
        <f>IF(SER_hh_tes_in!W31=0,"",SER_hh_tes_in!W31/SER_hh_fec_in!W31)</f>
        <v>0.6291487140803026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>
        <f>IF(SER_hh_tes_in!K32=0,"",SER_hh_tes_in!K32/SER_hh_fec_in!K32)</f>
        <v>0.57534866060538059</v>
      </c>
      <c r="L32" s="137">
        <f>IF(SER_hh_tes_in!L32=0,"",SER_hh_tes_in!L32/SER_hh_fec_in!L32)</f>
        <v>0.57567458921476089</v>
      </c>
      <c r="M32" s="137">
        <f>IF(SER_hh_tes_in!M32=0,"",SER_hh_tes_in!M32/SER_hh_fec_in!M32)</f>
        <v>0.57584998195869042</v>
      </c>
      <c r="N32" s="137">
        <f>IF(SER_hh_tes_in!N32=0,"",SER_hh_tes_in!N32/SER_hh_fec_in!N32)</f>
        <v>0.57584998195869042</v>
      </c>
      <c r="O32" s="137">
        <f>IF(SER_hh_tes_in!O32=0,"",SER_hh_tes_in!O32/SER_hh_fec_in!O32)</f>
        <v>0.57584998195869042</v>
      </c>
      <c r="P32" s="137">
        <f>IF(SER_hh_tes_in!P32=0,"",SER_hh_tes_in!P32/SER_hh_fec_in!P32)</f>
        <v>0.57584998195869042</v>
      </c>
      <c r="Q32" s="137">
        <f>IF(SER_hh_tes_in!Q32=0,"",SER_hh_tes_in!Q32/SER_hh_fec_in!Q32)</f>
        <v>0.57584998195869042</v>
      </c>
      <c r="R32" s="137">
        <f>IF(SER_hh_tes_in!R32=0,"",SER_hh_tes_in!R32/SER_hh_fec_in!R32)</f>
        <v>0.57695806043005893</v>
      </c>
      <c r="S32" s="137">
        <f>IF(SER_hh_tes_in!S32=0,"",SER_hh_tes_in!S32/SER_hh_fec_in!S32)</f>
        <v>0.57877001979283416</v>
      </c>
      <c r="T32" s="137">
        <f>IF(SER_hh_tes_in!T32=0,"",SER_hh_tes_in!T32/SER_hh_fec_in!T32)</f>
        <v>0.58088397238273715</v>
      </c>
      <c r="U32" s="137">
        <f>IF(SER_hh_tes_in!U32=0,"",SER_hh_tes_in!U32/SER_hh_fec_in!U32)</f>
        <v>0.5830734232794228</v>
      </c>
      <c r="V32" s="137">
        <f>IF(SER_hh_tes_in!V32=0,"",SER_hh_tes_in!V32/SER_hh_fec_in!V32)</f>
        <v>0.5851118775625439</v>
      </c>
      <c r="W32" s="137">
        <f>IF(SER_hh_tes_in!W32=0,"",SER_hh_tes_in!W32/SER_hh_fec_in!W32)</f>
        <v>0.58699933523209946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0.77217317845727385</v>
      </c>
      <c r="D33" s="150">
        <f>IF(SER_hh_tes_in!D33=0,"",SER_hh_tes_in!D33/SER_hh_fec_in!D33)</f>
        <v>0.77353801970125491</v>
      </c>
      <c r="E33" s="150">
        <f>IF(SER_hh_tes_in!E33=0,"",SER_hh_tes_in!E33/SER_hh_fec_in!E33)</f>
        <v>0.77495332946631323</v>
      </c>
      <c r="F33" s="150">
        <f>IF(SER_hh_tes_in!F33=0,"",SER_hh_tes_in!F33/SER_hh_fec_in!F33)</f>
        <v>0.7763755213024276</v>
      </c>
      <c r="G33" s="150">
        <f>IF(SER_hh_tes_in!G33=0,"",SER_hh_tes_in!G33/SER_hh_fec_in!G33)</f>
        <v>0.77784419167794372</v>
      </c>
      <c r="H33" s="150">
        <f>IF(SER_hh_tes_in!H33=0,"",SER_hh_tes_in!H33/SER_hh_fec_in!H33)</f>
        <v>0.77935449448922767</v>
      </c>
      <c r="I33" s="150">
        <f>IF(SER_hh_tes_in!I33=0,"",SER_hh_tes_in!I33/SER_hh_fec_in!I33)</f>
        <v>0.78091618630723703</v>
      </c>
      <c r="J33" s="150">
        <f>IF(SER_hh_tes_in!J33=0,"",SER_hh_tes_in!J33/SER_hh_fec_in!J33)</f>
        <v>0.78256923635942477</v>
      </c>
      <c r="K33" s="150">
        <f>IF(SER_hh_tes_in!K33=0,"",SER_hh_tes_in!K33/SER_hh_fec_in!K33)</f>
        <v>0.78434762900228283</v>
      </c>
      <c r="L33" s="150">
        <f>IF(SER_hh_tes_in!L33=0,"",SER_hh_tes_in!L33/SER_hh_fec_in!L33)</f>
        <v>0.78626045644446085</v>
      </c>
      <c r="M33" s="150">
        <f>IF(SER_hh_tes_in!M33=0,"",SER_hh_tes_in!M33/SER_hh_fec_in!M33)</f>
        <v>0.7888629199064886</v>
      </c>
      <c r="N33" s="150">
        <f>IF(SER_hh_tes_in!N33=0,"",SER_hh_tes_in!N33/SER_hh_fec_in!N33)</f>
        <v>0.79231244874606799</v>
      </c>
      <c r="O33" s="150">
        <f>IF(SER_hh_tes_in!O33=0,"",SER_hh_tes_in!O33/SER_hh_fec_in!O33)</f>
        <v>0.79699182916783151</v>
      </c>
      <c r="P33" s="150">
        <f>IF(SER_hh_tes_in!P33=0,"",SER_hh_tes_in!P33/SER_hh_fec_in!P33)</f>
        <v>0.80310210394131176</v>
      </c>
      <c r="Q33" s="150">
        <f>IF(SER_hh_tes_in!Q33=0,"",SER_hh_tes_in!Q33/SER_hh_fec_in!Q33)</f>
        <v>0.81097743403462763</v>
      </c>
      <c r="R33" s="150">
        <f>IF(SER_hh_tes_in!R33=0,"",SER_hh_tes_in!R33/SER_hh_fec_in!R33)</f>
        <v>0.8216906062915692</v>
      </c>
      <c r="S33" s="150">
        <f>IF(SER_hh_tes_in!S33=0,"",SER_hh_tes_in!S33/SER_hh_fec_in!S33)</f>
        <v>0.83506164728920074</v>
      </c>
      <c r="T33" s="150">
        <f>IF(SER_hh_tes_in!T33=0,"",SER_hh_tes_in!T33/SER_hh_fec_in!T33)</f>
        <v>0.84943768491516047</v>
      </c>
      <c r="U33" s="150">
        <f>IF(SER_hh_tes_in!U33=0,"",SER_hh_tes_in!U33/SER_hh_fec_in!U33)</f>
        <v>0.86316584705712707</v>
      </c>
      <c r="V33" s="150">
        <f>IF(SER_hh_tes_in!V33=0,"",SER_hh_tes_in!V33/SER_hh_fec_in!V33)</f>
        <v>0.87459326160276174</v>
      </c>
      <c r="W33" s="150">
        <f>IF(SER_hh_tes_in!W33=0,"",SER_hh_tes_in!W33/SER_hh_fec_in!W33)</f>
        <v>0.88313932788696703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29.457898018091988</v>
      </c>
      <c r="D3" s="126">
        <f t="shared" si="0"/>
        <v>27.858592692895307</v>
      </c>
      <c r="E3" s="126">
        <f t="shared" si="0"/>
        <v>35.327456153473207</v>
      </c>
      <c r="F3" s="126">
        <f t="shared" si="0"/>
        <v>18.836084901379049</v>
      </c>
      <c r="G3" s="126">
        <f t="shared" si="0"/>
        <v>15.749297127599302</v>
      </c>
      <c r="H3" s="126">
        <f t="shared" si="0"/>
        <v>17.467143067729879</v>
      </c>
      <c r="I3" s="126">
        <f t="shared" si="0"/>
        <v>16.170392283101101</v>
      </c>
      <c r="J3" s="126">
        <f t="shared" si="0"/>
        <v>10.236087578177059</v>
      </c>
      <c r="K3" s="126">
        <f t="shared" si="0"/>
        <v>8.3555688556970242</v>
      </c>
      <c r="L3" s="126">
        <f t="shared" si="0"/>
        <v>5.11820866819005</v>
      </c>
      <c r="M3" s="126">
        <f t="shared" si="0"/>
        <v>6.7540631364885657</v>
      </c>
      <c r="N3" s="126">
        <f t="shared" si="0"/>
        <v>2.0191181428597629</v>
      </c>
      <c r="O3" s="126">
        <f t="shared" si="0"/>
        <v>2.1995049850174975</v>
      </c>
      <c r="P3" s="126">
        <f t="shared" si="0"/>
        <v>15.058225495401128</v>
      </c>
      <c r="Q3" s="126">
        <f t="shared" si="0"/>
        <v>22.254221764438253</v>
      </c>
      <c r="R3" s="126">
        <f t="shared" ref="R3:W3" si="1">SUM(R4,R16,R19,R29)</f>
        <v>6.6203527692583082</v>
      </c>
      <c r="S3" s="126">
        <f t="shared" si="1"/>
        <v>4.6448956461307151</v>
      </c>
      <c r="T3" s="126">
        <f t="shared" si="1"/>
        <v>5.0411437711373583</v>
      </c>
      <c r="U3" s="126">
        <f t="shared" si="1"/>
        <v>5.5458279815087161</v>
      </c>
      <c r="V3" s="126">
        <f t="shared" si="1"/>
        <v>5.3037203984397436</v>
      </c>
      <c r="W3" s="126">
        <f t="shared" si="1"/>
        <v>5.6244990340947805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24.297083151588129</v>
      </c>
      <c r="D4" s="131">
        <f t="shared" si="2"/>
        <v>22.452747838946291</v>
      </c>
      <c r="E4" s="131">
        <f t="shared" si="2"/>
        <v>28.785625425127222</v>
      </c>
      <c r="F4" s="131">
        <f t="shared" si="2"/>
        <v>13.724937661778899</v>
      </c>
      <c r="G4" s="131">
        <f t="shared" si="2"/>
        <v>10.695661926407421</v>
      </c>
      <c r="H4" s="131">
        <f t="shared" si="2"/>
        <v>11.233607266743002</v>
      </c>
      <c r="I4" s="131">
        <f t="shared" si="2"/>
        <v>9.9059729904595386</v>
      </c>
      <c r="J4" s="131">
        <f t="shared" si="2"/>
        <v>6.4287989309491991</v>
      </c>
      <c r="K4" s="131">
        <f t="shared" si="2"/>
        <v>5.57379652795961</v>
      </c>
      <c r="L4" s="131">
        <f t="shared" si="2"/>
        <v>3.7948118102539121</v>
      </c>
      <c r="M4" s="131">
        <f t="shared" si="2"/>
        <v>4.6927096512970348</v>
      </c>
      <c r="N4" s="131">
        <f t="shared" si="2"/>
        <v>1.4247432587395559</v>
      </c>
      <c r="O4" s="131">
        <f t="shared" si="2"/>
        <v>1.6135222664932287</v>
      </c>
      <c r="P4" s="131">
        <f t="shared" si="2"/>
        <v>10.784479855949435</v>
      </c>
      <c r="Q4" s="131">
        <f t="shared" si="2"/>
        <v>16.912522421763164</v>
      </c>
      <c r="R4" s="131">
        <f t="shared" ref="R4:W4" si="3">SUM(R5:R15)</f>
        <v>4.0444853030122951</v>
      </c>
      <c r="S4" s="131">
        <f t="shared" si="3"/>
        <v>2.4460157153869946</v>
      </c>
      <c r="T4" s="131">
        <f t="shared" si="3"/>
        <v>2.6367497131351461</v>
      </c>
      <c r="U4" s="131">
        <f t="shared" si="3"/>
        <v>3.1906955226893796</v>
      </c>
      <c r="V4" s="131">
        <f t="shared" si="3"/>
        <v>3.2618312967519261</v>
      </c>
      <c r="W4" s="131">
        <f t="shared" si="3"/>
        <v>3.1642496980168695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0.21217613649972802</v>
      </c>
      <c r="D5" s="133">
        <v>0.274458894298995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0.18335495690509029</v>
      </c>
      <c r="K5" s="133">
        <v>8.2717079974043928E-2</v>
      </c>
      <c r="L5" s="133">
        <v>7.8059779378286342E-2</v>
      </c>
      <c r="M5" s="133">
        <v>0.23903968011832835</v>
      </c>
      <c r="N5" s="133">
        <v>5.6340369226415159E-2</v>
      </c>
      <c r="O5" s="133">
        <v>0</v>
      </c>
      <c r="P5" s="133">
        <v>0</v>
      </c>
      <c r="Q5" s="133">
        <v>0</v>
      </c>
      <c r="R5" s="133">
        <v>0</v>
      </c>
      <c r="S5" s="133">
        <v>5.9629030424464659E-3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15.26773599440715</v>
      </c>
      <c r="D7" s="133">
        <v>16.608583288681622</v>
      </c>
      <c r="E7" s="133">
        <v>19.339718115139132</v>
      </c>
      <c r="F7" s="133">
        <v>5.3047613325075398</v>
      </c>
      <c r="G7" s="133">
        <v>0.23338258142464707</v>
      </c>
      <c r="H7" s="133">
        <v>0</v>
      </c>
      <c r="I7" s="133">
        <v>0</v>
      </c>
      <c r="J7" s="133">
        <v>0</v>
      </c>
      <c r="K7" s="133">
        <v>0.65552110027850885</v>
      </c>
      <c r="L7" s="133">
        <v>0.94011282901915738</v>
      </c>
      <c r="M7" s="133">
        <v>2.3292459021041898</v>
      </c>
      <c r="N7" s="133">
        <v>0.54753652730612135</v>
      </c>
      <c r="O7" s="133">
        <v>0.48480975344597727</v>
      </c>
      <c r="P7" s="133">
        <v>0.91600180985820989</v>
      </c>
      <c r="Q7" s="133">
        <v>3.2952963747371165</v>
      </c>
      <c r="R7" s="133">
        <v>0.95824333163481468</v>
      </c>
      <c r="S7" s="133">
        <v>0.44242285960143046</v>
      </c>
      <c r="T7" s="133">
        <v>0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8.8171710206812506</v>
      </c>
      <c r="D9" s="133">
        <v>5.5697056559656728</v>
      </c>
      <c r="E9" s="133">
        <v>9.4459073099880886</v>
      </c>
      <c r="F9" s="133">
        <v>8.4201763292713601</v>
      </c>
      <c r="G9" s="133">
        <v>10.462279344982774</v>
      </c>
      <c r="H9" s="133">
        <v>11.233607266743002</v>
      </c>
      <c r="I9" s="133">
        <v>9.9059729904595386</v>
      </c>
      <c r="J9" s="133">
        <v>6.2454439740441083</v>
      </c>
      <c r="K9" s="133">
        <v>4.8355583477070576</v>
      </c>
      <c r="L9" s="133">
        <v>2.7766392018564683</v>
      </c>
      <c r="M9" s="133">
        <v>2.1244240690745166</v>
      </c>
      <c r="N9" s="133">
        <v>0.82086636220701947</v>
      </c>
      <c r="O9" s="133">
        <v>1.1287125130472515</v>
      </c>
      <c r="P9" s="133">
        <v>9.8684780460912247</v>
      </c>
      <c r="Q9" s="133">
        <v>13.617226047026049</v>
      </c>
      <c r="R9" s="133">
        <v>3.0862419713774805</v>
      </c>
      <c r="S9" s="133">
        <v>1.9976299527431178</v>
      </c>
      <c r="T9" s="133">
        <v>2.6367497131351461</v>
      </c>
      <c r="U9" s="133">
        <v>3.1906955226893796</v>
      </c>
      <c r="V9" s="133">
        <v>3.2618312967519261</v>
      </c>
      <c r="W9" s="133">
        <v>3.1642496980168695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4.8264764149285062E-3</v>
      </c>
      <c r="D16" s="131">
        <f t="shared" si="4"/>
        <v>8.3485206840365252E-3</v>
      </c>
      <c r="E16" s="131">
        <f t="shared" si="4"/>
        <v>2.0402389954563789E-2</v>
      </c>
      <c r="F16" s="131">
        <f t="shared" si="4"/>
        <v>7.9046807343186778E-3</v>
      </c>
      <c r="G16" s="131">
        <f t="shared" si="4"/>
        <v>7.6971683513972905E-3</v>
      </c>
      <c r="H16" s="131">
        <f t="shared" si="4"/>
        <v>1.2071245075827351E-2</v>
      </c>
      <c r="I16" s="131">
        <f t="shared" si="4"/>
        <v>1.1447129157133602E-2</v>
      </c>
      <c r="J16" s="131">
        <f t="shared" si="4"/>
        <v>5.098166704781389E-3</v>
      </c>
      <c r="K16" s="131">
        <f t="shared" si="4"/>
        <v>5.0331039851994773E-3</v>
      </c>
      <c r="L16" s="131">
        <f t="shared" si="4"/>
        <v>3.4249209311241948E-3</v>
      </c>
      <c r="M16" s="131">
        <f t="shared" si="4"/>
        <v>5.8622931051796837E-3</v>
      </c>
      <c r="N16" s="131">
        <f t="shared" si="4"/>
        <v>2.3455089830427154E-3</v>
      </c>
      <c r="O16" s="131">
        <f t="shared" si="4"/>
        <v>2.0816010691232898E-3</v>
      </c>
      <c r="P16" s="131">
        <f t="shared" si="4"/>
        <v>5.1841441536947027E-3</v>
      </c>
      <c r="Q16" s="131">
        <f t="shared" si="4"/>
        <v>5.8696300310930233E-2</v>
      </c>
      <c r="R16" s="131">
        <f t="shared" ref="R16:W16" si="5">SUM(R17:R18)</f>
        <v>1.0017983890506215E-2</v>
      </c>
      <c r="S16" s="131">
        <f t="shared" si="5"/>
        <v>1.8389170182263877E-2</v>
      </c>
      <c r="T16" s="131">
        <f t="shared" si="5"/>
        <v>2.1756036176008537E-2</v>
      </c>
      <c r="U16" s="131">
        <f t="shared" si="5"/>
        <v>2.1773073291054004E-2</v>
      </c>
      <c r="V16" s="131">
        <f t="shared" si="5"/>
        <v>4.4082097705006726E-3</v>
      </c>
      <c r="W16" s="131">
        <f t="shared" si="5"/>
        <v>1.3101452569541107E-2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4.8264764149285062E-3</v>
      </c>
      <c r="D17" s="133">
        <v>8.3485206840365252E-3</v>
      </c>
      <c r="E17" s="133">
        <v>2.0402389954563789E-2</v>
      </c>
      <c r="F17" s="133">
        <v>7.9046807343186778E-3</v>
      </c>
      <c r="G17" s="133">
        <v>7.6971683513972905E-3</v>
      </c>
      <c r="H17" s="133">
        <v>1.2071245075827351E-2</v>
      </c>
      <c r="I17" s="133">
        <v>1.1447129157133602E-2</v>
      </c>
      <c r="J17" s="133">
        <v>5.098166704781389E-3</v>
      </c>
      <c r="K17" s="133">
        <v>5.0331039851994773E-3</v>
      </c>
      <c r="L17" s="133">
        <v>3.4249209311241948E-3</v>
      </c>
      <c r="M17" s="133">
        <v>5.8622931051796837E-3</v>
      </c>
      <c r="N17" s="133">
        <v>2.3455089830427154E-3</v>
      </c>
      <c r="O17" s="133">
        <v>2.0816010691232898E-3</v>
      </c>
      <c r="P17" s="133">
        <v>5.1841441536947027E-3</v>
      </c>
      <c r="Q17" s="133">
        <v>5.8696300310930233E-2</v>
      </c>
      <c r="R17" s="133">
        <v>1.0017983890506215E-2</v>
      </c>
      <c r="S17" s="133">
        <v>1.8389170182263877E-2</v>
      </c>
      <c r="T17" s="133">
        <v>2.1756036176008537E-2</v>
      </c>
      <c r="U17" s="133">
        <v>2.1773073291054004E-2</v>
      </c>
      <c r="V17" s="133">
        <v>4.4082097705006726E-3</v>
      </c>
      <c r="W17" s="133">
        <v>1.3101452569541107E-2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3.2286453945540678</v>
      </c>
      <c r="D19" s="131">
        <f t="shared" si="6"/>
        <v>3.9358125749364459</v>
      </c>
      <c r="E19" s="131">
        <f t="shared" si="6"/>
        <v>4.5807265431893427</v>
      </c>
      <c r="F19" s="131">
        <f t="shared" si="6"/>
        <v>3.6884959250779197</v>
      </c>
      <c r="G19" s="131">
        <f t="shared" si="6"/>
        <v>3.8015240338412126</v>
      </c>
      <c r="H19" s="131">
        <f t="shared" si="6"/>
        <v>4.5425067181521595</v>
      </c>
      <c r="I19" s="131">
        <f t="shared" si="6"/>
        <v>4.537185599884431</v>
      </c>
      <c r="J19" s="131">
        <f t="shared" si="6"/>
        <v>2.5964014004405267</v>
      </c>
      <c r="K19" s="131">
        <f t="shared" si="6"/>
        <v>1.8432924200030363</v>
      </c>
      <c r="L19" s="131">
        <f t="shared" si="6"/>
        <v>0.83380846162138766</v>
      </c>
      <c r="M19" s="131">
        <f t="shared" si="6"/>
        <v>1.2421914237950413</v>
      </c>
      <c r="N19" s="131">
        <f t="shared" si="6"/>
        <v>0.34762818558093711</v>
      </c>
      <c r="O19" s="131">
        <f t="shared" si="6"/>
        <v>0.39005158230934173</v>
      </c>
      <c r="P19" s="131">
        <f t="shared" si="6"/>
        <v>2.8666291838744975</v>
      </c>
      <c r="Q19" s="131">
        <f t="shared" si="6"/>
        <v>3.5147656213031668</v>
      </c>
      <c r="R19" s="131">
        <f t="shared" ref="R19:W19" si="7">SUM(R20:R27)</f>
        <v>1.6482741864869701</v>
      </c>
      <c r="S19" s="131">
        <f t="shared" si="7"/>
        <v>1.4292657556463713</v>
      </c>
      <c r="T19" s="131">
        <f t="shared" si="7"/>
        <v>1.5609163785715396</v>
      </c>
      <c r="U19" s="131">
        <f t="shared" si="7"/>
        <v>1.425209798815936</v>
      </c>
      <c r="V19" s="131">
        <f t="shared" si="7"/>
        <v>1.1967320044150154</v>
      </c>
      <c r="W19" s="131">
        <f t="shared" si="7"/>
        <v>1.5101278993787335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0.40145721664163708</v>
      </c>
      <c r="D21" s="133">
        <v>0.44341364840638131</v>
      </c>
      <c r="E21" s="133">
        <v>0.47046720192594726</v>
      </c>
      <c r="F21" s="133">
        <v>0.36295400836799357</v>
      </c>
      <c r="G21" s="133">
        <v>0.33425806841208427</v>
      </c>
      <c r="H21" s="133">
        <v>0.45451411083686621</v>
      </c>
      <c r="I21" s="133">
        <v>0.4837660974539767</v>
      </c>
      <c r="J21" s="133">
        <v>0.32528834166203402</v>
      </c>
      <c r="K21" s="133">
        <v>0.26230413543854036</v>
      </c>
      <c r="L21" s="133">
        <v>0.11092536516574188</v>
      </c>
      <c r="M21" s="133">
        <v>0.15627539247149347</v>
      </c>
      <c r="N21" s="133">
        <v>3.8149588123491431E-2</v>
      </c>
      <c r="O21" s="133">
        <v>4.0651347274902265E-2</v>
      </c>
      <c r="P21" s="133">
        <v>0.29693981964444877</v>
      </c>
      <c r="Q21" s="133">
        <v>0.28235170075920435</v>
      </c>
      <c r="R21" s="133">
        <v>8.4878677211704168E-2</v>
      </c>
      <c r="S21" s="133">
        <v>6.0845621692657351E-2</v>
      </c>
      <c r="T21" s="133">
        <v>4.8650559865399123E-2</v>
      </c>
      <c r="U21" s="133">
        <v>4.1074303354556155E-2</v>
      </c>
      <c r="V21" s="133">
        <v>3.1070505137396044E-2</v>
      </c>
      <c r="W21" s="133">
        <v>0.10178158272588896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0.98351493078795149</v>
      </c>
      <c r="D22" s="133">
        <v>1.2263481731210393</v>
      </c>
      <c r="E22" s="133">
        <v>1.5283187179554918</v>
      </c>
      <c r="F22" s="133">
        <v>1.2674681922218234</v>
      </c>
      <c r="G22" s="133">
        <v>1.4629513234516089</v>
      </c>
      <c r="H22" s="133">
        <v>1.7866447858467671</v>
      </c>
      <c r="I22" s="133">
        <v>1.8405879848355855</v>
      </c>
      <c r="J22" s="133">
        <v>0.8924875151619075</v>
      </c>
      <c r="K22" s="133">
        <v>0.54893153867164179</v>
      </c>
      <c r="L22" s="133">
        <v>0.17513882433638595</v>
      </c>
      <c r="M22" s="133">
        <v>0.15162762973010427</v>
      </c>
      <c r="N22" s="133">
        <v>2.6267262197303132E-2</v>
      </c>
      <c r="O22" s="133">
        <v>4.0110624042414451E-2</v>
      </c>
      <c r="P22" s="133">
        <v>9.6437070409123901E-2</v>
      </c>
      <c r="Q22" s="133">
        <v>0.34823906969089763</v>
      </c>
      <c r="R22" s="133">
        <v>0.23757157520152458</v>
      </c>
      <c r="S22" s="133">
        <v>0.30070444897728205</v>
      </c>
      <c r="T22" s="133">
        <v>0.33567175133060639</v>
      </c>
      <c r="U22" s="133">
        <v>0.33108120304451633</v>
      </c>
      <c r="V22" s="133">
        <v>0.25460681301043042</v>
      </c>
      <c r="W22" s="133">
        <v>0.2808481573089176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1.8436732471244792</v>
      </c>
      <c r="D23" s="133">
        <v>2.2660507534090253</v>
      </c>
      <c r="E23" s="133">
        <v>2.5819406233079039</v>
      </c>
      <c r="F23" s="133">
        <v>2.0580737244881027</v>
      </c>
      <c r="G23" s="133">
        <v>2.0043146419775195</v>
      </c>
      <c r="H23" s="133">
        <v>2.3013478214685255</v>
      </c>
      <c r="I23" s="133">
        <v>2.2128315175948683</v>
      </c>
      <c r="J23" s="133">
        <v>1.3786255436165851</v>
      </c>
      <c r="K23" s="133">
        <v>1.032056745892854</v>
      </c>
      <c r="L23" s="133">
        <v>0.54774427211925991</v>
      </c>
      <c r="M23" s="133">
        <v>0.93428840159344373</v>
      </c>
      <c r="N23" s="133">
        <v>0.28321133526014258</v>
      </c>
      <c r="O23" s="133">
        <v>0.30928961099202501</v>
      </c>
      <c r="P23" s="133">
        <v>2.4732522938209249</v>
      </c>
      <c r="Q23" s="133">
        <v>2.8841748508530647</v>
      </c>
      <c r="R23" s="133">
        <v>1.3258239340737414</v>
      </c>
      <c r="S23" s="133">
        <v>1.0677156849764318</v>
      </c>
      <c r="T23" s="133">
        <v>1.1765940673755342</v>
      </c>
      <c r="U23" s="133">
        <v>1.0530542924168635</v>
      </c>
      <c r="V23" s="133">
        <v>0.911054686267189</v>
      </c>
      <c r="W23" s="133">
        <v>1.1274981593439268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1.9273429955348607</v>
      </c>
      <c r="D29" s="131">
        <f t="shared" si="8"/>
        <v>1.4616837583285314</v>
      </c>
      <c r="E29" s="131">
        <f t="shared" si="8"/>
        <v>1.9407017952020706</v>
      </c>
      <c r="F29" s="131">
        <f t="shared" si="8"/>
        <v>1.4147466337879115</v>
      </c>
      <c r="G29" s="131">
        <f t="shared" si="8"/>
        <v>1.2444139989992697</v>
      </c>
      <c r="H29" s="131">
        <f t="shared" si="8"/>
        <v>1.6789578377588903</v>
      </c>
      <c r="I29" s="131">
        <f t="shared" si="8"/>
        <v>1.7157865635999983</v>
      </c>
      <c r="J29" s="131">
        <f t="shared" si="8"/>
        <v>1.2057890800825519</v>
      </c>
      <c r="K29" s="131">
        <f t="shared" si="8"/>
        <v>0.93344680374917921</v>
      </c>
      <c r="L29" s="131">
        <f t="shared" si="8"/>
        <v>0.48616347538362586</v>
      </c>
      <c r="M29" s="131">
        <f t="shared" si="8"/>
        <v>0.81329976829130934</v>
      </c>
      <c r="N29" s="131">
        <f t="shared" si="8"/>
        <v>0.24440118955622725</v>
      </c>
      <c r="O29" s="131">
        <f t="shared" si="8"/>
        <v>0.19384953514580372</v>
      </c>
      <c r="P29" s="131">
        <f t="shared" si="8"/>
        <v>1.4019323114235012</v>
      </c>
      <c r="Q29" s="131">
        <f t="shared" si="8"/>
        <v>1.7682374210609906</v>
      </c>
      <c r="R29" s="131">
        <f t="shared" ref="R29:W29" si="9">SUM(R30:R33)</f>
        <v>0.91757529586853726</v>
      </c>
      <c r="S29" s="131">
        <f t="shared" si="9"/>
        <v>0.75122500491508593</v>
      </c>
      <c r="T29" s="131">
        <f t="shared" si="9"/>
        <v>0.82172164325466346</v>
      </c>
      <c r="U29" s="131">
        <f t="shared" si="9"/>
        <v>0.90814958671234591</v>
      </c>
      <c r="V29" s="131">
        <f t="shared" si="9"/>
        <v>0.84074888750230103</v>
      </c>
      <c r="W29" s="131">
        <f t="shared" si="9"/>
        <v>0.93701998412963627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1.3276964234696804</v>
      </c>
      <c r="D30" s="133">
        <v>0.76454560725156184</v>
      </c>
      <c r="E30" s="133">
        <v>1.0819795627769064</v>
      </c>
      <c r="F30" s="133">
        <v>0.75603080042863768</v>
      </c>
      <c r="G30" s="133">
        <v>0.50114404142209978</v>
      </c>
      <c r="H30" s="133">
        <v>0.77380072153473789</v>
      </c>
      <c r="I30" s="133">
        <v>0.69261944011264209</v>
      </c>
      <c r="J30" s="133">
        <v>0.61511108318001961</v>
      </c>
      <c r="K30" s="133">
        <v>0.48493162853634547</v>
      </c>
      <c r="L30" s="133">
        <v>0.24296656742096179</v>
      </c>
      <c r="M30" s="133">
        <v>0.38012256952005435</v>
      </c>
      <c r="N30" s="133">
        <v>0.10874780794822725</v>
      </c>
      <c r="O30" s="133">
        <v>7.9466342563231235E-2</v>
      </c>
      <c r="P30" s="133">
        <v>0.59448820697610461</v>
      </c>
      <c r="Q30" s="133">
        <v>0.69329758327375568</v>
      </c>
      <c r="R30" s="133">
        <v>0.39942419208230989</v>
      </c>
      <c r="S30" s="133">
        <v>0.25147192973249977</v>
      </c>
      <c r="T30" s="133">
        <v>0.31494875684855134</v>
      </c>
      <c r="U30" s="133">
        <v>0.44482205272568209</v>
      </c>
      <c r="V30" s="133">
        <v>0.37911958200939727</v>
      </c>
      <c r="W30" s="133">
        <v>0.42214915962151872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0.59964657206518035</v>
      </c>
      <c r="D31" s="133">
        <v>0.69713815107696964</v>
      </c>
      <c r="E31" s="133">
        <v>0.85872223242516432</v>
      </c>
      <c r="F31" s="133">
        <v>0.65871583335927386</v>
      </c>
      <c r="G31" s="133">
        <v>0.74326995757716996</v>
      </c>
      <c r="H31" s="133">
        <v>0.90515711622415229</v>
      </c>
      <c r="I31" s="133">
        <v>1.0231671234873563</v>
      </c>
      <c r="J31" s="133">
        <v>0.5906779969025322</v>
      </c>
      <c r="K31" s="133">
        <v>0.44851517521283368</v>
      </c>
      <c r="L31" s="133">
        <v>0.24319690796266408</v>
      </c>
      <c r="M31" s="133">
        <v>0.43317719877125499</v>
      </c>
      <c r="N31" s="133">
        <v>0.135653381608</v>
      </c>
      <c r="O31" s="133">
        <v>0.11438319258257248</v>
      </c>
      <c r="P31" s="133">
        <v>0.80744410444739645</v>
      </c>
      <c r="Q31" s="133">
        <v>1.074939837787235</v>
      </c>
      <c r="R31" s="133">
        <v>0.51815110378622742</v>
      </c>
      <c r="S31" s="133">
        <v>0.49975307518258616</v>
      </c>
      <c r="T31" s="133">
        <v>0.50677288640611207</v>
      </c>
      <c r="U31" s="133">
        <v>0.46332753398666376</v>
      </c>
      <c r="V31" s="133">
        <v>0.46162930549290376</v>
      </c>
      <c r="W31" s="133">
        <v>0.51487082450811761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164806.65332339937</v>
      </c>
      <c r="D3" s="126">
        <f>IF(SER_hh_fec_in!D3=0,0,11630*1000*SER_hh_fec_in!D3/SER_hh_num_in!D3)</f>
        <v>159443.17747283608</v>
      </c>
      <c r="E3" s="126">
        <f>IF(SER_hh_fec_in!E3=0,0,11630*1000*SER_hh_fec_in!E3/SER_hh_num_in!E3)</f>
        <v>160911.58324257025</v>
      </c>
      <c r="F3" s="126">
        <f>IF(SER_hh_fec_in!F3=0,0,11630*1000*SER_hh_fec_in!F3/SER_hh_num_in!F3)</f>
        <v>147782.17092797862</v>
      </c>
      <c r="G3" s="126">
        <f>IF(SER_hh_fec_in!G3=0,0,11630*1000*SER_hh_fec_in!G3/SER_hh_num_in!G3)</f>
        <v>147453.8938976491</v>
      </c>
      <c r="H3" s="126">
        <f>IF(SER_hh_fec_in!H3=0,0,11630*1000*SER_hh_fec_in!H3/SER_hh_num_in!H3)</f>
        <v>135310.86816837799</v>
      </c>
      <c r="I3" s="126">
        <f>IF(SER_hh_fec_in!I3=0,0,11630*1000*SER_hh_fec_in!I3/SER_hh_num_in!I3)</f>
        <v>129301.78585083883</v>
      </c>
      <c r="J3" s="126">
        <f>IF(SER_hh_fec_in!J3=0,0,11630*1000*SER_hh_fec_in!J3/SER_hh_num_in!J3)</f>
        <v>131522.15797482341</v>
      </c>
      <c r="K3" s="126">
        <f>IF(SER_hh_fec_in!K3=0,0,11630*1000*SER_hh_fec_in!K3/SER_hh_num_in!K3)</f>
        <v>127853.31898040848</v>
      </c>
      <c r="L3" s="126">
        <f>IF(SER_hh_fec_in!L3=0,0,11630*1000*SER_hh_fec_in!L3/SER_hh_num_in!L3)</f>
        <v>134957.72193155758</v>
      </c>
      <c r="M3" s="126">
        <f>IF(SER_hh_fec_in!M3=0,0,11630*1000*SER_hh_fec_in!M3/SER_hh_num_in!M3)</f>
        <v>126278.55964768244</v>
      </c>
      <c r="N3" s="126">
        <f>IF(SER_hh_fec_in!N3=0,0,11630*1000*SER_hh_fec_in!N3/SER_hh_num_in!N3)</f>
        <v>121934.81759321105</v>
      </c>
      <c r="O3" s="126">
        <f>IF(SER_hh_fec_in!O3=0,0,11630*1000*SER_hh_fec_in!O3/SER_hh_num_in!O3)</f>
        <v>113414.14841999936</v>
      </c>
      <c r="P3" s="126">
        <f>IF(SER_hh_fec_in!P3=0,0,11630*1000*SER_hh_fec_in!P3/SER_hh_num_in!P3)</f>
        <v>99022.909850030395</v>
      </c>
      <c r="Q3" s="126">
        <f>IF(SER_hh_fec_in!Q3=0,0,11630*1000*SER_hh_fec_in!Q3/SER_hh_num_in!Q3)</f>
        <v>108753.78393176038</v>
      </c>
      <c r="R3" s="126">
        <f>IF(SER_hh_fec_in!R3=0,0,11630*1000*SER_hh_fec_in!R3/SER_hh_num_in!R3)</f>
        <v>103040.96970191361</v>
      </c>
      <c r="S3" s="126">
        <f>IF(SER_hh_fec_in!S3=0,0,11630*1000*SER_hh_fec_in!S3/SER_hh_num_in!S3)</f>
        <v>106368.39178064023</v>
      </c>
      <c r="T3" s="126">
        <f>IF(SER_hh_fec_in!T3=0,0,11630*1000*SER_hh_fec_in!T3/SER_hh_num_in!T3)</f>
        <v>103944.81553405309</v>
      </c>
      <c r="U3" s="126">
        <f>IF(SER_hh_fec_in!U3=0,0,11630*1000*SER_hh_fec_in!U3/SER_hh_num_in!U3)</f>
        <v>101083.8261650068</v>
      </c>
      <c r="V3" s="126">
        <f>IF(SER_hh_fec_in!V3=0,0,11630*1000*SER_hh_fec_in!V3/SER_hh_num_in!V3)</f>
        <v>86532.63767003284</v>
      </c>
      <c r="W3" s="126">
        <f>IF(SER_hh_fec_in!W3=0,0,11630*1000*SER_hh_fec_in!W3/SER_hh_num_in!W3)</f>
        <v>92050.902765413397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111749.15118052765</v>
      </c>
      <c r="D4" s="131">
        <f>IF(SER_hh_fec_in!D4=0,0,11630*1000*SER_hh_fec_in!D4/SER_hh_num_in!D4)</f>
        <v>107627.40215898836</v>
      </c>
      <c r="E4" s="131">
        <f>IF(SER_hh_fec_in!E4=0,0,11630*1000*SER_hh_fec_in!E4/SER_hh_num_in!E4)</f>
        <v>104002.71146417341</v>
      </c>
      <c r="F4" s="131">
        <f>IF(SER_hh_fec_in!F4=0,0,11630*1000*SER_hh_fec_in!F4/SER_hh_num_in!F4)</f>
        <v>96990.082442784842</v>
      </c>
      <c r="G4" s="131">
        <f>IF(SER_hh_fec_in!G4=0,0,11630*1000*SER_hh_fec_in!G4/SER_hh_num_in!G4)</f>
        <v>96775.921676840255</v>
      </c>
      <c r="H4" s="131">
        <f>IF(SER_hh_fec_in!H4=0,0,11630*1000*SER_hh_fec_in!H4/SER_hh_num_in!H4)</f>
        <v>84445.64905089431</v>
      </c>
      <c r="I4" s="131">
        <f>IF(SER_hh_fec_in!I4=0,0,11630*1000*SER_hh_fec_in!I4/SER_hh_num_in!I4)</f>
        <v>78460.591325775269</v>
      </c>
      <c r="J4" s="131">
        <f>IF(SER_hh_fec_in!J4=0,0,11630*1000*SER_hh_fec_in!J4/SER_hh_num_in!J4)</f>
        <v>80783.988388802114</v>
      </c>
      <c r="K4" s="131">
        <f>IF(SER_hh_fec_in!K4=0,0,11630*1000*SER_hh_fec_in!K4/SER_hh_num_in!K4)</f>
        <v>76112.71937651292</v>
      </c>
      <c r="L4" s="131">
        <f>IF(SER_hh_fec_in!L4=0,0,11630*1000*SER_hh_fec_in!L4/SER_hh_num_in!L4)</f>
        <v>84629.878173874546</v>
      </c>
      <c r="M4" s="131">
        <f>IF(SER_hh_fec_in!M4=0,0,11630*1000*SER_hh_fec_in!M4/SER_hh_num_in!M4)</f>
        <v>76631.781105978982</v>
      </c>
      <c r="N4" s="131">
        <f>IF(SER_hh_fec_in!N4=0,0,11630*1000*SER_hh_fec_in!N4/SER_hh_num_in!N4)</f>
        <v>67949.045516072525</v>
      </c>
      <c r="O4" s="131">
        <f>IF(SER_hh_fec_in!O4=0,0,11630*1000*SER_hh_fec_in!O4/SER_hh_num_in!O4)</f>
        <v>63068.770528617912</v>
      </c>
      <c r="P4" s="131">
        <f>IF(SER_hh_fec_in!P4=0,0,11630*1000*SER_hh_fec_in!P4/SER_hh_num_in!P4)</f>
        <v>50811.85276333442</v>
      </c>
      <c r="Q4" s="131">
        <f>IF(SER_hh_fec_in!Q4=0,0,11630*1000*SER_hh_fec_in!Q4/SER_hh_num_in!Q4)</f>
        <v>58190.207762157879</v>
      </c>
      <c r="R4" s="131">
        <f>IF(SER_hh_fec_in!R4=0,0,11630*1000*SER_hh_fec_in!R4/SER_hh_num_in!R4)</f>
        <v>54547.649617416493</v>
      </c>
      <c r="S4" s="131">
        <f>IF(SER_hh_fec_in!S4=0,0,11630*1000*SER_hh_fec_in!S4/SER_hh_num_in!S4)</f>
        <v>56194.318966533865</v>
      </c>
      <c r="T4" s="131">
        <f>IF(SER_hh_fec_in!T4=0,0,11630*1000*SER_hh_fec_in!T4/SER_hh_num_in!T4)</f>
        <v>56236.46940649068</v>
      </c>
      <c r="U4" s="131">
        <f>IF(SER_hh_fec_in!U4=0,0,11630*1000*SER_hh_fec_in!U4/SER_hh_num_in!U4)</f>
        <v>52781.330030546342</v>
      </c>
      <c r="V4" s="131">
        <f>IF(SER_hh_fec_in!V4=0,0,11630*1000*SER_hh_fec_in!V4/SER_hh_num_in!V4)</f>
        <v>44808.535760493782</v>
      </c>
      <c r="W4" s="131">
        <f>IF(SER_hh_fec_in!W4=0,0,11630*1000*SER_hh_fec_in!W4/SER_hh_num_in!W4)</f>
        <v>45311.407544696376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84916.59676145656</v>
      </c>
      <c r="D5" s="133">
        <f>IF(SER_hh_fec_in!D5=0,0,11630*1000*SER_hh_fec_in!D5/SER_hh_num_in!D5)</f>
        <v>115071.15562920597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98438.990615644972</v>
      </c>
      <c r="K5" s="133">
        <f>IF(SER_hh_fec_in!K5=0,0,11630*1000*SER_hh_fec_in!K5/SER_hh_num_in!K5)</f>
        <v>90833.290416764969</v>
      </c>
      <c r="L5" s="133">
        <f>IF(SER_hh_fec_in!L5=0,0,11630*1000*SER_hh_fec_in!L5/SER_hh_num_in!L5)</f>
        <v>54455.54347106436</v>
      </c>
      <c r="M5" s="133">
        <f>IF(SER_hh_fec_in!M5=0,0,11630*1000*SER_hh_fec_in!M5/SER_hh_num_in!M5)</f>
        <v>114044.69997828944</v>
      </c>
      <c r="N5" s="133">
        <f>IF(SER_hh_fec_in!N5=0,0,11630*1000*SER_hh_fec_in!N5/SER_hh_num_in!N5)</f>
        <v>113743.34854318107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108112.94229933058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123809.84683978901</v>
      </c>
      <c r="D7" s="133">
        <f>IF(SER_hh_fec_in!D7=0,0,11630*1000*SER_hh_fec_in!D7/SER_hh_num_in!D7)</f>
        <v>133630.73626853168</v>
      </c>
      <c r="E7" s="133">
        <f>IF(SER_hh_fec_in!E7=0,0,11630*1000*SER_hh_fec_in!E7/SER_hh_num_in!E7)</f>
        <v>128361.71819969744</v>
      </c>
      <c r="F7" s="133">
        <f>IF(SER_hh_fec_in!F7=0,0,11630*1000*SER_hh_fec_in!F7/SER_hh_num_in!F7)</f>
        <v>128274.2098225728</v>
      </c>
      <c r="G7" s="133">
        <f>IF(SER_hh_fec_in!G7=0,0,11630*1000*SER_hh_fec_in!G7/SER_hh_num_in!G7)</f>
        <v>120932.20403657325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95542.290302975409</v>
      </c>
      <c r="L7" s="133">
        <f>IF(SER_hh_fec_in!L7=0,0,11630*1000*SER_hh_fec_in!L7/SER_hh_num_in!L7)</f>
        <v>97271.162982072521</v>
      </c>
      <c r="M7" s="133">
        <f>IF(SER_hh_fec_in!M7=0,0,11630*1000*SER_hh_fec_in!M7/SER_hh_num_in!M7)</f>
        <v>93825.042585979347</v>
      </c>
      <c r="N7" s="133">
        <f>IF(SER_hh_fec_in!N7=0,0,11630*1000*SER_hh_fec_in!N7/SER_hh_num_in!N7)</f>
        <v>79071.657838896223</v>
      </c>
      <c r="O7" s="133">
        <f>IF(SER_hh_fec_in!O7=0,0,11630*1000*SER_hh_fec_in!O7/SER_hh_num_in!O7)</f>
        <v>67669.245032268547</v>
      </c>
      <c r="P7" s="133">
        <f>IF(SER_hh_fec_in!P7=0,0,11630*1000*SER_hh_fec_in!P7/SER_hh_num_in!P7)</f>
        <v>49065.834772117596</v>
      </c>
      <c r="Q7" s="133">
        <f>IF(SER_hh_fec_in!Q7=0,0,11630*1000*SER_hh_fec_in!Q7/SER_hh_num_in!Q7)</f>
        <v>61885.407725917634</v>
      </c>
      <c r="R7" s="133">
        <f>IF(SER_hh_fec_in!R7=0,0,11630*1000*SER_hh_fec_in!R7/SER_hh_num_in!R7)</f>
        <v>60482.267557102088</v>
      </c>
      <c r="S7" s="133">
        <f>IF(SER_hh_fec_in!S7=0,0,11630*1000*SER_hh_fec_in!S7/SER_hh_num_in!S7)</f>
        <v>63711.135587369179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124024.74859443915</v>
      </c>
      <c r="D9" s="133">
        <f>IF(SER_hh_fec_in!D9=0,0,11630*1000*SER_hh_fec_in!D9/SER_hh_num_in!D9)</f>
        <v>107000.42277790105</v>
      </c>
      <c r="E9" s="133">
        <f>IF(SER_hh_fec_in!E9=0,0,11630*1000*SER_hh_fec_in!E9/SER_hh_num_in!E9)</f>
        <v>107580.18013308999</v>
      </c>
      <c r="F9" s="133">
        <f>IF(SER_hh_fec_in!F9=0,0,11630*1000*SER_hh_fec_in!F9/SER_hh_num_in!F9)</f>
        <v>106405.8573886349</v>
      </c>
      <c r="G9" s="133">
        <f>IF(SER_hh_fec_in!G9=0,0,11630*1000*SER_hh_fec_in!G9/SER_hh_num_in!G9)</f>
        <v>107448.91926562488</v>
      </c>
      <c r="H9" s="133">
        <f>IF(SER_hh_fec_in!H9=0,0,11630*1000*SER_hh_fec_in!H9/SER_hh_num_in!H9)</f>
        <v>94933.745236038201</v>
      </c>
      <c r="I9" s="133">
        <f>IF(SER_hh_fec_in!I9=0,0,11630*1000*SER_hh_fec_in!I9/SER_hh_num_in!I9)</f>
        <v>84299.648534073189</v>
      </c>
      <c r="J9" s="133">
        <f>IF(SER_hh_fec_in!J9=0,0,11630*1000*SER_hh_fec_in!J9/SER_hh_num_in!J9)</f>
        <v>86720.809031936849</v>
      </c>
      <c r="K9" s="133">
        <f>IF(SER_hh_fec_in!K9=0,0,11630*1000*SER_hh_fec_in!K9/SER_hh_num_in!K9)</f>
        <v>82956.807120110912</v>
      </c>
      <c r="L9" s="133">
        <f>IF(SER_hh_fec_in!L9=0,0,11630*1000*SER_hh_fec_in!L9/SER_hh_num_in!L9)</f>
        <v>95947.920605280131</v>
      </c>
      <c r="M9" s="133">
        <f>IF(SER_hh_fec_in!M9=0,0,11630*1000*SER_hh_fec_in!M9/SER_hh_num_in!M9)</f>
        <v>80518.516542286059</v>
      </c>
      <c r="N9" s="133">
        <f>IF(SER_hh_fec_in!N9=0,0,11630*1000*SER_hh_fec_in!N9/SER_hh_num_in!N9)</f>
        <v>68244.246464692871</v>
      </c>
      <c r="O9" s="133">
        <f>IF(SER_hh_fec_in!O9=0,0,11630*1000*SER_hh_fec_in!O9/SER_hh_num_in!O9)</f>
        <v>62433.665633168232</v>
      </c>
      <c r="P9" s="133">
        <f>IF(SER_hh_fec_in!P9=0,0,11630*1000*SER_hh_fec_in!P9/SER_hh_num_in!P9)</f>
        <v>50407.741332884463</v>
      </c>
      <c r="Q9" s="133">
        <f>IF(SER_hh_fec_in!Q9=0,0,11630*1000*SER_hh_fec_in!Q9/SER_hh_num_in!Q9)</f>
        <v>58525.946808105007</v>
      </c>
      <c r="R9" s="133">
        <f>IF(SER_hh_fec_in!R9=0,0,11630*1000*SER_hh_fec_in!R9/SER_hh_num_in!R9)</f>
        <v>58214.309164487328</v>
      </c>
      <c r="S9" s="133">
        <f>IF(SER_hh_fec_in!S9=0,0,11630*1000*SER_hh_fec_in!S9/SER_hh_num_in!S9)</f>
        <v>58333.576094562501</v>
      </c>
      <c r="T9" s="133">
        <f>IF(SER_hh_fec_in!T9=0,0,11630*1000*SER_hh_fec_in!T9/SER_hh_num_in!T9)</f>
        <v>57928.164858855227</v>
      </c>
      <c r="U9" s="133">
        <f>IF(SER_hh_fec_in!U9=0,0,11630*1000*SER_hh_fec_in!U9/SER_hh_num_in!U9)</f>
        <v>55321.868037895307</v>
      </c>
      <c r="V9" s="133">
        <f>IF(SER_hh_fec_in!V9=0,0,11630*1000*SER_hh_fec_in!V9/SER_hh_num_in!V9)</f>
        <v>47120.611465397211</v>
      </c>
      <c r="W9" s="133">
        <f>IF(SER_hh_fec_in!W9=0,0,11630*1000*SER_hh_fec_in!W9/SER_hh_num_in!W9)</f>
        <v>48514.516867431084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162460.79627792002</v>
      </c>
      <c r="J10" s="133">
        <f>IF(SER_hh_fec_in!J10=0,0,11630*1000*SER_hh_fec_in!J10/SER_hh_num_in!J10)</f>
        <v>112046.57996759664</v>
      </c>
      <c r="K10" s="133">
        <f>IF(SER_hh_fec_in!K10=0,0,11630*1000*SER_hh_fec_in!K10/SER_hh_num_in!K10)</f>
        <v>122014.17665135636</v>
      </c>
      <c r="L10" s="133">
        <f>IF(SER_hh_fec_in!L10=0,0,11630*1000*SER_hh_fec_in!L10/SER_hh_num_in!L10)</f>
        <v>101567.20238629391</v>
      </c>
      <c r="M10" s="133">
        <f>IF(SER_hh_fec_in!M10=0,0,11630*1000*SER_hh_fec_in!M10/SER_hh_num_in!M10)</f>
        <v>115771.71878841275</v>
      </c>
      <c r="N10" s="133">
        <f>IF(SER_hh_fec_in!N10=0,0,11630*1000*SER_hh_fec_in!N10/SER_hh_num_in!N10)</f>
        <v>86370.001697196756</v>
      </c>
      <c r="O10" s="133">
        <f>IF(SER_hh_fec_in!O10=0,0,11630*1000*SER_hh_fec_in!O10/SER_hh_num_in!O10)</f>
        <v>71391.878163515488</v>
      </c>
      <c r="P10" s="133">
        <f>IF(SER_hh_fec_in!P10=0,0,11630*1000*SER_hh_fec_in!P10/SER_hh_num_in!P10)</f>
        <v>71820.153937728363</v>
      </c>
      <c r="Q10" s="133">
        <f>IF(SER_hh_fec_in!Q10=0,0,11630*1000*SER_hh_fec_in!Q10/SER_hh_num_in!Q10)</f>
        <v>75188.731398536809</v>
      </c>
      <c r="R10" s="133">
        <f>IF(SER_hh_fec_in!R10=0,0,11630*1000*SER_hh_fec_in!R10/SER_hh_num_in!R10)</f>
        <v>78037.626623035889</v>
      </c>
      <c r="S10" s="133">
        <f>IF(SER_hh_fec_in!S10=0,0,11630*1000*SER_hh_fec_in!S10/SER_hh_num_in!S10)</f>
        <v>77065.10859121567</v>
      </c>
      <c r="T10" s="133">
        <f>IF(SER_hh_fec_in!T10=0,0,11630*1000*SER_hh_fec_in!T10/SER_hh_num_in!T10)</f>
        <v>73837.609509870061</v>
      </c>
      <c r="U10" s="133">
        <f>IF(SER_hh_fec_in!U10=0,0,11630*1000*SER_hh_fec_in!U10/SER_hh_num_in!U10)</f>
        <v>73657.864724661573</v>
      </c>
      <c r="V10" s="133">
        <f>IF(SER_hh_fec_in!V10=0,0,11630*1000*SER_hh_fec_in!V10/SER_hh_num_in!V10)</f>
        <v>66428.562232701646</v>
      </c>
      <c r="W10" s="133">
        <f>IF(SER_hh_fec_in!W10=0,0,11630*1000*SER_hh_fec_in!W10/SER_hh_num_in!W10)</f>
        <v>53633.269374456002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99831.554982821734</v>
      </c>
      <c r="J11" s="133">
        <f>IF(SER_hh_fec_in!J11=0,0,11630*1000*SER_hh_fec_in!J11/SER_hh_num_in!J11)</f>
        <v>68586.520149023156</v>
      </c>
      <c r="K11" s="133">
        <f>IF(SER_hh_fec_in!K11=0,0,11630*1000*SER_hh_fec_in!K11/SER_hh_num_in!K11)</f>
        <v>51118.936920962078</v>
      </c>
      <c r="L11" s="133">
        <f>IF(SER_hh_fec_in!L11=0,0,11630*1000*SER_hh_fec_in!L11/SER_hh_num_in!L11)</f>
        <v>81302.688247666316</v>
      </c>
      <c r="M11" s="133">
        <f>IF(SER_hh_fec_in!M11=0,0,11630*1000*SER_hh_fec_in!M11/SER_hh_num_in!M11)</f>
        <v>68453.36951818924</v>
      </c>
      <c r="N11" s="133">
        <f>IF(SER_hh_fec_in!N11=0,0,11630*1000*SER_hh_fec_in!N11/SER_hh_num_in!N11)</f>
        <v>62878.813790009895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84672.233837340376</v>
      </c>
      <c r="D12" s="133">
        <f>IF(SER_hh_fec_in!D12=0,0,11630*1000*SER_hh_fec_in!D12/SER_hh_num_in!D12)</f>
        <v>80527.472036484818</v>
      </c>
      <c r="E12" s="133">
        <f>IF(SER_hh_fec_in!E12=0,0,11630*1000*SER_hh_fec_in!E12/SER_hh_num_in!E12)</f>
        <v>87028.6393519025</v>
      </c>
      <c r="F12" s="133">
        <f>IF(SER_hh_fec_in!F12=0,0,11630*1000*SER_hh_fec_in!F12/SER_hh_num_in!F12)</f>
        <v>82467.823577581585</v>
      </c>
      <c r="G12" s="133">
        <f>IF(SER_hh_fec_in!G12=0,0,11630*1000*SER_hh_fec_in!G12/SER_hh_num_in!G12)</f>
        <v>85420.116173337083</v>
      </c>
      <c r="H12" s="133">
        <f>IF(SER_hh_fec_in!H12=0,0,11630*1000*SER_hh_fec_in!H12/SER_hh_num_in!H12)</f>
        <v>72122.433678539441</v>
      </c>
      <c r="I12" s="133">
        <f>IF(SER_hh_fec_in!I12=0,0,11630*1000*SER_hh_fec_in!I12/SER_hh_num_in!I12)</f>
        <v>65553.430173661647</v>
      </c>
      <c r="J12" s="133">
        <f>IF(SER_hh_fec_in!J12=0,0,11630*1000*SER_hh_fec_in!J12/SER_hh_num_in!J12)</f>
        <v>69494.376429687763</v>
      </c>
      <c r="K12" s="133">
        <f>IF(SER_hh_fec_in!K12=0,0,11630*1000*SER_hh_fec_in!K12/SER_hh_num_in!K12)</f>
        <v>65656.31255013874</v>
      </c>
      <c r="L12" s="133">
        <f>IF(SER_hh_fec_in!L12=0,0,11630*1000*SER_hh_fec_in!L12/SER_hh_num_in!L12)</f>
        <v>72328.201031122822</v>
      </c>
      <c r="M12" s="133">
        <f>IF(SER_hh_fec_in!M12=0,0,11630*1000*SER_hh_fec_in!M12/SER_hh_num_in!M12)</f>
        <v>67849.168043602855</v>
      </c>
      <c r="N12" s="133">
        <f>IF(SER_hh_fec_in!N12=0,0,11630*1000*SER_hh_fec_in!N12/SER_hh_num_in!N12)</f>
        <v>60107.953295774932</v>
      </c>
      <c r="O12" s="133">
        <f>IF(SER_hh_fec_in!O12=0,0,11630*1000*SER_hh_fec_in!O12/SER_hh_num_in!O12)</f>
        <v>58557.402458392462</v>
      </c>
      <c r="P12" s="133">
        <f>IF(SER_hh_fec_in!P12=0,0,11630*1000*SER_hh_fec_in!P12/SER_hh_num_in!P12)</f>
        <v>42375.250987276602</v>
      </c>
      <c r="Q12" s="133">
        <f>IF(SER_hh_fec_in!Q12=0,0,11630*1000*SER_hh_fec_in!Q12/SER_hh_num_in!Q12)</f>
        <v>46947.894154265363</v>
      </c>
      <c r="R12" s="133">
        <f>IF(SER_hh_fec_in!R12=0,0,11630*1000*SER_hh_fec_in!R12/SER_hh_num_in!R12)</f>
        <v>49648.910270830427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46148.081579651473</v>
      </c>
      <c r="U12" s="133">
        <f>IF(SER_hh_fec_in!U12=0,0,11630*1000*SER_hh_fec_in!U12/SER_hh_num_in!U12)</f>
        <v>42958.484996771265</v>
      </c>
      <c r="V12" s="133">
        <f>IF(SER_hh_fec_in!V12=0,0,11630*1000*SER_hh_fec_in!V12/SER_hh_num_in!V12)</f>
        <v>41457.759701885268</v>
      </c>
      <c r="W12" s="133">
        <f>IF(SER_hh_fec_in!W12=0,0,11630*1000*SER_hh_fec_in!W12/SER_hh_num_in!W12)</f>
        <v>40857.109021813318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93286.788199797069</v>
      </c>
      <c r="D14" s="65">
        <f>IF(SER_hh_fec_in!D14=0,0,11630*1000*SER_hh_fec_in!D14/SER_hh_num_in!D14)</f>
        <v>94864.610974254785</v>
      </c>
      <c r="E14" s="65">
        <f>IF(SER_hh_fec_in!E14=0,0,11630*1000*SER_hh_fec_in!E14/SER_hh_num_in!E14)</f>
        <v>87201.855225599124</v>
      </c>
      <c r="F14" s="65">
        <f>IF(SER_hh_fec_in!F14=0,0,11630*1000*SER_hh_fec_in!F14/SER_hh_num_in!F14)</f>
        <v>88851.100110253086</v>
      </c>
      <c r="G14" s="65">
        <f>IF(SER_hh_fec_in!G14=0,0,11630*1000*SER_hh_fec_in!G14/SER_hh_num_in!G14)</f>
        <v>92710.708857792924</v>
      </c>
      <c r="H14" s="65">
        <f>IF(SER_hh_fec_in!H14=0,0,11630*1000*SER_hh_fec_in!H14/SER_hh_num_in!H14)</f>
        <v>81415.594217314312</v>
      </c>
      <c r="I14" s="65">
        <f>IF(SER_hh_fec_in!I14=0,0,11630*1000*SER_hh_fec_in!I14/SER_hh_num_in!I14)</f>
        <v>69625.034181603231</v>
      </c>
      <c r="J14" s="65">
        <f>IF(SER_hh_fec_in!J14=0,0,11630*1000*SER_hh_fec_in!J14/SER_hh_num_in!J14)</f>
        <v>80378.985790982813</v>
      </c>
      <c r="K14" s="65">
        <f>IF(SER_hh_fec_in!K14=0,0,11630*1000*SER_hh_fec_in!K14/SER_hh_num_in!K14)</f>
        <v>74580.384213764846</v>
      </c>
      <c r="L14" s="65">
        <f>IF(SER_hh_fec_in!L14=0,0,11630*1000*SER_hh_fec_in!L14/SER_hh_num_in!L14)</f>
        <v>74615.202502737448</v>
      </c>
      <c r="M14" s="65">
        <f>IF(SER_hh_fec_in!M14=0,0,11630*1000*SER_hh_fec_in!M14/SER_hh_num_in!M14)</f>
        <v>73285.161298214545</v>
      </c>
      <c r="N14" s="65">
        <f>IF(SER_hh_fec_in!N14=0,0,11630*1000*SER_hh_fec_in!N14/SER_hh_num_in!N14)</f>
        <v>67017.52753170018</v>
      </c>
      <c r="O14" s="65">
        <f>IF(SER_hh_fec_in!O14=0,0,11630*1000*SER_hh_fec_in!O14/SER_hh_num_in!O14)</f>
        <v>62795.451736257208</v>
      </c>
      <c r="P14" s="65">
        <f>IF(SER_hh_fec_in!P14=0,0,11630*1000*SER_hh_fec_in!P14/SER_hh_num_in!P14)</f>
        <v>48316.856379279852</v>
      </c>
      <c r="Q14" s="65">
        <f>IF(SER_hh_fec_in!Q14=0,0,11630*1000*SER_hh_fec_in!Q14/SER_hh_num_in!Q14)</f>
        <v>47121.444020519433</v>
      </c>
      <c r="R14" s="65">
        <f>IF(SER_hh_fec_in!R14=0,0,11630*1000*SER_hh_fec_in!R14/SER_hh_num_in!R14)</f>
        <v>48241.796660788044</v>
      </c>
      <c r="S14" s="65">
        <f>IF(SER_hh_fec_in!S14=0,0,11630*1000*SER_hh_fec_in!S14/SER_hh_num_in!S14)</f>
        <v>53595.157743584976</v>
      </c>
      <c r="T14" s="65">
        <f>IF(SER_hh_fec_in!T14=0,0,11630*1000*SER_hh_fec_in!T14/SER_hh_num_in!T14)</f>
        <v>54851.666840222257</v>
      </c>
      <c r="U14" s="65">
        <f>IF(SER_hh_fec_in!U14=0,0,11630*1000*SER_hh_fec_in!U14/SER_hh_num_in!U14)</f>
        <v>51336.601064857445</v>
      </c>
      <c r="V14" s="65">
        <f>IF(SER_hh_fec_in!V14=0,0,11630*1000*SER_hh_fec_in!V14/SER_hh_num_in!V14)</f>
        <v>39684.794267310332</v>
      </c>
      <c r="W14" s="65">
        <f>IF(SER_hh_fec_in!W14=0,0,11630*1000*SER_hh_fec_in!W14/SER_hh_num_in!W14)</f>
        <v>42543.534656130447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1135.7657649601022</v>
      </c>
      <c r="D15" s="135">
        <f>IF(SER_hh_fec_in!D15=0,0,11630*1000*SER_hh_fec_in!D15/SER_hh_num_in!D15)</f>
        <v>1002.6083340946602</v>
      </c>
      <c r="E15" s="135">
        <f>IF(SER_hh_fec_in!E15=0,0,11630*1000*SER_hh_fec_in!E15/SER_hh_num_in!E15)</f>
        <v>964.40857011822891</v>
      </c>
      <c r="F15" s="135">
        <f>IF(SER_hh_fec_in!F15=0,0,11630*1000*SER_hh_fec_in!F15/SER_hh_num_in!F15)</f>
        <v>906.03124617726644</v>
      </c>
      <c r="G15" s="135">
        <f>IF(SER_hh_fec_in!G15=0,0,11630*1000*SER_hh_fec_in!G15/SER_hh_num_in!G15)</f>
        <v>867.93252152785351</v>
      </c>
      <c r="H15" s="135">
        <f>IF(SER_hh_fec_in!H15=0,0,11630*1000*SER_hh_fec_in!H15/SER_hh_num_in!H15)</f>
        <v>809.60097898916217</v>
      </c>
      <c r="I15" s="135">
        <f>IF(SER_hh_fec_in!I15=0,0,11630*1000*SER_hh_fec_in!I15/SER_hh_num_in!I15)</f>
        <v>626.91853337452847</v>
      </c>
      <c r="J15" s="135">
        <f>IF(SER_hh_fec_in!J15=0,0,11630*1000*SER_hh_fec_in!J15/SER_hh_num_in!J15)</f>
        <v>652.27187506058181</v>
      </c>
      <c r="K15" s="135">
        <f>IF(SER_hh_fec_in!K15=0,0,11630*1000*SER_hh_fec_in!K15/SER_hh_num_in!K15)</f>
        <v>603.17382598506754</v>
      </c>
      <c r="L15" s="135">
        <f>IF(SER_hh_fec_in!L15=0,0,11630*1000*SER_hh_fec_in!L15/SER_hh_num_in!L15)</f>
        <v>668.75658066109793</v>
      </c>
      <c r="M15" s="135">
        <f>IF(SER_hh_fec_in!M15=0,0,11630*1000*SER_hh_fec_in!M15/SER_hh_num_in!M15)</f>
        <v>559.30293558524909</v>
      </c>
      <c r="N15" s="135">
        <f>IF(SER_hh_fec_in!N15=0,0,11630*1000*SER_hh_fec_in!N15/SER_hh_num_in!N15)</f>
        <v>533.49660601734433</v>
      </c>
      <c r="O15" s="135">
        <f>IF(SER_hh_fec_in!O15=0,0,11630*1000*SER_hh_fec_in!O15/SER_hh_num_in!O15)</f>
        <v>567.62238500429419</v>
      </c>
      <c r="P15" s="135">
        <f>IF(SER_hh_fec_in!P15=0,0,11630*1000*SER_hh_fec_in!P15/SER_hh_num_in!P15)</f>
        <v>552.97884619321883</v>
      </c>
      <c r="Q15" s="135">
        <f>IF(SER_hh_fec_in!Q15=0,0,11630*1000*SER_hh_fec_in!Q15/SER_hh_num_in!Q15)</f>
        <v>659.89426063708584</v>
      </c>
      <c r="R15" s="135">
        <f>IF(SER_hh_fec_in!R15=0,0,11630*1000*SER_hh_fec_in!R15/SER_hh_num_in!R15)</f>
        <v>649.07241706847105</v>
      </c>
      <c r="S15" s="135">
        <f>IF(SER_hh_fec_in!S15=0,0,11630*1000*SER_hh_fec_in!S15/SER_hh_num_in!S15)</f>
        <v>656.11250248595741</v>
      </c>
      <c r="T15" s="135">
        <f>IF(SER_hh_fec_in!T15=0,0,11630*1000*SER_hh_fec_in!T15/SER_hh_num_in!T15)</f>
        <v>581.9518047271971</v>
      </c>
      <c r="U15" s="135">
        <f>IF(SER_hh_fec_in!U15=0,0,11630*1000*SER_hh_fec_in!U15/SER_hh_num_in!U15)</f>
        <v>507.32246395376825</v>
      </c>
      <c r="V15" s="135">
        <f>IF(SER_hh_fec_in!V15=0,0,11630*1000*SER_hh_fec_in!V15/SER_hh_num_in!V15)</f>
        <v>404.06117220614118</v>
      </c>
      <c r="W15" s="135">
        <f>IF(SER_hh_fec_in!W15=0,0,11630*1000*SER_hh_fec_in!W15/SER_hh_num_in!W15)</f>
        <v>415.2729911818181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9749.8400240842639</v>
      </c>
      <c r="D16" s="131">
        <f>IF(SER_hh_fec_in!D16=0,0,11630*1000*SER_hh_fec_in!D16/SER_hh_num_in!D16)</f>
        <v>9051.8360643871983</v>
      </c>
      <c r="E16" s="131">
        <f>IF(SER_hh_fec_in!E16=0,0,11630*1000*SER_hh_fec_in!E16/SER_hh_num_in!E16)</f>
        <v>16667.71411290512</v>
      </c>
      <c r="F16" s="131">
        <f>IF(SER_hh_fec_in!F16=0,0,11630*1000*SER_hh_fec_in!F16/SER_hh_num_in!F16)</f>
        <v>8259.2885447286535</v>
      </c>
      <c r="G16" s="131">
        <f>IF(SER_hh_fec_in!G16=0,0,11630*1000*SER_hh_fec_in!G16/SER_hh_num_in!G16)</f>
        <v>8018.506218245232</v>
      </c>
      <c r="H16" s="131">
        <f>IF(SER_hh_fec_in!H16=0,0,11630*1000*SER_hh_fec_in!H16/SER_hh_num_in!H16)</f>
        <v>8765.5088273375331</v>
      </c>
      <c r="I16" s="131">
        <f>IF(SER_hh_fec_in!I16=0,0,11630*1000*SER_hh_fec_in!I16/SER_hh_num_in!I16)</f>
        <v>8768.3729688040803</v>
      </c>
      <c r="J16" s="131">
        <f>IF(SER_hh_fec_in!J16=0,0,11630*1000*SER_hh_fec_in!J16/SER_hh_num_in!J16)</f>
        <v>8168.5821533035614</v>
      </c>
      <c r="K16" s="131">
        <f>IF(SER_hh_fec_in!K16=0,0,11630*1000*SER_hh_fec_in!K16/SER_hh_num_in!K16)</f>
        <v>7513.2655660636074</v>
      </c>
      <c r="L16" s="131">
        <f>IF(SER_hh_fec_in!L16=0,0,11630*1000*SER_hh_fec_in!L16/SER_hh_num_in!L16)</f>
        <v>7312.8965311819466</v>
      </c>
      <c r="M16" s="131">
        <f>IF(SER_hh_fec_in!M16=0,0,11630*1000*SER_hh_fec_in!M16/SER_hh_num_in!M16)</f>
        <v>7519.7104419054212</v>
      </c>
      <c r="N16" s="131">
        <f>IF(SER_hh_fec_in!N16=0,0,11630*1000*SER_hh_fec_in!N16/SER_hh_num_in!N16)</f>
        <v>10498.417115276694</v>
      </c>
      <c r="O16" s="131">
        <f>IF(SER_hh_fec_in!O16=0,0,11630*1000*SER_hh_fec_in!O16/SER_hh_num_in!O16)</f>
        <v>6618.3018797328396</v>
      </c>
      <c r="P16" s="131">
        <f>IF(SER_hh_fec_in!P16=0,0,11630*1000*SER_hh_fec_in!P16/SER_hh_num_in!P16)</f>
        <v>5114.8093638346354</v>
      </c>
      <c r="Q16" s="131">
        <f>IF(SER_hh_fec_in!Q16=0,0,11630*1000*SER_hh_fec_in!Q16/SER_hh_num_in!Q16)</f>
        <v>8045.4869870637403</v>
      </c>
      <c r="R16" s="131">
        <f>IF(SER_hh_fec_in!R16=0,0,11630*1000*SER_hh_fec_in!R16/SER_hh_num_in!R16)</f>
        <v>5283.503911155377</v>
      </c>
      <c r="S16" s="131">
        <f>IF(SER_hh_fec_in!S16=0,0,11630*1000*SER_hh_fec_in!S16/SER_hh_num_in!S16)</f>
        <v>7359.3007341123348</v>
      </c>
      <c r="T16" s="131">
        <f>IF(SER_hh_fec_in!T16=0,0,11630*1000*SER_hh_fec_in!T16/SER_hh_num_in!T16)</f>
        <v>5350.0979488583571</v>
      </c>
      <c r="U16" s="131">
        <f>IF(SER_hh_fec_in!U16=0,0,11630*1000*SER_hh_fec_in!U16/SER_hh_num_in!U16)</f>
        <v>6196.2101305056967</v>
      </c>
      <c r="V16" s="131">
        <f>IF(SER_hh_fec_in!V16=0,0,11630*1000*SER_hh_fec_in!V16/SER_hh_num_in!V16)</f>
        <v>4569.2400111321358</v>
      </c>
      <c r="W16" s="131">
        <f>IF(SER_hh_fec_in!W16=0,0,11630*1000*SER_hh_fec_in!W16/SER_hh_num_in!W16)</f>
        <v>5539.2832076707655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17447.211779087069</v>
      </c>
      <c r="D17" s="133">
        <f>IF(SER_hh_fec_in!D17=0,0,11630*1000*SER_hh_fec_in!D17/SER_hh_num_in!D17)</f>
        <v>16680.345206087521</v>
      </c>
      <c r="E17" s="133">
        <f>IF(SER_hh_fec_in!E17=0,0,11630*1000*SER_hh_fec_in!E17/SER_hh_num_in!E17)</f>
        <v>31644.982595024598</v>
      </c>
      <c r="F17" s="133">
        <f>IF(SER_hh_fec_in!F17=0,0,11630*1000*SER_hh_fec_in!F17/SER_hh_num_in!F17)</f>
        <v>16136.376483361233</v>
      </c>
      <c r="G17" s="133">
        <f>IF(SER_hh_fec_in!G17=0,0,11630*1000*SER_hh_fec_in!G17/SER_hh_num_in!G17)</f>
        <v>16110.759135669003</v>
      </c>
      <c r="H17" s="133">
        <f>IF(SER_hh_fec_in!H17=0,0,11630*1000*SER_hh_fec_in!H17/SER_hh_num_in!H17)</f>
        <v>18102.609018461284</v>
      </c>
      <c r="I17" s="133">
        <f>IF(SER_hh_fec_in!I17=0,0,11630*1000*SER_hh_fec_in!I17/SER_hh_num_in!I17)</f>
        <v>23795.205827444257</v>
      </c>
      <c r="J17" s="133">
        <f>IF(SER_hh_fec_in!J17=0,0,11630*1000*SER_hh_fec_in!J17/SER_hh_num_in!J17)</f>
        <v>21655.132699307494</v>
      </c>
      <c r="K17" s="133">
        <f>IF(SER_hh_fec_in!K17=0,0,11630*1000*SER_hh_fec_in!K17/SER_hh_num_in!K17)</f>
        <v>16802.340110511152</v>
      </c>
      <c r="L17" s="133">
        <f>IF(SER_hh_fec_in!L17=0,0,11630*1000*SER_hh_fec_in!L17/SER_hh_num_in!L17)</f>
        <v>16771.612409920213</v>
      </c>
      <c r="M17" s="133">
        <f>IF(SER_hh_fec_in!M17=0,0,11630*1000*SER_hh_fec_in!M17/SER_hh_num_in!M17)</f>
        <v>17754.231501938681</v>
      </c>
      <c r="N17" s="133">
        <f>IF(SER_hh_fec_in!N17=0,0,11630*1000*SER_hh_fec_in!N17/SER_hh_num_in!N17)</f>
        <v>21983.257133137602</v>
      </c>
      <c r="O17" s="133">
        <f>IF(SER_hh_fec_in!O17=0,0,11630*1000*SER_hh_fec_in!O17/SER_hh_num_in!O17)</f>
        <v>16458.840701461253</v>
      </c>
      <c r="P17" s="133">
        <f>IF(SER_hh_fec_in!P17=0,0,11630*1000*SER_hh_fec_in!P17/SER_hh_num_in!P17)</f>
        <v>12980.466871437191</v>
      </c>
      <c r="Q17" s="133">
        <f>IF(SER_hh_fec_in!Q17=0,0,11630*1000*SER_hh_fec_in!Q17/SER_hh_num_in!Q17)</f>
        <v>21659.899007896878</v>
      </c>
      <c r="R17" s="133">
        <f>IF(SER_hh_fec_in!R17=0,0,11630*1000*SER_hh_fec_in!R17/SER_hh_num_in!R17)</f>
        <v>13876.219541353814</v>
      </c>
      <c r="S17" s="133">
        <f>IF(SER_hh_fec_in!S17=0,0,11630*1000*SER_hh_fec_in!S17/SER_hh_num_in!S17)</f>
        <v>19170.428590706833</v>
      </c>
      <c r="T17" s="133">
        <f>IF(SER_hh_fec_in!T17=0,0,11630*1000*SER_hh_fec_in!T17/SER_hh_num_in!T17)</f>
        <v>13754.46158879872</v>
      </c>
      <c r="U17" s="133">
        <f>IF(SER_hh_fec_in!U17=0,0,11630*1000*SER_hh_fec_in!U17/SER_hh_num_in!U17)</f>
        <v>15798.418362090499</v>
      </c>
      <c r="V17" s="133">
        <f>IF(SER_hh_fec_in!V17=0,0,11630*1000*SER_hh_fec_in!V17/SER_hh_num_in!V17)</f>
        <v>11578.126911604324</v>
      </c>
      <c r="W17" s="133">
        <f>IF(SER_hh_fec_in!W17=0,0,11630*1000*SER_hh_fec_in!W17/SER_hh_num_in!W17)</f>
        <v>13837.160889932364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9741.9399230560484</v>
      </c>
      <c r="D18" s="133">
        <f>IF(SER_hh_fec_in!D18=0,0,11630*1000*SER_hh_fec_in!D18/SER_hh_num_in!D18)</f>
        <v>9038.7736904714275</v>
      </c>
      <c r="E18" s="133">
        <f>IF(SER_hh_fec_in!E18=0,0,11630*1000*SER_hh_fec_in!E18/SER_hh_num_in!E18)</f>
        <v>16640.710120163993</v>
      </c>
      <c r="F18" s="133">
        <f>IF(SER_hh_fec_in!F18=0,0,11630*1000*SER_hh_fec_in!F18/SER_hh_num_in!F18)</f>
        <v>8246.3889200786634</v>
      </c>
      <c r="G18" s="133">
        <f>IF(SER_hh_fec_in!G18=0,0,11630*1000*SER_hh_fec_in!G18/SER_hh_num_in!G18)</f>
        <v>8005.5669558870895</v>
      </c>
      <c r="H18" s="133">
        <f>IF(SER_hh_fec_in!H18=0,0,11630*1000*SER_hh_fec_in!H18/SER_hh_num_in!H18)</f>
        <v>8750.850704009028</v>
      </c>
      <c r="I18" s="133">
        <f>IF(SER_hh_fec_in!I18=0,0,11630*1000*SER_hh_fec_in!I18/SER_hh_num_in!I18)</f>
        <v>8752.1711228529075</v>
      </c>
      <c r="J18" s="133">
        <f>IF(SER_hh_fec_in!J18=0,0,11630*1000*SER_hh_fec_in!J18/SER_hh_num_in!J18)</f>
        <v>8153.5919334329346</v>
      </c>
      <c r="K18" s="133">
        <f>IF(SER_hh_fec_in!K18=0,0,11630*1000*SER_hh_fec_in!K18/SER_hh_num_in!K18)</f>
        <v>7495.3396988578916</v>
      </c>
      <c r="L18" s="133">
        <f>IF(SER_hh_fec_in!L18=0,0,11630*1000*SER_hh_fec_in!L18/SER_hh_num_in!L18)</f>
        <v>7288.3496423603065</v>
      </c>
      <c r="M18" s="133">
        <f>IF(SER_hh_fec_in!M18=0,0,11630*1000*SER_hh_fec_in!M18/SER_hh_num_in!M18)</f>
        <v>7495.7156037036984</v>
      </c>
      <c r="N18" s="133">
        <f>IF(SER_hh_fec_in!N18=0,0,11630*1000*SER_hh_fec_in!N18/SER_hh_num_in!N18)</f>
        <v>10463.530662986444</v>
      </c>
      <c r="O18" s="133">
        <f>IF(SER_hh_fec_in!O18=0,0,11630*1000*SER_hh_fec_in!O18/SER_hh_num_in!O18)</f>
        <v>6583.1721386592135</v>
      </c>
      <c r="P18" s="133">
        <f>IF(SER_hh_fec_in!P18=0,0,11630*1000*SER_hh_fec_in!P18/SER_hh_num_in!P18)</f>
        <v>5104.1103904797837</v>
      </c>
      <c r="Q18" s="133">
        <f>IF(SER_hh_fec_in!Q18=0,0,11630*1000*SER_hh_fec_in!Q18/SER_hh_num_in!Q18)</f>
        <v>7933.4995246283288</v>
      </c>
      <c r="R18" s="133">
        <f>IF(SER_hh_fec_in!R18=0,0,11630*1000*SER_hh_fec_in!R18/SER_hh_num_in!R18)</f>
        <v>5237.4753784689274</v>
      </c>
      <c r="S18" s="133">
        <f>IF(SER_hh_fec_in!S18=0,0,11630*1000*SER_hh_fec_in!S18/SER_hh_num_in!S18)</f>
        <v>7268.8195085020889</v>
      </c>
      <c r="T18" s="133">
        <f>IF(SER_hh_fec_in!T18=0,0,11630*1000*SER_hh_fec_in!T18/SER_hh_num_in!T18)</f>
        <v>5260.3997374015853</v>
      </c>
      <c r="U18" s="133">
        <f>IF(SER_hh_fec_in!U18=0,0,11630*1000*SER_hh_fec_in!U18/SER_hh_num_in!U18)</f>
        <v>6108.5167354673376</v>
      </c>
      <c r="V18" s="133">
        <f>IF(SER_hh_fec_in!V18=0,0,11630*1000*SER_hh_fec_in!V18/SER_hh_num_in!V18)</f>
        <v>4551.918883186856</v>
      </c>
      <c r="W18" s="133">
        <f>IF(SER_hh_fec_in!W18=0,0,11630*1000*SER_hh_fec_in!W18/SER_hh_num_in!W18)</f>
        <v>5487.1614055601713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21077.523029131346</v>
      </c>
      <c r="D19" s="131">
        <f>IF(SER_hh_fec_in!D19=0,0,11630*1000*SER_hh_fec_in!D19/SER_hh_num_in!D19)</f>
        <v>21281.125304581321</v>
      </c>
      <c r="E19" s="131">
        <f>IF(SER_hh_fec_in!E19=0,0,11630*1000*SER_hh_fec_in!E19/SER_hh_num_in!E19)</f>
        <v>21011.908725097845</v>
      </c>
      <c r="F19" s="131">
        <f>IF(SER_hh_fec_in!F19=0,0,11630*1000*SER_hh_fec_in!F19/SER_hh_num_in!F19)</f>
        <v>21212.793349559459</v>
      </c>
      <c r="G19" s="131">
        <f>IF(SER_hh_fec_in!G19=0,0,11630*1000*SER_hh_fec_in!G19/SER_hh_num_in!G19)</f>
        <v>21310.388176374519</v>
      </c>
      <c r="H19" s="131">
        <f>IF(SER_hh_fec_in!H19=0,0,11630*1000*SER_hh_fec_in!H19/SER_hh_num_in!H19)</f>
        <v>20551.740895533931</v>
      </c>
      <c r="I19" s="131">
        <f>IF(SER_hh_fec_in!I19=0,0,11630*1000*SER_hh_fec_in!I19/SER_hh_num_in!I19)</f>
        <v>20268.991907874522</v>
      </c>
      <c r="J19" s="131">
        <f>IF(SER_hh_fec_in!J19=0,0,11630*1000*SER_hh_fec_in!J19/SER_hh_num_in!J19)</f>
        <v>19725.083553976485</v>
      </c>
      <c r="K19" s="131">
        <f>IF(SER_hh_fec_in!K19=0,0,11630*1000*SER_hh_fec_in!K19/SER_hh_num_in!K19)</f>
        <v>19598.751377887755</v>
      </c>
      <c r="L19" s="131">
        <f>IF(SER_hh_fec_in!L19=0,0,11630*1000*SER_hh_fec_in!L19/SER_hh_num_in!L19)</f>
        <v>18708.117004782493</v>
      </c>
      <c r="M19" s="131">
        <f>IF(SER_hh_fec_in!M19=0,0,11630*1000*SER_hh_fec_in!M19/SER_hh_num_in!M19)</f>
        <v>18096.896806888082</v>
      </c>
      <c r="N19" s="131">
        <f>IF(SER_hh_fec_in!N19=0,0,11630*1000*SER_hh_fec_in!N19/SER_hh_num_in!N19)</f>
        <v>18463.131336792103</v>
      </c>
      <c r="O19" s="131">
        <f>IF(SER_hh_fec_in!O19=0,0,11630*1000*SER_hh_fec_in!O19/SER_hh_num_in!O19)</f>
        <v>18704.217504267704</v>
      </c>
      <c r="P19" s="131">
        <f>IF(SER_hh_fec_in!P19=0,0,11630*1000*SER_hh_fec_in!P19/SER_hh_num_in!P19)</f>
        <v>17961.415234244698</v>
      </c>
      <c r="Q19" s="131">
        <f>IF(SER_hh_fec_in!Q19=0,0,11630*1000*SER_hh_fec_in!Q19/SER_hh_num_in!Q19)</f>
        <v>17477.556045554807</v>
      </c>
      <c r="R19" s="131">
        <f>IF(SER_hh_fec_in!R19=0,0,11630*1000*SER_hh_fec_in!R19/SER_hh_num_in!R19)</f>
        <v>17428.166338888783</v>
      </c>
      <c r="S19" s="131">
        <f>IF(SER_hh_fec_in!S19=0,0,11630*1000*SER_hh_fec_in!S19/SER_hh_num_in!S19)</f>
        <v>17151.886376200942</v>
      </c>
      <c r="T19" s="131">
        <f>IF(SER_hh_fec_in!T19=0,0,11630*1000*SER_hh_fec_in!T19/SER_hh_num_in!T19)</f>
        <v>16753.353425909256</v>
      </c>
      <c r="U19" s="131">
        <f>IF(SER_hh_fec_in!U19=0,0,11630*1000*SER_hh_fec_in!U19/SER_hh_num_in!U19)</f>
        <v>16351.953425348502</v>
      </c>
      <c r="V19" s="131">
        <f>IF(SER_hh_fec_in!V19=0,0,11630*1000*SER_hh_fec_in!V19/SER_hh_num_in!V19)</f>
        <v>15004.035153670007</v>
      </c>
      <c r="W19" s="131">
        <f>IF(SER_hh_fec_in!W19=0,0,11630*1000*SER_hh_fec_in!W19/SER_hh_num_in!W19)</f>
        <v>15748.230541443862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24096.254461953955</v>
      </c>
      <c r="D21" s="133">
        <f>IF(SER_hh_fec_in!D21=0,0,11630*1000*SER_hh_fec_in!D21/SER_hh_num_in!D21)</f>
        <v>24367.548355111485</v>
      </c>
      <c r="E21" s="133">
        <f>IF(SER_hh_fec_in!E21=0,0,11630*1000*SER_hh_fec_in!E21/SER_hh_num_in!E21)</f>
        <v>24030.372279153169</v>
      </c>
      <c r="F21" s="133">
        <f>IF(SER_hh_fec_in!F21=0,0,11630*1000*SER_hh_fec_in!F21/SER_hh_num_in!F21)</f>
        <v>24365.794561606854</v>
      </c>
      <c r="G21" s="133">
        <f>IF(SER_hh_fec_in!G21=0,0,11630*1000*SER_hh_fec_in!G21/SER_hh_num_in!G21)</f>
        <v>23891.570421557601</v>
      </c>
      <c r="H21" s="133">
        <f>IF(SER_hh_fec_in!H21=0,0,11630*1000*SER_hh_fec_in!H21/SER_hh_num_in!H21)</f>
        <v>23620.77167924121</v>
      </c>
      <c r="I21" s="133">
        <f>IF(SER_hh_fec_in!I21=0,0,11630*1000*SER_hh_fec_in!I21/SER_hh_num_in!I21)</f>
        <v>23080.121210317797</v>
      </c>
      <c r="J21" s="133">
        <f>IF(SER_hh_fec_in!J21=0,0,11630*1000*SER_hh_fec_in!J21/SER_hh_num_in!J21)</f>
        <v>22734.638798773798</v>
      </c>
      <c r="K21" s="133">
        <f>IF(SER_hh_fec_in!K21=0,0,11630*1000*SER_hh_fec_in!K21/SER_hh_num_in!K21)</f>
        <v>23151.545982584998</v>
      </c>
      <c r="L21" s="133">
        <f>IF(SER_hh_fec_in!L21=0,0,11630*1000*SER_hh_fec_in!L21/SER_hh_num_in!L21)</f>
        <v>21666.961615889239</v>
      </c>
      <c r="M21" s="133">
        <f>IF(SER_hh_fec_in!M21=0,0,11630*1000*SER_hh_fec_in!M21/SER_hh_num_in!M21)</f>
        <v>22182.543534408058</v>
      </c>
      <c r="N21" s="133">
        <f>IF(SER_hh_fec_in!N21=0,0,11630*1000*SER_hh_fec_in!N21/SER_hh_num_in!N21)</f>
        <v>19743.479408019601</v>
      </c>
      <c r="O21" s="133">
        <f>IF(SER_hh_fec_in!O21=0,0,11630*1000*SER_hh_fec_in!O21/SER_hh_num_in!O21)</f>
        <v>21323.051132330394</v>
      </c>
      <c r="P21" s="133">
        <f>IF(SER_hh_fec_in!P21=0,0,11630*1000*SER_hh_fec_in!P21/SER_hh_num_in!P21)</f>
        <v>20827.288508041009</v>
      </c>
      <c r="Q21" s="133">
        <f>IF(SER_hh_fec_in!Q21=0,0,11630*1000*SER_hh_fec_in!Q21/SER_hh_num_in!Q21)</f>
        <v>19970.872538648033</v>
      </c>
      <c r="R21" s="133">
        <f>IF(SER_hh_fec_in!R21=0,0,11630*1000*SER_hh_fec_in!R21/SER_hh_num_in!R21)</f>
        <v>15214.255566433501</v>
      </c>
      <c r="S21" s="133">
        <f>IF(SER_hh_fec_in!S21=0,0,11630*1000*SER_hh_fec_in!S21/SER_hh_num_in!S21)</f>
        <v>17635.351304050637</v>
      </c>
      <c r="T21" s="133">
        <f>IF(SER_hh_fec_in!T21=0,0,11630*1000*SER_hh_fec_in!T21/SER_hh_num_in!T21)</f>
        <v>17390.754269009747</v>
      </c>
      <c r="U21" s="133">
        <f>IF(SER_hh_fec_in!U21=0,0,11630*1000*SER_hh_fec_in!U21/SER_hh_num_in!U21)</f>
        <v>16307.308274860086</v>
      </c>
      <c r="V21" s="133">
        <f>IF(SER_hh_fec_in!V21=0,0,11630*1000*SER_hh_fec_in!V21/SER_hh_num_in!V21)</f>
        <v>14330.855742804353</v>
      </c>
      <c r="W21" s="133">
        <f>IF(SER_hh_fec_in!W21=0,0,11630*1000*SER_hh_fec_in!W21/SER_hh_num_in!W21)</f>
        <v>15570.693294493227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25169.024498828541</v>
      </c>
      <c r="D22" s="133">
        <f>IF(SER_hh_fec_in!D22=0,0,11630*1000*SER_hh_fec_in!D22/SER_hh_num_in!D22)</f>
        <v>25184.992389855539</v>
      </c>
      <c r="E22" s="133">
        <f>IF(SER_hh_fec_in!E22=0,0,11630*1000*SER_hh_fec_in!E22/SER_hh_num_in!E22)</f>
        <v>25459.147249032911</v>
      </c>
      <c r="F22" s="133">
        <f>IF(SER_hh_fec_in!F22=0,0,11630*1000*SER_hh_fec_in!F22/SER_hh_num_in!F22)</f>
        <v>25250.736165206319</v>
      </c>
      <c r="G22" s="133">
        <f>IF(SER_hh_fec_in!G22=0,0,11630*1000*SER_hh_fec_in!G22/SER_hh_num_in!G22)</f>
        <v>25503.817993259043</v>
      </c>
      <c r="H22" s="133">
        <f>IF(SER_hh_fec_in!H22=0,0,11630*1000*SER_hh_fec_in!H22/SER_hh_num_in!H22)</f>
        <v>24941.85513619901</v>
      </c>
      <c r="I22" s="133">
        <f>IF(SER_hh_fec_in!I22=0,0,11630*1000*SER_hh_fec_in!I22/SER_hh_num_in!I22)</f>
        <v>25159.488241695552</v>
      </c>
      <c r="J22" s="133">
        <f>IF(SER_hh_fec_in!J22=0,0,11630*1000*SER_hh_fec_in!J22/SER_hh_num_in!J22)</f>
        <v>24271.466748972296</v>
      </c>
      <c r="K22" s="133">
        <f>IF(SER_hh_fec_in!K22=0,0,11630*1000*SER_hh_fec_in!K22/SER_hh_num_in!K22)</f>
        <v>24149.673843866341</v>
      </c>
      <c r="L22" s="133">
        <f>IF(SER_hh_fec_in!L22=0,0,11630*1000*SER_hh_fec_in!L22/SER_hh_num_in!L22)</f>
        <v>21925.218812497467</v>
      </c>
      <c r="M22" s="133">
        <f>IF(SER_hh_fec_in!M22=0,0,11630*1000*SER_hh_fec_in!M22/SER_hh_num_in!M22)</f>
        <v>22158.63053501572</v>
      </c>
      <c r="N22" s="133">
        <f>IF(SER_hh_fec_in!N22=0,0,11630*1000*SER_hh_fec_in!N22/SER_hh_num_in!N22)</f>
        <v>14893.904258310151</v>
      </c>
      <c r="O22" s="133">
        <f>IF(SER_hh_fec_in!O22=0,0,11630*1000*SER_hh_fec_in!O22/SER_hh_num_in!O22)</f>
        <v>22340.022152418769</v>
      </c>
      <c r="P22" s="133">
        <f>IF(SER_hh_fec_in!P22=0,0,11630*1000*SER_hh_fec_in!P22/SER_hh_num_in!P22)</f>
        <v>21534.287051480373</v>
      </c>
      <c r="Q22" s="133">
        <f>IF(SER_hh_fec_in!Q22=0,0,11630*1000*SER_hh_fec_in!Q22/SER_hh_num_in!Q22)</f>
        <v>18634.657035723725</v>
      </c>
      <c r="R22" s="133">
        <f>IF(SER_hh_fec_in!R22=0,0,11630*1000*SER_hh_fec_in!R22/SER_hh_num_in!R22)</f>
        <v>15798.937601135527</v>
      </c>
      <c r="S22" s="133">
        <f>IF(SER_hh_fec_in!S22=0,0,11630*1000*SER_hh_fec_in!S22/SER_hh_num_in!S22)</f>
        <v>18255.086762531595</v>
      </c>
      <c r="T22" s="133">
        <f>IF(SER_hh_fec_in!T22=0,0,11630*1000*SER_hh_fec_in!T22/SER_hh_num_in!T22)</f>
        <v>17740.74100665926</v>
      </c>
      <c r="U22" s="133">
        <f>IF(SER_hh_fec_in!U22=0,0,11630*1000*SER_hh_fec_in!U22/SER_hh_num_in!U22)</f>
        <v>17492.886195902276</v>
      </c>
      <c r="V22" s="133">
        <f>IF(SER_hh_fec_in!V22=0,0,11630*1000*SER_hh_fec_in!V22/SER_hh_num_in!V22)</f>
        <v>15622.567349759491</v>
      </c>
      <c r="W22" s="133">
        <f>IF(SER_hh_fec_in!W22=0,0,11630*1000*SER_hh_fec_in!W22/SER_hh_num_in!W22)</f>
        <v>16588.391030474075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22982.993710637194</v>
      </c>
      <c r="D23" s="133">
        <f>IF(SER_hh_fec_in!D23=0,0,11630*1000*SER_hh_fec_in!D23/SER_hh_num_in!D23)</f>
        <v>23089.232442305442</v>
      </c>
      <c r="E23" s="133">
        <f>IF(SER_hh_fec_in!E23=0,0,11630*1000*SER_hh_fec_in!E23/SER_hh_num_in!E23)</f>
        <v>22954.114851125254</v>
      </c>
      <c r="F23" s="133">
        <f>IF(SER_hh_fec_in!F23=0,0,11630*1000*SER_hh_fec_in!F23/SER_hh_num_in!F23)</f>
        <v>22908.814301978549</v>
      </c>
      <c r="G23" s="133">
        <f>IF(SER_hh_fec_in!G23=0,0,11630*1000*SER_hh_fec_in!G23/SER_hh_num_in!G23)</f>
        <v>22922.58913428706</v>
      </c>
      <c r="H23" s="133">
        <f>IF(SER_hh_fec_in!H23=0,0,11630*1000*SER_hh_fec_in!H23/SER_hh_num_in!H23)</f>
        <v>22201.103814577444</v>
      </c>
      <c r="I23" s="133">
        <f>IF(SER_hh_fec_in!I23=0,0,11630*1000*SER_hh_fec_in!I23/SER_hh_num_in!I23)</f>
        <v>21650.621840971246</v>
      </c>
      <c r="J23" s="133">
        <f>IF(SER_hh_fec_in!J23=0,0,11630*1000*SER_hh_fec_in!J23/SER_hh_num_in!J23)</f>
        <v>21210.486400317026</v>
      </c>
      <c r="K23" s="133">
        <f>IF(SER_hh_fec_in!K23=0,0,11630*1000*SER_hh_fec_in!K23/SER_hh_num_in!K23)</f>
        <v>20977.668668789873</v>
      </c>
      <c r="L23" s="133">
        <f>IF(SER_hh_fec_in!L23=0,0,11630*1000*SER_hh_fec_in!L23/SER_hh_num_in!L23)</f>
        <v>19655.334188533339</v>
      </c>
      <c r="M23" s="133">
        <f>IF(SER_hh_fec_in!M23=0,0,11630*1000*SER_hh_fec_in!M23/SER_hh_num_in!M23)</f>
        <v>20364.717539397527</v>
      </c>
      <c r="N23" s="133">
        <f>IF(SER_hh_fec_in!N23=0,0,11630*1000*SER_hh_fec_in!N23/SER_hh_num_in!N23)</f>
        <v>18829.82183868944</v>
      </c>
      <c r="O23" s="133">
        <f>IF(SER_hh_fec_in!O23=0,0,11630*1000*SER_hh_fec_in!O23/SER_hh_num_in!O23)</f>
        <v>19880.540656193301</v>
      </c>
      <c r="P23" s="133">
        <f>IF(SER_hh_fec_in!P23=0,0,11630*1000*SER_hh_fec_in!P23/SER_hh_num_in!P23)</f>
        <v>19627.876374064883</v>
      </c>
      <c r="Q23" s="133">
        <f>IF(SER_hh_fec_in!Q23=0,0,11630*1000*SER_hh_fec_in!Q23/SER_hh_num_in!Q23)</f>
        <v>18954.021995773648</v>
      </c>
      <c r="R23" s="133">
        <f>IF(SER_hh_fec_in!R23=0,0,11630*1000*SER_hh_fec_in!R23/SER_hh_num_in!R23)</f>
        <v>16094.449609854037</v>
      </c>
      <c r="S23" s="133">
        <f>IF(SER_hh_fec_in!S23=0,0,11630*1000*SER_hh_fec_in!S23/SER_hh_num_in!S23)</f>
        <v>17578.341697850716</v>
      </c>
      <c r="T23" s="133">
        <f>IF(SER_hh_fec_in!T23=0,0,11630*1000*SER_hh_fec_in!T23/SER_hh_num_in!T23)</f>
        <v>17296.964866653743</v>
      </c>
      <c r="U23" s="133">
        <f>IF(SER_hh_fec_in!U23=0,0,11630*1000*SER_hh_fec_in!U23/SER_hh_num_in!U23)</f>
        <v>16563.240313398212</v>
      </c>
      <c r="V23" s="133">
        <f>IF(SER_hh_fec_in!V23=0,0,11630*1000*SER_hh_fec_in!V23/SER_hh_num_in!V23)</f>
        <v>15160.986747374001</v>
      </c>
      <c r="W23" s="133">
        <f>IF(SER_hh_fec_in!W23=0,0,11630*1000*SER_hh_fec_in!W23/SER_hh_num_in!W23)</f>
        <v>16216.507267225164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16458.362864698236</v>
      </c>
      <c r="D25" s="133">
        <f>IF(SER_hh_fec_in!D25=0,0,11630*1000*SER_hh_fec_in!D25/SER_hh_num_in!D25)</f>
        <v>16477.593214066856</v>
      </c>
      <c r="E25" s="133">
        <f>IF(SER_hh_fec_in!E25=0,0,11630*1000*SER_hh_fec_in!E25/SER_hh_num_in!E25)</f>
        <v>16598.509168983095</v>
      </c>
      <c r="F25" s="133">
        <f>IF(SER_hh_fec_in!F25=0,0,11630*1000*SER_hh_fec_in!F25/SER_hh_num_in!F25)</f>
        <v>16657.122703554949</v>
      </c>
      <c r="G25" s="133">
        <f>IF(SER_hh_fec_in!G25=0,0,11630*1000*SER_hh_fec_in!G25/SER_hh_num_in!G25)</f>
        <v>16847.77129225446</v>
      </c>
      <c r="H25" s="133">
        <f>IF(SER_hh_fec_in!H25=0,0,11630*1000*SER_hh_fec_in!H25/SER_hh_num_in!H25)</f>
        <v>16507.242956970047</v>
      </c>
      <c r="I25" s="133">
        <f>IF(SER_hh_fec_in!I25=0,0,11630*1000*SER_hh_fec_in!I25/SER_hh_num_in!I25)</f>
        <v>16369.372969215729</v>
      </c>
      <c r="J25" s="133">
        <f>IF(SER_hh_fec_in!J25=0,0,11630*1000*SER_hh_fec_in!J25/SER_hh_num_in!J25)</f>
        <v>15980.360973445371</v>
      </c>
      <c r="K25" s="133">
        <f>IF(SER_hh_fec_in!K25=0,0,11630*1000*SER_hh_fec_in!K25/SER_hh_num_in!K25)</f>
        <v>15984.833638166061</v>
      </c>
      <c r="L25" s="133">
        <f>IF(SER_hh_fec_in!L25=0,0,11630*1000*SER_hh_fec_in!L25/SER_hh_num_in!L25)</f>
        <v>15219.606942814253</v>
      </c>
      <c r="M25" s="133">
        <f>IF(SER_hh_fec_in!M25=0,0,11630*1000*SER_hh_fec_in!M25/SER_hh_num_in!M25)</f>
        <v>16065.692337411594</v>
      </c>
      <c r="N25" s="133">
        <f>IF(SER_hh_fec_in!N25=0,0,11630*1000*SER_hh_fec_in!N25/SER_hh_num_in!N25)</f>
        <v>15568.37335356599</v>
      </c>
      <c r="O25" s="133">
        <f>IF(SER_hh_fec_in!O25=0,0,11630*1000*SER_hh_fec_in!O25/SER_hh_num_in!O25)</f>
        <v>16524.916924201418</v>
      </c>
      <c r="P25" s="133">
        <f>IF(SER_hh_fec_in!P25=0,0,11630*1000*SER_hh_fec_in!P25/SER_hh_num_in!P25)</f>
        <v>16926.993998163653</v>
      </c>
      <c r="Q25" s="133">
        <f>IF(SER_hh_fec_in!Q25=0,0,11630*1000*SER_hh_fec_in!Q25/SER_hh_num_in!Q25)</f>
        <v>16627.350854995424</v>
      </c>
      <c r="R25" s="133">
        <f>IF(SER_hh_fec_in!R25=0,0,11630*1000*SER_hh_fec_in!R25/SER_hh_num_in!R25)</f>
        <v>15656.001926063589</v>
      </c>
      <c r="S25" s="133">
        <f>IF(SER_hh_fec_in!S25=0,0,11630*1000*SER_hh_fec_in!S25/SER_hh_num_in!S25)</f>
        <v>15633.773517772526</v>
      </c>
      <c r="T25" s="133">
        <f>IF(SER_hh_fec_in!T25=0,0,11630*1000*SER_hh_fec_in!T25/SER_hh_num_in!T25)</f>
        <v>15485.914981723927</v>
      </c>
      <c r="U25" s="133">
        <f>IF(SER_hh_fec_in!U25=0,0,11630*1000*SER_hh_fec_in!U25/SER_hh_num_in!U25)</f>
        <v>14917.572137428837</v>
      </c>
      <c r="V25" s="133">
        <f>IF(SER_hh_fec_in!V25=0,0,11630*1000*SER_hh_fec_in!V25/SER_hh_num_in!V25)</f>
        <v>14245.287081677296</v>
      </c>
      <c r="W25" s="133">
        <f>IF(SER_hh_fec_in!W25=0,0,11630*1000*SER_hh_fec_in!W25/SER_hh_num_in!W25)</f>
        <v>14707.842479089153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18998.593435065522</v>
      </c>
      <c r="D26" s="65">
        <f>IF(SER_hh_fec_in!D26=0,0,11630*1000*SER_hh_fec_in!D26/SER_hh_num_in!D26)</f>
        <v>17339.03343118343</v>
      </c>
      <c r="E26" s="65">
        <f>IF(SER_hh_fec_in!E26=0,0,11630*1000*SER_hh_fec_in!E26/SER_hh_num_in!E26)</f>
        <v>18653.173566571339</v>
      </c>
      <c r="F26" s="65">
        <f>IF(SER_hh_fec_in!F26=0,0,11630*1000*SER_hh_fec_in!F26/SER_hh_num_in!F26)</f>
        <v>17372.073400616573</v>
      </c>
      <c r="G26" s="65">
        <f>IF(SER_hh_fec_in!G26=0,0,11630*1000*SER_hh_fec_in!G26/SER_hh_num_in!G26)</f>
        <v>17597.16957397544</v>
      </c>
      <c r="H26" s="65">
        <f>IF(SER_hh_fec_in!H26=0,0,11630*1000*SER_hh_fec_in!H26/SER_hh_num_in!H26)</f>
        <v>17472.311885870473</v>
      </c>
      <c r="I26" s="65">
        <f>IF(SER_hh_fec_in!I26=0,0,11630*1000*SER_hh_fec_in!I26/SER_hh_num_in!I26)</f>
        <v>17331.661491155726</v>
      </c>
      <c r="J26" s="65">
        <f>IF(SER_hh_fec_in!J26=0,0,11630*1000*SER_hh_fec_in!J26/SER_hh_num_in!J26)</f>
        <v>9818.3275271071889</v>
      </c>
      <c r="K26" s="65">
        <f>IF(SER_hh_fec_in!K26=0,0,11630*1000*SER_hh_fec_in!K26/SER_hh_num_in!K26)</f>
        <v>9940.0516904323977</v>
      </c>
      <c r="L26" s="65">
        <f>IF(SER_hh_fec_in!L26=0,0,11630*1000*SER_hh_fec_in!L26/SER_hh_num_in!L26)</f>
        <v>5439.8122523753245</v>
      </c>
      <c r="M26" s="65">
        <f>IF(SER_hh_fec_in!M26=0,0,11630*1000*SER_hh_fec_in!M26/SER_hh_num_in!M26)</f>
        <v>5482.7323803283043</v>
      </c>
      <c r="N26" s="65">
        <f>IF(SER_hh_fec_in!N26=0,0,11630*1000*SER_hh_fec_in!N26/SER_hh_num_in!N26)</f>
        <v>5593.6986142814831</v>
      </c>
      <c r="O26" s="65">
        <f>IF(SER_hh_fec_in!O26=0,0,11630*1000*SER_hh_fec_in!O26/SER_hh_num_in!O26)</f>
        <v>5345.7038085210652</v>
      </c>
      <c r="P26" s="65">
        <f>IF(SER_hh_fec_in!P26=0,0,11630*1000*SER_hh_fec_in!P26/SER_hh_num_in!P26)</f>
        <v>7218.158914858328</v>
      </c>
      <c r="Q26" s="65">
        <f>IF(SER_hh_fec_in!Q26=0,0,11630*1000*SER_hh_fec_in!Q26/SER_hh_num_in!Q26)</f>
        <v>5623.4854240580262</v>
      </c>
      <c r="R26" s="65">
        <f>IF(SER_hh_fec_in!R26=0,0,11630*1000*SER_hh_fec_in!R26/SER_hh_num_in!R26)</f>
        <v>4840.5141688557669</v>
      </c>
      <c r="S26" s="65">
        <f>IF(SER_hh_fec_in!S26=0,0,11630*1000*SER_hh_fec_in!S26/SER_hh_num_in!S26)</f>
        <v>4257.2358393073937</v>
      </c>
      <c r="T26" s="65">
        <f>IF(SER_hh_fec_in!T26=0,0,11630*1000*SER_hh_fec_in!T26/SER_hh_num_in!T26)</f>
        <v>4133.6318499990821</v>
      </c>
      <c r="U26" s="65">
        <f>IF(SER_hh_fec_in!U26=0,0,11630*1000*SER_hh_fec_in!U26/SER_hh_num_in!U26)</f>
        <v>4023.3694507228097</v>
      </c>
      <c r="V26" s="65">
        <f>IF(SER_hh_fec_in!V26=0,0,11630*1000*SER_hh_fec_in!V26/SER_hh_num_in!V26)</f>
        <v>3408.4917787542749</v>
      </c>
      <c r="W26" s="65">
        <f>IF(SER_hh_fec_in!W26=0,0,11630*1000*SER_hh_fec_in!W26/SER_hh_num_in!W26)</f>
        <v>3386.1228484123258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329.85674459449444</v>
      </c>
      <c r="D27" s="146">
        <f>IF(SER_hh_fec_in!D27=0,0,11630*1000*SER_hh_fec_in!D27/SER_hh_num_in!D19)</f>
        <v>772.59238324473438</v>
      </c>
      <c r="E27" s="146">
        <f>IF(SER_hh_fec_in!E27=0,0,11630*1000*SER_hh_fec_in!E27/SER_hh_num_in!E19)</f>
        <v>419.71840270859252</v>
      </c>
      <c r="F27" s="146">
        <f>IF(SER_hh_fec_in!F27=0,0,11630*1000*SER_hh_fec_in!F27/SER_hh_num_in!F19)</f>
        <v>992.3121967751955</v>
      </c>
      <c r="G27" s="146">
        <f>IF(SER_hh_fec_in!G27=0,0,11630*1000*SER_hh_fec_in!G27/SER_hh_num_in!G19)</f>
        <v>885.56309726020322</v>
      </c>
      <c r="H27" s="146">
        <f>IF(SER_hh_fec_in!H27=0,0,11630*1000*SER_hh_fec_in!H27/SER_hh_num_in!H19)</f>
        <v>879.28415322947126</v>
      </c>
      <c r="I27" s="146">
        <f>IF(SER_hh_fec_in!I27=0,0,11630*1000*SER_hh_fec_in!I27/SER_hh_num_in!I19)</f>
        <v>879.49531623554367</v>
      </c>
      <c r="J27" s="146">
        <f>IF(SER_hh_fec_in!J27=0,0,11630*1000*SER_hh_fec_in!J27/SER_hh_num_in!J19)</f>
        <v>2684.8225614481362</v>
      </c>
      <c r="K27" s="146">
        <f>IF(SER_hh_fec_in!K27=0,0,11630*1000*SER_hh_fec_in!K27/SER_hh_num_in!K19)</f>
        <v>2637.415597236954</v>
      </c>
      <c r="L27" s="146">
        <f>IF(SER_hh_fec_in!L27=0,0,11630*1000*SER_hh_fec_in!L27/SER_hh_num_in!L19)</f>
        <v>3937.0001917481768</v>
      </c>
      <c r="M27" s="146">
        <f>IF(SER_hh_fec_in!M27=0,0,11630*1000*SER_hh_fec_in!M27/SER_hh_num_in!M19)</f>
        <v>4250.6955696775522</v>
      </c>
      <c r="N27" s="146">
        <f>IF(SER_hh_fec_in!N27=0,0,11630*1000*SER_hh_fec_in!N27/SER_hh_num_in!N19)</f>
        <v>3597.5484844287944</v>
      </c>
      <c r="O27" s="146">
        <f>IF(SER_hh_fec_in!O27=0,0,11630*1000*SER_hh_fec_in!O27/SER_hh_num_in!O19)</f>
        <v>3057.4033561861024</v>
      </c>
      <c r="P27" s="146">
        <f>IF(SER_hh_fec_in!P27=0,0,11630*1000*SER_hh_fec_in!P27/SER_hh_num_in!P19)</f>
        <v>3475.726403299745</v>
      </c>
      <c r="Q27" s="146">
        <f>IF(SER_hh_fec_in!Q27=0,0,11630*1000*SER_hh_fec_in!Q27/SER_hh_num_in!Q19)</f>
        <v>3307.8441502887385</v>
      </c>
      <c r="R27" s="146">
        <f>IF(SER_hh_fec_in!R27=0,0,11630*1000*SER_hh_fec_in!R27/SER_hh_num_in!R19)</f>
        <v>2789.0781778627229</v>
      </c>
      <c r="S27" s="146">
        <f>IF(SER_hh_fec_in!S27=0,0,11630*1000*SER_hh_fec_in!S27/SER_hh_num_in!S19)</f>
        <v>2998.911535448527</v>
      </c>
      <c r="T27" s="146">
        <f>IF(SER_hh_fec_in!T27=0,0,11630*1000*SER_hh_fec_in!T27/SER_hh_num_in!T19)</f>
        <v>3304.7798221312942</v>
      </c>
      <c r="U27" s="146">
        <f>IF(SER_hh_fec_in!U27=0,0,11630*1000*SER_hh_fec_in!U27/SER_hh_num_in!U19)</f>
        <v>3758.6107009271877</v>
      </c>
      <c r="V27" s="146">
        <f>IF(SER_hh_fec_in!V27=0,0,11630*1000*SER_hh_fec_in!V27/SER_hh_num_in!V19)</f>
        <v>3780.5125783071294</v>
      </c>
      <c r="W27" s="146">
        <f>IF(SER_hh_fec_in!W27=0,0,11630*1000*SER_hh_fec_in!W27/SER_hh_num_in!W19)</f>
        <v>2814.4253291432251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9170.6747841317956</v>
      </c>
      <c r="D28" s="147">
        <f>IF(SER_hh_fec_in!D27=0,0,11630*1000*SER_hh_fec_in!D27/SER_hh_num_in!D27)</f>
        <v>9125.4776592430335</v>
      </c>
      <c r="E28" s="147">
        <f>IF(SER_hh_fec_in!E27=0,0,11630*1000*SER_hh_fec_in!E27/SER_hh_num_in!E27)</f>
        <v>9669.9442361011843</v>
      </c>
      <c r="F28" s="147">
        <f>IF(SER_hh_fec_in!F27=0,0,11630*1000*SER_hh_fec_in!F27/SER_hh_num_in!F27)</f>
        <v>9525.8816908616554</v>
      </c>
      <c r="G28" s="147">
        <f>IF(SER_hh_fec_in!G27=0,0,11630*1000*SER_hh_fec_in!G27/SER_hh_num_in!G27)</f>
        <v>9627.9082339555553</v>
      </c>
      <c r="H28" s="147">
        <f>IF(SER_hh_fec_in!H27=0,0,11630*1000*SER_hh_fec_in!H27/SER_hh_num_in!H27)</f>
        <v>9402.8189233639441</v>
      </c>
      <c r="I28" s="147">
        <f>IF(SER_hh_fec_in!I27=0,0,11630*1000*SER_hh_fec_in!I27/SER_hh_num_in!I27)</f>
        <v>9416.656403787094</v>
      </c>
      <c r="J28" s="147">
        <f>IF(SER_hh_fec_in!J27=0,0,11630*1000*SER_hh_fec_in!J27/SER_hh_num_in!J27)</f>
        <v>9561.4609862409106</v>
      </c>
      <c r="K28" s="147">
        <f>IF(SER_hh_fec_in!K27=0,0,11630*1000*SER_hh_fec_in!K27/SER_hh_num_in!K27)</f>
        <v>9870.3166309917524</v>
      </c>
      <c r="L28" s="147">
        <f>IF(SER_hh_fec_in!L27=0,0,11630*1000*SER_hh_fec_in!L27/SER_hh_num_in!L27)</f>
        <v>9924.7336035933076</v>
      </c>
      <c r="M28" s="147">
        <f>IF(SER_hh_fec_in!M27=0,0,11630*1000*SER_hh_fec_in!M27/SER_hh_num_in!M27)</f>
        <v>9761.0329690525905</v>
      </c>
      <c r="N28" s="147">
        <f>IF(SER_hh_fec_in!N27=0,0,11630*1000*SER_hh_fec_in!N27/SER_hh_num_in!N27)</f>
        <v>9927.606548316382</v>
      </c>
      <c r="O28" s="147">
        <f>IF(SER_hh_fec_in!O27=0,0,11630*1000*SER_hh_fec_in!O27/SER_hh_num_in!O27)</f>
        <v>10520.173165566443</v>
      </c>
      <c r="P28" s="147">
        <f>IF(SER_hh_fec_in!P27=0,0,11630*1000*SER_hh_fec_in!P27/SER_hh_num_in!P27)</f>
        <v>10303.413515572434</v>
      </c>
      <c r="Q28" s="147">
        <f>IF(SER_hh_fec_in!Q27=0,0,11630*1000*SER_hh_fec_in!Q27/SER_hh_num_in!Q27)</f>
        <v>9796.0509104064859</v>
      </c>
      <c r="R28" s="147">
        <f>IF(SER_hh_fec_in!R27=0,0,11630*1000*SER_hh_fec_in!R27/SER_hh_num_in!R27)</f>
        <v>9738.4947828017666</v>
      </c>
      <c r="S28" s="147">
        <f>IF(SER_hh_fec_in!S27=0,0,11630*1000*SER_hh_fec_in!S27/SER_hh_num_in!S27)</f>
        <v>10213.942426647474</v>
      </c>
      <c r="T28" s="147">
        <f>IF(SER_hh_fec_in!T27=0,0,11630*1000*SER_hh_fec_in!T27/SER_hh_num_in!T27)</f>
        <v>10198.762478305427</v>
      </c>
      <c r="U28" s="147">
        <f>IF(SER_hh_fec_in!U27=0,0,11630*1000*SER_hh_fec_in!U27/SER_hh_num_in!U27)</f>
        <v>10156.030706485881</v>
      </c>
      <c r="V28" s="147">
        <f>IF(SER_hh_fec_in!V27=0,0,11630*1000*SER_hh_fec_in!V27/SER_hh_num_in!V27)</f>
        <v>10175.256091127603</v>
      </c>
      <c r="W28" s="147">
        <f>IF(SER_hh_fec_in!W27=0,0,11630*1000*SER_hh_fec_in!W27/SER_hh_num_in!W27)</f>
        <v>9910.4813517187595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22230.139089656128</v>
      </c>
      <c r="D29" s="131">
        <f>IF(SER_hh_fec_in!D29=0,0,11630*1000*SER_hh_fec_in!D29/SER_hh_num_in!D29)</f>
        <v>21482.813944879192</v>
      </c>
      <c r="E29" s="131">
        <f>IF(SER_hh_fec_in!E29=0,0,11630*1000*SER_hh_fec_in!E29/SER_hh_num_in!E29)</f>
        <v>20934.374923024057</v>
      </c>
      <c r="F29" s="131">
        <f>IF(SER_hh_fec_in!F29=0,0,11630*1000*SER_hh_fec_in!F29/SER_hh_num_in!F29)</f>
        <v>21320.006590905665</v>
      </c>
      <c r="G29" s="131">
        <f>IF(SER_hh_fec_in!G29=0,0,11630*1000*SER_hh_fec_in!G29/SER_hh_num_in!G29)</f>
        <v>21349.077826189099</v>
      </c>
      <c r="H29" s="131">
        <f>IF(SER_hh_fec_in!H29=0,0,11630*1000*SER_hh_fec_in!H29/SER_hh_num_in!H29)</f>
        <v>21547.969394612177</v>
      </c>
      <c r="I29" s="131">
        <f>IF(SER_hh_fec_in!I29=0,0,11630*1000*SER_hh_fec_in!I29/SER_hh_num_in!I29)</f>
        <v>21803.829648384955</v>
      </c>
      <c r="J29" s="131">
        <f>IF(SER_hh_fec_in!J29=0,0,11630*1000*SER_hh_fec_in!J29/SER_hh_num_in!J29)</f>
        <v>22844.503878741245</v>
      </c>
      <c r="K29" s="131">
        <f>IF(SER_hh_fec_in!K29=0,0,11630*1000*SER_hh_fec_in!K29/SER_hh_num_in!K29)</f>
        <v>24628.582659944204</v>
      </c>
      <c r="L29" s="131">
        <f>IF(SER_hh_fec_in!L29=0,0,11630*1000*SER_hh_fec_in!L29/SER_hh_num_in!L29)</f>
        <v>24306.830221718566</v>
      </c>
      <c r="M29" s="131">
        <f>IF(SER_hh_fec_in!M29=0,0,11630*1000*SER_hh_fec_in!M29/SER_hh_num_in!M29)</f>
        <v>24030.171292909967</v>
      </c>
      <c r="N29" s="131">
        <f>IF(SER_hh_fec_in!N29=0,0,11630*1000*SER_hh_fec_in!N29/SER_hh_num_in!N29)</f>
        <v>25024.223625069724</v>
      </c>
      <c r="O29" s="131">
        <f>IF(SER_hh_fec_in!O29=0,0,11630*1000*SER_hh_fec_in!O29/SER_hh_num_in!O29)</f>
        <v>25022.858507380919</v>
      </c>
      <c r="P29" s="131">
        <f>IF(SER_hh_fec_in!P29=0,0,11630*1000*SER_hh_fec_in!P29/SER_hh_num_in!P29)</f>
        <v>25134.832488616645</v>
      </c>
      <c r="Q29" s="131">
        <f>IF(SER_hh_fec_in!Q29=0,0,11630*1000*SER_hh_fec_in!Q29/SER_hh_num_in!Q29)</f>
        <v>25040.533136983937</v>
      </c>
      <c r="R29" s="131">
        <f>IF(SER_hh_fec_in!R29=0,0,11630*1000*SER_hh_fec_in!R29/SER_hh_num_in!R29)</f>
        <v>25781.649834452943</v>
      </c>
      <c r="S29" s="131">
        <f>IF(SER_hh_fec_in!S29=0,0,11630*1000*SER_hh_fec_in!S29/SER_hh_num_in!S29)</f>
        <v>25662.885703793101</v>
      </c>
      <c r="T29" s="131">
        <f>IF(SER_hh_fec_in!T29=0,0,11630*1000*SER_hh_fec_in!T29/SER_hh_num_in!T29)</f>
        <v>25604.894752794818</v>
      </c>
      <c r="U29" s="131">
        <f>IF(SER_hh_fec_in!U29=0,0,11630*1000*SER_hh_fec_in!U29/SER_hh_num_in!U29)</f>
        <v>25754.332578606271</v>
      </c>
      <c r="V29" s="131">
        <f>IF(SER_hh_fec_in!V29=0,0,11630*1000*SER_hh_fec_in!V29/SER_hh_num_in!V29)</f>
        <v>22150.826744736914</v>
      </c>
      <c r="W29" s="131">
        <f>IF(SER_hh_fec_in!W29=0,0,11630*1000*SER_hh_fec_in!W29/SER_hh_num_in!W29)</f>
        <v>25451.981471602387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32521.710773845996</v>
      </c>
      <c r="D30" s="133">
        <f>IF(SER_hh_fec_in!D30=0,0,11630*1000*SER_hh_fec_in!D30/SER_hh_num_in!D30)</f>
        <v>25572.073951795232</v>
      </c>
      <c r="E30" s="133">
        <f>IF(SER_hh_fec_in!E30=0,0,11630*1000*SER_hh_fec_in!E30/SER_hh_num_in!E30)</f>
        <v>26508.687420599304</v>
      </c>
      <c r="F30" s="133">
        <f>IF(SER_hh_fec_in!F30=0,0,11630*1000*SER_hh_fec_in!F30/SER_hh_num_in!F30)</f>
        <v>28472.579488585423</v>
      </c>
      <c r="G30" s="133">
        <f>IF(SER_hh_fec_in!G30=0,0,11630*1000*SER_hh_fec_in!G30/SER_hh_num_in!G30)</f>
        <v>25958.853587145604</v>
      </c>
      <c r="H30" s="133">
        <f>IF(SER_hh_fec_in!H30=0,0,11630*1000*SER_hh_fec_in!H30/SER_hh_num_in!H30)</f>
        <v>28335.915751280045</v>
      </c>
      <c r="I30" s="133">
        <f>IF(SER_hh_fec_in!I30=0,0,11630*1000*SER_hh_fec_in!I30/SER_hh_num_in!I30)</f>
        <v>26475.65863145949</v>
      </c>
      <c r="J30" s="133">
        <f>IF(SER_hh_fec_in!J30=0,0,11630*1000*SER_hh_fec_in!J30/SER_hh_num_in!J30)</f>
        <v>27198.359267549706</v>
      </c>
      <c r="K30" s="133">
        <f>IF(SER_hh_fec_in!K30=0,0,11630*1000*SER_hh_fec_in!K30/SER_hh_num_in!K30)</f>
        <v>31993.168589811445</v>
      </c>
      <c r="L30" s="133">
        <f>IF(SER_hh_fec_in!L30=0,0,11630*1000*SER_hh_fec_in!L30/SER_hh_num_in!L30)</f>
        <v>34710.412948209923</v>
      </c>
      <c r="M30" s="133">
        <f>IF(SER_hh_fec_in!M30=0,0,11630*1000*SER_hh_fec_in!M30/SER_hh_num_in!M30)</f>
        <v>30548.917807632519</v>
      </c>
      <c r="N30" s="133">
        <f>IF(SER_hh_fec_in!N30=0,0,11630*1000*SER_hh_fec_in!N30/SER_hh_num_in!N30)</f>
        <v>30717.616159297275</v>
      </c>
      <c r="O30" s="133">
        <f>IF(SER_hh_fec_in!O30=0,0,11630*1000*SER_hh_fec_in!O30/SER_hh_num_in!O30)</f>
        <v>31637.692372389054</v>
      </c>
      <c r="P30" s="133">
        <f>IF(SER_hh_fec_in!P30=0,0,11630*1000*SER_hh_fec_in!P30/SER_hh_num_in!P30)</f>
        <v>31777.627269705663</v>
      </c>
      <c r="Q30" s="133">
        <f>IF(SER_hh_fec_in!Q30=0,0,11630*1000*SER_hh_fec_in!Q30/SER_hh_num_in!Q30)</f>
        <v>31502.665844546638</v>
      </c>
      <c r="R30" s="133">
        <f>IF(SER_hh_fec_in!R30=0,0,11630*1000*SER_hh_fec_in!R30/SER_hh_num_in!R30)</f>
        <v>35119.884294954296</v>
      </c>
      <c r="S30" s="133">
        <f>IF(SER_hh_fec_in!S30=0,0,11630*1000*SER_hh_fec_in!S30/SER_hh_num_in!S30)</f>
        <v>32897.590248441949</v>
      </c>
      <c r="T30" s="133">
        <f>IF(SER_hh_fec_in!T30=0,0,11630*1000*SER_hh_fec_in!T30/SER_hh_num_in!T30)</f>
        <v>32223.050820122648</v>
      </c>
      <c r="U30" s="133">
        <f>IF(SER_hh_fec_in!U30=0,0,11630*1000*SER_hh_fec_in!U30/SER_hh_num_in!U30)</f>
        <v>34923.213830988992</v>
      </c>
      <c r="V30" s="133">
        <f>IF(SER_hh_fec_in!V30=0,0,11630*1000*SER_hh_fec_in!V30/SER_hh_num_in!V30)</f>
        <v>28473.169614030558</v>
      </c>
      <c r="W30" s="133">
        <f>IF(SER_hh_fec_in!W30=0,0,11630*1000*SER_hh_fec_in!W30/SER_hh_num_in!W30)</f>
        <v>34177.285400363478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26585.420603986557</v>
      </c>
      <c r="D31" s="133">
        <f>IF(SER_hh_fec_in!D31=0,0,11630*1000*SER_hh_fec_in!D31/SER_hh_num_in!D31)</f>
        <v>26670.129138483695</v>
      </c>
      <c r="E31" s="133">
        <f>IF(SER_hh_fec_in!E31=0,0,11630*1000*SER_hh_fec_in!E31/SER_hh_num_in!E31)</f>
        <v>26413.528290243739</v>
      </c>
      <c r="F31" s="133">
        <f>IF(SER_hh_fec_in!F31=0,0,11630*1000*SER_hh_fec_in!F31/SER_hh_num_in!F31)</f>
        <v>26215.726872707452</v>
      </c>
      <c r="G31" s="133">
        <f>IF(SER_hh_fec_in!G31=0,0,11630*1000*SER_hh_fec_in!G31/SER_hh_num_in!G31)</f>
        <v>26960.805943510179</v>
      </c>
      <c r="H31" s="133">
        <f>IF(SER_hh_fec_in!H31=0,0,11630*1000*SER_hh_fec_in!H31/SER_hh_num_in!H31)</f>
        <v>26853.687505885599</v>
      </c>
      <c r="I31" s="133">
        <f>IF(SER_hh_fec_in!I31=0,0,11630*1000*SER_hh_fec_in!I31/SER_hh_num_in!I31)</f>
        <v>27610.241955952042</v>
      </c>
      <c r="J31" s="133">
        <f>IF(SER_hh_fec_in!J31=0,0,11630*1000*SER_hh_fec_in!J31/SER_hh_num_in!J31)</f>
        <v>28713.197753441615</v>
      </c>
      <c r="K31" s="133">
        <f>IF(SER_hh_fec_in!K31=0,0,11630*1000*SER_hh_fec_in!K31/SER_hh_num_in!K31)</f>
        <v>29432.069806639007</v>
      </c>
      <c r="L31" s="133">
        <f>IF(SER_hh_fec_in!L31=0,0,11630*1000*SER_hh_fec_in!L31/SER_hh_num_in!L31)</f>
        <v>29408.307830128131</v>
      </c>
      <c r="M31" s="133">
        <f>IF(SER_hh_fec_in!M31=0,0,11630*1000*SER_hh_fec_in!M31/SER_hh_num_in!M31)</f>
        <v>30119.846978748345</v>
      </c>
      <c r="N31" s="133">
        <f>IF(SER_hh_fec_in!N31=0,0,11630*1000*SER_hh_fec_in!N31/SER_hh_num_in!N31)</f>
        <v>31377.524100577153</v>
      </c>
      <c r="O31" s="133">
        <f>IF(SER_hh_fec_in!O31=0,0,11630*1000*SER_hh_fec_in!O31/SER_hh_num_in!O31)</f>
        <v>31200.823459334646</v>
      </c>
      <c r="P31" s="133">
        <f>IF(SER_hh_fec_in!P31=0,0,11630*1000*SER_hh_fec_in!P31/SER_hh_num_in!P31)</f>
        <v>31355.322039960542</v>
      </c>
      <c r="Q31" s="133">
        <f>IF(SER_hh_fec_in!Q31=0,0,11630*1000*SER_hh_fec_in!Q31/SER_hh_num_in!Q31)</f>
        <v>32509.183614819267</v>
      </c>
      <c r="R31" s="133">
        <f>IF(SER_hh_fec_in!R31=0,0,11630*1000*SER_hh_fec_in!R31/SER_hh_num_in!R31)</f>
        <v>32611.903819453011</v>
      </c>
      <c r="S31" s="133">
        <f>IF(SER_hh_fec_in!S31=0,0,11630*1000*SER_hh_fec_in!S31/SER_hh_num_in!S31)</f>
        <v>33694.128653579435</v>
      </c>
      <c r="T31" s="133">
        <f>IF(SER_hh_fec_in!T31=0,0,11630*1000*SER_hh_fec_in!T31/SER_hh_num_in!T31)</f>
        <v>33739.140926116059</v>
      </c>
      <c r="U31" s="133">
        <f>IF(SER_hh_fec_in!U31=0,0,11630*1000*SER_hh_fec_in!U31/SER_hh_num_in!U31)</f>
        <v>32792.849670992633</v>
      </c>
      <c r="V31" s="133">
        <f>IF(SER_hh_fec_in!V31=0,0,11630*1000*SER_hh_fec_in!V31/SER_hh_num_in!V31)</f>
        <v>29084.531802768248</v>
      </c>
      <c r="W31" s="133">
        <f>IF(SER_hh_fec_in!W31=0,0,11630*1000*SER_hh_fec_in!W31/SER_hh_num_in!W31)</f>
        <v>33088.921842895594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44621.184488384119</v>
      </c>
      <c r="L32" s="133">
        <f>IF(SER_hh_fec_in!L32=0,0,11630*1000*SER_hh_fec_in!L32/SER_hh_num_in!L32)</f>
        <v>35433.356303834458</v>
      </c>
      <c r="M32" s="133">
        <f>IF(SER_hh_fec_in!M32=0,0,11630*1000*SER_hh_fec_in!M32/SER_hh_num_in!M32)</f>
        <v>29830.26550827899</v>
      </c>
      <c r="N32" s="133">
        <f>IF(SER_hh_fec_in!N32=0,0,11630*1000*SER_hh_fec_in!N32/SER_hh_num_in!N32)</f>
        <v>31772.75365826939</v>
      </c>
      <c r="O32" s="133">
        <f>IF(SER_hh_fec_in!O32=0,0,11630*1000*SER_hh_fec_in!O32/SER_hh_num_in!O32)</f>
        <v>32343.287012832006</v>
      </c>
      <c r="P32" s="133">
        <f>IF(SER_hh_fec_in!P32=0,0,11630*1000*SER_hh_fec_in!P32/SER_hh_num_in!P32)</f>
        <v>30605.420173051851</v>
      </c>
      <c r="Q32" s="133">
        <f>IF(SER_hh_fec_in!Q32=0,0,11630*1000*SER_hh_fec_in!Q32/SER_hh_num_in!Q32)</f>
        <v>30493.205897835618</v>
      </c>
      <c r="R32" s="133">
        <f>IF(SER_hh_fec_in!R32=0,0,11630*1000*SER_hh_fec_in!R32/SER_hh_num_in!R32)</f>
        <v>29560.379515740275</v>
      </c>
      <c r="S32" s="133">
        <f>IF(SER_hh_fec_in!S32=0,0,11630*1000*SER_hh_fec_in!S32/SER_hh_num_in!S32)</f>
        <v>30814.69813418663</v>
      </c>
      <c r="T32" s="133">
        <f>IF(SER_hh_fec_in!T32=0,0,11630*1000*SER_hh_fec_in!T32/SER_hh_num_in!T32)</f>
        <v>37141.768823657825</v>
      </c>
      <c r="U32" s="133">
        <f>IF(SER_hh_fec_in!U32=0,0,11630*1000*SER_hh_fec_in!U32/SER_hh_num_in!U32)</f>
        <v>38749.736881902187</v>
      </c>
      <c r="V32" s="133">
        <f>IF(SER_hh_fec_in!V32=0,0,11630*1000*SER_hh_fec_in!V32/SER_hh_num_in!V32)</f>
        <v>31014.578948111342</v>
      </c>
      <c r="W32" s="133">
        <f>IF(SER_hh_fec_in!W32=0,0,11630*1000*SER_hh_fec_in!W32/SER_hh_num_in!W32)</f>
        <v>32314.711482306346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19996.79550664618</v>
      </c>
      <c r="D33" s="68">
        <f>IF(SER_hh_fec_in!D33=0,0,11630*1000*SER_hh_fec_in!D33/SER_hh_num_in!D33)</f>
        <v>20466.303685320836</v>
      </c>
      <c r="E33" s="68">
        <f>IF(SER_hh_fec_in!E33=0,0,11630*1000*SER_hh_fec_in!E33/SER_hh_num_in!E33)</f>
        <v>19786.278651416669</v>
      </c>
      <c r="F33" s="68">
        <f>IF(SER_hh_fec_in!F33=0,0,11630*1000*SER_hh_fec_in!F33/SER_hh_num_in!F33)</f>
        <v>20159.430264586281</v>
      </c>
      <c r="G33" s="68">
        <f>IF(SER_hh_fec_in!G33=0,0,11630*1000*SER_hh_fec_in!G33/SER_hh_num_in!G33)</f>
        <v>20431.758080242576</v>
      </c>
      <c r="H33" s="68">
        <f>IF(SER_hh_fec_in!H33=0,0,11630*1000*SER_hh_fec_in!H33/SER_hh_num_in!H33)</f>
        <v>20614.813863283503</v>
      </c>
      <c r="I33" s="68">
        <f>IF(SER_hh_fec_in!I33=0,0,11630*1000*SER_hh_fec_in!I33/SER_hh_num_in!I33)</f>
        <v>20966.731867914255</v>
      </c>
      <c r="J33" s="68">
        <f>IF(SER_hh_fec_in!J33=0,0,11630*1000*SER_hh_fec_in!J33/SER_hh_num_in!J33)</f>
        <v>21634.149507130565</v>
      </c>
      <c r="K33" s="68">
        <f>IF(SER_hh_fec_in!K33=0,0,11630*1000*SER_hh_fec_in!K33/SER_hh_num_in!K33)</f>
        <v>22257.519593259018</v>
      </c>
      <c r="L33" s="68">
        <f>IF(SER_hh_fec_in!L33=0,0,11630*1000*SER_hh_fec_in!L33/SER_hh_num_in!L33)</f>
        <v>22459.875574328704</v>
      </c>
      <c r="M33" s="68">
        <f>IF(SER_hh_fec_in!M33=0,0,11630*1000*SER_hh_fec_in!M33/SER_hh_num_in!M33)</f>
        <v>22603.519953216721</v>
      </c>
      <c r="N33" s="68">
        <f>IF(SER_hh_fec_in!N33=0,0,11630*1000*SER_hh_fec_in!N33/SER_hh_num_in!N33)</f>
        <v>23387.450201731244</v>
      </c>
      <c r="O33" s="68">
        <f>IF(SER_hh_fec_in!O33=0,0,11630*1000*SER_hh_fec_in!O33/SER_hh_num_in!O33)</f>
        <v>23755.421167495177</v>
      </c>
      <c r="P33" s="68">
        <f>IF(SER_hh_fec_in!P33=0,0,11630*1000*SER_hh_fec_in!P33/SER_hh_num_in!P33)</f>
        <v>24055.640395476828</v>
      </c>
      <c r="Q33" s="68">
        <f>IF(SER_hh_fec_in!Q33=0,0,11630*1000*SER_hh_fec_in!Q33/SER_hh_num_in!Q33)</f>
        <v>23689.818801805395</v>
      </c>
      <c r="R33" s="68">
        <f>IF(SER_hh_fec_in!R33=0,0,11630*1000*SER_hh_fec_in!R33/SER_hh_num_in!R33)</f>
        <v>23897.790747897732</v>
      </c>
      <c r="S33" s="68">
        <f>IF(SER_hh_fec_in!S33=0,0,11630*1000*SER_hh_fec_in!S33/SER_hh_num_in!S33)</f>
        <v>24006.823908046976</v>
      </c>
      <c r="T33" s="68">
        <f>IF(SER_hh_fec_in!T33=0,0,11630*1000*SER_hh_fec_in!T33/SER_hh_num_in!T33)</f>
        <v>23960.228462349787</v>
      </c>
      <c r="U33" s="68">
        <f>IF(SER_hh_fec_in!U33=0,0,11630*1000*SER_hh_fec_in!U33/SER_hh_num_in!U33)</f>
        <v>23925.90133690957</v>
      </c>
      <c r="V33" s="68">
        <f>IF(SER_hh_fec_in!V33=0,0,11630*1000*SER_hh_fec_in!V33/SER_hh_num_in!V33)</f>
        <v>20553.196962042322</v>
      </c>
      <c r="W33" s="68">
        <f>IF(SER_hh_fec_in!W33=0,0,11630*1000*SER_hh_fec_in!W33/SER_hh_num_in!W33)</f>
        <v>23612.308453745103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117259.43368079308</v>
      </c>
      <c r="D3" s="126">
        <f>IF(SER_hh_tes_in!D3=0,0,11630*1000*SER_hh_tes_in!D3/SER_hh_num_in!D3)</f>
        <v>116109.08157764723</v>
      </c>
      <c r="E3" s="126">
        <f>IF(SER_hh_tes_in!E3=0,0,11630*1000*SER_hh_tes_in!E3/SER_hh_num_in!E3)</f>
        <v>129462.50136264332</v>
      </c>
      <c r="F3" s="126">
        <f>IF(SER_hh_tes_in!F3=0,0,11630*1000*SER_hh_tes_in!F3/SER_hh_num_in!F3)</f>
        <v>113894.57516956757</v>
      </c>
      <c r="G3" s="126">
        <f>IF(SER_hh_tes_in!G3=0,0,11630*1000*SER_hh_tes_in!G3/SER_hh_num_in!G3)</f>
        <v>116189.84005528751</v>
      </c>
      <c r="H3" s="126">
        <f>IF(SER_hh_tes_in!H3=0,0,11630*1000*SER_hh_tes_in!H3/SER_hh_num_in!H3)</f>
        <v>110808.24454384268</v>
      </c>
      <c r="I3" s="126">
        <f>IF(SER_hh_tes_in!I3=0,0,11630*1000*SER_hh_tes_in!I3/SER_hh_num_in!I3)</f>
        <v>107671.41688945686</v>
      </c>
      <c r="J3" s="126">
        <f>IF(SER_hh_tes_in!J3=0,0,11630*1000*SER_hh_tes_in!J3/SER_hh_num_in!J3)</f>
        <v>109554.92742349874</v>
      </c>
      <c r="K3" s="126">
        <f>IF(SER_hh_tes_in!K3=0,0,11630*1000*SER_hh_tes_in!K3/SER_hh_num_in!K3)</f>
        <v>105890.06758235578</v>
      </c>
      <c r="L3" s="126">
        <f>IF(SER_hh_tes_in!L3=0,0,11630*1000*SER_hh_tes_in!L3/SER_hh_num_in!L3)</f>
        <v>112210.3438279965</v>
      </c>
      <c r="M3" s="126">
        <f>IF(SER_hh_tes_in!M3=0,0,11630*1000*SER_hh_tes_in!M3/SER_hh_num_in!M3)</f>
        <v>108865.7558297222</v>
      </c>
      <c r="N3" s="126">
        <f>IF(SER_hh_tes_in!N3=0,0,11630*1000*SER_hh_tes_in!N3/SER_hh_num_in!N3)</f>
        <v>113730.94244402405</v>
      </c>
      <c r="O3" s="126">
        <f>IF(SER_hh_tes_in!O3=0,0,11630*1000*SER_hh_tes_in!O3/SER_hh_num_in!O3)</f>
        <v>99351.33723269873</v>
      </c>
      <c r="P3" s="126">
        <f>IF(SER_hh_tes_in!P3=0,0,11630*1000*SER_hh_tes_in!P3/SER_hh_num_in!P3)</f>
        <v>86979.356933497576</v>
      </c>
      <c r="Q3" s="126">
        <f>IF(SER_hh_tes_in!Q3=0,0,11630*1000*SER_hh_tes_in!Q3/SER_hh_num_in!Q3)</f>
        <v>103228.55512080278</v>
      </c>
      <c r="R3" s="126">
        <f>IF(SER_hh_tes_in!R3=0,0,11630*1000*SER_hh_tes_in!R3/SER_hh_num_in!R3)</f>
        <v>93574.611755999576</v>
      </c>
      <c r="S3" s="126">
        <f>IF(SER_hh_tes_in!S3=0,0,11630*1000*SER_hh_tes_in!S3/SER_hh_num_in!S3)</f>
        <v>104816.38151883468</v>
      </c>
      <c r="T3" s="126">
        <f>IF(SER_hh_tes_in!T3=0,0,11630*1000*SER_hh_tes_in!T3/SER_hh_num_in!T3)</f>
        <v>98697.18922914697</v>
      </c>
      <c r="U3" s="126">
        <f>IF(SER_hh_tes_in!U3=0,0,11630*1000*SER_hh_tes_in!U3/SER_hh_num_in!U3)</f>
        <v>99897.566527489151</v>
      </c>
      <c r="V3" s="126">
        <f>IF(SER_hh_tes_in!V3=0,0,11630*1000*SER_hh_tes_in!V3/SER_hh_num_in!V3)</f>
        <v>84053.665723844228</v>
      </c>
      <c r="W3" s="126">
        <f>IF(SER_hh_tes_in!W3=0,0,11630*1000*SER_hh_tes_in!W3/SER_hh_num_in!W3)</f>
        <v>92257.320080692298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66424.093757855939</v>
      </c>
      <c r="D4" s="131">
        <f>IF(SER_hh_tes_in!D4=0,0,11630*1000*SER_hh_tes_in!D4/SER_hh_num_in!D4)</f>
        <v>66169.223135846449</v>
      </c>
      <c r="E4" s="131">
        <f>IF(SER_hh_tes_in!E4=0,0,11630*1000*SER_hh_tes_in!E4/SER_hh_num_in!E4)</f>
        <v>65078.904685747359</v>
      </c>
      <c r="F4" s="131">
        <f>IF(SER_hh_tes_in!F4=0,0,11630*1000*SER_hh_tes_in!F4/SER_hh_num_in!F4)</f>
        <v>64283.645216455981</v>
      </c>
      <c r="G4" s="131">
        <f>IF(SER_hh_tes_in!G4=0,0,11630*1000*SER_hh_tes_in!G4/SER_hh_num_in!G4)</f>
        <v>66331.873201229027</v>
      </c>
      <c r="H4" s="131">
        <f>IF(SER_hh_tes_in!H4=0,0,11630*1000*SER_hh_tes_in!H4/SER_hh_num_in!H4)</f>
        <v>58460.268298266848</v>
      </c>
      <c r="I4" s="131">
        <f>IF(SER_hh_tes_in!I4=0,0,11630*1000*SER_hh_tes_in!I4/SER_hh_num_in!I4)</f>
        <v>54485.820987931438</v>
      </c>
      <c r="J4" s="131">
        <f>IF(SER_hh_tes_in!J4=0,0,11630*1000*SER_hh_tes_in!J4/SER_hh_num_in!J4)</f>
        <v>56562.893507291192</v>
      </c>
      <c r="K4" s="131">
        <f>IF(SER_hh_tes_in!K4=0,0,11630*1000*SER_hh_tes_in!K4/SER_hh_num_in!K4)</f>
        <v>53036.223258796286</v>
      </c>
      <c r="L4" s="131">
        <f>IF(SER_hh_tes_in!L4=0,0,11630*1000*SER_hh_tes_in!L4/SER_hh_num_in!L4)</f>
        <v>59223.435324933729</v>
      </c>
      <c r="M4" s="131">
        <f>IF(SER_hh_tes_in!M4=0,0,11630*1000*SER_hh_tes_in!M4/SER_hh_num_in!M4)</f>
        <v>54581.197115476498</v>
      </c>
      <c r="N4" s="131">
        <f>IF(SER_hh_tes_in!N4=0,0,11630*1000*SER_hh_tes_in!N4/SER_hh_num_in!N4)</f>
        <v>48188.963771242576</v>
      </c>
      <c r="O4" s="131">
        <f>IF(SER_hh_tes_in!O4=0,0,11630*1000*SER_hh_tes_in!O4/SER_hh_num_in!O4)</f>
        <v>44533.876019140836</v>
      </c>
      <c r="P4" s="131">
        <f>IF(SER_hh_tes_in!P4=0,0,11630*1000*SER_hh_tes_in!P4/SER_hh_num_in!P4)</f>
        <v>36024.252176972179</v>
      </c>
      <c r="Q4" s="131">
        <f>IF(SER_hh_tes_in!Q4=0,0,11630*1000*SER_hh_tes_in!Q4/SER_hh_num_in!Q4)</f>
        <v>41575.113098121554</v>
      </c>
      <c r="R4" s="131">
        <f>IF(SER_hh_tes_in!R4=0,0,11630*1000*SER_hh_tes_in!R4/SER_hh_num_in!R4)</f>
        <v>40617.4021841621</v>
      </c>
      <c r="S4" s="131">
        <f>IF(SER_hh_tes_in!S4=0,0,11630*1000*SER_hh_tes_in!S4/SER_hh_num_in!S4)</f>
        <v>43504.570452626875</v>
      </c>
      <c r="T4" s="131">
        <f>IF(SER_hh_tes_in!T4=0,0,11630*1000*SER_hh_tes_in!T4/SER_hh_num_in!T4)</f>
        <v>44343.273260007692</v>
      </c>
      <c r="U4" s="131">
        <f>IF(SER_hh_tes_in!U4=0,0,11630*1000*SER_hh_tes_in!U4/SER_hh_num_in!U4)</f>
        <v>41731.632677893795</v>
      </c>
      <c r="V4" s="131">
        <f>IF(SER_hh_tes_in!V4=0,0,11630*1000*SER_hh_tes_in!V4/SER_hh_num_in!V4)</f>
        <v>35311.914602211749</v>
      </c>
      <c r="W4" s="131">
        <f>IF(SER_hh_tes_in!W4=0,0,11630*1000*SER_hh_tes_in!W4/SER_hh_num_in!W4)</f>
        <v>36255.904865133554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49260.758995161021</v>
      </c>
      <c r="D5" s="133">
        <f>IF(SER_hh_tes_in!D5=0,0,11630*1000*SER_hh_tes_in!D5/SER_hh_num_in!D5)</f>
        <v>67515.886780759422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61647.387475710908</v>
      </c>
      <c r="K5" s="133">
        <f>IF(SER_hh_tes_in!K5=0,0,11630*1000*SER_hh_tes_in!K5/SER_hh_num_in!K5)</f>
        <v>57475.907896455072</v>
      </c>
      <c r="L5" s="133">
        <f>IF(SER_hh_tes_in!L5=0,0,11630*1000*SER_hh_tes_in!L5/SER_hh_num_in!L5)</f>
        <v>34810.125752726664</v>
      </c>
      <c r="M5" s="133">
        <f>IF(SER_hh_tes_in!M5=0,0,11630*1000*SER_hh_tes_in!M5/SER_hh_num_in!M5)</f>
        <v>73600.598486825897</v>
      </c>
      <c r="N5" s="133">
        <f>IF(SER_hh_tes_in!N5=0,0,11630*1000*SER_hh_tes_in!N5/SER_hh_num_in!N5)</f>
        <v>74051.076951775714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74162.193268585572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61951.054079434754</v>
      </c>
      <c r="D7" s="133">
        <f>IF(SER_hh_tes_in!D7=0,0,11630*1000*SER_hh_tes_in!D7/SER_hh_num_in!D7)</f>
        <v>67681.266812876682</v>
      </c>
      <c r="E7" s="133">
        <f>IF(SER_hh_tes_in!E7=0,0,11630*1000*SER_hh_tes_in!E7/SER_hh_num_in!E7)</f>
        <v>65824.373421309967</v>
      </c>
      <c r="F7" s="133">
        <f>IF(SER_hh_tes_in!F7=0,0,11630*1000*SER_hh_tes_in!F7/SER_hh_num_in!F7)</f>
        <v>66586.836997574355</v>
      </c>
      <c r="G7" s="133">
        <f>IF(SER_hh_tes_in!G7=0,0,11630*1000*SER_hh_tes_in!G7/SER_hh_num_in!G7)</f>
        <v>63559.095885261529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52937.251888272745</v>
      </c>
      <c r="L7" s="133">
        <f>IF(SER_hh_tes_in!L7=0,0,11630*1000*SER_hh_tes_in!L7/SER_hh_num_in!L7)</f>
        <v>54712.545486076153</v>
      </c>
      <c r="M7" s="133">
        <f>IF(SER_hh_tes_in!M7=0,0,11630*1000*SER_hh_tes_in!M7/SER_hh_num_in!M7)</f>
        <v>54038.03075809274</v>
      </c>
      <c r="N7" s="133">
        <f>IF(SER_hh_tes_in!N7=0,0,11630*1000*SER_hh_tes_in!N7/SER_hh_num_in!N7)</f>
        <v>47109.657255153776</v>
      </c>
      <c r="O7" s="133">
        <f>IF(SER_hh_tes_in!O7=0,0,11630*1000*SER_hh_tes_in!O7/SER_hh_num_in!O7)</f>
        <v>42139.715870837637</v>
      </c>
      <c r="P7" s="133">
        <f>IF(SER_hh_tes_in!P7=0,0,11630*1000*SER_hh_tes_in!P7/SER_hh_num_in!P7)</f>
        <v>32070.457739720467</v>
      </c>
      <c r="Q7" s="133">
        <f>IF(SER_hh_tes_in!Q7=0,0,11630*1000*SER_hh_tes_in!Q7/SER_hh_num_in!Q7)</f>
        <v>42031.693279527324</v>
      </c>
      <c r="R7" s="133">
        <f>IF(SER_hh_tes_in!R7=0,0,11630*1000*SER_hh_tes_in!R7/SER_hh_num_in!R7)</f>
        <v>41835.002286171046</v>
      </c>
      <c r="S7" s="133">
        <f>IF(SER_hh_tes_in!S7=0,0,11630*1000*SER_hh_tes_in!S7/SER_hh_num_in!S7)</f>
        <v>44638.392096875745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70900.021858227308</v>
      </c>
      <c r="D9" s="133">
        <f>IF(SER_hh_tes_in!D9=0,0,11630*1000*SER_hh_tes_in!D9/SER_hh_num_in!D9)</f>
        <v>61978.001970172438</v>
      </c>
      <c r="E9" s="133">
        <f>IF(SER_hh_tes_in!E9=0,0,11630*1000*SER_hh_tes_in!E9/SER_hh_num_in!E9)</f>
        <v>63128.580629330965</v>
      </c>
      <c r="F9" s="133">
        <f>IF(SER_hh_tes_in!F9=0,0,11630*1000*SER_hh_tes_in!F9/SER_hh_num_in!F9)</f>
        <v>63235.408870786086</v>
      </c>
      <c r="G9" s="133">
        <f>IF(SER_hh_tes_in!G9=0,0,11630*1000*SER_hh_tes_in!G9/SER_hh_num_in!G9)</f>
        <v>64658.477399822179</v>
      </c>
      <c r="H9" s="133">
        <f>IF(SER_hh_tes_in!H9=0,0,11630*1000*SER_hh_tes_in!H9/SER_hh_num_in!H9)</f>
        <v>57835.569911720442</v>
      </c>
      <c r="I9" s="133">
        <f>IF(SER_hh_tes_in!I9=0,0,11630*1000*SER_hh_tes_in!I9/SER_hh_num_in!I9)</f>
        <v>51986.614239314404</v>
      </c>
      <c r="J9" s="133">
        <f>IF(SER_hh_tes_in!J9=0,0,11630*1000*SER_hh_tes_in!J9/SER_hh_num_in!J9)</f>
        <v>54135.917828719015</v>
      </c>
      <c r="K9" s="133">
        <f>IF(SER_hh_tes_in!K9=0,0,11630*1000*SER_hh_tes_in!K9/SER_hh_num_in!K9)</f>
        <v>52428.649900981203</v>
      </c>
      <c r="L9" s="133">
        <f>IF(SER_hh_tes_in!L9=0,0,11630*1000*SER_hh_tes_in!L9/SER_hh_num_in!L9)</f>
        <v>61401.28336516703</v>
      </c>
      <c r="M9" s="133">
        <f>IF(SER_hh_tes_in!M9=0,0,11630*1000*SER_hh_tes_in!M9/SER_hh_num_in!M9)</f>
        <v>52344.996286349517</v>
      </c>
      <c r="N9" s="133">
        <f>IF(SER_hh_tes_in!N9=0,0,11630*1000*SER_hh_tes_in!N9/SER_hh_num_in!N9)</f>
        <v>45254.802977564003</v>
      </c>
      <c r="O9" s="133">
        <f>IF(SER_hh_tes_in!O9=0,0,11630*1000*SER_hh_tes_in!O9/SER_hh_num_in!O9)</f>
        <v>42418.795364081067</v>
      </c>
      <c r="P9" s="133">
        <f>IF(SER_hh_tes_in!P9=0,0,11630*1000*SER_hh_tes_in!P9/SER_hh_num_in!P9)</f>
        <v>35160.197039377636</v>
      </c>
      <c r="Q9" s="133">
        <f>IF(SER_hh_tes_in!Q9=0,0,11630*1000*SER_hh_tes_in!Q9/SER_hh_num_in!Q9)</f>
        <v>41720.714601044296</v>
      </c>
      <c r="R9" s="133">
        <f>IF(SER_hh_tes_in!R9=0,0,11630*1000*SER_hh_tes_in!R9/SER_hh_num_in!R9)</f>
        <v>42006.207188404493</v>
      </c>
      <c r="S9" s="133">
        <f>IF(SER_hh_tes_in!S9=0,0,11630*1000*SER_hh_tes_in!S9/SER_hh_num_in!S9)</f>
        <v>42484.944604779201</v>
      </c>
      <c r="T9" s="133">
        <f>IF(SER_hh_tes_in!T9=0,0,11630*1000*SER_hh_tes_in!T9/SER_hh_num_in!T9)</f>
        <v>42500.424440579278</v>
      </c>
      <c r="U9" s="133">
        <f>IF(SER_hh_tes_in!U9=0,0,11630*1000*SER_hh_tes_in!U9/SER_hh_num_in!U9)</f>
        <v>40835.347931297954</v>
      </c>
      <c r="V9" s="133">
        <f>IF(SER_hh_tes_in!V9=0,0,11630*1000*SER_hh_tes_in!V9/SER_hh_num_in!V9)</f>
        <v>34964.375099031189</v>
      </c>
      <c r="W9" s="133">
        <f>IF(SER_hh_tes_in!W9=0,0,11630*1000*SER_hh_tes_in!W9/SER_hh_num_in!W9)</f>
        <v>36128.824691004185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77804.276083120247</v>
      </c>
      <c r="J10" s="133">
        <f>IF(SER_hh_tes_in!J10=0,0,11630*1000*SER_hh_tes_in!J10/SER_hh_num_in!J10)</f>
        <v>54664.037967331627</v>
      </c>
      <c r="K10" s="133">
        <f>IF(SER_hh_tes_in!K10=0,0,11630*1000*SER_hh_tes_in!K10/SER_hh_num_in!K10)</f>
        <v>60617.096961720301</v>
      </c>
      <c r="L10" s="133">
        <f>IF(SER_hh_tes_in!L10=0,0,11630*1000*SER_hh_tes_in!L10/SER_hh_num_in!L10)</f>
        <v>51360.772030718959</v>
      </c>
      <c r="M10" s="133">
        <f>IF(SER_hh_tes_in!M10=0,0,11630*1000*SER_hh_tes_in!M10/SER_hh_num_in!M10)</f>
        <v>59490.431268531232</v>
      </c>
      <c r="N10" s="133">
        <f>IF(SER_hh_tes_in!N10=0,0,11630*1000*SER_hh_tes_in!N10/SER_hh_num_in!N10)</f>
        <v>44997.771799050373</v>
      </c>
      <c r="O10" s="133">
        <f>IF(SER_hh_tes_in!O10=0,0,11630*1000*SER_hh_tes_in!O10/SER_hh_num_in!O10)</f>
        <v>37615.024682553274</v>
      </c>
      <c r="P10" s="133">
        <f>IF(SER_hh_tes_in!P10=0,0,11630*1000*SER_hh_tes_in!P10/SER_hh_num_in!P10)</f>
        <v>38211.364389772556</v>
      </c>
      <c r="Q10" s="133">
        <f>IF(SER_hh_tes_in!Q10=0,0,11630*1000*SER_hh_tes_in!Q10/SER_hh_num_in!Q10)</f>
        <v>40465.603017815301</v>
      </c>
      <c r="R10" s="133">
        <f>IF(SER_hh_tes_in!R10=0,0,11630*1000*SER_hh_tes_in!R10/SER_hh_num_in!R10)</f>
        <v>42705.876245172294</v>
      </c>
      <c r="S10" s="133">
        <f>IF(SER_hh_tes_in!S10=0,0,11630*1000*SER_hh_tes_in!S10/SER_hh_num_in!S10)</f>
        <v>42956.217172558441</v>
      </c>
      <c r="T10" s="133">
        <f>IF(SER_hh_tes_in!T10=0,0,11630*1000*SER_hh_tes_in!T10/SER_hh_num_in!T10)</f>
        <v>41910.616228052582</v>
      </c>
      <c r="U10" s="133">
        <f>IF(SER_hh_tes_in!U10=0,0,11630*1000*SER_hh_tes_in!U10/SER_hh_num_in!U10)</f>
        <v>42500.896745498634</v>
      </c>
      <c r="V10" s="133">
        <f>IF(SER_hh_tes_in!V10=0,0,11630*1000*SER_hh_tes_in!V10/SER_hh_num_in!V10)</f>
        <v>38852.911481599491</v>
      </c>
      <c r="W10" s="133">
        <f>IF(SER_hh_tes_in!W10=0,0,11630*1000*SER_hh_tes_in!W10/SER_hh_num_in!W10)</f>
        <v>31709.046670635602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80361.382161246176</v>
      </c>
      <c r="J11" s="133">
        <f>IF(SER_hh_tes_in!J11=0,0,11630*1000*SER_hh_tes_in!J11/SER_hh_num_in!J11)</f>
        <v>55524.13552438726</v>
      </c>
      <c r="K11" s="133">
        <f>IF(SER_hh_tes_in!K11=0,0,11630*1000*SER_hh_tes_in!K11/SER_hh_num_in!K11)</f>
        <v>41617.439146432785</v>
      </c>
      <c r="L11" s="133">
        <f>IF(SER_hh_tes_in!L11=0,0,11630*1000*SER_hh_tes_in!L11/SER_hh_num_in!L11)</f>
        <v>66563.505088428021</v>
      </c>
      <c r="M11" s="133">
        <f>IF(SER_hh_tes_in!M11=0,0,11630*1000*SER_hh_tes_in!M11/SER_hh_num_in!M11)</f>
        <v>56360.660016281479</v>
      </c>
      <c r="N11" s="133">
        <f>IF(SER_hh_tes_in!N11=0,0,11630*1000*SER_hh_tes_in!N11/SER_hh_num_in!N11)</f>
        <v>52066.301259293483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65575.951099902944</v>
      </c>
      <c r="D12" s="133">
        <f>IF(SER_hh_tes_in!D12=0,0,11630*1000*SER_hh_tes_in!D12/SER_hh_num_in!D12)</f>
        <v>62560.049832128869</v>
      </c>
      <c r="E12" s="133">
        <f>IF(SER_hh_tes_in!E12=0,0,11630*1000*SER_hh_tes_in!E12/SER_hh_num_in!E12)</f>
        <v>67826.082582686751</v>
      </c>
      <c r="F12" s="133">
        <f>IF(SER_hh_tes_in!F12=0,0,11630*1000*SER_hh_tes_in!F12/SER_hh_num_in!F12)</f>
        <v>64476.453655393394</v>
      </c>
      <c r="G12" s="133">
        <f>IF(SER_hh_tes_in!G12=0,0,11630*1000*SER_hh_tes_in!G12/SER_hh_num_in!G12)</f>
        <v>67001.979080387158</v>
      </c>
      <c r="H12" s="133">
        <f>IF(SER_hh_tes_in!H12=0,0,11630*1000*SER_hh_tes_in!H12/SER_hh_num_in!H12)</f>
        <v>56758.873035320561</v>
      </c>
      <c r="I12" s="133">
        <f>IF(SER_hh_tes_in!I12=0,0,11630*1000*SER_hh_tes_in!I12/SER_hh_num_in!I12)</f>
        <v>51763.834402790053</v>
      </c>
      <c r="J12" s="133">
        <f>IF(SER_hh_tes_in!J12=0,0,11630*1000*SER_hh_tes_in!J12/SER_hh_num_in!J12)</f>
        <v>55069.09284369259</v>
      </c>
      <c r="K12" s="133">
        <f>IF(SER_hh_tes_in!K12=0,0,11630*1000*SER_hh_tes_in!K12/SER_hh_num_in!K12)</f>
        <v>52220.964283065718</v>
      </c>
      <c r="L12" s="133">
        <f>IF(SER_hh_tes_in!L12=0,0,11630*1000*SER_hh_tes_in!L12/SER_hh_num_in!L12)</f>
        <v>57752.998218063527</v>
      </c>
      <c r="M12" s="133">
        <f>IF(SER_hh_tes_in!M12=0,0,11630*1000*SER_hh_tes_in!M12/SER_hh_num_in!M12)</f>
        <v>54469.355161235857</v>
      </c>
      <c r="N12" s="133">
        <f>IF(SER_hh_tes_in!N12=0,0,11630*1000*SER_hh_tes_in!N12/SER_hh_num_in!N12)</f>
        <v>48605.637296845642</v>
      </c>
      <c r="O12" s="133">
        <f>IF(SER_hh_tes_in!O12=0,0,11630*1000*SER_hh_tes_in!O12/SER_hh_num_in!O12)</f>
        <v>47799.506674479555</v>
      </c>
      <c r="P12" s="133">
        <f>IF(SER_hh_tes_in!P12=0,0,11630*1000*SER_hh_tes_in!P12/SER_hh_num_in!P12)</f>
        <v>34967.914643795171</v>
      </c>
      <c r="Q12" s="133">
        <f>IF(SER_hh_tes_in!Q12=0,0,11630*1000*SER_hh_tes_in!Q12/SER_hh_num_in!Q12)</f>
        <v>39135.995913562045</v>
      </c>
      <c r="R12" s="133">
        <f>IF(SER_hh_tes_in!R12=0,0,11630*1000*SER_hh_tes_in!R12/SER_hh_num_in!R12)</f>
        <v>41707.463784060492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39335.097701339088</v>
      </c>
      <c r="U12" s="133">
        <f>IF(SER_hh_tes_in!U12=0,0,11630*1000*SER_hh_tes_in!U12/SER_hh_num_in!U12)</f>
        <v>36865.216929994145</v>
      </c>
      <c r="V12" s="133">
        <f>IF(SER_hh_tes_in!V12=0,0,11630*1000*SER_hh_tes_in!V12/SER_hh_num_in!V12)</f>
        <v>35805.023638072518</v>
      </c>
      <c r="W12" s="133">
        <f>IF(SER_hh_tes_in!W12=0,0,11630*1000*SER_hh_tes_in!W12/SER_hh_num_in!W12)</f>
        <v>35492.958659279771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65423.748241249959</v>
      </c>
      <c r="D14" s="65">
        <f>IF(SER_hh_tes_in!D14=0,0,11630*1000*SER_hh_tes_in!D14/SER_hh_num_in!D14)</f>
        <v>66854.670619603363</v>
      </c>
      <c r="E14" s="65">
        <f>IF(SER_hh_tes_in!E14=0,0,11630*1000*SER_hh_tes_in!E14/SER_hh_num_in!E14)</f>
        <v>61760.252348726637</v>
      </c>
      <c r="F14" s="65">
        <f>IF(SER_hh_tes_in!F14=0,0,11630*1000*SER_hh_tes_in!F14/SER_hh_num_in!F14)</f>
        <v>63240.972713048228</v>
      </c>
      <c r="G14" s="65">
        <f>IF(SER_hh_tes_in!G14=0,0,11630*1000*SER_hh_tes_in!G14/SER_hh_num_in!G14)</f>
        <v>66321.818975239468</v>
      </c>
      <c r="H14" s="65">
        <f>IF(SER_hh_tes_in!H14=0,0,11630*1000*SER_hh_tes_in!H14/SER_hh_num_in!H14)</f>
        <v>58540.653554990968</v>
      </c>
      <c r="I14" s="65">
        <f>IF(SER_hh_tes_in!I14=0,0,11630*1000*SER_hh_tes_in!I14/SER_hh_num_in!I14)</f>
        <v>50324.686895851744</v>
      </c>
      <c r="J14" s="65">
        <f>IF(SER_hh_tes_in!J14=0,0,11630*1000*SER_hh_tes_in!J14/SER_hh_num_in!J14)</f>
        <v>58412.642950121277</v>
      </c>
      <c r="K14" s="65">
        <f>IF(SER_hh_tes_in!K14=0,0,11630*1000*SER_hh_tes_in!K14/SER_hh_num_in!K14)</f>
        <v>54507.232582634366</v>
      </c>
      <c r="L14" s="65">
        <f>IF(SER_hh_tes_in!L14=0,0,11630*1000*SER_hh_tes_in!L14/SER_hh_num_in!L14)</f>
        <v>54858.701519833834</v>
      </c>
      <c r="M14" s="65">
        <f>IF(SER_hh_tes_in!M14=0,0,11630*1000*SER_hh_tes_in!M14/SER_hh_num_in!M14)</f>
        <v>54306.577301814053</v>
      </c>
      <c r="N14" s="65">
        <f>IF(SER_hh_tes_in!N14=0,0,11630*1000*SER_hh_tes_in!N14/SER_hh_num_in!N14)</f>
        <v>50171.936858148438</v>
      </c>
      <c r="O14" s="65">
        <f>IF(SER_hh_tes_in!O14=0,0,11630*1000*SER_hh_tes_in!O14/SER_hh_num_in!O14)</f>
        <v>47631.352050135196</v>
      </c>
      <c r="P14" s="65">
        <f>IF(SER_hh_tes_in!P14=0,0,11630*1000*SER_hh_tes_in!P14/SER_hh_num_in!P14)</f>
        <v>37220.108495080298</v>
      </c>
      <c r="Q14" s="65">
        <f>IF(SER_hh_tes_in!Q14=0,0,11630*1000*SER_hh_tes_in!Q14/SER_hh_num_in!Q14)</f>
        <v>36891.138282153806</v>
      </c>
      <c r="R14" s="65">
        <f>IF(SER_hh_tes_in!R14=0,0,11630*1000*SER_hh_tes_in!R14/SER_hh_num_in!R14)</f>
        <v>38419.508550322978</v>
      </c>
      <c r="S14" s="65">
        <f>IF(SER_hh_tes_in!S14=0,0,11630*1000*SER_hh_tes_in!S14/SER_hh_num_in!S14)</f>
        <v>43525.449110059119</v>
      </c>
      <c r="T14" s="65">
        <f>IF(SER_hh_tes_in!T14=0,0,11630*1000*SER_hh_tes_in!T14/SER_hh_num_in!T14)</f>
        <v>45418.386366627121</v>
      </c>
      <c r="U14" s="65">
        <f>IF(SER_hh_tes_in!U14=0,0,11630*1000*SER_hh_tes_in!U14/SER_hh_num_in!U14)</f>
        <v>43229.809850693549</v>
      </c>
      <c r="V14" s="65">
        <f>IF(SER_hh_tes_in!V14=0,0,11630*1000*SER_hh_tes_in!V14/SER_hh_num_in!V14)</f>
        <v>33822.202887578824</v>
      </c>
      <c r="W14" s="65">
        <f>IF(SER_hh_tes_in!W14=0,0,11630*1000*SER_hh_tes_in!W14/SER_hh_num_in!W14)</f>
        <v>36476.310313135837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1135.7657649601022</v>
      </c>
      <c r="D15" s="135">
        <f>IF(SER_hh_tes_in!D15=0,0,11630*1000*SER_hh_tes_in!D15/SER_hh_num_in!D15)</f>
        <v>1002.6083340946602</v>
      </c>
      <c r="E15" s="135">
        <f>IF(SER_hh_tes_in!E15=0,0,11630*1000*SER_hh_tes_in!E15/SER_hh_num_in!E15)</f>
        <v>964.40857011822891</v>
      </c>
      <c r="F15" s="135">
        <f>IF(SER_hh_tes_in!F15=0,0,11630*1000*SER_hh_tes_in!F15/SER_hh_num_in!F15)</f>
        <v>906.03124617726644</v>
      </c>
      <c r="G15" s="135">
        <f>IF(SER_hh_tes_in!G15=0,0,11630*1000*SER_hh_tes_in!G15/SER_hh_num_in!G15)</f>
        <v>867.93252152785351</v>
      </c>
      <c r="H15" s="135">
        <f>IF(SER_hh_tes_in!H15=0,0,11630*1000*SER_hh_tes_in!H15/SER_hh_num_in!H15)</f>
        <v>809.60097898916217</v>
      </c>
      <c r="I15" s="135">
        <f>IF(SER_hh_tes_in!I15=0,0,11630*1000*SER_hh_tes_in!I15/SER_hh_num_in!I15)</f>
        <v>626.91853337452847</v>
      </c>
      <c r="J15" s="135">
        <f>IF(SER_hh_tes_in!J15=0,0,11630*1000*SER_hh_tes_in!J15/SER_hh_num_in!J15)</f>
        <v>652.27187506058181</v>
      </c>
      <c r="K15" s="135">
        <f>IF(SER_hh_tes_in!K15=0,0,11630*1000*SER_hh_tes_in!K15/SER_hh_num_in!K15)</f>
        <v>603.17382598506754</v>
      </c>
      <c r="L15" s="135">
        <f>IF(SER_hh_tes_in!L15=0,0,11630*1000*SER_hh_tes_in!L15/SER_hh_num_in!L15)</f>
        <v>668.75658066109793</v>
      </c>
      <c r="M15" s="135">
        <f>IF(SER_hh_tes_in!M15=0,0,11630*1000*SER_hh_tes_in!M15/SER_hh_num_in!M15)</f>
        <v>559.30293558524909</v>
      </c>
      <c r="N15" s="135">
        <f>IF(SER_hh_tes_in!N15=0,0,11630*1000*SER_hh_tes_in!N15/SER_hh_num_in!N15)</f>
        <v>533.49660601734433</v>
      </c>
      <c r="O15" s="135">
        <f>IF(SER_hh_tes_in!O15=0,0,11630*1000*SER_hh_tes_in!O15/SER_hh_num_in!O15)</f>
        <v>567.62238500429419</v>
      </c>
      <c r="P15" s="135">
        <f>IF(SER_hh_tes_in!P15=0,0,11630*1000*SER_hh_tes_in!P15/SER_hh_num_in!P15)</f>
        <v>552.97884619321883</v>
      </c>
      <c r="Q15" s="135">
        <f>IF(SER_hh_tes_in!Q15=0,0,11630*1000*SER_hh_tes_in!Q15/SER_hh_num_in!Q15)</f>
        <v>659.89426063708584</v>
      </c>
      <c r="R15" s="135">
        <f>IF(SER_hh_tes_in!R15=0,0,11630*1000*SER_hh_tes_in!R15/SER_hh_num_in!R15)</f>
        <v>649.07241706847105</v>
      </c>
      <c r="S15" s="135">
        <f>IF(SER_hh_tes_in!S15=0,0,11630*1000*SER_hh_tes_in!S15/SER_hh_num_in!S15)</f>
        <v>656.11250248595741</v>
      </c>
      <c r="T15" s="135">
        <f>IF(SER_hh_tes_in!T15=0,0,11630*1000*SER_hh_tes_in!T15/SER_hh_num_in!T15)</f>
        <v>581.9518047271971</v>
      </c>
      <c r="U15" s="135">
        <f>IF(SER_hh_tes_in!U15=0,0,11630*1000*SER_hh_tes_in!U15/SER_hh_num_in!U15)</f>
        <v>507.32246395376825</v>
      </c>
      <c r="V15" s="135">
        <f>IF(SER_hh_tes_in!V15=0,0,11630*1000*SER_hh_tes_in!V15/SER_hh_num_in!V15)</f>
        <v>404.06117220614118</v>
      </c>
      <c r="W15" s="135">
        <f>IF(SER_hh_tes_in!W15=0,0,11630*1000*SER_hh_tes_in!W15/SER_hh_num_in!W15)</f>
        <v>415.2729911818181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22044.69985796847</v>
      </c>
      <c r="D16" s="131">
        <f>IF(SER_hh_tes_in!D16=0,0,11630*1000*SER_hh_tes_in!D16/SER_hh_num_in!D16)</f>
        <v>21115.698102341692</v>
      </c>
      <c r="E16" s="131">
        <f>IF(SER_hh_tes_in!E16=0,0,11630*1000*SER_hh_tes_in!E16/SER_hh_num_in!E16)</f>
        <v>40106.738827396453</v>
      </c>
      <c r="F16" s="131">
        <f>IF(SER_hh_tes_in!F16=0,0,11630*1000*SER_hh_tes_in!F16/SER_hh_num_in!F16)</f>
        <v>20486.222311490481</v>
      </c>
      <c r="G16" s="131">
        <f>IF(SER_hh_tes_in!G16=0,0,11630*1000*SER_hh_tes_in!G16/SER_hh_num_in!G16)</f>
        <v>20486.86294398905</v>
      </c>
      <c r="H16" s="131">
        <f>IF(SER_hh_tes_in!H16=0,0,11630*1000*SER_hh_tes_in!H16/SER_hh_num_in!H16)</f>
        <v>23054.216329665858</v>
      </c>
      <c r="I16" s="131">
        <f>IF(SER_hh_tes_in!I16=0,0,11630*1000*SER_hh_tes_in!I16/SER_hh_num_in!I16)</f>
        <v>23731.802411326218</v>
      </c>
      <c r="J16" s="131">
        <f>IF(SER_hh_tes_in!J16=0,0,11630*1000*SER_hh_tes_in!J16/SER_hh_num_in!J16)</f>
        <v>22740.301588774422</v>
      </c>
      <c r="K16" s="131">
        <f>IF(SER_hh_tes_in!K16=0,0,11630*1000*SER_hh_tes_in!K16/SER_hh_num_in!K16)</f>
        <v>21495.465764934041</v>
      </c>
      <c r="L16" s="131">
        <f>IF(SER_hh_tes_in!L16=0,0,11630*1000*SER_hh_tes_in!L16/SER_hh_num_in!L16)</f>
        <v>21496.370162358417</v>
      </c>
      <c r="M16" s="131">
        <f>IF(SER_hh_tes_in!M16=0,0,11630*1000*SER_hh_tes_in!M16/SER_hh_num_in!M16)</f>
        <v>22838.346841261548</v>
      </c>
      <c r="N16" s="131">
        <f>IF(SER_hh_tes_in!N16=0,0,11630*1000*SER_hh_tes_in!N16/SER_hh_num_in!N16)</f>
        <v>33099.79781261192</v>
      </c>
      <c r="O16" s="131">
        <f>IF(SER_hh_tes_in!O16=0,0,11630*1000*SER_hh_tes_in!O16/SER_hh_num_in!O16)</f>
        <v>21759.692707908162</v>
      </c>
      <c r="P16" s="131">
        <f>IF(SER_hh_tes_in!P16=0,0,11630*1000*SER_hh_tes_in!P16/SER_hh_num_in!P16)</f>
        <v>17649.505069531027</v>
      </c>
      <c r="Q16" s="131">
        <f>IF(SER_hh_tes_in!Q16=0,0,11630*1000*SER_hh_tes_in!Q16/SER_hh_num_in!Q16)</f>
        <v>28486.405947476993</v>
      </c>
      <c r="R16" s="131">
        <f>IF(SER_hh_tes_in!R16=0,0,11630*1000*SER_hh_tes_in!R16/SER_hh_num_in!R16)</f>
        <v>19230.462155712496</v>
      </c>
      <c r="S16" s="131">
        <f>IF(SER_hh_tes_in!S16=0,0,11630*1000*SER_hh_tes_in!S16/SER_hh_num_in!S16)</f>
        <v>27165.581313622097</v>
      </c>
      <c r="T16" s="131">
        <f>IF(SER_hh_tes_in!T16=0,0,11630*1000*SER_hh_tes_in!T16/SER_hh_num_in!T16)</f>
        <v>19948.199966933233</v>
      </c>
      <c r="U16" s="131">
        <f>IF(SER_hh_tes_in!U16=0,0,11630*1000*SER_hh_tes_in!U16/SER_hh_num_in!U16)</f>
        <v>23467.835411940134</v>
      </c>
      <c r="V16" s="131">
        <f>IF(SER_hh_tes_in!V16=0,0,11630*1000*SER_hh_tes_in!V16/SER_hh_num_in!V16)</f>
        <v>17716.655351069378</v>
      </c>
      <c r="W16" s="131">
        <f>IF(SER_hh_tes_in!W16=0,0,11630*1000*SER_hh_tes_in!W16/SER_hh_num_in!W16)</f>
        <v>21629.600340331428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22040.004002591657</v>
      </c>
      <c r="D17" s="133">
        <f>IF(SER_hh_tes_in!D17=0,0,11630*1000*SER_hh_tes_in!D17/SER_hh_num_in!D17)</f>
        <v>21132.294010345773</v>
      </c>
      <c r="E17" s="133">
        <f>IF(SER_hh_tes_in!E17=0,0,11630*1000*SER_hh_tes_in!E17/SER_hh_num_in!E17)</f>
        <v>40183.163096518256</v>
      </c>
      <c r="F17" s="133">
        <f>IF(SER_hh_tes_in!F17=0,0,11630*1000*SER_hh_tes_in!F17/SER_hh_num_in!F17)</f>
        <v>20527.443595605961</v>
      </c>
      <c r="G17" s="133">
        <f>IF(SER_hh_tes_in!G17=0,0,11630*1000*SER_hh_tes_in!G17/SER_hh_num_in!G17)</f>
        <v>20522.784749267164</v>
      </c>
      <c r="H17" s="133">
        <f>IF(SER_hh_tes_in!H17=0,0,11630*1000*SER_hh_tes_in!H17/SER_hh_num_in!H17)</f>
        <v>23085.360083728039</v>
      </c>
      <c r="I17" s="133">
        <f>IF(SER_hh_tes_in!I17=0,0,11630*1000*SER_hh_tes_in!I17/SER_hh_num_in!I17)</f>
        <v>30371.657754169479</v>
      </c>
      <c r="J17" s="133">
        <f>IF(SER_hh_tes_in!J17=0,0,11630*1000*SER_hh_tes_in!J17/SER_hh_num_in!J17)</f>
        <v>27663.974891435351</v>
      </c>
      <c r="K17" s="133">
        <f>IF(SER_hh_tes_in!K17=0,0,11630*1000*SER_hh_tes_in!K17/SER_hh_num_in!K17)</f>
        <v>21488.680008759766</v>
      </c>
      <c r="L17" s="133">
        <f>IF(SER_hh_tes_in!L17=0,0,11630*1000*SER_hh_tes_in!L17/SER_hh_num_in!L17)</f>
        <v>21482.707831712203</v>
      </c>
      <c r="M17" s="133">
        <f>IF(SER_hh_tes_in!M17=0,0,11630*1000*SER_hh_tes_in!M17/SER_hh_num_in!M17)</f>
        <v>22839.547568609974</v>
      </c>
      <c r="N17" s="133">
        <f>IF(SER_hh_tes_in!N17=0,0,11630*1000*SER_hh_tes_in!N17/SER_hh_num_in!N17)</f>
        <v>28570.62597011395</v>
      </c>
      <c r="O17" s="133">
        <f>IF(SER_hh_tes_in!O17=0,0,11630*1000*SER_hh_tes_in!O17/SER_hh_num_in!O17)</f>
        <v>21759.948509658952</v>
      </c>
      <c r="P17" s="133">
        <f>IF(SER_hh_tes_in!P17=0,0,11630*1000*SER_hh_tes_in!P17/SER_hh_num_in!P17)</f>
        <v>17566.530137194284</v>
      </c>
      <c r="Q17" s="133">
        <f>IF(SER_hh_tes_in!Q17=0,0,11630*1000*SER_hh_tes_in!Q17/SER_hh_num_in!Q17)</f>
        <v>30037.286667913624</v>
      </c>
      <c r="R17" s="133">
        <f>IF(SER_hh_tes_in!R17=0,0,11630*1000*SER_hh_tes_in!R17/SER_hh_num_in!R17)</f>
        <v>19627.921968268802</v>
      </c>
      <c r="S17" s="133">
        <f>IF(SER_hh_tes_in!S17=0,0,11630*1000*SER_hh_tes_in!S17/SER_hh_num_in!S17)</f>
        <v>27644.100982341461</v>
      </c>
      <c r="T17" s="133">
        <f>IF(SER_hh_tes_in!T17=0,0,11630*1000*SER_hh_tes_in!T17/SER_hh_num_in!T17)</f>
        <v>20277.795272909723</v>
      </c>
      <c r="U17" s="133">
        <f>IF(SER_hh_tes_in!U17=0,0,11630*1000*SER_hh_tes_in!U17/SER_hh_num_in!U17)</f>
        <v>23831.360993839466</v>
      </c>
      <c r="V17" s="133">
        <f>IF(SER_hh_tes_in!V17=0,0,11630*1000*SER_hh_tes_in!V17/SER_hh_num_in!V17)</f>
        <v>17848.260803923687</v>
      </c>
      <c r="W17" s="133">
        <f>IF(SER_hh_tes_in!W17=0,0,11630*1000*SER_hh_tes_in!W17/SER_hh_num_in!W17)</f>
        <v>21704.193919001325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22044.704677500784</v>
      </c>
      <c r="D18" s="133">
        <f>IF(SER_hh_tes_in!D18=0,0,11630*1000*SER_hh_tes_in!D18/SER_hh_num_in!D18)</f>
        <v>21115.669684999357</v>
      </c>
      <c r="E18" s="133">
        <f>IF(SER_hh_tes_in!E18=0,0,11630*1000*SER_hh_tes_in!E18/SER_hh_num_in!E18)</f>
        <v>40106.601034553183</v>
      </c>
      <c r="F18" s="133">
        <f>IF(SER_hh_tes_in!F18=0,0,11630*1000*SER_hh_tes_in!F18/SER_hh_num_in!F18)</f>
        <v>20486.15480696383</v>
      </c>
      <c r="G18" s="133">
        <f>IF(SER_hh_tes_in!G18=0,0,11630*1000*SER_hh_tes_in!G18/SER_hh_num_in!G18)</f>
        <v>20486.805506132427</v>
      </c>
      <c r="H18" s="133">
        <f>IF(SER_hh_tes_in!H18=0,0,11630*1000*SER_hh_tes_in!H18/SER_hh_num_in!H18)</f>
        <v>23054.167437720978</v>
      </c>
      <c r="I18" s="133">
        <f>IF(SER_hh_tes_in!I18=0,0,11630*1000*SER_hh_tes_in!I18/SER_hh_num_in!I18)</f>
        <v>23724.643356958954</v>
      </c>
      <c r="J18" s="133">
        <f>IF(SER_hh_tes_in!J18=0,0,11630*1000*SER_hh_tes_in!J18/SER_hh_num_in!J18)</f>
        <v>22734.828955492383</v>
      </c>
      <c r="K18" s="133">
        <f>IF(SER_hh_tes_in!K18=0,0,11630*1000*SER_hh_tes_in!K18/SER_hh_num_in!K18)</f>
        <v>21495.478859948347</v>
      </c>
      <c r="L18" s="133">
        <f>IF(SER_hh_tes_in!L18=0,0,11630*1000*SER_hh_tes_in!L18/SER_hh_num_in!L18)</f>
        <v>21496.405618303568</v>
      </c>
      <c r="M18" s="133">
        <f>IF(SER_hh_tes_in!M18=0,0,11630*1000*SER_hh_tes_in!M18/SER_hh_num_in!M18)</f>
        <v>22838.344026155861</v>
      </c>
      <c r="N18" s="133">
        <f>IF(SER_hh_tes_in!N18=0,0,11630*1000*SER_hh_tes_in!N18/SER_hh_num_in!N18)</f>
        <v>33113.555665324879</v>
      </c>
      <c r="O18" s="133">
        <f>IF(SER_hh_tes_in!O18=0,0,11630*1000*SER_hh_tes_in!O18/SER_hh_num_in!O18)</f>
        <v>21759.691794721453</v>
      </c>
      <c r="P18" s="133">
        <f>IF(SER_hh_tes_in!P18=0,0,11630*1000*SER_hh_tes_in!P18/SER_hh_num_in!P18)</f>
        <v>17649.617933152324</v>
      </c>
      <c r="Q18" s="133">
        <f>IF(SER_hh_tes_in!Q18=0,0,11630*1000*SER_hh_tes_in!Q18/SER_hh_num_in!Q18)</f>
        <v>28473.648937026894</v>
      </c>
      <c r="R18" s="133">
        <f>IF(SER_hh_tes_in!R18=0,0,11630*1000*SER_hh_tes_in!R18/SER_hh_num_in!R18)</f>
        <v>19228.333085839691</v>
      </c>
      <c r="S18" s="133">
        <f>IF(SER_hh_tes_in!S18=0,0,11630*1000*SER_hh_tes_in!S18/SER_hh_num_in!S18)</f>
        <v>27161.915529403184</v>
      </c>
      <c r="T18" s="133">
        <f>IF(SER_hh_tes_in!T18=0,0,11630*1000*SER_hh_tes_in!T18/SER_hh_num_in!T18)</f>
        <v>19944.682257476903</v>
      </c>
      <c r="U18" s="133">
        <f>IF(SER_hh_tes_in!U18=0,0,11630*1000*SER_hh_tes_in!U18/SER_hh_num_in!U18)</f>
        <v>23464.515468059395</v>
      </c>
      <c r="V18" s="133">
        <f>IF(SER_hh_tes_in!V18=0,0,11630*1000*SER_hh_tes_in!V18/SER_hh_num_in!V18)</f>
        <v>17716.330113279186</v>
      </c>
      <c r="W18" s="133">
        <f>IF(SER_hh_tes_in!W18=0,0,11630*1000*SER_hh_tes_in!W18/SER_hh_num_in!W18)</f>
        <v>21629.131792602118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12855.136685536645</v>
      </c>
      <c r="D19" s="131">
        <f>IF(SER_hh_tes_in!D19=0,0,11630*1000*SER_hh_tes_in!D19/SER_hh_num_in!D19)</f>
        <v>13082.190492991889</v>
      </c>
      <c r="E19" s="131">
        <f>IF(SER_hh_tes_in!E19=0,0,11630*1000*SER_hh_tes_in!E19/SER_hh_num_in!E19)</f>
        <v>13007.292427294158</v>
      </c>
      <c r="F19" s="131">
        <f>IF(SER_hh_tes_in!F19=0,0,11630*1000*SER_hh_tes_in!F19/SER_hh_num_in!F19)</f>
        <v>13402.809875462352</v>
      </c>
      <c r="G19" s="131">
        <f>IF(SER_hh_tes_in!G19=0,0,11630*1000*SER_hh_tes_in!G19/SER_hh_num_in!G19)</f>
        <v>13507.785058392341</v>
      </c>
      <c r="H19" s="131">
        <f>IF(SER_hh_tes_in!H19=0,0,11630*1000*SER_hh_tes_in!H19/SER_hh_num_in!H19)</f>
        <v>13203.099618402357</v>
      </c>
      <c r="I19" s="131">
        <f>IF(SER_hh_tes_in!I19=0,0,11630*1000*SER_hh_tes_in!I19/SER_hh_num_in!I19)</f>
        <v>13117.203083610793</v>
      </c>
      <c r="J19" s="131">
        <f>IF(SER_hh_tes_in!J19=0,0,11630*1000*SER_hh_tes_in!J19/SER_hh_num_in!J19)</f>
        <v>13387.34211831683</v>
      </c>
      <c r="K19" s="131">
        <f>IF(SER_hh_tes_in!K19=0,0,11630*1000*SER_hh_tes_in!K19/SER_hh_num_in!K19)</f>
        <v>13460.54863187704</v>
      </c>
      <c r="L19" s="131">
        <f>IF(SER_hh_tes_in!L19=0,0,11630*1000*SER_hh_tes_in!L19/SER_hh_num_in!L19)</f>
        <v>13580.933244610918</v>
      </c>
      <c r="M19" s="131">
        <f>IF(SER_hh_tes_in!M19=0,0,11630*1000*SER_hh_tes_in!M19/SER_hh_num_in!M19)</f>
        <v>13580.219290573763</v>
      </c>
      <c r="N19" s="131">
        <f>IF(SER_hh_tes_in!N19=0,0,11630*1000*SER_hh_tes_in!N19/SER_hh_num_in!N19)</f>
        <v>13913.837896034842</v>
      </c>
      <c r="O19" s="131">
        <f>IF(SER_hh_tes_in!O19=0,0,11630*1000*SER_hh_tes_in!O19/SER_hh_num_in!O19)</f>
        <v>14166.151797318576</v>
      </c>
      <c r="P19" s="131">
        <f>IF(SER_hh_tes_in!P19=0,0,11630*1000*SER_hh_tes_in!P19/SER_hh_num_in!P19)</f>
        <v>14065.93041966487</v>
      </c>
      <c r="Q19" s="131">
        <f>IF(SER_hh_tes_in!Q19=0,0,11630*1000*SER_hh_tes_in!Q19/SER_hh_num_in!Q19)</f>
        <v>13968.881587841463</v>
      </c>
      <c r="R19" s="131">
        <f>IF(SER_hh_tes_in!R19=0,0,11630*1000*SER_hh_tes_in!R19/SER_hh_num_in!R19)</f>
        <v>14012.978852030934</v>
      </c>
      <c r="S19" s="131">
        <f>IF(SER_hh_tes_in!S19=0,0,11630*1000*SER_hh_tes_in!S19/SER_hh_num_in!S19)</f>
        <v>14085.844423783279</v>
      </c>
      <c r="T19" s="131">
        <f>IF(SER_hh_tes_in!T19=0,0,11630*1000*SER_hh_tes_in!T19/SER_hh_num_in!T19)</f>
        <v>14056.366208027002</v>
      </c>
      <c r="U19" s="131">
        <f>IF(SER_hh_tes_in!U19=0,0,11630*1000*SER_hh_tes_in!U19/SER_hh_num_in!U19)</f>
        <v>14007.662050816094</v>
      </c>
      <c r="V19" s="131">
        <f>IF(SER_hh_tes_in!V19=0,0,11630*1000*SER_hh_tes_in!V19/SER_hh_num_in!V19)</f>
        <v>13065.128236584987</v>
      </c>
      <c r="W19" s="131">
        <f>IF(SER_hh_tes_in!W19=0,0,11630*1000*SER_hh_tes_in!W19/SER_hh_num_in!W19)</f>
        <v>13520.792725236084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12955.989481675384</v>
      </c>
      <c r="D21" s="133">
        <f>IF(SER_hh_tes_in!D21=0,0,11630*1000*SER_hh_tes_in!D21/SER_hh_num_in!D21)</f>
        <v>13155.21003975157</v>
      </c>
      <c r="E21" s="133">
        <f>IF(SER_hh_tes_in!E21=0,0,11630*1000*SER_hh_tes_in!E21/SER_hh_num_in!E21)</f>
        <v>13034.504045850081</v>
      </c>
      <c r="F21" s="133">
        <f>IF(SER_hh_tes_in!F21=0,0,11630*1000*SER_hh_tes_in!F21/SER_hh_num_in!F21)</f>
        <v>13279.827260184067</v>
      </c>
      <c r="G21" s="133">
        <f>IF(SER_hh_tes_in!G21=0,0,11630*1000*SER_hh_tes_in!G21/SER_hh_num_in!G21)</f>
        <v>13091.491504322801</v>
      </c>
      <c r="H21" s="133">
        <f>IF(SER_hh_tes_in!H21=0,0,11630*1000*SER_hh_tes_in!H21/SER_hh_num_in!H21)</f>
        <v>13019.499344961636</v>
      </c>
      <c r="I21" s="133">
        <f>IF(SER_hh_tes_in!I21=0,0,11630*1000*SER_hh_tes_in!I21/SER_hh_num_in!I21)</f>
        <v>12804.661724185959</v>
      </c>
      <c r="J21" s="133">
        <f>IF(SER_hh_tes_in!J21=0,0,11630*1000*SER_hh_tes_in!J21/SER_hh_num_in!J21)</f>
        <v>12709.825379534763</v>
      </c>
      <c r="K21" s="133">
        <f>IF(SER_hh_tes_in!K21=0,0,11630*1000*SER_hh_tes_in!K21/SER_hh_num_in!K21)</f>
        <v>13062.348699288197</v>
      </c>
      <c r="L21" s="133">
        <f>IF(SER_hh_tes_in!L21=0,0,11630*1000*SER_hh_tes_in!L21/SER_hh_num_in!L21)</f>
        <v>12357.440640454697</v>
      </c>
      <c r="M21" s="133">
        <f>IF(SER_hh_tes_in!M21=0,0,11630*1000*SER_hh_tes_in!M21/SER_hh_num_in!M21)</f>
        <v>12937.258019370676</v>
      </c>
      <c r="N21" s="133">
        <f>IF(SER_hh_tes_in!N21=0,0,11630*1000*SER_hh_tes_in!N21/SER_hh_num_in!N21)</f>
        <v>11938.801632944982</v>
      </c>
      <c r="O21" s="133">
        <f>IF(SER_hh_tes_in!O21=0,0,11630*1000*SER_hh_tes_in!O21/SER_hh_num_in!O21)</f>
        <v>13567.94509111052</v>
      </c>
      <c r="P21" s="133">
        <f>IF(SER_hh_tes_in!P21=0,0,11630*1000*SER_hh_tes_in!P21/SER_hh_num_in!P21)</f>
        <v>14054.613577631088</v>
      </c>
      <c r="Q21" s="133">
        <f>IF(SER_hh_tes_in!Q21=0,0,11630*1000*SER_hh_tes_in!Q21/SER_hh_num_in!Q21)</f>
        <v>14175.03239750691</v>
      </c>
      <c r="R21" s="133">
        <f>IF(SER_hh_tes_in!R21=0,0,11630*1000*SER_hh_tes_in!R21/SER_hh_num_in!R21)</f>
        <v>11157.899349321626</v>
      </c>
      <c r="S21" s="133">
        <f>IF(SER_hh_tes_in!S21=0,0,11630*1000*SER_hh_tes_in!S21/SER_hh_num_in!S21)</f>
        <v>13334.539424113975</v>
      </c>
      <c r="T21" s="133">
        <f>IF(SER_hh_tes_in!T21=0,0,11630*1000*SER_hh_tes_in!T21/SER_hh_num_in!T21)</f>
        <v>13507.767167354268</v>
      </c>
      <c r="U21" s="133">
        <f>IF(SER_hh_tes_in!U21=0,0,11630*1000*SER_hh_tes_in!U21/SER_hh_num_in!U21)</f>
        <v>12946.11466488332</v>
      </c>
      <c r="V21" s="133">
        <f>IF(SER_hh_tes_in!V21=0,0,11630*1000*SER_hh_tes_in!V21/SER_hh_num_in!V21)</f>
        <v>11555.361931997799</v>
      </c>
      <c r="W21" s="133">
        <f>IF(SER_hh_tes_in!W21=0,0,11630*1000*SER_hh_tes_in!W21/SER_hh_num_in!W21)</f>
        <v>12646.214309966037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12757.820640910883</v>
      </c>
      <c r="D22" s="133">
        <f>IF(SER_hh_tes_in!D22=0,0,11630*1000*SER_hh_tes_in!D22/SER_hh_num_in!D22)</f>
        <v>12822.550970130529</v>
      </c>
      <c r="E22" s="133">
        <f>IF(SER_hh_tes_in!E22=0,0,11630*1000*SER_hh_tes_in!E22/SER_hh_num_in!E22)</f>
        <v>13028.86352980339</v>
      </c>
      <c r="F22" s="133">
        <f>IF(SER_hh_tes_in!F22=0,0,11630*1000*SER_hh_tes_in!F22/SER_hh_num_in!F22)</f>
        <v>12989.674399890446</v>
      </c>
      <c r="G22" s="133">
        <f>IF(SER_hh_tes_in!G22=0,0,11630*1000*SER_hh_tes_in!G22/SER_hh_num_in!G22)</f>
        <v>13196.753177640254</v>
      </c>
      <c r="H22" s="133">
        <f>IF(SER_hh_tes_in!H22=0,0,11630*1000*SER_hh_tes_in!H22/SER_hh_num_in!H22)</f>
        <v>12988.821829100316</v>
      </c>
      <c r="I22" s="133">
        <f>IF(SER_hh_tes_in!I22=0,0,11630*1000*SER_hh_tes_in!I22/SER_hh_num_in!I22)</f>
        <v>13195.269398998713</v>
      </c>
      <c r="J22" s="133">
        <f>IF(SER_hh_tes_in!J22=0,0,11630*1000*SER_hh_tes_in!J22/SER_hh_num_in!J22)</f>
        <v>12835.715381445325</v>
      </c>
      <c r="K22" s="133">
        <f>IF(SER_hh_tes_in!K22=0,0,11630*1000*SER_hh_tes_in!K22/SER_hh_num_in!K22)</f>
        <v>12899.284111727393</v>
      </c>
      <c r="L22" s="133">
        <f>IF(SER_hh_tes_in!L22=0,0,11630*1000*SER_hh_tes_in!L22/SER_hh_num_in!L22)</f>
        <v>11849.047416236428</v>
      </c>
      <c r="M22" s="133">
        <f>IF(SER_hh_tes_in!M22=0,0,11630*1000*SER_hh_tes_in!M22/SER_hh_num_in!M22)</f>
        <v>12268.381032606992</v>
      </c>
      <c r="N22" s="133">
        <f>IF(SER_hh_tes_in!N22=0,0,11630*1000*SER_hh_tes_in!N22/SER_hh_num_in!N22)</f>
        <v>8574.7419247308935</v>
      </c>
      <c r="O22" s="133">
        <f>IF(SER_hh_tes_in!O22=0,0,11630*1000*SER_hh_tes_in!O22/SER_hh_num_in!O22)</f>
        <v>13586.897386088725</v>
      </c>
      <c r="P22" s="133">
        <f>IF(SER_hh_tes_in!P22=0,0,11630*1000*SER_hh_tes_in!P22/SER_hh_num_in!P22)</f>
        <v>13948.690229601201</v>
      </c>
      <c r="Q22" s="133">
        <f>IF(SER_hh_tes_in!Q22=0,0,11630*1000*SER_hh_tes_in!Q22/SER_hh_num_in!Q22)</f>
        <v>12739.752519825381</v>
      </c>
      <c r="R22" s="133">
        <f>IF(SER_hh_tes_in!R22=0,0,11630*1000*SER_hh_tes_in!R22/SER_hh_num_in!R22)</f>
        <v>11184.033780816439</v>
      </c>
      <c r="S22" s="133">
        <f>IF(SER_hh_tes_in!S22=0,0,11630*1000*SER_hh_tes_in!S22/SER_hh_num_in!S22)</f>
        <v>13349.126867855341</v>
      </c>
      <c r="T22" s="133">
        <f>IF(SER_hh_tes_in!T22=0,0,11630*1000*SER_hh_tes_in!T22/SER_hh_num_in!T22)</f>
        <v>13348.293381218726</v>
      </c>
      <c r="U22" s="133">
        <f>IF(SER_hh_tes_in!U22=0,0,11630*1000*SER_hh_tes_in!U22/SER_hh_num_in!U22)</f>
        <v>13470.173053151204</v>
      </c>
      <c r="V22" s="133">
        <f>IF(SER_hh_tes_in!V22=0,0,11630*1000*SER_hh_tes_in!V22/SER_hh_num_in!V22)</f>
        <v>12229.621184204027</v>
      </c>
      <c r="W22" s="133">
        <f>IF(SER_hh_tes_in!W22=0,0,11630*1000*SER_hh_tes_in!W22/SER_hh_num_in!W22)</f>
        <v>13085.410500408592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12720.058290892899</v>
      </c>
      <c r="D23" s="133">
        <f>IF(SER_hh_tes_in!D23=0,0,11630*1000*SER_hh_tes_in!D23/SER_hh_num_in!D23)</f>
        <v>12923.310663013614</v>
      </c>
      <c r="E23" s="133">
        <f>IF(SER_hh_tes_in!E23=0,0,11630*1000*SER_hh_tes_in!E23/SER_hh_num_in!E23)</f>
        <v>12997.501591616707</v>
      </c>
      <c r="F23" s="133">
        <f>IF(SER_hh_tes_in!F23=0,0,11630*1000*SER_hh_tes_in!F23/SER_hh_num_in!F23)</f>
        <v>13122.581399128858</v>
      </c>
      <c r="G23" s="133">
        <f>IF(SER_hh_tes_in!G23=0,0,11630*1000*SER_hh_tes_in!G23/SER_hh_num_in!G23)</f>
        <v>13286.952989662017</v>
      </c>
      <c r="H23" s="133">
        <f>IF(SER_hh_tes_in!H23=0,0,11630*1000*SER_hh_tes_in!H23/SER_hh_num_in!H23)</f>
        <v>13025.201940882063</v>
      </c>
      <c r="I23" s="133">
        <f>IF(SER_hh_tes_in!I23=0,0,11630*1000*SER_hh_tes_in!I23/SER_hh_num_in!I23)</f>
        <v>12860.57061882818</v>
      </c>
      <c r="J23" s="133">
        <f>IF(SER_hh_tes_in!J23=0,0,11630*1000*SER_hh_tes_in!J23/SER_hh_num_in!J23)</f>
        <v>12763.940786457591</v>
      </c>
      <c r="K23" s="133">
        <f>IF(SER_hh_tes_in!K23=0,0,11630*1000*SER_hh_tes_in!K23/SER_hh_num_in!K23)</f>
        <v>12799.781346876014</v>
      </c>
      <c r="L23" s="133">
        <f>IF(SER_hh_tes_in!L23=0,0,11630*1000*SER_hh_tes_in!L23/SER_hh_num_in!L23)</f>
        <v>12170.653006432189</v>
      </c>
      <c r="M23" s="133">
        <f>IF(SER_hh_tes_in!M23=0,0,11630*1000*SER_hh_tes_in!M23/SER_hh_num_in!M23)</f>
        <v>12888.3484605058</v>
      </c>
      <c r="N23" s="133">
        <f>IF(SER_hh_tes_in!N23=0,0,11630*1000*SER_hh_tes_in!N23/SER_hh_num_in!N23)</f>
        <v>12284.668511618427</v>
      </c>
      <c r="O23" s="133">
        <f>IF(SER_hh_tes_in!O23=0,0,11630*1000*SER_hh_tes_in!O23/SER_hh_num_in!O23)</f>
        <v>13492.788122158274</v>
      </c>
      <c r="P23" s="133">
        <f>IF(SER_hh_tes_in!P23=0,0,11630*1000*SER_hh_tes_in!P23/SER_hh_num_in!P23)</f>
        <v>13921.735629447907</v>
      </c>
      <c r="Q23" s="133">
        <f>IF(SER_hh_tes_in!Q23=0,0,11630*1000*SER_hh_tes_in!Q23/SER_hh_num_in!Q23)</f>
        <v>13959.020353818338</v>
      </c>
      <c r="R23" s="133">
        <f>IF(SER_hh_tes_in!R23=0,0,11630*1000*SER_hh_tes_in!R23/SER_hh_num_in!R23)</f>
        <v>12140.709120154112</v>
      </c>
      <c r="S23" s="133">
        <f>IF(SER_hh_tes_in!S23=0,0,11630*1000*SER_hh_tes_in!S23/SER_hh_num_in!S23)</f>
        <v>13546.751843003058</v>
      </c>
      <c r="T23" s="133">
        <f>IF(SER_hh_tes_in!T23=0,0,11630*1000*SER_hh_tes_in!T23/SER_hh_num_in!T23)</f>
        <v>13577.606472388206</v>
      </c>
      <c r="U23" s="133">
        <f>IF(SER_hh_tes_in!U23=0,0,11630*1000*SER_hh_tes_in!U23/SER_hh_num_in!U23)</f>
        <v>13198.09596422036</v>
      </c>
      <c r="V23" s="133">
        <f>IF(SER_hh_tes_in!V23=0,0,11630*1000*SER_hh_tes_in!V23/SER_hh_num_in!V23)</f>
        <v>12215.401248795612</v>
      </c>
      <c r="W23" s="133">
        <f>IF(SER_hh_tes_in!W23=0,0,11630*1000*SER_hh_tes_in!W23/SER_hh_num_in!W23)</f>
        <v>13140.18840428642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12740.033144192581</v>
      </c>
      <c r="D25" s="133">
        <f>IF(SER_hh_tes_in!D25=0,0,11630*1000*SER_hh_tes_in!D25/SER_hh_num_in!D25)</f>
        <v>12801.330940710777</v>
      </c>
      <c r="E25" s="133">
        <f>IF(SER_hh_tes_in!E25=0,0,11630*1000*SER_hh_tes_in!E25/SER_hh_num_in!E25)</f>
        <v>12943.284543064536</v>
      </c>
      <c r="F25" s="133">
        <f>IF(SER_hh_tes_in!F25=0,0,11630*1000*SER_hh_tes_in!F25/SER_hh_num_in!F25)</f>
        <v>13037.347646295273</v>
      </c>
      <c r="G25" s="133">
        <f>IF(SER_hh_tes_in!G25=0,0,11630*1000*SER_hh_tes_in!G25/SER_hh_num_in!G25)</f>
        <v>13236.656638039631</v>
      </c>
      <c r="H25" s="133">
        <f>IF(SER_hh_tes_in!H25=0,0,11630*1000*SER_hh_tes_in!H25/SER_hh_num_in!H25)</f>
        <v>13019.229888454753</v>
      </c>
      <c r="I25" s="133">
        <f>IF(SER_hh_tes_in!I25=0,0,11630*1000*SER_hh_tes_in!I25/SER_hh_num_in!I25)</f>
        <v>12961.454509928342</v>
      </c>
      <c r="J25" s="133">
        <f>IF(SER_hh_tes_in!J25=0,0,11630*1000*SER_hh_tes_in!J25/SER_hh_num_in!J25)</f>
        <v>12705.381466097215</v>
      </c>
      <c r="K25" s="133">
        <f>IF(SER_hh_tes_in!K25=0,0,11630*1000*SER_hh_tes_in!K25/SER_hh_num_in!K25)</f>
        <v>12763.92197681421</v>
      </c>
      <c r="L25" s="133">
        <f>IF(SER_hh_tes_in!L25=0,0,11630*1000*SER_hh_tes_in!L25/SER_hh_num_in!L25)</f>
        <v>12208.322014204026</v>
      </c>
      <c r="M25" s="133">
        <f>IF(SER_hh_tes_in!M25=0,0,11630*1000*SER_hh_tes_in!M25/SER_hh_num_in!M25)</f>
        <v>12968.028516924542</v>
      </c>
      <c r="N25" s="133">
        <f>IF(SER_hh_tes_in!N25=0,0,11630*1000*SER_hh_tes_in!N25/SER_hh_num_in!N25)</f>
        <v>12672.823652485673</v>
      </c>
      <c r="O25" s="133">
        <f>IF(SER_hh_tes_in!O25=0,0,11630*1000*SER_hh_tes_in!O25/SER_hh_num_in!O25)</f>
        <v>13599.112285550184</v>
      </c>
      <c r="P25" s="133">
        <f>IF(SER_hh_tes_in!P25=0,0,11630*1000*SER_hh_tes_in!P25/SER_hh_num_in!P25)</f>
        <v>14106.297137970785</v>
      </c>
      <c r="Q25" s="133">
        <f>IF(SER_hh_tes_in!Q25=0,0,11630*1000*SER_hh_tes_in!Q25/SER_hh_num_in!Q25)</f>
        <v>14019.974135529239</v>
      </c>
      <c r="R25" s="133">
        <f>IF(SER_hh_tes_in!R25=0,0,11630*1000*SER_hh_tes_in!R25/SER_hh_num_in!R25)</f>
        <v>13318.829631499042</v>
      </c>
      <c r="S25" s="133">
        <f>IF(SER_hh_tes_in!S25=0,0,11630*1000*SER_hh_tes_in!S25/SER_hh_num_in!S25)</f>
        <v>13414.438877672428</v>
      </c>
      <c r="T25" s="133">
        <f>IF(SER_hh_tes_in!T25=0,0,11630*1000*SER_hh_tes_in!T25/SER_hh_num_in!T25)</f>
        <v>13397.080518562861</v>
      </c>
      <c r="U25" s="133">
        <f>IF(SER_hh_tes_in!U25=0,0,11630*1000*SER_hh_tes_in!U25/SER_hh_num_in!U25)</f>
        <v>13006.378856038278</v>
      </c>
      <c r="V25" s="133">
        <f>IF(SER_hh_tes_in!V25=0,0,11630*1000*SER_hh_tes_in!V25/SER_hh_num_in!V25)</f>
        <v>12511.648056595322</v>
      </c>
      <c r="W25" s="133">
        <f>IF(SER_hh_tes_in!W25=0,0,11630*1000*SER_hh_tes_in!W25/SER_hh_num_in!W25)</f>
        <v>13004.863861647878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12162.108325869625</v>
      </c>
      <c r="D26" s="65">
        <f>IF(SER_hh_tes_in!D26=0,0,11630*1000*SER_hh_tes_in!D26/SER_hh_num_in!D26)</f>
        <v>11145.574307629066</v>
      </c>
      <c r="E26" s="65">
        <f>IF(SER_hh_tes_in!E26=0,0,11630*1000*SER_hh_tes_in!E26/SER_hh_num_in!E26)</f>
        <v>12043.422431940146</v>
      </c>
      <c r="F26" s="65">
        <f>IF(SER_hh_tes_in!F26=0,0,11630*1000*SER_hh_tes_in!F26/SER_hh_num_in!F26)</f>
        <v>11266.222791429713</v>
      </c>
      <c r="G26" s="65">
        <f>IF(SER_hh_tes_in!G26=0,0,11630*1000*SER_hh_tes_in!G26/SER_hh_num_in!G26)</f>
        <v>11466.117689769591</v>
      </c>
      <c r="H26" s="65">
        <f>IF(SER_hh_tes_in!H26=0,0,11630*1000*SER_hh_tes_in!H26/SER_hh_num_in!H26)</f>
        <v>11441.278234747213</v>
      </c>
      <c r="I26" s="65">
        <f>IF(SER_hh_tes_in!I26=0,0,11630*1000*SER_hh_tes_in!I26/SER_hh_num_in!I26)</f>
        <v>11408.928358331454</v>
      </c>
      <c r="J26" s="65">
        <f>IF(SER_hh_tes_in!J26=0,0,11630*1000*SER_hh_tes_in!J26/SER_hh_num_in!J26)</f>
        <v>6500.7122608074787</v>
      </c>
      <c r="K26" s="65">
        <f>IF(SER_hh_tes_in!K26=0,0,11630*1000*SER_hh_tes_in!K26/SER_hh_num_in!K26)</f>
        <v>6624.6391395197443</v>
      </c>
      <c r="L26" s="65">
        <f>IF(SER_hh_tes_in!L26=0,0,11630*1000*SER_hh_tes_in!L26/SER_hh_num_in!L26)</f>
        <v>3652.2983530891147</v>
      </c>
      <c r="M26" s="65">
        <f>IF(SER_hh_tes_in!M26=0,0,11630*1000*SER_hh_tes_in!M26/SER_hh_num_in!M26)</f>
        <v>3730.1841678678297</v>
      </c>
      <c r="N26" s="65">
        <f>IF(SER_hh_tes_in!N26=0,0,11630*1000*SER_hh_tes_in!N26/SER_hh_num_in!N26)</f>
        <v>3886.5758485095421</v>
      </c>
      <c r="O26" s="65">
        <f>IF(SER_hh_tes_in!O26=0,0,11630*1000*SER_hh_tes_in!O26/SER_hh_num_in!O26)</f>
        <v>3831.3565054093087</v>
      </c>
      <c r="P26" s="65">
        <f>IF(SER_hh_tes_in!P26=0,0,11630*1000*SER_hh_tes_in!P26/SER_hh_num_in!P26)</f>
        <v>5379.0503895867141</v>
      </c>
      <c r="Q26" s="65">
        <f>IF(SER_hh_tes_in!Q26=0,0,11630*1000*SER_hh_tes_in!Q26/SER_hh_num_in!Q26)</f>
        <v>4347.9115559168431</v>
      </c>
      <c r="R26" s="65">
        <f>IF(SER_hh_tes_in!R26=0,0,11630*1000*SER_hh_tes_in!R26/SER_hh_num_in!R26)</f>
        <v>3839.559136837086</v>
      </c>
      <c r="S26" s="65">
        <f>IF(SER_hh_tes_in!S26=0,0,11630*1000*SER_hh_tes_in!S26/SER_hh_num_in!S26)</f>
        <v>3461.3810401316814</v>
      </c>
      <c r="T26" s="65">
        <f>IF(SER_hh_tes_in!T26=0,0,11630*1000*SER_hh_tes_in!T26/SER_hh_num_in!T26)</f>
        <v>3440.3798864425735</v>
      </c>
      <c r="U26" s="65">
        <f>IF(SER_hh_tes_in!U26=0,0,11630*1000*SER_hh_tes_in!U26/SER_hh_num_in!U26)</f>
        <v>3421.2940415200314</v>
      </c>
      <c r="V26" s="65">
        <f>IF(SER_hh_tes_in!V26=0,0,11630*1000*SER_hh_tes_in!V26/SER_hh_num_in!V26)</f>
        <v>2953.143611677549</v>
      </c>
      <c r="W26" s="65">
        <f>IF(SER_hh_tes_in!W26=0,0,11630*1000*SER_hh_tes_in!W26/SER_hh_num_in!W26)</f>
        <v>2976.550939334149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329.85674459449444</v>
      </c>
      <c r="D27" s="146">
        <f>IF(SER_hh_tes_in!D27=0,0,11630*1000*SER_hh_tes_in!D27/SER_hh_num_in!D19)</f>
        <v>772.59238324473438</v>
      </c>
      <c r="E27" s="146">
        <f>IF(SER_hh_tes_in!E27=0,0,11630*1000*SER_hh_tes_in!E27/SER_hh_num_in!E19)</f>
        <v>419.71840270859252</v>
      </c>
      <c r="F27" s="146">
        <f>IF(SER_hh_tes_in!F27=0,0,11630*1000*SER_hh_tes_in!F27/SER_hh_num_in!F19)</f>
        <v>992.3121967751955</v>
      </c>
      <c r="G27" s="146">
        <f>IF(SER_hh_tes_in!G27=0,0,11630*1000*SER_hh_tes_in!G27/SER_hh_num_in!G19)</f>
        <v>885.56309726020322</v>
      </c>
      <c r="H27" s="146">
        <f>IF(SER_hh_tes_in!H27=0,0,11630*1000*SER_hh_tes_in!H27/SER_hh_num_in!H19)</f>
        <v>879.28415322947126</v>
      </c>
      <c r="I27" s="146">
        <f>IF(SER_hh_tes_in!I27=0,0,11630*1000*SER_hh_tes_in!I27/SER_hh_num_in!I19)</f>
        <v>879.49531623554367</v>
      </c>
      <c r="J27" s="146">
        <f>IF(SER_hh_tes_in!J27=0,0,11630*1000*SER_hh_tes_in!J27/SER_hh_num_in!J19)</f>
        <v>2684.8225614481362</v>
      </c>
      <c r="K27" s="146">
        <f>IF(SER_hh_tes_in!K27=0,0,11630*1000*SER_hh_tes_in!K27/SER_hh_num_in!K19)</f>
        <v>2637.415597236954</v>
      </c>
      <c r="L27" s="146">
        <f>IF(SER_hh_tes_in!L27=0,0,11630*1000*SER_hh_tes_in!L27/SER_hh_num_in!L19)</f>
        <v>3937.0001917481768</v>
      </c>
      <c r="M27" s="146">
        <f>IF(SER_hh_tes_in!M27=0,0,11630*1000*SER_hh_tes_in!M27/SER_hh_num_in!M19)</f>
        <v>4250.6955696775522</v>
      </c>
      <c r="N27" s="146">
        <f>IF(SER_hh_tes_in!N27=0,0,11630*1000*SER_hh_tes_in!N27/SER_hh_num_in!N19)</f>
        <v>3597.5484844287944</v>
      </c>
      <c r="O27" s="146">
        <f>IF(SER_hh_tes_in!O27=0,0,11630*1000*SER_hh_tes_in!O27/SER_hh_num_in!O19)</f>
        <v>3057.4033561861024</v>
      </c>
      <c r="P27" s="146">
        <f>IF(SER_hh_tes_in!P27=0,0,11630*1000*SER_hh_tes_in!P27/SER_hh_num_in!P19)</f>
        <v>3475.726403299745</v>
      </c>
      <c r="Q27" s="146">
        <f>IF(SER_hh_tes_in!Q27=0,0,11630*1000*SER_hh_tes_in!Q27/SER_hh_num_in!Q19)</f>
        <v>3307.8441502887385</v>
      </c>
      <c r="R27" s="146">
        <f>IF(SER_hh_tes_in!R27=0,0,11630*1000*SER_hh_tes_in!R27/SER_hh_num_in!R19)</f>
        <v>2789.0781778627229</v>
      </c>
      <c r="S27" s="146">
        <f>IF(SER_hh_tes_in!S27=0,0,11630*1000*SER_hh_tes_in!S27/SER_hh_num_in!S19)</f>
        <v>2998.911535448527</v>
      </c>
      <c r="T27" s="146">
        <f>IF(SER_hh_tes_in!T27=0,0,11630*1000*SER_hh_tes_in!T27/SER_hh_num_in!T19)</f>
        <v>3304.7798221312942</v>
      </c>
      <c r="U27" s="146">
        <f>IF(SER_hh_tes_in!U27=0,0,11630*1000*SER_hh_tes_in!U27/SER_hh_num_in!U19)</f>
        <v>3758.6107009271877</v>
      </c>
      <c r="V27" s="146">
        <f>IF(SER_hh_tes_in!V27=0,0,11630*1000*SER_hh_tes_in!V27/SER_hh_num_in!V19)</f>
        <v>3780.5125783071294</v>
      </c>
      <c r="W27" s="146">
        <f>IF(SER_hh_tes_in!W27=0,0,11630*1000*SER_hh_tes_in!W27/SER_hh_num_in!W19)</f>
        <v>2814.4253291432251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9170.6747841317956</v>
      </c>
      <c r="D28" s="147">
        <f>IF(SER_hh_tes_in!D27=0,0,11630*1000*SER_hh_tes_in!D27/SER_hh_num_in!D27)</f>
        <v>9125.4776592430335</v>
      </c>
      <c r="E28" s="147">
        <f>IF(SER_hh_tes_in!E27=0,0,11630*1000*SER_hh_tes_in!E27/SER_hh_num_in!E27)</f>
        <v>9669.9442361011843</v>
      </c>
      <c r="F28" s="147">
        <f>IF(SER_hh_tes_in!F27=0,0,11630*1000*SER_hh_tes_in!F27/SER_hh_num_in!F27)</f>
        <v>9525.8816908616554</v>
      </c>
      <c r="G28" s="147">
        <f>IF(SER_hh_tes_in!G27=0,0,11630*1000*SER_hh_tes_in!G27/SER_hh_num_in!G27)</f>
        <v>9627.9082339555553</v>
      </c>
      <c r="H28" s="147">
        <f>IF(SER_hh_tes_in!H27=0,0,11630*1000*SER_hh_tes_in!H27/SER_hh_num_in!H27)</f>
        <v>9402.8189233639441</v>
      </c>
      <c r="I28" s="147">
        <f>IF(SER_hh_tes_in!I27=0,0,11630*1000*SER_hh_tes_in!I27/SER_hh_num_in!I27)</f>
        <v>9416.656403787094</v>
      </c>
      <c r="J28" s="147">
        <f>IF(SER_hh_tes_in!J27=0,0,11630*1000*SER_hh_tes_in!J27/SER_hh_num_in!J27)</f>
        <v>9561.4609862409106</v>
      </c>
      <c r="K28" s="147">
        <f>IF(SER_hh_tes_in!K27=0,0,11630*1000*SER_hh_tes_in!K27/SER_hh_num_in!K27)</f>
        <v>9870.3166309917524</v>
      </c>
      <c r="L28" s="147">
        <f>IF(SER_hh_tes_in!L27=0,0,11630*1000*SER_hh_tes_in!L27/SER_hh_num_in!L27)</f>
        <v>9924.7336035933076</v>
      </c>
      <c r="M28" s="147">
        <f>IF(SER_hh_tes_in!M27=0,0,11630*1000*SER_hh_tes_in!M27/SER_hh_num_in!M27)</f>
        <v>9761.0329690525905</v>
      </c>
      <c r="N28" s="147">
        <f>IF(SER_hh_tes_in!N27=0,0,11630*1000*SER_hh_tes_in!N27/SER_hh_num_in!N27)</f>
        <v>9927.606548316382</v>
      </c>
      <c r="O28" s="147">
        <f>IF(SER_hh_tes_in!O27=0,0,11630*1000*SER_hh_tes_in!O27/SER_hh_num_in!O27)</f>
        <v>10520.173165566443</v>
      </c>
      <c r="P28" s="147">
        <f>IF(SER_hh_tes_in!P27=0,0,11630*1000*SER_hh_tes_in!P27/SER_hh_num_in!P27)</f>
        <v>10303.413515572434</v>
      </c>
      <c r="Q28" s="147">
        <f>IF(SER_hh_tes_in!Q27=0,0,11630*1000*SER_hh_tes_in!Q27/SER_hh_num_in!Q27)</f>
        <v>9796.0509104064859</v>
      </c>
      <c r="R28" s="147">
        <f>IF(SER_hh_tes_in!R27=0,0,11630*1000*SER_hh_tes_in!R27/SER_hh_num_in!R27)</f>
        <v>9738.4947828017666</v>
      </c>
      <c r="S28" s="147">
        <f>IF(SER_hh_tes_in!S27=0,0,11630*1000*SER_hh_tes_in!S27/SER_hh_num_in!S27)</f>
        <v>10213.942426647474</v>
      </c>
      <c r="T28" s="147">
        <f>IF(SER_hh_tes_in!T27=0,0,11630*1000*SER_hh_tes_in!T27/SER_hh_num_in!T27)</f>
        <v>10198.762478305427</v>
      </c>
      <c r="U28" s="147">
        <f>IF(SER_hh_tes_in!U27=0,0,11630*1000*SER_hh_tes_in!U27/SER_hh_num_in!U27)</f>
        <v>10156.030706485881</v>
      </c>
      <c r="V28" s="147">
        <f>IF(SER_hh_tes_in!V27=0,0,11630*1000*SER_hh_tes_in!V27/SER_hh_num_in!V27)</f>
        <v>10175.256091127603</v>
      </c>
      <c r="W28" s="147">
        <f>IF(SER_hh_tes_in!W27=0,0,11630*1000*SER_hh_tes_in!W27/SER_hh_num_in!W27)</f>
        <v>9910.4813517187595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15935.503379432021</v>
      </c>
      <c r="D29" s="131">
        <f>IF(SER_hh_tes_in!D29=0,0,11630*1000*SER_hh_tes_in!D29/SER_hh_num_in!D29)</f>
        <v>15741.969846467182</v>
      </c>
      <c r="E29" s="131">
        <f>IF(SER_hh_tes_in!E29=0,0,11630*1000*SER_hh_tes_in!E29/SER_hh_num_in!E29)</f>
        <v>15372.530111299013</v>
      </c>
      <c r="F29" s="131">
        <f>IF(SER_hh_tes_in!F29=0,0,11630*1000*SER_hh_tes_in!F29/SER_hh_num_in!F29)</f>
        <v>15721.897766158752</v>
      </c>
      <c r="G29" s="131">
        <f>IF(SER_hh_tes_in!G29=0,0,11630*1000*SER_hh_tes_in!G29/SER_hh_num_in!G29)</f>
        <v>15863.318851677104</v>
      </c>
      <c r="H29" s="131">
        <f>IF(SER_hh_tes_in!H29=0,0,11630*1000*SER_hh_tes_in!H29/SER_hh_num_in!H29)</f>
        <v>16090.660297507606</v>
      </c>
      <c r="I29" s="131">
        <f>IF(SER_hh_tes_in!I29=0,0,11630*1000*SER_hh_tes_in!I29/SER_hh_num_in!I29)</f>
        <v>16336.590406588424</v>
      </c>
      <c r="J29" s="131">
        <f>IF(SER_hh_tes_in!J29=0,0,11630*1000*SER_hh_tes_in!J29/SER_hh_num_in!J29)</f>
        <v>16864.390209116304</v>
      </c>
      <c r="K29" s="131">
        <f>IF(SER_hh_tes_in!K29=0,0,11630*1000*SER_hh_tes_in!K29/SER_hh_num_in!K29)</f>
        <v>17897.829926748414</v>
      </c>
      <c r="L29" s="131">
        <f>IF(SER_hh_tes_in!L29=0,0,11630*1000*SER_hh_tes_in!L29/SER_hh_num_in!L29)</f>
        <v>17909.605096093437</v>
      </c>
      <c r="M29" s="131">
        <f>IF(SER_hh_tes_in!M29=0,0,11630*1000*SER_hh_tes_in!M29/SER_hh_num_in!M29)</f>
        <v>17865.992582410367</v>
      </c>
      <c r="N29" s="131">
        <f>IF(SER_hh_tes_in!N29=0,0,11630*1000*SER_hh_tes_in!N29/SER_hh_num_in!N29)</f>
        <v>18528.342964134703</v>
      </c>
      <c r="O29" s="131">
        <f>IF(SER_hh_tes_in!O29=0,0,11630*1000*SER_hh_tes_in!O29/SER_hh_num_in!O29)</f>
        <v>18891.616708331174</v>
      </c>
      <c r="P29" s="131">
        <f>IF(SER_hh_tes_in!P29=0,0,11630*1000*SER_hh_tes_in!P29/SER_hh_num_in!P29)</f>
        <v>19239.6692673295</v>
      </c>
      <c r="Q29" s="131">
        <f>IF(SER_hh_tes_in!Q29=0,0,11630*1000*SER_hh_tes_in!Q29/SER_hh_num_in!Q29)</f>
        <v>19198.154487362761</v>
      </c>
      <c r="R29" s="131">
        <f>IF(SER_hh_tes_in!R29=0,0,11630*1000*SER_hh_tes_in!R29/SER_hh_num_in!R29)</f>
        <v>19713.768564094044</v>
      </c>
      <c r="S29" s="131">
        <f>IF(SER_hh_tes_in!S29=0,0,11630*1000*SER_hh_tes_in!S29/SER_hh_num_in!S29)</f>
        <v>20060.385328802433</v>
      </c>
      <c r="T29" s="131">
        <f>IF(SER_hh_tes_in!T29=0,0,11630*1000*SER_hh_tes_in!T29/SER_hh_num_in!T29)</f>
        <v>20349.349794179048</v>
      </c>
      <c r="U29" s="131">
        <f>IF(SER_hh_tes_in!U29=0,0,11630*1000*SER_hh_tes_in!U29/SER_hh_num_in!U29)</f>
        <v>20690.436386839126</v>
      </c>
      <c r="V29" s="131">
        <f>IF(SER_hh_tes_in!V29=0,0,11630*1000*SER_hh_tes_in!V29/SER_hh_num_in!V29)</f>
        <v>17959.967533978106</v>
      </c>
      <c r="W29" s="131">
        <f>IF(SER_hh_tes_in!W29=0,0,11630*1000*SER_hh_tes_in!W29/SER_hh_num_in!W29)</f>
        <v>20851.022149991222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19008.005196481645</v>
      </c>
      <c r="D30" s="133">
        <f>IF(SER_hh_tes_in!D30=0,0,11630*1000*SER_hh_tes_in!D30/SER_hh_num_in!D30)</f>
        <v>14970.065728763891</v>
      </c>
      <c r="E30" s="133">
        <f>IF(SER_hh_tes_in!E30=0,0,11630*1000*SER_hh_tes_in!E30/SER_hh_num_in!E30)</f>
        <v>15542.815599336986</v>
      </c>
      <c r="F30" s="133">
        <f>IF(SER_hh_tes_in!F30=0,0,11630*1000*SER_hh_tes_in!F30/SER_hh_num_in!F30)</f>
        <v>16720.512857419868</v>
      </c>
      <c r="G30" s="133">
        <f>IF(SER_hh_tes_in!G30=0,0,11630*1000*SER_hh_tes_in!G30/SER_hh_num_in!G30)</f>
        <v>15267.90888488802</v>
      </c>
      <c r="H30" s="133">
        <f>IF(SER_hh_tes_in!H30=0,0,11630*1000*SER_hh_tes_in!H30/SER_hh_num_in!H30)</f>
        <v>16691.428769631442</v>
      </c>
      <c r="I30" s="133">
        <f>IF(SER_hh_tes_in!I30=0,0,11630*1000*SER_hh_tes_in!I30/SER_hh_num_in!I30)</f>
        <v>15619.040311195562</v>
      </c>
      <c r="J30" s="133">
        <f>IF(SER_hh_tes_in!J30=0,0,11630*1000*SER_hh_tes_in!J30/SER_hh_num_in!J30)</f>
        <v>16068.785727444258</v>
      </c>
      <c r="K30" s="133">
        <f>IF(SER_hh_tes_in!K30=0,0,11630*1000*SER_hh_tes_in!K30/SER_hh_num_in!K30)</f>
        <v>18928.029954652309</v>
      </c>
      <c r="L30" s="133">
        <f>IF(SER_hh_tes_in!L30=0,0,11630*1000*SER_hh_tes_in!L30/SER_hh_num_in!L30)</f>
        <v>20563.125879791394</v>
      </c>
      <c r="M30" s="133">
        <f>IF(SER_hh_tes_in!M30=0,0,11630*1000*SER_hh_tes_in!M30/SER_hh_num_in!M30)</f>
        <v>18110.799438307895</v>
      </c>
      <c r="N30" s="133">
        <f>IF(SER_hh_tes_in!N30=0,0,11630*1000*SER_hh_tes_in!N30/SER_hh_num_in!N30)</f>
        <v>18210.811557618061</v>
      </c>
      <c r="O30" s="133">
        <f>IF(SER_hh_tes_in!O30=0,0,11630*1000*SER_hh_tes_in!O30/SER_hh_num_in!O30)</f>
        <v>18756.274931089833</v>
      </c>
      <c r="P30" s="133">
        <f>IF(SER_hh_tes_in!P30=0,0,11630*1000*SER_hh_tes_in!P30/SER_hh_num_in!P30)</f>
        <v>18839.234755581165</v>
      </c>
      <c r="Q30" s="133">
        <f>IF(SER_hh_tes_in!Q30=0,0,11630*1000*SER_hh_tes_in!Q30/SER_hh_num_in!Q30)</f>
        <v>18676.22501311879</v>
      </c>
      <c r="R30" s="133">
        <f>IF(SER_hh_tes_in!R30=0,0,11630*1000*SER_hh_tes_in!R30/SER_hh_num_in!R30)</f>
        <v>20915.274788398077</v>
      </c>
      <c r="S30" s="133">
        <f>IF(SER_hh_tes_in!S30=0,0,11630*1000*SER_hh_tes_in!S30/SER_hh_num_in!S30)</f>
        <v>19736.71011891745</v>
      </c>
      <c r="T30" s="133">
        <f>IF(SER_hh_tes_in!T30=0,0,11630*1000*SER_hh_tes_in!T30/SER_hh_num_in!T30)</f>
        <v>19497.606881513551</v>
      </c>
      <c r="U30" s="133">
        <f>IF(SER_hh_tes_in!U30=0,0,11630*1000*SER_hh_tes_in!U30/SER_hh_num_in!U30)</f>
        <v>21317.295472466401</v>
      </c>
      <c r="V30" s="133">
        <f>IF(SER_hh_tes_in!V30=0,0,11630*1000*SER_hh_tes_in!V30/SER_hh_num_in!V30)</f>
        <v>17521.24571909033</v>
      </c>
      <c r="W30" s="133">
        <f>IF(SER_hh_tes_in!W30=0,0,11630*1000*SER_hh_tes_in!W30/SER_hh_num_in!W30)</f>
        <v>21188.137401690648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15624.417167943855</v>
      </c>
      <c r="D31" s="133">
        <f>IF(SER_hh_tes_in!D31=0,0,11630*1000*SER_hh_tes_in!D31/SER_hh_num_in!D31)</f>
        <v>15703.347435527512</v>
      </c>
      <c r="E31" s="133">
        <f>IF(SER_hh_tes_in!E31=0,0,11630*1000*SER_hh_tes_in!E31/SER_hh_num_in!E31)</f>
        <v>15580.720100244511</v>
      </c>
      <c r="F31" s="133">
        <f>IF(SER_hh_tes_in!F31=0,0,11630*1000*SER_hh_tes_in!F31/SER_hh_num_in!F31)</f>
        <v>15492.232479043767</v>
      </c>
      <c r="G31" s="133">
        <f>IF(SER_hh_tes_in!G31=0,0,11630*1000*SER_hh_tes_in!G31/SER_hh_num_in!G31)</f>
        <v>15961.147659001208</v>
      </c>
      <c r="H31" s="133">
        <f>IF(SER_hh_tes_in!H31=0,0,11630*1000*SER_hh_tes_in!H31/SER_hh_num_in!H31)</f>
        <v>15925.886381660017</v>
      </c>
      <c r="I31" s="133">
        <f>IF(SER_hh_tes_in!I31=0,0,11630*1000*SER_hh_tes_in!I31/SER_hh_num_in!I31)</f>
        <v>16403.083767075179</v>
      </c>
      <c r="J31" s="133">
        <f>IF(SER_hh_tes_in!J31=0,0,11630*1000*SER_hh_tes_in!J31/SER_hh_num_in!J31)</f>
        <v>17087.19546447408</v>
      </c>
      <c r="K31" s="133">
        <f>IF(SER_hh_tes_in!K31=0,0,11630*1000*SER_hh_tes_in!K31/SER_hh_num_in!K31)</f>
        <v>17543.443337313936</v>
      </c>
      <c r="L31" s="133">
        <f>IF(SER_hh_tes_in!L31=0,0,11630*1000*SER_hh_tes_in!L31/SER_hh_num_in!L31)</f>
        <v>17556.497144326844</v>
      </c>
      <c r="M31" s="133">
        <f>IF(SER_hh_tes_in!M31=0,0,11630*1000*SER_hh_tes_in!M31/SER_hh_num_in!M31)</f>
        <v>17996.28065933222</v>
      </c>
      <c r="N31" s="133">
        <f>IF(SER_hh_tes_in!N31=0,0,11630*1000*SER_hh_tes_in!N31/SER_hh_num_in!N31)</f>
        <v>18747.729047473829</v>
      </c>
      <c r="O31" s="133">
        <f>IF(SER_hh_tes_in!O31=0,0,11630*1000*SER_hh_tes_in!O31/SER_hh_num_in!O31)</f>
        <v>18642.152338046057</v>
      </c>
      <c r="P31" s="133">
        <f>IF(SER_hh_tes_in!P31=0,0,11630*1000*SER_hh_tes_in!P31/SER_hh_num_in!P31)</f>
        <v>18734.463557966064</v>
      </c>
      <c r="Q31" s="133">
        <f>IF(SER_hh_tes_in!Q31=0,0,11630*1000*SER_hh_tes_in!Q31/SER_hh_num_in!Q31)</f>
        <v>19423.883287018074</v>
      </c>
      <c r="R31" s="133">
        <f>IF(SER_hh_tes_in!R31=0,0,11630*1000*SER_hh_tes_in!R31/SER_hh_num_in!R31)</f>
        <v>19587.870501601978</v>
      </c>
      <c r="S31" s="133">
        <f>IF(SER_hh_tes_in!S31=0,0,11630*1000*SER_hh_tes_in!S31/SER_hh_num_in!S31)</f>
        <v>20411.257077038928</v>
      </c>
      <c r="T31" s="133">
        <f>IF(SER_hh_tes_in!T31=0,0,11630*1000*SER_hh_tes_in!T31/SER_hh_num_in!T31)</f>
        <v>20641.052624965236</v>
      </c>
      <c r="U31" s="133">
        <f>IF(SER_hh_tes_in!U31=0,0,11630*1000*SER_hh_tes_in!U31/SER_hh_num_in!U31)</f>
        <v>20266.005056220321</v>
      </c>
      <c r="V31" s="133">
        <f>IF(SER_hh_tes_in!V31=0,0,11630*1000*SER_hh_tes_in!V31/SER_hh_num_in!V31)</f>
        <v>18142.614110694129</v>
      </c>
      <c r="W31" s="133">
        <f>IF(SER_hh_tes_in!W31=0,0,11630*1000*SER_hh_tes_in!W31/SER_hh_num_in!W31)</f>
        <v>20817.8526277614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25672.738730017387</v>
      </c>
      <c r="L32" s="133">
        <f>IF(SER_hh_tes_in!L32=0,0,11630*1000*SER_hh_tes_in!L32/SER_hh_num_in!L32)</f>
        <v>20398.082834710156</v>
      </c>
      <c r="M32" s="133">
        <f>IF(SER_hh_tes_in!M32=0,0,11630*1000*SER_hh_tes_in!M32/SER_hh_num_in!M32)</f>
        <v>17177.757854765401</v>
      </c>
      <c r="N32" s="133">
        <f>IF(SER_hh_tes_in!N32=0,0,11630*1000*SER_hh_tes_in!N32/SER_hh_num_in!N32)</f>
        <v>18296.33962089234</v>
      </c>
      <c r="O32" s="133">
        <f>IF(SER_hh_tes_in!O32=0,0,11630*1000*SER_hh_tes_in!O32/SER_hh_num_in!O32)</f>
        <v>18624.881242824053</v>
      </c>
      <c r="P32" s="133">
        <f>IF(SER_hh_tes_in!P32=0,0,11630*1000*SER_hh_tes_in!P32/SER_hh_num_in!P32)</f>
        <v>17624.130654490047</v>
      </c>
      <c r="Q32" s="133">
        <f>IF(SER_hh_tes_in!Q32=0,0,11630*1000*SER_hh_tes_in!Q32/SER_hh_num_in!Q32)</f>
        <v>17559.512066131272</v>
      </c>
      <c r="R32" s="133">
        <f>IF(SER_hh_tes_in!R32=0,0,11630*1000*SER_hh_tes_in!R32/SER_hh_num_in!R32)</f>
        <v>17055.099230977954</v>
      </c>
      <c r="S32" s="133">
        <f>IF(SER_hh_tes_in!S32=0,0,11630*1000*SER_hh_tes_in!S32/SER_hh_num_in!S32)</f>
        <v>17834.623449033403</v>
      </c>
      <c r="T32" s="133">
        <f>IF(SER_hh_tes_in!T32=0,0,11630*1000*SER_hh_tes_in!T32/SER_hh_num_in!T32)</f>
        <v>21575.058215607656</v>
      </c>
      <c r="U32" s="133">
        <f>IF(SER_hh_tes_in!U32=0,0,11630*1000*SER_hh_tes_in!U32/SER_hh_num_in!U32)</f>
        <v>22593.941734907618</v>
      </c>
      <c r="V32" s="133">
        <f>IF(SER_hh_tes_in!V32=0,0,11630*1000*SER_hh_tes_in!V32/SER_hh_num_in!V32)</f>
        <v>18146.998520141173</v>
      </c>
      <c r="W32" s="133">
        <f>IF(SER_hh_tes_in!W32=0,0,11630*1000*SER_hh_tes_in!W32/SER_hh_num_in!W32)</f>
        <v>18968.714158330917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15440.98914532711</v>
      </c>
      <c r="D33" s="68">
        <f>IF(SER_hh_tes_in!D33=0,0,11630*1000*SER_hh_tes_in!D33/SER_hh_num_in!D33)</f>
        <v>15831.464023347575</v>
      </c>
      <c r="E33" s="68">
        <f>IF(SER_hh_tes_in!E33=0,0,11630*1000*SER_hh_tes_in!E33/SER_hh_num_in!E33)</f>
        <v>15333.44251866358</v>
      </c>
      <c r="F33" s="68">
        <f>IF(SER_hh_tes_in!F33=0,0,11630*1000*SER_hh_tes_in!F33/SER_hh_num_in!F33)</f>
        <v>15651.288180828107</v>
      </c>
      <c r="G33" s="68">
        <f>IF(SER_hh_tes_in!G33=0,0,11630*1000*SER_hh_tes_in!G33/SER_hh_num_in!G33)</f>
        <v>15892.724348485583</v>
      </c>
      <c r="H33" s="68">
        <f>IF(SER_hh_tes_in!H33=0,0,11630*1000*SER_hh_tes_in!H33/SER_hh_num_in!H33)</f>
        <v>16066.247837408839</v>
      </c>
      <c r="I33" s="68">
        <f>IF(SER_hh_tes_in!I33=0,0,11630*1000*SER_hh_tes_in!I33/SER_hh_num_in!I33)</f>
        <v>16373.260289618012</v>
      </c>
      <c r="J33" s="68">
        <f>IF(SER_hh_tes_in!J33=0,0,11630*1000*SER_hh_tes_in!J33/SER_hh_num_in!J33)</f>
        <v>16930.219859080793</v>
      </c>
      <c r="K33" s="68">
        <f>IF(SER_hh_tes_in!K33=0,0,11630*1000*SER_hh_tes_in!K33/SER_hh_num_in!K33)</f>
        <v>17457.632720444566</v>
      </c>
      <c r="L33" s="68">
        <f>IF(SER_hh_tes_in!L33=0,0,11630*1000*SER_hh_tes_in!L33/SER_hh_num_in!L33)</f>
        <v>17659.312020757487</v>
      </c>
      <c r="M33" s="68">
        <f>IF(SER_hh_tes_in!M33=0,0,11630*1000*SER_hh_tes_in!M33/SER_hh_num_in!M33)</f>
        <v>17831.078750459117</v>
      </c>
      <c r="N33" s="68">
        <f>IF(SER_hh_tes_in!N33=0,0,11630*1000*SER_hh_tes_in!N33/SER_hh_num_in!N33)</f>
        <v>18530.167939260406</v>
      </c>
      <c r="O33" s="68">
        <f>IF(SER_hh_tes_in!O33=0,0,11630*1000*SER_hh_tes_in!O33/SER_hh_num_in!O33)</f>
        <v>18932.876568934204</v>
      </c>
      <c r="P33" s="68">
        <f>IF(SER_hh_tes_in!P33=0,0,11630*1000*SER_hh_tes_in!P33/SER_hh_num_in!P33)</f>
        <v>19319.135413263051</v>
      </c>
      <c r="Q33" s="68">
        <f>IF(SER_hh_tes_in!Q33=0,0,11630*1000*SER_hh_tes_in!Q33/SER_hh_num_in!Q33)</f>
        <v>19211.908464633419</v>
      </c>
      <c r="R33" s="68">
        <f>IF(SER_hh_tes_in!R33=0,0,11630*1000*SER_hh_tes_in!R33/SER_hh_num_in!R33)</f>
        <v>19636.59016866914</v>
      </c>
      <c r="S33" s="68">
        <f>IF(SER_hh_tes_in!S33=0,0,11630*1000*SER_hh_tes_in!S33/SER_hh_num_in!S33)</f>
        <v>20047.177918835474</v>
      </c>
      <c r="T33" s="68">
        <f>IF(SER_hh_tes_in!T33=0,0,11630*1000*SER_hh_tes_in!T33/SER_hh_num_in!T33)</f>
        <v>20352.720995096737</v>
      </c>
      <c r="U33" s="68">
        <f>IF(SER_hh_tes_in!U33=0,0,11630*1000*SER_hh_tes_in!U33/SER_hh_num_in!U33)</f>
        <v>20652.0208940788</v>
      </c>
      <c r="V33" s="68">
        <f>IF(SER_hh_tes_in!V33=0,0,11630*1000*SER_hh_tes_in!V33/SER_hh_num_in!V33)</f>
        <v>17975.68756739657</v>
      </c>
      <c r="W33" s="68">
        <f>IF(SER_hh_tes_in!W33=0,0,11630*1000*SER_hh_tes_in!W33/SER_hh_num_in!W33)</f>
        <v>20852.958217700198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22019.221575197676</v>
      </c>
      <c r="D3" s="126">
        <f>IF(SER_hh_emi_in!D3=0,0,1000000*SER_hh_emi_in!D3/SER_hh_num_in!D3)</f>
        <v>19180.468458668023</v>
      </c>
      <c r="E3" s="126">
        <f>IF(SER_hh_emi_in!E3=0,0,1000000*SER_hh_emi_in!E3/SER_hh_num_in!E3)</f>
        <v>17787.706438964276</v>
      </c>
      <c r="F3" s="126">
        <f>IF(SER_hh_emi_in!F3=0,0,1000000*SER_hh_emi_in!F3/SER_hh_num_in!F3)</f>
        <v>12651.784546630743</v>
      </c>
      <c r="G3" s="126">
        <f>IF(SER_hh_emi_in!G3=0,0,1000000*SER_hh_emi_in!G3/SER_hh_num_in!G3)</f>
        <v>10590.978212481607</v>
      </c>
      <c r="H3" s="126">
        <f>IF(SER_hh_emi_in!H3=0,0,1000000*SER_hh_emi_in!H3/SER_hh_num_in!H3)</f>
        <v>8258.3463290019863</v>
      </c>
      <c r="I3" s="126">
        <f>IF(SER_hh_emi_in!I3=0,0,1000000*SER_hh_emi_in!I3/SER_hh_num_in!I3)</f>
        <v>7287.4230043687821</v>
      </c>
      <c r="J3" s="126">
        <f>IF(SER_hh_emi_in!J3=0,0,1000000*SER_hh_emi_in!J3/SER_hh_num_in!J3)</f>
        <v>9674.5902312717717</v>
      </c>
      <c r="K3" s="126">
        <f>IF(SER_hh_emi_in!K3=0,0,1000000*SER_hh_emi_in!K3/SER_hh_num_in!K3)</f>
        <v>10760.365439173243</v>
      </c>
      <c r="L3" s="126">
        <f>IF(SER_hh_emi_in!L3=0,0,1000000*SER_hh_emi_in!L3/SER_hh_num_in!L3)</f>
        <v>13033.29346885208</v>
      </c>
      <c r="M3" s="126">
        <f>IF(SER_hh_emi_in!M3=0,0,1000000*SER_hh_emi_in!M3/SER_hh_num_in!M3)</f>
        <v>9615.846605020226</v>
      </c>
      <c r="N3" s="126">
        <f>IF(SER_hh_emi_in!N3=0,0,1000000*SER_hh_emi_in!N3/SER_hh_num_in!N3)</f>
        <v>11519.158480079745</v>
      </c>
      <c r="O3" s="126">
        <f>IF(SER_hh_emi_in!O3=0,0,1000000*SER_hh_emi_in!O3/SER_hh_num_in!O3)</f>
        <v>12449.338777703411</v>
      </c>
      <c r="P3" s="126">
        <f>IF(SER_hh_emi_in!P3=0,0,1000000*SER_hh_emi_in!P3/SER_hh_num_in!P3)</f>
        <v>10303.897726052641</v>
      </c>
      <c r="Q3" s="126">
        <f>IF(SER_hh_emi_in!Q3=0,0,1000000*SER_hh_emi_in!Q3/SER_hh_num_in!Q3)</f>
        <v>13487.700646224574</v>
      </c>
      <c r="R3" s="126">
        <f>IF(SER_hh_emi_in!R3=0,0,1000000*SER_hh_emi_in!R3/SER_hh_num_in!R3)</f>
        <v>9840.4820164708253</v>
      </c>
      <c r="S3" s="126">
        <f>IF(SER_hh_emi_in!S3=0,0,1000000*SER_hh_emi_in!S3/SER_hh_num_in!S3)</f>
        <v>7414.6950462005643</v>
      </c>
      <c r="T3" s="126">
        <f>IF(SER_hh_emi_in!T3=0,0,1000000*SER_hh_emi_in!T3/SER_hh_num_in!T3)</f>
        <v>6782.7598761297968</v>
      </c>
      <c r="U3" s="126">
        <f>IF(SER_hh_emi_in!U3=0,0,1000000*SER_hh_emi_in!U3/SER_hh_num_in!U3)</f>
        <v>7337.9368809503094</v>
      </c>
      <c r="V3" s="126">
        <f>IF(SER_hh_emi_in!V3=0,0,1000000*SER_hh_emi_in!V3/SER_hh_num_in!V3)</f>
        <v>6920.9799796109419</v>
      </c>
      <c r="W3" s="126">
        <f>IF(SER_hh_emi_in!W3=0,0,1000000*SER_hh_emi_in!W3/SER_hh_num_in!W3)</f>
        <v>7474.0133105617788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18161.610078806087</v>
      </c>
      <c r="D4" s="131">
        <f>IF(SER_hh_emi_in!D4=0,0,1000000*SER_hh_emi_in!D4/SER_hh_num_in!D4)</f>
        <v>15458.577771057488</v>
      </c>
      <c r="E4" s="131">
        <f>IF(SER_hh_emi_in!E4=0,0,1000000*SER_hh_emi_in!E4/SER_hh_num_in!E4)</f>
        <v>14493.833139293536</v>
      </c>
      <c r="F4" s="131">
        <f>IF(SER_hh_emi_in!F4=0,0,1000000*SER_hh_emi_in!F4/SER_hh_num_in!F4)</f>
        <v>9218.7391977645766</v>
      </c>
      <c r="G4" s="131">
        <f>IF(SER_hh_emi_in!G4=0,0,1000000*SER_hh_emi_in!G4/SER_hh_num_in!G4)</f>
        <v>7192.5446267783482</v>
      </c>
      <c r="H4" s="131">
        <f>IF(SER_hh_emi_in!H4=0,0,1000000*SER_hh_emi_in!H4/SER_hh_num_in!H4)</f>
        <v>5311.173039176012</v>
      </c>
      <c r="I4" s="131">
        <f>IF(SER_hh_emi_in!I4=0,0,1000000*SER_hh_emi_in!I4/SER_hh_num_in!I4)</f>
        <v>4464.271131305326</v>
      </c>
      <c r="J4" s="131">
        <f>IF(SER_hh_emi_in!J4=0,0,1000000*SER_hh_emi_in!J4/SER_hh_num_in!J4)</f>
        <v>6076.1491987203171</v>
      </c>
      <c r="K4" s="131">
        <f>IF(SER_hh_emi_in!K4=0,0,1000000*SER_hh_emi_in!K4/SER_hh_num_in!K4)</f>
        <v>7177.977772697941</v>
      </c>
      <c r="L4" s="131">
        <f>IF(SER_hh_emi_in!L4=0,0,1000000*SER_hh_emi_in!L4/SER_hh_num_in!L4)</f>
        <v>9663.3215229177385</v>
      </c>
      <c r="M4" s="131">
        <f>IF(SER_hh_emi_in!M4=0,0,1000000*SER_hh_emi_in!M4/SER_hh_num_in!M4)</f>
        <v>6681.0711207284303</v>
      </c>
      <c r="N4" s="131">
        <f>IF(SER_hh_emi_in!N4=0,0,1000000*SER_hh_emi_in!N4/SER_hh_num_in!N4)</f>
        <v>8128.2234270855561</v>
      </c>
      <c r="O4" s="131">
        <f>IF(SER_hh_emi_in!O4=0,0,1000000*SER_hh_emi_in!O4/SER_hh_num_in!O4)</f>
        <v>9132.639142794329</v>
      </c>
      <c r="P4" s="131">
        <f>IF(SER_hh_emi_in!P4=0,0,1000000*SER_hh_emi_in!P4/SER_hh_num_in!P4)</f>
        <v>7379.5001607802496</v>
      </c>
      <c r="Q4" s="131">
        <f>IF(SER_hh_emi_in!Q4=0,0,1000000*SER_hh_emi_in!Q4/SER_hh_num_in!Q4)</f>
        <v>10250.236652257097</v>
      </c>
      <c r="R4" s="131">
        <f>IF(SER_hh_emi_in!R4=0,0,1000000*SER_hh_emi_in!R4/SER_hh_num_in!R4)</f>
        <v>6011.7166376667101</v>
      </c>
      <c r="S4" s="131">
        <f>IF(SER_hh_emi_in!S4=0,0,1000000*SER_hh_emi_in!S4/SER_hh_num_in!S4)</f>
        <v>3904.6002299140318</v>
      </c>
      <c r="T4" s="131">
        <f>IF(SER_hh_emi_in!T4=0,0,1000000*SER_hh_emi_in!T4/SER_hh_num_in!T4)</f>
        <v>3547.6949219432436</v>
      </c>
      <c r="U4" s="131">
        <f>IF(SER_hh_emi_in!U4=0,0,1000000*SER_hh_emi_in!U4/SER_hh_num_in!U4)</f>
        <v>4221.7541600444656</v>
      </c>
      <c r="V4" s="131">
        <f>IF(SER_hh_emi_in!V4=0,0,1000000*SER_hh_emi_in!V4/SER_hh_num_in!V4)</f>
        <v>4256.4591278849548</v>
      </c>
      <c r="W4" s="131">
        <f>IF(SER_hh_emi_in!W4=0,0,1000000*SER_hh_emi_in!W4/SER_hh_num_in!W4)</f>
        <v>4204.7556978068533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30936.814532133856</v>
      </c>
      <c r="D5" s="133">
        <f>IF(SER_hh_emi_in!D5=0,0,1000000*SER_hh_emi_in!D5/SER_hh_num_in!D5)</f>
        <v>41922.723418832327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35863.293061091783</v>
      </c>
      <c r="K5" s="133">
        <f>IF(SER_hh_emi_in!K5=0,0,1000000*SER_hh_emi_in!K5/SER_hh_num_in!K5)</f>
        <v>33092.384364635815</v>
      </c>
      <c r="L5" s="133">
        <f>IF(SER_hh_emi_in!L5=0,0,1000000*SER_hh_emi_in!L5/SER_hh_num_in!L5)</f>
        <v>19839.243597378172</v>
      </c>
      <c r="M5" s="133">
        <f>IF(SER_hh_emi_in!M5=0,0,1000000*SER_hh_emi_in!M5/SER_hh_num_in!M5)</f>
        <v>41548.765096090407</v>
      </c>
      <c r="N5" s="133">
        <f>IF(SER_hh_emi_in!N5=0,0,1000000*SER_hh_emi_in!N5/SER_hh_num_in!N5)</f>
        <v>41438.976741251739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39387.707138492122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33079.148002935188</v>
      </c>
      <c r="D7" s="133">
        <f>IF(SER_hh_emi_in!D7=0,0,1000000*SER_hh_emi_in!D7/SER_hh_num_in!D7)</f>
        <v>35756.43540105439</v>
      </c>
      <c r="E7" s="133">
        <f>IF(SER_hh_emi_in!E7=0,0,1000000*SER_hh_emi_in!E7/SER_hh_num_in!E7)</f>
        <v>34326.89334544442</v>
      </c>
      <c r="F7" s="133">
        <f>IF(SER_hh_emi_in!F7=0,0,1000000*SER_hh_emi_in!F7/SER_hh_num_in!F7)</f>
        <v>34281.750856940787</v>
      </c>
      <c r="G7" s="133">
        <f>IF(SER_hh_emi_in!G7=0,0,1000000*SER_hh_emi_in!G7/SER_hh_num_in!G7)</f>
        <v>32325.707434945922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25591.796429873011</v>
      </c>
      <c r="L7" s="133">
        <f>IF(SER_hh_emi_in!L7=0,0,1000000*SER_hh_emi_in!L7/SER_hh_num_in!L7)</f>
        <v>26055.263399418895</v>
      </c>
      <c r="M7" s="133">
        <f>IF(SER_hh_emi_in!M7=0,0,1000000*SER_hh_emi_in!M7/SER_hh_num_in!M7)</f>
        <v>25170.94274564998</v>
      </c>
      <c r="N7" s="133">
        <f>IF(SER_hh_emi_in!N7=0,0,1000000*SER_hh_emi_in!N7/SER_hh_num_in!N7)</f>
        <v>21242.596520273273</v>
      </c>
      <c r="O7" s="133">
        <f>IF(SER_hh_emi_in!O7=0,0,1000000*SER_hh_emi_in!O7/SER_hh_num_in!O7)</f>
        <v>18143.295205504328</v>
      </c>
      <c r="P7" s="133">
        <f>IF(SER_hh_emi_in!P7=0,0,1000000*SER_hh_emi_in!P7/SER_hh_num_in!P7)</f>
        <v>13131.393166887139</v>
      </c>
      <c r="Q7" s="133">
        <f>IF(SER_hh_emi_in!Q7=0,0,1000000*SER_hh_emi_in!Q7/SER_hh_num_in!Q7)</f>
        <v>16552.163877767085</v>
      </c>
      <c r="R7" s="133">
        <f>IF(SER_hh_emi_in!R7=0,0,1000000*SER_hh_emi_in!R7/SER_hh_num_in!R7)</f>
        <v>16163.869538101992</v>
      </c>
      <c r="S7" s="133">
        <f>IF(SER_hh_emi_in!S7=0,0,1000000*SER_hh_emi_in!S7/SER_hh_num_in!S7)</f>
        <v>17008.52463476202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25013.129939582792</v>
      </c>
      <c r="D9" s="133">
        <f>IF(SER_hh_emi_in!D9=0,0,1000000*SER_hh_emi_in!D9/SER_hh_num_in!D9)</f>
        <v>21570.022276215019</v>
      </c>
      <c r="E9" s="133">
        <f>IF(SER_hh_emi_in!E9=0,0,1000000*SER_hh_emi_in!E9/SER_hh_num_in!E9)</f>
        <v>21615.850023312549</v>
      </c>
      <c r="F9" s="133">
        <f>IF(SER_hh_emi_in!F9=0,0,1000000*SER_hh_emi_in!F9/SER_hh_num_in!F9)</f>
        <v>21414.317849181072</v>
      </c>
      <c r="G9" s="133">
        <f>IF(SER_hh_emi_in!G9=0,0,1000000*SER_hh_emi_in!G9/SER_hh_num_in!G9)</f>
        <v>21624.482768369278</v>
      </c>
      <c r="H9" s="133">
        <f>IF(SER_hh_emi_in!H9=0,0,1000000*SER_hh_emi_in!H9/SER_hh_num_in!H9)</f>
        <v>19094.910527561875</v>
      </c>
      <c r="I9" s="133">
        <f>IF(SER_hh_emi_in!I9=0,0,1000000*SER_hh_emi_in!I9/SER_hh_num_in!I9)</f>
        <v>16969.03961397762</v>
      </c>
      <c r="J9" s="133">
        <f>IF(SER_hh_emi_in!J9=0,0,1000000*SER_hh_emi_in!J9/SER_hh_num_in!J9)</f>
        <v>17380.02590300185</v>
      </c>
      <c r="K9" s="133">
        <f>IF(SER_hh_emi_in!K9=0,0,1000000*SER_hh_emi_in!K9/SER_hh_num_in!K9)</f>
        <v>16614.937687367292</v>
      </c>
      <c r="L9" s="133">
        <f>IF(SER_hh_emi_in!L9=0,0,1000000*SER_hh_emi_in!L9/SER_hh_num_in!L9)</f>
        <v>19275.640350811693</v>
      </c>
      <c r="M9" s="133">
        <f>IF(SER_hh_emi_in!M9=0,0,1000000*SER_hh_emi_in!M9/SER_hh_num_in!M9)</f>
        <v>16182.683332650087</v>
      </c>
      <c r="N9" s="133">
        <f>IF(SER_hh_emi_in!N9=0,0,1000000*SER_hh_emi_in!N9/SER_hh_num_in!N9)</f>
        <v>13716.884629526803</v>
      </c>
      <c r="O9" s="133">
        <f>IF(SER_hh_emi_in!O9=0,0,1000000*SER_hh_emi_in!O9/SER_hh_num_in!O9)</f>
        <v>12564.059563636729</v>
      </c>
      <c r="P9" s="133">
        <f>IF(SER_hh_emi_in!P9=0,0,1000000*SER_hh_emi_in!P9/SER_hh_num_in!P9)</f>
        <v>10141.331873620597</v>
      </c>
      <c r="Q9" s="133">
        <f>IF(SER_hh_emi_in!Q9=0,0,1000000*SER_hh_emi_in!Q9/SER_hh_num_in!Q9)</f>
        <v>11781.904172785349</v>
      </c>
      <c r="R9" s="133">
        <f>IF(SER_hh_emi_in!R9=0,0,1000000*SER_hh_emi_in!R9/SER_hh_num_in!R9)</f>
        <v>11724.589250435063</v>
      </c>
      <c r="S9" s="133">
        <f>IF(SER_hh_emi_in!S9=0,0,1000000*SER_hh_emi_in!S9/SER_hh_num_in!S9)</f>
        <v>11749.339421402206</v>
      </c>
      <c r="T9" s="133">
        <f>IF(SER_hh_emi_in!T9=0,0,1000000*SER_hh_emi_in!T9/SER_hh_num_in!T9)</f>
        <v>11674.410025098263</v>
      </c>
      <c r="U9" s="133">
        <f>IF(SER_hh_emi_in!U9=0,0,1000000*SER_hh_emi_in!U9/SER_hh_num_in!U9)</f>
        <v>11147.128861280687</v>
      </c>
      <c r="V9" s="133">
        <f>IF(SER_hh_emi_in!V9=0,0,1000000*SER_hh_emi_in!V9/SER_hh_num_in!V9)</f>
        <v>9496.5677521901089</v>
      </c>
      <c r="W9" s="133">
        <f>IF(SER_hh_emi_in!W9=0,0,1000000*SER_hh_emi_in!W9/SER_hh_num_in!W9)</f>
        <v>9778.7020824673891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3.6076998278188768</v>
      </c>
      <c r="D16" s="131">
        <f>IF(SER_hh_emi_in!D16=0,0,1000000*SER_hh_emi_in!D16/SER_hh_num_in!D16)</f>
        <v>5.7479047639594958</v>
      </c>
      <c r="E16" s="131">
        <f>IF(SER_hh_emi_in!E16=0,0,1000000*SER_hh_emi_in!E16/SER_hh_num_in!E16)</f>
        <v>11.443475727069847</v>
      </c>
      <c r="F16" s="131">
        <f>IF(SER_hh_emi_in!F16=0,0,1000000*SER_hh_emi_in!F16/SER_hh_num_in!F16)</f>
        <v>5.3094004451626171</v>
      </c>
      <c r="G16" s="131">
        <f>IF(SER_hh_emi_in!G16=0,0,1000000*SER_hh_emi_in!G16/SER_hh_num_in!G16)</f>
        <v>5.1761384426860459</v>
      </c>
      <c r="H16" s="131">
        <f>IF(SER_hh_emi_in!H16=0,0,1000000*SER_hh_emi_in!H16/SER_hh_num_in!H16)</f>
        <v>5.7072024928114438</v>
      </c>
      <c r="I16" s="131">
        <f>IF(SER_hh_emi_in!I16=0,0,1000000*SER_hh_emi_in!I16/SER_hh_num_in!I16)</f>
        <v>5.1588156238395264</v>
      </c>
      <c r="J16" s="131">
        <f>IF(SER_hh_emi_in!J16=0,0,1000000*SER_hh_emi_in!J16/SER_hh_num_in!J16)</f>
        <v>4.8185083825022215</v>
      </c>
      <c r="K16" s="131">
        <f>IF(SER_hh_emi_in!K16=0,0,1000000*SER_hh_emi_in!K16/SER_hh_num_in!K16)</f>
        <v>6.481669783282241</v>
      </c>
      <c r="L16" s="131">
        <f>IF(SER_hh_emi_in!L16=0,0,1000000*SER_hh_emi_in!L16/SER_hh_num_in!L16)</f>
        <v>8.7214106529855631</v>
      </c>
      <c r="M16" s="131">
        <f>IF(SER_hh_emi_in!M16=0,0,1000000*SER_hh_emi_in!M16/SER_hh_num_in!M16)</f>
        <v>8.3462221353149424</v>
      </c>
      <c r="N16" s="131">
        <f>IF(SER_hh_emi_in!N16=0,0,1000000*SER_hh_emi_in!N16/SER_hh_num_in!N16)</f>
        <v>13.381232686985102</v>
      </c>
      <c r="O16" s="131">
        <f>IF(SER_hh_emi_in!O16=0,0,1000000*SER_hh_emi_in!O16/SER_hh_num_in!O16)</f>
        <v>11.781995078924224</v>
      </c>
      <c r="P16" s="131">
        <f>IF(SER_hh_emi_in!P16=0,0,1000000*SER_hh_emi_in!P16/SER_hh_num_in!P16)</f>
        <v>3.5473563052364812</v>
      </c>
      <c r="Q16" s="131">
        <f>IF(SER_hh_emi_in!Q16=0,0,1000000*SER_hh_emi_in!Q16/SER_hh_num_in!Q16)</f>
        <v>35.574289499523601</v>
      </c>
      <c r="R16" s="131">
        <f>IF(SER_hh_emi_in!R16=0,0,1000000*SER_hh_emi_in!R16/SER_hh_num_in!R16)</f>
        <v>14.890715608628385</v>
      </c>
      <c r="S16" s="131">
        <f>IF(SER_hh_emi_in!S16=0,0,1000000*SER_hh_emi_in!S16/SER_hh_num_in!S16)</f>
        <v>29.354822894192093</v>
      </c>
      <c r="T16" s="131">
        <f>IF(SER_hh_emi_in!T16=0,0,1000000*SER_hh_emi_in!T16/SER_hh_num_in!T16)</f>
        <v>29.272319127880362</v>
      </c>
      <c r="U16" s="131">
        <f>IF(SER_hh_emi_in!U16=0,0,1000000*SER_hh_emi_in!U16/SER_hh_num_in!U16)</f>
        <v>28.808942153772819</v>
      </c>
      <c r="V16" s="131">
        <f>IF(SER_hh_emi_in!V16=0,0,1000000*SER_hh_emi_in!V16/SER_hh_num_in!V16)</f>
        <v>5.7524019510032467</v>
      </c>
      <c r="W16" s="131">
        <f>IF(SER_hh_emi_in!W16=0,0,1000000*SER_hh_emi_in!W16/SER_hh_num_in!W16)</f>
        <v>17.409627115031331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3518.728159173962</v>
      </c>
      <c r="D17" s="133">
        <f>IF(SER_hh_emi_in!D17=0,0,1000000*SER_hh_emi_in!D17/SER_hh_num_in!D17)</f>
        <v>3362.5607107841565</v>
      </c>
      <c r="E17" s="133">
        <f>IF(SER_hh_emi_in!E17=0,0,1000000*SER_hh_emi_in!E17/SER_hh_num_in!E17)</f>
        <v>6358.3570590619383</v>
      </c>
      <c r="F17" s="133">
        <f>IF(SER_hh_emi_in!F17=0,0,1000000*SER_hh_emi_in!F17/SER_hh_num_in!F17)</f>
        <v>3247.4668540724138</v>
      </c>
      <c r="G17" s="133">
        <f>IF(SER_hh_emi_in!G17=0,0,1000000*SER_hh_emi_in!G17/SER_hh_num_in!G17)</f>
        <v>3242.348417236044</v>
      </c>
      <c r="H17" s="133">
        <f>IF(SER_hh_emi_in!H17=0,0,1000000*SER_hh_emi_in!H17/SER_hh_num_in!H17)</f>
        <v>3641.1467667635279</v>
      </c>
      <c r="I17" s="133">
        <f>IF(SER_hh_emi_in!I17=0,0,1000000*SER_hh_emi_in!I17/SER_hh_num_in!I17)</f>
        <v>4789.8395465486146</v>
      </c>
      <c r="J17" s="133">
        <f>IF(SER_hh_emi_in!J17=0,0,1000000*SER_hh_emi_in!J17/SER_hh_num_in!J17)</f>
        <v>4339.9821962950236</v>
      </c>
      <c r="K17" s="133">
        <f>IF(SER_hh_emi_in!K17=0,0,1000000*SER_hh_emi_in!K17/SER_hh_num_in!K17)</f>
        <v>3365.2432347582085</v>
      </c>
      <c r="L17" s="133">
        <f>IF(SER_hh_emi_in!L17=0,0,1000000*SER_hh_emi_in!L17/SER_hh_num_in!L17)</f>
        <v>3369.3650355049131</v>
      </c>
      <c r="M17" s="133">
        <f>IF(SER_hh_emi_in!M17=0,0,1000000*SER_hh_emi_in!M17/SER_hh_num_in!M17)</f>
        <v>3568.2612962640278</v>
      </c>
      <c r="N17" s="133">
        <f>IF(SER_hh_emi_in!N17=0,0,1000000*SER_hh_emi_in!N17/SER_hh_num_in!N17)</f>
        <v>4418.5673884241296</v>
      </c>
      <c r="O17" s="133">
        <f>IF(SER_hh_emi_in!O17=0,0,1000000*SER_hh_emi_in!O17/SER_hh_num_in!O17)</f>
        <v>3312.153031932653</v>
      </c>
      <c r="P17" s="133">
        <f>IF(SER_hh_emi_in!P17=0,0,1000000*SER_hh_emi_in!P17/SER_hh_num_in!P17)</f>
        <v>2611.4882146466025</v>
      </c>
      <c r="Q17" s="133">
        <f>IF(SER_hh_emi_in!Q17=0,0,1000000*SER_hh_emi_in!Q17/SER_hh_num_in!Q17)</f>
        <v>4360.3712271410641</v>
      </c>
      <c r="R17" s="133">
        <f>IF(SER_hh_emi_in!R17=0,0,1000000*SER_hh_emi_in!R17/SER_hh_num_in!R17)</f>
        <v>2794.7248160505878</v>
      </c>
      <c r="S17" s="133">
        <f>IF(SER_hh_emi_in!S17=0,0,1000000*SER_hh_emi_in!S17/SER_hh_num_in!S17)</f>
        <v>3861.2388858320528</v>
      </c>
      <c r="T17" s="133">
        <f>IF(SER_hh_emi_in!T17=0,0,1000000*SER_hh_emi_in!T17/SER_hh_num_in!T17)</f>
        <v>2771.9715384278102</v>
      </c>
      <c r="U17" s="133">
        <f>IF(SER_hh_emi_in!U17=0,0,1000000*SER_hh_emi_in!U17/SER_hh_num_in!U17)</f>
        <v>3183.3163183501506</v>
      </c>
      <c r="V17" s="133">
        <f>IF(SER_hh_emi_in!V17=0,0,1000000*SER_hh_emi_in!V17/SER_hh_num_in!V17)</f>
        <v>2333.4261428302798</v>
      </c>
      <c r="W17" s="133">
        <f>IF(SER_hh_emi_in!W17=0,0,1000000*SER_hh_emi_in!W17/SER_hh_num_in!W17)</f>
        <v>2789.0512520110101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2413.3513629100498</v>
      </c>
      <c r="D19" s="131">
        <f>IF(SER_hh_emi_in!D19=0,0,1000000*SER_hh_emi_in!D19/SER_hh_num_in!D19)</f>
        <v>2709.7825717538722</v>
      </c>
      <c r="E19" s="131">
        <f>IF(SER_hh_emi_in!E19=0,0,1000000*SER_hh_emi_in!E19/SER_hh_num_in!E19)</f>
        <v>2306.4388976507985</v>
      </c>
      <c r="F19" s="131">
        <f>IF(SER_hh_emi_in!F19=0,0,1000000*SER_hh_emi_in!F19/SER_hh_num_in!F19)</f>
        <v>2477.4817054362884</v>
      </c>
      <c r="G19" s="131">
        <f>IF(SER_hh_emi_in!G19=0,0,1000000*SER_hh_emi_in!G19/SER_hh_num_in!G19)</f>
        <v>2556.4225432055623</v>
      </c>
      <c r="H19" s="131">
        <f>IF(SER_hh_emi_in!H19=0,0,1000000*SER_hh_emi_in!H19/SER_hh_num_in!H19)</f>
        <v>2147.6662517079963</v>
      </c>
      <c r="I19" s="131">
        <f>IF(SER_hh_emi_in!I19=0,0,1000000*SER_hh_emi_in!I19/SER_hh_num_in!I19)</f>
        <v>2044.7488308766992</v>
      </c>
      <c r="J19" s="131">
        <f>IF(SER_hh_emi_in!J19=0,0,1000000*SER_hh_emi_in!J19/SER_hh_num_in!J19)</f>
        <v>2453.9766227396549</v>
      </c>
      <c r="K19" s="131">
        <f>IF(SER_hh_emi_in!K19=0,0,1000000*SER_hh_emi_in!K19/SER_hh_num_in!K19)</f>
        <v>2373.8060679096739</v>
      </c>
      <c r="L19" s="131">
        <f>IF(SER_hh_emi_in!L19=0,0,1000000*SER_hh_emi_in!L19/SER_hh_num_in!L19)</f>
        <v>2123.2566082473968</v>
      </c>
      <c r="M19" s="131">
        <f>IF(SER_hh_emi_in!M19=0,0,1000000*SER_hh_emi_in!M19/SER_hh_num_in!M19)</f>
        <v>1768.523915738052</v>
      </c>
      <c r="N19" s="131">
        <f>IF(SER_hh_emi_in!N19=0,0,1000000*SER_hh_emi_in!N19/SER_hh_num_in!N19)</f>
        <v>1983.2342035111465</v>
      </c>
      <c r="O19" s="131">
        <f>IF(SER_hh_emi_in!O19=0,0,1000000*SER_hh_emi_in!O19/SER_hh_num_in!O19)</f>
        <v>2207.716882673777</v>
      </c>
      <c r="P19" s="131">
        <f>IF(SER_hh_emi_in!P19=0,0,1000000*SER_hh_emi_in!P19/SER_hh_num_in!P19)</f>
        <v>1961.5494493811029</v>
      </c>
      <c r="Q19" s="131">
        <f>IF(SER_hh_emi_in!Q19=0,0,1000000*SER_hh_emi_in!Q19/SER_hh_num_in!Q19)</f>
        <v>2130.207339693744</v>
      </c>
      <c r="R19" s="131">
        <f>IF(SER_hh_emi_in!R19=0,0,1000000*SER_hh_emi_in!R19/SER_hh_num_in!R19)</f>
        <v>2449.9921764977562</v>
      </c>
      <c r="S19" s="131">
        <f>IF(SER_hh_emi_in!S19=0,0,1000000*SER_hh_emi_in!S19/SER_hh_num_in!S19)</f>
        <v>2281.5517345202857</v>
      </c>
      <c r="T19" s="131">
        <f>IF(SER_hh_emi_in!T19=0,0,1000000*SER_hh_emi_in!T19/SER_hh_num_in!T19)</f>
        <v>2100.1823124318889</v>
      </c>
      <c r="U19" s="131">
        <f>IF(SER_hh_emi_in!U19=0,0,1000000*SER_hh_emi_in!U19/SER_hh_num_in!U19)</f>
        <v>1885.7598145296517</v>
      </c>
      <c r="V19" s="131">
        <f>IF(SER_hh_emi_in!V19=0,0,1000000*SER_hh_emi_in!V19/SER_hh_num_in!V19)</f>
        <v>1561.6506190546111</v>
      </c>
      <c r="W19" s="131">
        <f>IF(SER_hh_emi_in!W19=0,0,1000000*SER_hh_emi_in!W19/SER_hh_num_in!W19)</f>
        <v>2006.7060110045622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5473.7051635774615</v>
      </c>
      <c r="D21" s="133">
        <f>IF(SER_hh_emi_in!D21=0,0,1000000*SER_hh_emi_in!D21/SER_hh_num_in!D21)</f>
        <v>5535.332284347126</v>
      </c>
      <c r="E21" s="133">
        <f>IF(SER_hh_emi_in!E21=0,0,1000000*SER_hh_emi_in!E21/SER_hh_num_in!E21)</f>
        <v>5458.7393669324347</v>
      </c>
      <c r="F21" s="133">
        <f>IF(SER_hh_emi_in!F21=0,0,1000000*SER_hh_emi_in!F21/SER_hh_num_in!F21)</f>
        <v>5534.9338926146147</v>
      </c>
      <c r="G21" s="133">
        <f>IF(SER_hh_emi_in!G21=0,0,1000000*SER_hh_emi_in!G21/SER_hh_num_in!G21)</f>
        <v>5427.2091369610243</v>
      </c>
      <c r="H21" s="133">
        <f>IF(SER_hh_emi_in!H21=0,0,1000000*SER_hh_emi_in!H21/SER_hh_num_in!H21)</f>
        <v>5365.6944946564345</v>
      </c>
      <c r="I21" s="133">
        <f>IF(SER_hh_emi_in!I21=0,0,1000000*SER_hh_emi_in!I21/SER_hh_num_in!I21)</f>
        <v>5242.8803341357916</v>
      </c>
      <c r="J21" s="133">
        <f>IF(SER_hh_emi_in!J21=0,0,1000000*SER_hh_emi_in!J21/SER_hh_num_in!J21)</f>
        <v>5164.4005495294568</v>
      </c>
      <c r="K21" s="133">
        <f>IF(SER_hh_emi_in!K21=0,0,1000000*SER_hh_emi_in!K21/SER_hh_num_in!K21)</f>
        <v>5259.1051854040097</v>
      </c>
      <c r="L21" s="133">
        <f>IF(SER_hh_emi_in!L21=0,0,1000000*SER_hh_emi_in!L21/SER_hh_num_in!L21)</f>
        <v>4921.8670006654011</v>
      </c>
      <c r="M21" s="133">
        <f>IF(SER_hh_emi_in!M21=0,0,1000000*SER_hh_emi_in!M21/SER_hh_num_in!M21)</f>
        <v>5038.9865892761345</v>
      </c>
      <c r="N21" s="133">
        <f>IF(SER_hh_emi_in!N21=0,0,1000000*SER_hh_emi_in!N21/SER_hh_num_in!N21)</f>
        <v>4484.9287823257337</v>
      </c>
      <c r="O21" s="133">
        <f>IF(SER_hh_emi_in!O21=0,0,1000000*SER_hh_emi_in!O21/SER_hh_num_in!O21)</f>
        <v>4843.7442952201718</v>
      </c>
      <c r="P21" s="133">
        <f>IF(SER_hh_emi_in!P21=0,0,1000000*SER_hh_emi_in!P21/SER_hh_num_in!P21)</f>
        <v>4731.1268574865953</v>
      </c>
      <c r="Q21" s="133">
        <f>IF(SER_hh_emi_in!Q21=0,0,1000000*SER_hh_emi_in!Q21/SER_hh_num_in!Q21)</f>
        <v>4536.583405879288</v>
      </c>
      <c r="R21" s="133">
        <f>IF(SER_hh_emi_in!R21=0,0,1000000*SER_hh_emi_in!R21/SER_hh_num_in!R21)</f>
        <v>3456.0702944710347</v>
      </c>
      <c r="S21" s="133">
        <f>IF(SER_hh_emi_in!S21=0,0,1000000*SER_hh_emi_in!S21/SER_hh_num_in!S21)</f>
        <v>4006.0464022281431</v>
      </c>
      <c r="T21" s="133">
        <f>IF(SER_hh_emi_in!T21=0,0,1000000*SER_hh_emi_in!T21/SER_hh_num_in!T21)</f>
        <v>3950.4837397482556</v>
      </c>
      <c r="U21" s="133">
        <f>IF(SER_hh_emi_in!U21=0,0,1000000*SER_hh_emi_in!U21/SER_hh_num_in!U21)</f>
        <v>3704.3681477172172</v>
      </c>
      <c r="V21" s="133">
        <f>IF(SER_hh_emi_in!V21=0,0,1000000*SER_hh_emi_in!V21/SER_hh_num_in!V21)</f>
        <v>3255.3971905354369</v>
      </c>
      <c r="W21" s="133">
        <f>IF(SER_hh_emi_in!W21=0,0,1000000*SER_hh_emi_in!W21/SER_hh_num_in!W21)</f>
        <v>3537.0386887770824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6724.5853842594888</v>
      </c>
      <c r="D22" s="133">
        <f>IF(SER_hh_emi_in!D22=0,0,1000000*SER_hh_emi_in!D22/SER_hh_num_in!D22)</f>
        <v>6738.9103630642658</v>
      </c>
      <c r="E22" s="133">
        <f>IF(SER_hh_emi_in!E22=0,0,1000000*SER_hh_emi_in!E22/SER_hh_num_in!E22)</f>
        <v>6808.365021445914</v>
      </c>
      <c r="F22" s="133">
        <f>IF(SER_hh_emi_in!F22=0,0,1000000*SER_hh_emi_in!F22/SER_hh_num_in!F22)</f>
        <v>6748.3514212817126</v>
      </c>
      <c r="G22" s="133">
        <f>IF(SER_hh_emi_in!G22=0,0,1000000*SER_hh_emi_in!G22/SER_hh_num_in!G22)</f>
        <v>6817.2821746874906</v>
      </c>
      <c r="H22" s="133">
        <f>IF(SER_hh_emi_in!H22=0,0,1000000*SER_hh_emi_in!H22/SER_hh_num_in!H22)</f>
        <v>6664.2458085142307</v>
      </c>
      <c r="I22" s="133">
        <f>IF(SER_hh_emi_in!I22=0,0,1000000*SER_hh_emi_in!I22/SER_hh_num_in!I22)</f>
        <v>6723.3520832940358</v>
      </c>
      <c r="J22" s="133">
        <f>IF(SER_hh_emi_in!J22=0,0,1000000*SER_hh_emi_in!J22/SER_hh_num_in!J22)</f>
        <v>6483.7444030505831</v>
      </c>
      <c r="K22" s="133">
        <f>IF(SER_hh_emi_in!K22=0,0,1000000*SER_hh_emi_in!K22/SER_hh_num_in!K22)</f>
        <v>6468.6908268600428</v>
      </c>
      <c r="L22" s="133">
        <f>IF(SER_hh_emi_in!L22=0,0,1000000*SER_hh_emi_in!L22/SER_hh_num_in!L22)</f>
        <v>5872.9363743168442</v>
      </c>
      <c r="M22" s="133">
        <f>IF(SER_hh_emi_in!M22=0,0,1000000*SER_hh_emi_in!M22/SER_hh_num_in!M22)</f>
        <v>5944.6135610093452</v>
      </c>
      <c r="N22" s="133">
        <f>IF(SER_hh_emi_in!N22=0,0,1000000*SER_hh_emi_in!N22/SER_hh_num_in!N22)</f>
        <v>4001.2465580964358</v>
      </c>
      <c r="O22" s="133">
        <f>IF(SER_hh_emi_in!O22=0,0,1000000*SER_hh_emi_in!O22/SER_hh_num_in!O22)</f>
        <v>5989.7463997944633</v>
      </c>
      <c r="P22" s="133">
        <f>IF(SER_hh_emi_in!P22=0,0,1000000*SER_hh_emi_in!P22/SER_hh_num_in!P22)</f>
        <v>5763.1790257910134</v>
      </c>
      <c r="Q22" s="133">
        <f>IF(SER_hh_emi_in!Q22=0,0,1000000*SER_hh_emi_in!Q22/SER_hh_num_in!Q22)</f>
        <v>4984.1135155373313</v>
      </c>
      <c r="R22" s="133">
        <f>IF(SER_hh_emi_in!R22=0,0,1000000*SER_hh_emi_in!R22/SER_hh_num_in!R22)</f>
        <v>4222.2617725810096</v>
      </c>
      <c r="S22" s="133">
        <f>IF(SER_hh_emi_in!S22=0,0,1000000*SER_hh_emi_in!S22/SER_hh_num_in!S22)</f>
        <v>4873.4352330676738</v>
      </c>
      <c r="T22" s="133">
        <f>IF(SER_hh_emi_in!T22=0,0,1000000*SER_hh_emi_in!T22/SER_hh_num_in!T22)</f>
        <v>4732.5200709364253</v>
      </c>
      <c r="U22" s="133">
        <f>IF(SER_hh_emi_in!U22=0,0,1000000*SER_hh_emi_in!U22/SER_hh_num_in!U22)</f>
        <v>4667.8587356749322</v>
      </c>
      <c r="V22" s="133">
        <f>IF(SER_hh_emi_in!V22=0,0,1000000*SER_hh_emi_in!V22/SER_hh_num_in!V22)</f>
        <v>4167.4760662218423</v>
      </c>
      <c r="W22" s="133">
        <f>IF(SER_hh_emi_in!W22=0,0,1000000*SER_hh_emi_in!W22/SER_hh_num_in!W22)</f>
        <v>4425.1191912892646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4635.1765643535255</v>
      </c>
      <c r="D23" s="133">
        <f>IF(SER_hh_emi_in!D23=0,0,1000000*SER_hh_emi_in!D23/SER_hh_num_in!D23)</f>
        <v>4654.5167317235573</v>
      </c>
      <c r="E23" s="133">
        <f>IF(SER_hh_emi_in!E23=0,0,1000000*SER_hh_emi_in!E23/SER_hh_num_in!E23)</f>
        <v>4612.1200338760145</v>
      </c>
      <c r="F23" s="133">
        <f>IF(SER_hh_emi_in!F23=0,0,1000000*SER_hh_emi_in!F23/SER_hh_num_in!F23)</f>
        <v>4610.4288151982109</v>
      </c>
      <c r="G23" s="133">
        <f>IF(SER_hh_emi_in!G23=0,0,1000000*SER_hh_emi_in!G23/SER_hh_num_in!G23)</f>
        <v>4613.2537872754629</v>
      </c>
      <c r="H23" s="133">
        <f>IF(SER_hh_emi_in!H23=0,0,1000000*SER_hh_emi_in!H23/SER_hh_num_in!H23)</f>
        <v>4465.5152906738986</v>
      </c>
      <c r="I23" s="133">
        <f>IF(SER_hh_emi_in!I23=0,0,1000000*SER_hh_emi_in!I23/SER_hh_num_in!I23)</f>
        <v>4358.1469920149675</v>
      </c>
      <c r="J23" s="133">
        <f>IF(SER_hh_emi_in!J23=0,0,1000000*SER_hh_emi_in!J23/SER_hh_num_in!J23)</f>
        <v>4250.8690493998847</v>
      </c>
      <c r="K23" s="133">
        <f>IF(SER_hh_emi_in!K23=0,0,1000000*SER_hh_emi_in!K23/SER_hh_num_in!K23)</f>
        <v>4201.4955717080029</v>
      </c>
      <c r="L23" s="133">
        <f>IF(SER_hh_emi_in!L23=0,0,1000000*SER_hh_emi_in!L23/SER_hh_num_in!L23)</f>
        <v>3948.6958175134478</v>
      </c>
      <c r="M23" s="133">
        <f>IF(SER_hh_emi_in!M23=0,0,1000000*SER_hh_emi_in!M23/SER_hh_num_in!M23)</f>
        <v>4092.9191104242682</v>
      </c>
      <c r="N23" s="133">
        <f>IF(SER_hh_emi_in!N23=0,0,1000000*SER_hh_emi_in!N23/SER_hh_num_in!N23)</f>
        <v>3784.7365475633974</v>
      </c>
      <c r="O23" s="133">
        <f>IF(SER_hh_emi_in!O23=0,0,1000000*SER_hh_emi_in!O23/SER_hh_num_in!O23)</f>
        <v>4000.7309266335478</v>
      </c>
      <c r="P23" s="133">
        <f>IF(SER_hh_emi_in!P23=0,0,1000000*SER_hh_emi_in!P23/SER_hh_num_in!P23)</f>
        <v>3948.8539462475965</v>
      </c>
      <c r="Q23" s="133">
        <f>IF(SER_hh_emi_in!Q23=0,0,1000000*SER_hh_emi_in!Q23/SER_hh_num_in!Q23)</f>
        <v>3815.6490073586465</v>
      </c>
      <c r="R23" s="133">
        <f>IF(SER_hh_emi_in!R23=0,0,1000000*SER_hh_emi_in!R23/SER_hh_num_in!R23)</f>
        <v>3241.4850162385378</v>
      </c>
      <c r="S23" s="133">
        <f>IF(SER_hh_emi_in!S23=0,0,1000000*SER_hh_emi_in!S23/SER_hh_num_in!S23)</f>
        <v>3540.566461048621</v>
      </c>
      <c r="T23" s="133">
        <f>IF(SER_hh_emi_in!T23=0,0,1000000*SER_hh_emi_in!T23/SER_hh_num_in!T23)</f>
        <v>3485.9012111820157</v>
      </c>
      <c r="U23" s="133">
        <f>IF(SER_hh_emi_in!U23=0,0,1000000*SER_hh_emi_in!U23/SER_hh_num_in!U23)</f>
        <v>3337.424795694466</v>
      </c>
      <c r="V23" s="133">
        <f>IF(SER_hh_emi_in!V23=0,0,1000000*SER_hh_emi_in!V23/SER_hh_num_in!V23)</f>
        <v>3055.5065683352309</v>
      </c>
      <c r="W23" s="133">
        <f>IF(SER_hh_emi_in!W23=0,0,1000000*SER_hh_emi_in!W23/SER_hh_num_in!W23)</f>
        <v>3268.6379999966216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1440.6524336537204</v>
      </c>
      <c r="D29" s="131">
        <f>IF(SER_hh_emi_in!D29=0,0,1000000*SER_hh_emi_in!D29/SER_hh_num_in!D29)</f>
        <v>1006.360211092702</v>
      </c>
      <c r="E29" s="131">
        <f>IF(SER_hh_emi_in!E29=0,0,1000000*SER_hh_emi_in!E29/SER_hh_num_in!E29)</f>
        <v>977.16160678700646</v>
      </c>
      <c r="F29" s="131">
        <f>IF(SER_hh_emi_in!F29=0,0,1000000*SER_hh_emi_in!F29/SER_hh_num_in!F29)</f>
        <v>950.25424298471466</v>
      </c>
      <c r="G29" s="131">
        <f>IF(SER_hh_emi_in!G29=0,0,1000000*SER_hh_emi_in!G29/SER_hh_num_in!G29)</f>
        <v>836.83490405500754</v>
      </c>
      <c r="H29" s="131">
        <f>IF(SER_hh_emi_in!H29=0,0,1000000*SER_hh_emi_in!H29/SER_hh_num_in!H29)</f>
        <v>793.79983562516634</v>
      </c>
      <c r="I29" s="131">
        <f>IF(SER_hh_emi_in!I29=0,0,1000000*SER_hh_emi_in!I29/SER_hh_num_in!I29)</f>
        <v>773.24422656291824</v>
      </c>
      <c r="J29" s="131">
        <f>IF(SER_hh_emi_in!J29=0,0,1000000*SER_hh_emi_in!J29/SER_hh_num_in!J29)</f>
        <v>1139.6459014292977</v>
      </c>
      <c r="K29" s="131">
        <f>IF(SER_hh_emi_in!K29=0,0,1000000*SER_hh_emi_in!K29/SER_hh_num_in!K29)</f>
        <v>1202.0999287823479</v>
      </c>
      <c r="L29" s="131">
        <f>IF(SER_hh_emi_in!L29=0,0,1000000*SER_hh_emi_in!L29/SER_hh_num_in!L29)</f>
        <v>1237.9939270339571</v>
      </c>
      <c r="M29" s="131">
        <f>IF(SER_hh_emi_in!M29=0,0,1000000*SER_hh_emi_in!M29/SER_hh_num_in!M29)</f>
        <v>1157.9053464184274</v>
      </c>
      <c r="N29" s="131">
        <f>IF(SER_hh_emi_in!N29=0,0,1000000*SER_hh_emi_in!N29/SER_hh_num_in!N29)</f>
        <v>1394.3196167960577</v>
      </c>
      <c r="O29" s="131">
        <f>IF(SER_hh_emi_in!O29=0,0,1000000*SER_hh_emi_in!O29/SER_hh_num_in!O29)</f>
        <v>1097.2007571563822</v>
      </c>
      <c r="P29" s="131">
        <f>IF(SER_hh_emi_in!P29=0,0,1000000*SER_hh_emi_in!P29/SER_hh_num_in!P29)</f>
        <v>959.30075958605062</v>
      </c>
      <c r="Q29" s="131">
        <f>IF(SER_hh_emi_in!Q29=0,0,1000000*SER_hh_emi_in!Q29/SER_hh_num_in!Q29)</f>
        <v>1071.682364774206</v>
      </c>
      <c r="R29" s="131">
        <f>IF(SER_hh_emi_in!R29=0,0,1000000*SER_hh_emi_in!R29/SER_hh_num_in!R29)</f>
        <v>1363.882486697732</v>
      </c>
      <c r="S29" s="131">
        <f>IF(SER_hh_emi_in!S29=0,0,1000000*SER_hh_emi_in!S29/SER_hh_num_in!S29)</f>
        <v>1199.1882588720553</v>
      </c>
      <c r="T29" s="131">
        <f>IF(SER_hh_emi_in!T29=0,0,1000000*SER_hh_emi_in!T29/SER_hh_num_in!T29)</f>
        <v>1105.6103226267835</v>
      </c>
      <c r="U29" s="131">
        <f>IF(SER_hh_emi_in!U29=0,0,1000000*SER_hh_emi_in!U29/SER_hh_num_in!U29)</f>
        <v>1201.6139642224191</v>
      </c>
      <c r="V29" s="131">
        <f>IF(SER_hh_emi_in!V29=0,0,1000000*SER_hh_emi_in!V29/SER_hh_num_in!V29)</f>
        <v>1097.1178307203716</v>
      </c>
      <c r="W29" s="131">
        <f>IF(SER_hh_emi_in!W29=0,0,1000000*SER_hh_emi_in!W29/SER_hh_num_in!W29)</f>
        <v>1245.1419746353311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7387.6318193868574</v>
      </c>
      <c r="D30" s="133">
        <f>IF(SER_hh_emi_in!D30=0,0,1000000*SER_hh_emi_in!D30/SER_hh_num_in!D30)</f>
        <v>5808.9523188898056</v>
      </c>
      <c r="E30" s="133">
        <f>IF(SER_hh_emi_in!E30=0,0,1000000*SER_hh_emi_in!E30/SER_hh_num_in!E30)</f>
        <v>6021.7134344633387</v>
      </c>
      <c r="F30" s="133">
        <f>IF(SER_hh_emi_in!F30=0,0,1000000*SER_hh_emi_in!F30/SER_hh_num_in!F30)</f>
        <v>6467.831156627065</v>
      </c>
      <c r="G30" s="133">
        <f>IF(SER_hh_emi_in!G30=0,0,1000000*SER_hh_emi_in!G30/SER_hh_num_in!G30)</f>
        <v>5896.8131808559965</v>
      </c>
      <c r="H30" s="133">
        <f>IF(SER_hh_emi_in!H30=0,0,1000000*SER_hh_emi_in!H30/SER_hh_num_in!H30)</f>
        <v>6436.7866220607766</v>
      </c>
      <c r="I30" s="133">
        <f>IF(SER_hh_emi_in!I30=0,0,1000000*SER_hh_emi_in!I30/SER_hh_num_in!I30)</f>
        <v>6014.2106147223385</v>
      </c>
      <c r="J30" s="133">
        <f>IF(SER_hh_emi_in!J30=0,0,1000000*SER_hh_emi_in!J30/SER_hh_num_in!J30)</f>
        <v>6178.3792912165918</v>
      </c>
      <c r="K30" s="133">
        <f>IF(SER_hh_emi_in!K30=0,0,1000000*SER_hh_emi_in!K30/SER_hh_num_in!K30)</f>
        <v>7267.5681768615696</v>
      </c>
      <c r="L30" s="133">
        <f>IF(SER_hh_emi_in!L30=0,0,1000000*SER_hh_emi_in!L30/SER_hh_num_in!L30)</f>
        <v>7884.817405315368</v>
      </c>
      <c r="M30" s="133">
        <f>IF(SER_hh_emi_in!M30=0,0,1000000*SER_hh_emi_in!M30/SER_hh_num_in!M30)</f>
        <v>6939.4921691818035</v>
      </c>
      <c r="N30" s="133">
        <f>IF(SER_hh_emi_in!N30=0,0,1000000*SER_hh_emi_in!N30/SER_hh_num_in!N30)</f>
        <v>6977.8136867459698</v>
      </c>
      <c r="O30" s="133">
        <f>IF(SER_hh_emi_in!O30=0,0,1000000*SER_hh_emi_in!O30/SER_hh_num_in!O30)</f>
        <v>7186.8181993118969</v>
      </c>
      <c r="P30" s="133">
        <f>IF(SER_hh_emi_in!P30=0,0,1000000*SER_hh_emi_in!P30/SER_hh_num_in!P30)</f>
        <v>7218.6058105863403</v>
      </c>
      <c r="Q30" s="133">
        <f>IF(SER_hh_emi_in!Q30=0,0,1000000*SER_hh_emi_in!Q30/SER_hh_num_in!Q30)</f>
        <v>7156.1455732472159</v>
      </c>
      <c r="R30" s="133">
        <f>IF(SER_hh_emi_in!R30=0,0,1000000*SER_hh_emi_in!R30/SER_hh_num_in!R30)</f>
        <v>7977.8329164418201</v>
      </c>
      <c r="S30" s="133">
        <f>IF(SER_hh_emi_in!S30=0,0,1000000*SER_hh_emi_in!S30/SER_hh_num_in!S30)</f>
        <v>7473.0166008360748</v>
      </c>
      <c r="T30" s="133">
        <f>IF(SER_hh_emi_in!T30=0,0,1000000*SER_hh_emi_in!T30/SER_hh_num_in!T30)</f>
        <v>7319.7882242990618</v>
      </c>
      <c r="U30" s="133">
        <f>IF(SER_hh_emi_in!U30=0,0,1000000*SER_hh_emi_in!U30/SER_hh_num_in!U30)</f>
        <v>7933.1572538474602</v>
      </c>
      <c r="V30" s="133">
        <f>IF(SER_hh_emi_in!V30=0,0,1000000*SER_hh_emi_in!V30/SER_hh_num_in!V30)</f>
        <v>6467.9652095231831</v>
      </c>
      <c r="W30" s="133">
        <f>IF(SER_hh_emi_in!W30=0,0,1000000*SER_hh_emi_in!W30/SER_hh_num_in!W30)</f>
        <v>7763.7121515465697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5361.7087525045217</v>
      </c>
      <c r="D31" s="133">
        <f>IF(SER_hh_emi_in!D31=0,0,1000000*SER_hh_emi_in!D31/SER_hh_num_in!D31)</f>
        <v>5376.383239351434</v>
      </c>
      <c r="E31" s="133">
        <f>IF(SER_hh_emi_in!E31=0,0,1000000*SER_hh_emi_in!E31/SER_hh_num_in!E31)</f>
        <v>5307.2124010398102</v>
      </c>
      <c r="F31" s="133">
        <f>IF(SER_hh_emi_in!F31=0,0,1000000*SER_hh_emi_in!F31/SER_hh_num_in!F31)</f>
        <v>5275.9492914854955</v>
      </c>
      <c r="G31" s="133">
        <f>IF(SER_hh_emi_in!G31=0,0,1000000*SER_hh_emi_in!G31/SER_hh_num_in!G31)</f>
        <v>5425.9594934176494</v>
      </c>
      <c r="H31" s="133">
        <f>IF(SER_hh_emi_in!H31=0,0,1000000*SER_hh_emi_in!H31/SER_hh_num_in!H31)</f>
        <v>5401.3328873212668</v>
      </c>
      <c r="I31" s="133">
        <f>IF(SER_hh_emi_in!I31=0,0,1000000*SER_hh_emi_in!I31/SER_hh_num_in!I31)</f>
        <v>5557.7846129771897</v>
      </c>
      <c r="J31" s="133">
        <f>IF(SER_hh_emi_in!J31=0,0,1000000*SER_hh_emi_in!J31/SER_hh_num_in!J31)</f>
        <v>5754.5141273883728</v>
      </c>
      <c r="K31" s="133">
        <f>IF(SER_hh_emi_in!K31=0,0,1000000*SER_hh_emi_in!K31/SER_hh_num_in!K31)</f>
        <v>5894.7785338401973</v>
      </c>
      <c r="L31" s="133">
        <f>IF(SER_hh_emi_in!L31=0,0,1000000*SER_hh_emi_in!L31/SER_hh_num_in!L31)</f>
        <v>5908.0380427578975</v>
      </c>
      <c r="M31" s="133">
        <f>IF(SER_hh_emi_in!M31=0,0,1000000*SER_hh_emi_in!M31/SER_hh_num_in!M31)</f>
        <v>6053.5137334402161</v>
      </c>
      <c r="N31" s="133">
        <f>IF(SER_hh_emi_in!N31=0,0,1000000*SER_hh_emi_in!N31/SER_hh_num_in!N31)</f>
        <v>6306.7862910683325</v>
      </c>
      <c r="O31" s="133">
        <f>IF(SER_hh_emi_in!O31=0,0,1000000*SER_hh_emi_in!O31/SER_hh_num_in!O31)</f>
        <v>6278.8080821789454</v>
      </c>
      <c r="P31" s="133">
        <f>IF(SER_hh_emi_in!P31=0,0,1000000*SER_hh_emi_in!P31/SER_hh_num_in!P31)</f>
        <v>6308.2518359942214</v>
      </c>
      <c r="Q31" s="133">
        <f>IF(SER_hh_emi_in!Q31=0,0,1000000*SER_hh_emi_in!Q31/SER_hh_num_in!Q31)</f>
        <v>6544.4492054290249</v>
      </c>
      <c r="R31" s="133">
        <f>IF(SER_hh_emi_in!R31=0,0,1000000*SER_hh_emi_in!R31/SER_hh_num_in!R31)</f>
        <v>6568.1648111188797</v>
      </c>
      <c r="S31" s="133">
        <f>IF(SER_hh_emi_in!S31=0,0,1000000*SER_hh_emi_in!S31/SER_hh_num_in!S31)</f>
        <v>6786.5503979654059</v>
      </c>
      <c r="T31" s="133">
        <f>IF(SER_hh_emi_in!T31=0,0,1000000*SER_hh_emi_in!T31/SER_hh_num_in!T31)</f>
        <v>6799.5346654908044</v>
      </c>
      <c r="U31" s="133">
        <f>IF(SER_hh_emi_in!U31=0,0,1000000*SER_hh_emi_in!U31/SER_hh_num_in!U31)</f>
        <v>6607.6243260759529</v>
      </c>
      <c r="V31" s="133">
        <f>IF(SER_hh_emi_in!V31=0,0,1000000*SER_hh_emi_in!V31/SER_hh_num_in!V31)</f>
        <v>5861.6222968274742</v>
      </c>
      <c r="W31" s="133">
        <f>IF(SER_hh_emi_in!W31=0,0,1000000*SER_hh_emi_in!W31/SER_hh_num_in!W31)</f>
        <v>6669.4822462293068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183.118503692666</v>
      </c>
      <c r="D3" s="126">
        <f>IF(SER_hh_fech_in!D3=0,0,SER_hh_fech_in!D3/SER_summary!D$27)</f>
        <v>177.15908608092897</v>
      </c>
      <c r="E3" s="126">
        <f>IF(SER_hh_fech_in!E3=0,0,SER_hh_fech_in!E3/SER_summary!E$27)</f>
        <v>178.79064804730029</v>
      </c>
      <c r="F3" s="126">
        <f>IF(SER_hh_fech_in!F3=0,0,SER_hh_fech_in!F3/SER_summary!F$27)</f>
        <v>164.20241214219845</v>
      </c>
      <c r="G3" s="126">
        <f>IF(SER_hh_fech_in!G3=0,0,SER_hh_fech_in!G3/SER_summary!G$27)</f>
        <v>163.83765988627678</v>
      </c>
      <c r="H3" s="126">
        <f>IF(SER_hh_fech_in!H3=0,0,SER_hh_fech_in!H3/SER_summary!H$27)</f>
        <v>150.34540907597557</v>
      </c>
      <c r="I3" s="126">
        <f>IF(SER_hh_fech_in!I3=0,0,SER_hh_fech_in!I3/SER_summary!I$27)</f>
        <v>143.66865094537647</v>
      </c>
      <c r="J3" s="126">
        <f>IF(SER_hh_fech_in!J3=0,0,SER_hh_fech_in!J3/SER_summary!J$27)</f>
        <v>146.1357310831371</v>
      </c>
      <c r="K3" s="126">
        <f>IF(SER_hh_fech_in!K3=0,0,SER_hh_fech_in!K3/SER_summary!K$27)</f>
        <v>142.05924331156498</v>
      </c>
      <c r="L3" s="126">
        <f>IF(SER_hh_fech_in!L3=0,0,SER_hh_fech_in!L3/SER_summary!L$27)</f>
        <v>149.95302436839731</v>
      </c>
      <c r="M3" s="126">
        <f>IF(SER_hh_fech_in!M3=0,0,SER_hh_fech_in!M3/SER_summary!M$27)</f>
        <v>140.30951071964714</v>
      </c>
      <c r="N3" s="126">
        <f>IF(SER_hh_fech_in!N3=0,0,SER_hh_fech_in!N3/SER_summary!N$27)</f>
        <v>135.48313065912339</v>
      </c>
      <c r="O3" s="126">
        <f>IF(SER_hh_fech_in!O3=0,0,SER_hh_fech_in!O3/SER_summary!O$27)</f>
        <v>126.01572046666594</v>
      </c>
      <c r="P3" s="126">
        <f>IF(SER_hh_fech_in!P3=0,0,SER_hh_fech_in!P3/SER_summary!P$27)</f>
        <v>110.02545538892268</v>
      </c>
      <c r="Q3" s="126">
        <f>IF(SER_hh_fech_in!Q3=0,0,SER_hh_fech_in!Q3/SER_summary!Q$27)</f>
        <v>120.83753770195598</v>
      </c>
      <c r="R3" s="126">
        <f>IF(SER_hh_fech_in!R3=0,0,SER_hh_fech_in!R3/SER_summary!R$27)</f>
        <v>114.48996633545958</v>
      </c>
      <c r="S3" s="126">
        <f>IF(SER_hh_fech_in!S3=0,0,SER_hh_fech_in!S3/SER_summary!S$27)</f>
        <v>118.18710197848915</v>
      </c>
      <c r="T3" s="126">
        <f>IF(SER_hh_fech_in!T3=0,0,SER_hh_fech_in!T3/SER_summary!T$27)</f>
        <v>115.4942394822812</v>
      </c>
      <c r="U3" s="126">
        <f>IF(SER_hh_fech_in!U3=0,0,SER_hh_fech_in!U3/SER_summary!U$27)</f>
        <v>112.31536240556312</v>
      </c>
      <c r="V3" s="126">
        <f>IF(SER_hh_fech_in!V3=0,0,SER_hh_fech_in!V3/SER_summary!V$27)</f>
        <v>96.14737518892538</v>
      </c>
      <c r="W3" s="126">
        <f>IF(SER_hh_fech_in!W3=0,0,SER_hh_fech_in!W3/SER_summary!W$27)</f>
        <v>102.27878085045933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124.16572353391963</v>
      </c>
      <c r="D4" s="131">
        <f>IF(SER_hh_fech_in!D4=0,0,SER_hh_fech_in!D4/SER_summary!D$27)</f>
        <v>119.58600239887596</v>
      </c>
      <c r="E4" s="131">
        <f>IF(SER_hh_fech_in!E4=0,0,SER_hh_fech_in!E4/SER_summary!E$27)</f>
        <v>115.55856829352601</v>
      </c>
      <c r="F4" s="131">
        <f>IF(SER_hh_fech_in!F4=0,0,SER_hh_fech_in!F4/SER_summary!F$27)</f>
        <v>107.76675826976093</v>
      </c>
      <c r="G4" s="131">
        <f>IF(SER_hh_fech_in!G4=0,0,SER_hh_fech_in!G4/SER_summary!G$27)</f>
        <v>107.52880186315583</v>
      </c>
      <c r="H4" s="131">
        <f>IF(SER_hh_fech_in!H4=0,0,SER_hh_fech_in!H4/SER_summary!H$27)</f>
        <v>93.828498945438128</v>
      </c>
      <c r="I4" s="131">
        <f>IF(SER_hh_fech_in!I4=0,0,SER_hh_fech_in!I4/SER_summary!I$27)</f>
        <v>87.178434806416959</v>
      </c>
      <c r="J4" s="131">
        <f>IF(SER_hh_fech_in!J4=0,0,SER_hh_fech_in!J4/SER_summary!J$27)</f>
        <v>89.759987098669001</v>
      </c>
      <c r="K4" s="131">
        <f>IF(SER_hh_fech_in!K4=0,0,SER_hh_fech_in!K4/SER_summary!K$27)</f>
        <v>84.569688196125469</v>
      </c>
      <c r="L4" s="131">
        <f>IF(SER_hh_fech_in!L4=0,0,SER_hh_fech_in!L4/SER_summary!L$27)</f>
        <v>94.033197970971713</v>
      </c>
      <c r="M4" s="131">
        <f>IF(SER_hh_fech_in!M4=0,0,SER_hh_fech_in!M4/SER_summary!M$27)</f>
        <v>85.146423451087742</v>
      </c>
      <c r="N4" s="131">
        <f>IF(SER_hh_fech_in!N4=0,0,SER_hh_fech_in!N4/SER_summary!N$27)</f>
        <v>75.498939462302801</v>
      </c>
      <c r="O4" s="131">
        <f>IF(SER_hh_fech_in!O4=0,0,SER_hh_fech_in!O4/SER_summary!O$27)</f>
        <v>70.076411698464341</v>
      </c>
      <c r="P4" s="131">
        <f>IF(SER_hh_fech_in!P4=0,0,SER_hh_fech_in!P4/SER_summary!P$27)</f>
        <v>56.457614181482697</v>
      </c>
      <c r="Q4" s="131">
        <f>IF(SER_hh_fech_in!Q4=0,0,SER_hh_fech_in!Q4/SER_summary!Q$27)</f>
        <v>64.655786402397638</v>
      </c>
      <c r="R4" s="131">
        <f>IF(SER_hh_fech_in!R4=0,0,SER_hh_fech_in!R4/SER_summary!R$27)</f>
        <v>60.608499574907221</v>
      </c>
      <c r="S4" s="131">
        <f>IF(SER_hh_fech_in!S4=0,0,SER_hh_fech_in!S4/SER_summary!S$27)</f>
        <v>62.438132185037631</v>
      </c>
      <c r="T4" s="131">
        <f>IF(SER_hh_fech_in!T4=0,0,SER_hh_fech_in!T4/SER_summary!T$27)</f>
        <v>62.48496600721186</v>
      </c>
      <c r="U4" s="131">
        <f>IF(SER_hh_fech_in!U4=0,0,SER_hh_fech_in!U4/SER_summary!U$27)</f>
        <v>58.645922256162606</v>
      </c>
      <c r="V4" s="131">
        <f>IF(SER_hh_fech_in!V4=0,0,SER_hh_fech_in!V4/SER_summary!V$27)</f>
        <v>49.787261956104203</v>
      </c>
      <c r="W4" s="131">
        <f>IF(SER_hh_fech_in!W4=0,0,SER_hh_fech_in!W4/SER_summary!W$27)</f>
        <v>50.346008382995976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94.351774179396187</v>
      </c>
      <c r="D5" s="133">
        <f>IF(SER_hh_fech_in!D5=0,0,SER_hh_fech_in!D5/SER_summary!D$27)</f>
        <v>127.85683958800664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109.37665623960551</v>
      </c>
      <c r="K5" s="133">
        <f>IF(SER_hh_fech_in!K5=0,0,SER_hh_fech_in!K5/SER_summary!K$27)</f>
        <v>100.92587824084997</v>
      </c>
      <c r="L5" s="133">
        <f>IF(SER_hh_fech_in!L5=0,0,SER_hh_fech_in!L5/SER_summary!L$27)</f>
        <v>60.506159412293734</v>
      </c>
      <c r="M5" s="133">
        <f>IF(SER_hh_fech_in!M5=0,0,SER_hh_fech_in!M5/SER_summary!M$27)</f>
        <v>126.71633330921047</v>
      </c>
      <c r="N5" s="133">
        <f>IF(SER_hh_fech_in!N5=0,0,SER_hh_fech_in!N5/SER_summary!N$27)</f>
        <v>126.3814983813123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120.12549144370064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137.56649648865448</v>
      </c>
      <c r="D7" s="133">
        <f>IF(SER_hh_fech_in!D7=0,0,SER_hh_fech_in!D7/SER_summary!D$27)</f>
        <v>148.47859585392408</v>
      </c>
      <c r="E7" s="133">
        <f>IF(SER_hh_fech_in!E7=0,0,SER_hh_fech_in!E7/SER_summary!E$27)</f>
        <v>142.62413133299717</v>
      </c>
      <c r="F7" s="133">
        <f>IF(SER_hh_fech_in!F7=0,0,SER_hh_fech_in!F7/SER_summary!F$27)</f>
        <v>142.52689980285865</v>
      </c>
      <c r="G7" s="133">
        <f>IF(SER_hh_fech_in!G7=0,0,SER_hh_fech_in!G7/SER_summary!G$27)</f>
        <v>134.3691155961925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106.15810033663934</v>
      </c>
      <c r="L7" s="133">
        <f>IF(SER_hh_fech_in!L7=0,0,SER_hh_fech_in!L7/SER_summary!L$27)</f>
        <v>108.07906998008058</v>
      </c>
      <c r="M7" s="133">
        <f>IF(SER_hh_fech_in!M7=0,0,SER_hh_fech_in!M7/SER_summary!M$27)</f>
        <v>104.25004731775482</v>
      </c>
      <c r="N7" s="133">
        <f>IF(SER_hh_fech_in!N7=0,0,SER_hh_fech_in!N7/SER_summary!N$27)</f>
        <v>87.857397598773574</v>
      </c>
      <c r="O7" s="133">
        <f>IF(SER_hh_fech_in!O7=0,0,SER_hh_fech_in!O7/SER_summary!O$27)</f>
        <v>75.188050035853934</v>
      </c>
      <c r="P7" s="133">
        <f>IF(SER_hh_fech_in!P7=0,0,SER_hh_fech_in!P7/SER_summary!P$27)</f>
        <v>54.517594191241777</v>
      </c>
      <c r="Q7" s="133">
        <f>IF(SER_hh_fech_in!Q7=0,0,SER_hh_fech_in!Q7/SER_summary!Q$27)</f>
        <v>68.761564139908486</v>
      </c>
      <c r="R7" s="133">
        <f>IF(SER_hh_fech_in!R7=0,0,SER_hh_fech_in!R7/SER_summary!R$27)</f>
        <v>67.202519507891211</v>
      </c>
      <c r="S7" s="133">
        <f>IF(SER_hh_fech_in!S7=0,0,SER_hh_fech_in!S7/SER_summary!S$27)</f>
        <v>70.79015065263242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137.80527621604352</v>
      </c>
      <c r="D9" s="133">
        <f>IF(SER_hh_fech_in!D9=0,0,SER_hh_fech_in!D9/SER_summary!D$27)</f>
        <v>118.88935864211228</v>
      </c>
      <c r="E9" s="133">
        <f>IF(SER_hh_fech_in!E9=0,0,SER_hh_fech_in!E9/SER_summary!E$27)</f>
        <v>119.53353348121109</v>
      </c>
      <c r="F9" s="133">
        <f>IF(SER_hh_fech_in!F9=0,0,SER_hh_fech_in!F9/SER_summary!F$27)</f>
        <v>118.22873043181654</v>
      </c>
      <c r="G9" s="133">
        <f>IF(SER_hh_fech_in!G9=0,0,SER_hh_fech_in!G9/SER_summary!G$27)</f>
        <v>119.38768807291653</v>
      </c>
      <c r="H9" s="133">
        <f>IF(SER_hh_fech_in!H9=0,0,SER_hh_fech_in!H9/SER_summary!H$27)</f>
        <v>105.48193915115357</v>
      </c>
      <c r="I9" s="133">
        <f>IF(SER_hh_fech_in!I9=0,0,SER_hh_fech_in!I9/SER_summary!I$27)</f>
        <v>93.666276148970212</v>
      </c>
      <c r="J9" s="133">
        <f>IF(SER_hh_fech_in!J9=0,0,SER_hh_fech_in!J9/SER_summary!J$27)</f>
        <v>96.356454479929823</v>
      </c>
      <c r="K9" s="133">
        <f>IF(SER_hh_fech_in!K9=0,0,SER_hh_fech_in!K9/SER_summary!K$27)</f>
        <v>92.174230133456575</v>
      </c>
      <c r="L9" s="133">
        <f>IF(SER_hh_fech_in!L9=0,0,SER_hh_fech_in!L9/SER_summary!L$27)</f>
        <v>106.60880067253348</v>
      </c>
      <c r="M9" s="133">
        <f>IF(SER_hh_fech_in!M9=0,0,SER_hh_fech_in!M9/SER_summary!M$27)</f>
        <v>89.465018380317829</v>
      </c>
      <c r="N9" s="133">
        <f>IF(SER_hh_fech_in!N9=0,0,SER_hh_fech_in!N9/SER_summary!N$27)</f>
        <v>75.826940516325408</v>
      </c>
      <c r="O9" s="133">
        <f>IF(SER_hh_fech_in!O9=0,0,SER_hh_fech_in!O9/SER_summary!O$27)</f>
        <v>69.370739592409137</v>
      </c>
      <c r="P9" s="133">
        <f>IF(SER_hh_fech_in!P9=0,0,SER_hh_fech_in!P9/SER_summary!P$27)</f>
        <v>56.008601480982747</v>
      </c>
      <c r="Q9" s="133">
        <f>IF(SER_hh_fech_in!Q9=0,0,SER_hh_fech_in!Q9/SER_summary!Q$27)</f>
        <v>65.028829786783348</v>
      </c>
      <c r="R9" s="133">
        <f>IF(SER_hh_fech_in!R9=0,0,SER_hh_fech_in!R9/SER_summary!R$27)</f>
        <v>64.682565738319255</v>
      </c>
      <c r="S9" s="133">
        <f>IF(SER_hh_fech_in!S9=0,0,SER_hh_fech_in!S9/SER_summary!S$27)</f>
        <v>64.815084549513884</v>
      </c>
      <c r="T9" s="133">
        <f>IF(SER_hh_fech_in!T9=0,0,SER_hh_fech_in!T9/SER_summary!T$27)</f>
        <v>64.364627620950245</v>
      </c>
      <c r="U9" s="133">
        <f>IF(SER_hh_fech_in!U9=0,0,SER_hh_fech_in!U9/SER_summary!U$27)</f>
        <v>61.468742264328128</v>
      </c>
      <c r="V9" s="133">
        <f>IF(SER_hh_fech_in!V9=0,0,SER_hh_fech_in!V9/SER_summary!V$27)</f>
        <v>52.35623496155246</v>
      </c>
      <c r="W9" s="133">
        <f>IF(SER_hh_fech_in!W9=0,0,SER_hh_fech_in!W9/SER_summary!W$27)</f>
        <v>53.905018741590091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180.51199586435558</v>
      </c>
      <c r="J10" s="133">
        <f>IF(SER_hh_fech_in!J10=0,0,SER_hh_fech_in!J10/SER_summary!J$27)</f>
        <v>124.49619996399625</v>
      </c>
      <c r="K10" s="133">
        <f>IF(SER_hh_fech_in!K10=0,0,SER_hh_fech_in!K10/SER_summary!K$27)</f>
        <v>135.57130739039596</v>
      </c>
      <c r="L10" s="133">
        <f>IF(SER_hh_fech_in!L10=0,0,SER_hh_fech_in!L10/SER_summary!L$27)</f>
        <v>112.85244709588213</v>
      </c>
      <c r="M10" s="133">
        <f>IF(SER_hh_fech_in!M10=0,0,SER_hh_fech_in!M10/SER_summary!M$27)</f>
        <v>128.63524309823637</v>
      </c>
      <c r="N10" s="133">
        <f>IF(SER_hh_fech_in!N10=0,0,SER_hh_fech_in!N10/SER_summary!N$27)</f>
        <v>95.966668552440836</v>
      </c>
      <c r="O10" s="133">
        <f>IF(SER_hh_fech_in!O10=0,0,SER_hh_fech_in!O10/SER_summary!O$27)</f>
        <v>79.324309070572752</v>
      </c>
      <c r="P10" s="133">
        <f>IF(SER_hh_fech_in!P10=0,0,SER_hh_fech_in!P10/SER_summary!P$27)</f>
        <v>79.800171041920407</v>
      </c>
      <c r="Q10" s="133">
        <f>IF(SER_hh_fech_in!Q10=0,0,SER_hh_fech_in!Q10/SER_summary!Q$27)</f>
        <v>83.543034887263119</v>
      </c>
      <c r="R10" s="133">
        <f>IF(SER_hh_fech_in!R10=0,0,SER_hh_fech_in!R10/SER_summary!R$27)</f>
        <v>86.708474025595436</v>
      </c>
      <c r="S10" s="133">
        <f>IF(SER_hh_fech_in!S10=0,0,SER_hh_fech_in!S10/SER_summary!S$27)</f>
        <v>85.627898434684084</v>
      </c>
      <c r="T10" s="133">
        <f>IF(SER_hh_fech_in!T10=0,0,SER_hh_fech_in!T10/SER_summary!T$27)</f>
        <v>82.041788344300059</v>
      </c>
      <c r="U10" s="133">
        <f>IF(SER_hh_fech_in!U10=0,0,SER_hh_fech_in!U10/SER_summary!U$27)</f>
        <v>81.842071916290649</v>
      </c>
      <c r="V10" s="133">
        <f>IF(SER_hh_fech_in!V10=0,0,SER_hh_fech_in!V10/SER_summary!V$27)</f>
        <v>73.80951359189072</v>
      </c>
      <c r="W10" s="133">
        <f>IF(SER_hh_fech_in!W10=0,0,SER_hh_fech_in!W10/SER_summary!W$27)</f>
        <v>59.592521527173332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110.92394998091304</v>
      </c>
      <c r="J11" s="133">
        <f>IF(SER_hh_fech_in!J11=0,0,SER_hh_fech_in!J11/SER_summary!J$27)</f>
        <v>76.207244610025725</v>
      </c>
      <c r="K11" s="133">
        <f>IF(SER_hh_fech_in!K11=0,0,SER_hh_fech_in!K11/SER_summary!K$27)</f>
        <v>56.798818801068975</v>
      </c>
      <c r="L11" s="133">
        <f>IF(SER_hh_fech_in!L11=0,0,SER_hh_fech_in!L11/SER_summary!L$27)</f>
        <v>90.336320275184789</v>
      </c>
      <c r="M11" s="133">
        <f>IF(SER_hh_fech_in!M11=0,0,SER_hh_fech_in!M11/SER_summary!M$27)</f>
        <v>76.0592994646547</v>
      </c>
      <c r="N11" s="133">
        <f>IF(SER_hh_fech_in!N11=0,0,SER_hh_fech_in!N11/SER_summary!N$27)</f>
        <v>69.865348655566549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94.080259819267098</v>
      </c>
      <c r="D12" s="133">
        <f>IF(SER_hh_fech_in!D12=0,0,SER_hh_fech_in!D12/SER_summary!D$27)</f>
        <v>89.474968929427575</v>
      </c>
      <c r="E12" s="133">
        <f>IF(SER_hh_fech_in!E12=0,0,SER_hh_fech_in!E12/SER_summary!E$27)</f>
        <v>96.698488168780557</v>
      </c>
      <c r="F12" s="133">
        <f>IF(SER_hh_fech_in!F12=0,0,SER_hh_fech_in!F12/SER_summary!F$27)</f>
        <v>91.630915086201753</v>
      </c>
      <c r="G12" s="133">
        <f>IF(SER_hh_fech_in!G12=0,0,SER_hh_fech_in!G12/SER_summary!G$27)</f>
        <v>94.911240192596765</v>
      </c>
      <c r="H12" s="133">
        <f>IF(SER_hh_fech_in!H12=0,0,SER_hh_fech_in!H12/SER_summary!H$27)</f>
        <v>80.136037420599393</v>
      </c>
      <c r="I12" s="133">
        <f>IF(SER_hh_fech_in!I12=0,0,SER_hh_fech_in!I12/SER_summary!I$27)</f>
        <v>72.837144637401835</v>
      </c>
      <c r="J12" s="133">
        <f>IF(SER_hh_fech_in!J12=0,0,SER_hh_fech_in!J12/SER_summary!J$27)</f>
        <v>77.215973810764169</v>
      </c>
      <c r="K12" s="133">
        <f>IF(SER_hh_fech_in!K12=0,0,SER_hh_fech_in!K12/SER_summary!K$27)</f>
        <v>72.95145838904304</v>
      </c>
      <c r="L12" s="133">
        <f>IF(SER_hh_fech_in!L12=0,0,SER_hh_fech_in!L12/SER_summary!L$27)</f>
        <v>80.36466781235869</v>
      </c>
      <c r="M12" s="133">
        <f>IF(SER_hh_fech_in!M12=0,0,SER_hh_fech_in!M12/SER_summary!M$27)</f>
        <v>75.387964492892053</v>
      </c>
      <c r="N12" s="133">
        <f>IF(SER_hh_fech_in!N12=0,0,SER_hh_fech_in!N12/SER_summary!N$27)</f>
        <v>66.786614773083258</v>
      </c>
      <c r="O12" s="133">
        <f>IF(SER_hh_fech_in!O12=0,0,SER_hh_fech_in!O12/SER_summary!O$27)</f>
        <v>65.063780509324943</v>
      </c>
      <c r="P12" s="133">
        <f>IF(SER_hh_fech_in!P12=0,0,SER_hh_fech_in!P12/SER_summary!P$27)</f>
        <v>47.083612208085121</v>
      </c>
      <c r="Q12" s="133">
        <f>IF(SER_hh_fech_in!Q12=0,0,SER_hh_fech_in!Q12/SER_summary!Q$27)</f>
        <v>52.164326838072625</v>
      </c>
      <c r="R12" s="133">
        <f>IF(SER_hh_fech_in!R12=0,0,SER_hh_fech_in!R12/SER_summary!R$27)</f>
        <v>55.16545585647826</v>
      </c>
      <c r="S12" s="133">
        <f>IF(SER_hh_fech_in!S12=0,0,SER_hh_fech_in!S12/SER_summary!S$27)</f>
        <v>0</v>
      </c>
      <c r="T12" s="133">
        <f>IF(SER_hh_fech_in!T12=0,0,SER_hh_fech_in!T12/SER_summary!T$27)</f>
        <v>51.275646199612744</v>
      </c>
      <c r="U12" s="133">
        <f>IF(SER_hh_fech_in!U12=0,0,SER_hh_fech_in!U12/SER_summary!U$27)</f>
        <v>47.731649996412521</v>
      </c>
      <c r="V12" s="133">
        <f>IF(SER_hh_fech_in!V12=0,0,SER_hh_fech_in!V12/SER_summary!V$27)</f>
        <v>46.06417744653919</v>
      </c>
      <c r="W12" s="133">
        <f>IF(SER_hh_fech_in!W12=0,0,SER_hh_fech_in!W12/SER_summary!W$27)</f>
        <v>45.396787802014799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103.65198688866343</v>
      </c>
      <c r="D14" s="65">
        <f>IF(SER_hh_fech_in!D14=0,0,SER_hh_fech_in!D14/SER_summary!D$27)</f>
        <v>105.40512330472754</v>
      </c>
      <c r="E14" s="65">
        <f>IF(SER_hh_fech_in!E14=0,0,SER_hh_fech_in!E14/SER_summary!E$27)</f>
        <v>96.890950250665696</v>
      </c>
      <c r="F14" s="65">
        <f>IF(SER_hh_fech_in!F14=0,0,SER_hh_fech_in!F14/SER_summary!F$27)</f>
        <v>98.723444566947862</v>
      </c>
      <c r="G14" s="65">
        <f>IF(SER_hh_fech_in!G14=0,0,SER_hh_fech_in!G14/SER_summary!G$27)</f>
        <v>103.01189873088103</v>
      </c>
      <c r="H14" s="65">
        <f>IF(SER_hh_fech_in!H14=0,0,SER_hh_fech_in!H14/SER_summary!H$27)</f>
        <v>90.461771352571475</v>
      </c>
      <c r="I14" s="65">
        <f>IF(SER_hh_fech_in!I14=0,0,SER_hh_fech_in!I14/SER_summary!I$27)</f>
        <v>77.361149090670253</v>
      </c>
      <c r="J14" s="65">
        <f>IF(SER_hh_fech_in!J14=0,0,SER_hh_fech_in!J14/SER_summary!J$27)</f>
        <v>89.309984212203119</v>
      </c>
      <c r="K14" s="65">
        <f>IF(SER_hh_fech_in!K14=0,0,SER_hh_fech_in!K14/SER_summary!K$27)</f>
        <v>82.867093570849832</v>
      </c>
      <c r="L14" s="65">
        <f>IF(SER_hh_fech_in!L14=0,0,SER_hh_fech_in!L14/SER_summary!L$27)</f>
        <v>82.905780558597158</v>
      </c>
      <c r="M14" s="65">
        <f>IF(SER_hh_fech_in!M14=0,0,SER_hh_fech_in!M14/SER_summary!M$27)</f>
        <v>81.427956998016157</v>
      </c>
      <c r="N14" s="65">
        <f>IF(SER_hh_fech_in!N14=0,0,SER_hh_fech_in!N14/SER_summary!N$27)</f>
        <v>74.46391947966687</v>
      </c>
      <c r="O14" s="65">
        <f>IF(SER_hh_fech_in!O14=0,0,SER_hh_fech_in!O14/SER_summary!O$27)</f>
        <v>69.772724151396886</v>
      </c>
      <c r="P14" s="65">
        <f>IF(SER_hh_fech_in!P14=0,0,SER_hh_fech_in!P14/SER_summary!P$27)</f>
        <v>53.685395976977624</v>
      </c>
      <c r="Q14" s="65">
        <f>IF(SER_hh_fech_in!Q14=0,0,SER_hh_fech_in!Q14/SER_summary!Q$27)</f>
        <v>52.35716002279937</v>
      </c>
      <c r="R14" s="65">
        <f>IF(SER_hh_fech_in!R14=0,0,SER_hh_fech_in!R14/SER_summary!R$27)</f>
        <v>53.6019962897645</v>
      </c>
      <c r="S14" s="65">
        <f>IF(SER_hh_fech_in!S14=0,0,SER_hh_fech_in!S14/SER_summary!S$27)</f>
        <v>59.550175270649973</v>
      </c>
      <c r="T14" s="65">
        <f>IF(SER_hh_fech_in!T14=0,0,SER_hh_fech_in!T14/SER_summary!T$27)</f>
        <v>60.946296489135833</v>
      </c>
      <c r="U14" s="65">
        <f>IF(SER_hh_fech_in!U14=0,0,SER_hh_fech_in!U14/SER_summary!U$27)</f>
        <v>57.040667849841611</v>
      </c>
      <c r="V14" s="65">
        <f>IF(SER_hh_fech_in!V14=0,0,SER_hh_fech_in!V14/SER_summary!V$27)</f>
        <v>44.094215852567032</v>
      </c>
      <c r="W14" s="65">
        <f>IF(SER_hh_fech_in!W14=0,0,SER_hh_fech_in!W14/SER_summary!W$27)</f>
        <v>47.270594062367167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1.2619619610667803</v>
      </c>
      <c r="D15" s="135">
        <f>IF(SER_hh_fech_in!D15=0,0,SER_hh_fech_in!D15/SER_summary!D$27)</f>
        <v>1.1140092601051781</v>
      </c>
      <c r="E15" s="135">
        <f>IF(SER_hh_fech_in!E15=0,0,SER_hh_fech_in!E15/SER_summary!E$27)</f>
        <v>1.0715650779091432</v>
      </c>
      <c r="F15" s="135">
        <f>IF(SER_hh_fech_in!F15=0,0,SER_hh_fech_in!F15/SER_summary!F$27)</f>
        <v>1.006701384641407</v>
      </c>
      <c r="G15" s="135">
        <f>IF(SER_hh_fech_in!G15=0,0,SER_hh_fech_in!G15/SER_summary!G$27)</f>
        <v>0.96436946836428172</v>
      </c>
      <c r="H15" s="135">
        <f>IF(SER_hh_fech_in!H15=0,0,SER_hh_fech_in!H15/SER_summary!H$27)</f>
        <v>0.89955664332129137</v>
      </c>
      <c r="I15" s="135">
        <f>IF(SER_hh_fech_in!I15=0,0,SER_hh_fech_in!I15/SER_summary!I$27)</f>
        <v>0.69657614819392055</v>
      </c>
      <c r="J15" s="135">
        <f>IF(SER_hh_fech_in!J15=0,0,SER_hh_fech_in!J15/SER_summary!J$27)</f>
        <v>0.72474652784509075</v>
      </c>
      <c r="K15" s="135">
        <f>IF(SER_hh_fech_in!K15=0,0,SER_hh_fech_in!K15/SER_summary!K$27)</f>
        <v>0.67019313998340835</v>
      </c>
      <c r="L15" s="135">
        <f>IF(SER_hh_fech_in!L15=0,0,SER_hh_fech_in!L15/SER_summary!L$27)</f>
        <v>0.74306286740121996</v>
      </c>
      <c r="M15" s="135">
        <f>IF(SER_hh_fech_in!M15=0,0,SER_hh_fech_in!M15/SER_summary!M$27)</f>
        <v>0.62144770620583223</v>
      </c>
      <c r="N15" s="135">
        <f>IF(SER_hh_fech_in!N15=0,0,SER_hh_fech_in!N15/SER_summary!N$27)</f>
        <v>0.59277400668593816</v>
      </c>
      <c r="O15" s="135">
        <f>IF(SER_hh_fech_in!O15=0,0,SER_hh_fech_in!O15/SER_summary!O$27)</f>
        <v>0.63069153889366014</v>
      </c>
      <c r="P15" s="135">
        <f>IF(SER_hh_fech_in!P15=0,0,SER_hh_fech_in!P15/SER_summary!P$27)</f>
        <v>0.61442094021468763</v>
      </c>
      <c r="Q15" s="135">
        <f>IF(SER_hh_fech_in!Q15=0,0,SER_hh_fech_in!Q15/SER_summary!Q$27)</f>
        <v>0.73321584515231764</v>
      </c>
      <c r="R15" s="135">
        <f>IF(SER_hh_fech_in!R15=0,0,SER_hh_fech_in!R15/SER_summary!R$27)</f>
        <v>0.72119157452052352</v>
      </c>
      <c r="S15" s="135">
        <f>IF(SER_hh_fech_in!S15=0,0,SER_hh_fech_in!S15/SER_summary!S$27)</f>
        <v>0.72901389165106378</v>
      </c>
      <c r="T15" s="135">
        <f>IF(SER_hh_fech_in!T15=0,0,SER_hh_fech_in!T15/SER_summary!T$27)</f>
        <v>0.64661311636355223</v>
      </c>
      <c r="U15" s="135">
        <f>IF(SER_hh_fech_in!U15=0,0,SER_hh_fech_in!U15/SER_summary!U$27)</f>
        <v>0.56369162661529815</v>
      </c>
      <c r="V15" s="135">
        <f>IF(SER_hh_fech_in!V15=0,0,SER_hh_fech_in!V15/SER_summary!V$27)</f>
        <v>0.44895685800682356</v>
      </c>
      <c r="W15" s="135">
        <f>IF(SER_hh_fech_in!W15=0,0,SER_hh_fech_in!W15/SER_summary!W$27)</f>
        <v>0.46141443464646453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10.83315558231585</v>
      </c>
      <c r="D16" s="131">
        <f>IF(SER_hh_fech_in!D16=0,0,SER_hh_fech_in!D16/SER_summary!D$27)</f>
        <v>10.057595627096887</v>
      </c>
      <c r="E16" s="131">
        <f>IF(SER_hh_fech_in!E16=0,0,SER_hh_fech_in!E16/SER_summary!E$27)</f>
        <v>18.519682347672354</v>
      </c>
      <c r="F16" s="131">
        <f>IF(SER_hh_fech_in!F16=0,0,SER_hh_fech_in!F16/SER_summary!F$27)</f>
        <v>9.1769872719207246</v>
      </c>
      <c r="G16" s="131">
        <f>IF(SER_hh_fech_in!G16=0,0,SER_hh_fech_in!G16/SER_summary!G$27)</f>
        <v>8.9094513536058138</v>
      </c>
      <c r="H16" s="131">
        <f>IF(SER_hh_fech_in!H16=0,0,SER_hh_fech_in!H16/SER_summary!H$27)</f>
        <v>9.7394542525972607</v>
      </c>
      <c r="I16" s="131">
        <f>IF(SER_hh_fech_in!I16=0,0,SER_hh_fech_in!I16/SER_summary!I$27)</f>
        <v>9.7426366320045332</v>
      </c>
      <c r="J16" s="131">
        <f>IF(SER_hh_fech_in!J16=0,0,SER_hh_fech_in!J16/SER_summary!J$27)</f>
        <v>9.0762023925595123</v>
      </c>
      <c r="K16" s="131">
        <f>IF(SER_hh_fech_in!K16=0,0,SER_hh_fech_in!K16/SER_summary!K$27)</f>
        <v>8.3480728511817865</v>
      </c>
      <c r="L16" s="131">
        <f>IF(SER_hh_fech_in!L16=0,0,SER_hh_fech_in!L16/SER_summary!L$27)</f>
        <v>8.125440590202162</v>
      </c>
      <c r="M16" s="131">
        <f>IF(SER_hh_fech_in!M16=0,0,SER_hh_fech_in!M16/SER_summary!M$27)</f>
        <v>8.355233824339356</v>
      </c>
      <c r="N16" s="131">
        <f>IF(SER_hh_fech_in!N16=0,0,SER_hh_fech_in!N16/SER_summary!N$27)</f>
        <v>11.664907905862993</v>
      </c>
      <c r="O16" s="131">
        <f>IF(SER_hh_fech_in!O16=0,0,SER_hh_fech_in!O16/SER_summary!O$27)</f>
        <v>7.3536687552587097</v>
      </c>
      <c r="P16" s="131">
        <f>IF(SER_hh_fech_in!P16=0,0,SER_hh_fech_in!P16/SER_summary!P$27)</f>
        <v>5.683121515371818</v>
      </c>
      <c r="Q16" s="131">
        <f>IF(SER_hh_fech_in!Q16=0,0,SER_hh_fech_in!Q16/SER_summary!Q$27)</f>
        <v>8.9394299856263775</v>
      </c>
      <c r="R16" s="131">
        <f>IF(SER_hh_fech_in!R16=0,0,SER_hh_fech_in!R16/SER_summary!R$27)</f>
        <v>5.8705599012837526</v>
      </c>
      <c r="S16" s="131">
        <f>IF(SER_hh_fech_in!S16=0,0,SER_hh_fech_in!S16/SER_summary!S$27)</f>
        <v>8.1770008156803726</v>
      </c>
      <c r="T16" s="131">
        <f>IF(SER_hh_fech_in!T16=0,0,SER_hh_fech_in!T16/SER_summary!T$27)</f>
        <v>5.9445532765092848</v>
      </c>
      <c r="U16" s="131">
        <f>IF(SER_hh_fech_in!U16=0,0,SER_hh_fech_in!U16/SER_summary!U$27)</f>
        <v>6.8846779227841086</v>
      </c>
      <c r="V16" s="131">
        <f>IF(SER_hh_fech_in!V16=0,0,SER_hh_fech_in!V16/SER_summary!V$27)</f>
        <v>5.0769333457023729</v>
      </c>
      <c r="W16" s="131">
        <f>IF(SER_hh_fech_in!W16=0,0,SER_hh_fech_in!W16/SER_summary!W$27)</f>
        <v>6.1547591196341838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19.3857908656523</v>
      </c>
      <c r="D17" s="133">
        <f>IF(SER_hh_fech_in!D17=0,0,SER_hh_fech_in!D17/SER_summary!D$27)</f>
        <v>18.533716895652802</v>
      </c>
      <c r="E17" s="133">
        <f>IF(SER_hh_fech_in!E17=0,0,SER_hh_fech_in!E17/SER_summary!E$27)</f>
        <v>35.161091772249556</v>
      </c>
      <c r="F17" s="133">
        <f>IF(SER_hh_fech_in!F17=0,0,SER_hh_fech_in!F17/SER_summary!F$27)</f>
        <v>17.929307203734702</v>
      </c>
      <c r="G17" s="133">
        <f>IF(SER_hh_fech_in!G17=0,0,SER_hh_fech_in!G17/SER_summary!G$27)</f>
        <v>17.90084348407667</v>
      </c>
      <c r="H17" s="133">
        <f>IF(SER_hh_fech_in!H17=0,0,SER_hh_fech_in!H17/SER_summary!H$27)</f>
        <v>20.114010020512541</v>
      </c>
      <c r="I17" s="133">
        <f>IF(SER_hh_fech_in!I17=0,0,SER_hh_fech_in!I17/SER_summary!I$27)</f>
        <v>26.439117586049175</v>
      </c>
      <c r="J17" s="133">
        <f>IF(SER_hh_fech_in!J17=0,0,SER_hh_fech_in!J17/SER_summary!J$27)</f>
        <v>24.0612585547861</v>
      </c>
      <c r="K17" s="133">
        <f>IF(SER_hh_fech_in!K17=0,0,SER_hh_fech_in!K17/SER_summary!K$27)</f>
        <v>18.669266789456834</v>
      </c>
      <c r="L17" s="133">
        <f>IF(SER_hh_fech_in!L17=0,0,SER_hh_fech_in!L17/SER_summary!L$27)</f>
        <v>18.635124899911347</v>
      </c>
      <c r="M17" s="133">
        <f>IF(SER_hh_fech_in!M17=0,0,SER_hh_fech_in!M17/SER_summary!M$27)</f>
        <v>19.726923891042976</v>
      </c>
      <c r="N17" s="133">
        <f>IF(SER_hh_fech_in!N17=0,0,SER_hh_fech_in!N17/SER_summary!N$27)</f>
        <v>24.425841259041778</v>
      </c>
      <c r="O17" s="133">
        <f>IF(SER_hh_fech_in!O17=0,0,SER_hh_fech_in!O17/SER_summary!O$27)</f>
        <v>18.287600779401391</v>
      </c>
      <c r="P17" s="133">
        <f>IF(SER_hh_fech_in!P17=0,0,SER_hh_fech_in!P17/SER_summary!P$27)</f>
        <v>14.422740968263547</v>
      </c>
      <c r="Q17" s="133">
        <f>IF(SER_hh_fech_in!Q17=0,0,SER_hh_fech_in!Q17/SER_summary!Q$27)</f>
        <v>24.066554453218753</v>
      </c>
      <c r="R17" s="133">
        <f>IF(SER_hh_fech_in!R17=0,0,SER_hh_fech_in!R17/SER_summary!R$27)</f>
        <v>15.418021712615351</v>
      </c>
      <c r="S17" s="133">
        <f>IF(SER_hh_fech_in!S17=0,0,SER_hh_fech_in!S17/SER_summary!S$27)</f>
        <v>21.300476211896481</v>
      </c>
      <c r="T17" s="133">
        <f>IF(SER_hh_fech_in!T17=0,0,SER_hh_fech_in!T17/SER_summary!T$27)</f>
        <v>15.282735098665242</v>
      </c>
      <c r="U17" s="133">
        <f>IF(SER_hh_fech_in!U17=0,0,SER_hh_fech_in!U17/SER_summary!U$27)</f>
        <v>17.553798180100557</v>
      </c>
      <c r="V17" s="133">
        <f>IF(SER_hh_fech_in!V17=0,0,SER_hh_fech_in!V17/SER_summary!V$27)</f>
        <v>12.864585457338137</v>
      </c>
      <c r="W17" s="133">
        <f>IF(SER_hh_fech_in!W17=0,0,SER_hh_fech_in!W17/SER_summary!W$27)</f>
        <v>15.37462321103596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10.8243776922845</v>
      </c>
      <c r="D18" s="133">
        <f>IF(SER_hh_fech_in!D18=0,0,SER_hh_fech_in!D18/SER_summary!D$27)</f>
        <v>10.043081878301587</v>
      </c>
      <c r="E18" s="133">
        <f>IF(SER_hh_fech_in!E18=0,0,SER_hh_fech_in!E18/SER_summary!E$27)</f>
        <v>18.489677911293324</v>
      </c>
      <c r="F18" s="133">
        <f>IF(SER_hh_fech_in!F18=0,0,SER_hh_fech_in!F18/SER_summary!F$27)</f>
        <v>9.1626543556429585</v>
      </c>
      <c r="G18" s="133">
        <f>IF(SER_hh_fech_in!G18=0,0,SER_hh_fech_in!G18/SER_summary!G$27)</f>
        <v>8.8950743954301004</v>
      </c>
      <c r="H18" s="133">
        <f>IF(SER_hh_fech_in!H18=0,0,SER_hh_fech_in!H18/SER_summary!H$27)</f>
        <v>9.7231674488989217</v>
      </c>
      <c r="I18" s="133">
        <f>IF(SER_hh_fech_in!I18=0,0,SER_hh_fech_in!I18/SER_summary!I$27)</f>
        <v>9.7246345809476757</v>
      </c>
      <c r="J18" s="133">
        <f>IF(SER_hh_fech_in!J18=0,0,SER_hh_fech_in!J18/SER_summary!J$27)</f>
        <v>9.0595465927032599</v>
      </c>
      <c r="K18" s="133">
        <f>IF(SER_hh_fech_in!K18=0,0,SER_hh_fech_in!K18/SER_summary!K$27)</f>
        <v>8.3281552209532137</v>
      </c>
      <c r="L18" s="133">
        <f>IF(SER_hh_fech_in!L18=0,0,SER_hh_fech_in!L18/SER_summary!L$27)</f>
        <v>8.09816626928923</v>
      </c>
      <c r="M18" s="133">
        <f>IF(SER_hh_fech_in!M18=0,0,SER_hh_fech_in!M18/SER_summary!M$27)</f>
        <v>8.3285728930041092</v>
      </c>
      <c r="N18" s="133">
        <f>IF(SER_hh_fech_in!N18=0,0,SER_hh_fech_in!N18/SER_summary!N$27)</f>
        <v>11.626145181096049</v>
      </c>
      <c r="O18" s="133">
        <f>IF(SER_hh_fech_in!O18=0,0,SER_hh_fech_in!O18/SER_summary!O$27)</f>
        <v>7.3146357096213475</v>
      </c>
      <c r="P18" s="133">
        <f>IF(SER_hh_fech_in!P18=0,0,SER_hh_fech_in!P18/SER_summary!P$27)</f>
        <v>5.6712337671997606</v>
      </c>
      <c r="Q18" s="133">
        <f>IF(SER_hh_fech_in!Q18=0,0,SER_hh_fech_in!Q18/SER_summary!Q$27)</f>
        <v>8.814999471809255</v>
      </c>
      <c r="R18" s="133">
        <f>IF(SER_hh_fech_in!R18=0,0,SER_hh_fech_in!R18/SER_summary!R$27)</f>
        <v>5.8194170871876976</v>
      </c>
      <c r="S18" s="133">
        <f>IF(SER_hh_fech_in!S18=0,0,SER_hh_fech_in!S18/SER_summary!S$27)</f>
        <v>8.0764661205578765</v>
      </c>
      <c r="T18" s="133">
        <f>IF(SER_hh_fech_in!T18=0,0,SER_hh_fech_in!T18/SER_summary!T$27)</f>
        <v>5.8448885971128721</v>
      </c>
      <c r="U18" s="133">
        <f>IF(SER_hh_fech_in!U18=0,0,SER_hh_fech_in!U18/SER_summary!U$27)</f>
        <v>6.787240817185932</v>
      </c>
      <c r="V18" s="133">
        <f>IF(SER_hh_fech_in!V18=0,0,SER_hh_fech_in!V18/SER_summary!V$27)</f>
        <v>5.0576876479853956</v>
      </c>
      <c r="W18" s="133">
        <f>IF(SER_hh_fech_in!W18=0,0,SER_hh_fech_in!W18/SER_summary!W$27)</f>
        <v>6.0968460061779677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23.419470032368164</v>
      </c>
      <c r="D19" s="131">
        <f>IF(SER_hh_fech_in!D19=0,0,SER_hh_fech_in!D19/SER_summary!D$27)</f>
        <v>23.645694782868134</v>
      </c>
      <c r="E19" s="131">
        <f>IF(SER_hh_fech_in!E19=0,0,SER_hh_fech_in!E19/SER_summary!E$27)</f>
        <v>23.346565250108718</v>
      </c>
      <c r="F19" s="131">
        <f>IF(SER_hh_fech_in!F19=0,0,SER_hh_fech_in!F19/SER_summary!F$27)</f>
        <v>23.569770388399395</v>
      </c>
      <c r="G19" s="131">
        <f>IF(SER_hh_fech_in!G19=0,0,SER_hh_fech_in!G19/SER_summary!G$27)</f>
        <v>23.678209084860576</v>
      </c>
      <c r="H19" s="131">
        <f>IF(SER_hh_fech_in!H19=0,0,SER_hh_fech_in!H19/SER_summary!H$27)</f>
        <v>22.835267661704371</v>
      </c>
      <c r="I19" s="131">
        <f>IF(SER_hh_fech_in!I19=0,0,SER_hh_fech_in!I19/SER_summary!I$27)</f>
        <v>22.521102119860579</v>
      </c>
      <c r="J19" s="131">
        <f>IF(SER_hh_fech_in!J19=0,0,SER_hh_fech_in!J19/SER_summary!J$27)</f>
        <v>21.916759504418312</v>
      </c>
      <c r="K19" s="131">
        <f>IF(SER_hh_fech_in!K19=0,0,SER_hh_fech_in!K19/SER_summary!K$27)</f>
        <v>21.776390419875284</v>
      </c>
      <c r="L19" s="131">
        <f>IF(SER_hh_fech_in!L19=0,0,SER_hh_fech_in!L19/SER_summary!L$27)</f>
        <v>20.786796671980547</v>
      </c>
      <c r="M19" s="131">
        <f>IF(SER_hh_fech_in!M19=0,0,SER_hh_fech_in!M19/SER_summary!M$27)</f>
        <v>20.107663118764535</v>
      </c>
      <c r="N19" s="131">
        <f>IF(SER_hh_fech_in!N19=0,0,SER_hh_fech_in!N19/SER_summary!N$27)</f>
        <v>20.514590374213448</v>
      </c>
      <c r="O19" s="131">
        <f>IF(SER_hh_fech_in!O19=0,0,SER_hh_fech_in!O19/SER_summary!O$27)</f>
        <v>20.78246389363078</v>
      </c>
      <c r="P19" s="131">
        <f>IF(SER_hh_fech_in!P19=0,0,SER_hh_fech_in!P19/SER_summary!P$27)</f>
        <v>19.957128038049667</v>
      </c>
      <c r="Q19" s="131">
        <f>IF(SER_hh_fech_in!Q19=0,0,SER_hh_fech_in!Q19/SER_summary!Q$27)</f>
        <v>19.41950671728312</v>
      </c>
      <c r="R19" s="131">
        <f>IF(SER_hh_fech_in!R19=0,0,SER_hh_fech_in!R19/SER_summary!R$27)</f>
        <v>19.364629265431983</v>
      </c>
      <c r="S19" s="131">
        <f>IF(SER_hh_fech_in!S19=0,0,SER_hh_fech_in!S19/SER_summary!S$27)</f>
        <v>19.057651529112157</v>
      </c>
      <c r="T19" s="131">
        <f>IF(SER_hh_fech_in!T19=0,0,SER_hh_fech_in!T19/SER_summary!T$27)</f>
        <v>18.614837139899169</v>
      </c>
      <c r="U19" s="131">
        <f>IF(SER_hh_fech_in!U19=0,0,SER_hh_fech_in!U19/SER_summary!U$27)</f>
        <v>18.168837139276114</v>
      </c>
      <c r="V19" s="131">
        <f>IF(SER_hh_fech_in!V19=0,0,SER_hh_fech_in!V19/SER_summary!V$27)</f>
        <v>16.671150170744454</v>
      </c>
      <c r="W19" s="131">
        <f>IF(SER_hh_fech_in!W19=0,0,SER_hh_fech_in!W19/SER_summary!W$27)</f>
        <v>17.498033934937624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26.773616068837732</v>
      </c>
      <c r="D21" s="133">
        <f>IF(SER_hh_fech_in!D21=0,0,SER_hh_fech_in!D21/SER_summary!D$27)</f>
        <v>27.075053727901651</v>
      </c>
      <c r="E21" s="133">
        <f>IF(SER_hh_fech_in!E21=0,0,SER_hh_fech_in!E21/SER_summary!E$27)</f>
        <v>26.70041364350352</v>
      </c>
      <c r="F21" s="133">
        <f>IF(SER_hh_fech_in!F21=0,0,SER_hh_fech_in!F21/SER_summary!F$27)</f>
        <v>27.073105068452055</v>
      </c>
      <c r="G21" s="133">
        <f>IF(SER_hh_fech_in!G21=0,0,SER_hh_fech_in!G21/SER_summary!G$27)</f>
        <v>26.546189357286224</v>
      </c>
      <c r="H21" s="133">
        <f>IF(SER_hh_fech_in!H21=0,0,SER_hh_fech_in!H21/SER_summary!H$27)</f>
        <v>26.245301865823571</v>
      </c>
      <c r="I21" s="133">
        <f>IF(SER_hh_fech_in!I21=0,0,SER_hh_fech_in!I21/SER_summary!I$27)</f>
        <v>25.64457912257533</v>
      </c>
      <c r="J21" s="133">
        <f>IF(SER_hh_fech_in!J21=0,0,SER_hh_fech_in!J21/SER_summary!J$27)</f>
        <v>25.260709776415329</v>
      </c>
      <c r="K21" s="133">
        <f>IF(SER_hh_fech_in!K21=0,0,SER_hh_fech_in!K21/SER_summary!K$27)</f>
        <v>25.723939980649998</v>
      </c>
      <c r="L21" s="133">
        <f>IF(SER_hh_fech_in!L21=0,0,SER_hh_fech_in!L21/SER_summary!L$27)</f>
        <v>24.074401795432486</v>
      </c>
      <c r="M21" s="133">
        <f>IF(SER_hh_fech_in!M21=0,0,SER_hh_fech_in!M21/SER_summary!M$27)</f>
        <v>24.647270593786729</v>
      </c>
      <c r="N21" s="133">
        <f>IF(SER_hh_fech_in!N21=0,0,SER_hh_fech_in!N21/SER_summary!N$27)</f>
        <v>21.937199342244</v>
      </c>
      <c r="O21" s="133">
        <f>IF(SER_hh_fech_in!O21=0,0,SER_hh_fech_in!O21/SER_summary!O$27)</f>
        <v>23.692279035922656</v>
      </c>
      <c r="P21" s="133">
        <f>IF(SER_hh_fech_in!P21=0,0,SER_hh_fech_in!P21/SER_summary!P$27)</f>
        <v>23.141431675601122</v>
      </c>
      <c r="Q21" s="133">
        <f>IF(SER_hh_fech_in!Q21=0,0,SER_hh_fech_in!Q21/SER_summary!Q$27)</f>
        <v>22.189858376275591</v>
      </c>
      <c r="R21" s="133">
        <f>IF(SER_hh_fech_in!R21=0,0,SER_hh_fech_in!R21/SER_summary!R$27)</f>
        <v>16.904728407148337</v>
      </c>
      <c r="S21" s="133">
        <f>IF(SER_hh_fech_in!S21=0,0,SER_hh_fech_in!S21/SER_summary!S$27)</f>
        <v>19.594834782278486</v>
      </c>
      <c r="T21" s="133">
        <f>IF(SER_hh_fech_in!T21=0,0,SER_hh_fech_in!T21/SER_summary!T$27)</f>
        <v>19.323060298899716</v>
      </c>
      <c r="U21" s="133">
        <f>IF(SER_hh_fech_in!U21=0,0,SER_hh_fech_in!U21/SER_summary!U$27)</f>
        <v>18.119231416511209</v>
      </c>
      <c r="V21" s="133">
        <f>IF(SER_hh_fech_in!V21=0,0,SER_hh_fech_in!V21/SER_summary!V$27)</f>
        <v>15.923173047560393</v>
      </c>
      <c r="W21" s="133">
        <f>IF(SER_hh_fech_in!W21=0,0,SER_hh_fech_in!W21/SER_summary!W$27)</f>
        <v>17.300770327214696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27.965582776476161</v>
      </c>
      <c r="D22" s="133">
        <f>IF(SER_hh_fech_in!D22=0,0,SER_hh_fech_in!D22/SER_summary!D$27)</f>
        <v>27.983324877617264</v>
      </c>
      <c r="E22" s="133">
        <f>IF(SER_hh_fech_in!E22=0,0,SER_hh_fech_in!E22/SER_summary!E$27)</f>
        <v>28.287941387814346</v>
      </c>
      <c r="F22" s="133">
        <f>IF(SER_hh_fech_in!F22=0,0,SER_hh_fech_in!F22/SER_summary!F$27)</f>
        <v>28.056373516895906</v>
      </c>
      <c r="G22" s="133">
        <f>IF(SER_hh_fech_in!G22=0,0,SER_hh_fech_in!G22/SER_summary!G$27)</f>
        <v>28.337575548065605</v>
      </c>
      <c r="H22" s="133">
        <f>IF(SER_hh_fech_in!H22=0,0,SER_hh_fech_in!H22/SER_summary!H$27)</f>
        <v>27.71317237355446</v>
      </c>
      <c r="I22" s="133">
        <f>IF(SER_hh_fech_in!I22=0,0,SER_hh_fech_in!I22/SER_summary!I$27)</f>
        <v>27.954986935217278</v>
      </c>
      <c r="J22" s="133">
        <f>IF(SER_hh_fech_in!J22=0,0,SER_hh_fech_in!J22/SER_summary!J$27)</f>
        <v>26.968296387746992</v>
      </c>
      <c r="K22" s="133">
        <f>IF(SER_hh_fech_in!K22=0,0,SER_hh_fech_in!K22/SER_summary!K$27)</f>
        <v>26.83297093762927</v>
      </c>
      <c r="L22" s="133">
        <f>IF(SER_hh_fech_in!L22=0,0,SER_hh_fech_in!L22/SER_summary!L$27)</f>
        <v>24.361354236108298</v>
      </c>
      <c r="M22" s="133">
        <f>IF(SER_hh_fech_in!M22=0,0,SER_hh_fech_in!M22/SER_summary!M$27)</f>
        <v>24.620700594461908</v>
      </c>
      <c r="N22" s="133">
        <f>IF(SER_hh_fech_in!N22=0,0,SER_hh_fech_in!N22/SER_summary!N$27)</f>
        <v>16.548782509233501</v>
      </c>
      <c r="O22" s="133">
        <f>IF(SER_hh_fech_in!O22=0,0,SER_hh_fech_in!O22/SER_summary!O$27)</f>
        <v>24.822246836020852</v>
      </c>
      <c r="P22" s="133">
        <f>IF(SER_hh_fech_in!P22=0,0,SER_hh_fech_in!P22/SER_summary!P$27)</f>
        <v>23.926985612755974</v>
      </c>
      <c r="Q22" s="133">
        <f>IF(SER_hh_fech_in!Q22=0,0,SER_hh_fech_in!Q22/SER_summary!Q$27)</f>
        <v>20.705174484137473</v>
      </c>
      <c r="R22" s="133">
        <f>IF(SER_hh_fech_in!R22=0,0,SER_hh_fech_in!R22/SER_summary!R$27)</f>
        <v>17.55437511237281</v>
      </c>
      <c r="S22" s="133">
        <f>IF(SER_hh_fech_in!S22=0,0,SER_hh_fech_in!S22/SER_summary!S$27)</f>
        <v>20.283429736146218</v>
      </c>
      <c r="T22" s="133">
        <f>IF(SER_hh_fech_in!T22=0,0,SER_hh_fech_in!T22/SER_summary!T$27)</f>
        <v>19.711934451843621</v>
      </c>
      <c r="U22" s="133">
        <f>IF(SER_hh_fech_in!U22=0,0,SER_hh_fech_in!U22/SER_summary!U$27)</f>
        <v>19.436540217669197</v>
      </c>
      <c r="V22" s="133">
        <f>IF(SER_hh_fech_in!V22=0,0,SER_hh_fech_in!V22/SER_summary!V$27)</f>
        <v>17.358408166399435</v>
      </c>
      <c r="W22" s="133">
        <f>IF(SER_hh_fech_in!W22=0,0,SER_hh_fech_in!W22/SER_summary!W$27)</f>
        <v>18.431545589415638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25.536659678485776</v>
      </c>
      <c r="D23" s="133">
        <f>IF(SER_hh_fech_in!D23=0,0,SER_hh_fech_in!D23/SER_summary!D$27)</f>
        <v>25.654702713672712</v>
      </c>
      <c r="E23" s="133">
        <f>IF(SER_hh_fech_in!E23=0,0,SER_hh_fech_in!E23/SER_summary!E$27)</f>
        <v>25.504572056805838</v>
      </c>
      <c r="F23" s="133">
        <f>IF(SER_hh_fech_in!F23=0,0,SER_hh_fech_in!F23/SER_summary!F$27)</f>
        <v>25.454238113309497</v>
      </c>
      <c r="G23" s="133">
        <f>IF(SER_hh_fech_in!G23=0,0,SER_hh_fech_in!G23/SER_summary!G$27)</f>
        <v>25.469543482541177</v>
      </c>
      <c r="H23" s="133">
        <f>IF(SER_hh_fech_in!H23=0,0,SER_hh_fech_in!H23/SER_summary!H$27)</f>
        <v>24.667893127308275</v>
      </c>
      <c r="I23" s="133">
        <f>IF(SER_hh_fech_in!I23=0,0,SER_hh_fech_in!I23/SER_summary!I$27)</f>
        <v>24.05624648996805</v>
      </c>
      <c r="J23" s="133">
        <f>IF(SER_hh_fech_in!J23=0,0,SER_hh_fech_in!J23/SER_summary!J$27)</f>
        <v>23.567207111463357</v>
      </c>
      <c r="K23" s="133">
        <f>IF(SER_hh_fech_in!K23=0,0,SER_hh_fech_in!K23/SER_summary!K$27)</f>
        <v>23.308520743099859</v>
      </c>
      <c r="L23" s="133">
        <f>IF(SER_hh_fech_in!L23=0,0,SER_hh_fech_in!L23/SER_summary!L$27)</f>
        <v>21.839260209481488</v>
      </c>
      <c r="M23" s="133">
        <f>IF(SER_hh_fech_in!M23=0,0,SER_hh_fech_in!M23/SER_summary!M$27)</f>
        <v>22.627463932663915</v>
      </c>
      <c r="N23" s="133">
        <f>IF(SER_hh_fech_in!N23=0,0,SER_hh_fech_in!N23/SER_summary!N$27)</f>
        <v>20.922024265210489</v>
      </c>
      <c r="O23" s="133">
        <f>IF(SER_hh_fech_in!O23=0,0,SER_hh_fech_in!O23/SER_summary!O$27)</f>
        <v>22.089489617992555</v>
      </c>
      <c r="P23" s="133">
        <f>IF(SER_hh_fech_in!P23=0,0,SER_hh_fech_in!P23/SER_summary!P$27)</f>
        <v>21.80875152673876</v>
      </c>
      <c r="Q23" s="133">
        <f>IF(SER_hh_fech_in!Q23=0,0,SER_hh_fech_in!Q23/SER_summary!Q$27)</f>
        <v>21.060024439748499</v>
      </c>
      <c r="R23" s="133">
        <f>IF(SER_hh_fech_in!R23=0,0,SER_hh_fech_in!R23/SER_summary!R$27)</f>
        <v>17.882721788726709</v>
      </c>
      <c r="S23" s="133">
        <f>IF(SER_hh_fech_in!S23=0,0,SER_hh_fech_in!S23/SER_summary!S$27)</f>
        <v>19.531490775389685</v>
      </c>
      <c r="T23" s="133">
        <f>IF(SER_hh_fech_in!T23=0,0,SER_hh_fech_in!T23/SER_summary!T$27)</f>
        <v>19.21884985183749</v>
      </c>
      <c r="U23" s="133">
        <f>IF(SER_hh_fech_in!U23=0,0,SER_hh_fech_in!U23/SER_summary!U$27)</f>
        <v>18.403600348220237</v>
      </c>
      <c r="V23" s="133">
        <f>IF(SER_hh_fech_in!V23=0,0,SER_hh_fech_in!V23/SER_summary!V$27)</f>
        <v>16.845540830415558</v>
      </c>
      <c r="W23" s="133">
        <f>IF(SER_hh_fech_in!W23=0,0,SER_hh_fech_in!W23/SER_summary!W$27)</f>
        <v>18.018341408027961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18.287069849664711</v>
      </c>
      <c r="D25" s="133">
        <f>IF(SER_hh_fech_in!D25=0,0,SER_hh_fech_in!D25/SER_summary!D$27)</f>
        <v>18.308436904518729</v>
      </c>
      <c r="E25" s="133">
        <f>IF(SER_hh_fech_in!E25=0,0,SER_hh_fech_in!E25/SER_summary!E$27)</f>
        <v>18.442787965536773</v>
      </c>
      <c r="F25" s="133">
        <f>IF(SER_hh_fech_in!F25=0,0,SER_hh_fech_in!F25/SER_summary!F$27)</f>
        <v>18.507914115061052</v>
      </c>
      <c r="G25" s="133">
        <f>IF(SER_hh_fech_in!G25=0,0,SER_hh_fech_in!G25/SER_summary!G$27)</f>
        <v>18.719745880282733</v>
      </c>
      <c r="H25" s="133">
        <f>IF(SER_hh_fech_in!H25=0,0,SER_hh_fech_in!H25/SER_summary!H$27)</f>
        <v>18.341381063300055</v>
      </c>
      <c r="I25" s="133">
        <f>IF(SER_hh_fech_in!I25=0,0,SER_hh_fech_in!I25/SER_summary!I$27)</f>
        <v>18.188192188017474</v>
      </c>
      <c r="J25" s="133">
        <f>IF(SER_hh_fech_in!J25=0,0,SER_hh_fech_in!J25/SER_summary!J$27)</f>
        <v>17.755956637161521</v>
      </c>
      <c r="K25" s="133">
        <f>IF(SER_hh_fech_in!K25=0,0,SER_hh_fech_in!K25/SER_summary!K$27)</f>
        <v>17.760926264628957</v>
      </c>
      <c r="L25" s="133">
        <f>IF(SER_hh_fech_in!L25=0,0,SER_hh_fech_in!L25/SER_summary!L$27)</f>
        <v>16.910674380904727</v>
      </c>
      <c r="M25" s="133">
        <f>IF(SER_hh_fech_in!M25=0,0,SER_hh_fech_in!M25/SER_summary!M$27)</f>
        <v>17.850769263790657</v>
      </c>
      <c r="N25" s="133">
        <f>IF(SER_hh_fech_in!N25=0,0,SER_hh_fech_in!N25/SER_summary!N$27)</f>
        <v>17.298192615073322</v>
      </c>
      <c r="O25" s="133">
        <f>IF(SER_hh_fech_in!O25=0,0,SER_hh_fech_in!O25/SER_summary!O$27)</f>
        <v>18.361018804668241</v>
      </c>
      <c r="P25" s="133">
        <f>IF(SER_hh_fech_in!P25=0,0,SER_hh_fech_in!P25/SER_summary!P$27)</f>
        <v>18.807771109070728</v>
      </c>
      <c r="Q25" s="133">
        <f>IF(SER_hh_fech_in!Q25=0,0,SER_hh_fech_in!Q25/SER_summary!Q$27)</f>
        <v>18.474834283328249</v>
      </c>
      <c r="R25" s="133">
        <f>IF(SER_hh_fech_in!R25=0,0,SER_hh_fech_in!R25/SER_summary!R$27)</f>
        <v>17.395557695626213</v>
      </c>
      <c r="S25" s="133">
        <f>IF(SER_hh_fech_in!S25=0,0,SER_hh_fech_in!S25/SER_summary!S$27)</f>
        <v>17.370859464191696</v>
      </c>
      <c r="T25" s="133">
        <f>IF(SER_hh_fech_in!T25=0,0,SER_hh_fech_in!T25/SER_summary!T$27)</f>
        <v>17.206572201915471</v>
      </c>
      <c r="U25" s="133">
        <f>IF(SER_hh_fech_in!U25=0,0,SER_hh_fech_in!U25/SER_summary!U$27)</f>
        <v>16.57508015269871</v>
      </c>
      <c r="V25" s="133">
        <f>IF(SER_hh_fech_in!V25=0,0,SER_hh_fech_in!V25/SER_summary!V$27)</f>
        <v>15.828096757419218</v>
      </c>
      <c r="W25" s="133">
        <f>IF(SER_hh_fech_in!W25=0,0,SER_hh_fech_in!W25/SER_summary!W$27)</f>
        <v>16.342047198987949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21.109548261183917</v>
      </c>
      <c r="D26" s="65">
        <f>IF(SER_hh_fech_in!D26=0,0,SER_hh_fech_in!D26/SER_summary!D$27)</f>
        <v>19.265592701314922</v>
      </c>
      <c r="E26" s="65">
        <f>IF(SER_hh_fech_in!E26=0,0,SER_hh_fech_in!E26/SER_summary!E$27)</f>
        <v>20.725748407301488</v>
      </c>
      <c r="F26" s="65">
        <f>IF(SER_hh_fech_in!F26=0,0,SER_hh_fech_in!F26/SER_summary!F$27)</f>
        <v>19.302303778462857</v>
      </c>
      <c r="G26" s="65">
        <f>IF(SER_hh_fech_in!G26=0,0,SER_hh_fech_in!G26/SER_summary!G$27)</f>
        <v>19.552410637750487</v>
      </c>
      <c r="H26" s="65">
        <f>IF(SER_hh_fech_in!H26=0,0,SER_hh_fech_in!H26/SER_summary!H$27)</f>
        <v>19.413679873189416</v>
      </c>
      <c r="I26" s="65">
        <f>IF(SER_hh_fech_in!I26=0,0,SER_hh_fech_in!I26/SER_summary!I$27)</f>
        <v>19.257401656839697</v>
      </c>
      <c r="J26" s="65">
        <f>IF(SER_hh_fech_in!J26=0,0,SER_hh_fech_in!J26/SER_summary!J$27)</f>
        <v>10.909252807896875</v>
      </c>
      <c r="K26" s="65">
        <f>IF(SER_hh_fech_in!K26=0,0,SER_hh_fech_in!K26/SER_summary!K$27)</f>
        <v>11.04450187825822</v>
      </c>
      <c r="L26" s="65">
        <f>IF(SER_hh_fech_in!L26=0,0,SER_hh_fech_in!L26/SER_summary!L$27)</f>
        <v>6.0442358359725832</v>
      </c>
      <c r="M26" s="65">
        <f>IF(SER_hh_fech_in!M26=0,0,SER_hh_fech_in!M26/SER_summary!M$27)</f>
        <v>6.0919248670314481</v>
      </c>
      <c r="N26" s="65">
        <f>IF(SER_hh_fech_in!N26=0,0,SER_hh_fech_in!N26/SER_summary!N$27)</f>
        <v>6.2152206825349809</v>
      </c>
      <c r="O26" s="65">
        <f>IF(SER_hh_fech_in!O26=0,0,SER_hh_fech_in!O26/SER_summary!O$27)</f>
        <v>5.9396708983567388</v>
      </c>
      <c r="P26" s="65">
        <f>IF(SER_hh_fech_in!P26=0,0,SER_hh_fech_in!P26/SER_summary!P$27)</f>
        <v>8.0201765720648091</v>
      </c>
      <c r="Q26" s="65">
        <f>IF(SER_hh_fech_in!Q26=0,0,SER_hh_fech_in!Q26/SER_summary!Q$27)</f>
        <v>6.2483171378422515</v>
      </c>
      <c r="R26" s="65">
        <f>IF(SER_hh_fech_in!R26=0,0,SER_hh_fech_in!R26/SER_summary!R$27)</f>
        <v>5.3783490765064084</v>
      </c>
      <c r="S26" s="65">
        <f>IF(SER_hh_fech_in!S26=0,0,SER_hh_fech_in!S26/SER_summary!S$27)</f>
        <v>4.7302620436748821</v>
      </c>
      <c r="T26" s="65">
        <f>IF(SER_hh_fech_in!T26=0,0,SER_hh_fech_in!T26/SER_summary!T$27)</f>
        <v>4.5929242777767572</v>
      </c>
      <c r="U26" s="65">
        <f>IF(SER_hh_fech_in!U26=0,0,SER_hh_fech_in!U26/SER_summary!U$27)</f>
        <v>4.4704105008031227</v>
      </c>
      <c r="V26" s="65">
        <f>IF(SER_hh_fech_in!V26=0,0,SER_hh_fech_in!V26/SER_summary!V$27)</f>
        <v>3.7872130875047501</v>
      </c>
      <c r="W26" s="65">
        <f>IF(SER_hh_fech_in!W26=0,0,SER_hh_fech_in!W26/SER_summary!W$27)</f>
        <v>3.7623587204581397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0.36650749399388277</v>
      </c>
      <c r="D27" s="146">
        <f>IF(SER_hh_fech_in!D27=0,0,SER_hh_fech_in!D27/SER_summary!D$27)</f>
        <v>0.85843598138303823</v>
      </c>
      <c r="E27" s="146">
        <f>IF(SER_hh_fech_in!E27=0,0,SER_hh_fech_in!E27/SER_summary!E$27)</f>
        <v>0.46635378078732503</v>
      </c>
      <c r="F27" s="146">
        <f>IF(SER_hh_fech_in!F27=0,0,SER_hh_fech_in!F27/SER_summary!F$27)</f>
        <v>1.1025691075279949</v>
      </c>
      <c r="G27" s="146">
        <f>IF(SER_hh_fech_in!G27=0,0,SER_hh_fech_in!G27/SER_summary!G$27)</f>
        <v>0.98395899695578137</v>
      </c>
      <c r="H27" s="146">
        <f>IF(SER_hh_fech_in!H27=0,0,SER_hh_fech_in!H27/SER_summary!H$27)</f>
        <v>0.97698239247719043</v>
      </c>
      <c r="I27" s="146">
        <f>IF(SER_hh_fech_in!I27=0,0,SER_hh_fech_in!I27/SER_summary!I$27)</f>
        <v>0.97721701803949301</v>
      </c>
      <c r="J27" s="146">
        <f>IF(SER_hh_fech_in!J27=0,0,SER_hh_fech_in!J27/SER_summary!J$27)</f>
        <v>2.9831361793868174</v>
      </c>
      <c r="K27" s="146">
        <f>IF(SER_hh_fech_in!K27=0,0,SER_hh_fech_in!K27/SER_summary!K$27)</f>
        <v>2.9304617747077266</v>
      </c>
      <c r="L27" s="146">
        <f>IF(SER_hh_fech_in!L27=0,0,SER_hh_fech_in!L27/SER_summary!L$27)</f>
        <v>4.3744446574979738</v>
      </c>
      <c r="M27" s="146">
        <f>IF(SER_hh_fech_in!M27=0,0,SER_hh_fech_in!M27/SER_summary!M$27)</f>
        <v>4.722995077419502</v>
      </c>
      <c r="N27" s="146">
        <f>IF(SER_hh_fech_in!N27=0,0,SER_hh_fech_in!N27/SER_summary!N$27)</f>
        <v>3.9972760938097713</v>
      </c>
      <c r="O27" s="146">
        <f>IF(SER_hh_fech_in!O27=0,0,SER_hh_fech_in!O27/SER_summary!O$27)</f>
        <v>3.3971148402067799</v>
      </c>
      <c r="P27" s="146">
        <f>IF(SER_hh_fech_in!P27=0,0,SER_hh_fech_in!P27/SER_summary!P$27)</f>
        <v>3.8619182258886062</v>
      </c>
      <c r="Q27" s="146">
        <f>IF(SER_hh_fech_in!Q27=0,0,SER_hh_fech_in!Q27/SER_summary!Q$27)</f>
        <v>3.6753823892097093</v>
      </c>
      <c r="R27" s="146">
        <f>IF(SER_hh_fech_in!R27=0,0,SER_hh_fech_in!R27/SER_summary!R$27)</f>
        <v>3.0989757531808038</v>
      </c>
      <c r="S27" s="146">
        <f>IF(SER_hh_fech_in!S27=0,0,SER_hh_fech_in!S27/SER_summary!S$27)</f>
        <v>3.332123928276141</v>
      </c>
      <c r="T27" s="146">
        <f>IF(SER_hh_fech_in!T27=0,0,SER_hh_fech_in!T27/SER_summary!T$27)</f>
        <v>3.671977580145882</v>
      </c>
      <c r="U27" s="146">
        <f>IF(SER_hh_fech_in!U27=0,0,SER_hh_fech_in!U27/SER_summary!U$27)</f>
        <v>4.1762341121413202</v>
      </c>
      <c r="V27" s="146">
        <f>IF(SER_hh_fech_in!V27=0,0,SER_hh_fech_in!V27/SER_summary!V$27)</f>
        <v>4.2005695314523663</v>
      </c>
      <c r="W27" s="146">
        <f>IF(SER_hh_fech_in!W27=0,0,SER_hh_fech_in!W27/SER_summary!W$27)</f>
        <v>3.1271392546035837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10.189638649035329</v>
      </c>
      <c r="D28" s="147">
        <f>IF(SER_hh_fech_in!D28=0,0,SER_hh_fech_in!D28/SER_summary!D$27)</f>
        <v>10.139419621381148</v>
      </c>
      <c r="E28" s="147">
        <f>IF(SER_hh_fech_in!E28=0,0,SER_hh_fech_in!E28/SER_summary!E$27)</f>
        <v>10.744382484556871</v>
      </c>
      <c r="F28" s="147">
        <f>IF(SER_hh_fech_in!F28=0,0,SER_hh_fech_in!F28/SER_summary!F$27)</f>
        <v>10.584312989846282</v>
      </c>
      <c r="G28" s="147">
        <f>IF(SER_hh_fech_in!G28=0,0,SER_hh_fech_in!G28/SER_summary!G$27)</f>
        <v>10.697675815506173</v>
      </c>
      <c r="H28" s="147">
        <f>IF(SER_hh_fech_in!H28=0,0,SER_hh_fech_in!H28/SER_summary!H$27)</f>
        <v>10.447576581515495</v>
      </c>
      <c r="I28" s="147">
        <f>IF(SER_hh_fech_in!I28=0,0,SER_hh_fech_in!I28/SER_summary!I$27)</f>
        <v>10.462951559763438</v>
      </c>
      <c r="J28" s="147">
        <f>IF(SER_hh_fech_in!J28=0,0,SER_hh_fech_in!J28/SER_summary!J$27)</f>
        <v>10.623845540267677</v>
      </c>
      <c r="K28" s="147">
        <f>IF(SER_hh_fech_in!K28=0,0,SER_hh_fech_in!K28/SER_summary!K$27)</f>
        <v>10.967018478879725</v>
      </c>
      <c r="L28" s="147">
        <f>IF(SER_hh_fech_in!L28=0,0,SER_hh_fech_in!L28/SER_summary!L$27)</f>
        <v>11.027481781770343</v>
      </c>
      <c r="M28" s="147">
        <f>IF(SER_hh_fech_in!M28=0,0,SER_hh_fech_in!M28/SER_summary!M$27)</f>
        <v>10.84559218783621</v>
      </c>
      <c r="N28" s="147">
        <f>IF(SER_hh_fech_in!N28=0,0,SER_hh_fech_in!N28/SER_summary!N$27)</f>
        <v>11.030673942573758</v>
      </c>
      <c r="O28" s="147">
        <f>IF(SER_hh_fech_in!O28=0,0,SER_hh_fech_in!O28/SER_summary!O$27)</f>
        <v>11.689081295073823</v>
      </c>
      <c r="P28" s="147">
        <f>IF(SER_hh_fech_in!P28=0,0,SER_hh_fech_in!P28/SER_summary!P$27)</f>
        <v>11.448237239524929</v>
      </c>
      <c r="Q28" s="147">
        <f>IF(SER_hh_fech_in!Q28=0,0,SER_hh_fech_in!Q28/SER_summary!Q$27)</f>
        <v>10.884501011562762</v>
      </c>
      <c r="R28" s="147">
        <f>IF(SER_hh_fech_in!R28=0,0,SER_hh_fech_in!R28/SER_summary!R$27)</f>
        <v>10.820549758668632</v>
      </c>
      <c r="S28" s="147">
        <f>IF(SER_hh_fech_in!S28=0,0,SER_hh_fech_in!S28/SER_summary!S$27)</f>
        <v>11.348824918497193</v>
      </c>
      <c r="T28" s="147">
        <f>IF(SER_hh_fech_in!T28=0,0,SER_hh_fech_in!T28/SER_summary!T$27)</f>
        <v>11.33195830922825</v>
      </c>
      <c r="U28" s="147">
        <f>IF(SER_hh_fech_in!U28=0,0,SER_hh_fech_in!U28/SER_summary!U$27)</f>
        <v>11.284478562762091</v>
      </c>
      <c r="V28" s="147">
        <f>IF(SER_hh_fech_in!V28=0,0,SER_hh_fech_in!V28/SER_summary!V$27)</f>
        <v>11.305840101252892</v>
      </c>
      <c r="W28" s="147">
        <f>IF(SER_hh_fech_in!W28=0,0,SER_hh_fech_in!W28/SER_summary!W$27)</f>
        <v>11.011645946354177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24.700154544062368</v>
      </c>
      <c r="D29" s="131">
        <f>IF(SER_hh_fech_in!D29=0,0,SER_hh_fech_in!D29/SER_summary!D$27)</f>
        <v>23.869793272087989</v>
      </c>
      <c r="E29" s="131">
        <f>IF(SER_hh_fech_in!E29=0,0,SER_hh_fech_in!E29/SER_summary!E$27)</f>
        <v>23.260416581137843</v>
      </c>
      <c r="F29" s="131">
        <f>IF(SER_hh_fech_in!F29=0,0,SER_hh_fech_in!F29/SER_summary!F$27)</f>
        <v>23.688896212117402</v>
      </c>
      <c r="G29" s="131">
        <f>IF(SER_hh_fech_in!G29=0,0,SER_hh_fech_in!G29/SER_summary!G$27)</f>
        <v>23.721197584654554</v>
      </c>
      <c r="H29" s="131">
        <f>IF(SER_hh_fech_in!H29=0,0,SER_hh_fech_in!H29/SER_summary!H$27)</f>
        <v>23.942188216235756</v>
      </c>
      <c r="I29" s="131">
        <f>IF(SER_hh_fech_in!I29=0,0,SER_hh_fech_in!I29/SER_summary!I$27)</f>
        <v>24.226477387094395</v>
      </c>
      <c r="J29" s="131">
        <f>IF(SER_hh_fech_in!J29=0,0,SER_hh_fech_in!J29/SER_summary!J$27)</f>
        <v>25.38278208749027</v>
      </c>
      <c r="K29" s="131">
        <f>IF(SER_hh_fech_in!K29=0,0,SER_hh_fech_in!K29/SER_summary!K$27)</f>
        <v>27.365091844382448</v>
      </c>
      <c r="L29" s="131">
        <f>IF(SER_hh_fech_in!L29=0,0,SER_hh_fech_in!L29/SER_summary!L$27)</f>
        <v>27.007589135242853</v>
      </c>
      <c r="M29" s="131">
        <f>IF(SER_hh_fech_in!M29=0,0,SER_hh_fech_in!M29/SER_summary!M$27)</f>
        <v>26.700190325455516</v>
      </c>
      <c r="N29" s="131">
        <f>IF(SER_hh_fech_in!N29=0,0,SER_hh_fech_in!N29/SER_summary!N$27)</f>
        <v>27.804692916744138</v>
      </c>
      <c r="O29" s="131">
        <f>IF(SER_hh_fech_in!O29=0,0,SER_hh_fech_in!O29/SER_summary!O$27)</f>
        <v>27.803176119312131</v>
      </c>
      <c r="P29" s="131">
        <f>IF(SER_hh_fech_in!P29=0,0,SER_hh_fech_in!P29/SER_summary!P$27)</f>
        <v>27.927591654018496</v>
      </c>
      <c r="Q29" s="131">
        <f>IF(SER_hh_fech_in!Q29=0,0,SER_hh_fech_in!Q29/SER_summary!Q$27)</f>
        <v>27.822814596648819</v>
      </c>
      <c r="R29" s="131">
        <f>IF(SER_hh_fech_in!R29=0,0,SER_hh_fech_in!R29/SER_summary!R$27)</f>
        <v>28.646277593836608</v>
      </c>
      <c r="S29" s="131">
        <f>IF(SER_hh_fech_in!S29=0,0,SER_hh_fech_in!S29/SER_summary!S$27)</f>
        <v>28.514317448659</v>
      </c>
      <c r="T29" s="131">
        <f>IF(SER_hh_fech_in!T29=0,0,SER_hh_fech_in!T29/SER_summary!T$27)</f>
        <v>28.449883058660905</v>
      </c>
      <c r="U29" s="131">
        <f>IF(SER_hh_fech_in!U29=0,0,SER_hh_fech_in!U29/SER_summary!U$27)</f>
        <v>28.615925087340305</v>
      </c>
      <c r="V29" s="131">
        <f>IF(SER_hh_fech_in!V29=0,0,SER_hh_fech_in!V29/SER_summary!V$27)</f>
        <v>24.612029716374348</v>
      </c>
      <c r="W29" s="131">
        <f>IF(SER_hh_fech_in!W29=0,0,SER_hh_fech_in!W29/SER_summary!W$27)</f>
        <v>28.279979412891542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36.135234193162219</v>
      </c>
      <c r="D30" s="133">
        <f>IF(SER_hh_fech_in!D30=0,0,SER_hh_fech_in!D30/SER_summary!D$27)</f>
        <v>28.413415501994702</v>
      </c>
      <c r="E30" s="133">
        <f>IF(SER_hh_fech_in!E30=0,0,SER_hh_fech_in!E30/SER_summary!E$27)</f>
        <v>29.454097133999227</v>
      </c>
      <c r="F30" s="133">
        <f>IF(SER_hh_fech_in!F30=0,0,SER_hh_fech_in!F30/SER_summary!F$27)</f>
        <v>31.636199431761575</v>
      </c>
      <c r="G30" s="133">
        <f>IF(SER_hh_fech_in!G30=0,0,SER_hh_fech_in!G30/SER_summary!G$27)</f>
        <v>28.843170652384003</v>
      </c>
      <c r="H30" s="133">
        <f>IF(SER_hh_fech_in!H30=0,0,SER_hh_fech_in!H30/SER_summary!H$27)</f>
        <v>31.48435083475561</v>
      </c>
      <c r="I30" s="133">
        <f>IF(SER_hh_fech_in!I30=0,0,SER_hh_fech_in!I30/SER_summary!I$27)</f>
        <v>29.417398479399434</v>
      </c>
      <c r="J30" s="133">
        <f>IF(SER_hh_fech_in!J30=0,0,SER_hh_fech_in!J30/SER_summary!J$27)</f>
        <v>30.220399186166336</v>
      </c>
      <c r="K30" s="133">
        <f>IF(SER_hh_fech_in!K30=0,0,SER_hh_fech_in!K30/SER_summary!K$27)</f>
        <v>35.547965099790495</v>
      </c>
      <c r="L30" s="133">
        <f>IF(SER_hh_fech_in!L30=0,0,SER_hh_fech_in!L30/SER_summary!L$27)</f>
        <v>38.567125498011023</v>
      </c>
      <c r="M30" s="133">
        <f>IF(SER_hh_fech_in!M30=0,0,SER_hh_fech_in!M30/SER_summary!M$27)</f>
        <v>33.943242008480574</v>
      </c>
      <c r="N30" s="133">
        <f>IF(SER_hh_fech_in!N30=0,0,SER_hh_fech_in!N30/SER_summary!N$27)</f>
        <v>34.130684621441418</v>
      </c>
      <c r="O30" s="133">
        <f>IF(SER_hh_fech_in!O30=0,0,SER_hh_fech_in!O30/SER_summary!O$27)</f>
        <v>35.152991524876725</v>
      </c>
      <c r="P30" s="133">
        <f>IF(SER_hh_fech_in!P30=0,0,SER_hh_fech_in!P30/SER_summary!P$27)</f>
        <v>35.308474744117404</v>
      </c>
      <c r="Q30" s="133">
        <f>IF(SER_hh_fech_in!Q30=0,0,SER_hh_fech_in!Q30/SER_summary!Q$27)</f>
        <v>35.002962049496261</v>
      </c>
      <c r="R30" s="133">
        <f>IF(SER_hh_fech_in!R30=0,0,SER_hh_fech_in!R30/SER_summary!R$27)</f>
        <v>39.022093661060332</v>
      </c>
      <c r="S30" s="133">
        <f>IF(SER_hh_fech_in!S30=0,0,SER_hh_fech_in!S30/SER_summary!S$27)</f>
        <v>36.552878053824386</v>
      </c>
      <c r="T30" s="133">
        <f>IF(SER_hh_fech_in!T30=0,0,SER_hh_fech_in!T30/SER_summary!T$27)</f>
        <v>35.803389800136273</v>
      </c>
      <c r="U30" s="133">
        <f>IF(SER_hh_fech_in!U30=0,0,SER_hh_fech_in!U30/SER_summary!U$27)</f>
        <v>38.803570923321111</v>
      </c>
      <c r="V30" s="133">
        <f>IF(SER_hh_fech_in!V30=0,0,SER_hh_fech_in!V30/SER_summary!V$27)</f>
        <v>31.63685512670062</v>
      </c>
      <c r="W30" s="133">
        <f>IF(SER_hh_fech_in!W30=0,0,SER_hh_fech_in!W30/SER_summary!W$27)</f>
        <v>37.974761555959418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29.539356226651734</v>
      </c>
      <c r="D31" s="133">
        <f>IF(SER_hh_fech_in!D31=0,0,SER_hh_fech_in!D31/SER_summary!D$27)</f>
        <v>29.633476820537439</v>
      </c>
      <c r="E31" s="133">
        <f>IF(SER_hh_fech_in!E31=0,0,SER_hh_fech_in!E31/SER_summary!E$27)</f>
        <v>29.34836476693749</v>
      </c>
      <c r="F31" s="133">
        <f>IF(SER_hh_fech_in!F31=0,0,SER_hh_fech_in!F31/SER_summary!F$27)</f>
        <v>29.128585414119385</v>
      </c>
      <c r="G31" s="133">
        <f>IF(SER_hh_fech_in!G31=0,0,SER_hh_fech_in!G31/SER_summary!G$27)</f>
        <v>29.956451048344643</v>
      </c>
      <c r="H31" s="133">
        <f>IF(SER_hh_fech_in!H31=0,0,SER_hh_fech_in!H31/SER_summary!H$27)</f>
        <v>29.837430562095115</v>
      </c>
      <c r="I31" s="133">
        <f>IF(SER_hh_fech_in!I31=0,0,SER_hh_fech_in!I31/SER_summary!I$27)</f>
        <v>30.67804661772449</v>
      </c>
      <c r="J31" s="133">
        <f>IF(SER_hh_fech_in!J31=0,0,SER_hh_fech_in!J31/SER_summary!J$27)</f>
        <v>31.903553059379568</v>
      </c>
      <c r="K31" s="133">
        <f>IF(SER_hh_fech_in!K31=0,0,SER_hh_fech_in!K31/SER_summary!K$27)</f>
        <v>32.702299785154452</v>
      </c>
      <c r="L31" s="133">
        <f>IF(SER_hh_fech_in!L31=0,0,SER_hh_fech_in!L31/SER_summary!L$27)</f>
        <v>32.675897589031258</v>
      </c>
      <c r="M31" s="133">
        <f>IF(SER_hh_fech_in!M31=0,0,SER_hh_fech_in!M31/SER_summary!M$27)</f>
        <v>33.466496643053709</v>
      </c>
      <c r="N31" s="133">
        <f>IF(SER_hh_fech_in!N31=0,0,SER_hh_fech_in!N31/SER_summary!N$27)</f>
        <v>34.86391566730795</v>
      </c>
      <c r="O31" s="133">
        <f>IF(SER_hh_fech_in!O31=0,0,SER_hh_fech_in!O31/SER_summary!O$27)</f>
        <v>34.667581621482938</v>
      </c>
      <c r="P31" s="133">
        <f>IF(SER_hh_fech_in!P31=0,0,SER_hh_fech_in!P31/SER_summary!P$27)</f>
        <v>34.839246711067275</v>
      </c>
      <c r="Q31" s="133">
        <f>IF(SER_hh_fech_in!Q31=0,0,SER_hh_fech_in!Q31/SER_summary!Q$27)</f>
        <v>36.121315127576963</v>
      </c>
      <c r="R31" s="133">
        <f>IF(SER_hh_fech_in!R31=0,0,SER_hh_fech_in!R31/SER_summary!R$27)</f>
        <v>36.235448688281132</v>
      </c>
      <c r="S31" s="133">
        <f>IF(SER_hh_fech_in!S31=0,0,SER_hh_fech_in!S31/SER_summary!S$27)</f>
        <v>37.437920726199373</v>
      </c>
      <c r="T31" s="133">
        <f>IF(SER_hh_fech_in!T31=0,0,SER_hh_fech_in!T31/SER_summary!T$27)</f>
        <v>37.487934362351169</v>
      </c>
      <c r="U31" s="133">
        <f>IF(SER_hh_fech_in!U31=0,0,SER_hh_fech_in!U31/SER_summary!U$27)</f>
        <v>36.436499634436267</v>
      </c>
      <c r="V31" s="133">
        <f>IF(SER_hh_fech_in!V31=0,0,SER_hh_fech_in!V31/SER_summary!V$27)</f>
        <v>32.316146447520275</v>
      </c>
      <c r="W31" s="133">
        <f>IF(SER_hh_fech_in!W31=0,0,SER_hh_fech_in!W31/SER_summary!W$27)</f>
        <v>36.765468714328435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49.579093875982352</v>
      </c>
      <c r="L32" s="133">
        <f>IF(SER_hh_fech_in!L32=0,0,SER_hh_fech_in!L32/SER_summary!L$27)</f>
        <v>39.3703958931494</v>
      </c>
      <c r="M32" s="133">
        <f>IF(SER_hh_fech_in!M32=0,0,SER_hh_fech_in!M32/SER_summary!M$27)</f>
        <v>33.144739453643318</v>
      </c>
      <c r="N32" s="133">
        <f>IF(SER_hh_fech_in!N32=0,0,SER_hh_fech_in!N32/SER_summary!N$27)</f>
        <v>35.303059620299322</v>
      </c>
      <c r="O32" s="133">
        <f>IF(SER_hh_fech_in!O32=0,0,SER_hh_fech_in!O32/SER_summary!O$27)</f>
        <v>35.936985569813338</v>
      </c>
      <c r="P32" s="133">
        <f>IF(SER_hh_fech_in!P32=0,0,SER_hh_fech_in!P32/SER_summary!P$27)</f>
        <v>34.006022414502063</v>
      </c>
      <c r="Q32" s="133">
        <f>IF(SER_hh_fech_in!Q32=0,0,SER_hh_fech_in!Q32/SER_summary!Q$27)</f>
        <v>33.881339886484021</v>
      </c>
      <c r="R32" s="133">
        <f>IF(SER_hh_fech_in!R32=0,0,SER_hh_fech_in!R32/SER_summary!R$27)</f>
        <v>32.844866128600309</v>
      </c>
      <c r="S32" s="133">
        <f>IF(SER_hh_fech_in!S32=0,0,SER_hh_fech_in!S32/SER_summary!S$27)</f>
        <v>34.238553482429587</v>
      </c>
      <c r="T32" s="133">
        <f>IF(SER_hh_fech_in!T32=0,0,SER_hh_fech_in!T32/SER_summary!T$27)</f>
        <v>41.268632026286468</v>
      </c>
      <c r="U32" s="133">
        <f>IF(SER_hh_fech_in!U32=0,0,SER_hh_fech_in!U32/SER_summary!U$27)</f>
        <v>43.055263202113544</v>
      </c>
      <c r="V32" s="133">
        <f>IF(SER_hh_fech_in!V32=0,0,SER_hh_fech_in!V32/SER_summary!V$27)</f>
        <v>34.460643275679267</v>
      </c>
      <c r="W32" s="133">
        <f>IF(SER_hh_fech_in!W32=0,0,SER_hh_fech_in!W32/SER_summary!W$27)</f>
        <v>35.905234980340381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22.218661674051315</v>
      </c>
      <c r="D33" s="68">
        <f>IF(SER_hh_fech_in!D33=0,0,SER_hh_fech_in!D33/SER_summary!D$27)</f>
        <v>22.740337428134261</v>
      </c>
      <c r="E33" s="68">
        <f>IF(SER_hh_fech_in!E33=0,0,SER_hh_fech_in!E33/SER_summary!E$27)</f>
        <v>21.984754057129631</v>
      </c>
      <c r="F33" s="68">
        <f>IF(SER_hh_fech_in!F33=0,0,SER_hh_fech_in!F33/SER_summary!F$27)</f>
        <v>22.39936696065142</v>
      </c>
      <c r="G33" s="68">
        <f>IF(SER_hh_fech_in!G33=0,0,SER_hh_fech_in!G33/SER_summary!G$27)</f>
        <v>22.701953422491751</v>
      </c>
      <c r="H33" s="68">
        <f>IF(SER_hh_fech_in!H33=0,0,SER_hh_fech_in!H33/SER_summary!H$27)</f>
        <v>22.905348736981672</v>
      </c>
      <c r="I33" s="68">
        <f>IF(SER_hh_fech_in!I33=0,0,SER_hh_fech_in!I33/SER_summary!I$27)</f>
        <v>23.296368742126951</v>
      </c>
      <c r="J33" s="68">
        <f>IF(SER_hh_fech_in!J33=0,0,SER_hh_fech_in!J33/SER_summary!J$27)</f>
        <v>24.037943896811736</v>
      </c>
      <c r="K33" s="68">
        <f>IF(SER_hh_fech_in!K33=0,0,SER_hh_fech_in!K33/SER_summary!K$27)</f>
        <v>24.730577325843353</v>
      </c>
      <c r="L33" s="68">
        <f>IF(SER_hh_fech_in!L33=0,0,SER_hh_fech_in!L33/SER_summary!L$27)</f>
        <v>24.955417304809671</v>
      </c>
      <c r="M33" s="68">
        <f>IF(SER_hh_fech_in!M33=0,0,SER_hh_fech_in!M33/SER_summary!M$27)</f>
        <v>25.115022170240799</v>
      </c>
      <c r="N33" s="68">
        <f>IF(SER_hh_fech_in!N33=0,0,SER_hh_fech_in!N33/SER_summary!N$27)</f>
        <v>25.986055779701381</v>
      </c>
      <c r="O33" s="68">
        <f>IF(SER_hh_fech_in!O33=0,0,SER_hh_fech_in!O33/SER_summary!O$27)</f>
        <v>26.394912408327972</v>
      </c>
      <c r="P33" s="68">
        <f>IF(SER_hh_fech_in!P33=0,0,SER_hh_fech_in!P33/SER_summary!P$27)</f>
        <v>26.728489328307589</v>
      </c>
      <c r="Q33" s="68">
        <f>IF(SER_hh_fech_in!Q33=0,0,SER_hh_fech_in!Q33/SER_summary!Q$27)</f>
        <v>26.322020890894883</v>
      </c>
      <c r="R33" s="68">
        <f>IF(SER_hh_fech_in!R33=0,0,SER_hh_fech_in!R33/SER_summary!R$27)</f>
        <v>26.553100830997483</v>
      </c>
      <c r="S33" s="68">
        <f>IF(SER_hh_fech_in!S33=0,0,SER_hh_fech_in!S33/SER_summary!S$27)</f>
        <v>26.674248786718863</v>
      </c>
      <c r="T33" s="68">
        <f>IF(SER_hh_fech_in!T33=0,0,SER_hh_fech_in!T33/SER_summary!T$27)</f>
        <v>26.622476069277539</v>
      </c>
      <c r="U33" s="68">
        <f>IF(SER_hh_fech_in!U33=0,0,SER_hh_fech_in!U33/SER_summary!U$27)</f>
        <v>26.584334818788413</v>
      </c>
      <c r="V33" s="68">
        <f>IF(SER_hh_fech_in!V33=0,0,SER_hh_fech_in!V33/SER_summary!V$27)</f>
        <v>22.836885513380359</v>
      </c>
      <c r="W33" s="68">
        <f>IF(SER_hh_fech_in!W33=0,0,SER_hh_fech_in!W33/SER_summary!W$27)</f>
        <v>26.235898281939004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130.28825964532567</v>
      </c>
      <c r="D3" s="126">
        <f>IF(SER_hh_tesh_in!D3=0,0,SER_hh_tesh_in!D3/SER_summary!D$27)</f>
        <v>129.01009064183026</v>
      </c>
      <c r="E3" s="126">
        <f>IF(SER_hh_tesh_in!E3=0,0,SER_hh_tesh_in!E3/SER_summary!E$27)</f>
        <v>143.84722373627037</v>
      </c>
      <c r="F3" s="126">
        <f>IF(SER_hh_tesh_in!F3=0,0,SER_hh_tesh_in!F3/SER_summary!F$27)</f>
        <v>126.54952796618618</v>
      </c>
      <c r="G3" s="126">
        <f>IF(SER_hh_tesh_in!G3=0,0,SER_hh_tesh_in!G3/SER_summary!G$27)</f>
        <v>129.0998222836528</v>
      </c>
      <c r="H3" s="126">
        <f>IF(SER_hh_tesh_in!H3=0,0,SER_hh_tesh_in!H3/SER_summary!H$27)</f>
        <v>123.12027171538077</v>
      </c>
      <c r="I3" s="126">
        <f>IF(SER_hh_tesh_in!I3=0,0,SER_hh_tesh_in!I3/SER_summary!I$27)</f>
        <v>119.63490765495206</v>
      </c>
      <c r="J3" s="126">
        <f>IF(SER_hh_tesh_in!J3=0,0,SER_hh_tesh_in!J3/SER_summary!J$27)</f>
        <v>121.7276971372208</v>
      </c>
      <c r="K3" s="126">
        <f>IF(SER_hh_tesh_in!K3=0,0,SER_hh_tesh_in!K3/SER_summary!K$27)</f>
        <v>117.65563064706198</v>
      </c>
      <c r="L3" s="126">
        <f>IF(SER_hh_tesh_in!L3=0,0,SER_hh_tesh_in!L3/SER_summary!L$27)</f>
        <v>124.678159808885</v>
      </c>
      <c r="M3" s="126">
        <f>IF(SER_hh_tesh_in!M3=0,0,SER_hh_tesh_in!M3/SER_summary!M$27)</f>
        <v>120.96195092191354</v>
      </c>
      <c r="N3" s="126">
        <f>IF(SER_hh_tesh_in!N3=0,0,SER_hh_tesh_in!N3/SER_summary!N$27)</f>
        <v>126.36771382669339</v>
      </c>
      <c r="O3" s="126">
        <f>IF(SER_hh_tesh_in!O3=0,0,SER_hh_tesh_in!O3/SER_summary!O$27)</f>
        <v>110.39037470299857</v>
      </c>
      <c r="P3" s="126">
        <f>IF(SER_hh_tesh_in!P3=0,0,SER_hh_tesh_in!P3/SER_summary!P$27)</f>
        <v>96.643729926108435</v>
      </c>
      <c r="Q3" s="126">
        <f>IF(SER_hh_tesh_in!Q3=0,0,SER_hh_tesh_in!Q3/SER_summary!Q$27)</f>
        <v>114.69839457866975</v>
      </c>
      <c r="R3" s="126">
        <f>IF(SER_hh_tesh_in!R3=0,0,SER_hh_tesh_in!R3/SER_summary!R$27)</f>
        <v>103.97179083999954</v>
      </c>
      <c r="S3" s="126">
        <f>IF(SER_hh_tesh_in!S3=0,0,SER_hh_tesh_in!S3/SER_summary!S$27)</f>
        <v>116.46264613203853</v>
      </c>
      <c r="T3" s="126">
        <f>IF(SER_hh_tesh_in!T3=0,0,SER_hh_tesh_in!T3/SER_summary!T$27)</f>
        <v>109.66354358794106</v>
      </c>
      <c r="U3" s="126">
        <f>IF(SER_hh_tesh_in!U3=0,0,SER_hh_tesh_in!U3/SER_summary!U$27)</f>
        <v>110.99729614165463</v>
      </c>
      <c r="V3" s="126">
        <f>IF(SER_hh_tesh_in!V3=0,0,SER_hh_tesh_in!V3/SER_summary!V$27)</f>
        <v>93.392961915382472</v>
      </c>
      <c r="W3" s="126">
        <f>IF(SER_hh_tesh_in!W3=0,0,SER_hh_tesh_in!W3/SER_summary!W$27)</f>
        <v>102.50813342299145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73.804548619839935</v>
      </c>
      <c r="D4" s="131">
        <f>IF(SER_hh_tesh_in!D4=0,0,SER_hh_tesh_in!D4/SER_summary!D$27)</f>
        <v>73.521359039829392</v>
      </c>
      <c r="E4" s="131">
        <f>IF(SER_hh_tesh_in!E4=0,0,SER_hh_tesh_in!E4/SER_summary!E$27)</f>
        <v>72.309894095274842</v>
      </c>
      <c r="F4" s="131">
        <f>IF(SER_hh_tesh_in!F4=0,0,SER_hh_tesh_in!F4/SER_summary!F$27)</f>
        <v>71.426272462728861</v>
      </c>
      <c r="G4" s="131">
        <f>IF(SER_hh_tesh_in!G4=0,0,SER_hh_tesh_in!G4/SER_summary!G$27)</f>
        <v>73.702081334698917</v>
      </c>
      <c r="H4" s="131">
        <f>IF(SER_hh_tesh_in!H4=0,0,SER_hh_tesh_in!H4/SER_summary!H$27)</f>
        <v>64.955853664740957</v>
      </c>
      <c r="I4" s="131">
        <f>IF(SER_hh_tesh_in!I4=0,0,SER_hh_tesh_in!I4/SER_summary!I$27)</f>
        <v>60.539801097701599</v>
      </c>
      <c r="J4" s="131">
        <f>IF(SER_hh_tesh_in!J4=0,0,SER_hh_tesh_in!J4/SER_summary!J$27)</f>
        <v>62.847659452545763</v>
      </c>
      <c r="K4" s="131">
        <f>IF(SER_hh_tesh_in!K4=0,0,SER_hh_tesh_in!K4/SER_summary!K$27)</f>
        <v>58.929136954218095</v>
      </c>
      <c r="L4" s="131">
        <f>IF(SER_hh_tesh_in!L4=0,0,SER_hh_tesh_in!L4/SER_summary!L$27)</f>
        <v>65.803817027704142</v>
      </c>
      <c r="M4" s="131">
        <f>IF(SER_hh_tesh_in!M4=0,0,SER_hh_tesh_in!M4/SER_summary!M$27)</f>
        <v>60.645774572751655</v>
      </c>
      <c r="N4" s="131">
        <f>IF(SER_hh_tesh_in!N4=0,0,SER_hh_tesh_in!N4/SER_summary!N$27)</f>
        <v>53.543293079158417</v>
      </c>
      <c r="O4" s="131">
        <f>IF(SER_hh_tesh_in!O4=0,0,SER_hh_tesh_in!O4/SER_summary!O$27)</f>
        <v>49.482084465712035</v>
      </c>
      <c r="P4" s="131">
        <f>IF(SER_hh_tesh_in!P4=0,0,SER_hh_tesh_in!P4/SER_summary!P$27)</f>
        <v>40.026946863302427</v>
      </c>
      <c r="Q4" s="131">
        <f>IF(SER_hh_tesh_in!Q4=0,0,SER_hh_tesh_in!Q4/SER_summary!Q$27)</f>
        <v>46.19457010902395</v>
      </c>
      <c r="R4" s="131">
        <f>IF(SER_hh_tesh_in!R4=0,0,SER_hh_tesh_in!R4/SER_summary!R$27)</f>
        <v>45.130446871291227</v>
      </c>
      <c r="S4" s="131">
        <f>IF(SER_hh_tesh_in!S4=0,0,SER_hh_tesh_in!S4/SER_summary!S$27)</f>
        <v>48.338411614029859</v>
      </c>
      <c r="T4" s="131">
        <f>IF(SER_hh_tesh_in!T4=0,0,SER_hh_tesh_in!T4/SER_summary!T$27)</f>
        <v>49.270303622230763</v>
      </c>
      <c r="U4" s="131">
        <f>IF(SER_hh_tesh_in!U4=0,0,SER_hh_tesh_in!U4/SER_summary!U$27)</f>
        <v>46.36848075321533</v>
      </c>
      <c r="V4" s="131">
        <f>IF(SER_hh_tesh_in!V4=0,0,SER_hh_tesh_in!V4/SER_summary!V$27)</f>
        <v>39.235460669124166</v>
      </c>
      <c r="W4" s="131">
        <f>IF(SER_hh_tesh_in!W4=0,0,SER_hh_tesh_in!W4/SER_summary!W$27)</f>
        <v>40.284338739037281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54.734176661290029</v>
      </c>
      <c r="D5" s="133">
        <f>IF(SER_hh_tesh_in!D5=0,0,SER_hh_tesh_in!D5/SER_summary!D$27)</f>
        <v>75.017651978621586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68.497097195234332</v>
      </c>
      <c r="K5" s="133">
        <f>IF(SER_hh_tesh_in!K5=0,0,SER_hh_tesh_in!K5/SER_summary!K$27)</f>
        <v>63.862119884950083</v>
      </c>
      <c r="L5" s="133">
        <f>IF(SER_hh_tesh_in!L5=0,0,SER_hh_tesh_in!L5/SER_summary!L$27)</f>
        <v>38.677917503029626</v>
      </c>
      <c r="M5" s="133">
        <f>IF(SER_hh_tesh_in!M5=0,0,SER_hh_tesh_in!M5/SER_summary!M$27)</f>
        <v>81.778442763139878</v>
      </c>
      <c r="N5" s="133">
        <f>IF(SER_hh_tesh_in!N5=0,0,SER_hh_tesh_in!N5/SER_summary!N$27)</f>
        <v>82.278974390861904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82.402436965095077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68.834504532705296</v>
      </c>
      <c r="D7" s="133">
        <f>IF(SER_hh_tesh_in!D7=0,0,SER_hh_tesh_in!D7/SER_summary!D$27)</f>
        <v>75.20140756986298</v>
      </c>
      <c r="E7" s="133">
        <f>IF(SER_hh_tesh_in!E7=0,0,SER_hh_tesh_in!E7/SER_summary!E$27)</f>
        <v>73.138192690344411</v>
      </c>
      <c r="F7" s="133">
        <f>IF(SER_hh_tesh_in!F7=0,0,SER_hh_tesh_in!F7/SER_summary!F$27)</f>
        <v>73.985374441749272</v>
      </c>
      <c r="G7" s="133">
        <f>IF(SER_hh_tesh_in!G7=0,0,SER_hh_tesh_in!G7/SER_summary!G$27)</f>
        <v>70.621217650290589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58.819168764747495</v>
      </c>
      <c r="L7" s="133">
        <f>IF(SER_hh_tesh_in!L7=0,0,SER_hh_tesh_in!L7/SER_summary!L$27)</f>
        <v>60.791717206751279</v>
      </c>
      <c r="M7" s="133">
        <f>IF(SER_hh_tesh_in!M7=0,0,SER_hh_tesh_in!M7/SER_summary!M$27)</f>
        <v>60.042256397880813</v>
      </c>
      <c r="N7" s="133">
        <f>IF(SER_hh_tesh_in!N7=0,0,SER_hh_tesh_in!N7/SER_summary!N$27)</f>
        <v>52.344063616837531</v>
      </c>
      <c r="O7" s="133">
        <f>IF(SER_hh_tesh_in!O7=0,0,SER_hh_tesh_in!O7/SER_summary!O$27)</f>
        <v>46.821906523152926</v>
      </c>
      <c r="P7" s="133">
        <f>IF(SER_hh_tesh_in!P7=0,0,SER_hh_tesh_in!P7/SER_summary!P$27)</f>
        <v>35.633841933022744</v>
      </c>
      <c r="Q7" s="133">
        <f>IF(SER_hh_tesh_in!Q7=0,0,SER_hh_tesh_in!Q7/SER_summary!Q$27)</f>
        <v>46.701881421697024</v>
      </c>
      <c r="R7" s="133">
        <f>IF(SER_hh_tesh_in!R7=0,0,SER_hh_tesh_in!R7/SER_summary!R$27)</f>
        <v>46.483335873523387</v>
      </c>
      <c r="S7" s="133">
        <f>IF(SER_hh_tesh_in!S7=0,0,SER_hh_tesh_in!S7/SER_summary!S$27)</f>
        <v>49.598213440973048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78.777802064697013</v>
      </c>
      <c r="D9" s="133">
        <f>IF(SER_hh_tesh_in!D9=0,0,SER_hh_tesh_in!D9/SER_summary!D$27)</f>
        <v>68.864446633524935</v>
      </c>
      <c r="E9" s="133">
        <f>IF(SER_hh_tesh_in!E9=0,0,SER_hh_tesh_in!E9/SER_summary!E$27)</f>
        <v>70.142867365923294</v>
      </c>
      <c r="F9" s="133">
        <f>IF(SER_hh_tesh_in!F9=0,0,SER_hh_tesh_in!F9/SER_summary!F$27)</f>
        <v>70.261565411984535</v>
      </c>
      <c r="G9" s="133">
        <f>IF(SER_hh_tesh_in!G9=0,0,SER_hh_tesh_in!G9/SER_summary!G$27)</f>
        <v>71.842752666469082</v>
      </c>
      <c r="H9" s="133">
        <f>IF(SER_hh_tesh_in!H9=0,0,SER_hh_tesh_in!H9/SER_summary!H$27)</f>
        <v>64.261744346356053</v>
      </c>
      <c r="I9" s="133">
        <f>IF(SER_hh_tesh_in!I9=0,0,SER_hh_tesh_in!I9/SER_summary!I$27)</f>
        <v>57.762904710349339</v>
      </c>
      <c r="J9" s="133">
        <f>IF(SER_hh_tesh_in!J9=0,0,SER_hh_tesh_in!J9/SER_summary!J$27)</f>
        <v>60.151019809687789</v>
      </c>
      <c r="K9" s="133">
        <f>IF(SER_hh_tesh_in!K9=0,0,SER_hh_tesh_in!K9/SER_summary!K$27)</f>
        <v>58.254055445534668</v>
      </c>
      <c r="L9" s="133">
        <f>IF(SER_hh_tesh_in!L9=0,0,SER_hh_tesh_in!L9/SER_summary!L$27)</f>
        <v>68.223648183518918</v>
      </c>
      <c r="M9" s="133">
        <f>IF(SER_hh_tesh_in!M9=0,0,SER_hh_tesh_in!M9/SER_summary!M$27)</f>
        <v>58.161106984832792</v>
      </c>
      <c r="N9" s="133">
        <f>IF(SER_hh_tesh_in!N9=0,0,SER_hh_tesh_in!N9/SER_summary!N$27)</f>
        <v>50.283114419515556</v>
      </c>
      <c r="O9" s="133">
        <f>IF(SER_hh_tesh_in!O9=0,0,SER_hh_tesh_in!O9/SER_summary!O$27)</f>
        <v>47.131994848978955</v>
      </c>
      <c r="P9" s="133">
        <f>IF(SER_hh_tesh_in!P9=0,0,SER_hh_tesh_in!P9/SER_summary!P$27)</f>
        <v>39.066885599308492</v>
      </c>
      <c r="Q9" s="133">
        <f>IF(SER_hh_tesh_in!Q9=0,0,SER_hh_tesh_in!Q9/SER_summary!Q$27)</f>
        <v>46.356349556715884</v>
      </c>
      <c r="R9" s="133">
        <f>IF(SER_hh_tesh_in!R9=0,0,SER_hh_tesh_in!R9/SER_summary!R$27)</f>
        <v>46.673563542671666</v>
      </c>
      <c r="S9" s="133">
        <f>IF(SER_hh_tesh_in!S9=0,0,SER_hh_tesh_in!S9/SER_summary!S$27)</f>
        <v>47.205494005310221</v>
      </c>
      <c r="T9" s="133">
        <f>IF(SER_hh_tesh_in!T9=0,0,SER_hh_tesh_in!T9/SER_summary!T$27)</f>
        <v>47.222693822865857</v>
      </c>
      <c r="U9" s="133">
        <f>IF(SER_hh_tesh_in!U9=0,0,SER_hh_tesh_in!U9/SER_summary!U$27)</f>
        <v>45.372608812553288</v>
      </c>
      <c r="V9" s="133">
        <f>IF(SER_hh_tesh_in!V9=0,0,SER_hh_tesh_in!V9/SER_summary!V$27)</f>
        <v>38.849305665590208</v>
      </c>
      <c r="W9" s="133">
        <f>IF(SER_hh_tesh_in!W9=0,0,SER_hh_tesh_in!W9/SER_summary!W$27)</f>
        <v>40.143138545560205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86.449195647911381</v>
      </c>
      <c r="J10" s="133">
        <f>IF(SER_hh_tesh_in!J10=0,0,SER_hh_tesh_in!J10/SER_summary!J$27)</f>
        <v>60.737819963701803</v>
      </c>
      <c r="K10" s="133">
        <f>IF(SER_hh_tesh_in!K10=0,0,SER_hh_tesh_in!K10/SER_summary!K$27)</f>
        <v>67.352329957467006</v>
      </c>
      <c r="L10" s="133">
        <f>IF(SER_hh_tesh_in!L10=0,0,SER_hh_tesh_in!L10/SER_summary!L$27)</f>
        <v>57.067524478576622</v>
      </c>
      <c r="M10" s="133">
        <f>IF(SER_hh_tesh_in!M10=0,0,SER_hh_tesh_in!M10/SER_summary!M$27)</f>
        <v>66.100479187256923</v>
      </c>
      <c r="N10" s="133">
        <f>IF(SER_hh_tesh_in!N10=0,0,SER_hh_tesh_in!N10/SER_summary!N$27)</f>
        <v>49.997524221167083</v>
      </c>
      <c r="O10" s="133">
        <f>IF(SER_hh_tesh_in!O10=0,0,SER_hh_tesh_in!O10/SER_summary!O$27)</f>
        <v>41.794471869503631</v>
      </c>
      <c r="P10" s="133">
        <f>IF(SER_hh_tesh_in!P10=0,0,SER_hh_tesh_in!P10/SER_summary!P$27)</f>
        <v>42.457071544191734</v>
      </c>
      <c r="Q10" s="133">
        <f>IF(SER_hh_tesh_in!Q10=0,0,SER_hh_tesh_in!Q10/SER_summary!Q$27)</f>
        <v>44.961781130905891</v>
      </c>
      <c r="R10" s="133">
        <f>IF(SER_hh_tesh_in!R10=0,0,SER_hh_tesh_in!R10/SER_summary!R$27)</f>
        <v>47.450973605747002</v>
      </c>
      <c r="S10" s="133">
        <f>IF(SER_hh_tesh_in!S10=0,0,SER_hh_tesh_in!S10/SER_summary!S$27)</f>
        <v>47.729130191731599</v>
      </c>
      <c r="T10" s="133">
        <f>IF(SER_hh_tesh_in!T10=0,0,SER_hh_tesh_in!T10/SER_summary!T$27)</f>
        <v>46.567351364502862</v>
      </c>
      <c r="U10" s="133">
        <f>IF(SER_hh_tesh_in!U10=0,0,SER_hh_tesh_in!U10/SER_summary!U$27)</f>
        <v>47.223218606109597</v>
      </c>
      <c r="V10" s="133">
        <f>IF(SER_hh_tesh_in!V10=0,0,SER_hh_tesh_in!V10/SER_summary!V$27)</f>
        <v>43.169901646221653</v>
      </c>
      <c r="W10" s="133">
        <f>IF(SER_hh_tesh_in!W10=0,0,SER_hh_tesh_in!W10/SER_summary!W$27)</f>
        <v>35.232274078484004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89.290424623606867</v>
      </c>
      <c r="J11" s="133">
        <f>IF(SER_hh_tesh_in!J11=0,0,SER_hh_tesh_in!J11/SER_summary!J$27)</f>
        <v>61.693483915985837</v>
      </c>
      <c r="K11" s="133">
        <f>IF(SER_hh_tesh_in!K11=0,0,SER_hh_tesh_in!K11/SER_summary!K$27)</f>
        <v>46.241599051591983</v>
      </c>
      <c r="L11" s="133">
        <f>IF(SER_hh_tesh_in!L11=0,0,SER_hh_tesh_in!L11/SER_summary!L$27)</f>
        <v>73.959450098253356</v>
      </c>
      <c r="M11" s="133">
        <f>IF(SER_hh_tesh_in!M11=0,0,SER_hh_tesh_in!M11/SER_summary!M$27)</f>
        <v>62.622955573646081</v>
      </c>
      <c r="N11" s="133">
        <f>IF(SER_hh_tesh_in!N11=0,0,SER_hh_tesh_in!N11/SER_summary!N$27)</f>
        <v>57.851445843659427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72.862167888781059</v>
      </c>
      <c r="D12" s="133">
        <f>IF(SER_hh_tesh_in!D12=0,0,SER_hh_tesh_in!D12/SER_summary!D$27)</f>
        <v>69.511166480143189</v>
      </c>
      <c r="E12" s="133">
        <f>IF(SER_hh_tesh_in!E12=0,0,SER_hh_tesh_in!E12/SER_summary!E$27)</f>
        <v>75.362313980763062</v>
      </c>
      <c r="F12" s="133">
        <f>IF(SER_hh_tesh_in!F12=0,0,SER_hh_tesh_in!F12/SER_summary!F$27)</f>
        <v>71.640504061548214</v>
      </c>
      <c r="G12" s="133">
        <f>IF(SER_hh_tesh_in!G12=0,0,SER_hh_tesh_in!G12/SER_summary!G$27)</f>
        <v>74.4466434226524</v>
      </c>
      <c r="H12" s="133">
        <f>IF(SER_hh_tesh_in!H12=0,0,SER_hh_tesh_in!H12/SER_summary!H$27)</f>
        <v>63.065414483689523</v>
      </c>
      <c r="I12" s="133">
        <f>IF(SER_hh_tesh_in!I12=0,0,SER_hh_tesh_in!I12/SER_summary!I$27)</f>
        <v>57.515371558655616</v>
      </c>
      <c r="J12" s="133">
        <f>IF(SER_hh_tesh_in!J12=0,0,SER_hh_tesh_in!J12/SER_summary!J$27)</f>
        <v>61.187880937436205</v>
      </c>
      <c r="K12" s="133">
        <f>IF(SER_hh_tesh_in!K12=0,0,SER_hh_tesh_in!K12/SER_summary!K$27)</f>
        <v>58.023293647850799</v>
      </c>
      <c r="L12" s="133">
        <f>IF(SER_hh_tesh_in!L12=0,0,SER_hh_tesh_in!L12/SER_summary!L$27)</f>
        <v>64.16999802007058</v>
      </c>
      <c r="M12" s="133">
        <f>IF(SER_hh_tesh_in!M12=0,0,SER_hh_tesh_in!M12/SER_summary!M$27)</f>
        <v>60.521505734706501</v>
      </c>
      <c r="N12" s="133">
        <f>IF(SER_hh_tesh_in!N12=0,0,SER_hh_tesh_in!N12/SER_summary!N$27)</f>
        <v>54.006263663161825</v>
      </c>
      <c r="O12" s="133">
        <f>IF(SER_hh_tesh_in!O12=0,0,SER_hh_tesh_in!O12/SER_summary!O$27)</f>
        <v>53.110562971643944</v>
      </c>
      <c r="P12" s="133">
        <f>IF(SER_hh_tesh_in!P12=0,0,SER_hh_tesh_in!P12/SER_summary!P$27)</f>
        <v>38.853238493105749</v>
      </c>
      <c r="Q12" s="133">
        <f>IF(SER_hh_tesh_in!Q12=0,0,SER_hh_tesh_in!Q12/SER_summary!Q$27)</f>
        <v>43.484439903957828</v>
      </c>
      <c r="R12" s="133">
        <f>IF(SER_hh_tesh_in!R12=0,0,SER_hh_tesh_in!R12/SER_summary!R$27)</f>
        <v>46.341626426733889</v>
      </c>
      <c r="S12" s="133">
        <f>IF(SER_hh_tesh_in!S12=0,0,SER_hh_tesh_in!S12/SER_summary!S$27)</f>
        <v>0</v>
      </c>
      <c r="T12" s="133">
        <f>IF(SER_hh_tesh_in!T12=0,0,SER_hh_tesh_in!T12/SER_summary!T$27)</f>
        <v>43.705664112598981</v>
      </c>
      <c r="U12" s="133">
        <f>IF(SER_hh_tesh_in!U12=0,0,SER_hh_tesh_in!U12/SER_summary!U$27)</f>
        <v>40.961352144437946</v>
      </c>
      <c r="V12" s="133">
        <f>IF(SER_hh_tesh_in!V12=0,0,SER_hh_tesh_in!V12/SER_summary!V$27)</f>
        <v>39.78335959785835</v>
      </c>
      <c r="W12" s="133">
        <f>IF(SER_hh_tesh_in!W12=0,0,SER_hh_tesh_in!W12/SER_summary!W$27)</f>
        <v>39.436620732533079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72.693053601388854</v>
      </c>
      <c r="D14" s="65">
        <f>IF(SER_hh_tesh_in!D14=0,0,SER_hh_tesh_in!D14/SER_summary!D$27)</f>
        <v>74.282967355114849</v>
      </c>
      <c r="E14" s="65">
        <f>IF(SER_hh_tesh_in!E14=0,0,SER_hh_tesh_in!E14/SER_summary!E$27)</f>
        <v>68.622502609696269</v>
      </c>
      <c r="F14" s="65">
        <f>IF(SER_hh_tesh_in!F14=0,0,SER_hh_tesh_in!F14/SER_summary!F$27)</f>
        <v>70.267747458942466</v>
      </c>
      <c r="G14" s="65">
        <f>IF(SER_hh_tesh_in!G14=0,0,SER_hh_tesh_in!G14/SER_summary!G$27)</f>
        <v>73.690909972488299</v>
      </c>
      <c r="H14" s="65">
        <f>IF(SER_hh_tesh_in!H14=0,0,SER_hh_tesh_in!H14/SER_summary!H$27)</f>
        <v>65.045170616656634</v>
      </c>
      <c r="I14" s="65">
        <f>IF(SER_hh_tesh_in!I14=0,0,SER_hh_tesh_in!I14/SER_summary!I$27)</f>
        <v>55.916318773168605</v>
      </c>
      <c r="J14" s="65">
        <f>IF(SER_hh_tesh_in!J14=0,0,SER_hh_tesh_in!J14/SER_summary!J$27)</f>
        <v>64.902936611245849</v>
      </c>
      <c r="K14" s="65">
        <f>IF(SER_hh_tesh_in!K14=0,0,SER_hh_tesh_in!K14/SER_summary!K$27)</f>
        <v>60.56359175848263</v>
      </c>
      <c r="L14" s="65">
        <f>IF(SER_hh_tesh_in!L14=0,0,SER_hh_tesh_in!L14/SER_summary!L$27)</f>
        <v>60.95411279981537</v>
      </c>
      <c r="M14" s="65">
        <f>IF(SER_hh_tesh_in!M14=0,0,SER_hh_tesh_in!M14/SER_summary!M$27)</f>
        <v>60.340641446460054</v>
      </c>
      <c r="N14" s="65">
        <f>IF(SER_hh_tesh_in!N14=0,0,SER_hh_tesh_in!N14/SER_summary!N$27)</f>
        <v>55.746596509053816</v>
      </c>
      <c r="O14" s="65">
        <f>IF(SER_hh_tesh_in!O14=0,0,SER_hh_tesh_in!O14/SER_summary!O$27)</f>
        <v>52.923724500150207</v>
      </c>
      <c r="P14" s="65">
        <f>IF(SER_hh_tesh_in!P14=0,0,SER_hh_tesh_in!P14/SER_summary!P$27)</f>
        <v>41.355676105644783</v>
      </c>
      <c r="Q14" s="65">
        <f>IF(SER_hh_tesh_in!Q14=0,0,SER_hh_tesh_in!Q14/SER_summary!Q$27)</f>
        <v>40.990153646837562</v>
      </c>
      <c r="R14" s="65">
        <f>IF(SER_hh_tesh_in!R14=0,0,SER_hh_tesh_in!R14/SER_summary!R$27)</f>
        <v>42.688342833692204</v>
      </c>
      <c r="S14" s="65">
        <f>IF(SER_hh_tesh_in!S14=0,0,SER_hh_tesh_in!S14/SER_summary!S$27)</f>
        <v>48.361610122287907</v>
      </c>
      <c r="T14" s="65">
        <f>IF(SER_hh_tesh_in!T14=0,0,SER_hh_tesh_in!T14/SER_summary!T$27)</f>
        <v>50.464873740696795</v>
      </c>
      <c r="U14" s="65">
        <f>IF(SER_hh_tesh_in!U14=0,0,SER_hh_tesh_in!U14/SER_summary!U$27)</f>
        <v>48.033122056326171</v>
      </c>
      <c r="V14" s="65">
        <f>IF(SER_hh_tesh_in!V14=0,0,SER_hh_tesh_in!V14/SER_summary!V$27)</f>
        <v>37.580225430643139</v>
      </c>
      <c r="W14" s="65">
        <f>IF(SER_hh_tesh_in!W14=0,0,SER_hh_tesh_in!W14/SER_summary!W$27)</f>
        <v>40.529233681262042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1.2619619610667803</v>
      </c>
      <c r="D15" s="135">
        <f>IF(SER_hh_tesh_in!D15=0,0,SER_hh_tesh_in!D15/SER_summary!D$27)</f>
        <v>1.1140092601051781</v>
      </c>
      <c r="E15" s="135">
        <f>IF(SER_hh_tesh_in!E15=0,0,SER_hh_tesh_in!E15/SER_summary!E$27)</f>
        <v>1.0715650779091432</v>
      </c>
      <c r="F15" s="135">
        <f>IF(SER_hh_tesh_in!F15=0,0,SER_hh_tesh_in!F15/SER_summary!F$27)</f>
        <v>1.006701384641407</v>
      </c>
      <c r="G15" s="135">
        <f>IF(SER_hh_tesh_in!G15=0,0,SER_hh_tesh_in!G15/SER_summary!G$27)</f>
        <v>0.96436946836428172</v>
      </c>
      <c r="H15" s="135">
        <f>IF(SER_hh_tesh_in!H15=0,0,SER_hh_tesh_in!H15/SER_summary!H$27)</f>
        <v>0.89955664332129137</v>
      </c>
      <c r="I15" s="135">
        <f>IF(SER_hh_tesh_in!I15=0,0,SER_hh_tesh_in!I15/SER_summary!I$27)</f>
        <v>0.69657614819392055</v>
      </c>
      <c r="J15" s="135">
        <f>IF(SER_hh_tesh_in!J15=0,0,SER_hh_tesh_in!J15/SER_summary!J$27)</f>
        <v>0.72474652784509075</v>
      </c>
      <c r="K15" s="135">
        <f>IF(SER_hh_tesh_in!K15=0,0,SER_hh_tesh_in!K15/SER_summary!K$27)</f>
        <v>0.67019313998340835</v>
      </c>
      <c r="L15" s="135">
        <f>IF(SER_hh_tesh_in!L15=0,0,SER_hh_tesh_in!L15/SER_summary!L$27)</f>
        <v>0.74306286740121996</v>
      </c>
      <c r="M15" s="135">
        <f>IF(SER_hh_tesh_in!M15=0,0,SER_hh_tesh_in!M15/SER_summary!M$27)</f>
        <v>0.62144770620583223</v>
      </c>
      <c r="N15" s="135">
        <f>IF(SER_hh_tesh_in!N15=0,0,SER_hh_tesh_in!N15/SER_summary!N$27)</f>
        <v>0.59277400668593816</v>
      </c>
      <c r="O15" s="135">
        <f>IF(SER_hh_tesh_in!O15=0,0,SER_hh_tesh_in!O15/SER_summary!O$27)</f>
        <v>0.63069153889366014</v>
      </c>
      <c r="P15" s="135">
        <f>IF(SER_hh_tesh_in!P15=0,0,SER_hh_tesh_in!P15/SER_summary!P$27)</f>
        <v>0.61442094021468763</v>
      </c>
      <c r="Q15" s="135">
        <f>IF(SER_hh_tesh_in!Q15=0,0,SER_hh_tesh_in!Q15/SER_summary!Q$27)</f>
        <v>0.73321584515231764</v>
      </c>
      <c r="R15" s="135">
        <f>IF(SER_hh_tesh_in!R15=0,0,SER_hh_tesh_in!R15/SER_summary!R$27)</f>
        <v>0.72119157452052352</v>
      </c>
      <c r="S15" s="135">
        <f>IF(SER_hh_tesh_in!S15=0,0,SER_hh_tesh_in!S15/SER_summary!S$27)</f>
        <v>0.72901389165106378</v>
      </c>
      <c r="T15" s="135">
        <f>IF(SER_hh_tesh_in!T15=0,0,SER_hh_tesh_in!T15/SER_summary!T$27)</f>
        <v>0.64661311636355223</v>
      </c>
      <c r="U15" s="135">
        <f>IF(SER_hh_tesh_in!U15=0,0,SER_hh_tesh_in!U15/SER_summary!U$27)</f>
        <v>0.56369162661529815</v>
      </c>
      <c r="V15" s="135">
        <f>IF(SER_hh_tesh_in!V15=0,0,SER_hh_tesh_in!V15/SER_summary!V$27)</f>
        <v>0.44895685800682356</v>
      </c>
      <c r="W15" s="135">
        <f>IF(SER_hh_tesh_in!W15=0,0,SER_hh_tesh_in!W15/SER_summary!W$27)</f>
        <v>0.46141443464646453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24.494110953298303</v>
      </c>
      <c r="D16" s="131">
        <f>IF(SER_hh_tesh_in!D16=0,0,SER_hh_tesh_in!D16/SER_summary!D$27)</f>
        <v>23.461886780379658</v>
      </c>
      <c r="E16" s="131">
        <f>IF(SER_hh_tesh_in!E16=0,0,SER_hh_tesh_in!E16/SER_summary!E$27)</f>
        <v>44.563043141551617</v>
      </c>
      <c r="F16" s="131">
        <f>IF(SER_hh_tesh_in!F16=0,0,SER_hh_tesh_in!F16/SER_summary!F$27)</f>
        <v>22.762469234989421</v>
      </c>
      <c r="G16" s="131">
        <f>IF(SER_hh_tesh_in!G16=0,0,SER_hh_tesh_in!G16/SER_summary!G$27)</f>
        <v>22.763181048876721</v>
      </c>
      <c r="H16" s="131">
        <f>IF(SER_hh_tesh_in!H16=0,0,SER_hh_tesh_in!H16/SER_summary!H$27)</f>
        <v>25.615795921850957</v>
      </c>
      <c r="I16" s="131">
        <f>IF(SER_hh_tesh_in!I16=0,0,SER_hh_tesh_in!I16/SER_summary!I$27)</f>
        <v>26.368669345918022</v>
      </c>
      <c r="J16" s="131">
        <f>IF(SER_hh_tesh_in!J16=0,0,SER_hh_tesh_in!J16/SER_summary!J$27)</f>
        <v>25.267001765304911</v>
      </c>
      <c r="K16" s="131">
        <f>IF(SER_hh_tesh_in!K16=0,0,SER_hh_tesh_in!K16/SER_summary!K$27)</f>
        <v>23.883850849926713</v>
      </c>
      <c r="L16" s="131">
        <f>IF(SER_hh_tesh_in!L16=0,0,SER_hh_tesh_in!L16/SER_summary!L$27)</f>
        <v>23.884855735953796</v>
      </c>
      <c r="M16" s="131">
        <f>IF(SER_hh_tesh_in!M16=0,0,SER_hh_tesh_in!M16/SER_summary!M$27)</f>
        <v>25.375940934735048</v>
      </c>
      <c r="N16" s="131">
        <f>IF(SER_hh_tesh_in!N16=0,0,SER_hh_tesh_in!N16/SER_summary!N$27)</f>
        <v>36.777553125124356</v>
      </c>
      <c r="O16" s="131">
        <f>IF(SER_hh_tesh_in!O16=0,0,SER_hh_tesh_in!O16/SER_summary!O$27)</f>
        <v>24.177436342120178</v>
      </c>
      <c r="P16" s="131">
        <f>IF(SER_hh_tesh_in!P16=0,0,SER_hh_tesh_in!P16/SER_summary!P$27)</f>
        <v>19.610561188367811</v>
      </c>
      <c r="Q16" s="131">
        <f>IF(SER_hh_tesh_in!Q16=0,0,SER_hh_tesh_in!Q16/SER_summary!Q$27)</f>
        <v>31.651562163863325</v>
      </c>
      <c r="R16" s="131">
        <f>IF(SER_hh_tesh_in!R16=0,0,SER_hh_tesh_in!R16/SER_summary!R$27)</f>
        <v>21.367180173013885</v>
      </c>
      <c r="S16" s="131">
        <f>IF(SER_hh_tesh_in!S16=0,0,SER_hh_tesh_in!S16/SER_summary!S$27)</f>
        <v>30.183979237357885</v>
      </c>
      <c r="T16" s="131">
        <f>IF(SER_hh_tesh_in!T16=0,0,SER_hh_tesh_in!T16/SER_summary!T$27)</f>
        <v>22.164666629925811</v>
      </c>
      <c r="U16" s="131">
        <f>IF(SER_hh_tesh_in!U16=0,0,SER_hh_tesh_in!U16/SER_summary!U$27)</f>
        <v>26.075372679933484</v>
      </c>
      <c r="V16" s="131">
        <f>IF(SER_hh_tesh_in!V16=0,0,SER_hh_tesh_in!V16/SER_summary!V$27)</f>
        <v>19.685172612299308</v>
      </c>
      <c r="W16" s="131">
        <f>IF(SER_hh_tesh_in!W16=0,0,SER_hh_tesh_in!W16/SER_summary!W$27)</f>
        <v>24.032889267034921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24.488893336212953</v>
      </c>
      <c r="D17" s="133">
        <f>IF(SER_hh_tesh_in!D17=0,0,SER_hh_tesh_in!D17/SER_summary!D$27)</f>
        <v>23.480326678161969</v>
      </c>
      <c r="E17" s="133">
        <f>IF(SER_hh_tesh_in!E17=0,0,SER_hh_tesh_in!E17/SER_summary!E$27)</f>
        <v>44.647958996131393</v>
      </c>
      <c r="F17" s="133">
        <f>IF(SER_hh_tesh_in!F17=0,0,SER_hh_tesh_in!F17/SER_summary!F$27)</f>
        <v>22.808270661784398</v>
      </c>
      <c r="G17" s="133">
        <f>IF(SER_hh_tesh_in!G17=0,0,SER_hh_tesh_in!G17/SER_summary!G$27)</f>
        <v>22.803094165852404</v>
      </c>
      <c r="H17" s="133">
        <f>IF(SER_hh_tesh_in!H17=0,0,SER_hh_tesh_in!H17/SER_summary!H$27)</f>
        <v>25.650400093031159</v>
      </c>
      <c r="I17" s="133">
        <f>IF(SER_hh_tesh_in!I17=0,0,SER_hh_tesh_in!I17/SER_summary!I$27)</f>
        <v>33.746286393521643</v>
      </c>
      <c r="J17" s="133">
        <f>IF(SER_hh_tesh_in!J17=0,0,SER_hh_tesh_in!J17/SER_summary!J$27)</f>
        <v>30.737749879372608</v>
      </c>
      <c r="K17" s="133">
        <f>IF(SER_hh_tesh_in!K17=0,0,SER_hh_tesh_in!K17/SER_summary!K$27)</f>
        <v>23.876311120844186</v>
      </c>
      <c r="L17" s="133">
        <f>IF(SER_hh_tesh_in!L17=0,0,SER_hh_tesh_in!L17/SER_summary!L$27)</f>
        <v>23.869675368569116</v>
      </c>
      <c r="M17" s="133">
        <f>IF(SER_hh_tesh_in!M17=0,0,SER_hh_tesh_in!M17/SER_summary!M$27)</f>
        <v>25.377275076233303</v>
      </c>
      <c r="N17" s="133">
        <f>IF(SER_hh_tesh_in!N17=0,0,SER_hh_tesh_in!N17/SER_summary!N$27)</f>
        <v>31.745139966793278</v>
      </c>
      <c r="O17" s="133">
        <f>IF(SER_hh_tesh_in!O17=0,0,SER_hh_tesh_in!O17/SER_summary!O$27)</f>
        <v>24.177720566287721</v>
      </c>
      <c r="P17" s="133">
        <f>IF(SER_hh_tesh_in!P17=0,0,SER_hh_tesh_in!P17/SER_summary!P$27)</f>
        <v>19.518366819104763</v>
      </c>
      <c r="Q17" s="133">
        <f>IF(SER_hh_tesh_in!Q17=0,0,SER_hh_tesh_in!Q17/SER_summary!Q$27)</f>
        <v>33.37476296434847</v>
      </c>
      <c r="R17" s="133">
        <f>IF(SER_hh_tesh_in!R17=0,0,SER_hh_tesh_in!R17/SER_summary!R$27)</f>
        <v>21.808802186965337</v>
      </c>
      <c r="S17" s="133">
        <f>IF(SER_hh_tesh_in!S17=0,0,SER_hh_tesh_in!S17/SER_summary!S$27)</f>
        <v>30.715667758157178</v>
      </c>
      <c r="T17" s="133">
        <f>IF(SER_hh_tesh_in!T17=0,0,SER_hh_tesh_in!T17/SER_summary!T$27)</f>
        <v>22.530883636566358</v>
      </c>
      <c r="U17" s="133">
        <f>IF(SER_hh_tesh_in!U17=0,0,SER_hh_tesh_in!U17/SER_summary!U$27)</f>
        <v>26.479289993154964</v>
      </c>
      <c r="V17" s="133">
        <f>IF(SER_hh_tesh_in!V17=0,0,SER_hh_tesh_in!V17/SER_summary!V$27)</f>
        <v>19.831400893248542</v>
      </c>
      <c r="W17" s="133">
        <f>IF(SER_hh_tesh_in!W17=0,0,SER_hh_tesh_in!W17/SER_summary!W$27)</f>
        <v>24.115771021112582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24.494116308334206</v>
      </c>
      <c r="D18" s="133">
        <f>IF(SER_hh_tesh_in!D18=0,0,SER_hh_tesh_in!D18/SER_summary!D$27)</f>
        <v>23.461855205554841</v>
      </c>
      <c r="E18" s="133">
        <f>IF(SER_hh_tesh_in!E18=0,0,SER_hh_tesh_in!E18/SER_summary!E$27)</f>
        <v>44.562890038392425</v>
      </c>
      <c r="F18" s="133">
        <f>IF(SER_hh_tesh_in!F18=0,0,SER_hh_tesh_in!F18/SER_summary!F$27)</f>
        <v>22.76239422995981</v>
      </c>
      <c r="G18" s="133">
        <f>IF(SER_hh_tesh_in!G18=0,0,SER_hh_tesh_in!G18/SER_summary!G$27)</f>
        <v>22.76311722903603</v>
      </c>
      <c r="H18" s="133">
        <f>IF(SER_hh_tesh_in!H18=0,0,SER_hh_tesh_in!H18/SER_summary!H$27)</f>
        <v>25.615741597467757</v>
      </c>
      <c r="I18" s="133">
        <f>IF(SER_hh_tesh_in!I18=0,0,SER_hh_tesh_in!I18/SER_summary!I$27)</f>
        <v>26.360714841065505</v>
      </c>
      <c r="J18" s="133">
        <f>IF(SER_hh_tesh_in!J18=0,0,SER_hh_tesh_in!J18/SER_summary!J$27)</f>
        <v>25.260921061658202</v>
      </c>
      <c r="K18" s="133">
        <f>IF(SER_hh_tesh_in!K18=0,0,SER_hh_tesh_in!K18/SER_summary!K$27)</f>
        <v>23.883865399942607</v>
      </c>
      <c r="L18" s="133">
        <f>IF(SER_hh_tesh_in!L18=0,0,SER_hh_tesh_in!L18/SER_summary!L$27)</f>
        <v>23.88489513144841</v>
      </c>
      <c r="M18" s="133">
        <f>IF(SER_hh_tesh_in!M18=0,0,SER_hh_tesh_in!M18/SER_summary!M$27)</f>
        <v>25.375937806839843</v>
      </c>
      <c r="N18" s="133">
        <f>IF(SER_hh_tesh_in!N18=0,0,SER_hh_tesh_in!N18/SER_summary!N$27)</f>
        <v>36.792839628138751</v>
      </c>
      <c r="O18" s="133">
        <f>IF(SER_hh_tesh_in!O18=0,0,SER_hh_tesh_in!O18/SER_summary!O$27)</f>
        <v>24.177435327468277</v>
      </c>
      <c r="P18" s="133">
        <f>IF(SER_hh_tesh_in!P18=0,0,SER_hh_tesh_in!P18/SER_summary!P$27)</f>
        <v>19.610686592391474</v>
      </c>
      <c r="Q18" s="133">
        <f>IF(SER_hh_tesh_in!Q18=0,0,SER_hh_tesh_in!Q18/SER_summary!Q$27)</f>
        <v>31.637387707807658</v>
      </c>
      <c r="R18" s="133">
        <f>IF(SER_hh_tesh_in!R18=0,0,SER_hh_tesh_in!R18/SER_summary!R$27)</f>
        <v>21.364814539821882</v>
      </c>
      <c r="S18" s="133">
        <f>IF(SER_hh_tesh_in!S18=0,0,SER_hh_tesh_in!S18/SER_summary!S$27)</f>
        <v>30.179906143781317</v>
      </c>
      <c r="T18" s="133">
        <f>IF(SER_hh_tesh_in!T18=0,0,SER_hh_tesh_in!T18/SER_summary!T$27)</f>
        <v>22.160758063863224</v>
      </c>
      <c r="U18" s="133">
        <f>IF(SER_hh_tesh_in!U18=0,0,SER_hh_tesh_in!U18/SER_summary!U$27)</f>
        <v>26.071683853399332</v>
      </c>
      <c r="V18" s="133">
        <f>IF(SER_hh_tesh_in!V18=0,0,SER_hh_tesh_in!V18/SER_summary!V$27)</f>
        <v>19.684811236976874</v>
      </c>
      <c r="W18" s="133">
        <f>IF(SER_hh_tesh_in!W18=0,0,SER_hh_tesh_in!W18/SER_summary!W$27)</f>
        <v>24.032368658446799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14.28348520615183</v>
      </c>
      <c r="D19" s="131">
        <f>IF(SER_hh_tesh_in!D19=0,0,SER_hh_tesh_in!D19/SER_summary!D$27)</f>
        <v>14.535767214435433</v>
      </c>
      <c r="E19" s="131">
        <f>IF(SER_hh_tesh_in!E19=0,0,SER_hh_tesh_in!E19/SER_summary!E$27)</f>
        <v>14.452547141437954</v>
      </c>
      <c r="F19" s="131">
        <f>IF(SER_hh_tesh_in!F19=0,0,SER_hh_tesh_in!F19/SER_summary!F$27)</f>
        <v>14.892010972735944</v>
      </c>
      <c r="G19" s="131">
        <f>IF(SER_hh_tesh_in!G19=0,0,SER_hh_tesh_in!G19/SER_summary!G$27)</f>
        <v>15.00865006488038</v>
      </c>
      <c r="H19" s="131">
        <f>IF(SER_hh_tesh_in!H19=0,0,SER_hh_tesh_in!H19/SER_summary!H$27)</f>
        <v>14.670110687113732</v>
      </c>
      <c r="I19" s="131">
        <f>IF(SER_hh_tesh_in!I19=0,0,SER_hh_tesh_in!I19/SER_summary!I$27)</f>
        <v>14.574670092900881</v>
      </c>
      <c r="J19" s="131">
        <f>IF(SER_hh_tesh_in!J19=0,0,SER_hh_tesh_in!J19/SER_summary!J$27)</f>
        <v>14.874824575907587</v>
      </c>
      <c r="K19" s="131">
        <f>IF(SER_hh_tesh_in!K19=0,0,SER_hh_tesh_in!K19/SER_summary!K$27)</f>
        <v>14.956165146530044</v>
      </c>
      <c r="L19" s="131">
        <f>IF(SER_hh_tesh_in!L19=0,0,SER_hh_tesh_in!L19/SER_summary!L$27)</f>
        <v>15.089925827345464</v>
      </c>
      <c r="M19" s="131">
        <f>IF(SER_hh_tesh_in!M19=0,0,SER_hh_tesh_in!M19/SER_summary!M$27)</f>
        <v>15.089132545081958</v>
      </c>
      <c r="N19" s="131">
        <f>IF(SER_hh_tesh_in!N19=0,0,SER_hh_tesh_in!N19/SER_summary!N$27)</f>
        <v>15.459819884483158</v>
      </c>
      <c r="O19" s="131">
        <f>IF(SER_hh_tesh_in!O19=0,0,SER_hh_tesh_in!O19/SER_summary!O$27)</f>
        <v>15.740168663687305</v>
      </c>
      <c r="P19" s="131">
        <f>IF(SER_hh_tesh_in!P19=0,0,SER_hh_tesh_in!P19/SER_summary!P$27)</f>
        <v>15.628811577405413</v>
      </c>
      <c r="Q19" s="131">
        <f>IF(SER_hh_tesh_in!Q19=0,0,SER_hh_tesh_in!Q19/SER_summary!Q$27)</f>
        <v>15.520979542046069</v>
      </c>
      <c r="R19" s="131">
        <f>IF(SER_hh_tesh_in!R19=0,0,SER_hh_tesh_in!R19/SER_summary!R$27)</f>
        <v>15.569976502256596</v>
      </c>
      <c r="S19" s="131">
        <f>IF(SER_hh_tesh_in!S19=0,0,SER_hh_tesh_in!S19/SER_summary!S$27)</f>
        <v>15.650938248648089</v>
      </c>
      <c r="T19" s="131">
        <f>IF(SER_hh_tesh_in!T19=0,0,SER_hh_tesh_in!T19/SER_summary!T$27)</f>
        <v>15.618184675585557</v>
      </c>
      <c r="U19" s="131">
        <f>IF(SER_hh_tesh_in!U19=0,0,SER_hh_tesh_in!U19/SER_summary!U$27)</f>
        <v>15.564068945351218</v>
      </c>
      <c r="V19" s="131">
        <f>IF(SER_hh_tesh_in!V19=0,0,SER_hh_tesh_in!V19/SER_summary!V$27)</f>
        <v>14.516809151761096</v>
      </c>
      <c r="W19" s="131">
        <f>IF(SER_hh_tesh_in!W19=0,0,SER_hh_tesh_in!W19/SER_summary!W$27)</f>
        <v>15.023103028040094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14.395543868528206</v>
      </c>
      <c r="D21" s="133">
        <f>IF(SER_hh_tesh_in!D21=0,0,SER_hh_tesh_in!D21/SER_summary!D$27)</f>
        <v>14.61690004416841</v>
      </c>
      <c r="E21" s="133">
        <f>IF(SER_hh_tesh_in!E21=0,0,SER_hh_tesh_in!E21/SER_summary!E$27)</f>
        <v>14.482782273166757</v>
      </c>
      <c r="F21" s="133">
        <f>IF(SER_hh_tesh_in!F21=0,0,SER_hh_tesh_in!F21/SER_summary!F$27)</f>
        <v>14.755363622426739</v>
      </c>
      <c r="G21" s="133">
        <f>IF(SER_hh_tesh_in!G21=0,0,SER_hh_tesh_in!G21/SER_summary!G$27)</f>
        <v>14.54610167146978</v>
      </c>
      <c r="H21" s="133">
        <f>IF(SER_hh_tesh_in!H21=0,0,SER_hh_tesh_in!H21/SER_summary!H$27)</f>
        <v>14.466110383290708</v>
      </c>
      <c r="I21" s="133">
        <f>IF(SER_hh_tesh_in!I21=0,0,SER_hh_tesh_in!I21/SER_summary!I$27)</f>
        <v>14.227401915762176</v>
      </c>
      <c r="J21" s="133">
        <f>IF(SER_hh_tesh_in!J21=0,0,SER_hh_tesh_in!J21/SER_summary!J$27)</f>
        <v>14.122028199483069</v>
      </c>
      <c r="K21" s="133">
        <f>IF(SER_hh_tesh_in!K21=0,0,SER_hh_tesh_in!K21/SER_summary!K$27)</f>
        <v>14.513720776986887</v>
      </c>
      <c r="L21" s="133">
        <f>IF(SER_hh_tesh_in!L21=0,0,SER_hh_tesh_in!L21/SER_summary!L$27)</f>
        <v>13.730489600505219</v>
      </c>
      <c r="M21" s="133">
        <f>IF(SER_hh_tesh_in!M21=0,0,SER_hh_tesh_in!M21/SER_summary!M$27)</f>
        <v>14.374731132634082</v>
      </c>
      <c r="N21" s="133">
        <f>IF(SER_hh_tesh_in!N21=0,0,SER_hh_tesh_in!N21/SER_summary!N$27)</f>
        <v>13.265335147716646</v>
      </c>
      <c r="O21" s="133">
        <f>IF(SER_hh_tesh_in!O21=0,0,SER_hh_tesh_in!O21/SER_summary!O$27)</f>
        <v>15.075494545678353</v>
      </c>
      <c r="P21" s="133">
        <f>IF(SER_hh_tesh_in!P21=0,0,SER_hh_tesh_in!P21/SER_summary!P$27)</f>
        <v>15.616237308478988</v>
      </c>
      <c r="Q21" s="133">
        <f>IF(SER_hh_tesh_in!Q21=0,0,SER_hh_tesh_in!Q21/SER_summary!Q$27)</f>
        <v>15.750035997229899</v>
      </c>
      <c r="R21" s="133">
        <f>IF(SER_hh_tesh_in!R21=0,0,SER_hh_tesh_in!R21/SER_summary!R$27)</f>
        <v>12.397665943690697</v>
      </c>
      <c r="S21" s="133">
        <f>IF(SER_hh_tesh_in!S21=0,0,SER_hh_tesh_in!S21/SER_summary!S$27)</f>
        <v>14.816154915682194</v>
      </c>
      <c r="T21" s="133">
        <f>IF(SER_hh_tesh_in!T21=0,0,SER_hh_tesh_in!T21/SER_summary!T$27)</f>
        <v>15.008630185949185</v>
      </c>
      <c r="U21" s="133">
        <f>IF(SER_hh_tesh_in!U21=0,0,SER_hh_tesh_in!U21/SER_summary!U$27)</f>
        <v>14.384571849870358</v>
      </c>
      <c r="V21" s="133">
        <f>IF(SER_hh_tesh_in!V21=0,0,SER_hh_tesh_in!V21/SER_summary!V$27)</f>
        <v>12.83929103555311</v>
      </c>
      <c r="W21" s="133">
        <f>IF(SER_hh_tesh_in!W21=0,0,SER_hh_tesh_in!W21/SER_summary!W$27)</f>
        <v>14.051349233295596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14.17535626767876</v>
      </c>
      <c r="D22" s="133">
        <f>IF(SER_hh_tesh_in!D22=0,0,SER_hh_tesh_in!D22/SER_summary!D$27)</f>
        <v>14.247278855700587</v>
      </c>
      <c r="E22" s="133">
        <f>IF(SER_hh_tesh_in!E22=0,0,SER_hh_tesh_in!E22/SER_summary!E$27)</f>
        <v>14.476515033114877</v>
      </c>
      <c r="F22" s="133">
        <f>IF(SER_hh_tesh_in!F22=0,0,SER_hh_tesh_in!F22/SER_summary!F$27)</f>
        <v>14.432971555433827</v>
      </c>
      <c r="G22" s="133">
        <f>IF(SER_hh_tesh_in!G22=0,0,SER_hh_tesh_in!G22/SER_summary!G$27)</f>
        <v>14.663059086266948</v>
      </c>
      <c r="H22" s="133">
        <f>IF(SER_hh_tesh_in!H22=0,0,SER_hh_tesh_in!H22/SER_summary!H$27)</f>
        <v>14.432024254555909</v>
      </c>
      <c r="I22" s="133">
        <f>IF(SER_hh_tesh_in!I22=0,0,SER_hh_tesh_in!I22/SER_summary!I$27)</f>
        <v>14.661410443331903</v>
      </c>
      <c r="J22" s="133">
        <f>IF(SER_hh_tesh_in!J22=0,0,SER_hh_tesh_in!J22/SER_summary!J$27)</f>
        <v>14.261905979383693</v>
      </c>
      <c r="K22" s="133">
        <f>IF(SER_hh_tesh_in!K22=0,0,SER_hh_tesh_in!K22/SER_summary!K$27)</f>
        <v>14.332537901919325</v>
      </c>
      <c r="L22" s="133">
        <f>IF(SER_hh_tesh_in!L22=0,0,SER_hh_tesh_in!L22/SER_summary!L$27)</f>
        <v>13.165608240262697</v>
      </c>
      <c r="M22" s="133">
        <f>IF(SER_hh_tesh_in!M22=0,0,SER_hh_tesh_in!M22/SER_summary!M$27)</f>
        <v>13.631534480674434</v>
      </c>
      <c r="N22" s="133">
        <f>IF(SER_hh_tesh_in!N22=0,0,SER_hh_tesh_in!N22/SER_summary!N$27)</f>
        <v>9.5274910274787707</v>
      </c>
      <c r="O22" s="133">
        <f>IF(SER_hh_tesh_in!O22=0,0,SER_hh_tesh_in!O22/SER_summary!O$27)</f>
        <v>15.096552651209693</v>
      </c>
      <c r="P22" s="133">
        <f>IF(SER_hh_tesh_in!P22=0,0,SER_hh_tesh_in!P22/SER_summary!P$27)</f>
        <v>15.498544699556891</v>
      </c>
      <c r="Q22" s="133">
        <f>IF(SER_hh_tesh_in!Q22=0,0,SER_hh_tesh_in!Q22/SER_summary!Q$27)</f>
        <v>14.155280577583756</v>
      </c>
      <c r="R22" s="133">
        <f>IF(SER_hh_tesh_in!R22=0,0,SER_hh_tesh_in!R22/SER_summary!R$27)</f>
        <v>12.426704200907155</v>
      </c>
      <c r="S22" s="133">
        <f>IF(SER_hh_tesh_in!S22=0,0,SER_hh_tesh_in!S22/SER_summary!S$27)</f>
        <v>14.832363186505933</v>
      </c>
      <c r="T22" s="133">
        <f>IF(SER_hh_tesh_in!T22=0,0,SER_hh_tesh_in!T22/SER_summary!T$27)</f>
        <v>14.831437090243027</v>
      </c>
      <c r="U22" s="133">
        <f>IF(SER_hh_tesh_in!U22=0,0,SER_hh_tesh_in!U22/SER_summary!U$27)</f>
        <v>14.966858947945784</v>
      </c>
      <c r="V22" s="133">
        <f>IF(SER_hh_tesh_in!V22=0,0,SER_hh_tesh_in!V22/SER_summary!V$27)</f>
        <v>13.588467982448918</v>
      </c>
      <c r="W22" s="133">
        <f>IF(SER_hh_tesh_in!W22=0,0,SER_hh_tesh_in!W22/SER_summary!W$27)</f>
        <v>14.539345000453991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14.133398100992112</v>
      </c>
      <c r="D23" s="133">
        <f>IF(SER_hh_tesh_in!D23=0,0,SER_hh_tesh_in!D23/SER_summary!D$27)</f>
        <v>14.359234070015127</v>
      </c>
      <c r="E23" s="133">
        <f>IF(SER_hh_tesh_in!E23=0,0,SER_hh_tesh_in!E23/SER_summary!E$27)</f>
        <v>14.441668435129674</v>
      </c>
      <c r="F23" s="133">
        <f>IF(SER_hh_tesh_in!F23=0,0,SER_hh_tesh_in!F23/SER_summary!F$27)</f>
        <v>14.580645999032063</v>
      </c>
      <c r="G23" s="133">
        <f>IF(SER_hh_tesh_in!G23=0,0,SER_hh_tesh_in!G23/SER_summary!G$27)</f>
        <v>14.763281099624463</v>
      </c>
      <c r="H23" s="133">
        <f>IF(SER_hh_tesh_in!H23=0,0,SER_hh_tesh_in!H23/SER_summary!H$27)</f>
        <v>14.472446600980073</v>
      </c>
      <c r="I23" s="133">
        <f>IF(SER_hh_tesh_in!I23=0,0,SER_hh_tesh_in!I23/SER_summary!I$27)</f>
        <v>14.289522909809088</v>
      </c>
      <c r="J23" s="133">
        <f>IF(SER_hh_tesh_in!J23=0,0,SER_hh_tesh_in!J23/SER_summary!J$27)</f>
        <v>14.182156429397322</v>
      </c>
      <c r="K23" s="133">
        <f>IF(SER_hh_tesh_in!K23=0,0,SER_hh_tesh_in!K23/SER_summary!K$27)</f>
        <v>14.221979274306682</v>
      </c>
      <c r="L23" s="133">
        <f>IF(SER_hh_tesh_in!L23=0,0,SER_hh_tesh_in!L23/SER_summary!L$27)</f>
        <v>13.522947784924654</v>
      </c>
      <c r="M23" s="133">
        <f>IF(SER_hh_tesh_in!M23=0,0,SER_hh_tesh_in!M23/SER_summary!M$27)</f>
        <v>14.320387178339777</v>
      </c>
      <c r="N23" s="133">
        <f>IF(SER_hh_tesh_in!N23=0,0,SER_hh_tesh_in!N23/SER_summary!N$27)</f>
        <v>13.64963167957603</v>
      </c>
      <c r="O23" s="133">
        <f>IF(SER_hh_tesh_in!O23=0,0,SER_hh_tesh_in!O23/SER_summary!O$27)</f>
        <v>14.991986802398079</v>
      </c>
      <c r="P23" s="133">
        <f>IF(SER_hh_tesh_in!P23=0,0,SER_hh_tesh_in!P23/SER_summary!P$27)</f>
        <v>15.46859514383101</v>
      </c>
      <c r="Q23" s="133">
        <f>IF(SER_hh_tesh_in!Q23=0,0,SER_hh_tesh_in!Q23/SER_summary!Q$27)</f>
        <v>15.510022615353709</v>
      </c>
      <c r="R23" s="133">
        <f>IF(SER_hh_tesh_in!R23=0,0,SER_hh_tesh_in!R23/SER_summary!R$27)</f>
        <v>13.489676800171237</v>
      </c>
      <c r="S23" s="133">
        <f>IF(SER_hh_tesh_in!S23=0,0,SER_hh_tesh_in!S23/SER_summary!S$27)</f>
        <v>15.051946492225619</v>
      </c>
      <c r="T23" s="133">
        <f>IF(SER_hh_tesh_in!T23=0,0,SER_hh_tesh_in!T23/SER_summary!T$27)</f>
        <v>15.086229413764672</v>
      </c>
      <c r="U23" s="133">
        <f>IF(SER_hh_tesh_in!U23=0,0,SER_hh_tesh_in!U23/SER_summary!U$27)</f>
        <v>14.664551071355957</v>
      </c>
      <c r="V23" s="133">
        <f>IF(SER_hh_tesh_in!V23=0,0,SER_hh_tesh_in!V23/SER_summary!V$27)</f>
        <v>13.572668054217345</v>
      </c>
      <c r="W23" s="133">
        <f>IF(SER_hh_tesh_in!W23=0,0,SER_hh_tesh_in!W23/SER_summary!W$27)</f>
        <v>14.600209338096022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14.155592382436202</v>
      </c>
      <c r="D25" s="133">
        <f>IF(SER_hh_tesh_in!D25=0,0,SER_hh_tesh_in!D25/SER_summary!D$27)</f>
        <v>14.223701045234197</v>
      </c>
      <c r="E25" s="133">
        <f>IF(SER_hh_tesh_in!E25=0,0,SER_hh_tesh_in!E25/SER_summary!E$27)</f>
        <v>14.381427270071706</v>
      </c>
      <c r="F25" s="133">
        <f>IF(SER_hh_tesh_in!F25=0,0,SER_hh_tesh_in!F25/SER_summary!F$27)</f>
        <v>14.485941829216967</v>
      </c>
      <c r="G25" s="133">
        <f>IF(SER_hh_tesh_in!G25=0,0,SER_hh_tesh_in!G25/SER_summary!G$27)</f>
        <v>14.707396264488478</v>
      </c>
      <c r="H25" s="133">
        <f>IF(SER_hh_tesh_in!H25=0,0,SER_hh_tesh_in!H25/SER_summary!H$27)</f>
        <v>14.465810987171949</v>
      </c>
      <c r="I25" s="133">
        <f>IF(SER_hh_tesh_in!I25=0,0,SER_hh_tesh_in!I25/SER_summary!I$27)</f>
        <v>14.401616122142602</v>
      </c>
      <c r="J25" s="133">
        <f>IF(SER_hh_tesh_in!J25=0,0,SER_hh_tesh_in!J25/SER_summary!J$27)</f>
        <v>14.117090517885792</v>
      </c>
      <c r="K25" s="133">
        <f>IF(SER_hh_tesh_in!K25=0,0,SER_hh_tesh_in!K25/SER_summary!K$27)</f>
        <v>14.182135529793566</v>
      </c>
      <c r="L25" s="133">
        <f>IF(SER_hh_tesh_in!L25=0,0,SER_hh_tesh_in!L25/SER_summary!L$27)</f>
        <v>13.564802238004473</v>
      </c>
      <c r="M25" s="133">
        <f>IF(SER_hh_tesh_in!M25=0,0,SER_hh_tesh_in!M25/SER_summary!M$27)</f>
        <v>14.4089205743606</v>
      </c>
      <c r="N25" s="133">
        <f>IF(SER_hh_tesh_in!N25=0,0,SER_hh_tesh_in!N25/SER_summary!N$27)</f>
        <v>14.080915169428526</v>
      </c>
      <c r="O25" s="133">
        <f>IF(SER_hh_tesh_in!O25=0,0,SER_hh_tesh_in!O25/SER_summary!O$27)</f>
        <v>15.110124761722425</v>
      </c>
      <c r="P25" s="133">
        <f>IF(SER_hh_tesh_in!P25=0,0,SER_hh_tesh_in!P25/SER_summary!P$27)</f>
        <v>15.673663486634208</v>
      </c>
      <c r="Q25" s="133">
        <f>IF(SER_hh_tesh_in!Q25=0,0,SER_hh_tesh_in!Q25/SER_summary!Q$27)</f>
        <v>15.577749039476933</v>
      </c>
      <c r="R25" s="133">
        <f>IF(SER_hh_tesh_in!R25=0,0,SER_hh_tesh_in!R25/SER_summary!R$27)</f>
        <v>14.798699590554493</v>
      </c>
      <c r="S25" s="133">
        <f>IF(SER_hh_tesh_in!S25=0,0,SER_hh_tesh_in!S25/SER_summary!S$27)</f>
        <v>14.904932086302697</v>
      </c>
      <c r="T25" s="133">
        <f>IF(SER_hh_tesh_in!T25=0,0,SER_hh_tesh_in!T25/SER_summary!T$27)</f>
        <v>14.8856450206254</v>
      </c>
      <c r="U25" s="133">
        <f>IF(SER_hh_tesh_in!U25=0,0,SER_hh_tesh_in!U25/SER_summary!U$27)</f>
        <v>14.451532062264755</v>
      </c>
      <c r="V25" s="133">
        <f>IF(SER_hh_tesh_in!V25=0,0,SER_hh_tesh_in!V25/SER_summary!V$27)</f>
        <v>13.901831173994802</v>
      </c>
      <c r="W25" s="133">
        <f>IF(SER_hh_tesh_in!W25=0,0,SER_hh_tesh_in!W25/SER_summary!W$27)</f>
        <v>14.449848735164309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13.513453695410696</v>
      </c>
      <c r="D26" s="65">
        <f>IF(SER_hh_tesh_in!D26=0,0,SER_hh_tesh_in!D26/SER_summary!D$27)</f>
        <v>12.383971452921184</v>
      </c>
      <c r="E26" s="65">
        <f>IF(SER_hh_tesh_in!E26=0,0,SER_hh_tesh_in!E26/SER_summary!E$27)</f>
        <v>13.381580479933495</v>
      </c>
      <c r="F26" s="65">
        <f>IF(SER_hh_tesh_in!F26=0,0,SER_hh_tesh_in!F26/SER_summary!F$27)</f>
        <v>12.518025323810789</v>
      </c>
      <c r="G26" s="65">
        <f>IF(SER_hh_tesh_in!G26=0,0,SER_hh_tesh_in!G26/SER_summary!G$27)</f>
        <v>12.740130766410656</v>
      </c>
      <c r="H26" s="65">
        <f>IF(SER_hh_tesh_in!H26=0,0,SER_hh_tesh_in!H26/SER_summary!H$27)</f>
        <v>12.712531371941349</v>
      </c>
      <c r="I26" s="65">
        <f>IF(SER_hh_tesh_in!I26=0,0,SER_hh_tesh_in!I26/SER_summary!I$27)</f>
        <v>12.676587064812725</v>
      </c>
      <c r="J26" s="65">
        <f>IF(SER_hh_tesh_in!J26=0,0,SER_hh_tesh_in!J26/SER_summary!J$27)</f>
        <v>7.22301362311942</v>
      </c>
      <c r="K26" s="65">
        <f>IF(SER_hh_tesh_in!K26=0,0,SER_hh_tesh_in!K26/SER_summary!K$27)</f>
        <v>7.3607101550219385</v>
      </c>
      <c r="L26" s="65">
        <f>IF(SER_hh_tesh_in!L26=0,0,SER_hh_tesh_in!L26/SER_summary!L$27)</f>
        <v>4.0581092812101272</v>
      </c>
      <c r="M26" s="65">
        <f>IF(SER_hh_tesh_in!M26=0,0,SER_hh_tesh_in!M26/SER_summary!M$27)</f>
        <v>4.1446490754086991</v>
      </c>
      <c r="N26" s="65">
        <f>IF(SER_hh_tesh_in!N26=0,0,SER_hh_tesh_in!N26/SER_summary!N$27)</f>
        <v>4.3184176094550466</v>
      </c>
      <c r="O26" s="65">
        <f>IF(SER_hh_tesh_in!O26=0,0,SER_hh_tesh_in!O26/SER_summary!O$27)</f>
        <v>4.2570627837881201</v>
      </c>
      <c r="P26" s="65">
        <f>IF(SER_hh_tesh_in!P26=0,0,SER_hh_tesh_in!P26/SER_summary!P$27)</f>
        <v>5.9767226550963501</v>
      </c>
      <c r="Q26" s="65">
        <f>IF(SER_hh_tesh_in!Q26=0,0,SER_hh_tesh_in!Q26/SER_summary!Q$27)</f>
        <v>4.8310128399076033</v>
      </c>
      <c r="R26" s="65">
        <f>IF(SER_hh_tesh_in!R26=0,0,SER_hh_tesh_in!R26/SER_summary!R$27)</f>
        <v>4.2661768187078737</v>
      </c>
      <c r="S26" s="65">
        <f>IF(SER_hh_tesh_in!S26=0,0,SER_hh_tesh_in!S26/SER_summary!S$27)</f>
        <v>3.8459789334796461</v>
      </c>
      <c r="T26" s="65">
        <f>IF(SER_hh_tesh_in!T26=0,0,SER_hh_tesh_in!T26/SER_summary!T$27)</f>
        <v>3.8226443182695258</v>
      </c>
      <c r="U26" s="65">
        <f>IF(SER_hh_tesh_in!U26=0,0,SER_hh_tesh_in!U26/SER_summary!U$27)</f>
        <v>3.8014378239111464</v>
      </c>
      <c r="V26" s="65">
        <f>IF(SER_hh_tesh_in!V26=0,0,SER_hh_tesh_in!V26/SER_summary!V$27)</f>
        <v>3.2812706796417213</v>
      </c>
      <c r="W26" s="65">
        <f>IF(SER_hh_tesh_in!W26=0,0,SER_hh_tesh_in!W26/SER_summary!W$27)</f>
        <v>3.3072788214823876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0.36650749399388277</v>
      </c>
      <c r="D27" s="146">
        <f>IF(SER_hh_tesh_in!D27=0,0,SER_hh_tesh_in!D27/SER_summary!D$27)</f>
        <v>0.85843598138303823</v>
      </c>
      <c r="E27" s="146">
        <f>IF(SER_hh_tesh_in!E27=0,0,SER_hh_tesh_in!E27/SER_summary!E$27)</f>
        <v>0.46635378078732503</v>
      </c>
      <c r="F27" s="146">
        <f>IF(SER_hh_tesh_in!F27=0,0,SER_hh_tesh_in!F27/SER_summary!F$27)</f>
        <v>1.1025691075279949</v>
      </c>
      <c r="G27" s="146">
        <f>IF(SER_hh_tesh_in!G27=0,0,SER_hh_tesh_in!G27/SER_summary!G$27)</f>
        <v>0.98395899695578137</v>
      </c>
      <c r="H27" s="146">
        <f>IF(SER_hh_tesh_in!H27=0,0,SER_hh_tesh_in!H27/SER_summary!H$27)</f>
        <v>0.97698239247719043</v>
      </c>
      <c r="I27" s="146">
        <f>IF(SER_hh_tesh_in!I27=0,0,SER_hh_tesh_in!I27/SER_summary!I$27)</f>
        <v>0.97721701803949301</v>
      </c>
      <c r="J27" s="146">
        <f>IF(SER_hh_tesh_in!J27=0,0,SER_hh_tesh_in!J27/SER_summary!J$27)</f>
        <v>2.9831361793868174</v>
      </c>
      <c r="K27" s="146">
        <f>IF(SER_hh_tesh_in!K27=0,0,SER_hh_tesh_in!K27/SER_summary!K$27)</f>
        <v>2.9304617747077266</v>
      </c>
      <c r="L27" s="146">
        <f>IF(SER_hh_tesh_in!L27=0,0,SER_hh_tesh_in!L27/SER_summary!L$27)</f>
        <v>4.3744446574979738</v>
      </c>
      <c r="M27" s="146">
        <f>IF(SER_hh_tesh_in!M27=0,0,SER_hh_tesh_in!M27/SER_summary!M$27)</f>
        <v>4.722995077419502</v>
      </c>
      <c r="N27" s="146">
        <f>IF(SER_hh_tesh_in!N27=0,0,SER_hh_tesh_in!N27/SER_summary!N$27)</f>
        <v>3.9972760938097713</v>
      </c>
      <c r="O27" s="146">
        <f>IF(SER_hh_tesh_in!O27=0,0,SER_hh_tesh_in!O27/SER_summary!O$27)</f>
        <v>3.3971148402067799</v>
      </c>
      <c r="P27" s="146">
        <f>IF(SER_hh_tesh_in!P27=0,0,SER_hh_tesh_in!P27/SER_summary!P$27)</f>
        <v>3.8619182258886062</v>
      </c>
      <c r="Q27" s="146">
        <f>IF(SER_hh_tesh_in!Q27=0,0,SER_hh_tesh_in!Q27/SER_summary!Q$27)</f>
        <v>3.6753823892097093</v>
      </c>
      <c r="R27" s="146">
        <f>IF(SER_hh_tesh_in!R27=0,0,SER_hh_tesh_in!R27/SER_summary!R$27)</f>
        <v>3.0989757531808038</v>
      </c>
      <c r="S27" s="146">
        <f>IF(SER_hh_tesh_in!S27=0,0,SER_hh_tesh_in!S27/SER_summary!S$27)</f>
        <v>3.332123928276141</v>
      </c>
      <c r="T27" s="146">
        <f>IF(SER_hh_tesh_in!T27=0,0,SER_hh_tesh_in!T27/SER_summary!T$27)</f>
        <v>3.671977580145882</v>
      </c>
      <c r="U27" s="146">
        <f>IF(SER_hh_tesh_in!U27=0,0,SER_hh_tesh_in!U27/SER_summary!U$27)</f>
        <v>4.1762341121413202</v>
      </c>
      <c r="V27" s="146">
        <f>IF(SER_hh_tesh_in!V27=0,0,SER_hh_tesh_in!V27/SER_summary!V$27)</f>
        <v>4.2005695314523663</v>
      </c>
      <c r="W27" s="146">
        <f>IF(SER_hh_tesh_in!W27=0,0,SER_hh_tesh_in!W27/SER_summary!W$27)</f>
        <v>3.1271392546035837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10.189638649035329</v>
      </c>
      <c r="D28" s="147">
        <f>IF(SER_hh_tesh_in!D28=0,0,SER_hh_tesh_in!D28/SER_summary!D$27)</f>
        <v>10.139419621381148</v>
      </c>
      <c r="E28" s="147">
        <f>IF(SER_hh_tesh_in!E28=0,0,SER_hh_tesh_in!E28/SER_summary!E$27)</f>
        <v>10.744382484556871</v>
      </c>
      <c r="F28" s="147">
        <f>IF(SER_hh_tesh_in!F28=0,0,SER_hh_tesh_in!F28/SER_summary!F$27)</f>
        <v>10.584312989846282</v>
      </c>
      <c r="G28" s="147">
        <f>IF(SER_hh_tesh_in!G28=0,0,SER_hh_tesh_in!G28/SER_summary!G$27)</f>
        <v>10.697675815506173</v>
      </c>
      <c r="H28" s="147">
        <f>IF(SER_hh_tesh_in!H28=0,0,SER_hh_tesh_in!H28/SER_summary!H$27)</f>
        <v>10.447576581515495</v>
      </c>
      <c r="I28" s="147">
        <f>IF(SER_hh_tesh_in!I28=0,0,SER_hh_tesh_in!I28/SER_summary!I$27)</f>
        <v>10.462951559763438</v>
      </c>
      <c r="J28" s="147">
        <f>IF(SER_hh_tesh_in!J28=0,0,SER_hh_tesh_in!J28/SER_summary!J$27)</f>
        <v>10.623845540267677</v>
      </c>
      <c r="K28" s="147">
        <f>IF(SER_hh_tesh_in!K28=0,0,SER_hh_tesh_in!K28/SER_summary!K$27)</f>
        <v>10.967018478879725</v>
      </c>
      <c r="L28" s="147">
        <f>IF(SER_hh_tesh_in!L28=0,0,SER_hh_tesh_in!L28/SER_summary!L$27)</f>
        <v>11.027481781770343</v>
      </c>
      <c r="M28" s="147">
        <f>IF(SER_hh_tesh_in!M28=0,0,SER_hh_tesh_in!M28/SER_summary!M$27)</f>
        <v>10.84559218783621</v>
      </c>
      <c r="N28" s="147">
        <f>IF(SER_hh_tesh_in!N28=0,0,SER_hh_tesh_in!N28/SER_summary!N$27)</f>
        <v>11.030673942573758</v>
      </c>
      <c r="O28" s="147">
        <f>IF(SER_hh_tesh_in!O28=0,0,SER_hh_tesh_in!O28/SER_summary!O$27)</f>
        <v>11.689081295073823</v>
      </c>
      <c r="P28" s="147">
        <f>IF(SER_hh_tesh_in!P28=0,0,SER_hh_tesh_in!P28/SER_summary!P$27)</f>
        <v>11.448237239524929</v>
      </c>
      <c r="Q28" s="147">
        <f>IF(SER_hh_tesh_in!Q28=0,0,SER_hh_tesh_in!Q28/SER_summary!Q$27)</f>
        <v>10.884501011562762</v>
      </c>
      <c r="R28" s="147">
        <f>IF(SER_hh_tesh_in!R28=0,0,SER_hh_tesh_in!R28/SER_summary!R$27)</f>
        <v>10.820549758668632</v>
      </c>
      <c r="S28" s="147">
        <f>IF(SER_hh_tesh_in!S28=0,0,SER_hh_tesh_in!S28/SER_summary!S$27)</f>
        <v>11.348824918497193</v>
      </c>
      <c r="T28" s="147">
        <f>IF(SER_hh_tesh_in!T28=0,0,SER_hh_tesh_in!T28/SER_summary!T$27)</f>
        <v>11.33195830922825</v>
      </c>
      <c r="U28" s="147">
        <f>IF(SER_hh_tesh_in!U28=0,0,SER_hh_tesh_in!U28/SER_summary!U$27)</f>
        <v>11.284478562762091</v>
      </c>
      <c r="V28" s="147">
        <f>IF(SER_hh_tesh_in!V28=0,0,SER_hh_tesh_in!V28/SER_summary!V$27)</f>
        <v>11.305840101252892</v>
      </c>
      <c r="W28" s="147">
        <f>IF(SER_hh_tesh_in!W28=0,0,SER_hh_tesh_in!W28/SER_summary!W$27)</f>
        <v>11.011645946354177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17.70611486603558</v>
      </c>
      <c r="D29" s="131">
        <f>IF(SER_hh_tesh_in!D29=0,0,SER_hh_tesh_in!D29/SER_summary!D$27)</f>
        <v>17.491077607185758</v>
      </c>
      <c r="E29" s="131">
        <f>IF(SER_hh_tesh_in!E29=0,0,SER_hh_tesh_in!E29/SER_summary!E$27)</f>
        <v>17.080589012554459</v>
      </c>
      <c r="F29" s="131">
        <f>IF(SER_hh_tesh_in!F29=0,0,SER_hh_tesh_in!F29/SER_summary!F$27)</f>
        <v>17.468775295731945</v>
      </c>
      <c r="G29" s="131">
        <f>IF(SER_hh_tesh_in!G29=0,0,SER_hh_tesh_in!G29/SER_summary!G$27)</f>
        <v>17.625909835196783</v>
      </c>
      <c r="H29" s="131">
        <f>IF(SER_hh_tesh_in!H29=0,0,SER_hh_tesh_in!H29/SER_summary!H$27)</f>
        <v>17.878511441675119</v>
      </c>
      <c r="I29" s="131">
        <f>IF(SER_hh_tesh_in!I29=0,0,SER_hh_tesh_in!I29/SER_summary!I$27)</f>
        <v>18.151767118431582</v>
      </c>
      <c r="J29" s="131">
        <f>IF(SER_hh_tesh_in!J29=0,0,SER_hh_tesh_in!J29/SER_summary!J$27)</f>
        <v>18.738211343462556</v>
      </c>
      <c r="K29" s="131">
        <f>IF(SER_hh_tesh_in!K29=0,0,SER_hh_tesh_in!K29/SER_summary!K$27)</f>
        <v>19.886477696387129</v>
      </c>
      <c r="L29" s="131">
        <f>IF(SER_hh_tesh_in!L29=0,0,SER_hh_tesh_in!L29/SER_summary!L$27)</f>
        <v>19.899561217881597</v>
      </c>
      <c r="M29" s="131">
        <f>IF(SER_hh_tesh_in!M29=0,0,SER_hh_tesh_in!M29/SER_summary!M$27)</f>
        <v>19.851102869344849</v>
      </c>
      <c r="N29" s="131">
        <f>IF(SER_hh_tesh_in!N29=0,0,SER_hh_tesh_in!N29/SER_summary!N$27)</f>
        <v>20.587047737927449</v>
      </c>
      <c r="O29" s="131">
        <f>IF(SER_hh_tesh_in!O29=0,0,SER_hh_tesh_in!O29/SER_summary!O$27)</f>
        <v>20.99068523147908</v>
      </c>
      <c r="P29" s="131">
        <f>IF(SER_hh_tesh_in!P29=0,0,SER_hh_tesh_in!P29/SER_summary!P$27)</f>
        <v>21.377410297032782</v>
      </c>
      <c r="Q29" s="131">
        <f>IF(SER_hh_tesh_in!Q29=0,0,SER_hh_tesh_in!Q29/SER_summary!Q$27)</f>
        <v>21.3312827637364</v>
      </c>
      <c r="R29" s="131">
        <f>IF(SER_hh_tesh_in!R29=0,0,SER_hh_tesh_in!R29/SER_summary!R$27)</f>
        <v>21.904187293437829</v>
      </c>
      <c r="S29" s="131">
        <f>IF(SER_hh_tesh_in!S29=0,0,SER_hh_tesh_in!S29/SER_summary!S$27)</f>
        <v>22.289317032002703</v>
      </c>
      <c r="T29" s="131">
        <f>IF(SER_hh_tesh_in!T29=0,0,SER_hh_tesh_in!T29/SER_summary!T$27)</f>
        <v>22.610388660198939</v>
      </c>
      <c r="U29" s="131">
        <f>IF(SER_hh_tesh_in!U29=0,0,SER_hh_tesh_in!U29/SER_summary!U$27)</f>
        <v>22.989373763154589</v>
      </c>
      <c r="V29" s="131">
        <f>IF(SER_hh_tesh_in!V29=0,0,SER_hh_tesh_in!V29/SER_summary!V$27)</f>
        <v>19.955519482197897</v>
      </c>
      <c r="W29" s="131">
        <f>IF(SER_hh_tesh_in!W29=0,0,SER_hh_tesh_in!W29/SER_summary!W$27)</f>
        <v>23.167802388879135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21.120005773868495</v>
      </c>
      <c r="D30" s="133">
        <f>IF(SER_hh_tesh_in!D30=0,0,SER_hh_tesh_in!D30/SER_summary!D$27)</f>
        <v>16.633406365293212</v>
      </c>
      <c r="E30" s="133">
        <f>IF(SER_hh_tesh_in!E30=0,0,SER_hh_tesh_in!E30/SER_summary!E$27)</f>
        <v>17.269795110374428</v>
      </c>
      <c r="F30" s="133">
        <f>IF(SER_hh_tesh_in!F30=0,0,SER_hh_tesh_in!F30/SER_summary!F$27)</f>
        <v>18.578347619355405</v>
      </c>
      <c r="G30" s="133">
        <f>IF(SER_hh_tesh_in!G30=0,0,SER_hh_tesh_in!G30/SER_summary!G$27)</f>
        <v>16.964343205431135</v>
      </c>
      <c r="H30" s="133">
        <f>IF(SER_hh_tesh_in!H30=0,0,SER_hh_tesh_in!H30/SER_summary!H$27)</f>
        <v>18.546031966257161</v>
      </c>
      <c r="I30" s="133">
        <f>IF(SER_hh_tesh_in!I30=0,0,SER_hh_tesh_in!I30/SER_summary!I$27)</f>
        <v>17.354489234661735</v>
      </c>
      <c r="J30" s="133">
        <f>IF(SER_hh_tesh_in!J30=0,0,SER_hh_tesh_in!J30/SER_summary!J$27)</f>
        <v>17.85420636382695</v>
      </c>
      <c r="K30" s="133">
        <f>IF(SER_hh_tesh_in!K30=0,0,SER_hh_tesh_in!K30/SER_summary!K$27)</f>
        <v>21.031144394058121</v>
      </c>
      <c r="L30" s="133">
        <f>IF(SER_hh_tesh_in!L30=0,0,SER_hh_tesh_in!L30/SER_summary!L$27)</f>
        <v>22.847917644212661</v>
      </c>
      <c r="M30" s="133">
        <f>IF(SER_hh_tesh_in!M30=0,0,SER_hh_tesh_in!M30/SER_summary!M$27)</f>
        <v>20.12311048700877</v>
      </c>
      <c r="N30" s="133">
        <f>IF(SER_hh_tesh_in!N30=0,0,SER_hh_tesh_in!N30/SER_summary!N$27)</f>
        <v>20.234235064020069</v>
      </c>
      <c r="O30" s="133">
        <f>IF(SER_hh_tesh_in!O30=0,0,SER_hh_tesh_in!O30/SER_summary!O$27)</f>
        <v>20.8403054789887</v>
      </c>
      <c r="P30" s="133">
        <f>IF(SER_hh_tesh_in!P30=0,0,SER_hh_tesh_in!P30/SER_summary!P$27)</f>
        <v>20.932483061756852</v>
      </c>
      <c r="Q30" s="133">
        <f>IF(SER_hh_tesh_in!Q30=0,0,SER_hh_tesh_in!Q30/SER_summary!Q$27)</f>
        <v>20.751361125687545</v>
      </c>
      <c r="R30" s="133">
        <f>IF(SER_hh_tesh_in!R30=0,0,SER_hh_tesh_in!R30/SER_summary!R$27)</f>
        <v>23.239194209331199</v>
      </c>
      <c r="S30" s="133">
        <f>IF(SER_hh_tesh_in!S30=0,0,SER_hh_tesh_in!S30/SER_summary!S$27)</f>
        <v>21.929677909908278</v>
      </c>
      <c r="T30" s="133">
        <f>IF(SER_hh_tesh_in!T30=0,0,SER_hh_tesh_in!T30/SER_summary!T$27)</f>
        <v>21.664007646126166</v>
      </c>
      <c r="U30" s="133">
        <f>IF(SER_hh_tesh_in!U30=0,0,SER_hh_tesh_in!U30/SER_summary!U$27)</f>
        <v>23.685883858296005</v>
      </c>
      <c r="V30" s="133">
        <f>IF(SER_hh_tesh_in!V30=0,0,SER_hh_tesh_in!V30/SER_summary!V$27)</f>
        <v>19.468050798989257</v>
      </c>
      <c r="W30" s="133">
        <f>IF(SER_hh_tesh_in!W30=0,0,SER_hh_tesh_in!W30/SER_summary!W$27)</f>
        <v>23.542374890767388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17.360463519937618</v>
      </c>
      <c r="D31" s="133">
        <f>IF(SER_hh_tesh_in!D31=0,0,SER_hh_tesh_in!D31/SER_summary!D$27)</f>
        <v>17.448163817252791</v>
      </c>
      <c r="E31" s="133">
        <f>IF(SER_hh_tesh_in!E31=0,0,SER_hh_tesh_in!E31/SER_summary!E$27)</f>
        <v>17.311911222493901</v>
      </c>
      <c r="F31" s="133">
        <f>IF(SER_hh_tesh_in!F31=0,0,SER_hh_tesh_in!F31/SER_summary!F$27)</f>
        <v>17.21359164338196</v>
      </c>
      <c r="G31" s="133">
        <f>IF(SER_hh_tesh_in!G31=0,0,SER_hh_tesh_in!G31/SER_summary!G$27)</f>
        <v>17.734608510001344</v>
      </c>
      <c r="H31" s="133">
        <f>IF(SER_hh_tesh_in!H31=0,0,SER_hh_tesh_in!H31/SER_summary!H$27)</f>
        <v>17.695429312955575</v>
      </c>
      <c r="I31" s="133">
        <f>IF(SER_hh_tesh_in!I31=0,0,SER_hh_tesh_in!I31/SER_summary!I$27)</f>
        <v>18.225648630083533</v>
      </c>
      <c r="J31" s="133">
        <f>IF(SER_hh_tesh_in!J31=0,0,SER_hh_tesh_in!J31/SER_summary!J$27)</f>
        <v>18.985772738304529</v>
      </c>
      <c r="K31" s="133">
        <f>IF(SER_hh_tesh_in!K31=0,0,SER_hh_tesh_in!K31/SER_summary!K$27)</f>
        <v>19.492714819237708</v>
      </c>
      <c r="L31" s="133">
        <f>IF(SER_hh_tesh_in!L31=0,0,SER_hh_tesh_in!L31/SER_summary!L$27)</f>
        <v>19.507219049252051</v>
      </c>
      <c r="M31" s="133">
        <f>IF(SER_hh_tesh_in!M31=0,0,SER_hh_tesh_in!M31/SER_summary!M$27)</f>
        <v>19.995867399258021</v>
      </c>
      <c r="N31" s="133">
        <f>IF(SER_hh_tesh_in!N31=0,0,SER_hh_tesh_in!N31/SER_summary!N$27)</f>
        <v>20.830810052748699</v>
      </c>
      <c r="O31" s="133">
        <f>IF(SER_hh_tesh_in!O31=0,0,SER_hh_tesh_in!O31/SER_summary!O$27)</f>
        <v>20.713502597828949</v>
      </c>
      <c r="P31" s="133">
        <f>IF(SER_hh_tesh_in!P31=0,0,SER_hh_tesh_in!P31/SER_summary!P$27)</f>
        <v>20.816070619962296</v>
      </c>
      <c r="Q31" s="133">
        <f>IF(SER_hh_tesh_in!Q31=0,0,SER_hh_tesh_in!Q31/SER_summary!Q$27)</f>
        <v>21.582092541131193</v>
      </c>
      <c r="R31" s="133">
        <f>IF(SER_hh_tesh_in!R31=0,0,SER_hh_tesh_in!R31/SER_summary!R$27)</f>
        <v>21.764300557335535</v>
      </c>
      <c r="S31" s="133">
        <f>IF(SER_hh_tesh_in!S31=0,0,SER_hh_tesh_in!S31/SER_summary!S$27)</f>
        <v>22.679174530043255</v>
      </c>
      <c r="T31" s="133">
        <f>IF(SER_hh_tesh_in!T31=0,0,SER_hh_tesh_in!T31/SER_summary!T$27)</f>
        <v>22.934502916628038</v>
      </c>
      <c r="U31" s="133">
        <f>IF(SER_hh_tesh_in!U31=0,0,SER_hh_tesh_in!U31/SER_summary!U$27)</f>
        <v>22.517783395800361</v>
      </c>
      <c r="V31" s="133">
        <f>IF(SER_hh_tesh_in!V31=0,0,SER_hh_tesh_in!V31/SER_summary!V$27)</f>
        <v>20.158460122993475</v>
      </c>
      <c r="W31" s="133">
        <f>IF(SER_hh_tesh_in!W31=0,0,SER_hh_tesh_in!W31/SER_summary!W$27)</f>
        <v>23.130947364179335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28.525265255574876</v>
      </c>
      <c r="L32" s="133">
        <f>IF(SER_hh_tesh_in!L32=0,0,SER_hh_tesh_in!L32/SER_summary!L$27)</f>
        <v>22.664536483011286</v>
      </c>
      <c r="M32" s="133">
        <f>IF(SER_hh_tesh_in!M32=0,0,SER_hh_tesh_in!M32/SER_summary!M$27)</f>
        <v>19.086397616406</v>
      </c>
      <c r="N32" s="133">
        <f>IF(SER_hh_tesh_in!N32=0,0,SER_hh_tesh_in!N32/SER_summary!N$27)</f>
        <v>20.329266245435935</v>
      </c>
      <c r="O32" s="133">
        <f>IF(SER_hh_tesh_in!O32=0,0,SER_hh_tesh_in!O32/SER_summary!O$27)</f>
        <v>20.694312492026722</v>
      </c>
      <c r="P32" s="133">
        <f>IF(SER_hh_tesh_in!P32=0,0,SER_hh_tesh_in!P32/SER_summary!P$27)</f>
        <v>19.582367393877831</v>
      </c>
      <c r="Q32" s="133">
        <f>IF(SER_hh_tesh_in!Q32=0,0,SER_hh_tesh_in!Q32/SER_summary!Q$27)</f>
        <v>19.51056896236808</v>
      </c>
      <c r="R32" s="133">
        <f>IF(SER_hh_tesh_in!R32=0,0,SER_hh_tesh_in!R32/SER_summary!R$27)</f>
        <v>18.950110256642173</v>
      </c>
      <c r="S32" s="133">
        <f>IF(SER_hh_tesh_in!S32=0,0,SER_hh_tesh_in!S32/SER_summary!S$27)</f>
        <v>19.816248276703782</v>
      </c>
      <c r="T32" s="133">
        <f>IF(SER_hh_tesh_in!T32=0,0,SER_hh_tesh_in!T32/SER_summary!T$27)</f>
        <v>23.972286906230725</v>
      </c>
      <c r="U32" s="133">
        <f>IF(SER_hh_tesh_in!U32=0,0,SER_hh_tesh_in!U32/SER_summary!U$27)</f>
        <v>25.10437970545291</v>
      </c>
      <c r="V32" s="133">
        <f>IF(SER_hh_tesh_in!V32=0,0,SER_hh_tesh_in!V32/SER_summary!V$27)</f>
        <v>20.163331689045748</v>
      </c>
      <c r="W32" s="133">
        <f>IF(SER_hh_tesh_in!W32=0,0,SER_hh_tesh_in!W32/SER_summary!W$27)</f>
        <v>21.076349064812131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17.156654605919012</v>
      </c>
      <c r="D33" s="68">
        <f>IF(SER_hh_tesh_in!D33=0,0,SER_hh_tesh_in!D33/SER_summary!D$27)</f>
        <v>17.590515581497304</v>
      </c>
      <c r="E33" s="68">
        <f>IF(SER_hh_tesh_in!E33=0,0,SER_hh_tesh_in!E33/SER_summary!E$27)</f>
        <v>17.037158354070645</v>
      </c>
      <c r="F33" s="68">
        <f>IF(SER_hh_tesh_in!F33=0,0,SER_hh_tesh_in!F33/SER_summary!F$27)</f>
        <v>17.390320200920115</v>
      </c>
      <c r="G33" s="68">
        <f>IF(SER_hh_tesh_in!G33=0,0,SER_hh_tesh_in!G33/SER_summary!G$27)</f>
        <v>17.658582609428425</v>
      </c>
      <c r="H33" s="68">
        <f>IF(SER_hh_tesh_in!H33=0,0,SER_hh_tesh_in!H33/SER_summary!H$27)</f>
        <v>17.851386486009822</v>
      </c>
      <c r="I33" s="68">
        <f>IF(SER_hh_tesh_in!I33=0,0,SER_hh_tesh_in!I33/SER_summary!I$27)</f>
        <v>18.192511432908901</v>
      </c>
      <c r="J33" s="68">
        <f>IF(SER_hh_tesh_in!J33=0,0,SER_hh_tesh_in!J33/SER_summary!J$27)</f>
        <v>18.811355398978655</v>
      </c>
      <c r="K33" s="68">
        <f>IF(SER_hh_tesh_in!K33=0,0,SER_hh_tesh_in!K33/SER_summary!K$27)</f>
        <v>19.397369689382852</v>
      </c>
      <c r="L33" s="68">
        <f>IF(SER_hh_tesh_in!L33=0,0,SER_hh_tesh_in!L33/SER_summary!L$27)</f>
        <v>19.62145780084165</v>
      </c>
      <c r="M33" s="68">
        <f>IF(SER_hh_tesh_in!M33=0,0,SER_hh_tesh_in!M33/SER_summary!M$27)</f>
        <v>19.812309722732351</v>
      </c>
      <c r="N33" s="68">
        <f>IF(SER_hh_tesh_in!N33=0,0,SER_hh_tesh_in!N33/SER_summary!N$27)</f>
        <v>20.589075488067117</v>
      </c>
      <c r="O33" s="68">
        <f>IF(SER_hh_tesh_in!O33=0,0,SER_hh_tesh_in!O33/SER_summary!O$27)</f>
        <v>21.036529521038002</v>
      </c>
      <c r="P33" s="68">
        <f>IF(SER_hh_tesh_in!P33=0,0,SER_hh_tesh_in!P33/SER_summary!P$27)</f>
        <v>21.465706014736725</v>
      </c>
      <c r="Q33" s="68">
        <f>IF(SER_hh_tesh_in!Q33=0,0,SER_hh_tesh_in!Q33/SER_summary!Q$27)</f>
        <v>21.346564960703798</v>
      </c>
      <c r="R33" s="68">
        <f>IF(SER_hh_tesh_in!R33=0,0,SER_hh_tesh_in!R33/SER_summary!R$27)</f>
        <v>21.81843352074349</v>
      </c>
      <c r="S33" s="68">
        <f>IF(SER_hh_tesh_in!S33=0,0,SER_hh_tesh_in!S33/SER_summary!S$27)</f>
        <v>22.274642132039414</v>
      </c>
      <c r="T33" s="68">
        <f>IF(SER_hh_tesh_in!T33=0,0,SER_hh_tesh_in!T33/SER_summary!T$27)</f>
        <v>22.614134438996373</v>
      </c>
      <c r="U33" s="68">
        <f>IF(SER_hh_tesh_in!U33=0,0,SER_hh_tesh_in!U33/SER_summary!U$27)</f>
        <v>22.94668988230978</v>
      </c>
      <c r="V33" s="68">
        <f>IF(SER_hh_tesh_in!V33=0,0,SER_hh_tesh_in!V33/SER_summary!V$27)</f>
        <v>19.972986185996188</v>
      </c>
      <c r="W33" s="68">
        <f>IF(SER_hh_tesh_in!W33=0,0,SER_hh_tesh_in!W33/SER_summary!W$27)</f>
        <v>23.169953575222443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24.465801750219644</v>
      </c>
      <c r="D3" s="126">
        <f>IF(SER_hh_emih_in!D3=0,0,SER_hh_emih_in!D3/SER_summary!D$27)</f>
        <v>21.311631620742247</v>
      </c>
      <c r="E3" s="126">
        <f>IF(SER_hh_emih_in!E3=0,0,SER_hh_emih_in!E3/SER_summary!E$27)</f>
        <v>19.764118265515862</v>
      </c>
      <c r="F3" s="126">
        <f>IF(SER_hh_emih_in!F3=0,0,SER_hh_emih_in!F3/SER_summary!F$27)</f>
        <v>14.057538385145268</v>
      </c>
      <c r="G3" s="126">
        <f>IF(SER_hh_emih_in!G3=0,0,SER_hh_emih_in!G3/SER_summary!G$27)</f>
        <v>11.767753569424007</v>
      </c>
      <c r="H3" s="126">
        <f>IF(SER_hh_emih_in!H3=0,0,SER_hh_emih_in!H3/SER_summary!H$27)</f>
        <v>9.1759403655577643</v>
      </c>
      <c r="I3" s="126">
        <f>IF(SER_hh_emih_in!I3=0,0,SER_hh_emih_in!I3/SER_summary!I$27)</f>
        <v>8.0971366715208699</v>
      </c>
      <c r="J3" s="126">
        <f>IF(SER_hh_emih_in!J3=0,0,SER_hh_emih_in!J3/SER_summary!J$27)</f>
        <v>10.749544701413079</v>
      </c>
      <c r="K3" s="126">
        <f>IF(SER_hh_emih_in!K3=0,0,SER_hh_emih_in!K3/SER_summary!K$27)</f>
        <v>11.955961599081382</v>
      </c>
      <c r="L3" s="126">
        <f>IF(SER_hh_emih_in!L3=0,0,SER_hh_emih_in!L3/SER_summary!L$27)</f>
        <v>14.481437187613421</v>
      </c>
      <c r="M3" s="126">
        <f>IF(SER_hh_emih_in!M3=0,0,SER_hh_emih_in!M3/SER_summary!M$27)</f>
        <v>10.684274005578027</v>
      </c>
      <c r="N3" s="126">
        <f>IF(SER_hh_emih_in!N3=0,0,SER_hh_emih_in!N3/SER_summary!N$27)</f>
        <v>12.799064977866383</v>
      </c>
      <c r="O3" s="126">
        <f>IF(SER_hh_emih_in!O3=0,0,SER_hh_emih_in!O3/SER_summary!O$27)</f>
        <v>13.832598641892677</v>
      </c>
      <c r="P3" s="126">
        <f>IF(SER_hh_emih_in!P3=0,0,SER_hh_emih_in!P3/SER_summary!P$27)</f>
        <v>11.448775251169602</v>
      </c>
      <c r="Q3" s="126">
        <f>IF(SER_hh_emih_in!Q3=0,0,SER_hh_emih_in!Q3/SER_summary!Q$27)</f>
        <v>14.986334051360638</v>
      </c>
      <c r="R3" s="126">
        <f>IF(SER_hh_emih_in!R3=0,0,SER_hh_emih_in!R3/SER_summary!R$27)</f>
        <v>10.933868907189808</v>
      </c>
      <c r="S3" s="126">
        <f>IF(SER_hh_emih_in!S3=0,0,SER_hh_emih_in!S3/SER_summary!S$27)</f>
        <v>8.2385500513339611</v>
      </c>
      <c r="T3" s="126">
        <f>IF(SER_hh_emih_in!T3=0,0,SER_hh_emih_in!T3/SER_summary!T$27)</f>
        <v>7.5363998623664399</v>
      </c>
      <c r="U3" s="126">
        <f>IF(SER_hh_emih_in!U3=0,0,SER_hh_emih_in!U3/SER_summary!U$27)</f>
        <v>8.1532632010558999</v>
      </c>
      <c r="V3" s="126">
        <f>IF(SER_hh_emih_in!V3=0,0,SER_hh_emih_in!V3/SER_summary!V$27)</f>
        <v>7.6899777551232686</v>
      </c>
      <c r="W3" s="126">
        <f>IF(SER_hh_emih_in!W3=0,0,SER_hh_emih_in!W3/SER_summary!W$27)</f>
        <v>8.304459233957532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20.179566754228986</v>
      </c>
      <c r="D4" s="131">
        <f>IF(SER_hh_emih_in!D4=0,0,SER_hh_emih_in!D4/SER_summary!D$27)</f>
        <v>17.176197523397207</v>
      </c>
      <c r="E4" s="131">
        <f>IF(SER_hh_emih_in!E4=0,0,SER_hh_emih_in!E4/SER_summary!E$27)</f>
        <v>16.104259043659486</v>
      </c>
      <c r="F4" s="131">
        <f>IF(SER_hh_emih_in!F4=0,0,SER_hh_emih_in!F4/SER_summary!F$27)</f>
        <v>10.24304355307175</v>
      </c>
      <c r="G4" s="131">
        <f>IF(SER_hh_emih_in!G4=0,0,SER_hh_emih_in!G4/SER_summary!G$27)</f>
        <v>7.9917162519759426</v>
      </c>
      <c r="H4" s="131">
        <f>IF(SER_hh_emih_in!H4=0,0,SER_hh_emih_in!H4/SER_summary!H$27)</f>
        <v>5.901303376862236</v>
      </c>
      <c r="I4" s="131">
        <f>IF(SER_hh_emih_in!I4=0,0,SER_hh_emih_in!I4/SER_summary!I$27)</f>
        <v>4.9603012570059182</v>
      </c>
      <c r="J4" s="131">
        <f>IF(SER_hh_emih_in!J4=0,0,SER_hh_emih_in!J4/SER_summary!J$27)</f>
        <v>6.7512768874670179</v>
      </c>
      <c r="K4" s="131">
        <f>IF(SER_hh_emih_in!K4=0,0,SER_hh_emih_in!K4/SER_summary!K$27)</f>
        <v>7.9755308585532676</v>
      </c>
      <c r="L4" s="131">
        <f>IF(SER_hh_emih_in!L4=0,0,SER_hh_emih_in!L4/SER_summary!L$27)</f>
        <v>10.737023914353044</v>
      </c>
      <c r="M4" s="131">
        <f>IF(SER_hh_emih_in!M4=0,0,SER_hh_emih_in!M4/SER_summary!M$27)</f>
        <v>7.4234123563649215</v>
      </c>
      <c r="N4" s="131">
        <f>IF(SER_hh_emih_in!N4=0,0,SER_hh_emih_in!N4/SER_summary!N$27)</f>
        <v>9.0313593634283951</v>
      </c>
      <c r="O4" s="131">
        <f>IF(SER_hh_emih_in!O4=0,0,SER_hh_emih_in!O4/SER_summary!O$27)</f>
        <v>10.147376825327031</v>
      </c>
      <c r="P4" s="131">
        <f>IF(SER_hh_emih_in!P4=0,0,SER_hh_emih_in!P4/SER_summary!P$27)</f>
        <v>8.1994446230891675</v>
      </c>
      <c r="Q4" s="131">
        <f>IF(SER_hh_emih_in!Q4=0,0,SER_hh_emih_in!Q4/SER_summary!Q$27)</f>
        <v>11.389151835841218</v>
      </c>
      <c r="R4" s="131">
        <f>IF(SER_hh_emih_in!R4=0,0,SER_hh_emih_in!R4/SER_summary!R$27)</f>
        <v>6.6796851529630121</v>
      </c>
      <c r="S4" s="131">
        <f>IF(SER_hh_emih_in!S4=0,0,SER_hh_emih_in!S4/SER_summary!S$27)</f>
        <v>4.3384446999044801</v>
      </c>
      <c r="T4" s="131">
        <f>IF(SER_hh_emih_in!T4=0,0,SER_hh_emih_in!T4/SER_summary!T$27)</f>
        <v>3.9418832466036036</v>
      </c>
      <c r="U4" s="131">
        <f>IF(SER_hh_emih_in!U4=0,0,SER_hh_emih_in!U4/SER_summary!U$27)</f>
        <v>4.6908379556049624</v>
      </c>
      <c r="V4" s="131">
        <f>IF(SER_hh_emih_in!V4=0,0,SER_hh_emih_in!V4/SER_summary!V$27)</f>
        <v>4.7293990309832834</v>
      </c>
      <c r="W4" s="131">
        <f>IF(SER_hh_emih_in!W4=0,0,SER_hh_emih_in!W4/SER_summary!W$27)</f>
        <v>4.6719507753409477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34.37423836903762</v>
      </c>
      <c r="D5" s="133">
        <f>IF(SER_hh_emih_in!D5=0,0,SER_hh_emih_in!D5/SER_summary!D$27)</f>
        <v>46.580803798702583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39.848103401213088</v>
      </c>
      <c r="K5" s="133">
        <f>IF(SER_hh_emih_in!K5=0,0,SER_hh_emih_in!K5/SER_summary!K$27)</f>
        <v>36.769315960706457</v>
      </c>
      <c r="L5" s="133">
        <f>IF(SER_hh_emih_in!L5=0,0,SER_hh_emih_in!L5/SER_summary!L$27)</f>
        <v>22.043603997086858</v>
      </c>
      <c r="M5" s="133">
        <f>IF(SER_hh_emih_in!M5=0,0,SER_hh_emih_in!M5/SER_summary!M$27)</f>
        <v>46.165294551211559</v>
      </c>
      <c r="N5" s="133">
        <f>IF(SER_hh_emih_in!N5=0,0,SER_hh_emih_in!N5/SER_summary!N$27)</f>
        <v>46.043307490279709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43.764119042769025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36.754608892150216</v>
      </c>
      <c r="D7" s="133">
        <f>IF(SER_hh_emih_in!D7=0,0,SER_hh_emih_in!D7/SER_summary!D$27)</f>
        <v>39.729372667838213</v>
      </c>
      <c r="E7" s="133">
        <f>IF(SER_hh_emih_in!E7=0,0,SER_hh_emih_in!E7/SER_summary!E$27)</f>
        <v>38.140992606049352</v>
      </c>
      <c r="F7" s="133">
        <f>IF(SER_hh_emih_in!F7=0,0,SER_hh_emih_in!F7/SER_summary!F$27)</f>
        <v>38.090834285489755</v>
      </c>
      <c r="G7" s="133">
        <f>IF(SER_hh_emih_in!G7=0,0,SER_hh_emih_in!G7/SER_summary!G$27)</f>
        <v>35.917452705495471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28.435329366525568</v>
      </c>
      <c r="L7" s="133">
        <f>IF(SER_hh_emih_in!L7=0,0,SER_hh_emih_in!L7/SER_summary!L$27)</f>
        <v>28.950292666020992</v>
      </c>
      <c r="M7" s="133">
        <f>IF(SER_hh_emih_in!M7=0,0,SER_hh_emih_in!M7/SER_summary!M$27)</f>
        <v>27.967714161833307</v>
      </c>
      <c r="N7" s="133">
        <f>IF(SER_hh_emih_in!N7=0,0,SER_hh_emih_in!N7/SER_summary!N$27)</f>
        <v>23.602885022525861</v>
      </c>
      <c r="O7" s="133">
        <f>IF(SER_hh_emih_in!O7=0,0,SER_hh_emih_in!O7/SER_summary!O$27)</f>
        <v>20.159216895004807</v>
      </c>
      <c r="P7" s="133">
        <f>IF(SER_hh_emih_in!P7=0,0,SER_hh_emih_in!P7/SER_summary!P$27)</f>
        <v>14.590436852096824</v>
      </c>
      <c r="Q7" s="133">
        <f>IF(SER_hh_emih_in!Q7=0,0,SER_hh_emih_in!Q7/SER_summary!Q$27)</f>
        <v>18.391293197518984</v>
      </c>
      <c r="R7" s="133">
        <f>IF(SER_hh_emih_in!R7=0,0,SER_hh_emih_in!R7/SER_summary!R$27)</f>
        <v>17.959855042335548</v>
      </c>
      <c r="S7" s="133">
        <f>IF(SER_hh_emih_in!S7=0,0,SER_hh_emih_in!S7/SER_summary!S$27)</f>
        <v>18.898360705291132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27.79236659953644</v>
      </c>
      <c r="D9" s="133">
        <f>IF(SER_hh_emih_in!D9=0,0,SER_hh_emih_in!D9/SER_summary!D$27)</f>
        <v>23.966691418016687</v>
      </c>
      <c r="E9" s="133">
        <f>IF(SER_hh_emih_in!E9=0,0,SER_hh_emih_in!E9/SER_summary!E$27)</f>
        <v>24.017611137013944</v>
      </c>
      <c r="F9" s="133">
        <f>IF(SER_hh_emih_in!F9=0,0,SER_hh_emih_in!F9/SER_summary!F$27)</f>
        <v>23.793686499090079</v>
      </c>
      <c r="G9" s="133">
        <f>IF(SER_hh_emih_in!G9=0,0,SER_hh_emih_in!G9/SER_summary!G$27)</f>
        <v>24.027203075965865</v>
      </c>
      <c r="H9" s="133">
        <f>IF(SER_hh_emih_in!H9=0,0,SER_hh_emih_in!H9/SER_summary!H$27)</f>
        <v>21.216567252846531</v>
      </c>
      <c r="I9" s="133">
        <f>IF(SER_hh_emih_in!I9=0,0,SER_hh_emih_in!I9/SER_summary!I$27)</f>
        <v>18.854488459975133</v>
      </c>
      <c r="J9" s="133">
        <f>IF(SER_hh_emih_in!J9=0,0,SER_hh_emih_in!J9/SER_summary!J$27)</f>
        <v>19.311139892224276</v>
      </c>
      <c r="K9" s="133">
        <f>IF(SER_hh_emih_in!K9=0,0,SER_hh_emih_in!K9/SER_summary!K$27)</f>
        <v>18.461041874852548</v>
      </c>
      <c r="L9" s="133">
        <f>IF(SER_hh_emih_in!L9=0,0,SER_hh_emih_in!L9/SER_summary!L$27)</f>
        <v>21.417378167568547</v>
      </c>
      <c r="M9" s="133">
        <f>IF(SER_hh_emih_in!M9=0,0,SER_hh_emih_in!M9/SER_summary!M$27)</f>
        <v>17.980759258500093</v>
      </c>
      <c r="N9" s="133">
        <f>IF(SER_hh_emih_in!N9=0,0,SER_hh_emih_in!N9/SER_summary!N$27)</f>
        <v>15.240982921696448</v>
      </c>
      <c r="O9" s="133">
        <f>IF(SER_hh_emih_in!O9=0,0,SER_hh_emih_in!O9/SER_summary!O$27)</f>
        <v>13.960066181818586</v>
      </c>
      <c r="P9" s="133">
        <f>IF(SER_hh_emih_in!P9=0,0,SER_hh_emih_in!P9/SER_summary!P$27)</f>
        <v>11.268146526245109</v>
      </c>
      <c r="Q9" s="133">
        <f>IF(SER_hh_emih_in!Q9=0,0,SER_hh_emih_in!Q9/SER_summary!Q$27)</f>
        <v>13.091004636428165</v>
      </c>
      <c r="R9" s="133">
        <f>IF(SER_hh_emih_in!R9=0,0,SER_hh_emih_in!R9/SER_summary!R$27)</f>
        <v>13.027321389372293</v>
      </c>
      <c r="S9" s="133">
        <f>IF(SER_hh_emih_in!S9=0,0,SER_hh_emih_in!S9/SER_summary!S$27)</f>
        <v>13.054821579335785</v>
      </c>
      <c r="T9" s="133">
        <f>IF(SER_hh_emih_in!T9=0,0,SER_hh_emih_in!T9/SER_summary!T$27)</f>
        <v>12.971566694553625</v>
      </c>
      <c r="U9" s="133">
        <f>IF(SER_hh_emih_in!U9=0,0,SER_hh_emih_in!U9/SER_summary!U$27)</f>
        <v>12.385698734756321</v>
      </c>
      <c r="V9" s="133">
        <f>IF(SER_hh_emih_in!V9=0,0,SER_hh_emih_in!V9/SER_summary!V$27)</f>
        <v>10.551741946877899</v>
      </c>
      <c r="W9" s="133">
        <f>IF(SER_hh_emih_in!W9=0,0,SER_hh_emih_in!W9/SER_summary!W$27)</f>
        <v>10.865224536074876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4.0085553642431968E-3</v>
      </c>
      <c r="D16" s="131">
        <f>IF(SER_hh_emih_in!D16=0,0,SER_hh_emih_in!D16/SER_summary!D$27)</f>
        <v>6.3865608488438844E-3</v>
      </c>
      <c r="E16" s="131">
        <f>IF(SER_hh_emih_in!E16=0,0,SER_hh_emih_in!E16/SER_summary!E$27)</f>
        <v>1.2714973030077608E-2</v>
      </c>
      <c r="F16" s="131">
        <f>IF(SER_hh_emih_in!F16=0,0,SER_hh_emih_in!F16/SER_summary!F$27)</f>
        <v>5.8993338279584627E-3</v>
      </c>
      <c r="G16" s="131">
        <f>IF(SER_hh_emih_in!G16=0,0,SER_hh_emih_in!G16/SER_summary!G$27)</f>
        <v>5.7512649363178287E-3</v>
      </c>
      <c r="H16" s="131">
        <f>IF(SER_hh_emih_in!H16=0,0,SER_hh_emih_in!H16/SER_summary!H$27)</f>
        <v>6.3413361031238276E-3</v>
      </c>
      <c r="I16" s="131">
        <f>IF(SER_hh_emih_in!I16=0,0,SER_hh_emih_in!I16/SER_summary!I$27)</f>
        <v>5.7320173598216957E-3</v>
      </c>
      <c r="J16" s="131">
        <f>IF(SER_hh_emih_in!J16=0,0,SER_hh_emih_in!J16/SER_summary!J$27)</f>
        <v>5.353898202780245E-3</v>
      </c>
      <c r="K16" s="131">
        <f>IF(SER_hh_emih_in!K16=0,0,SER_hh_emih_in!K16/SER_summary!K$27)</f>
        <v>7.2018553147580452E-3</v>
      </c>
      <c r="L16" s="131">
        <f>IF(SER_hh_emih_in!L16=0,0,SER_hh_emih_in!L16/SER_summary!L$27)</f>
        <v>9.6904562810950709E-3</v>
      </c>
      <c r="M16" s="131">
        <f>IF(SER_hh_emih_in!M16=0,0,SER_hh_emih_in!M16/SER_summary!M$27)</f>
        <v>9.2735801503499356E-3</v>
      </c>
      <c r="N16" s="131">
        <f>IF(SER_hh_emih_in!N16=0,0,SER_hh_emih_in!N16/SER_summary!N$27)</f>
        <v>1.4868036318872336E-2</v>
      </c>
      <c r="O16" s="131">
        <f>IF(SER_hh_emih_in!O16=0,0,SER_hh_emih_in!O16/SER_summary!O$27)</f>
        <v>1.3091105643249137E-2</v>
      </c>
      <c r="P16" s="131">
        <f>IF(SER_hh_emih_in!P16=0,0,SER_hh_emih_in!P16/SER_summary!P$27)</f>
        <v>3.9415070058183132E-3</v>
      </c>
      <c r="Q16" s="131">
        <f>IF(SER_hh_emih_in!Q16=0,0,SER_hh_emih_in!Q16/SER_summary!Q$27)</f>
        <v>3.9526988332803999E-2</v>
      </c>
      <c r="R16" s="131">
        <f>IF(SER_hh_emih_in!R16=0,0,SER_hh_emih_in!R16/SER_summary!R$27)</f>
        <v>1.6545239565142651E-2</v>
      </c>
      <c r="S16" s="131">
        <f>IF(SER_hh_emih_in!S16=0,0,SER_hh_emih_in!S16/SER_summary!S$27)</f>
        <v>3.2616469882435661E-2</v>
      </c>
      <c r="T16" s="131">
        <f>IF(SER_hh_emih_in!T16=0,0,SER_hh_emih_in!T16/SER_summary!T$27)</f>
        <v>3.2524799030978178E-2</v>
      </c>
      <c r="U16" s="131">
        <f>IF(SER_hh_emih_in!U16=0,0,SER_hh_emih_in!U16/SER_summary!U$27)</f>
        <v>3.2009935726414245E-2</v>
      </c>
      <c r="V16" s="131">
        <f>IF(SER_hh_emih_in!V16=0,0,SER_hh_emih_in!V16/SER_summary!V$27)</f>
        <v>6.3915577233369407E-3</v>
      </c>
      <c r="W16" s="131">
        <f>IF(SER_hh_emih_in!W16=0,0,SER_hh_emih_in!W16/SER_summary!W$27)</f>
        <v>1.9344030127812589E-2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3.909697954637736</v>
      </c>
      <c r="D17" s="133">
        <f>IF(SER_hh_emih_in!D17=0,0,SER_hh_emih_in!D17/SER_summary!D$27)</f>
        <v>3.7361785675379515</v>
      </c>
      <c r="E17" s="133">
        <f>IF(SER_hh_emih_in!E17=0,0,SER_hh_emih_in!E17/SER_summary!E$27)</f>
        <v>7.0648411767354871</v>
      </c>
      <c r="F17" s="133">
        <f>IF(SER_hh_emih_in!F17=0,0,SER_hh_emih_in!F17/SER_summary!F$27)</f>
        <v>3.6082965045249038</v>
      </c>
      <c r="G17" s="133">
        <f>IF(SER_hh_emih_in!G17=0,0,SER_hh_emih_in!G17/SER_summary!G$27)</f>
        <v>3.6026093524844933</v>
      </c>
      <c r="H17" s="133">
        <f>IF(SER_hh_emih_in!H17=0,0,SER_hh_emih_in!H17/SER_summary!H$27)</f>
        <v>4.0457186297372534</v>
      </c>
      <c r="I17" s="133">
        <f>IF(SER_hh_emih_in!I17=0,0,SER_hh_emih_in!I17/SER_summary!I$27)</f>
        <v>5.3220439406095714</v>
      </c>
      <c r="J17" s="133">
        <f>IF(SER_hh_emih_in!J17=0,0,SER_hh_emih_in!J17/SER_summary!J$27)</f>
        <v>4.8222024403278034</v>
      </c>
      <c r="K17" s="133">
        <f>IF(SER_hh_emih_in!K17=0,0,SER_hh_emih_in!K17/SER_summary!K$27)</f>
        <v>3.7391591497313428</v>
      </c>
      <c r="L17" s="133">
        <f>IF(SER_hh_emih_in!L17=0,0,SER_hh_emih_in!L17/SER_summary!L$27)</f>
        <v>3.7437389283387925</v>
      </c>
      <c r="M17" s="133">
        <f>IF(SER_hh_emih_in!M17=0,0,SER_hh_emih_in!M17/SER_summary!M$27)</f>
        <v>3.9647347736266969</v>
      </c>
      <c r="N17" s="133">
        <f>IF(SER_hh_emih_in!N17=0,0,SER_hh_emih_in!N17/SER_summary!N$27)</f>
        <v>4.9095193204712553</v>
      </c>
      <c r="O17" s="133">
        <f>IF(SER_hh_emih_in!O17=0,0,SER_hh_emih_in!O17/SER_summary!O$27)</f>
        <v>3.680170035480725</v>
      </c>
      <c r="P17" s="133">
        <f>IF(SER_hh_emih_in!P17=0,0,SER_hh_emih_in!P17/SER_summary!P$27)</f>
        <v>2.9016535718295589</v>
      </c>
      <c r="Q17" s="133">
        <f>IF(SER_hh_emih_in!Q17=0,0,SER_hh_emih_in!Q17/SER_summary!Q$27)</f>
        <v>4.8448569190456263</v>
      </c>
      <c r="R17" s="133">
        <f>IF(SER_hh_emih_in!R17=0,0,SER_hh_emih_in!R17/SER_summary!R$27)</f>
        <v>3.1052497956117646</v>
      </c>
      <c r="S17" s="133">
        <f>IF(SER_hh_emih_in!S17=0,0,SER_hh_emih_in!S17/SER_summary!S$27)</f>
        <v>4.2902654287022806</v>
      </c>
      <c r="T17" s="133">
        <f>IF(SER_hh_emih_in!T17=0,0,SER_hh_emih_in!T17/SER_summary!T$27)</f>
        <v>3.0799683760308998</v>
      </c>
      <c r="U17" s="133">
        <f>IF(SER_hh_emih_in!U17=0,0,SER_hh_emih_in!U17/SER_summary!U$27)</f>
        <v>3.5370181315001679</v>
      </c>
      <c r="V17" s="133">
        <f>IF(SER_hh_emih_in!V17=0,0,SER_hh_emih_in!V17/SER_summary!V$27)</f>
        <v>2.5926957142558664</v>
      </c>
      <c r="W17" s="133">
        <f>IF(SER_hh_emih_in!W17=0,0,SER_hh_emih_in!W17/SER_summary!W$27)</f>
        <v>3.0989458355677888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2.6815015143445002</v>
      </c>
      <c r="D19" s="131">
        <f>IF(SER_hh_emih_in!D19=0,0,SER_hh_emih_in!D19/SER_summary!D$27)</f>
        <v>3.0108695241709689</v>
      </c>
      <c r="E19" s="131">
        <f>IF(SER_hh_emih_in!E19=0,0,SER_hh_emih_in!E19/SER_summary!E$27)</f>
        <v>2.562709886278665</v>
      </c>
      <c r="F19" s="131">
        <f>IF(SER_hh_emih_in!F19=0,0,SER_hh_emih_in!F19/SER_summary!F$27)</f>
        <v>2.7527574504847645</v>
      </c>
      <c r="G19" s="131">
        <f>IF(SER_hh_emih_in!G19=0,0,SER_hh_emih_in!G19/SER_summary!G$27)</f>
        <v>2.8404694924506249</v>
      </c>
      <c r="H19" s="131">
        <f>IF(SER_hh_emih_in!H19=0,0,SER_hh_emih_in!H19/SER_summary!H$27)</f>
        <v>2.3862958352311074</v>
      </c>
      <c r="I19" s="131">
        <f>IF(SER_hh_emih_in!I19=0,0,SER_hh_emih_in!I19/SER_summary!I$27)</f>
        <v>2.2719431454185548</v>
      </c>
      <c r="J19" s="131">
        <f>IF(SER_hh_emih_in!J19=0,0,SER_hh_emih_in!J19/SER_summary!J$27)</f>
        <v>2.7266406919329493</v>
      </c>
      <c r="K19" s="131">
        <f>IF(SER_hh_emih_in!K19=0,0,SER_hh_emih_in!K19/SER_summary!K$27)</f>
        <v>2.6375622976774156</v>
      </c>
      <c r="L19" s="131">
        <f>IF(SER_hh_emih_in!L19=0,0,SER_hh_emih_in!L19/SER_summary!L$27)</f>
        <v>2.3591740091637741</v>
      </c>
      <c r="M19" s="131">
        <f>IF(SER_hh_emih_in!M19=0,0,SER_hh_emih_in!M19/SER_summary!M$27)</f>
        <v>1.9650265730422798</v>
      </c>
      <c r="N19" s="131">
        <f>IF(SER_hh_emih_in!N19=0,0,SER_hh_emih_in!N19/SER_summary!N$27)</f>
        <v>2.2035935594568294</v>
      </c>
      <c r="O19" s="131">
        <f>IF(SER_hh_emih_in!O19=0,0,SER_hh_emih_in!O19/SER_summary!O$27)</f>
        <v>2.4530187585264187</v>
      </c>
      <c r="P19" s="131">
        <f>IF(SER_hh_emih_in!P19=0,0,SER_hh_emih_in!P19/SER_summary!P$27)</f>
        <v>2.1794993882012257</v>
      </c>
      <c r="Q19" s="131">
        <f>IF(SER_hh_emih_in!Q19=0,0,SER_hh_emih_in!Q19/SER_summary!Q$27)</f>
        <v>2.3668970441041601</v>
      </c>
      <c r="R19" s="131">
        <f>IF(SER_hh_emih_in!R19=0,0,SER_hh_emih_in!R19/SER_summary!R$27)</f>
        <v>2.7222135294419516</v>
      </c>
      <c r="S19" s="131">
        <f>IF(SER_hh_emih_in!S19=0,0,SER_hh_emih_in!S19/SER_summary!S$27)</f>
        <v>2.5350574828003176</v>
      </c>
      <c r="T19" s="131">
        <f>IF(SER_hh_emih_in!T19=0,0,SER_hh_emih_in!T19/SER_summary!T$27)</f>
        <v>2.3335359027020983</v>
      </c>
      <c r="U19" s="131">
        <f>IF(SER_hh_emih_in!U19=0,0,SER_hh_emih_in!U19/SER_summary!U$27)</f>
        <v>2.0952886828107244</v>
      </c>
      <c r="V19" s="131">
        <f>IF(SER_hh_emih_in!V19=0,0,SER_hh_emih_in!V19/SER_summary!V$27)</f>
        <v>1.7351673545051234</v>
      </c>
      <c r="W19" s="131">
        <f>IF(SER_hh_emih_in!W19=0,0,SER_hh_emih_in!W19/SER_summary!W$27)</f>
        <v>2.2296733455606246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6.0818946261971805</v>
      </c>
      <c r="D21" s="133">
        <f>IF(SER_hh_emih_in!D21=0,0,SER_hh_emih_in!D21/SER_summary!D$27)</f>
        <v>6.1503692048301399</v>
      </c>
      <c r="E21" s="133">
        <f>IF(SER_hh_emih_in!E21=0,0,SER_hh_emih_in!E21/SER_summary!E$27)</f>
        <v>6.0652659632582608</v>
      </c>
      <c r="F21" s="133">
        <f>IF(SER_hh_emih_in!F21=0,0,SER_hh_emih_in!F21/SER_summary!F$27)</f>
        <v>6.1499265473495708</v>
      </c>
      <c r="G21" s="133">
        <f>IF(SER_hh_emih_in!G21=0,0,SER_hh_emih_in!G21/SER_summary!G$27)</f>
        <v>6.0302323744011384</v>
      </c>
      <c r="H21" s="133">
        <f>IF(SER_hh_emih_in!H21=0,0,SER_hh_emih_in!H21/SER_summary!H$27)</f>
        <v>5.9618827718404832</v>
      </c>
      <c r="I21" s="133">
        <f>IF(SER_hh_emih_in!I21=0,0,SER_hh_emih_in!I21/SER_summary!I$27)</f>
        <v>5.8254225934842125</v>
      </c>
      <c r="J21" s="133">
        <f>IF(SER_hh_emih_in!J21=0,0,SER_hh_emih_in!J21/SER_summary!J$27)</f>
        <v>5.7382228328105072</v>
      </c>
      <c r="K21" s="133">
        <f>IF(SER_hh_emih_in!K21=0,0,SER_hh_emih_in!K21/SER_summary!K$27)</f>
        <v>5.8434502060044551</v>
      </c>
      <c r="L21" s="133">
        <f>IF(SER_hh_emih_in!L21=0,0,SER_hh_emih_in!L21/SER_summary!L$27)</f>
        <v>5.4687411118504459</v>
      </c>
      <c r="M21" s="133">
        <f>IF(SER_hh_emih_in!M21=0,0,SER_hh_emih_in!M21/SER_summary!M$27)</f>
        <v>5.598873988084593</v>
      </c>
      <c r="N21" s="133">
        <f>IF(SER_hh_emih_in!N21=0,0,SER_hh_emih_in!N21/SER_summary!N$27)</f>
        <v>4.9832542025841482</v>
      </c>
      <c r="O21" s="133">
        <f>IF(SER_hh_emih_in!O21=0,0,SER_hh_emih_in!O21/SER_summary!O$27)</f>
        <v>5.3819381058001898</v>
      </c>
      <c r="P21" s="133">
        <f>IF(SER_hh_emih_in!P21=0,0,SER_hh_emih_in!P21/SER_summary!P$27)</f>
        <v>5.2568076194295514</v>
      </c>
      <c r="Q21" s="133">
        <f>IF(SER_hh_emih_in!Q21=0,0,SER_hh_emih_in!Q21/SER_summary!Q$27)</f>
        <v>5.0406482287547645</v>
      </c>
      <c r="R21" s="133">
        <f>IF(SER_hh_emih_in!R21=0,0,SER_hh_emih_in!R21/SER_summary!R$27)</f>
        <v>3.8400781049678168</v>
      </c>
      <c r="S21" s="133">
        <f>IF(SER_hh_emih_in!S21=0,0,SER_hh_emih_in!S21/SER_summary!S$27)</f>
        <v>4.4511626691423816</v>
      </c>
      <c r="T21" s="133">
        <f>IF(SER_hh_emih_in!T21=0,0,SER_hh_emih_in!T21/SER_summary!T$27)</f>
        <v>4.3894263774980615</v>
      </c>
      <c r="U21" s="133">
        <f>IF(SER_hh_emih_in!U21=0,0,SER_hh_emih_in!U21/SER_summary!U$27)</f>
        <v>4.1159646085746866</v>
      </c>
      <c r="V21" s="133">
        <f>IF(SER_hh_emih_in!V21=0,0,SER_hh_emih_in!V21/SER_summary!V$27)</f>
        <v>3.6171079894838187</v>
      </c>
      <c r="W21" s="133">
        <f>IF(SER_hh_emih_in!W21=0,0,SER_hh_emih_in!W21/SER_summary!W$27)</f>
        <v>3.9300429875300917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7.4717615380661</v>
      </c>
      <c r="D22" s="133">
        <f>IF(SER_hh_emih_in!D22=0,0,SER_hh_emih_in!D22/SER_summary!D$27)</f>
        <v>7.4876781811825177</v>
      </c>
      <c r="E22" s="133">
        <f>IF(SER_hh_emih_in!E22=0,0,SER_hh_emih_in!E22/SER_summary!E$27)</f>
        <v>7.564850023828793</v>
      </c>
      <c r="F22" s="133">
        <f>IF(SER_hh_emih_in!F22=0,0,SER_hh_emih_in!F22/SER_summary!F$27)</f>
        <v>7.4981682458685688</v>
      </c>
      <c r="G22" s="133">
        <f>IF(SER_hh_emih_in!G22=0,0,SER_hh_emih_in!G22/SER_summary!G$27)</f>
        <v>7.5747579718749893</v>
      </c>
      <c r="H22" s="133">
        <f>IF(SER_hh_emih_in!H22=0,0,SER_hh_emih_in!H22/SER_summary!H$27)</f>
        <v>7.4047175650158126</v>
      </c>
      <c r="I22" s="133">
        <f>IF(SER_hh_emih_in!I22=0,0,SER_hh_emih_in!I22/SER_summary!I$27)</f>
        <v>7.4703912036600402</v>
      </c>
      <c r="J22" s="133">
        <f>IF(SER_hh_emih_in!J22=0,0,SER_hh_emih_in!J22/SER_summary!J$27)</f>
        <v>7.2041604478339805</v>
      </c>
      <c r="K22" s="133">
        <f>IF(SER_hh_emih_in!K22=0,0,SER_hh_emih_in!K22/SER_summary!K$27)</f>
        <v>7.1874342520667138</v>
      </c>
      <c r="L22" s="133">
        <f>IF(SER_hh_emih_in!L22=0,0,SER_hh_emih_in!L22/SER_summary!L$27)</f>
        <v>6.5254848603520488</v>
      </c>
      <c r="M22" s="133">
        <f>IF(SER_hh_emih_in!M22=0,0,SER_hh_emih_in!M22/SER_summary!M$27)</f>
        <v>6.6051261788992717</v>
      </c>
      <c r="N22" s="133">
        <f>IF(SER_hh_emih_in!N22=0,0,SER_hh_emih_in!N22/SER_summary!N$27)</f>
        <v>4.4458295089960398</v>
      </c>
      <c r="O22" s="133">
        <f>IF(SER_hh_emih_in!O22=0,0,SER_hh_emih_in!O22/SER_summary!O$27)</f>
        <v>6.6552737775494029</v>
      </c>
      <c r="P22" s="133">
        <f>IF(SER_hh_emih_in!P22=0,0,SER_hh_emih_in!P22/SER_summary!P$27)</f>
        <v>6.4035322508789045</v>
      </c>
      <c r="Q22" s="133">
        <f>IF(SER_hh_emih_in!Q22=0,0,SER_hh_emih_in!Q22/SER_summary!Q$27)</f>
        <v>5.5379039061525903</v>
      </c>
      <c r="R22" s="133">
        <f>IF(SER_hh_emih_in!R22=0,0,SER_hh_emih_in!R22/SER_summary!R$27)</f>
        <v>4.6914019695344553</v>
      </c>
      <c r="S22" s="133">
        <f>IF(SER_hh_emih_in!S22=0,0,SER_hh_emih_in!S22/SER_summary!S$27)</f>
        <v>5.41492803674186</v>
      </c>
      <c r="T22" s="133">
        <f>IF(SER_hh_emih_in!T22=0,0,SER_hh_emih_in!T22/SER_summary!T$27)</f>
        <v>5.2583556343738049</v>
      </c>
      <c r="U22" s="133">
        <f>IF(SER_hh_emih_in!U22=0,0,SER_hh_emih_in!U22/SER_summary!U$27)</f>
        <v>5.1865097063054808</v>
      </c>
      <c r="V22" s="133">
        <f>IF(SER_hh_emih_in!V22=0,0,SER_hh_emih_in!V22/SER_summary!V$27)</f>
        <v>4.6305289624687136</v>
      </c>
      <c r="W22" s="133">
        <f>IF(SER_hh_emih_in!W22=0,0,SER_hh_emih_in!W22/SER_summary!W$27)</f>
        <v>4.9167991014325159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5.1501961826150291</v>
      </c>
      <c r="D23" s="133">
        <f>IF(SER_hh_emih_in!D23=0,0,SER_hh_emih_in!D23/SER_summary!D$27)</f>
        <v>5.1716852574706191</v>
      </c>
      <c r="E23" s="133">
        <f>IF(SER_hh_emih_in!E23=0,0,SER_hh_emih_in!E23/SER_summary!E$27)</f>
        <v>5.1245778154177941</v>
      </c>
      <c r="F23" s="133">
        <f>IF(SER_hh_emih_in!F23=0,0,SER_hh_emih_in!F23/SER_summary!F$27)</f>
        <v>5.1226986835535673</v>
      </c>
      <c r="G23" s="133">
        <f>IF(SER_hh_emih_in!G23=0,0,SER_hh_emih_in!G23/SER_summary!G$27)</f>
        <v>5.1258375414171811</v>
      </c>
      <c r="H23" s="133">
        <f>IF(SER_hh_emih_in!H23=0,0,SER_hh_emih_in!H23/SER_summary!H$27)</f>
        <v>4.9616836563043325</v>
      </c>
      <c r="I23" s="133">
        <f>IF(SER_hh_emih_in!I23=0,0,SER_hh_emih_in!I23/SER_summary!I$27)</f>
        <v>4.842385546683297</v>
      </c>
      <c r="J23" s="133">
        <f>IF(SER_hh_emih_in!J23=0,0,SER_hh_emih_in!J23/SER_summary!J$27)</f>
        <v>4.7231878326665377</v>
      </c>
      <c r="K23" s="133">
        <f>IF(SER_hh_emih_in!K23=0,0,SER_hh_emih_in!K23/SER_summary!K$27)</f>
        <v>4.6683284130088918</v>
      </c>
      <c r="L23" s="133">
        <f>IF(SER_hh_emih_in!L23=0,0,SER_hh_emih_in!L23/SER_summary!L$27)</f>
        <v>4.3874397972371639</v>
      </c>
      <c r="M23" s="133">
        <f>IF(SER_hh_emih_in!M23=0,0,SER_hh_emih_in!M23/SER_summary!M$27)</f>
        <v>4.5476879004714084</v>
      </c>
      <c r="N23" s="133">
        <f>IF(SER_hh_emih_in!N23=0,0,SER_hh_emih_in!N23/SER_summary!N$27)</f>
        <v>4.2052628306259967</v>
      </c>
      <c r="O23" s="133">
        <f>IF(SER_hh_emih_in!O23=0,0,SER_hh_emih_in!O23/SER_summary!O$27)</f>
        <v>4.4452565851483863</v>
      </c>
      <c r="P23" s="133">
        <f>IF(SER_hh_emih_in!P23=0,0,SER_hh_emih_in!P23/SER_summary!P$27)</f>
        <v>4.387615495830663</v>
      </c>
      <c r="Q23" s="133">
        <f>IF(SER_hh_emih_in!Q23=0,0,SER_hh_emih_in!Q23/SER_summary!Q$27)</f>
        <v>4.2396100081762738</v>
      </c>
      <c r="R23" s="133">
        <f>IF(SER_hh_emih_in!R23=0,0,SER_hh_emih_in!R23/SER_summary!R$27)</f>
        <v>3.6016500180428204</v>
      </c>
      <c r="S23" s="133">
        <f>IF(SER_hh_emih_in!S23=0,0,SER_hh_emih_in!S23/SER_summary!S$27)</f>
        <v>3.933962734498468</v>
      </c>
      <c r="T23" s="133">
        <f>IF(SER_hh_emih_in!T23=0,0,SER_hh_emih_in!T23/SER_summary!T$27)</f>
        <v>3.8732235679800171</v>
      </c>
      <c r="U23" s="133">
        <f>IF(SER_hh_emih_in!U23=0,0,SER_hh_emih_in!U23/SER_summary!U$27)</f>
        <v>3.7082497729938515</v>
      </c>
      <c r="V23" s="133">
        <f>IF(SER_hh_emih_in!V23=0,0,SER_hh_emih_in!V23/SER_summary!V$27)</f>
        <v>3.3950072981502566</v>
      </c>
      <c r="W23" s="133">
        <f>IF(SER_hh_emih_in!W23=0,0,SER_hh_emih_in!W23/SER_summary!W$27)</f>
        <v>3.6318199999962464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1.6007249262819119</v>
      </c>
      <c r="D29" s="131">
        <f>IF(SER_hh_emih_in!D29=0,0,SER_hh_emih_in!D29/SER_summary!D$27)</f>
        <v>1.1181780123252245</v>
      </c>
      <c r="E29" s="131">
        <f>IF(SER_hh_emih_in!E29=0,0,SER_hh_emih_in!E29/SER_summary!E$27)</f>
        <v>1.0857351186522295</v>
      </c>
      <c r="F29" s="131">
        <f>IF(SER_hh_emih_in!F29=0,0,SER_hh_emih_in!F29/SER_summary!F$27)</f>
        <v>1.055838047760794</v>
      </c>
      <c r="G29" s="131">
        <f>IF(SER_hh_emih_in!G29=0,0,SER_hh_emih_in!G29/SER_summary!G$27)</f>
        <v>0.92981656006111946</v>
      </c>
      <c r="H29" s="131">
        <f>IF(SER_hh_emih_in!H29=0,0,SER_hh_emih_in!H29/SER_summary!H$27)</f>
        <v>0.88199981736129607</v>
      </c>
      <c r="I29" s="131">
        <f>IF(SER_hh_emih_in!I29=0,0,SER_hh_emih_in!I29/SER_summary!I$27)</f>
        <v>0.85916025173657584</v>
      </c>
      <c r="J29" s="131">
        <f>IF(SER_hh_emih_in!J29=0,0,SER_hh_emih_in!J29/SER_summary!J$27)</f>
        <v>1.2662732238103307</v>
      </c>
      <c r="K29" s="131">
        <f>IF(SER_hh_emih_in!K29=0,0,SER_hh_emih_in!K29/SER_summary!K$27)</f>
        <v>1.3356665875359421</v>
      </c>
      <c r="L29" s="131">
        <f>IF(SER_hh_emih_in!L29=0,0,SER_hh_emih_in!L29/SER_summary!L$27)</f>
        <v>1.3755488078155078</v>
      </c>
      <c r="M29" s="131">
        <f>IF(SER_hh_emih_in!M29=0,0,SER_hh_emih_in!M29/SER_summary!M$27)</f>
        <v>1.2865614960204748</v>
      </c>
      <c r="N29" s="131">
        <f>IF(SER_hh_emih_in!N29=0,0,SER_hh_emih_in!N29/SER_summary!N$27)</f>
        <v>1.5492440186622864</v>
      </c>
      <c r="O29" s="131">
        <f>IF(SER_hh_emih_in!O29=0,0,SER_hh_emih_in!O29/SER_summary!O$27)</f>
        <v>1.2191119523959801</v>
      </c>
      <c r="P29" s="131">
        <f>IF(SER_hh_emih_in!P29=0,0,SER_hh_emih_in!P29/SER_summary!P$27)</f>
        <v>1.0658897328733896</v>
      </c>
      <c r="Q29" s="131">
        <f>IF(SER_hh_emih_in!Q29=0,0,SER_hh_emih_in!Q29/SER_summary!Q$27)</f>
        <v>1.1907581830824512</v>
      </c>
      <c r="R29" s="131">
        <f>IF(SER_hh_emih_in!R29=0,0,SER_hh_emih_in!R29/SER_summary!R$27)</f>
        <v>1.5154249852197024</v>
      </c>
      <c r="S29" s="131">
        <f>IF(SER_hh_emih_in!S29=0,0,SER_hh_emih_in!S29/SER_summary!S$27)</f>
        <v>1.332431398746728</v>
      </c>
      <c r="T29" s="131">
        <f>IF(SER_hh_emih_in!T29=0,0,SER_hh_emih_in!T29/SER_summary!T$27)</f>
        <v>1.2284559140297593</v>
      </c>
      <c r="U29" s="131">
        <f>IF(SER_hh_emih_in!U29=0,0,SER_hh_emih_in!U29/SER_summary!U$27)</f>
        <v>1.3351266269137991</v>
      </c>
      <c r="V29" s="131">
        <f>IF(SER_hh_emih_in!V29=0,0,SER_hh_emih_in!V29/SER_summary!V$27)</f>
        <v>1.2190198119115239</v>
      </c>
      <c r="W29" s="131">
        <f>IF(SER_hh_emih_in!W29=0,0,SER_hh_emih_in!W29/SER_summary!W$27)</f>
        <v>1.3834910829281457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8.2084797993187308</v>
      </c>
      <c r="D30" s="133">
        <f>IF(SER_hh_emih_in!D30=0,0,SER_hh_emih_in!D30/SER_summary!D$27)</f>
        <v>6.4543914654331171</v>
      </c>
      <c r="E30" s="133">
        <f>IF(SER_hh_emih_in!E30=0,0,SER_hh_emih_in!E30/SER_summary!E$27)</f>
        <v>6.6907927049592653</v>
      </c>
      <c r="F30" s="133">
        <f>IF(SER_hh_emih_in!F30=0,0,SER_hh_emih_in!F30/SER_summary!F$27)</f>
        <v>7.1864790629189601</v>
      </c>
      <c r="G30" s="133">
        <f>IF(SER_hh_emih_in!G30=0,0,SER_hh_emih_in!G30/SER_summary!G$27)</f>
        <v>6.5520146453955519</v>
      </c>
      <c r="H30" s="133">
        <f>IF(SER_hh_emih_in!H30=0,0,SER_hh_emih_in!H30/SER_summary!H$27)</f>
        <v>7.1519851356230859</v>
      </c>
      <c r="I30" s="133">
        <f>IF(SER_hh_emih_in!I30=0,0,SER_hh_emih_in!I30/SER_summary!I$27)</f>
        <v>6.6824562385803761</v>
      </c>
      <c r="J30" s="133">
        <f>IF(SER_hh_emih_in!J30=0,0,SER_hh_emih_in!J30/SER_summary!J$27)</f>
        <v>6.8648658791295452</v>
      </c>
      <c r="K30" s="133">
        <f>IF(SER_hh_emih_in!K30=0,0,SER_hh_emih_in!K30/SER_summary!K$27)</f>
        <v>8.0750757520684111</v>
      </c>
      <c r="L30" s="133">
        <f>IF(SER_hh_emih_in!L30=0,0,SER_hh_emih_in!L30/SER_summary!L$27)</f>
        <v>8.7609082281281871</v>
      </c>
      <c r="M30" s="133">
        <f>IF(SER_hh_emih_in!M30=0,0,SER_hh_emih_in!M30/SER_summary!M$27)</f>
        <v>7.7105468546464477</v>
      </c>
      <c r="N30" s="133">
        <f>IF(SER_hh_emih_in!N30=0,0,SER_hh_emih_in!N30/SER_summary!N$27)</f>
        <v>7.7531263186066335</v>
      </c>
      <c r="O30" s="133">
        <f>IF(SER_hh_emih_in!O30=0,0,SER_hh_emih_in!O30/SER_summary!O$27)</f>
        <v>7.9853535547909953</v>
      </c>
      <c r="P30" s="133">
        <f>IF(SER_hh_emih_in!P30=0,0,SER_hh_emih_in!P30/SER_summary!P$27)</f>
        <v>8.0206731228737134</v>
      </c>
      <c r="Q30" s="133">
        <f>IF(SER_hh_emih_in!Q30=0,0,SER_hh_emih_in!Q30/SER_summary!Q$27)</f>
        <v>7.9512728591635735</v>
      </c>
      <c r="R30" s="133">
        <f>IF(SER_hh_emih_in!R30=0,0,SER_hh_emih_in!R30/SER_summary!R$27)</f>
        <v>8.8642587960464674</v>
      </c>
      <c r="S30" s="133">
        <f>IF(SER_hh_emih_in!S30=0,0,SER_hh_emih_in!S30/SER_summary!S$27)</f>
        <v>8.3033517787067499</v>
      </c>
      <c r="T30" s="133">
        <f>IF(SER_hh_emih_in!T30=0,0,SER_hh_emih_in!T30/SER_summary!T$27)</f>
        <v>8.1330980269989563</v>
      </c>
      <c r="U30" s="133">
        <f>IF(SER_hh_emih_in!U30=0,0,SER_hh_emih_in!U30/SER_summary!U$27)</f>
        <v>8.8146191709416239</v>
      </c>
      <c r="V30" s="133">
        <f>IF(SER_hh_emih_in!V30=0,0,SER_hh_emih_in!V30/SER_summary!V$27)</f>
        <v>7.1866280105813143</v>
      </c>
      <c r="W30" s="133">
        <f>IF(SER_hh_emih_in!W30=0,0,SER_hh_emih_in!W30/SER_summary!W$27)</f>
        <v>8.6263468350517449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5.9574541694494689</v>
      </c>
      <c r="D31" s="133">
        <f>IF(SER_hh_emih_in!D31=0,0,SER_hh_emih_in!D31/SER_summary!D$27)</f>
        <v>5.9737591548349265</v>
      </c>
      <c r="E31" s="133">
        <f>IF(SER_hh_emih_in!E31=0,0,SER_hh_emih_in!E31/SER_summary!E$27)</f>
        <v>5.8969026678220109</v>
      </c>
      <c r="F31" s="133">
        <f>IF(SER_hh_emih_in!F31=0,0,SER_hh_emih_in!F31/SER_summary!F$27)</f>
        <v>5.8621658794283276</v>
      </c>
      <c r="G31" s="133">
        <f>IF(SER_hh_emih_in!G31=0,0,SER_hh_emih_in!G31/SER_summary!G$27)</f>
        <v>6.0288438815751659</v>
      </c>
      <c r="H31" s="133">
        <f>IF(SER_hh_emih_in!H31=0,0,SER_hh_emih_in!H31/SER_summary!H$27)</f>
        <v>6.0014809859125196</v>
      </c>
      <c r="I31" s="133">
        <f>IF(SER_hh_emih_in!I31=0,0,SER_hh_emih_in!I31/SER_summary!I$27)</f>
        <v>6.1753162366413221</v>
      </c>
      <c r="J31" s="133">
        <f>IF(SER_hh_emih_in!J31=0,0,SER_hh_emih_in!J31/SER_summary!J$27)</f>
        <v>6.3939045859870802</v>
      </c>
      <c r="K31" s="133">
        <f>IF(SER_hh_emih_in!K31=0,0,SER_hh_emih_in!K31/SER_summary!K$27)</f>
        <v>6.5497539264891085</v>
      </c>
      <c r="L31" s="133">
        <f>IF(SER_hh_emih_in!L31=0,0,SER_hh_emih_in!L31/SER_summary!L$27)</f>
        <v>6.5644867141754419</v>
      </c>
      <c r="M31" s="133">
        <f>IF(SER_hh_emih_in!M31=0,0,SER_hh_emih_in!M31/SER_summary!M$27)</f>
        <v>6.7261263704891281</v>
      </c>
      <c r="N31" s="133">
        <f>IF(SER_hh_emih_in!N31=0,0,SER_hh_emih_in!N31/SER_summary!N$27)</f>
        <v>7.0075403234092581</v>
      </c>
      <c r="O31" s="133">
        <f>IF(SER_hh_emih_in!O31=0,0,SER_hh_emih_in!O31/SER_summary!O$27)</f>
        <v>6.9764534246432719</v>
      </c>
      <c r="P31" s="133">
        <f>IF(SER_hh_emih_in!P31=0,0,SER_hh_emih_in!P31/SER_summary!P$27)</f>
        <v>7.0091687066602466</v>
      </c>
      <c r="Q31" s="133">
        <f>IF(SER_hh_emih_in!Q31=0,0,SER_hh_emih_in!Q31/SER_summary!Q$27)</f>
        <v>7.2716102282544721</v>
      </c>
      <c r="R31" s="133">
        <f>IF(SER_hh_emih_in!R31=0,0,SER_hh_emih_in!R31/SER_summary!R$27)</f>
        <v>7.2979609012432007</v>
      </c>
      <c r="S31" s="133">
        <f>IF(SER_hh_emih_in!S31=0,0,SER_hh_emih_in!S31/SER_summary!S$27)</f>
        <v>7.5406115532948954</v>
      </c>
      <c r="T31" s="133">
        <f>IF(SER_hh_emih_in!T31=0,0,SER_hh_emih_in!T31/SER_summary!T$27)</f>
        <v>7.5550385172120036</v>
      </c>
      <c r="U31" s="133">
        <f>IF(SER_hh_emih_in!U31=0,0,SER_hh_emih_in!U31/SER_summary!U$27)</f>
        <v>7.3418048067510595</v>
      </c>
      <c r="V31" s="133">
        <f>IF(SER_hh_emih_in!V31=0,0,SER_hh_emih_in!V31/SER_summary!V$27)</f>
        <v>6.5129136631416378</v>
      </c>
      <c r="W31" s="133">
        <f>IF(SER_hh_emih_in!W31=0,0,SER_hh_emih_in!W31/SER_summary!W$27)</f>
        <v>7.410535829143674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129.50788338453754</v>
      </c>
      <c r="C3" s="180">
        <f t="shared" ref="C3:W3" si="1">SUM(C4:C9)</f>
        <v>139.33368613368913</v>
      </c>
      <c r="D3" s="180">
        <f t="shared" si="1"/>
        <v>150.23176069145197</v>
      </c>
      <c r="E3" s="180">
        <f t="shared" si="1"/>
        <v>162.81231375253668</v>
      </c>
      <c r="F3" s="180">
        <f t="shared" si="1"/>
        <v>175.37826189163195</v>
      </c>
      <c r="G3" s="180">
        <f t="shared" si="1"/>
        <v>187.74943935827559</v>
      </c>
      <c r="H3" s="180">
        <f t="shared" si="1"/>
        <v>198.6276040549121</v>
      </c>
      <c r="I3" s="180">
        <f t="shared" si="1"/>
        <v>208.91390844993256</v>
      </c>
      <c r="J3" s="180">
        <f t="shared" si="1"/>
        <v>215.50578036964214</v>
      </c>
      <c r="K3" s="180">
        <f t="shared" si="1"/>
        <v>219.22668157225553</v>
      </c>
      <c r="L3" s="180">
        <f t="shared" si="1"/>
        <v>222.41840745563752</v>
      </c>
      <c r="M3" s="180">
        <f t="shared" si="1"/>
        <v>225.75260832699712</v>
      </c>
      <c r="N3" s="180">
        <f t="shared" si="1"/>
        <v>226.90485487271286</v>
      </c>
      <c r="O3" s="180">
        <f t="shared" si="1"/>
        <v>229.47464454064223</v>
      </c>
      <c r="P3" s="180">
        <f t="shared" si="1"/>
        <v>234.92743906792376</v>
      </c>
      <c r="Q3" s="180">
        <f t="shared" si="1"/>
        <v>242.13058702725982</v>
      </c>
      <c r="R3" s="180">
        <f t="shared" si="1"/>
        <v>240.76635178930823</v>
      </c>
      <c r="S3" s="180">
        <f t="shared" si="1"/>
        <v>238.72165481098384</v>
      </c>
      <c r="T3" s="180">
        <f t="shared" si="1"/>
        <v>237.54304826410527</v>
      </c>
      <c r="U3" s="180">
        <f t="shared" si="1"/>
        <v>235.58552394949157</v>
      </c>
      <c r="V3" s="180">
        <f t="shared" si="1"/>
        <v>213.98206231663255</v>
      </c>
      <c r="W3" s="180">
        <f t="shared" si="1"/>
        <v>219.37387128357199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4.5097372114466676</v>
      </c>
      <c r="C4" s="181">
        <f t="shared" ref="C4:R9" si="3">C12*C44/11630</f>
        <v>4.970093617184884</v>
      </c>
      <c r="D4" s="181">
        <f t="shared" si="3"/>
        <v>5.4886707879315209</v>
      </c>
      <c r="E4" s="181">
        <f t="shared" si="3"/>
        <v>6.0589218098060851</v>
      </c>
      <c r="F4" s="181">
        <f t="shared" si="3"/>
        <v>6.5380002435623323</v>
      </c>
      <c r="G4" s="181">
        <f t="shared" si="3"/>
        <v>6.9397601178883699</v>
      </c>
      <c r="H4" s="181">
        <f t="shared" si="3"/>
        <v>7.4228612497469006</v>
      </c>
      <c r="I4" s="181">
        <f t="shared" si="3"/>
        <v>7.9271592648952529</v>
      </c>
      <c r="J4" s="181">
        <f t="shared" si="3"/>
        <v>8.1929141354674009</v>
      </c>
      <c r="K4" s="181">
        <f t="shared" si="3"/>
        <v>8.4131052706646265</v>
      </c>
      <c r="L4" s="181">
        <f t="shared" si="3"/>
        <v>8.5266913793797006</v>
      </c>
      <c r="M4" s="181">
        <f t="shared" si="3"/>
        <v>8.7374796125659078</v>
      </c>
      <c r="N4" s="181">
        <f t="shared" si="3"/>
        <v>8.7712047461652389</v>
      </c>
      <c r="O4" s="181">
        <f t="shared" si="3"/>
        <v>8.856451697449538</v>
      </c>
      <c r="P4" s="181">
        <f t="shared" si="3"/>
        <v>9.2267928637657306</v>
      </c>
      <c r="Q4" s="181">
        <f t="shared" si="3"/>
        <v>9.6485467968265066</v>
      </c>
      <c r="R4" s="181">
        <f t="shared" si="3"/>
        <v>9.783768422322181</v>
      </c>
      <c r="S4" s="181">
        <f t="shared" ref="D4:W9" si="4">S12*S44/11630</f>
        <v>9.906733617276636</v>
      </c>
      <c r="T4" s="181">
        <f t="shared" si="4"/>
        <v>10.044742908579719</v>
      </c>
      <c r="U4" s="181">
        <f t="shared" si="4"/>
        <v>10.110432391376829</v>
      </c>
      <c r="V4" s="181">
        <f t="shared" si="4"/>
        <v>10.161500373923539</v>
      </c>
      <c r="W4" s="181">
        <f t="shared" si="4"/>
        <v>10.203658794155404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23.379999789190418</v>
      </c>
      <c r="C5" s="181">
        <f t="shared" si="3"/>
        <v>23.951470391578784</v>
      </c>
      <c r="D5" s="181">
        <f t="shared" si="4"/>
        <v>24.658045741120649</v>
      </c>
      <c r="E5" s="181">
        <f t="shared" si="4"/>
        <v>25.824332113216251</v>
      </c>
      <c r="F5" s="181">
        <f t="shared" si="4"/>
        <v>27.081369196809899</v>
      </c>
      <c r="G5" s="181">
        <f t="shared" si="4"/>
        <v>28.224935243090815</v>
      </c>
      <c r="H5" s="181">
        <f t="shared" si="4"/>
        <v>28.982482008138014</v>
      </c>
      <c r="I5" s="181">
        <f t="shared" si="4"/>
        <v>29.664896733972547</v>
      </c>
      <c r="J5" s="181">
        <f t="shared" si="4"/>
        <v>30.496452917392695</v>
      </c>
      <c r="K5" s="181">
        <f t="shared" si="4"/>
        <v>31.217839475445619</v>
      </c>
      <c r="L5" s="181">
        <f t="shared" si="4"/>
        <v>31.742530686479743</v>
      </c>
      <c r="M5" s="181">
        <f t="shared" si="4"/>
        <v>32.004059662689748</v>
      </c>
      <c r="N5" s="181">
        <f t="shared" si="4"/>
        <v>32.461975725556641</v>
      </c>
      <c r="O5" s="181">
        <f t="shared" si="4"/>
        <v>33.041888503804373</v>
      </c>
      <c r="P5" s="181">
        <f t="shared" si="4"/>
        <v>33.691387873675659</v>
      </c>
      <c r="Q5" s="181">
        <f t="shared" si="4"/>
        <v>34.380013899320652</v>
      </c>
      <c r="R5" s="181">
        <f t="shared" si="4"/>
        <v>33.832830221382828</v>
      </c>
      <c r="S5" s="181">
        <f t="shared" si="4"/>
        <v>33.16222561128636</v>
      </c>
      <c r="T5" s="181">
        <f t="shared" si="4"/>
        <v>32.174887047851549</v>
      </c>
      <c r="U5" s="181">
        <f t="shared" si="4"/>
        <v>31.336487031809714</v>
      </c>
      <c r="V5" s="181">
        <f t="shared" si="4"/>
        <v>30.399149146878038</v>
      </c>
      <c r="W5" s="181">
        <f t="shared" si="4"/>
        <v>29.243490513264131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49.723528796247145</v>
      </c>
      <c r="C6" s="181">
        <f t="shared" si="3"/>
        <v>51.999971560779038</v>
      </c>
      <c r="D6" s="181">
        <f t="shared" si="4"/>
        <v>54.151446765484998</v>
      </c>
      <c r="E6" s="181">
        <f t="shared" si="4"/>
        <v>56.871062622492872</v>
      </c>
      <c r="F6" s="181">
        <f t="shared" si="4"/>
        <v>58.970359097259042</v>
      </c>
      <c r="G6" s="181">
        <f t="shared" si="4"/>
        <v>60.787857280875606</v>
      </c>
      <c r="H6" s="181">
        <f t="shared" si="4"/>
        <v>63.198468261807143</v>
      </c>
      <c r="I6" s="181">
        <f t="shared" si="4"/>
        <v>65.878099186278433</v>
      </c>
      <c r="J6" s="181">
        <f t="shared" si="4"/>
        <v>67.053360662036596</v>
      </c>
      <c r="K6" s="181">
        <f t="shared" si="4"/>
        <v>67.698741903208386</v>
      </c>
      <c r="L6" s="181">
        <f t="shared" si="4"/>
        <v>68.278955056501658</v>
      </c>
      <c r="M6" s="181">
        <f t="shared" si="4"/>
        <v>69.595422099505853</v>
      </c>
      <c r="N6" s="181">
        <f t="shared" si="4"/>
        <v>69.371398988852206</v>
      </c>
      <c r="O6" s="181">
        <f t="shared" si="4"/>
        <v>69.159086668587477</v>
      </c>
      <c r="P6" s="181">
        <f t="shared" si="4"/>
        <v>70.999952536546687</v>
      </c>
      <c r="Q6" s="181">
        <f t="shared" si="4"/>
        <v>72.784727134623736</v>
      </c>
      <c r="R6" s="181">
        <f t="shared" si="4"/>
        <v>69.832616576295109</v>
      </c>
      <c r="S6" s="181">
        <f t="shared" si="4"/>
        <v>66.65547014212116</v>
      </c>
      <c r="T6" s="181">
        <f t="shared" si="4"/>
        <v>63.802058873009656</v>
      </c>
      <c r="U6" s="181">
        <f t="shared" si="4"/>
        <v>61.269289563286598</v>
      </c>
      <c r="V6" s="181">
        <f t="shared" si="4"/>
        <v>49.558455538503814</v>
      </c>
      <c r="W6" s="181">
        <f t="shared" si="4"/>
        <v>50.068986434721701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26.204719775556317</v>
      </c>
      <c r="C7" s="181">
        <f t="shared" si="3"/>
        <v>29.11751229574319</v>
      </c>
      <c r="D7" s="181">
        <f t="shared" si="4"/>
        <v>32.402367273482831</v>
      </c>
      <c r="E7" s="181">
        <f t="shared" si="4"/>
        <v>35.253506442903948</v>
      </c>
      <c r="F7" s="181">
        <f t="shared" si="4"/>
        <v>38.730812137459552</v>
      </c>
      <c r="G7" s="181">
        <f t="shared" si="4"/>
        <v>41.756169462590819</v>
      </c>
      <c r="H7" s="181">
        <f t="shared" si="4"/>
        <v>44.60398570362976</v>
      </c>
      <c r="I7" s="181">
        <f t="shared" si="4"/>
        <v>46.747636389890417</v>
      </c>
      <c r="J7" s="181">
        <f t="shared" si="4"/>
        <v>48.269414846505391</v>
      </c>
      <c r="K7" s="181">
        <f t="shared" si="4"/>
        <v>48.943795456153211</v>
      </c>
      <c r="L7" s="181">
        <f t="shared" si="4"/>
        <v>49.448304240010657</v>
      </c>
      <c r="M7" s="181">
        <f t="shared" si="4"/>
        <v>49.157529566594789</v>
      </c>
      <c r="N7" s="181">
        <f t="shared" si="4"/>
        <v>49.006380668578181</v>
      </c>
      <c r="O7" s="181">
        <f t="shared" si="4"/>
        <v>48.995000870264739</v>
      </c>
      <c r="P7" s="181">
        <f t="shared" si="4"/>
        <v>49.171528465342199</v>
      </c>
      <c r="Q7" s="181">
        <f t="shared" si="4"/>
        <v>49.489713389521235</v>
      </c>
      <c r="R7" s="181">
        <f t="shared" si="4"/>
        <v>48.967376015530142</v>
      </c>
      <c r="S7" s="181">
        <f t="shared" si="4"/>
        <v>48.591649067171375</v>
      </c>
      <c r="T7" s="181">
        <f t="shared" si="4"/>
        <v>48.43520123509407</v>
      </c>
      <c r="U7" s="181">
        <f t="shared" si="4"/>
        <v>48.455467738170583</v>
      </c>
      <c r="V7" s="181">
        <f t="shared" si="4"/>
        <v>48.475136415747158</v>
      </c>
      <c r="W7" s="181">
        <f t="shared" si="4"/>
        <v>48.166125137400805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7.9416091829753093</v>
      </c>
      <c r="C8" s="55">
        <f t="shared" si="3"/>
        <v>9.3667190055608174</v>
      </c>
      <c r="D8" s="55">
        <f t="shared" si="4"/>
        <v>10.991898118793026</v>
      </c>
      <c r="E8" s="55">
        <f t="shared" si="4"/>
        <v>13.283600077571426</v>
      </c>
      <c r="F8" s="55">
        <f t="shared" si="4"/>
        <v>15.567386045193862</v>
      </c>
      <c r="G8" s="55">
        <f t="shared" si="4"/>
        <v>18.180300798840435</v>
      </c>
      <c r="H8" s="55">
        <f t="shared" si="4"/>
        <v>20.79636511842002</v>
      </c>
      <c r="I8" s="55">
        <f t="shared" si="4"/>
        <v>23.19166333899982</v>
      </c>
      <c r="J8" s="55">
        <f t="shared" si="4"/>
        <v>24.426569591537611</v>
      </c>
      <c r="K8" s="55">
        <f t="shared" si="4"/>
        <v>25.273622170678429</v>
      </c>
      <c r="L8" s="55">
        <f t="shared" si="4"/>
        <v>25.811935892747329</v>
      </c>
      <c r="M8" s="55">
        <f t="shared" si="4"/>
        <v>26.305532852122852</v>
      </c>
      <c r="N8" s="55">
        <f t="shared" si="4"/>
        <v>26.247851276117789</v>
      </c>
      <c r="O8" s="55">
        <f t="shared" si="4"/>
        <v>26.222646937233943</v>
      </c>
      <c r="P8" s="55">
        <f t="shared" si="4"/>
        <v>26.877445479359316</v>
      </c>
      <c r="Q8" s="55">
        <f t="shared" si="4"/>
        <v>27.521972477604599</v>
      </c>
      <c r="R8" s="55">
        <f t="shared" si="4"/>
        <v>28.08591980988027</v>
      </c>
      <c r="S8" s="55">
        <f t="shared" si="4"/>
        <v>28.09708688996378</v>
      </c>
      <c r="T8" s="55">
        <f t="shared" si="4"/>
        <v>27.763067186770897</v>
      </c>
      <c r="U8" s="55">
        <f t="shared" si="4"/>
        <v>27.826803423249409</v>
      </c>
      <c r="V8" s="55">
        <f t="shared" si="4"/>
        <v>24.253152225748185</v>
      </c>
      <c r="W8" s="55">
        <f t="shared" si="4"/>
        <v>26.748952458717323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17.748288629121689</v>
      </c>
      <c r="C9" s="63">
        <f t="shared" si="3"/>
        <v>19.92791926284244</v>
      </c>
      <c r="D9" s="63">
        <f t="shared" si="4"/>
        <v>22.539332004638933</v>
      </c>
      <c r="E9" s="63">
        <f t="shared" si="4"/>
        <v>25.520890686546085</v>
      </c>
      <c r="F9" s="63">
        <f t="shared" si="4"/>
        <v>28.490335171347251</v>
      </c>
      <c r="G9" s="63">
        <f t="shared" si="4"/>
        <v>31.860416454989547</v>
      </c>
      <c r="H9" s="63">
        <f t="shared" si="4"/>
        <v>33.623441713170251</v>
      </c>
      <c r="I9" s="63">
        <f t="shared" si="4"/>
        <v>35.504453535896097</v>
      </c>
      <c r="J9" s="63">
        <f t="shared" si="4"/>
        <v>37.067068216702474</v>
      </c>
      <c r="K9" s="63">
        <f t="shared" si="4"/>
        <v>37.679577296105279</v>
      </c>
      <c r="L9" s="63">
        <f t="shared" si="4"/>
        <v>38.609990200518425</v>
      </c>
      <c r="M9" s="63">
        <f t="shared" si="4"/>
        <v>39.952584533517992</v>
      </c>
      <c r="N9" s="63">
        <f t="shared" si="4"/>
        <v>41.046043467442829</v>
      </c>
      <c r="O9" s="63">
        <f t="shared" si="4"/>
        <v>43.199569863302173</v>
      </c>
      <c r="P9" s="63">
        <f t="shared" si="4"/>
        <v>44.960331849234173</v>
      </c>
      <c r="Q9" s="63">
        <f t="shared" si="4"/>
        <v>48.305613329363091</v>
      </c>
      <c r="R9" s="63">
        <f t="shared" si="4"/>
        <v>50.263840743897696</v>
      </c>
      <c r="S9" s="63">
        <f t="shared" si="4"/>
        <v>52.308489483164529</v>
      </c>
      <c r="T9" s="63">
        <f t="shared" si="4"/>
        <v>55.323091012799352</v>
      </c>
      <c r="U9" s="63">
        <f t="shared" si="4"/>
        <v>56.587043801598476</v>
      </c>
      <c r="V9" s="63">
        <f t="shared" si="4"/>
        <v>51.134668615831835</v>
      </c>
      <c r="W9" s="63">
        <f t="shared" si="4"/>
        <v>54.942657945312618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600.747632460771</v>
      </c>
      <c r="C11" s="180">
        <f t="shared" ref="C11:W11" si="6">SUM(C12:C17)</f>
        <v>647.8242806380606</v>
      </c>
      <c r="D11" s="180">
        <f t="shared" si="6"/>
        <v>699.41058084461508</v>
      </c>
      <c r="E11" s="180">
        <f t="shared" si="6"/>
        <v>764.9488832280324</v>
      </c>
      <c r="F11" s="180">
        <f t="shared" si="6"/>
        <v>827.54083997258601</v>
      </c>
      <c r="G11" s="180">
        <f t="shared" si="6"/>
        <v>894.37296064704765</v>
      </c>
      <c r="H11" s="180">
        <f t="shared" si="6"/>
        <v>951.34544112134574</v>
      </c>
      <c r="I11" s="180">
        <f t="shared" si="6"/>
        <v>1007.4006871202949</v>
      </c>
      <c r="J11" s="180">
        <f t="shared" si="6"/>
        <v>1038.492659330692</v>
      </c>
      <c r="K11" s="180">
        <f t="shared" si="6"/>
        <v>1056.2330679456616</v>
      </c>
      <c r="L11" s="180">
        <f t="shared" si="6"/>
        <v>1069.6445172101294</v>
      </c>
      <c r="M11" s="180">
        <f t="shared" si="6"/>
        <v>1086.6629520198605</v>
      </c>
      <c r="N11" s="180">
        <f t="shared" si="6"/>
        <v>1088.5799104333248</v>
      </c>
      <c r="O11" s="180">
        <f t="shared" si="6"/>
        <v>1098.3311333209733</v>
      </c>
      <c r="P11" s="180">
        <f t="shared" si="6"/>
        <v>1124.7294896650303</v>
      </c>
      <c r="Q11" s="180">
        <f t="shared" si="6"/>
        <v>1160.9739540635856</v>
      </c>
      <c r="R11" s="180">
        <f t="shared" si="6"/>
        <v>1165.4299913934249</v>
      </c>
      <c r="S11" s="180">
        <f t="shared" si="6"/>
        <v>1163.4708248063935</v>
      </c>
      <c r="T11" s="180">
        <f t="shared" si="6"/>
        <v>1167.7721973936475</v>
      </c>
      <c r="U11" s="180">
        <f t="shared" si="6"/>
        <v>1150.983501541552</v>
      </c>
      <c r="V11" s="180">
        <f t="shared" si="6"/>
        <v>1120.0179777986009</v>
      </c>
      <c r="W11" s="180">
        <f t="shared" si="6"/>
        <v>1097.1681704708253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5.9872424393978037</v>
      </c>
      <c r="C12" s="181">
        <f t="shared" ref="C12:W12" si="7">C20*C52</f>
        <v>6.5984233753265071</v>
      </c>
      <c r="D12" s="181">
        <f t="shared" si="7"/>
        <v>7.2868996876305445</v>
      </c>
      <c r="E12" s="181">
        <f t="shared" si="7"/>
        <v>8.0439795260325102</v>
      </c>
      <c r="F12" s="181">
        <f t="shared" si="7"/>
        <v>8.6800163050947408</v>
      </c>
      <c r="G12" s="181">
        <f t="shared" si="7"/>
        <v>9.2134029875618406</v>
      </c>
      <c r="H12" s="181">
        <f t="shared" si="7"/>
        <v>9.8547804034881796</v>
      </c>
      <c r="I12" s="181">
        <f t="shared" si="7"/>
        <v>10.524299343690842</v>
      </c>
      <c r="J12" s="181">
        <f t="shared" si="7"/>
        <v>10.877122305420759</v>
      </c>
      <c r="K12" s="181">
        <f t="shared" si="7"/>
        <v>11.169453686966854</v>
      </c>
      <c r="L12" s="181">
        <f t="shared" si="7"/>
        <v>11.320253509381951</v>
      </c>
      <c r="M12" s="181">
        <f t="shared" si="7"/>
        <v>11.60010135777871</v>
      </c>
      <c r="N12" s="181">
        <f t="shared" si="7"/>
        <v>11.644875707523031</v>
      </c>
      <c r="O12" s="181">
        <f t="shared" si="7"/>
        <v>11.758051739878784</v>
      </c>
      <c r="P12" s="181">
        <f t="shared" si="7"/>
        <v>12.249726142191262</v>
      </c>
      <c r="Q12" s="181">
        <f t="shared" si="7"/>
        <v>12.809657448298214</v>
      </c>
      <c r="R12" s="181">
        <f t="shared" si="7"/>
        <v>12.989181136028193</v>
      </c>
      <c r="S12" s="181">
        <f t="shared" si="7"/>
        <v>13.152432873165221</v>
      </c>
      <c r="T12" s="181">
        <f t="shared" si="7"/>
        <v>13.335657537303899</v>
      </c>
      <c r="U12" s="181">
        <f t="shared" si="7"/>
        <v>13.422868574396411</v>
      </c>
      <c r="V12" s="181">
        <f t="shared" si="7"/>
        <v>13.49066773387338</v>
      </c>
      <c r="W12" s="181">
        <f t="shared" si="7"/>
        <v>13.546638330596735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72.912870557305141</v>
      </c>
      <c r="C13" s="181">
        <f t="shared" ref="C13:W13" si="8">C21*C53/1000</f>
        <v>74.172039083346945</v>
      </c>
      <c r="D13" s="181">
        <f t="shared" si="8"/>
        <v>76.054620348040103</v>
      </c>
      <c r="E13" s="181">
        <f t="shared" si="8"/>
        <v>79.285424332555323</v>
      </c>
      <c r="F13" s="181">
        <f t="shared" si="8"/>
        <v>82.874793501063351</v>
      </c>
      <c r="G13" s="181">
        <f t="shared" si="8"/>
        <v>86.318695334546447</v>
      </c>
      <c r="H13" s="181">
        <f t="shared" si="8"/>
        <v>88.513356257043526</v>
      </c>
      <c r="I13" s="181">
        <f t="shared" si="8"/>
        <v>90.553490308532574</v>
      </c>
      <c r="J13" s="181">
        <f t="shared" si="8"/>
        <v>93.073285133598645</v>
      </c>
      <c r="K13" s="181">
        <f t="shared" si="8"/>
        <v>95.25742221784256</v>
      </c>
      <c r="L13" s="181">
        <f t="shared" si="8"/>
        <v>96.855561179516442</v>
      </c>
      <c r="M13" s="181">
        <f t="shared" si="8"/>
        <v>97.746860601958062</v>
      </c>
      <c r="N13" s="181">
        <f t="shared" si="8"/>
        <v>99.425272316674409</v>
      </c>
      <c r="O13" s="181">
        <f t="shared" si="8"/>
        <v>101.3669841111612</v>
      </c>
      <c r="P13" s="181">
        <f t="shared" si="8"/>
        <v>103.73514943573332</v>
      </c>
      <c r="Q13" s="181">
        <f t="shared" si="8"/>
        <v>106.22367295643816</v>
      </c>
      <c r="R13" s="181">
        <f t="shared" si="8"/>
        <v>105.06565631476566</v>
      </c>
      <c r="S13" s="181">
        <f t="shared" si="8"/>
        <v>103.17026991183135</v>
      </c>
      <c r="T13" s="181">
        <f t="shared" si="8"/>
        <v>100.96551704372806</v>
      </c>
      <c r="U13" s="181">
        <f t="shared" si="8"/>
        <v>97.949261757908701</v>
      </c>
      <c r="V13" s="181">
        <f t="shared" si="8"/>
        <v>94.620708749377926</v>
      </c>
      <c r="W13" s="181">
        <f t="shared" si="8"/>
        <v>91.03696078128263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259.06237243178151</v>
      </c>
      <c r="C14" s="181">
        <f t="shared" ref="C14:W14" si="9">C22*C54</f>
        <v>269.21377518976595</v>
      </c>
      <c r="D14" s="181">
        <f t="shared" si="9"/>
        <v>278.46381044262426</v>
      </c>
      <c r="E14" s="181">
        <f t="shared" si="9"/>
        <v>290.4214170598238</v>
      </c>
      <c r="F14" s="181">
        <f t="shared" si="9"/>
        <v>299.34687351070562</v>
      </c>
      <c r="G14" s="181">
        <f t="shared" si="9"/>
        <v>307.12014171956287</v>
      </c>
      <c r="H14" s="181">
        <f t="shared" si="9"/>
        <v>317.74837238897618</v>
      </c>
      <c r="I14" s="181">
        <f t="shared" si="9"/>
        <v>330.12404956739488</v>
      </c>
      <c r="J14" s="181">
        <f t="shared" si="9"/>
        <v>334.63051668715127</v>
      </c>
      <c r="K14" s="181">
        <f t="shared" si="9"/>
        <v>337.33934420397026</v>
      </c>
      <c r="L14" s="181">
        <f t="shared" si="9"/>
        <v>339.83761963180427</v>
      </c>
      <c r="M14" s="181">
        <f t="shared" si="9"/>
        <v>345.23322971205829</v>
      </c>
      <c r="N14" s="181">
        <f t="shared" si="9"/>
        <v>342.79274024351633</v>
      </c>
      <c r="O14" s="181">
        <f t="shared" si="9"/>
        <v>340.75107999365611</v>
      </c>
      <c r="P14" s="181">
        <f t="shared" si="9"/>
        <v>348.45395800667052</v>
      </c>
      <c r="Q14" s="181">
        <f t="shared" si="9"/>
        <v>355.91046909600135</v>
      </c>
      <c r="R14" s="181">
        <f t="shared" si="9"/>
        <v>346.04852057543638</v>
      </c>
      <c r="S14" s="181">
        <f t="shared" si="9"/>
        <v>334.09928320154688</v>
      </c>
      <c r="T14" s="181">
        <f t="shared" si="9"/>
        <v>320.87370061031129</v>
      </c>
      <c r="U14" s="181">
        <f t="shared" si="9"/>
        <v>302.19332224874665</v>
      </c>
      <c r="V14" s="181">
        <f t="shared" si="9"/>
        <v>280.73848561228607</v>
      </c>
      <c r="W14" s="181">
        <f t="shared" si="9"/>
        <v>257.09305946022732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34.790056049054797</v>
      </c>
      <c r="C15" s="181">
        <f t="shared" ref="C15:W15" si="10">C23*C55/1000</f>
        <v>38.657153881220708</v>
      </c>
      <c r="D15" s="181">
        <f t="shared" si="10"/>
        <v>43.0182113459595</v>
      </c>
      <c r="E15" s="181">
        <f t="shared" si="10"/>
        <v>46.803456613124759</v>
      </c>
      <c r="F15" s="181">
        <f t="shared" si="10"/>
        <v>51.420016570622643</v>
      </c>
      <c r="G15" s="181">
        <f t="shared" si="10"/>
        <v>55.436558316202195</v>
      </c>
      <c r="H15" s="181">
        <f t="shared" si="10"/>
        <v>59.217391978677419</v>
      </c>
      <c r="I15" s="181">
        <f t="shared" si="10"/>
        <v>62.063357444569156</v>
      </c>
      <c r="J15" s="181">
        <f t="shared" si="10"/>
        <v>64.083709436627558</v>
      </c>
      <c r="K15" s="181">
        <f t="shared" si="10"/>
        <v>64.979034378431706</v>
      </c>
      <c r="L15" s="181">
        <f t="shared" si="10"/>
        <v>65.648833140562104</v>
      </c>
      <c r="M15" s="181">
        <f t="shared" si="10"/>
        <v>65.26279324880106</v>
      </c>
      <c r="N15" s="181">
        <f t="shared" si="10"/>
        <v>65.062124106799558</v>
      </c>
      <c r="O15" s="181">
        <f t="shared" si="10"/>
        <v>65.047015995568387</v>
      </c>
      <c r="P15" s="181">
        <f t="shared" si="10"/>
        <v>65.281378544740861</v>
      </c>
      <c r="Q15" s="181">
        <f t="shared" si="10"/>
        <v>65.70380898631646</v>
      </c>
      <c r="R15" s="181">
        <f t="shared" si="10"/>
        <v>65.010340532033752</v>
      </c>
      <c r="S15" s="181">
        <f t="shared" si="10"/>
        <v>64.511515827762935</v>
      </c>
      <c r="T15" s="181">
        <f t="shared" si="10"/>
        <v>64.303811685404582</v>
      </c>
      <c r="U15" s="181">
        <f t="shared" si="10"/>
        <v>64.330718013119181</v>
      </c>
      <c r="V15" s="181">
        <f t="shared" si="10"/>
        <v>64.356830652413194</v>
      </c>
      <c r="W15" s="181">
        <f t="shared" si="10"/>
        <v>63.946579377622299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100.30427732567888</v>
      </c>
      <c r="C16" s="55">
        <f t="shared" ref="C16:W16" si="11">C24*C56</f>
        <v>117.74129274775196</v>
      </c>
      <c r="D16" s="55">
        <f t="shared" si="11"/>
        <v>137.57026512920481</v>
      </c>
      <c r="E16" s="55">
        <f t="shared" si="11"/>
        <v>165.58826916044754</v>
      </c>
      <c r="F16" s="55">
        <f t="shared" si="11"/>
        <v>193.33934179413907</v>
      </c>
      <c r="G16" s="55">
        <f t="shared" si="11"/>
        <v>225.01291387818759</v>
      </c>
      <c r="H16" s="55">
        <f t="shared" si="11"/>
        <v>256.56202617532284</v>
      </c>
      <c r="I16" s="55">
        <f t="shared" si="11"/>
        <v>285.24654585358905</v>
      </c>
      <c r="J16" s="55">
        <f t="shared" si="11"/>
        <v>299.57791712706529</v>
      </c>
      <c r="K16" s="55">
        <f t="shared" si="11"/>
        <v>309.12971311643855</v>
      </c>
      <c r="L16" s="55">
        <f t="shared" si="11"/>
        <v>314.90533636807305</v>
      </c>
      <c r="M16" s="55">
        <f t="shared" si="11"/>
        <v>320.4057016999011</v>
      </c>
      <c r="N16" s="55">
        <f t="shared" si="11"/>
        <v>319.20776167089252</v>
      </c>
      <c r="O16" s="55">
        <f t="shared" si="11"/>
        <v>318.42907018994254</v>
      </c>
      <c r="P16" s="55">
        <f t="shared" si="11"/>
        <v>325.91778275085375</v>
      </c>
      <c r="Q16" s="55">
        <f t="shared" si="11"/>
        <v>333.27954896719837</v>
      </c>
      <c r="R16" s="55">
        <f t="shared" si="11"/>
        <v>338.46502705141017</v>
      </c>
      <c r="S16" s="55">
        <f t="shared" si="11"/>
        <v>342.62447093530341</v>
      </c>
      <c r="T16" s="55">
        <f t="shared" si="11"/>
        <v>344.91634309893368</v>
      </c>
      <c r="U16" s="55">
        <f t="shared" si="11"/>
        <v>346.94806280292295</v>
      </c>
      <c r="V16" s="55">
        <f t="shared" si="11"/>
        <v>347.3053795863824</v>
      </c>
      <c r="W16" s="55">
        <f t="shared" si="11"/>
        <v>347.20619040385429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127.69081365755295</v>
      </c>
      <c r="C17" s="63">
        <f t="shared" ref="C17:W17" si="12">C25*C57/1000</f>
        <v>141.44159636064859</v>
      </c>
      <c r="D17" s="63">
        <f t="shared" si="12"/>
        <v>157.01677389115582</v>
      </c>
      <c r="E17" s="63">
        <f t="shared" si="12"/>
        <v>174.80633653604841</v>
      </c>
      <c r="F17" s="63">
        <f t="shared" si="12"/>
        <v>191.87979829096059</v>
      </c>
      <c r="G17" s="63">
        <f t="shared" si="12"/>
        <v>211.27124841098677</v>
      </c>
      <c r="H17" s="63">
        <f t="shared" si="12"/>
        <v>219.44951391783766</v>
      </c>
      <c r="I17" s="63">
        <f t="shared" si="12"/>
        <v>228.88894460251845</v>
      </c>
      <c r="J17" s="63">
        <f t="shared" si="12"/>
        <v>236.25010864082861</v>
      </c>
      <c r="K17" s="63">
        <f t="shared" si="12"/>
        <v>238.3581003420116</v>
      </c>
      <c r="L17" s="63">
        <f t="shared" si="12"/>
        <v>241.07691338079135</v>
      </c>
      <c r="M17" s="63">
        <f t="shared" si="12"/>
        <v>246.41426539936336</v>
      </c>
      <c r="N17" s="63">
        <f t="shared" si="12"/>
        <v>250.44713638791913</v>
      </c>
      <c r="O17" s="63">
        <f t="shared" si="12"/>
        <v>260.9789312907663</v>
      </c>
      <c r="P17" s="63">
        <f t="shared" si="12"/>
        <v>269.09149478484045</v>
      </c>
      <c r="Q17" s="63">
        <f t="shared" si="12"/>
        <v>287.04679660933311</v>
      </c>
      <c r="R17" s="63">
        <f t="shared" si="12"/>
        <v>297.85126578375076</v>
      </c>
      <c r="S17" s="63">
        <f t="shared" si="12"/>
        <v>305.91285205678366</v>
      </c>
      <c r="T17" s="63">
        <f t="shared" si="12"/>
        <v>323.37716741796601</v>
      </c>
      <c r="U17" s="63">
        <f t="shared" si="12"/>
        <v>326.13926814445807</v>
      </c>
      <c r="V17" s="63">
        <f t="shared" si="12"/>
        <v>319.50590546426798</v>
      </c>
      <c r="W17" s="63">
        <f t="shared" si="12"/>
        <v>324.33874211724185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8.0043377229563379</v>
      </c>
      <c r="C20" s="182">
        <v>8.9671991800843713</v>
      </c>
      <c r="D20" s="182">
        <v>10.073575023712205</v>
      </c>
      <c r="E20" s="182">
        <v>11.324951623593529</v>
      </c>
      <c r="F20" s="182">
        <v>12.421167538731281</v>
      </c>
      <c r="G20" s="182">
        <v>13.381791672286543</v>
      </c>
      <c r="H20" s="182">
        <v>14.552581182672107</v>
      </c>
      <c r="I20" s="182">
        <v>15.807540037599527</v>
      </c>
      <c r="J20" s="182">
        <v>16.546574119391913</v>
      </c>
      <c r="K20" s="182">
        <v>17.200482750775365</v>
      </c>
      <c r="L20" s="182">
        <v>17.627359745034305</v>
      </c>
      <c r="M20" s="182">
        <v>18.313833100029029</v>
      </c>
      <c r="N20" s="182">
        <v>18.588696779566426</v>
      </c>
      <c r="O20" s="182">
        <v>19.018840425801528</v>
      </c>
      <c r="P20" s="182">
        <v>20.22608263102104</v>
      </c>
      <c r="Q20" s="182">
        <v>21.623937998991902</v>
      </c>
      <c r="R20" s="182">
        <v>22.266417304420251</v>
      </c>
      <c r="S20" s="182">
        <v>22.894280632441131</v>
      </c>
      <c r="T20" s="182">
        <v>23.582974213285155</v>
      </c>
      <c r="U20" s="182">
        <v>24.279979433839188</v>
      </c>
      <c r="V20" s="182">
        <v>24.979374675073085</v>
      </c>
      <c r="W20" s="182">
        <v>25.665522764933897</v>
      </c>
      <c r="DA20" s="191" t="s">
        <v>921</v>
      </c>
    </row>
    <row r="21" spans="1:105" ht="12" customHeight="1" x14ac:dyDescent="0.25">
      <c r="A21" s="132" t="s">
        <v>163</v>
      </c>
      <c r="B21" s="182">
        <v>360.36789959677179</v>
      </c>
      <c r="C21" s="182">
        <v>371.12474148590917</v>
      </c>
      <c r="D21" s="182">
        <v>386.21605205444706</v>
      </c>
      <c r="E21" s="182">
        <v>409.4595007615074</v>
      </c>
      <c r="F21" s="182">
        <v>436.24302479254675</v>
      </c>
      <c r="G21" s="182">
        <v>464.20249027879777</v>
      </c>
      <c r="H21" s="182">
        <v>486.76214832481003</v>
      </c>
      <c r="I21" s="182">
        <v>510.27590079859351</v>
      </c>
      <c r="J21" s="182">
        <v>532.09898354394079</v>
      </c>
      <c r="K21" s="182">
        <v>553.67786896103303</v>
      </c>
      <c r="L21" s="182">
        <v>574.19694529621142</v>
      </c>
      <c r="M21" s="182">
        <v>591.96005758992158</v>
      </c>
      <c r="N21" s="182">
        <v>616.37222568838513</v>
      </c>
      <c r="O21" s="182">
        <v>644.86117287829711</v>
      </c>
      <c r="P21" s="182">
        <v>681.68367084995691</v>
      </c>
      <c r="Q21" s="182">
        <v>725.01140448299941</v>
      </c>
      <c r="R21" s="182">
        <v>744.7612959883246</v>
      </c>
      <c r="S21" s="182">
        <v>764.16496472918868</v>
      </c>
      <c r="T21" s="182">
        <v>784.2964791140181</v>
      </c>
      <c r="U21" s="182">
        <v>803.31342984665559</v>
      </c>
      <c r="V21" s="182">
        <v>819.92979859127661</v>
      </c>
      <c r="W21" s="182">
        <v>832.66646440236389</v>
      </c>
      <c r="DA21" s="191" t="s">
        <v>922</v>
      </c>
    </row>
    <row r="22" spans="1:105" ht="12" customHeight="1" x14ac:dyDescent="0.25">
      <c r="A22" s="132" t="s">
        <v>167</v>
      </c>
      <c r="B22" s="182">
        <v>5.0812924810032243</v>
      </c>
      <c r="C22" s="182">
        <v>5.3458863719851824</v>
      </c>
      <c r="D22" s="182">
        <v>5.6327323087807351</v>
      </c>
      <c r="E22" s="182">
        <v>6.0070135763859582</v>
      </c>
      <c r="F22" s="182">
        <v>6.3519221489211084</v>
      </c>
      <c r="G22" s="182">
        <v>6.7075889478202786</v>
      </c>
      <c r="H22" s="182">
        <v>7.1756042454487972</v>
      </c>
      <c r="I22" s="182">
        <v>7.6920587354102894</v>
      </c>
      <c r="J22" s="182">
        <v>8.0233654878899703</v>
      </c>
      <c r="K22" s="182">
        <v>8.3388448373619806</v>
      </c>
      <c r="L22" s="182">
        <v>8.667711813091092</v>
      </c>
      <c r="M22" s="182">
        <v>9.1301404973992994</v>
      </c>
      <c r="N22" s="182">
        <v>9.4256137478239594</v>
      </c>
      <c r="O22" s="182">
        <v>9.8334322667615321</v>
      </c>
      <c r="P22" s="182">
        <v>10.593353937536918</v>
      </c>
      <c r="Q22" s="182">
        <v>11.515048624929571</v>
      </c>
      <c r="R22" s="182">
        <v>11.935128669286488</v>
      </c>
      <c r="S22" s="182">
        <v>12.353076546587024</v>
      </c>
      <c r="T22" s="182">
        <v>12.791416702600415</v>
      </c>
      <c r="U22" s="182">
        <v>13.210239982508581</v>
      </c>
      <c r="V22" s="182">
        <v>13.58417374421559</v>
      </c>
      <c r="W22" s="182">
        <v>13.862531914673191</v>
      </c>
      <c r="DA22" s="191" t="s">
        <v>923</v>
      </c>
    </row>
    <row r="23" spans="1:105" ht="12" customHeight="1" x14ac:dyDescent="0.25">
      <c r="A23" s="132" t="s">
        <v>180</v>
      </c>
      <c r="B23" s="182">
        <v>48.602551326671588</v>
      </c>
      <c r="C23" s="182">
        <v>55.049834802043932</v>
      </c>
      <c r="D23" s="182">
        <v>62.562107998760915</v>
      </c>
      <c r="E23" s="182">
        <v>69.420834892269966</v>
      </c>
      <c r="F23" s="182">
        <v>77.874737338898129</v>
      </c>
      <c r="G23" s="182">
        <v>85.630214793038562</v>
      </c>
      <c r="H23" s="182">
        <v>93.256189176662815</v>
      </c>
      <c r="I23" s="182">
        <v>99.610752062924291</v>
      </c>
      <c r="J23" s="182">
        <v>104.82990611341766</v>
      </c>
      <c r="K23" s="182">
        <v>108.33431607775343</v>
      </c>
      <c r="L23" s="182">
        <v>111.73285814178477</v>
      </c>
      <c r="M23" s="182">
        <v>114.2155767865796</v>
      </c>
      <c r="N23" s="182">
        <v>117.37693385811259</v>
      </c>
      <c r="O23" s="182">
        <v>120.74631724091314</v>
      </c>
      <c r="P23" s="182">
        <v>125.25045004637391</v>
      </c>
      <c r="Q23" s="182">
        <v>129.76463637309399</v>
      </c>
      <c r="R23" s="182">
        <v>131.59764125438824</v>
      </c>
      <c r="S23" s="182">
        <v>133.37762978768944</v>
      </c>
      <c r="T23" s="182">
        <v>135.38794452334062</v>
      </c>
      <c r="U23" s="182">
        <v>137.35866512192374</v>
      </c>
      <c r="V23" s="182">
        <v>139.17115426549111</v>
      </c>
      <c r="W23" s="182">
        <v>140.71184670550298</v>
      </c>
      <c r="DA23" s="191" t="s">
        <v>924</v>
      </c>
    </row>
    <row r="24" spans="1:105" ht="12" customHeight="1" x14ac:dyDescent="0.25">
      <c r="A24" s="60" t="s">
        <v>166</v>
      </c>
      <c r="B24" s="36">
        <v>1.9053634940194211</v>
      </c>
      <c r="C24" s="36">
        <v>2.2636437596458032</v>
      </c>
      <c r="D24" s="36">
        <v>2.6780705058283352</v>
      </c>
      <c r="E24" s="36">
        <v>3.2714212745835898</v>
      </c>
      <c r="F24" s="36">
        <v>3.8687280730084099</v>
      </c>
      <c r="G24" s="36">
        <v>4.5601983333762144</v>
      </c>
      <c r="H24" s="36">
        <v>5.2631441095899074</v>
      </c>
      <c r="I24" s="36">
        <v>5.9214261676624957</v>
      </c>
      <c r="J24" s="36">
        <v>6.2701127992409367</v>
      </c>
      <c r="K24" s="36">
        <v>6.5195172998463651</v>
      </c>
      <c r="L24" s="36">
        <v>6.6931819446999281</v>
      </c>
      <c r="M24" s="36">
        <v>6.8752266804879909</v>
      </c>
      <c r="N24" s="36">
        <v>6.9043453268760926</v>
      </c>
      <c r="O24" s="36">
        <v>6.9579098195658009</v>
      </c>
      <c r="P24" s="36">
        <v>7.2509515885250577</v>
      </c>
      <c r="Q24" s="36">
        <v>7.5696890491921076</v>
      </c>
      <c r="R24" s="36">
        <v>7.8770649174240734</v>
      </c>
      <c r="S24" s="36">
        <v>8.1814010177105541</v>
      </c>
      <c r="T24" s="36">
        <v>8.5060090682010543</v>
      </c>
      <c r="U24" s="36">
        <v>8.8299868996237603</v>
      </c>
      <c r="V24" s="36">
        <v>9.1468172058550472</v>
      </c>
      <c r="W24" s="36">
        <v>9.4474589465658525</v>
      </c>
      <c r="DA24" s="89" t="s">
        <v>925</v>
      </c>
    </row>
    <row r="25" spans="1:105" ht="12" customHeight="1" x14ac:dyDescent="0.25">
      <c r="A25" s="62" t="s">
        <v>164</v>
      </c>
      <c r="B25" s="38">
        <v>326.9612296717454</v>
      </c>
      <c r="C25" s="38">
        <v>372.63330405069019</v>
      </c>
      <c r="D25" s="38">
        <v>428.88044090501847</v>
      </c>
      <c r="E25" s="38">
        <v>497.47358069864714</v>
      </c>
      <c r="F25" s="38">
        <v>570.41355551042795</v>
      </c>
      <c r="G25" s="38">
        <v>657.21521983278035</v>
      </c>
      <c r="H25" s="38">
        <v>715.8285961352791</v>
      </c>
      <c r="I25" s="38">
        <v>785.84400241087462</v>
      </c>
      <c r="J25" s="38">
        <v>855.79481214803354</v>
      </c>
      <c r="K25" s="38">
        <v>909.92349678356277</v>
      </c>
      <c r="L25" s="38">
        <v>979.53230818225995</v>
      </c>
      <c r="M25" s="38">
        <v>1065.6734522223876</v>
      </c>
      <c r="N25" s="38">
        <v>1147.0969580721987</v>
      </c>
      <c r="O25" s="38">
        <v>1254.0461991638842</v>
      </c>
      <c r="P25" s="38">
        <v>1334.7209027624117</v>
      </c>
      <c r="Q25" s="38">
        <v>1455.1675528429462</v>
      </c>
      <c r="R25" s="38">
        <v>1538.5656165989365</v>
      </c>
      <c r="S25" s="38">
        <v>1608.2989922129182</v>
      </c>
      <c r="T25" s="38">
        <v>1739.4748986620752</v>
      </c>
      <c r="U25" s="38">
        <v>1787.0270052807252</v>
      </c>
      <c r="V25" s="38">
        <v>1794.1307090035932</v>
      </c>
      <c r="W25" s="38">
        <v>1867.7701277306958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1.3100362157748524</v>
      </c>
      <c r="D28" s="183">
        <v>1.4633706466482046</v>
      </c>
      <c r="E28" s="183">
        <v>1.6184692130663834</v>
      </c>
      <c r="F28" s="183">
        <v>1.4736919610491164</v>
      </c>
      <c r="G28" s="183">
        <v>1.3487773137584469</v>
      </c>
      <c r="H28" s="183">
        <v>1.5699218339694117</v>
      </c>
      <c r="I28" s="183">
        <v>1.6653808734873348</v>
      </c>
      <c r="J28" s="183">
        <v>1.1610651310602069</v>
      </c>
      <c r="K28" s="183">
        <v>1.0878770796919746</v>
      </c>
      <c r="L28" s="183">
        <v>0.87312049803440317</v>
      </c>
      <c r="M28" s="183">
        <v>1.1453391214760487</v>
      </c>
      <c r="N28" s="183">
        <v>0.74670873692660322</v>
      </c>
      <c r="O28" s="183">
        <v>0.91533512148908258</v>
      </c>
      <c r="P28" s="183">
        <v>1.7061576096993214</v>
      </c>
      <c r="Q28" s="183">
        <v>1.910882891170754</v>
      </c>
      <c r="R28" s="183">
        <v>1.1700181170131252</v>
      </c>
      <c r="S28" s="183">
        <v>1.1703238884065321</v>
      </c>
      <c r="T28" s="183">
        <v>1.246497960563353</v>
      </c>
      <c r="U28" s="183">
        <v>2.0070414363288833</v>
      </c>
      <c r="V28" s="183">
        <v>2.1627658878821023</v>
      </c>
      <c r="W28" s="183">
        <v>2.3046173029271948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55.962987485084341</v>
      </c>
      <c r="D29" s="183">
        <v>62.243349345214767</v>
      </c>
      <c r="E29" s="183">
        <v>72.425141405864053</v>
      </c>
      <c r="F29" s="183">
        <v>78.082236864555398</v>
      </c>
      <c r="G29" s="183">
        <v>81.46632533533375</v>
      </c>
      <c r="H29" s="183">
        <v>78.369714337304742</v>
      </c>
      <c r="I29" s="183">
        <v>81.726146025236403</v>
      </c>
      <c r="J29" s="183">
        <v>77.786070230431619</v>
      </c>
      <c r="K29" s="183">
        <v>83.822234762307005</v>
      </c>
      <c r="L29" s="183">
        <v>92.944217741042451</v>
      </c>
      <c r="M29" s="183">
        <v>95.845349158265549</v>
      </c>
      <c r="N29" s="183">
        <v>105.8784934337973</v>
      </c>
      <c r="O29" s="183">
        <v>106.85866152721678</v>
      </c>
      <c r="P29" s="183">
        <v>118.5486439968962</v>
      </c>
      <c r="Q29" s="183">
        <v>121.11380386347412</v>
      </c>
      <c r="R29" s="183">
        <v>103.57212626763214</v>
      </c>
      <c r="S29" s="183">
        <v>112.34788648190658</v>
      </c>
      <c r="T29" s="183">
        <v>115.97686354309496</v>
      </c>
      <c r="U29" s="183">
        <v>124.8954441664348</v>
      </c>
      <c r="V29" s="183">
        <v>123.4750302718378</v>
      </c>
      <c r="W29" s="183">
        <v>131.28530980798348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1.0581195066806748</v>
      </c>
      <c r="D30" s="183">
        <v>1.1009860403274789</v>
      </c>
      <c r="E30" s="183">
        <v>1.2095713893933455</v>
      </c>
      <c r="F30" s="183">
        <v>1.201898155200336</v>
      </c>
      <c r="G30" s="183">
        <v>1.2349195586761414</v>
      </c>
      <c r="H30" s="183">
        <v>1.3701095951708195</v>
      </c>
      <c r="I30" s="183">
        <v>1.574573996642167</v>
      </c>
      <c r="J30" s="183">
        <v>1.4322927928071598</v>
      </c>
      <c r="K30" s="183">
        <v>1.5250507388653558</v>
      </c>
      <c r="L30" s="183">
        <v>1.5307651309294474</v>
      </c>
      <c r="M30" s="183">
        <v>1.6973482429843489</v>
      </c>
      <c r="N30" s="183">
        <v>1.6655828455954795</v>
      </c>
      <c r="O30" s="183">
        <v>1.9823925155797397</v>
      </c>
      <c r="P30" s="183">
        <v>2.1922144635825447</v>
      </c>
      <c r="Q30" s="183">
        <v>2.4467454262580102</v>
      </c>
      <c r="R30" s="183">
        <v>1.9508451752863643</v>
      </c>
      <c r="S30" s="183">
        <v>2.115296120284885</v>
      </c>
      <c r="T30" s="183">
        <v>2.1039230016088695</v>
      </c>
      <c r="U30" s="183">
        <v>2.4012157954879054</v>
      </c>
      <c r="V30" s="183">
        <v>2.5661482252895542</v>
      </c>
      <c r="W30" s="183">
        <v>2.725103596715611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10.864434123559782</v>
      </c>
      <c r="D31" s="183">
        <v>12.022467524186524</v>
      </c>
      <c r="E31" s="183">
        <v>11.463924789552209</v>
      </c>
      <c r="F31" s="183">
        <v>13.156105084007436</v>
      </c>
      <c r="G31" s="183">
        <v>12.556728158691996</v>
      </c>
      <c r="H31" s="183">
        <v>12.528359522178107</v>
      </c>
      <c r="I31" s="183">
        <v>11.360212773264905</v>
      </c>
      <c r="J31" s="183">
        <v>10.330243873731703</v>
      </c>
      <c r="K31" s="183">
        <v>8.7231607301526708</v>
      </c>
      <c r="L31" s="183">
        <v>8.7272215624594338</v>
      </c>
      <c r="M31" s="183">
        <v>13.347152768354604</v>
      </c>
      <c r="N31" s="183">
        <v>15.183824595719514</v>
      </c>
      <c r="O31" s="183">
        <v>14.833308172352758</v>
      </c>
      <c r="P31" s="183">
        <v>17.660237889468206</v>
      </c>
      <c r="Q31" s="183">
        <v>17.070914485412075</v>
      </c>
      <c r="R31" s="183">
        <v>14.361364403472351</v>
      </c>
      <c r="S31" s="183">
        <v>13.140201306566112</v>
      </c>
      <c r="T31" s="183">
        <v>12.340558609382882</v>
      </c>
      <c r="U31" s="183">
        <v>10.693881328735785</v>
      </c>
      <c r="V31" s="183">
        <v>10.539710706026824</v>
      </c>
      <c r="W31" s="183">
        <v>14.887845208366471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0.4125496947365086</v>
      </c>
      <c r="D32" s="41">
        <v>0.4748031942573343</v>
      </c>
      <c r="E32" s="41">
        <v>0.66052146765337749</v>
      </c>
      <c r="F32" s="41">
        <v>0.67203631522038165</v>
      </c>
      <c r="G32" s="41">
        <v>0.77460919999634736</v>
      </c>
      <c r="H32" s="41">
        <v>0.79544046343973296</v>
      </c>
      <c r="I32" s="41">
        <v>0.76118530898325698</v>
      </c>
      <c r="J32" s="41">
        <v>0.46316973720921428</v>
      </c>
      <c r="K32" s="41">
        <v>0.37677055910094293</v>
      </c>
      <c r="L32" s="41">
        <v>0.31536339391616952</v>
      </c>
      <c r="M32" s="41">
        <v>0.33968905424370988</v>
      </c>
      <c r="N32" s="41">
        <v>0.20450291269778731</v>
      </c>
      <c r="O32" s="41">
        <v>0.24868500937132243</v>
      </c>
      <c r="P32" s="41">
        <v>0.51011948539976171</v>
      </c>
      <c r="Q32" s="41">
        <v>0.56024325296625932</v>
      </c>
      <c r="R32" s="41">
        <v>0.71992556296847443</v>
      </c>
      <c r="S32" s="41">
        <v>0.77913929454381492</v>
      </c>
      <c r="T32" s="41">
        <v>0.98512951814387772</v>
      </c>
      <c r="U32" s="41">
        <v>0.99601414664308763</v>
      </c>
      <c r="V32" s="41">
        <v>1.0914395062276334</v>
      </c>
      <c r="W32" s="41">
        <v>1.0960822041505374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111.06432031329388</v>
      </c>
      <c r="D33" s="42">
        <v>121.63938278867738</v>
      </c>
      <c r="E33" s="42">
        <v>133.98538572797776</v>
      </c>
      <c r="F33" s="42">
        <v>138.33222074612991</v>
      </c>
      <c r="G33" s="42">
        <v>152.19391025670149</v>
      </c>
      <c r="H33" s="42">
        <v>169.67769661579257</v>
      </c>
      <c r="I33" s="42">
        <v>191.6547890642729</v>
      </c>
      <c r="J33" s="42">
        <v>203.93619546513673</v>
      </c>
      <c r="K33" s="42">
        <v>192.46090538165913</v>
      </c>
      <c r="L33" s="42">
        <v>221.80272165539861</v>
      </c>
      <c r="M33" s="42">
        <v>255.81884065592021</v>
      </c>
      <c r="N33" s="42">
        <v>273.07829491408404</v>
      </c>
      <c r="O33" s="42">
        <v>310.88543655682224</v>
      </c>
      <c r="P33" s="42">
        <v>273.13560898018659</v>
      </c>
      <c r="Q33" s="42">
        <v>342.24937173593321</v>
      </c>
      <c r="R33" s="42">
        <v>339.21690441191049</v>
      </c>
      <c r="S33" s="42">
        <v>342.81167052806586</v>
      </c>
      <c r="T33" s="42">
        <v>442.06134300597932</v>
      </c>
      <c r="U33" s="42">
        <v>320.68771559883658</v>
      </c>
      <c r="V33" s="42">
        <v>349.35307545880119</v>
      </c>
      <c r="W33" s="42">
        <v>412.85632313901306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0.34717475864681901</v>
      </c>
      <c r="D36" s="183">
        <v>0.35699480302037045</v>
      </c>
      <c r="E36" s="183">
        <v>0.36709261318505959</v>
      </c>
      <c r="F36" s="183">
        <v>0.37747604591136508</v>
      </c>
      <c r="G36" s="183">
        <v>0.38815318020318479</v>
      </c>
      <c r="H36" s="183">
        <v>0.39913232358384754</v>
      </c>
      <c r="I36" s="183">
        <v>0.41042201855991678</v>
      </c>
      <c r="J36" s="183">
        <v>0.42203104926782231</v>
      </c>
      <c r="K36" s="183">
        <v>0.43396844830852288</v>
      </c>
      <c r="L36" s="183">
        <v>0.44624350377546307</v>
      </c>
      <c r="M36" s="183">
        <v>0.45886576648132404</v>
      </c>
      <c r="N36" s="183">
        <v>0.47184505738920635</v>
      </c>
      <c r="O36" s="183">
        <v>0.48519147525398054</v>
      </c>
      <c r="P36" s="183">
        <v>0.49891540447980987</v>
      </c>
      <c r="Q36" s="183">
        <v>0.51302752319989153</v>
      </c>
      <c r="R36" s="183">
        <v>0.52753881158477611</v>
      </c>
      <c r="S36" s="183">
        <v>0.54246056038565271</v>
      </c>
      <c r="T36" s="183">
        <v>0.55780437971932884</v>
      </c>
      <c r="U36" s="183">
        <v>1.3100362157748506</v>
      </c>
      <c r="V36" s="183">
        <v>1.4633706466482046</v>
      </c>
      <c r="W36" s="183">
        <v>1.6184692130663834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45.206145595946964</v>
      </c>
      <c r="D37" s="183">
        <v>47.152038776676875</v>
      </c>
      <c r="E37" s="183">
        <v>49.181692698803715</v>
      </c>
      <c r="F37" s="183">
        <v>51.298712833516049</v>
      </c>
      <c r="G37" s="183">
        <v>53.50685984908273</v>
      </c>
      <c r="H37" s="183">
        <v>55.810056291292426</v>
      </c>
      <c r="I37" s="183">
        <v>58.212393551452919</v>
      </c>
      <c r="J37" s="183">
        <v>55.962987485084341</v>
      </c>
      <c r="K37" s="183">
        <v>62.24334934521471</v>
      </c>
      <c r="L37" s="183">
        <v>72.425141405863997</v>
      </c>
      <c r="M37" s="183">
        <v>78.082236864555398</v>
      </c>
      <c r="N37" s="183">
        <v>81.46632533533375</v>
      </c>
      <c r="O37" s="183">
        <v>78.369714337304799</v>
      </c>
      <c r="P37" s="183">
        <v>81.726146025236403</v>
      </c>
      <c r="Q37" s="183">
        <v>77.786070230431619</v>
      </c>
      <c r="R37" s="183">
        <v>83.822234762306948</v>
      </c>
      <c r="S37" s="183">
        <v>92.944217741042507</v>
      </c>
      <c r="T37" s="183">
        <v>95.845349158265549</v>
      </c>
      <c r="U37" s="183">
        <v>105.8784934337973</v>
      </c>
      <c r="V37" s="183">
        <v>106.85866152721678</v>
      </c>
      <c r="W37" s="183">
        <v>118.5486439968962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0.79352561569871671</v>
      </c>
      <c r="D38" s="183">
        <v>0.81414010353192623</v>
      </c>
      <c r="E38" s="183">
        <v>0.83529012178812234</v>
      </c>
      <c r="F38" s="183">
        <v>0.85698958266518588</v>
      </c>
      <c r="G38" s="183">
        <v>0.87925275977697126</v>
      </c>
      <c r="H38" s="183">
        <v>0.90209429754230008</v>
      </c>
      <c r="I38" s="183">
        <v>1.0581195066806748</v>
      </c>
      <c r="J38" s="183">
        <v>1.1009860403274789</v>
      </c>
      <c r="K38" s="183">
        <v>1.2095713893933446</v>
      </c>
      <c r="L38" s="183">
        <v>1.201898155200336</v>
      </c>
      <c r="M38" s="183">
        <v>1.2349195586761414</v>
      </c>
      <c r="N38" s="183">
        <v>1.3701095951708204</v>
      </c>
      <c r="O38" s="183">
        <v>1.574573996642167</v>
      </c>
      <c r="P38" s="183">
        <v>1.4322927928071589</v>
      </c>
      <c r="Q38" s="183">
        <v>1.5250507388653567</v>
      </c>
      <c r="R38" s="183">
        <v>1.5307651309294474</v>
      </c>
      <c r="S38" s="183">
        <v>1.6973482429843489</v>
      </c>
      <c r="T38" s="183">
        <v>1.6655828455954786</v>
      </c>
      <c r="U38" s="183">
        <v>1.9823925155797397</v>
      </c>
      <c r="V38" s="183">
        <v>2.1922144635825447</v>
      </c>
      <c r="W38" s="183">
        <v>2.4467454262580119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4.4171506481874374</v>
      </c>
      <c r="D39" s="183">
        <v>4.5101943274695415</v>
      </c>
      <c r="E39" s="183">
        <v>4.6051978960431654</v>
      </c>
      <c r="F39" s="183">
        <v>4.7022026373792727</v>
      </c>
      <c r="G39" s="183">
        <v>4.8012507045515633</v>
      </c>
      <c r="H39" s="183">
        <v>4.9023851385538535</v>
      </c>
      <c r="I39" s="183">
        <v>5.0056498870034289</v>
      </c>
      <c r="J39" s="183">
        <v>5.1110898232383306</v>
      </c>
      <c r="K39" s="183">
        <v>5.2187507658169068</v>
      </c>
      <c r="L39" s="183">
        <v>5.3286794984280874</v>
      </c>
      <c r="M39" s="183">
        <v>10.864434123559775</v>
      </c>
      <c r="N39" s="183">
        <v>12.022467524186524</v>
      </c>
      <c r="O39" s="183">
        <v>11.463924789552195</v>
      </c>
      <c r="P39" s="183">
        <v>13.156105084007436</v>
      </c>
      <c r="Q39" s="183">
        <v>12.55672815869201</v>
      </c>
      <c r="R39" s="183">
        <v>12.528359522178107</v>
      </c>
      <c r="S39" s="183">
        <v>11.360212773264891</v>
      </c>
      <c r="T39" s="183">
        <v>10.330243873731689</v>
      </c>
      <c r="U39" s="183">
        <v>8.7231607301526708</v>
      </c>
      <c r="V39" s="183">
        <v>8.727221562459448</v>
      </c>
      <c r="W39" s="183">
        <v>13.34715276835459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5.4269429110126666E-2</v>
      </c>
      <c r="D40" s="41">
        <v>6.0376448074802358E-2</v>
      </c>
      <c r="E40" s="41">
        <v>6.7170698898122883E-2</v>
      </c>
      <c r="F40" s="41">
        <v>7.4729516795561501E-2</v>
      </c>
      <c r="G40" s="41">
        <v>8.3138939628542907E-2</v>
      </c>
      <c r="H40" s="41">
        <v>9.2494687226039929E-2</v>
      </c>
      <c r="I40" s="41">
        <v>0.10290325091066865</v>
      </c>
      <c r="J40" s="41">
        <v>0.11448310563077335</v>
      </c>
      <c r="K40" s="41">
        <v>0.12736605849551452</v>
      </c>
      <c r="L40" s="41">
        <v>0.14169874906260649</v>
      </c>
      <c r="M40" s="41">
        <v>0.15764431845564708</v>
      </c>
      <c r="N40" s="41">
        <v>0.17538426630968562</v>
      </c>
      <c r="O40" s="41">
        <v>0.19512051668161412</v>
      </c>
      <c r="P40" s="41">
        <v>0.21707771644050489</v>
      </c>
      <c r="Q40" s="41">
        <v>0.24150579229920943</v>
      </c>
      <c r="R40" s="41">
        <v>0.4125496947365086</v>
      </c>
      <c r="S40" s="41">
        <v>0.47480319425733519</v>
      </c>
      <c r="T40" s="41">
        <v>0.6605214676533766</v>
      </c>
      <c r="U40" s="41">
        <v>0.67203631522038165</v>
      </c>
      <c r="V40" s="41">
        <v>0.77460919999634648</v>
      </c>
      <c r="W40" s="41">
        <v>0.79544046343973207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65.392245934349091</v>
      </c>
      <c r="D41" s="42">
        <v>65.392245934349091</v>
      </c>
      <c r="E41" s="42">
        <v>65.392245934349091</v>
      </c>
      <c r="F41" s="42">
        <v>65.392245934349035</v>
      </c>
      <c r="G41" s="42">
        <v>65.392245934349148</v>
      </c>
      <c r="H41" s="42">
        <v>111.06432031329382</v>
      </c>
      <c r="I41" s="42">
        <v>121.63938278867738</v>
      </c>
      <c r="J41" s="42">
        <v>133.98538572797781</v>
      </c>
      <c r="K41" s="42">
        <v>138.33222074612991</v>
      </c>
      <c r="L41" s="42">
        <v>152.19391025670154</v>
      </c>
      <c r="M41" s="42">
        <v>169.67769661579246</v>
      </c>
      <c r="N41" s="42">
        <v>191.65478906427302</v>
      </c>
      <c r="O41" s="42">
        <v>203.93619546513673</v>
      </c>
      <c r="P41" s="42">
        <v>192.46090538165913</v>
      </c>
      <c r="Q41" s="42">
        <v>221.80272165539873</v>
      </c>
      <c r="R41" s="42">
        <v>255.81884065592021</v>
      </c>
      <c r="S41" s="42">
        <v>273.07829491408415</v>
      </c>
      <c r="T41" s="42">
        <v>310.88543655682224</v>
      </c>
      <c r="U41" s="42">
        <v>273.13560898018682</v>
      </c>
      <c r="V41" s="42">
        <v>342.24937173593321</v>
      </c>
      <c r="W41" s="42">
        <v>339.21690441191026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8760.0000000000018</v>
      </c>
      <c r="E44" s="185">
        <v>8759.9999999999982</v>
      </c>
      <c r="F44" s="185">
        <v>8760</v>
      </c>
      <c r="G44" s="185">
        <v>8760.0000000000018</v>
      </c>
      <c r="H44" s="185">
        <v>8760</v>
      </c>
      <c r="I44" s="185">
        <v>8760.0000000000018</v>
      </c>
      <c r="J44" s="185">
        <v>8760.0000000000018</v>
      </c>
      <c r="K44" s="185">
        <v>8759.9999999999964</v>
      </c>
      <c r="L44" s="185">
        <v>8760.0000000000018</v>
      </c>
      <c r="M44" s="185">
        <v>8760</v>
      </c>
      <c r="N44" s="185">
        <v>8759.9999999999982</v>
      </c>
      <c r="O44" s="185">
        <v>8759.9999999999982</v>
      </c>
      <c r="P44" s="185">
        <v>8759.9999999999982</v>
      </c>
      <c r="Q44" s="185">
        <v>8759.9999999999945</v>
      </c>
      <c r="R44" s="185">
        <v>8759.9999999999982</v>
      </c>
      <c r="S44" s="185">
        <v>8759.9999999999964</v>
      </c>
      <c r="T44" s="185">
        <v>8759.9999999999982</v>
      </c>
      <c r="U44" s="185">
        <v>8759.9999999999964</v>
      </c>
      <c r="V44" s="185">
        <v>8759.9999999999964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3729.2373139332112</v>
      </c>
      <c r="C45" s="185">
        <v>3755.5338116166522</v>
      </c>
      <c r="D45" s="185">
        <v>3770.6199920124009</v>
      </c>
      <c r="E45" s="185">
        <v>3788.0478663640556</v>
      </c>
      <c r="F45" s="185">
        <v>3800.3874333015137</v>
      </c>
      <c r="G45" s="185">
        <v>3802.8377931909226</v>
      </c>
      <c r="H45" s="185">
        <v>3808.0836611347318</v>
      </c>
      <c r="I45" s="185">
        <v>3809.9331990474602</v>
      </c>
      <c r="J45" s="185">
        <v>3810.693336118668</v>
      </c>
      <c r="K45" s="185">
        <v>3811.3930090313479</v>
      </c>
      <c r="L45" s="185">
        <v>3811.5068188963487</v>
      </c>
      <c r="M45" s="185">
        <v>3807.8687293372345</v>
      </c>
      <c r="N45" s="185">
        <v>3797.1510551740121</v>
      </c>
      <c r="O45" s="185">
        <v>3790.9499495204309</v>
      </c>
      <c r="P45" s="185">
        <v>3777.2234686334314</v>
      </c>
      <c r="Q45" s="185">
        <v>3764.1285649487145</v>
      </c>
      <c r="R45" s="185">
        <v>3745.0469475569648</v>
      </c>
      <c r="S45" s="185">
        <v>3738.2540938281654</v>
      </c>
      <c r="T45" s="185">
        <v>3706.1557977705447</v>
      </c>
      <c r="U45" s="185">
        <v>3720.735997793478</v>
      </c>
      <c r="V45" s="185">
        <v>3736.413616543703</v>
      </c>
      <c r="W45" s="185">
        <v>3735.8649909937176</v>
      </c>
      <c r="DA45" s="194" t="s">
        <v>940</v>
      </c>
    </row>
    <row r="46" spans="1:105" ht="12" customHeight="1" x14ac:dyDescent="0.25">
      <c r="A46" s="132" t="s">
        <v>5</v>
      </c>
      <c r="B46" s="185">
        <v>2232.2216633472431</v>
      </c>
      <c r="C46" s="185">
        <v>2246.3919939667703</v>
      </c>
      <c r="D46" s="185">
        <v>2261.6271927096718</v>
      </c>
      <c r="E46" s="185">
        <v>2277.4162628761928</v>
      </c>
      <c r="F46" s="185">
        <v>2291.072120639988</v>
      </c>
      <c r="G46" s="185">
        <v>2301.9095270609905</v>
      </c>
      <c r="H46" s="185">
        <v>2313.1453997978583</v>
      </c>
      <c r="I46" s="185">
        <v>2320.8315011899977</v>
      </c>
      <c r="J46" s="185">
        <v>2330.4227965214404</v>
      </c>
      <c r="K46" s="185">
        <v>2333.9595035741077</v>
      </c>
      <c r="L46" s="185">
        <v>2336.6578666819223</v>
      </c>
      <c r="M46" s="185">
        <v>2344.4868261735078</v>
      </c>
      <c r="N46" s="185">
        <v>2353.577761498731</v>
      </c>
      <c r="O46" s="185">
        <v>2360.4332463763481</v>
      </c>
      <c r="P46" s="185">
        <v>2369.6945579944622</v>
      </c>
      <c r="Q46" s="185">
        <v>2378.3688598026247</v>
      </c>
      <c r="R46" s="185">
        <v>2346.9348443732702</v>
      </c>
      <c r="S46" s="185">
        <v>2320.2777040536907</v>
      </c>
      <c r="T46" s="185">
        <v>2312.4922462693644</v>
      </c>
      <c r="U46" s="185">
        <v>2357.9668548548761</v>
      </c>
      <c r="V46" s="185">
        <v>2053.0310856944211</v>
      </c>
      <c r="W46" s="185">
        <v>2264.9476164715229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8760.0000000000018</v>
      </c>
      <c r="E47" s="185">
        <v>8760</v>
      </c>
      <c r="F47" s="185">
        <v>8760.0000000000036</v>
      </c>
      <c r="G47" s="185">
        <v>8760</v>
      </c>
      <c r="H47" s="185">
        <v>8759.9999999999982</v>
      </c>
      <c r="I47" s="185">
        <v>8759.9999999999964</v>
      </c>
      <c r="J47" s="185">
        <v>8760.0000000000036</v>
      </c>
      <c r="K47" s="185">
        <v>8760.0000000000018</v>
      </c>
      <c r="L47" s="185">
        <v>8759.9999999999982</v>
      </c>
      <c r="M47" s="185">
        <v>8760.0000000000018</v>
      </c>
      <c r="N47" s="185">
        <v>8760.0000000000018</v>
      </c>
      <c r="O47" s="185">
        <v>8759.9999999999982</v>
      </c>
      <c r="P47" s="185">
        <v>8759.9999999999982</v>
      </c>
      <c r="Q47" s="185">
        <v>8759.9999999999964</v>
      </c>
      <c r="R47" s="185">
        <v>8759.9999999999982</v>
      </c>
      <c r="S47" s="185">
        <v>8759.9999999999964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920.80734003112696</v>
      </c>
      <c r="C48" s="44">
        <v>925.20592811948893</v>
      </c>
      <c r="D48" s="44">
        <v>929.239868815406</v>
      </c>
      <c r="E48" s="44">
        <v>932.96626437023474</v>
      </c>
      <c r="F48" s="44">
        <v>936.42968898890172</v>
      </c>
      <c r="G48" s="44">
        <v>939.66561583650787</v>
      </c>
      <c r="H48" s="44">
        <v>942.70274495707133</v>
      </c>
      <c r="I48" s="44">
        <v>945.56463015334441</v>
      </c>
      <c r="J48" s="44">
        <v>948.27084410594296</v>
      </c>
      <c r="K48" s="44">
        <v>950.83783076612872</v>
      </c>
      <c r="L48" s="44">
        <v>953.27954074990635</v>
      </c>
      <c r="M48" s="44">
        <v>954.83115764504271</v>
      </c>
      <c r="N48" s="44">
        <v>956.31293156329832</v>
      </c>
      <c r="O48" s="44">
        <v>957.73097505864314</v>
      </c>
      <c r="P48" s="44">
        <v>959.09062796951673</v>
      </c>
      <c r="Q48" s="44">
        <v>960.39658270794177</v>
      </c>
      <c r="R48" s="44">
        <v>965.06055657943534</v>
      </c>
      <c r="S48" s="44">
        <v>953.72382374865879</v>
      </c>
      <c r="T48" s="44">
        <v>936.12401338005407</v>
      </c>
      <c r="U48" s="44">
        <v>932.77858708270094</v>
      </c>
      <c r="V48" s="44">
        <v>812.15027743414475</v>
      </c>
      <c r="W48" s="44">
        <v>895.98148216492484</v>
      </c>
      <c r="DA48" s="95" t="s">
        <v>943</v>
      </c>
    </row>
    <row r="49" spans="1:105" ht="12" customHeight="1" x14ac:dyDescent="0.25">
      <c r="A49" s="62" t="s">
        <v>3</v>
      </c>
      <c r="B49" s="186">
        <v>1616.5031049943182</v>
      </c>
      <c r="C49" s="186">
        <v>1638.5681934465042</v>
      </c>
      <c r="D49" s="186">
        <v>1669.4549551480482</v>
      </c>
      <c r="E49" s="186">
        <v>1697.924483551679</v>
      </c>
      <c r="F49" s="186">
        <v>1726.8237771457884</v>
      </c>
      <c r="G49" s="186">
        <v>1753.8432046878524</v>
      </c>
      <c r="H49" s="186">
        <v>1781.9161234076664</v>
      </c>
      <c r="I49" s="186">
        <v>1804.0049742879908</v>
      </c>
      <c r="J49" s="186">
        <v>1824.7187518361593</v>
      </c>
      <c r="K49" s="186">
        <v>1838.4669257093735</v>
      </c>
      <c r="L49" s="186">
        <v>1862.6179493295588</v>
      </c>
      <c r="M49" s="186">
        <v>1885.6398486985272</v>
      </c>
      <c r="N49" s="186">
        <v>1906.0528797061818</v>
      </c>
      <c r="O49" s="186">
        <v>1925.1017506484061</v>
      </c>
      <c r="P49" s="186">
        <v>1943.1630859410236</v>
      </c>
      <c r="Q49" s="186">
        <v>1957.1522471476569</v>
      </c>
      <c r="R49" s="186">
        <v>1962.6187127770843</v>
      </c>
      <c r="S49" s="186">
        <v>1988.6308424082872</v>
      </c>
      <c r="T49" s="186">
        <v>1989.6505174320182</v>
      </c>
      <c r="U49" s="186">
        <v>2017.8720678341999</v>
      </c>
      <c r="V49" s="186">
        <v>1861.2995435498524</v>
      </c>
      <c r="W49" s="186">
        <v>1970.1103473879984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0.74799972797580361</v>
      </c>
      <c r="C52" s="181">
        <v>0.7358399476596017</v>
      </c>
      <c r="D52" s="181">
        <v>0.72336778854358053</v>
      </c>
      <c r="E52" s="181">
        <v>0.71028820196232045</v>
      </c>
      <c r="F52" s="181">
        <v>0.69880840734407579</v>
      </c>
      <c r="G52" s="181">
        <v>0.68850294588299699</v>
      </c>
      <c r="H52" s="181">
        <v>0.67718436198949761</v>
      </c>
      <c r="I52" s="181">
        <v>0.66577717460515273</v>
      </c>
      <c r="J52" s="181">
        <v>0.65736400942798268</v>
      </c>
      <c r="K52" s="181">
        <v>0.64936861649789202</v>
      </c>
      <c r="L52" s="181">
        <v>0.64219790559223766</v>
      </c>
      <c r="M52" s="181">
        <v>0.63340652360538996</v>
      </c>
      <c r="N52" s="181">
        <v>0.62644927966782638</v>
      </c>
      <c r="O52" s="181">
        <v>0.61823178893322328</v>
      </c>
      <c r="P52" s="181">
        <v>0.60564007206238135</v>
      </c>
      <c r="Q52" s="181">
        <v>0.59238319351893232</v>
      </c>
      <c r="R52" s="181">
        <v>0.58335299111858585</v>
      </c>
      <c r="S52" s="181">
        <v>0.57448552694546173</v>
      </c>
      <c r="T52" s="181">
        <v>0.56547818848868658</v>
      </c>
      <c r="U52" s="181">
        <v>0.55283690049954737</v>
      </c>
      <c r="V52" s="181">
        <v>0.54007227600199759</v>
      </c>
      <c r="W52" s="181">
        <v>0.52781462722065176</v>
      </c>
      <c r="DA52" s="190" t="s">
        <v>945</v>
      </c>
    </row>
    <row r="53" spans="1:105" ht="12" customHeight="1" x14ac:dyDescent="0.25">
      <c r="A53" s="132" t="s">
        <v>100</v>
      </c>
      <c r="B53" s="181">
        <v>202.32898279477695</v>
      </c>
      <c r="C53" s="181">
        <v>199.85743549830968</v>
      </c>
      <c r="D53" s="181">
        <v>196.92247368661478</v>
      </c>
      <c r="E53" s="181">
        <v>193.6343501252293</v>
      </c>
      <c r="F53" s="181">
        <v>189.97391085043495</v>
      </c>
      <c r="G53" s="181">
        <v>185.95052189983696</v>
      </c>
      <c r="H53" s="181">
        <v>181.8410830868051</v>
      </c>
      <c r="I53" s="181">
        <v>177.45986076711498</v>
      </c>
      <c r="J53" s="181">
        <v>174.91723910784853</v>
      </c>
      <c r="K53" s="181">
        <v>172.04484332485868</v>
      </c>
      <c r="L53" s="181">
        <v>168.68003560964868</v>
      </c>
      <c r="M53" s="181">
        <v>165.12408117520638</v>
      </c>
      <c r="N53" s="181">
        <v>161.30719096830319</v>
      </c>
      <c r="O53" s="181">
        <v>157.19194824324137</v>
      </c>
      <c r="P53" s="181">
        <v>152.17490732379022</v>
      </c>
      <c r="Q53" s="181">
        <v>146.51310627614959</v>
      </c>
      <c r="R53" s="181">
        <v>141.07292750134096</v>
      </c>
      <c r="S53" s="181">
        <v>135.01046851630227</v>
      </c>
      <c r="T53" s="181">
        <v>128.73386497639763</v>
      </c>
      <c r="U53" s="181">
        <v>121.93156259893006</v>
      </c>
      <c r="V53" s="181">
        <v>115.40098787962823</v>
      </c>
      <c r="W53" s="181">
        <v>109.33184495021459</v>
      </c>
      <c r="DA53" s="190" t="s">
        <v>946</v>
      </c>
    </row>
    <row r="54" spans="1:105" ht="12" customHeight="1" x14ac:dyDescent="0.25">
      <c r="A54" s="132" t="s">
        <v>140</v>
      </c>
      <c r="B54" s="181">
        <v>50.983558494281674</v>
      </c>
      <c r="C54" s="181">
        <v>50.359053009537504</v>
      </c>
      <c r="D54" s="181">
        <v>49.436720081395229</v>
      </c>
      <c r="E54" s="181">
        <v>48.347055215838566</v>
      </c>
      <c r="F54" s="181">
        <v>47.126974558646083</v>
      </c>
      <c r="G54" s="181">
        <v>45.786965198480999</v>
      </c>
      <c r="H54" s="181">
        <v>44.28175823527495</v>
      </c>
      <c r="I54" s="181">
        <v>42.917515443254906</v>
      </c>
      <c r="J54" s="181">
        <v>41.707001530993985</v>
      </c>
      <c r="K54" s="181">
        <v>40.453965840991543</v>
      </c>
      <c r="L54" s="181">
        <v>39.207304875842532</v>
      </c>
      <c r="M54" s="181">
        <v>37.812477235196681</v>
      </c>
      <c r="N54" s="181">
        <v>36.368214252642701</v>
      </c>
      <c r="O54" s="181">
        <v>34.652303564996892</v>
      </c>
      <c r="P54" s="181">
        <v>32.893638791010723</v>
      </c>
      <c r="Q54" s="181">
        <v>30.908290593360668</v>
      </c>
      <c r="R54" s="181">
        <v>28.994117295605495</v>
      </c>
      <c r="S54" s="181">
        <v>27.045836066955619</v>
      </c>
      <c r="T54" s="181">
        <v>25.085079164458747</v>
      </c>
      <c r="U54" s="181">
        <v>22.875687546091129</v>
      </c>
      <c r="V54" s="181">
        <v>20.666585314534135</v>
      </c>
      <c r="W54" s="181">
        <v>18.545894865576457</v>
      </c>
      <c r="DA54" s="190" t="s">
        <v>947</v>
      </c>
    </row>
    <row r="55" spans="1:105" ht="12" customHeight="1" x14ac:dyDescent="0.25">
      <c r="A55" s="132" t="s">
        <v>181</v>
      </c>
      <c r="B55" s="181">
        <v>715.80719734692366</v>
      </c>
      <c r="C55" s="181">
        <v>702.22106969493416</v>
      </c>
      <c r="D55" s="181">
        <v>687.60808614075961</v>
      </c>
      <c r="E55" s="181">
        <v>674.19898774994908</v>
      </c>
      <c r="F55" s="181">
        <v>660.29136441065771</v>
      </c>
      <c r="G55" s="181">
        <v>647.39482961928752</v>
      </c>
      <c r="H55" s="181">
        <v>634.99691014069936</v>
      </c>
      <c r="I55" s="181">
        <v>623.05881804168712</v>
      </c>
      <c r="J55" s="181">
        <v>611.31133101744888</v>
      </c>
      <c r="K55" s="181">
        <v>599.8010300983035</v>
      </c>
      <c r="L55" s="181">
        <v>587.55172142160916</v>
      </c>
      <c r="M55" s="181">
        <v>571.40011095640216</v>
      </c>
      <c r="N55" s="181">
        <v>554.30076394266575</v>
      </c>
      <c r="O55" s="181">
        <v>538.70807393476468</v>
      </c>
      <c r="P55" s="181">
        <v>521.20673834361844</v>
      </c>
      <c r="Q55" s="181">
        <v>506.33062152162586</v>
      </c>
      <c r="R55" s="181">
        <v>494.00840252420505</v>
      </c>
      <c r="S55" s="181">
        <v>483.67568032549678</v>
      </c>
      <c r="T55" s="181">
        <v>474.95965694581275</v>
      </c>
      <c r="U55" s="181">
        <v>468.34117058444963</v>
      </c>
      <c r="V55" s="181">
        <v>462.4293805140274</v>
      </c>
      <c r="W55" s="181">
        <v>454.45057310246693</v>
      </c>
      <c r="DA55" s="190" t="s">
        <v>948</v>
      </c>
    </row>
    <row r="56" spans="1:105" ht="12" customHeight="1" x14ac:dyDescent="0.25">
      <c r="A56" s="60" t="s">
        <v>99</v>
      </c>
      <c r="B56" s="55">
        <v>52.64311909014485</v>
      </c>
      <c r="C56" s="55">
        <v>52.014055765636535</v>
      </c>
      <c r="D56" s="55">
        <v>51.369172256595952</v>
      </c>
      <c r="E56" s="55">
        <v>50.616614389268719</v>
      </c>
      <c r="F56" s="55">
        <v>49.974911171204148</v>
      </c>
      <c r="G56" s="55">
        <v>49.342791130664651</v>
      </c>
      <c r="H56" s="55">
        <v>48.746912650148509</v>
      </c>
      <c r="I56" s="55">
        <v>48.17193320949422</v>
      </c>
      <c r="J56" s="55">
        <v>47.778712555750573</v>
      </c>
      <c r="K56" s="55">
        <v>47.416043074802992</v>
      </c>
      <c r="L56" s="55">
        <v>47.048674153768438</v>
      </c>
      <c r="M56" s="55">
        <v>46.602929123663351</v>
      </c>
      <c r="N56" s="55">
        <v>46.232878941951732</v>
      </c>
      <c r="O56" s="55">
        <v>45.765047039631462</v>
      </c>
      <c r="P56" s="55">
        <v>44.94827730840634</v>
      </c>
      <c r="Q56" s="55">
        <v>44.028169030637841</v>
      </c>
      <c r="R56" s="55">
        <v>42.968419150986719</v>
      </c>
      <c r="S56" s="55">
        <v>41.878459470891684</v>
      </c>
      <c r="T56" s="55">
        <v>40.549726708894802</v>
      </c>
      <c r="U56" s="55">
        <v>39.292024636832267</v>
      </c>
      <c r="V56" s="55">
        <v>37.97007983980108</v>
      </c>
      <c r="W56" s="55">
        <v>36.751278028052567</v>
      </c>
      <c r="DA56" s="101" t="s">
        <v>949</v>
      </c>
    </row>
    <row r="57" spans="1:105" ht="12" customHeight="1" x14ac:dyDescent="0.25">
      <c r="A57" s="62" t="s">
        <v>98</v>
      </c>
      <c r="B57" s="63">
        <v>390.53808852428426</v>
      </c>
      <c r="C57" s="63">
        <v>379.57314824819827</v>
      </c>
      <c r="D57" s="63">
        <v>366.10849764988313</v>
      </c>
      <c r="E57" s="63">
        <v>351.38818083676335</v>
      </c>
      <c r="F57" s="63">
        <v>336.38716408003171</v>
      </c>
      <c r="G57" s="63">
        <v>321.46432711150834</v>
      </c>
      <c r="H57" s="63">
        <v>306.56712389339299</v>
      </c>
      <c r="I57" s="63">
        <v>291.26511610486915</v>
      </c>
      <c r="J57" s="63">
        <v>276.0592904832456</v>
      </c>
      <c r="K57" s="63">
        <v>261.95400073145731</v>
      </c>
      <c r="L57" s="63">
        <v>246.11430513013212</v>
      </c>
      <c r="M57" s="63">
        <v>231.22867974751892</v>
      </c>
      <c r="N57" s="63">
        <v>218.33127062669439</v>
      </c>
      <c r="O57" s="63">
        <v>208.10950303487218</v>
      </c>
      <c r="P57" s="63">
        <v>201.60881142110978</v>
      </c>
      <c r="Q57" s="63">
        <v>197.26030589984825</v>
      </c>
      <c r="R57" s="63">
        <v>193.59022622783121</v>
      </c>
      <c r="S57" s="63">
        <v>190.20894344767751</v>
      </c>
      <c r="T57" s="63">
        <v>185.90504965992494</v>
      </c>
      <c r="U57" s="63">
        <v>182.50382740759122</v>
      </c>
      <c r="V57" s="63">
        <v>178.08396225585597</v>
      </c>
      <c r="W57" s="63">
        <v>173.65024598145121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0.66476601980159333</v>
      </c>
      <c r="D60" s="181">
        <v>0.6529503171603207</v>
      </c>
      <c r="E60" s="181">
        <v>0.63743258436884587</v>
      </c>
      <c r="F60" s="181">
        <v>0.62318909446144599</v>
      </c>
      <c r="G60" s="181">
        <v>0.61071990703689161</v>
      </c>
      <c r="H60" s="181">
        <v>0.59871024471127965</v>
      </c>
      <c r="I60" s="181">
        <v>0.586361062497327</v>
      </c>
      <c r="J60" s="181">
        <v>0.57576621146925488</v>
      </c>
      <c r="K60" s="181">
        <v>0.56710420170414222</v>
      </c>
      <c r="L60" s="181">
        <v>0.55500912295729721</v>
      </c>
      <c r="M60" s="181">
        <v>0.54401295233782687</v>
      </c>
      <c r="N60" s="181">
        <v>0.53262310275775837</v>
      </c>
      <c r="O60" s="181">
        <v>0.52013640980735332</v>
      </c>
      <c r="P60" s="181">
        <v>0.50690685563259941</v>
      </c>
      <c r="Q60" s="181">
        <v>0.49384279814573195</v>
      </c>
      <c r="R60" s="181">
        <v>0.49069545756925187</v>
      </c>
      <c r="S60" s="181">
        <v>0.486200524811847</v>
      </c>
      <c r="T60" s="181">
        <v>0.48171935087729212</v>
      </c>
      <c r="U60" s="181">
        <v>0.47735865374137026</v>
      </c>
      <c r="V60" s="181">
        <v>0.47314759912877041</v>
      </c>
      <c r="W60" s="181">
        <v>0.47193762215887913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185.93864352427101</v>
      </c>
      <c r="D61" s="181">
        <v>183.51848715153113</v>
      </c>
      <c r="E61" s="181">
        <v>182.00428172477427</v>
      </c>
      <c r="F61" s="181">
        <v>178.89581697083273</v>
      </c>
      <c r="G61" s="181">
        <v>175.16305418898662</v>
      </c>
      <c r="H61" s="181">
        <v>172.09011102920104</v>
      </c>
      <c r="I61" s="181">
        <v>169.07916372976646</v>
      </c>
      <c r="J61" s="181">
        <v>166.1669855196217</v>
      </c>
      <c r="K61" s="181">
        <v>162.33094273741213</v>
      </c>
      <c r="L61" s="181">
        <v>159.01822793583932</v>
      </c>
      <c r="M61" s="181">
        <v>155.04022999278564</v>
      </c>
      <c r="N61" s="181">
        <v>150.62834346031798</v>
      </c>
      <c r="O61" s="181">
        <v>144.38103954905648</v>
      </c>
      <c r="P61" s="181">
        <v>136.53765411099639</v>
      </c>
      <c r="Q61" s="181">
        <v>127.26873266806771</v>
      </c>
      <c r="R61" s="181">
        <v>120.19571479570865</v>
      </c>
      <c r="S61" s="181">
        <v>114.68340707240711</v>
      </c>
      <c r="T61" s="181">
        <v>109.11773023100082</v>
      </c>
      <c r="U61" s="181">
        <v>103.54298248825249</v>
      </c>
      <c r="V61" s="181">
        <v>97.993996040746552</v>
      </c>
      <c r="W61" s="181">
        <v>95.994028575725707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47.828399422886406</v>
      </c>
      <c r="D62" s="181">
        <v>46.102123900427806</v>
      </c>
      <c r="E62" s="181">
        <v>45.093385871532625</v>
      </c>
      <c r="F62" s="181">
        <v>43.778946444020363</v>
      </c>
      <c r="G62" s="181">
        <v>42.594436494790038</v>
      </c>
      <c r="H62" s="181">
        <v>41.32531313924558</v>
      </c>
      <c r="I62" s="181">
        <v>40.000558700578509</v>
      </c>
      <c r="J62" s="181">
        <v>38.584472561132173</v>
      </c>
      <c r="K62" s="181">
        <v>37.541371876253152</v>
      </c>
      <c r="L62" s="181">
        <v>36.005595686681964</v>
      </c>
      <c r="M62" s="181">
        <v>34.168776524307987</v>
      </c>
      <c r="N62" s="181">
        <v>32.528984511488972</v>
      </c>
      <c r="O62" s="181">
        <v>30.7417319487847</v>
      </c>
      <c r="P62" s="181">
        <v>28.723074782422508</v>
      </c>
      <c r="Q62" s="181">
        <v>26.44697209312622</v>
      </c>
      <c r="R62" s="181">
        <v>23.197208291174896</v>
      </c>
      <c r="S62" s="181">
        <v>21.768619051959522</v>
      </c>
      <c r="T62" s="181">
        <v>19.465605901177838</v>
      </c>
      <c r="U62" s="181">
        <v>17.600167818768458</v>
      </c>
      <c r="V62" s="181">
        <v>16.176892250814948</v>
      </c>
      <c r="W62" s="181">
        <v>15.068631484198345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646.96660479184266</v>
      </c>
      <c r="D63" s="181">
        <v>631.27531935573211</v>
      </c>
      <c r="E63" s="181">
        <v>617.73600196800328</v>
      </c>
      <c r="F63" s="181">
        <v>606.74723998830643</v>
      </c>
      <c r="G63" s="181">
        <v>593.57114862801564</v>
      </c>
      <c r="H63" s="181">
        <v>581.87955222019957</v>
      </c>
      <c r="I63" s="181">
        <v>565.92652010336485</v>
      </c>
      <c r="J63" s="181">
        <v>549.73599299622026</v>
      </c>
      <c r="K63" s="181">
        <v>530.8791668974111</v>
      </c>
      <c r="L63" s="181">
        <v>513.80681324155</v>
      </c>
      <c r="M63" s="181">
        <v>497.7006168606228</v>
      </c>
      <c r="N63" s="181">
        <v>486.62429134331893</v>
      </c>
      <c r="O63" s="181">
        <v>476.39885000837614</v>
      </c>
      <c r="P63" s="181">
        <v>465.27079925634786</v>
      </c>
      <c r="Q63" s="181">
        <v>461.35442857911067</v>
      </c>
      <c r="R63" s="181">
        <v>459.32458708039115</v>
      </c>
      <c r="S63" s="181">
        <v>451.30366268996704</v>
      </c>
      <c r="T63" s="181">
        <v>443.35130237141482</v>
      </c>
      <c r="U63" s="181">
        <v>435.56221409845119</v>
      </c>
      <c r="V63" s="181">
        <v>427.92621776375796</v>
      </c>
      <c r="W63" s="181">
        <v>418.63915188006058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49.191473659029484</v>
      </c>
      <c r="D64" s="55">
        <v>48.456659950828133</v>
      </c>
      <c r="E64" s="55">
        <v>47.771466451811868</v>
      </c>
      <c r="F64" s="55">
        <v>47.14785015080431</v>
      </c>
      <c r="G64" s="55">
        <v>46.539939345042981</v>
      </c>
      <c r="H64" s="55">
        <v>45.783842796351124</v>
      </c>
      <c r="I64" s="55">
        <v>44.800743482911415</v>
      </c>
      <c r="J64" s="55">
        <v>43.953905882695658</v>
      </c>
      <c r="K64" s="55">
        <v>43.147592565584688</v>
      </c>
      <c r="L64" s="55">
        <v>41.967735091600233</v>
      </c>
      <c r="M64" s="55">
        <v>40.623192857645357</v>
      </c>
      <c r="N64" s="55">
        <v>39.289586064447541</v>
      </c>
      <c r="O64" s="55">
        <v>38.173033186235472</v>
      </c>
      <c r="P64" s="55">
        <v>37.082215403870272</v>
      </c>
      <c r="Q64" s="55">
        <v>35.83333542174892</v>
      </c>
      <c r="R64" s="55">
        <v>35.391722195311402</v>
      </c>
      <c r="S64" s="55">
        <v>34.86773289684232</v>
      </c>
      <c r="T64" s="55">
        <v>34.356854274456886</v>
      </c>
      <c r="U64" s="55">
        <v>33.851715162415815</v>
      </c>
      <c r="V64" s="55">
        <v>33.357397968154942</v>
      </c>
      <c r="W64" s="55">
        <v>33.135408833318856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353.74947889456018</v>
      </c>
      <c r="D65" s="63">
        <v>337.9936606012177</v>
      </c>
      <c r="E65" s="63">
        <v>323.37650215351687</v>
      </c>
      <c r="F65" s="63">
        <v>308.03831715117525</v>
      </c>
      <c r="G65" s="63">
        <v>295.2129475861102</v>
      </c>
      <c r="H65" s="63">
        <v>279.74926515497719</v>
      </c>
      <c r="I65" s="63">
        <v>263.76993339699635</v>
      </c>
      <c r="J65" s="63">
        <v>248.55268727114529</v>
      </c>
      <c r="K65" s="63">
        <v>232.35688359110966</v>
      </c>
      <c r="L65" s="63">
        <v>214.82345002215519</v>
      </c>
      <c r="M65" s="63">
        <v>206.41389361564671</v>
      </c>
      <c r="N65" s="63">
        <v>199.89007896957952</v>
      </c>
      <c r="O65" s="63">
        <v>196.92361596478582</v>
      </c>
      <c r="P65" s="63">
        <v>193.42838481932378</v>
      </c>
      <c r="Q65" s="63">
        <v>191.68399749591541</v>
      </c>
      <c r="R65" s="63">
        <v>187.5172826210524</v>
      </c>
      <c r="S65" s="63">
        <v>182.74531935212642</v>
      </c>
      <c r="T65" s="63">
        <v>177.99565812222238</v>
      </c>
      <c r="U65" s="63">
        <v>173.35955730127623</v>
      </c>
      <c r="V65" s="63">
        <v>168.79875740946059</v>
      </c>
      <c r="W65" s="63">
        <v>165.77648191759803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262.57540758577238</v>
      </c>
      <c r="C68" s="188">
        <f>1000000*C20/SER_summary!C$8</f>
        <v>282.87958989800461</v>
      </c>
      <c r="D68" s="188">
        <f>1000000*D20/SER_summary!D$8</f>
        <v>305.02582549776344</v>
      </c>
      <c r="E68" s="188">
        <f>1000000*E20/SER_summary!E$8</f>
        <v>324.68955475404533</v>
      </c>
      <c r="F68" s="188">
        <f>1000000*F20/SER_summary!F$8</f>
        <v>342.85649218409958</v>
      </c>
      <c r="G68" s="188">
        <f>1000000*G20/SER_summary!G$8</f>
        <v>356.17683136931942</v>
      </c>
      <c r="H68" s="188">
        <f>1000000*H20/SER_summary!H$8</f>
        <v>368.08781859488732</v>
      </c>
      <c r="I68" s="188">
        <f>1000000*I20/SER_summary!I$8</f>
        <v>380.02196283737612</v>
      </c>
      <c r="J68" s="188">
        <f>1000000*J20/SER_summary!J$8</f>
        <v>389.43959636478661</v>
      </c>
      <c r="K68" s="188">
        <f>1000000*K20/SER_summary!K$8</f>
        <v>399.13293928841625</v>
      </c>
      <c r="L68" s="188">
        <f>1000000*L20/SER_summary!L$8</f>
        <v>406.95842980088111</v>
      </c>
      <c r="M68" s="188">
        <f>1000000*M20/SER_summary!M$8</f>
        <v>417.70542493527461</v>
      </c>
      <c r="N68" s="188">
        <f>1000000*N20/SER_summary!N$8</f>
        <v>428.05298111728257</v>
      </c>
      <c r="O68" s="188">
        <f>1000000*O20/SER_summary!O$8</f>
        <v>437.92973633101877</v>
      </c>
      <c r="P68" s="188">
        <f>1000000*P20/SER_summary!P$8</f>
        <v>452.31781204469399</v>
      </c>
      <c r="Q68" s="188">
        <f>1000000*Q20/SER_summary!Q$8</f>
        <v>468.17819380751178</v>
      </c>
      <c r="R68" s="188">
        <f>1000000*R20/SER_summary!R$8</f>
        <v>477.55650614554099</v>
      </c>
      <c r="S68" s="188">
        <f>1000000*S20/SER_summary!S$8</f>
        <v>486.95188087960895</v>
      </c>
      <c r="T68" s="188">
        <f>1000000*T20/SER_summary!T$8</f>
        <v>496.27407966462971</v>
      </c>
      <c r="U68" s="188">
        <f>1000000*U20/SER_summary!U$8</f>
        <v>505.4683716953042</v>
      </c>
      <c r="V68" s="188">
        <f>1000000*V20/SER_summary!V$8</f>
        <v>514.43288333018575</v>
      </c>
      <c r="W68" s="188">
        <f>1000000*W20/SER_summary!W$8</f>
        <v>523.11180246088179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8.0122083581351908E-2</v>
      </c>
      <c r="C69" s="188">
        <f>1000*C21/SER_summary!C$3</f>
        <v>8.6400387177814897E-2</v>
      </c>
      <c r="D69" s="188">
        <f>1000*D21/SER_summary!D$3</f>
        <v>8.9703075199837015E-2</v>
      </c>
      <c r="E69" s="188">
        <f>1000*E21/SER_summary!E$3</f>
        <v>9.5104060581241406E-2</v>
      </c>
      <c r="F69" s="188">
        <f>1000*F21/SER_summary!F$3</f>
        <v>0.10131697328383646</v>
      </c>
      <c r="G69" s="188">
        <f>1000*G21/SER_summary!G$3</f>
        <v>0.10768208259992557</v>
      </c>
      <c r="H69" s="188">
        <f>1000*H21/SER_summary!H$3</f>
        <v>0.11287272247424979</v>
      </c>
      <c r="I69" s="188">
        <f>1000*I21/SER_summary!I$3</f>
        <v>0.11829659253525385</v>
      </c>
      <c r="J69" s="188">
        <f>1000*J21/SER_summary!J$3</f>
        <v>0.12340052313571528</v>
      </c>
      <c r="K69" s="188">
        <f>1000*K21/SER_summary!K$3</f>
        <v>0.12846962337916529</v>
      </c>
      <c r="L69" s="188">
        <f>1000*L21/SER_summary!L$3</f>
        <v>0.13344581977844236</v>
      </c>
      <c r="M69" s="188">
        <f>1000*M21/SER_summary!M$3</f>
        <v>0.13799062709780804</v>
      </c>
      <c r="N69" s="188">
        <f>1000*N21/SER_summary!N$3</f>
        <v>0.14414745838347034</v>
      </c>
      <c r="O69" s="188">
        <f>1000*O21/SER_summary!O$3</f>
        <v>0.15129985708547752</v>
      </c>
      <c r="P69" s="188">
        <f>1000*P21/SER_summary!P$3</f>
        <v>0.16051667754541279</v>
      </c>
      <c r="Q69" s="188">
        <f>1000*Q21/SER_summary!Q$3</f>
        <v>0.17158749889546709</v>
      </c>
      <c r="R69" s="188">
        <f>1000*R21/SER_summary!R$3</f>
        <v>0.17771895036050916</v>
      </c>
      <c r="S69" s="188">
        <f>1000*S21/SER_summary!S$3</f>
        <v>0.18394939420034281</v>
      </c>
      <c r="T69" s="188">
        <f>1000*T21/SER_summary!T$3</f>
        <v>0.19103588268546998</v>
      </c>
      <c r="U69" s="188">
        <f>1000*U21/SER_summary!U$3</f>
        <v>0.19707187197403089</v>
      </c>
      <c r="V69" s="188">
        <f>1000*V21/SER_summary!V$3</f>
        <v>0.20204447049128771</v>
      </c>
      <c r="W69" s="188">
        <f>1000*W21/SER_summary!W$3</f>
        <v>0.20629168257062719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166.68742504897176</v>
      </c>
      <c r="C70" s="188">
        <f>1000000*C22/SER_summary!C$8</f>
        <v>168.64152498219312</v>
      </c>
      <c r="D70" s="188">
        <f>1000000*D22/SER_summary!D$8</f>
        <v>170.55800133015939</v>
      </c>
      <c r="E70" s="188">
        <f>1000000*E22/SER_summary!E$8</f>
        <v>172.22277218870579</v>
      </c>
      <c r="F70" s="188">
        <f>1000000*F22/SER_summary!F$8</f>
        <v>175.32955254124388</v>
      </c>
      <c r="G70" s="188">
        <f>1000000*G22/SER_summary!G$8</f>
        <v>178.53272835731357</v>
      </c>
      <c r="H70" s="188">
        <f>1000000*H22/SER_summary!H$8</f>
        <v>181.49718463363899</v>
      </c>
      <c r="I70" s="188">
        <f>1000000*I22/SER_summary!I$8</f>
        <v>184.92132564194361</v>
      </c>
      <c r="J70" s="188">
        <f>1000000*J22/SER_summary!J$8</f>
        <v>188.83765270957849</v>
      </c>
      <c r="K70" s="188">
        <f>1000000*K22/SER_summary!K$8</f>
        <v>193.50082776347014</v>
      </c>
      <c r="L70" s="188">
        <f>1000000*L22/SER_summary!L$8</f>
        <v>200.10928695182392</v>
      </c>
      <c r="M70" s="188">
        <f>1000000*M22/SER_summary!M$8</f>
        <v>208.24199911371309</v>
      </c>
      <c r="N70" s="188">
        <f>1000000*N22/SER_summary!N$8</f>
        <v>217.04921606183706</v>
      </c>
      <c r="O70" s="188">
        <f>1000000*O22/SER_summary!O$8</f>
        <v>226.42560237109322</v>
      </c>
      <c r="P70" s="188">
        <f>1000000*P22/SER_summary!P$8</f>
        <v>236.90018292978058</v>
      </c>
      <c r="Q70" s="188">
        <f>1000000*Q22/SER_summary!Q$8</f>
        <v>249.31141899669379</v>
      </c>
      <c r="R70" s="188">
        <f>1000000*R22/SER_summary!R$8</f>
        <v>255.97734335871135</v>
      </c>
      <c r="S70" s="188">
        <f>1000000*S22/SER_summary!S$8</f>
        <v>262.7448294001689</v>
      </c>
      <c r="T70" s="188">
        <f>1000000*T22/SER_summary!T$8</f>
        <v>269.1793025882929</v>
      </c>
      <c r="U70" s="188">
        <f>1000000*U22/SER_summary!U$8</f>
        <v>275.0149979269147</v>
      </c>
      <c r="V70" s="188">
        <f>1000000*V22/SER_summary!V$8</f>
        <v>279.7566295311828</v>
      </c>
      <c r="W70" s="188">
        <f>1000000*W22/SER_summary!W$8</f>
        <v>282.54456856276965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1.0806005984494771E-2</v>
      </c>
      <c r="C71" s="188">
        <f>1000*C23/SER_summary!C$3</f>
        <v>1.2815979397999614E-2</v>
      </c>
      <c r="D71" s="188">
        <f>1000*D23/SER_summary!D$3</f>
        <v>1.4530761858862401E-2</v>
      </c>
      <c r="E71" s="188">
        <f>1000*E23/SER_summary!E$3</f>
        <v>1.6124191220172224E-2</v>
      </c>
      <c r="F71" s="188">
        <f>1000*F23/SER_summary!F$3</f>
        <v>1.8086323984671138E-2</v>
      </c>
      <c r="G71" s="188">
        <f>1000*G23/SER_summary!G$3</f>
        <v>1.9863831098483237E-2</v>
      </c>
      <c r="H71" s="188">
        <f>1000*H23/SER_summary!H$3</f>
        <v>2.1624688764664755E-2</v>
      </c>
      <c r="I71" s="188">
        <f>1000*I23/SER_summary!I$3</f>
        <v>2.3092629948771492E-2</v>
      </c>
      <c r="J71" s="188">
        <f>1000*J23/SER_summary!J$3</f>
        <v>2.4311388773016505E-2</v>
      </c>
      <c r="K71" s="188">
        <f>1000*K23/SER_summary!K$3</f>
        <v>2.5136761943663558E-2</v>
      </c>
      <c r="L71" s="188">
        <f>1000*L23/SER_summary!L$3</f>
        <v>2.5967192917104601E-2</v>
      </c>
      <c r="M71" s="188">
        <f>1000*M23/SER_summary!M$3</f>
        <v>2.6624565058131218E-2</v>
      </c>
      <c r="N71" s="188">
        <f>1000*N23/SER_summary!N$3</f>
        <v>2.7450274336412998E-2</v>
      </c>
      <c r="O71" s="188">
        <f>1000*O23/SER_summary!O$3</f>
        <v>2.8329974435591779E-2</v>
      </c>
      <c r="P71" s="188">
        <f>1000*P23/SER_summary!P$3</f>
        <v>2.9492838045312119E-2</v>
      </c>
      <c r="Q71" s="188">
        <f>1000*Q23/SER_summary!Q$3</f>
        <v>3.0711226420247383E-2</v>
      </c>
      <c r="R71" s="188">
        <f>1000*R23/SER_summary!R$3</f>
        <v>3.1402537698488768E-2</v>
      </c>
      <c r="S71" s="188">
        <f>1000*S23/SER_summary!S$3</f>
        <v>3.2106593905437554E-2</v>
      </c>
      <c r="T71" s="188">
        <f>1000*T23/SER_summary!T$3</f>
        <v>3.2977268387338769E-2</v>
      </c>
      <c r="U71" s="188">
        <f>1000*U23/SER_summary!U$3</f>
        <v>3.3697344351131829E-2</v>
      </c>
      <c r="V71" s="188">
        <f>1000*V23/SER_summary!V$3</f>
        <v>3.4294109348804475E-2</v>
      </c>
      <c r="W71" s="188">
        <f>1000*W23/SER_summary!W$3</f>
        <v>3.4861117692943998E-2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62.503808979266609</v>
      </c>
      <c r="C72" s="188">
        <f>1000000*C24/SER_summary!C$8</f>
        <v>71.408987973183102</v>
      </c>
      <c r="D72" s="188">
        <f>1000000*D24/SER_summary!D$8</f>
        <v>81.091436243701366</v>
      </c>
      <c r="E72" s="188">
        <f>1000000*E24/SER_summary!E$8</f>
        <v>93.792569925381358</v>
      </c>
      <c r="F72" s="188">
        <f>1000000*F24/SER_summary!F$8</f>
        <v>106.78694512330014</v>
      </c>
      <c r="G72" s="188">
        <f>1000000*G24/SER_summary!G$8</f>
        <v>121.37664616027151</v>
      </c>
      <c r="H72" s="188">
        <f>1000000*H24/SER_summary!H$8</f>
        <v>133.12409736330758</v>
      </c>
      <c r="I72" s="188">
        <f>1000000*I24/SER_summary!I$8</f>
        <v>142.35434417241694</v>
      </c>
      <c r="J72" s="188">
        <f>1000000*J24/SER_summary!J$8</f>
        <v>147.57315804945671</v>
      </c>
      <c r="K72" s="188">
        <f>1000000*K24/SER_summary!K$8</f>
        <v>151.28378315498492</v>
      </c>
      <c r="L72" s="188">
        <f>1000000*L24/SER_summary!L$8</f>
        <v>154.52381150580473</v>
      </c>
      <c r="M72" s="188">
        <f>1000000*M24/SER_summary!M$8</f>
        <v>156.81149142366172</v>
      </c>
      <c r="N72" s="188">
        <f>1000000*N24/SER_summary!N$8</f>
        <v>158.99046796444782</v>
      </c>
      <c r="O72" s="188">
        <f>1000000*O24/SER_summary!O$8</f>
        <v>160.21353271168434</v>
      </c>
      <c r="P72" s="188">
        <f>1000000*P24/SER_summary!P$8</f>
        <v>162.15372089568521</v>
      </c>
      <c r="Q72" s="188">
        <f>1000000*Q24/SER_summary!Q$8</f>
        <v>163.89074676871897</v>
      </c>
      <c r="R72" s="188">
        <f>1000000*R24/SER_summary!R$8</f>
        <v>168.9424728377783</v>
      </c>
      <c r="S72" s="188">
        <f>1000000*S24/SER_summary!S$8</f>
        <v>174.0150161415973</v>
      </c>
      <c r="T72" s="188">
        <f>1000000*T24/SER_summary!T$8</f>
        <v>178.99828002027209</v>
      </c>
      <c r="U72" s="188">
        <f>1000000*U24/SER_summary!U$8</f>
        <v>183.82548932571106</v>
      </c>
      <c r="V72" s="188">
        <f>1000000*V24/SER_summary!V$8</f>
        <v>188.37235157842866</v>
      </c>
      <c r="W72" s="188">
        <f>1000000*W24/SER_summary!W$8</f>
        <v>192.5570471903838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7.2694640673971536E-2</v>
      </c>
      <c r="C73" s="52">
        <f>1000*C25/SER_summary!C$3</f>
        <v>8.6751590897505435E-2</v>
      </c>
      <c r="D73" s="52">
        <f>1000*D25/SER_summary!D$3</f>
        <v>9.9612365248916493E-2</v>
      </c>
      <c r="E73" s="52">
        <f>1000*E25/SER_summary!E$3</f>
        <v>0.11554685498404954</v>
      </c>
      <c r="F73" s="52">
        <f>1000*F25/SER_summary!F$3</f>
        <v>0.13247793472886168</v>
      </c>
      <c r="G73" s="52">
        <f>1000*G25/SER_summary!G$3</f>
        <v>0.15245567412931671</v>
      </c>
      <c r="H73" s="52">
        <f>1000*H25/SER_summary!H$3</f>
        <v>0.16598974005841155</v>
      </c>
      <c r="I73" s="52">
        <f>1000*I25/SER_summary!I$3</f>
        <v>0.18218118395162999</v>
      </c>
      <c r="J73" s="52">
        <f>1000*J25/SER_summary!J$3</f>
        <v>0.19846970353623614</v>
      </c>
      <c r="K73" s="52">
        <f>1000*K25/SER_summary!K$3</f>
        <v>0.21112913390414831</v>
      </c>
      <c r="L73" s="52">
        <f>1000*L25/SER_summary!L$3</f>
        <v>0.22764748739201277</v>
      </c>
      <c r="M73" s="52">
        <f>1000*M25/SER_summary!M$3</f>
        <v>0.24841701068879163</v>
      </c>
      <c r="N73" s="52">
        <f>1000*N25/SER_summary!N$3</f>
        <v>0.26826502579808503</v>
      </c>
      <c r="O73" s="52">
        <f>1000*O25/SER_summary!O$3</f>
        <v>0.29422923675991031</v>
      </c>
      <c r="P73" s="52">
        <f>1000*P25/SER_summary!P$3</f>
        <v>0.31428795190987202</v>
      </c>
      <c r="Q73" s="52">
        <f>1000*Q25/SER_summary!Q$3</f>
        <v>0.3443925975815646</v>
      </c>
      <c r="R73" s="52">
        <f>1000*R25/SER_summary!R$3</f>
        <v>0.36714081131173482</v>
      </c>
      <c r="S73" s="52">
        <f>1000*S25/SER_summary!S$3</f>
        <v>0.38714889973453892</v>
      </c>
      <c r="T73" s="52">
        <f>1000*T25/SER_summary!T$3</f>
        <v>0.42369452308457844</v>
      </c>
      <c r="U73" s="52">
        <f>1000*U25/SER_summary!U$3</f>
        <v>0.43840018617147375</v>
      </c>
      <c r="V73" s="52">
        <f>1000*V25/SER_summary!V$3</f>
        <v>0.44210393342892496</v>
      </c>
      <c r="W73" s="52">
        <f>1000*W25/SER_summary!W$3</f>
        <v>0.46273683254587267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4.5097372114466676</v>
      </c>
      <c r="C3" s="199">
        <f>'SER_se-appl'!C4</f>
        <v>4.970093617184884</v>
      </c>
      <c r="D3" s="199">
        <f>'SER_se-appl'!D4</f>
        <v>5.4886707879315209</v>
      </c>
      <c r="E3" s="199">
        <f>'SER_se-appl'!E4</f>
        <v>6.0589218098060851</v>
      </c>
      <c r="F3" s="199">
        <f>'SER_se-appl'!F4</f>
        <v>6.5380002435623323</v>
      </c>
      <c r="G3" s="199">
        <f>'SER_se-appl'!G4</f>
        <v>6.9397601178883699</v>
      </c>
      <c r="H3" s="199">
        <f>'SER_se-appl'!H4</f>
        <v>7.4228612497469006</v>
      </c>
      <c r="I3" s="199">
        <f>'SER_se-appl'!I4</f>
        <v>7.9271592648952529</v>
      </c>
      <c r="J3" s="199">
        <f>'SER_se-appl'!J4</f>
        <v>8.1929141354674009</v>
      </c>
      <c r="K3" s="199">
        <f>'SER_se-appl'!K4</f>
        <v>8.4131052706646265</v>
      </c>
      <c r="L3" s="199">
        <f>'SER_se-appl'!L4</f>
        <v>8.5266913793797006</v>
      </c>
      <c r="M3" s="199">
        <f>'SER_se-appl'!M4</f>
        <v>8.7374796125659078</v>
      </c>
      <c r="N3" s="199">
        <f>'SER_se-appl'!N4</f>
        <v>8.7712047461652389</v>
      </c>
      <c r="O3" s="199">
        <f>'SER_se-appl'!O4</f>
        <v>8.856451697449538</v>
      </c>
      <c r="P3" s="199">
        <f>'SER_se-appl'!P4</f>
        <v>9.2267928637657306</v>
      </c>
      <c r="Q3" s="199">
        <f>'SER_se-appl'!Q4</f>
        <v>9.6485467968265066</v>
      </c>
      <c r="R3" s="199">
        <f>'SER_se-appl'!R4</f>
        <v>9.783768422322181</v>
      </c>
      <c r="S3" s="199">
        <f>'SER_se-appl'!S4</f>
        <v>9.906733617276636</v>
      </c>
      <c r="T3" s="199">
        <f>'SER_se-appl'!T4</f>
        <v>10.044742908579719</v>
      </c>
      <c r="U3" s="199">
        <f>'SER_se-appl'!U4</f>
        <v>10.110432391376829</v>
      </c>
      <c r="V3" s="199">
        <f>'SER_se-appl'!V4</f>
        <v>10.161500373923539</v>
      </c>
      <c r="W3" s="199">
        <f>'SER_se-appl'!W4</f>
        <v>10.203658794155404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5.9872424393978037</v>
      </c>
      <c r="C5" s="59">
        <f>'SER_se-appl'!C12</f>
        <v>6.5984233753265071</v>
      </c>
      <c r="D5" s="59">
        <f>'SER_se-appl'!D12</f>
        <v>7.2868996876305445</v>
      </c>
      <c r="E5" s="59">
        <f>'SER_se-appl'!E12</f>
        <v>8.0439795260325102</v>
      </c>
      <c r="F5" s="59">
        <f>'SER_se-appl'!F12</f>
        <v>8.6800163050947408</v>
      </c>
      <c r="G5" s="59">
        <f>'SER_se-appl'!G12</f>
        <v>9.2134029875618406</v>
      </c>
      <c r="H5" s="59">
        <f>'SER_se-appl'!H12</f>
        <v>9.8547804034881796</v>
      </c>
      <c r="I5" s="59">
        <f>'SER_se-appl'!I12</f>
        <v>10.524299343690842</v>
      </c>
      <c r="J5" s="59">
        <f>'SER_se-appl'!J12</f>
        <v>10.877122305420759</v>
      </c>
      <c r="K5" s="59">
        <f>'SER_se-appl'!K12</f>
        <v>11.169453686966854</v>
      </c>
      <c r="L5" s="59">
        <f>'SER_se-appl'!L12</f>
        <v>11.320253509381951</v>
      </c>
      <c r="M5" s="59">
        <f>'SER_se-appl'!M12</f>
        <v>11.60010135777871</v>
      </c>
      <c r="N5" s="59">
        <f>'SER_se-appl'!N12</f>
        <v>11.644875707523031</v>
      </c>
      <c r="O5" s="59">
        <f>'SER_se-appl'!O12</f>
        <v>11.758051739878784</v>
      </c>
      <c r="P5" s="59">
        <f>'SER_se-appl'!P12</f>
        <v>12.249726142191262</v>
      </c>
      <c r="Q5" s="59">
        <f>'SER_se-appl'!Q12</f>
        <v>12.809657448298214</v>
      </c>
      <c r="R5" s="59">
        <f>'SER_se-appl'!R12</f>
        <v>12.989181136028193</v>
      </c>
      <c r="S5" s="59">
        <f>'SER_se-appl'!S12</f>
        <v>13.152432873165221</v>
      </c>
      <c r="T5" s="59">
        <f>'SER_se-appl'!T12</f>
        <v>13.335657537303899</v>
      </c>
      <c r="U5" s="59">
        <f>'SER_se-appl'!U12</f>
        <v>13.422868574396411</v>
      </c>
      <c r="V5" s="59">
        <f>'SER_se-appl'!V12</f>
        <v>13.49066773387338</v>
      </c>
      <c r="W5" s="59">
        <f>'SER_se-appl'!W12</f>
        <v>13.546638330596735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262.57540758577238</v>
      </c>
      <c r="C6" s="202">
        <f>'SER_se-appl'!C68</f>
        <v>282.87958989800461</v>
      </c>
      <c r="D6" s="202">
        <f>'SER_se-appl'!D68</f>
        <v>305.02582549776344</v>
      </c>
      <c r="E6" s="202">
        <f>'SER_se-appl'!E68</f>
        <v>324.68955475404533</v>
      </c>
      <c r="F6" s="202">
        <f>'SER_se-appl'!F68</f>
        <v>342.85649218409958</v>
      </c>
      <c r="G6" s="202">
        <f>'SER_se-appl'!G68</f>
        <v>356.17683136931942</v>
      </c>
      <c r="H6" s="202">
        <f>'SER_se-appl'!H68</f>
        <v>368.08781859488732</v>
      </c>
      <c r="I6" s="202">
        <f>'SER_se-appl'!I68</f>
        <v>380.02196283737612</v>
      </c>
      <c r="J6" s="202">
        <f>'SER_se-appl'!J68</f>
        <v>389.43959636478661</v>
      </c>
      <c r="K6" s="202">
        <f>'SER_se-appl'!K68</f>
        <v>399.13293928841625</v>
      </c>
      <c r="L6" s="202">
        <f>'SER_se-appl'!L68</f>
        <v>406.95842980088111</v>
      </c>
      <c r="M6" s="202">
        <f>'SER_se-appl'!M68</f>
        <v>417.70542493527461</v>
      </c>
      <c r="N6" s="202">
        <f>'SER_se-appl'!N68</f>
        <v>428.05298111728257</v>
      </c>
      <c r="O6" s="202">
        <f>'SER_se-appl'!O68</f>
        <v>437.92973633101877</v>
      </c>
      <c r="P6" s="202">
        <f>'SER_se-appl'!P68</f>
        <v>452.31781204469399</v>
      </c>
      <c r="Q6" s="202">
        <f>'SER_se-appl'!Q68</f>
        <v>468.17819380751178</v>
      </c>
      <c r="R6" s="202">
        <f>'SER_se-appl'!R68</f>
        <v>477.55650614554099</v>
      </c>
      <c r="S6" s="202">
        <f>'SER_se-appl'!S68</f>
        <v>486.95188087960895</v>
      </c>
      <c r="T6" s="202">
        <f>'SER_se-appl'!T68</f>
        <v>496.27407966462971</v>
      </c>
      <c r="U6" s="202">
        <f>'SER_se-appl'!U68</f>
        <v>505.4683716953042</v>
      </c>
      <c r="V6" s="202">
        <f>'SER_se-appl'!V68</f>
        <v>514.43288333018575</v>
      </c>
      <c r="W6" s="202">
        <f>'SER_se-appl'!W68</f>
        <v>523.11180246088179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8.0043377229563379</v>
      </c>
      <c r="C8" s="34">
        <f>'SER_se-appl'!C20</f>
        <v>8.9671991800843713</v>
      </c>
      <c r="D8" s="34">
        <f>'SER_se-appl'!D20</f>
        <v>10.073575023712205</v>
      </c>
      <c r="E8" s="34">
        <f>'SER_se-appl'!E20</f>
        <v>11.324951623593529</v>
      </c>
      <c r="F8" s="34">
        <f>'SER_se-appl'!F20</f>
        <v>12.421167538731281</v>
      </c>
      <c r="G8" s="34">
        <f>'SER_se-appl'!G20</f>
        <v>13.381791672286543</v>
      </c>
      <c r="H8" s="34">
        <f>'SER_se-appl'!H20</f>
        <v>14.552581182672107</v>
      </c>
      <c r="I8" s="34">
        <f>'SER_se-appl'!I20</f>
        <v>15.807540037599527</v>
      </c>
      <c r="J8" s="34">
        <f>'SER_se-appl'!J20</f>
        <v>16.546574119391913</v>
      </c>
      <c r="K8" s="34">
        <f>'SER_se-appl'!K20</f>
        <v>17.200482750775365</v>
      </c>
      <c r="L8" s="34">
        <f>'SER_se-appl'!L20</f>
        <v>17.627359745034305</v>
      </c>
      <c r="M8" s="34">
        <f>'SER_se-appl'!M20</f>
        <v>18.313833100029029</v>
      </c>
      <c r="N8" s="34">
        <f>'SER_se-appl'!N20</f>
        <v>18.588696779566426</v>
      </c>
      <c r="O8" s="34">
        <f>'SER_se-appl'!O20</f>
        <v>19.018840425801528</v>
      </c>
      <c r="P8" s="34">
        <f>'SER_se-appl'!P20</f>
        <v>20.22608263102104</v>
      </c>
      <c r="Q8" s="34">
        <f>'SER_se-appl'!Q20</f>
        <v>21.623937998991902</v>
      </c>
      <c r="R8" s="34">
        <f>'SER_se-appl'!R20</f>
        <v>22.266417304420251</v>
      </c>
      <c r="S8" s="34">
        <f>'SER_se-appl'!S20</f>
        <v>22.894280632441131</v>
      </c>
      <c r="T8" s="34">
        <f>'SER_se-appl'!T20</f>
        <v>23.582974213285155</v>
      </c>
      <c r="U8" s="34">
        <f>'SER_se-appl'!U20</f>
        <v>24.279979433839188</v>
      </c>
      <c r="V8" s="34">
        <f>'SER_se-appl'!V20</f>
        <v>24.979374675073085</v>
      </c>
      <c r="W8" s="34">
        <f>'SER_se-appl'!W20</f>
        <v>25.665522764933897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1.3100362157748524</v>
      </c>
      <c r="D9" s="36">
        <f>'SER_se-appl'!D28</f>
        <v>1.4633706466482046</v>
      </c>
      <c r="E9" s="36">
        <f>'SER_se-appl'!E28</f>
        <v>1.6184692130663834</v>
      </c>
      <c r="F9" s="36">
        <f>'SER_se-appl'!F28</f>
        <v>1.4736919610491164</v>
      </c>
      <c r="G9" s="36">
        <f>'SER_se-appl'!G28</f>
        <v>1.3487773137584469</v>
      </c>
      <c r="H9" s="36">
        <f>'SER_se-appl'!H28</f>
        <v>1.5699218339694117</v>
      </c>
      <c r="I9" s="36">
        <f>'SER_se-appl'!I28</f>
        <v>1.6653808734873348</v>
      </c>
      <c r="J9" s="36">
        <f>'SER_se-appl'!J28</f>
        <v>1.1610651310602069</v>
      </c>
      <c r="K9" s="36">
        <f>'SER_se-appl'!K28</f>
        <v>1.0878770796919746</v>
      </c>
      <c r="L9" s="36">
        <f>'SER_se-appl'!L28</f>
        <v>0.87312049803440317</v>
      </c>
      <c r="M9" s="36">
        <f>'SER_se-appl'!M28</f>
        <v>1.1453391214760487</v>
      </c>
      <c r="N9" s="36">
        <f>'SER_se-appl'!N28</f>
        <v>0.74670873692660322</v>
      </c>
      <c r="O9" s="36">
        <f>'SER_se-appl'!O28</f>
        <v>0.91533512148908258</v>
      </c>
      <c r="P9" s="36">
        <f>'SER_se-appl'!P28</f>
        <v>1.7061576096993214</v>
      </c>
      <c r="Q9" s="36">
        <f>'SER_se-appl'!Q28</f>
        <v>1.910882891170754</v>
      </c>
      <c r="R9" s="36">
        <f>'SER_se-appl'!R28</f>
        <v>1.1700181170131252</v>
      </c>
      <c r="S9" s="36">
        <f>'SER_se-appl'!S28</f>
        <v>1.1703238884065321</v>
      </c>
      <c r="T9" s="36">
        <f>'SER_se-appl'!T28</f>
        <v>1.246497960563353</v>
      </c>
      <c r="U9" s="36">
        <f>'SER_se-appl'!U28</f>
        <v>2.0070414363288833</v>
      </c>
      <c r="V9" s="36">
        <f>'SER_se-appl'!V28</f>
        <v>2.1627658878821023</v>
      </c>
      <c r="W9" s="36">
        <f>'SER_se-appl'!W28</f>
        <v>2.3046173029271948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0.34717475864681901</v>
      </c>
      <c r="D10" s="38">
        <f>'SER_se-appl'!D36</f>
        <v>0.35699480302037045</v>
      </c>
      <c r="E10" s="38">
        <f>'SER_se-appl'!E36</f>
        <v>0.36709261318505959</v>
      </c>
      <c r="F10" s="38">
        <f>'SER_se-appl'!F36</f>
        <v>0.37747604591136508</v>
      </c>
      <c r="G10" s="38">
        <f>'SER_se-appl'!G36</f>
        <v>0.38815318020318479</v>
      </c>
      <c r="H10" s="38">
        <f>'SER_se-appl'!H36</f>
        <v>0.39913232358384754</v>
      </c>
      <c r="I10" s="38">
        <f>'SER_se-appl'!I36</f>
        <v>0.41042201855991678</v>
      </c>
      <c r="J10" s="38">
        <f>'SER_se-appl'!J36</f>
        <v>0.42203104926782231</v>
      </c>
      <c r="K10" s="38">
        <f>'SER_se-appl'!K36</f>
        <v>0.43396844830852288</v>
      </c>
      <c r="L10" s="38">
        <f>'SER_se-appl'!L36</f>
        <v>0.44624350377546307</v>
      </c>
      <c r="M10" s="38">
        <f>'SER_se-appl'!M36</f>
        <v>0.45886576648132404</v>
      </c>
      <c r="N10" s="38">
        <f>'SER_se-appl'!N36</f>
        <v>0.47184505738920635</v>
      </c>
      <c r="O10" s="38">
        <f>'SER_se-appl'!O36</f>
        <v>0.48519147525398054</v>
      </c>
      <c r="P10" s="38">
        <f>'SER_se-appl'!P36</f>
        <v>0.49891540447980987</v>
      </c>
      <c r="Q10" s="38">
        <f>'SER_se-appl'!Q36</f>
        <v>0.51302752319989153</v>
      </c>
      <c r="R10" s="38">
        <f>'SER_se-appl'!R36</f>
        <v>0.52753881158477611</v>
      </c>
      <c r="S10" s="38">
        <f>'SER_se-appl'!S36</f>
        <v>0.54246056038565271</v>
      </c>
      <c r="T10" s="38">
        <f>'SER_se-appl'!T36</f>
        <v>0.55780437971932884</v>
      </c>
      <c r="U10" s="38">
        <f>'SER_se-appl'!U36</f>
        <v>1.3100362157748506</v>
      </c>
      <c r="V10" s="38">
        <f>'SER_se-appl'!V36</f>
        <v>1.4633706466482046</v>
      </c>
      <c r="W10" s="38">
        <f>'SER_se-appl'!W36</f>
        <v>1.6184692130663834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8760.0000000000018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8759.9999999999964</v>
      </c>
      <c r="L12" s="205">
        <f>'SER_se-appl'!L44</f>
        <v>8760.0000000000018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8759.9999999999945</v>
      </c>
      <c r="R12" s="205">
        <f>'SER_se-appl'!R44</f>
        <v>8759.9999999999982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8759.9999999999964</v>
      </c>
      <c r="V12" s="205">
        <f>'SER_se-appl'!V44</f>
        <v>8759.9999999999964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0.74799972797580361</v>
      </c>
      <c r="C14" s="59">
        <f>'SER_se-appl'!C52</f>
        <v>0.7358399476596017</v>
      </c>
      <c r="D14" s="59">
        <f>'SER_se-appl'!D52</f>
        <v>0.72336778854358053</v>
      </c>
      <c r="E14" s="59">
        <f>'SER_se-appl'!E52</f>
        <v>0.71028820196232045</v>
      </c>
      <c r="F14" s="59">
        <f>'SER_se-appl'!F52</f>
        <v>0.69880840734407579</v>
      </c>
      <c r="G14" s="59">
        <f>'SER_se-appl'!G52</f>
        <v>0.68850294588299699</v>
      </c>
      <c r="H14" s="59">
        <f>'SER_se-appl'!H52</f>
        <v>0.67718436198949761</v>
      </c>
      <c r="I14" s="59">
        <f>'SER_se-appl'!I52</f>
        <v>0.66577717460515273</v>
      </c>
      <c r="J14" s="59">
        <f>'SER_se-appl'!J52</f>
        <v>0.65736400942798268</v>
      </c>
      <c r="K14" s="59">
        <f>'SER_se-appl'!K52</f>
        <v>0.64936861649789202</v>
      </c>
      <c r="L14" s="59">
        <f>'SER_se-appl'!L52</f>
        <v>0.64219790559223766</v>
      </c>
      <c r="M14" s="59">
        <f>'SER_se-appl'!M52</f>
        <v>0.63340652360538996</v>
      </c>
      <c r="N14" s="59">
        <f>'SER_se-appl'!N52</f>
        <v>0.62644927966782638</v>
      </c>
      <c r="O14" s="59">
        <f>'SER_se-appl'!O52</f>
        <v>0.61823178893322328</v>
      </c>
      <c r="P14" s="59">
        <f>'SER_se-appl'!P52</f>
        <v>0.60564007206238135</v>
      </c>
      <c r="Q14" s="59">
        <f>'SER_se-appl'!Q52</f>
        <v>0.59238319351893232</v>
      </c>
      <c r="R14" s="59">
        <f>'SER_se-appl'!R52</f>
        <v>0.58335299111858585</v>
      </c>
      <c r="S14" s="59">
        <f>'SER_se-appl'!S52</f>
        <v>0.57448552694546173</v>
      </c>
      <c r="T14" s="59">
        <f>'SER_se-appl'!T52</f>
        <v>0.56547818848868658</v>
      </c>
      <c r="U14" s="59">
        <f>'SER_se-appl'!U52</f>
        <v>0.55283690049954737</v>
      </c>
      <c r="V14" s="59">
        <f>'SER_se-appl'!V52</f>
        <v>0.54007227600199759</v>
      </c>
      <c r="W14" s="59">
        <f>'SER_se-appl'!W52</f>
        <v>0.52781462722065176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0.66476601980159333</v>
      </c>
      <c r="D15" s="63">
        <f>'SER_se-appl'!D60</f>
        <v>0.6529503171603207</v>
      </c>
      <c r="E15" s="63">
        <f>'SER_se-appl'!E60</f>
        <v>0.63743258436884587</v>
      </c>
      <c r="F15" s="63">
        <f>'SER_se-appl'!F60</f>
        <v>0.62318909446144599</v>
      </c>
      <c r="G15" s="63">
        <f>'SER_se-appl'!G60</f>
        <v>0.61071990703689161</v>
      </c>
      <c r="H15" s="63">
        <f>'SER_se-appl'!H60</f>
        <v>0.59871024471127965</v>
      </c>
      <c r="I15" s="63">
        <f>'SER_se-appl'!I60</f>
        <v>0.586361062497327</v>
      </c>
      <c r="J15" s="63">
        <f>'SER_se-appl'!J60</f>
        <v>0.57576621146925488</v>
      </c>
      <c r="K15" s="63">
        <f>'SER_se-appl'!K60</f>
        <v>0.56710420170414222</v>
      </c>
      <c r="L15" s="63">
        <f>'SER_se-appl'!L60</f>
        <v>0.55500912295729721</v>
      </c>
      <c r="M15" s="63">
        <f>'SER_se-appl'!M60</f>
        <v>0.54401295233782687</v>
      </c>
      <c r="N15" s="63">
        <f>'SER_se-appl'!N60</f>
        <v>0.53262310275775837</v>
      </c>
      <c r="O15" s="63">
        <f>'SER_se-appl'!O60</f>
        <v>0.52013640980735332</v>
      </c>
      <c r="P15" s="63">
        <f>'SER_se-appl'!P60</f>
        <v>0.50690685563259941</v>
      </c>
      <c r="Q15" s="63">
        <f>'SER_se-appl'!Q60</f>
        <v>0.49384279814573195</v>
      </c>
      <c r="R15" s="63">
        <f>'SER_se-appl'!R60</f>
        <v>0.49069545756925187</v>
      </c>
      <c r="S15" s="63">
        <f>'SER_se-appl'!S60</f>
        <v>0.486200524811847</v>
      </c>
      <c r="T15" s="63">
        <f>'SER_se-appl'!T60</f>
        <v>0.48171935087729212</v>
      </c>
      <c r="U15" s="63">
        <f>'SER_se-appl'!U60</f>
        <v>0.47735865374137026</v>
      </c>
      <c r="V15" s="63">
        <f>'SER_se-appl'!V60</f>
        <v>0.47314759912877041</v>
      </c>
      <c r="W15" s="63">
        <f>'SER_se-appl'!W60</f>
        <v>0.47193762215887913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23.379999789190418</v>
      </c>
      <c r="C3" s="199">
        <f>'SER_se-appl'!C5</f>
        <v>23.951470391578784</v>
      </c>
      <c r="D3" s="199">
        <f>'SER_se-appl'!D5</f>
        <v>24.658045741120649</v>
      </c>
      <c r="E3" s="199">
        <f>'SER_se-appl'!E5</f>
        <v>25.824332113216251</v>
      </c>
      <c r="F3" s="199">
        <f>'SER_se-appl'!F5</f>
        <v>27.081369196809899</v>
      </c>
      <c r="G3" s="199">
        <f>'SER_se-appl'!G5</f>
        <v>28.224935243090815</v>
      </c>
      <c r="H3" s="199">
        <f>'SER_se-appl'!H5</f>
        <v>28.982482008138014</v>
      </c>
      <c r="I3" s="199">
        <f>'SER_se-appl'!I5</f>
        <v>29.664896733972547</v>
      </c>
      <c r="J3" s="199">
        <f>'SER_se-appl'!J5</f>
        <v>30.496452917392695</v>
      </c>
      <c r="K3" s="199">
        <f>'SER_se-appl'!K5</f>
        <v>31.217839475445619</v>
      </c>
      <c r="L3" s="199">
        <f>'SER_se-appl'!L5</f>
        <v>31.742530686479743</v>
      </c>
      <c r="M3" s="199">
        <f>'SER_se-appl'!M5</f>
        <v>32.004059662689748</v>
      </c>
      <c r="N3" s="199">
        <f>'SER_se-appl'!N5</f>
        <v>32.461975725556641</v>
      </c>
      <c r="O3" s="199">
        <f>'SER_se-appl'!O5</f>
        <v>33.041888503804373</v>
      </c>
      <c r="P3" s="199">
        <f>'SER_se-appl'!P5</f>
        <v>33.691387873675659</v>
      </c>
      <c r="Q3" s="199">
        <f>'SER_se-appl'!Q5</f>
        <v>34.380013899320652</v>
      </c>
      <c r="R3" s="199">
        <f>'SER_se-appl'!R5</f>
        <v>33.832830221382828</v>
      </c>
      <c r="S3" s="199">
        <f>'SER_se-appl'!S5</f>
        <v>33.16222561128636</v>
      </c>
      <c r="T3" s="199">
        <f>'SER_se-appl'!T5</f>
        <v>32.174887047851549</v>
      </c>
      <c r="U3" s="199">
        <f>'SER_se-appl'!U5</f>
        <v>31.336487031809714</v>
      </c>
      <c r="V3" s="199">
        <f>'SER_se-appl'!V5</f>
        <v>30.399149146878038</v>
      </c>
      <c r="W3" s="199">
        <f>'SER_se-appl'!W5</f>
        <v>29.243490513264131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72.912870557305141</v>
      </c>
      <c r="C5" s="59">
        <f>'SER_se-appl'!C13</f>
        <v>74.172039083346945</v>
      </c>
      <c r="D5" s="59">
        <f>'SER_se-appl'!D13</f>
        <v>76.054620348040103</v>
      </c>
      <c r="E5" s="59">
        <f>'SER_se-appl'!E13</f>
        <v>79.285424332555323</v>
      </c>
      <c r="F5" s="59">
        <f>'SER_se-appl'!F13</f>
        <v>82.874793501063351</v>
      </c>
      <c r="G5" s="59">
        <f>'SER_se-appl'!G13</f>
        <v>86.318695334546447</v>
      </c>
      <c r="H5" s="59">
        <f>'SER_se-appl'!H13</f>
        <v>88.513356257043526</v>
      </c>
      <c r="I5" s="59">
        <f>'SER_se-appl'!I13</f>
        <v>90.553490308532574</v>
      </c>
      <c r="J5" s="59">
        <f>'SER_se-appl'!J13</f>
        <v>93.073285133598645</v>
      </c>
      <c r="K5" s="59">
        <f>'SER_se-appl'!K13</f>
        <v>95.25742221784256</v>
      </c>
      <c r="L5" s="59">
        <f>'SER_se-appl'!L13</f>
        <v>96.855561179516442</v>
      </c>
      <c r="M5" s="59">
        <f>'SER_se-appl'!M13</f>
        <v>97.746860601958062</v>
      </c>
      <c r="N5" s="59">
        <f>'SER_se-appl'!N13</f>
        <v>99.425272316674409</v>
      </c>
      <c r="O5" s="59">
        <f>'SER_se-appl'!O13</f>
        <v>101.3669841111612</v>
      </c>
      <c r="P5" s="59">
        <f>'SER_se-appl'!P13</f>
        <v>103.73514943573332</v>
      </c>
      <c r="Q5" s="59">
        <f>'SER_se-appl'!Q13</f>
        <v>106.22367295643816</v>
      </c>
      <c r="R5" s="59">
        <f>'SER_se-appl'!R13</f>
        <v>105.06565631476566</v>
      </c>
      <c r="S5" s="59">
        <f>'SER_se-appl'!S13</f>
        <v>103.17026991183135</v>
      </c>
      <c r="T5" s="59">
        <f>'SER_se-appl'!T13</f>
        <v>100.96551704372806</v>
      </c>
      <c r="U5" s="59">
        <f>'SER_se-appl'!U13</f>
        <v>97.949261757908701</v>
      </c>
      <c r="V5" s="59">
        <f>'SER_se-appl'!V13</f>
        <v>94.620708749377926</v>
      </c>
      <c r="W5" s="59">
        <f>'SER_se-appl'!W13</f>
        <v>91.03696078128263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8.0122083581351908E-2</v>
      </c>
      <c r="C6" s="202">
        <f>'SER_se-appl'!C69</f>
        <v>8.6400387177814897E-2</v>
      </c>
      <c r="D6" s="202">
        <f>'SER_se-appl'!D69</f>
        <v>8.9703075199837015E-2</v>
      </c>
      <c r="E6" s="202">
        <f>'SER_se-appl'!E69</f>
        <v>9.5104060581241406E-2</v>
      </c>
      <c r="F6" s="202">
        <f>'SER_se-appl'!F69</f>
        <v>0.10131697328383646</v>
      </c>
      <c r="G6" s="202">
        <f>'SER_se-appl'!G69</f>
        <v>0.10768208259992557</v>
      </c>
      <c r="H6" s="202">
        <f>'SER_se-appl'!H69</f>
        <v>0.11287272247424979</v>
      </c>
      <c r="I6" s="202">
        <f>'SER_se-appl'!I69</f>
        <v>0.11829659253525385</v>
      </c>
      <c r="J6" s="202">
        <f>'SER_se-appl'!J69</f>
        <v>0.12340052313571528</v>
      </c>
      <c r="K6" s="202">
        <f>'SER_se-appl'!K69</f>
        <v>0.12846962337916529</v>
      </c>
      <c r="L6" s="202">
        <f>'SER_se-appl'!L69</f>
        <v>0.13344581977844236</v>
      </c>
      <c r="M6" s="202">
        <f>'SER_se-appl'!M69</f>
        <v>0.13799062709780804</v>
      </c>
      <c r="N6" s="202">
        <f>'SER_se-appl'!N69</f>
        <v>0.14414745838347034</v>
      </c>
      <c r="O6" s="202">
        <f>'SER_se-appl'!O69</f>
        <v>0.15129985708547752</v>
      </c>
      <c r="P6" s="202">
        <f>'SER_se-appl'!P69</f>
        <v>0.16051667754541279</v>
      </c>
      <c r="Q6" s="202">
        <f>'SER_se-appl'!Q69</f>
        <v>0.17158749889546709</v>
      </c>
      <c r="R6" s="202">
        <f>'SER_se-appl'!R69</f>
        <v>0.17771895036050916</v>
      </c>
      <c r="S6" s="202">
        <f>'SER_se-appl'!S69</f>
        <v>0.18394939420034281</v>
      </c>
      <c r="T6" s="202">
        <f>'SER_se-appl'!T69</f>
        <v>0.19103588268546998</v>
      </c>
      <c r="U6" s="202">
        <f>'SER_se-appl'!U69</f>
        <v>0.19707187197403089</v>
      </c>
      <c r="V6" s="202">
        <f>'SER_se-appl'!V69</f>
        <v>0.20204447049128771</v>
      </c>
      <c r="W6" s="202">
        <f>'SER_se-appl'!W69</f>
        <v>0.20629168257062719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360.36789959677179</v>
      </c>
      <c r="C8" s="34">
        <f>'SER_se-appl'!C21</f>
        <v>371.12474148590917</v>
      </c>
      <c r="D8" s="34">
        <f>'SER_se-appl'!D21</f>
        <v>386.21605205444706</v>
      </c>
      <c r="E8" s="34">
        <f>'SER_se-appl'!E21</f>
        <v>409.4595007615074</v>
      </c>
      <c r="F8" s="34">
        <f>'SER_se-appl'!F21</f>
        <v>436.24302479254675</v>
      </c>
      <c r="G8" s="34">
        <f>'SER_se-appl'!G21</f>
        <v>464.20249027879777</v>
      </c>
      <c r="H8" s="34">
        <f>'SER_se-appl'!H21</f>
        <v>486.76214832481003</v>
      </c>
      <c r="I8" s="34">
        <f>'SER_se-appl'!I21</f>
        <v>510.27590079859351</v>
      </c>
      <c r="J8" s="34">
        <f>'SER_se-appl'!J21</f>
        <v>532.09898354394079</v>
      </c>
      <c r="K8" s="34">
        <f>'SER_se-appl'!K21</f>
        <v>553.67786896103303</v>
      </c>
      <c r="L8" s="34">
        <f>'SER_se-appl'!L21</f>
        <v>574.19694529621142</v>
      </c>
      <c r="M8" s="34">
        <f>'SER_se-appl'!M21</f>
        <v>591.96005758992158</v>
      </c>
      <c r="N8" s="34">
        <f>'SER_se-appl'!N21</f>
        <v>616.37222568838513</v>
      </c>
      <c r="O8" s="34">
        <f>'SER_se-appl'!O21</f>
        <v>644.86117287829711</v>
      </c>
      <c r="P8" s="34">
        <f>'SER_se-appl'!P21</f>
        <v>681.68367084995691</v>
      </c>
      <c r="Q8" s="34">
        <f>'SER_se-appl'!Q21</f>
        <v>725.01140448299941</v>
      </c>
      <c r="R8" s="34">
        <f>'SER_se-appl'!R21</f>
        <v>744.7612959883246</v>
      </c>
      <c r="S8" s="34">
        <f>'SER_se-appl'!S21</f>
        <v>764.16496472918868</v>
      </c>
      <c r="T8" s="34">
        <f>'SER_se-appl'!T21</f>
        <v>784.2964791140181</v>
      </c>
      <c r="U8" s="34">
        <f>'SER_se-appl'!U21</f>
        <v>803.31342984665559</v>
      </c>
      <c r="V8" s="34">
        <f>'SER_se-appl'!V21</f>
        <v>819.92979859127661</v>
      </c>
      <c r="W8" s="34">
        <f>'SER_se-appl'!W21</f>
        <v>832.66646440236389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55.962987485084341</v>
      </c>
      <c r="D9" s="36">
        <f>'SER_se-appl'!D29</f>
        <v>62.243349345214767</v>
      </c>
      <c r="E9" s="36">
        <f>'SER_se-appl'!E29</f>
        <v>72.425141405864053</v>
      </c>
      <c r="F9" s="36">
        <f>'SER_se-appl'!F29</f>
        <v>78.082236864555398</v>
      </c>
      <c r="G9" s="36">
        <f>'SER_se-appl'!G29</f>
        <v>81.46632533533375</v>
      </c>
      <c r="H9" s="36">
        <f>'SER_se-appl'!H29</f>
        <v>78.369714337304742</v>
      </c>
      <c r="I9" s="36">
        <f>'SER_se-appl'!I29</f>
        <v>81.726146025236403</v>
      </c>
      <c r="J9" s="36">
        <f>'SER_se-appl'!J29</f>
        <v>77.786070230431619</v>
      </c>
      <c r="K9" s="36">
        <f>'SER_se-appl'!K29</f>
        <v>83.822234762307005</v>
      </c>
      <c r="L9" s="36">
        <f>'SER_se-appl'!L29</f>
        <v>92.944217741042451</v>
      </c>
      <c r="M9" s="36">
        <f>'SER_se-appl'!M29</f>
        <v>95.845349158265549</v>
      </c>
      <c r="N9" s="36">
        <f>'SER_se-appl'!N29</f>
        <v>105.8784934337973</v>
      </c>
      <c r="O9" s="36">
        <f>'SER_se-appl'!O29</f>
        <v>106.85866152721678</v>
      </c>
      <c r="P9" s="36">
        <f>'SER_se-appl'!P29</f>
        <v>118.5486439968962</v>
      </c>
      <c r="Q9" s="36">
        <f>'SER_se-appl'!Q29</f>
        <v>121.11380386347412</v>
      </c>
      <c r="R9" s="36">
        <f>'SER_se-appl'!R29</f>
        <v>103.57212626763214</v>
      </c>
      <c r="S9" s="36">
        <f>'SER_se-appl'!S29</f>
        <v>112.34788648190658</v>
      </c>
      <c r="T9" s="36">
        <f>'SER_se-appl'!T29</f>
        <v>115.97686354309496</v>
      </c>
      <c r="U9" s="36">
        <f>'SER_se-appl'!U29</f>
        <v>124.8954441664348</v>
      </c>
      <c r="V9" s="36">
        <f>'SER_se-appl'!V29</f>
        <v>123.4750302718378</v>
      </c>
      <c r="W9" s="36">
        <f>'SER_se-appl'!W29</f>
        <v>131.28530980798348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45.206145595946964</v>
      </c>
      <c r="D10" s="38">
        <f>'SER_se-appl'!D37</f>
        <v>47.152038776676875</v>
      </c>
      <c r="E10" s="38">
        <f>'SER_se-appl'!E37</f>
        <v>49.181692698803715</v>
      </c>
      <c r="F10" s="38">
        <f>'SER_se-appl'!F37</f>
        <v>51.298712833516049</v>
      </c>
      <c r="G10" s="38">
        <f>'SER_se-appl'!G37</f>
        <v>53.50685984908273</v>
      </c>
      <c r="H10" s="38">
        <f>'SER_se-appl'!H37</f>
        <v>55.810056291292426</v>
      </c>
      <c r="I10" s="38">
        <f>'SER_se-appl'!I37</f>
        <v>58.212393551452919</v>
      </c>
      <c r="J10" s="38">
        <f>'SER_se-appl'!J37</f>
        <v>55.962987485084341</v>
      </c>
      <c r="K10" s="38">
        <f>'SER_se-appl'!K37</f>
        <v>62.24334934521471</v>
      </c>
      <c r="L10" s="38">
        <f>'SER_se-appl'!L37</f>
        <v>72.425141405863997</v>
      </c>
      <c r="M10" s="38">
        <f>'SER_se-appl'!M37</f>
        <v>78.082236864555398</v>
      </c>
      <c r="N10" s="38">
        <f>'SER_se-appl'!N37</f>
        <v>81.46632533533375</v>
      </c>
      <c r="O10" s="38">
        <f>'SER_se-appl'!O37</f>
        <v>78.369714337304799</v>
      </c>
      <c r="P10" s="38">
        <f>'SER_se-appl'!P37</f>
        <v>81.726146025236403</v>
      </c>
      <c r="Q10" s="38">
        <f>'SER_se-appl'!Q37</f>
        <v>77.786070230431619</v>
      </c>
      <c r="R10" s="38">
        <f>'SER_se-appl'!R37</f>
        <v>83.822234762306948</v>
      </c>
      <c r="S10" s="38">
        <f>'SER_se-appl'!S37</f>
        <v>92.944217741042507</v>
      </c>
      <c r="T10" s="38">
        <f>'SER_se-appl'!T37</f>
        <v>95.845349158265549</v>
      </c>
      <c r="U10" s="38">
        <f>'SER_se-appl'!U37</f>
        <v>105.8784934337973</v>
      </c>
      <c r="V10" s="38">
        <f>'SER_se-appl'!V37</f>
        <v>106.85866152721678</v>
      </c>
      <c r="W10" s="38">
        <f>'SER_se-appl'!W37</f>
        <v>118.5486439968962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3729.2373139332112</v>
      </c>
      <c r="C12" s="205">
        <f>'SER_se-appl'!C45</f>
        <v>3755.5338116166522</v>
      </c>
      <c r="D12" s="205">
        <f>'SER_se-appl'!D45</f>
        <v>3770.6199920124009</v>
      </c>
      <c r="E12" s="205">
        <f>'SER_se-appl'!E45</f>
        <v>3788.0478663640556</v>
      </c>
      <c r="F12" s="205">
        <f>'SER_se-appl'!F45</f>
        <v>3800.3874333015137</v>
      </c>
      <c r="G12" s="205">
        <f>'SER_se-appl'!G45</f>
        <v>3802.8377931909226</v>
      </c>
      <c r="H12" s="205">
        <f>'SER_se-appl'!H45</f>
        <v>3808.0836611347318</v>
      </c>
      <c r="I12" s="205">
        <f>'SER_se-appl'!I45</f>
        <v>3809.9331990474602</v>
      </c>
      <c r="J12" s="205">
        <f>'SER_se-appl'!J45</f>
        <v>3810.693336118668</v>
      </c>
      <c r="K12" s="205">
        <f>'SER_se-appl'!K45</f>
        <v>3811.3930090313479</v>
      </c>
      <c r="L12" s="205">
        <f>'SER_se-appl'!L45</f>
        <v>3811.5068188963487</v>
      </c>
      <c r="M12" s="205">
        <f>'SER_se-appl'!M45</f>
        <v>3807.8687293372345</v>
      </c>
      <c r="N12" s="205">
        <f>'SER_se-appl'!N45</f>
        <v>3797.1510551740121</v>
      </c>
      <c r="O12" s="205">
        <f>'SER_se-appl'!O45</f>
        <v>3790.9499495204309</v>
      </c>
      <c r="P12" s="205">
        <f>'SER_se-appl'!P45</f>
        <v>3777.2234686334314</v>
      </c>
      <c r="Q12" s="205">
        <f>'SER_se-appl'!Q45</f>
        <v>3764.1285649487145</v>
      </c>
      <c r="R12" s="205">
        <f>'SER_se-appl'!R45</f>
        <v>3745.0469475569648</v>
      </c>
      <c r="S12" s="205">
        <f>'SER_se-appl'!S45</f>
        <v>3738.2540938281654</v>
      </c>
      <c r="T12" s="205">
        <f>'SER_se-appl'!T45</f>
        <v>3706.1557977705447</v>
      </c>
      <c r="U12" s="205">
        <f>'SER_se-appl'!U45</f>
        <v>3720.735997793478</v>
      </c>
      <c r="V12" s="205">
        <f>'SER_se-appl'!V45</f>
        <v>3736.413616543703</v>
      </c>
      <c r="W12" s="205">
        <f>'SER_se-appl'!W45</f>
        <v>3735.8649909937176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202.32898279477695</v>
      </c>
      <c r="C14" s="59">
        <f>'SER_se-appl'!C53</f>
        <v>199.85743549830968</v>
      </c>
      <c r="D14" s="59">
        <f>'SER_se-appl'!D53</f>
        <v>196.92247368661478</v>
      </c>
      <c r="E14" s="59">
        <f>'SER_se-appl'!E53</f>
        <v>193.6343501252293</v>
      </c>
      <c r="F14" s="59">
        <f>'SER_se-appl'!F53</f>
        <v>189.97391085043495</v>
      </c>
      <c r="G14" s="59">
        <f>'SER_se-appl'!G53</f>
        <v>185.95052189983696</v>
      </c>
      <c r="H14" s="59">
        <f>'SER_se-appl'!H53</f>
        <v>181.8410830868051</v>
      </c>
      <c r="I14" s="59">
        <f>'SER_se-appl'!I53</f>
        <v>177.45986076711498</v>
      </c>
      <c r="J14" s="59">
        <f>'SER_se-appl'!J53</f>
        <v>174.91723910784853</v>
      </c>
      <c r="K14" s="59">
        <f>'SER_se-appl'!K53</f>
        <v>172.04484332485868</v>
      </c>
      <c r="L14" s="59">
        <f>'SER_se-appl'!L53</f>
        <v>168.68003560964868</v>
      </c>
      <c r="M14" s="59">
        <f>'SER_se-appl'!M53</f>
        <v>165.12408117520638</v>
      </c>
      <c r="N14" s="59">
        <f>'SER_se-appl'!N53</f>
        <v>161.30719096830319</v>
      </c>
      <c r="O14" s="59">
        <f>'SER_se-appl'!O53</f>
        <v>157.19194824324137</v>
      </c>
      <c r="P14" s="59">
        <f>'SER_se-appl'!P53</f>
        <v>152.17490732379022</v>
      </c>
      <c r="Q14" s="59">
        <f>'SER_se-appl'!Q53</f>
        <v>146.51310627614959</v>
      </c>
      <c r="R14" s="59">
        <f>'SER_se-appl'!R53</f>
        <v>141.07292750134096</v>
      </c>
      <c r="S14" s="59">
        <f>'SER_se-appl'!S53</f>
        <v>135.01046851630227</v>
      </c>
      <c r="T14" s="59">
        <f>'SER_se-appl'!T53</f>
        <v>128.73386497639763</v>
      </c>
      <c r="U14" s="59">
        <f>'SER_se-appl'!U53</f>
        <v>121.93156259893006</v>
      </c>
      <c r="V14" s="59">
        <f>'SER_se-appl'!V53</f>
        <v>115.40098787962823</v>
      </c>
      <c r="W14" s="59">
        <f>'SER_se-appl'!W53</f>
        <v>109.33184495021459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185.93864352427101</v>
      </c>
      <c r="D15" s="63">
        <f>'SER_se-appl'!D61</f>
        <v>183.51848715153113</v>
      </c>
      <c r="E15" s="63">
        <f>'SER_se-appl'!E61</f>
        <v>182.00428172477427</v>
      </c>
      <c r="F15" s="63">
        <f>'SER_se-appl'!F61</f>
        <v>178.89581697083273</v>
      </c>
      <c r="G15" s="63">
        <f>'SER_se-appl'!G61</f>
        <v>175.16305418898662</v>
      </c>
      <c r="H15" s="63">
        <f>'SER_se-appl'!H61</f>
        <v>172.09011102920104</v>
      </c>
      <c r="I15" s="63">
        <f>'SER_se-appl'!I61</f>
        <v>169.07916372976646</v>
      </c>
      <c r="J15" s="63">
        <f>'SER_se-appl'!J61</f>
        <v>166.1669855196217</v>
      </c>
      <c r="K15" s="63">
        <f>'SER_se-appl'!K61</f>
        <v>162.33094273741213</v>
      </c>
      <c r="L15" s="63">
        <f>'SER_se-appl'!L61</f>
        <v>159.01822793583932</v>
      </c>
      <c r="M15" s="63">
        <f>'SER_se-appl'!M61</f>
        <v>155.04022999278564</v>
      </c>
      <c r="N15" s="63">
        <f>'SER_se-appl'!N61</f>
        <v>150.62834346031798</v>
      </c>
      <c r="O15" s="63">
        <f>'SER_se-appl'!O61</f>
        <v>144.38103954905648</v>
      </c>
      <c r="P15" s="63">
        <f>'SER_se-appl'!P61</f>
        <v>136.53765411099639</v>
      </c>
      <c r="Q15" s="63">
        <f>'SER_se-appl'!Q61</f>
        <v>127.26873266806771</v>
      </c>
      <c r="R15" s="63">
        <f>'SER_se-appl'!R61</f>
        <v>120.19571479570865</v>
      </c>
      <c r="S15" s="63">
        <f>'SER_se-appl'!S61</f>
        <v>114.68340707240711</v>
      </c>
      <c r="T15" s="63">
        <f>'SER_se-appl'!T61</f>
        <v>109.11773023100082</v>
      </c>
      <c r="U15" s="63">
        <f>'SER_se-appl'!U61</f>
        <v>103.54298248825249</v>
      </c>
      <c r="V15" s="63">
        <f>'SER_se-appl'!V61</f>
        <v>97.993996040746552</v>
      </c>
      <c r="W15" s="63">
        <f>'SER_se-appl'!W61</f>
        <v>95.994028575725707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49.723528796247145</v>
      </c>
      <c r="C3" s="199">
        <f>'SER_se-appl'!C6</f>
        <v>51.999971560779038</v>
      </c>
      <c r="D3" s="199">
        <f>'SER_se-appl'!D6</f>
        <v>54.151446765484998</v>
      </c>
      <c r="E3" s="199">
        <f>'SER_se-appl'!E6</f>
        <v>56.871062622492872</v>
      </c>
      <c r="F3" s="199">
        <f>'SER_se-appl'!F6</f>
        <v>58.970359097259042</v>
      </c>
      <c r="G3" s="199">
        <f>'SER_se-appl'!G6</f>
        <v>60.787857280875606</v>
      </c>
      <c r="H3" s="199">
        <f>'SER_se-appl'!H6</f>
        <v>63.198468261807143</v>
      </c>
      <c r="I3" s="199">
        <f>'SER_se-appl'!I6</f>
        <v>65.878099186278433</v>
      </c>
      <c r="J3" s="199">
        <f>'SER_se-appl'!J6</f>
        <v>67.053360662036596</v>
      </c>
      <c r="K3" s="199">
        <f>'SER_se-appl'!K6</f>
        <v>67.698741903208386</v>
      </c>
      <c r="L3" s="199">
        <f>'SER_se-appl'!L6</f>
        <v>68.278955056501658</v>
      </c>
      <c r="M3" s="199">
        <f>'SER_se-appl'!M6</f>
        <v>69.595422099505853</v>
      </c>
      <c r="N3" s="199">
        <f>'SER_se-appl'!N6</f>
        <v>69.371398988852206</v>
      </c>
      <c r="O3" s="199">
        <f>'SER_se-appl'!O6</f>
        <v>69.159086668587477</v>
      </c>
      <c r="P3" s="199">
        <f>'SER_se-appl'!P6</f>
        <v>70.999952536546687</v>
      </c>
      <c r="Q3" s="199">
        <f>'SER_se-appl'!Q6</f>
        <v>72.784727134623736</v>
      </c>
      <c r="R3" s="199">
        <f>'SER_se-appl'!R6</f>
        <v>69.832616576295109</v>
      </c>
      <c r="S3" s="199">
        <f>'SER_se-appl'!S6</f>
        <v>66.65547014212116</v>
      </c>
      <c r="T3" s="199">
        <f>'SER_se-appl'!T6</f>
        <v>63.802058873009656</v>
      </c>
      <c r="U3" s="199">
        <f>'SER_se-appl'!U6</f>
        <v>61.269289563286598</v>
      </c>
      <c r="V3" s="199">
        <f>'SER_se-appl'!V6</f>
        <v>49.558455538503814</v>
      </c>
      <c r="W3" s="199">
        <f>'SER_se-appl'!W6</f>
        <v>50.068986434721701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259.06237243178151</v>
      </c>
      <c r="C5" s="59">
        <f>'SER_se-appl'!C14</f>
        <v>269.21377518976595</v>
      </c>
      <c r="D5" s="59">
        <f>'SER_se-appl'!D14</f>
        <v>278.46381044262426</v>
      </c>
      <c r="E5" s="59">
        <f>'SER_se-appl'!E14</f>
        <v>290.4214170598238</v>
      </c>
      <c r="F5" s="59">
        <f>'SER_se-appl'!F14</f>
        <v>299.34687351070562</v>
      </c>
      <c r="G5" s="59">
        <f>'SER_se-appl'!G14</f>
        <v>307.12014171956287</v>
      </c>
      <c r="H5" s="59">
        <f>'SER_se-appl'!H14</f>
        <v>317.74837238897618</v>
      </c>
      <c r="I5" s="59">
        <f>'SER_se-appl'!I14</f>
        <v>330.12404956739488</v>
      </c>
      <c r="J5" s="59">
        <f>'SER_se-appl'!J14</f>
        <v>334.63051668715127</v>
      </c>
      <c r="K5" s="59">
        <f>'SER_se-appl'!K14</f>
        <v>337.33934420397026</v>
      </c>
      <c r="L5" s="59">
        <f>'SER_se-appl'!L14</f>
        <v>339.83761963180427</v>
      </c>
      <c r="M5" s="59">
        <f>'SER_se-appl'!M14</f>
        <v>345.23322971205829</v>
      </c>
      <c r="N5" s="59">
        <f>'SER_se-appl'!N14</f>
        <v>342.79274024351633</v>
      </c>
      <c r="O5" s="59">
        <f>'SER_se-appl'!O14</f>
        <v>340.75107999365611</v>
      </c>
      <c r="P5" s="59">
        <f>'SER_se-appl'!P14</f>
        <v>348.45395800667052</v>
      </c>
      <c r="Q5" s="59">
        <f>'SER_se-appl'!Q14</f>
        <v>355.91046909600135</v>
      </c>
      <c r="R5" s="59">
        <f>'SER_se-appl'!R14</f>
        <v>346.04852057543638</v>
      </c>
      <c r="S5" s="59">
        <f>'SER_se-appl'!S14</f>
        <v>334.09928320154688</v>
      </c>
      <c r="T5" s="59">
        <f>'SER_se-appl'!T14</f>
        <v>320.87370061031129</v>
      </c>
      <c r="U5" s="59">
        <f>'SER_se-appl'!U14</f>
        <v>302.19332224874665</v>
      </c>
      <c r="V5" s="59">
        <f>'SER_se-appl'!V14</f>
        <v>280.73848561228607</v>
      </c>
      <c r="W5" s="59">
        <f>'SER_se-appl'!W14</f>
        <v>257.09305946022732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166.68742504897176</v>
      </c>
      <c r="C6" s="202">
        <f>'SER_se-appl'!C70</f>
        <v>168.64152498219312</v>
      </c>
      <c r="D6" s="202">
        <f>'SER_se-appl'!D70</f>
        <v>170.55800133015939</v>
      </c>
      <c r="E6" s="202">
        <f>'SER_se-appl'!E70</f>
        <v>172.22277218870579</v>
      </c>
      <c r="F6" s="202">
        <f>'SER_se-appl'!F70</f>
        <v>175.32955254124388</v>
      </c>
      <c r="G6" s="202">
        <f>'SER_se-appl'!G70</f>
        <v>178.53272835731357</v>
      </c>
      <c r="H6" s="202">
        <f>'SER_se-appl'!H70</f>
        <v>181.49718463363899</v>
      </c>
      <c r="I6" s="202">
        <f>'SER_se-appl'!I70</f>
        <v>184.92132564194361</v>
      </c>
      <c r="J6" s="202">
        <f>'SER_se-appl'!J70</f>
        <v>188.83765270957849</v>
      </c>
      <c r="K6" s="202">
        <f>'SER_se-appl'!K70</f>
        <v>193.50082776347014</v>
      </c>
      <c r="L6" s="202">
        <f>'SER_se-appl'!L70</f>
        <v>200.10928695182392</v>
      </c>
      <c r="M6" s="202">
        <f>'SER_se-appl'!M70</f>
        <v>208.24199911371309</v>
      </c>
      <c r="N6" s="202">
        <f>'SER_se-appl'!N70</f>
        <v>217.04921606183706</v>
      </c>
      <c r="O6" s="202">
        <f>'SER_se-appl'!O70</f>
        <v>226.42560237109322</v>
      </c>
      <c r="P6" s="202">
        <f>'SER_se-appl'!P70</f>
        <v>236.90018292978058</v>
      </c>
      <c r="Q6" s="202">
        <f>'SER_se-appl'!Q70</f>
        <v>249.31141899669379</v>
      </c>
      <c r="R6" s="202">
        <f>'SER_se-appl'!R70</f>
        <v>255.97734335871135</v>
      </c>
      <c r="S6" s="202">
        <f>'SER_se-appl'!S70</f>
        <v>262.7448294001689</v>
      </c>
      <c r="T6" s="202">
        <f>'SER_se-appl'!T70</f>
        <v>269.1793025882929</v>
      </c>
      <c r="U6" s="202">
        <f>'SER_se-appl'!U70</f>
        <v>275.0149979269147</v>
      </c>
      <c r="V6" s="202">
        <f>'SER_se-appl'!V70</f>
        <v>279.7566295311828</v>
      </c>
      <c r="W6" s="202">
        <f>'SER_se-appl'!W70</f>
        <v>282.54456856276965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5.0812924810032243</v>
      </c>
      <c r="C8" s="34">
        <f>'SER_se-appl'!C22</f>
        <v>5.3458863719851824</v>
      </c>
      <c r="D8" s="34">
        <f>'SER_se-appl'!D22</f>
        <v>5.6327323087807351</v>
      </c>
      <c r="E8" s="34">
        <f>'SER_se-appl'!E22</f>
        <v>6.0070135763859582</v>
      </c>
      <c r="F8" s="34">
        <f>'SER_se-appl'!F22</f>
        <v>6.3519221489211084</v>
      </c>
      <c r="G8" s="34">
        <f>'SER_se-appl'!G22</f>
        <v>6.7075889478202786</v>
      </c>
      <c r="H8" s="34">
        <f>'SER_se-appl'!H22</f>
        <v>7.1756042454487972</v>
      </c>
      <c r="I8" s="34">
        <f>'SER_se-appl'!I22</f>
        <v>7.6920587354102894</v>
      </c>
      <c r="J8" s="34">
        <f>'SER_se-appl'!J22</f>
        <v>8.0233654878899703</v>
      </c>
      <c r="K8" s="34">
        <f>'SER_se-appl'!K22</f>
        <v>8.3388448373619806</v>
      </c>
      <c r="L8" s="34">
        <f>'SER_se-appl'!L22</f>
        <v>8.667711813091092</v>
      </c>
      <c r="M8" s="34">
        <f>'SER_se-appl'!M22</f>
        <v>9.1301404973992994</v>
      </c>
      <c r="N8" s="34">
        <f>'SER_se-appl'!N22</f>
        <v>9.4256137478239594</v>
      </c>
      <c r="O8" s="34">
        <f>'SER_se-appl'!O22</f>
        <v>9.8334322667615321</v>
      </c>
      <c r="P8" s="34">
        <f>'SER_se-appl'!P22</f>
        <v>10.593353937536918</v>
      </c>
      <c r="Q8" s="34">
        <f>'SER_se-appl'!Q22</f>
        <v>11.515048624929571</v>
      </c>
      <c r="R8" s="34">
        <f>'SER_se-appl'!R22</f>
        <v>11.935128669286488</v>
      </c>
      <c r="S8" s="34">
        <f>'SER_se-appl'!S22</f>
        <v>12.353076546587024</v>
      </c>
      <c r="T8" s="34">
        <f>'SER_se-appl'!T22</f>
        <v>12.791416702600415</v>
      </c>
      <c r="U8" s="34">
        <f>'SER_se-appl'!U22</f>
        <v>13.210239982508581</v>
      </c>
      <c r="V8" s="34">
        <f>'SER_se-appl'!V22</f>
        <v>13.58417374421559</v>
      </c>
      <c r="W8" s="34">
        <f>'SER_se-appl'!W22</f>
        <v>13.862531914673191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1.0581195066806748</v>
      </c>
      <c r="D9" s="36">
        <f>'SER_se-appl'!D30</f>
        <v>1.1009860403274789</v>
      </c>
      <c r="E9" s="36">
        <f>'SER_se-appl'!E30</f>
        <v>1.2095713893933455</v>
      </c>
      <c r="F9" s="36">
        <f>'SER_se-appl'!F30</f>
        <v>1.201898155200336</v>
      </c>
      <c r="G9" s="36">
        <f>'SER_se-appl'!G30</f>
        <v>1.2349195586761414</v>
      </c>
      <c r="H9" s="36">
        <f>'SER_se-appl'!H30</f>
        <v>1.3701095951708195</v>
      </c>
      <c r="I9" s="36">
        <f>'SER_se-appl'!I30</f>
        <v>1.574573996642167</v>
      </c>
      <c r="J9" s="36">
        <f>'SER_se-appl'!J30</f>
        <v>1.4322927928071598</v>
      </c>
      <c r="K9" s="36">
        <f>'SER_se-appl'!K30</f>
        <v>1.5250507388653558</v>
      </c>
      <c r="L9" s="36">
        <f>'SER_se-appl'!L30</f>
        <v>1.5307651309294474</v>
      </c>
      <c r="M9" s="36">
        <f>'SER_se-appl'!M30</f>
        <v>1.6973482429843489</v>
      </c>
      <c r="N9" s="36">
        <f>'SER_se-appl'!N30</f>
        <v>1.6655828455954795</v>
      </c>
      <c r="O9" s="36">
        <f>'SER_se-appl'!O30</f>
        <v>1.9823925155797397</v>
      </c>
      <c r="P9" s="36">
        <f>'SER_se-appl'!P30</f>
        <v>2.1922144635825447</v>
      </c>
      <c r="Q9" s="36">
        <f>'SER_se-appl'!Q30</f>
        <v>2.4467454262580102</v>
      </c>
      <c r="R9" s="36">
        <f>'SER_se-appl'!R30</f>
        <v>1.9508451752863643</v>
      </c>
      <c r="S9" s="36">
        <f>'SER_se-appl'!S30</f>
        <v>2.115296120284885</v>
      </c>
      <c r="T9" s="36">
        <f>'SER_se-appl'!T30</f>
        <v>2.1039230016088695</v>
      </c>
      <c r="U9" s="36">
        <f>'SER_se-appl'!U30</f>
        <v>2.4012157954879054</v>
      </c>
      <c r="V9" s="36">
        <f>'SER_se-appl'!V30</f>
        <v>2.5661482252895542</v>
      </c>
      <c r="W9" s="36">
        <f>'SER_se-appl'!W30</f>
        <v>2.725103596715611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0.79352561569871671</v>
      </c>
      <c r="D10" s="38">
        <f>'SER_se-appl'!D38</f>
        <v>0.81414010353192623</v>
      </c>
      <c r="E10" s="38">
        <f>'SER_se-appl'!E38</f>
        <v>0.83529012178812234</v>
      </c>
      <c r="F10" s="38">
        <f>'SER_se-appl'!F38</f>
        <v>0.85698958266518588</v>
      </c>
      <c r="G10" s="38">
        <f>'SER_se-appl'!G38</f>
        <v>0.87925275977697126</v>
      </c>
      <c r="H10" s="38">
        <f>'SER_se-appl'!H38</f>
        <v>0.90209429754230008</v>
      </c>
      <c r="I10" s="38">
        <f>'SER_se-appl'!I38</f>
        <v>1.0581195066806748</v>
      </c>
      <c r="J10" s="38">
        <f>'SER_se-appl'!J38</f>
        <v>1.1009860403274789</v>
      </c>
      <c r="K10" s="38">
        <f>'SER_se-appl'!K38</f>
        <v>1.2095713893933446</v>
      </c>
      <c r="L10" s="38">
        <f>'SER_se-appl'!L38</f>
        <v>1.201898155200336</v>
      </c>
      <c r="M10" s="38">
        <f>'SER_se-appl'!M38</f>
        <v>1.2349195586761414</v>
      </c>
      <c r="N10" s="38">
        <f>'SER_se-appl'!N38</f>
        <v>1.3701095951708204</v>
      </c>
      <c r="O10" s="38">
        <f>'SER_se-appl'!O38</f>
        <v>1.574573996642167</v>
      </c>
      <c r="P10" s="38">
        <f>'SER_se-appl'!P38</f>
        <v>1.4322927928071589</v>
      </c>
      <c r="Q10" s="38">
        <f>'SER_se-appl'!Q38</f>
        <v>1.5250507388653567</v>
      </c>
      <c r="R10" s="38">
        <f>'SER_se-appl'!R38</f>
        <v>1.5307651309294474</v>
      </c>
      <c r="S10" s="38">
        <f>'SER_se-appl'!S38</f>
        <v>1.6973482429843489</v>
      </c>
      <c r="T10" s="38">
        <f>'SER_se-appl'!T38</f>
        <v>1.6655828455954786</v>
      </c>
      <c r="U10" s="38">
        <f>'SER_se-appl'!U38</f>
        <v>1.9823925155797397</v>
      </c>
      <c r="V10" s="38">
        <f>'SER_se-appl'!V38</f>
        <v>2.1922144635825447</v>
      </c>
      <c r="W10" s="38">
        <f>'SER_se-appl'!W38</f>
        <v>2.4467454262580119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2232.2216633472431</v>
      </c>
      <c r="C12" s="205">
        <f>'SER_se-appl'!C46</f>
        <v>2246.3919939667703</v>
      </c>
      <c r="D12" s="205">
        <f>'SER_se-appl'!D46</f>
        <v>2261.6271927096718</v>
      </c>
      <c r="E12" s="205">
        <f>'SER_se-appl'!E46</f>
        <v>2277.4162628761928</v>
      </c>
      <c r="F12" s="205">
        <f>'SER_se-appl'!F46</f>
        <v>2291.072120639988</v>
      </c>
      <c r="G12" s="205">
        <f>'SER_se-appl'!G46</f>
        <v>2301.9095270609905</v>
      </c>
      <c r="H12" s="205">
        <f>'SER_se-appl'!H46</f>
        <v>2313.1453997978583</v>
      </c>
      <c r="I12" s="205">
        <f>'SER_se-appl'!I46</f>
        <v>2320.8315011899977</v>
      </c>
      <c r="J12" s="205">
        <f>'SER_se-appl'!J46</f>
        <v>2330.4227965214404</v>
      </c>
      <c r="K12" s="205">
        <f>'SER_se-appl'!K46</f>
        <v>2333.9595035741077</v>
      </c>
      <c r="L12" s="205">
        <f>'SER_se-appl'!L46</f>
        <v>2336.6578666819223</v>
      </c>
      <c r="M12" s="205">
        <f>'SER_se-appl'!M46</f>
        <v>2344.4868261735078</v>
      </c>
      <c r="N12" s="205">
        <f>'SER_se-appl'!N46</f>
        <v>2353.577761498731</v>
      </c>
      <c r="O12" s="205">
        <f>'SER_se-appl'!O46</f>
        <v>2360.4332463763481</v>
      </c>
      <c r="P12" s="205">
        <f>'SER_se-appl'!P46</f>
        <v>2369.6945579944622</v>
      </c>
      <c r="Q12" s="205">
        <f>'SER_se-appl'!Q46</f>
        <v>2378.3688598026247</v>
      </c>
      <c r="R12" s="205">
        <f>'SER_se-appl'!R46</f>
        <v>2346.9348443732702</v>
      </c>
      <c r="S12" s="205">
        <f>'SER_se-appl'!S46</f>
        <v>2320.2777040536907</v>
      </c>
      <c r="T12" s="205">
        <f>'SER_se-appl'!T46</f>
        <v>2312.4922462693644</v>
      </c>
      <c r="U12" s="205">
        <f>'SER_se-appl'!U46</f>
        <v>2357.9668548548761</v>
      </c>
      <c r="V12" s="205">
        <f>'SER_se-appl'!V46</f>
        <v>2053.0310856944211</v>
      </c>
      <c r="W12" s="205">
        <f>'SER_se-appl'!W46</f>
        <v>2264.9476164715229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50.983558494281674</v>
      </c>
      <c r="C14" s="59">
        <f>'SER_se-appl'!C54</f>
        <v>50.359053009537504</v>
      </c>
      <c r="D14" s="59">
        <f>'SER_se-appl'!D54</f>
        <v>49.436720081395229</v>
      </c>
      <c r="E14" s="59">
        <f>'SER_se-appl'!E54</f>
        <v>48.347055215838566</v>
      </c>
      <c r="F14" s="59">
        <f>'SER_se-appl'!F54</f>
        <v>47.126974558646083</v>
      </c>
      <c r="G14" s="59">
        <f>'SER_se-appl'!G54</f>
        <v>45.786965198480999</v>
      </c>
      <c r="H14" s="59">
        <f>'SER_se-appl'!H54</f>
        <v>44.28175823527495</v>
      </c>
      <c r="I14" s="59">
        <f>'SER_se-appl'!I54</f>
        <v>42.917515443254906</v>
      </c>
      <c r="J14" s="59">
        <f>'SER_se-appl'!J54</f>
        <v>41.707001530993985</v>
      </c>
      <c r="K14" s="59">
        <f>'SER_se-appl'!K54</f>
        <v>40.453965840991543</v>
      </c>
      <c r="L14" s="59">
        <f>'SER_se-appl'!L54</f>
        <v>39.207304875842532</v>
      </c>
      <c r="M14" s="59">
        <f>'SER_se-appl'!M54</f>
        <v>37.812477235196681</v>
      </c>
      <c r="N14" s="59">
        <f>'SER_se-appl'!N54</f>
        <v>36.368214252642701</v>
      </c>
      <c r="O14" s="59">
        <f>'SER_se-appl'!O54</f>
        <v>34.652303564996892</v>
      </c>
      <c r="P14" s="59">
        <f>'SER_se-appl'!P54</f>
        <v>32.893638791010723</v>
      </c>
      <c r="Q14" s="59">
        <f>'SER_se-appl'!Q54</f>
        <v>30.908290593360668</v>
      </c>
      <c r="R14" s="59">
        <f>'SER_se-appl'!R54</f>
        <v>28.994117295605495</v>
      </c>
      <c r="S14" s="59">
        <f>'SER_se-appl'!S54</f>
        <v>27.045836066955619</v>
      </c>
      <c r="T14" s="59">
        <f>'SER_se-appl'!T54</f>
        <v>25.085079164458747</v>
      </c>
      <c r="U14" s="59">
        <f>'SER_se-appl'!U54</f>
        <v>22.875687546091129</v>
      </c>
      <c r="V14" s="59">
        <f>'SER_se-appl'!V54</f>
        <v>20.666585314534135</v>
      </c>
      <c r="W14" s="59">
        <f>'SER_se-appl'!W54</f>
        <v>18.545894865576457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47.828399422886406</v>
      </c>
      <c r="D15" s="63">
        <f>'SER_se-appl'!D62</f>
        <v>46.102123900427806</v>
      </c>
      <c r="E15" s="63">
        <f>'SER_se-appl'!E62</f>
        <v>45.093385871532625</v>
      </c>
      <c r="F15" s="63">
        <f>'SER_se-appl'!F62</f>
        <v>43.778946444020363</v>
      </c>
      <c r="G15" s="63">
        <f>'SER_se-appl'!G62</f>
        <v>42.594436494790038</v>
      </c>
      <c r="H15" s="63">
        <f>'SER_se-appl'!H62</f>
        <v>41.32531313924558</v>
      </c>
      <c r="I15" s="63">
        <f>'SER_se-appl'!I62</f>
        <v>40.000558700578509</v>
      </c>
      <c r="J15" s="63">
        <f>'SER_se-appl'!J62</f>
        <v>38.584472561132173</v>
      </c>
      <c r="K15" s="63">
        <f>'SER_se-appl'!K62</f>
        <v>37.541371876253152</v>
      </c>
      <c r="L15" s="63">
        <f>'SER_se-appl'!L62</f>
        <v>36.005595686681964</v>
      </c>
      <c r="M15" s="63">
        <f>'SER_se-appl'!M62</f>
        <v>34.168776524307987</v>
      </c>
      <c r="N15" s="63">
        <f>'SER_se-appl'!N62</f>
        <v>32.528984511488972</v>
      </c>
      <c r="O15" s="63">
        <f>'SER_se-appl'!O62</f>
        <v>30.7417319487847</v>
      </c>
      <c r="P15" s="63">
        <f>'SER_se-appl'!P62</f>
        <v>28.723074782422508</v>
      </c>
      <c r="Q15" s="63">
        <f>'SER_se-appl'!Q62</f>
        <v>26.44697209312622</v>
      </c>
      <c r="R15" s="63">
        <f>'SER_se-appl'!R62</f>
        <v>23.197208291174896</v>
      </c>
      <c r="S15" s="63">
        <f>'SER_se-appl'!S62</f>
        <v>21.768619051959522</v>
      </c>
      <c r="T15" s="63">
        <f>'SER_se-appl'!T62</f>
        <v>19.465605901177838</v>
      </c>
      <c r="U15" s="63">
        <f>'SER_se-appl'!U62</f>
        <v>17.600167818768458</v>
      </c>
      <c r="V15" s="63">
        <f>'SER_se-appl'!V62</f>
        <v>16.176892250814948</v>
      </c>
      <c r="W15" s="63">
        <f>'SER_se-appl'!W62</f>
        <v>15.068631484198345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26.204719775556317</v>
      </c>
      <c r="C3" s="199">
        <f>'SER_se-appl'!C7</f>
        <v>29.11751229574319</v>
      </c>
      <c r="D3" s="199">
        <f>'SER_se-appl'!D7</f>
        <v>32.402367273482831</v>
      </c>
      <c r="E3" s="199">
        <f>'SER_se-appl'!E7</f>
        <v>35.253506442903948</v>
      </c>
      <c r="F3" s="199">
        <f>'SER_se-appl'!F7</f>
        <v>38.730812137459552</v>
      </c>
      <c r="G3" s="199">
        <f>'SER_se-appl'!G7</f>
        <v>41.756169462590819</v>
      </c>
      <c r="H3" s="199">
        <f>'SER_se-appl'!H7</f>
        <v>44.60398570362976</v>
      </c>
      <c r="I3" s="199">
        <f>'SER_se-appl'!I7</f>
        <v>46.747636389890417</v>
      </c>
      <c r="J3" s="199">
        <f>'SER_se-appl'!J7</f>
        <v>48.269414846505391</v>
      </c>
      <c r="K3" s="199">
        <f>'SER_se-appl'!K7</f>
        <v>48.943795456153211</v>
      </c>
      <c r="L3" s="199">
        <f>'SER_se-appl'!L7</f>
        <v>49.448304240010657</v>
      </c>
      <c r="M3" s="199">
        <f>'SER_se-appl'!M7</f>
        <v>49.157529566594789</v>
      </c>
      <c r="N3" s="199">
        <f>'SER_se-appl'!N7</f>
        <v>49.006380668578181</v>
      </c>
      <c r="O3" s="199">
        <f>'SER_se-appl'!O7</f>
        <v>48.995000870264739</v>
      </c>
      <c r="P3" s="199">
        <f>'SER_se-appl'!P7</f>
        <v>49.171528465342199</v>
      </c>
      <c r="Q3" s="199">
        <f>'SER_se-appl'!Q7</f>
        <v>49.489713389521235</v>
      </c>
      <c r="R3" s="199">
        <f>'SER_se-appl'!R7</f>
        <v>48.967376015530142</v>
      </c>
      <c r="S3" s="199">
        <f>'SER_se-appl'!S7</f>
        <v>48.591649067171375</v>
      </c>
      <c r="T3" s="199">
        <f>'SER_se-appl'!T7</f>
        <v>48.43520123509407</v>
      </c>
      <c r="U3" s="199">
        <f>'SER_se-appl'!U7</f>
        <v>48.455467738170583</v>
      </c>
      <c r="V3" s="199">
        <f>'SER_se-appl'!V7</f>
        <v>48.475136415747158</v>
      </c>
      <c r="W3" s="199">
        <f>'SER_se-appl'!W7</f>
        <v>48.166125137400805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34.790056049054797</v>
      </c>
      <c r="C5" s="59">
        <f>'SER_se-appl'!C15</f>
        <v>38.657153881220708</v>
      </c>
      <c r="D5" s="59">
        <f>'SER_se-appl'!D15</f>
        <v>43.0182113459595</v>
      </c>
      <c r="E5" s="59">
        <f>'SER_se-appl'!E15</f>
        <v>46.803456613124759</v>
      </c>
      <c r="F5" s="59">
        <f>'SER_se-appl'!F15</f>
        <v>51.420016570622643</v>
      </c>
      <c r="G5" s="59">
        <f>'SER_se-appl'!G15</f>
        <v>55.436558316202195</v>
      </c>
      <c r="H5" s="59">
        <f>'SER_se-appl'!H15</f>
        <v>59.217391978677419</v>
      </c>
      <c r="I5" s="59">
        <f>'SER_se-appl'!I15</f>
        <v>62.063357444569156</v>
      </c>
      <c r="J5" s="59">
        <f>'SER_se-appl'!J15</f>
        <v>64.083709436627558</v>
      </c>
      <c r="K5" s="59">
        <f>'SER_se-appl'!K15</f>
        <v>64.979034378431706</v>
      </c>
      <c r="L5" s="59">
        <f>'SER_se-appl'!L15</f>
        <v>65.648833140562104</v>
      </c>
      <c r="M5" s="59">
        <f>'SER_se-appl'!M15</f>
        <v>65.26279324880106</v>
      </c>
      <c r="N5" s="59">
        <f>'SER_se-appl'!N15</f>
        <v>65.062124106799558</v>
      </c>
      <c r="O5" s="59">
        <f>'SER_se-appl'!O15</f>
        <v>65.047015995568387</v>
      </c>
      <c r="P5" s="59">
        <f>'SER_se-appl'!P15</f>
        <v>65.281378544740861</v>
      </c>
      <c r="Q5" s="59">
        <f>'SER_se-appl'!Q15</f>
        <v>65.70380898631646</v>
      </c>
      <c r="R5" s="59">
        <f>'SER_se-appl'!R15</f>
        <v>65.010340532033752</v>
      </c>
      <c r="S5" s="59">
        <f>'SER_se-appl'!S15</f>
        <v>64.511515827762935</v>
      </c>
      <c r="T5" s="59">
        <f>'SER_se-appl'!T15</f>
        <v>64.303811685404582</v>
      </c>
      <c r="U5" s="59">
        <f>'SER_se-appl'!U15</f>
        <v>64.330718013119181</v>
      </c>
      <c r="V5" s="59">
        <f>'SER_se-appl'!V15</f>
        <v>64.356830652413194</v>
      </c>
      <c r="W5" s="59">
        <f>'SER_se-appl'!W15</f>
        <v>63.946579377622299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1.0806005984494771E-2</v>
      </c>
      <c r="C6" s="202">
        <f>'SER_se-appl'!C71</f>
        <v>1.2815979397999614E-2</v>
      </c>
      <c r="D6" s="202">
        <f>'SER_se-appl'!D71</f>
        <v>1.4530761858862401E-2</v>
      </c>
      <c r="E6" s="202">
        <f>'SER_se-appl'!E71</f>
        <v>1.6124191220172224E-2</v>
      </c>
      <c r="F6" s="202">
        <f>'SER_se-appl'!F71</f>
        <v>1.8086323984671138E-2</v>
      </c>
      <c r="G6" s="202">
        <f>'SER_se-appl'!G71</f>
        <v>1.9863831098483237E-2</v>
      </c>
      <c r="H6" s="202">
        <f>'SER_se-appl'!H71</f>
        <v>2.1624688764664755E-2</v>
      </c>
      <c r="I6" s="202">
        <f>'SER_se-appl'!I71</f>
        <v>2.3092629948771492E-2</v>
      </c>
      <c r="J6" s="202">
        <f>'SER_se-appl'!J71</f>
        <v>2.4311388773016505E-2</v>
      </c>
      <c r="K6" s="202">
        <f>'SER_se-appl'!K71</f>
        <v>2.5136761943663558E-2</v>
      </c>
      <c r="L6" s="202">
        <f>'SER_se-appl'!L71</f>
        <v>2.5967192917104601E-2</v>
      </c>
      <c r="M6" s="202">
        <f>'SER_se-appl'!M71</f>
        <v>2.6624565058131218E-2</v>
      </c>
      <c r="N6" s="202">
        <f>'SER_se-appl'!N71</f>
        <v>2.7450274336412998E-2</v>
      </c>
      <c r="O6" s="202">
        <f>'SER_se-appl'!O71</f>
        <v>2.8329974435591779E-2</v>
      </c>
      <c r="P6" s="202">
        <f>'SER_se-appl'!P71</f>
        <v>2.9492838045312119E-2</v>
      </c>
      <c r="Q6" s="202">
        <f>'SER_se-appl'!Q71</f>
        <v>3.0711226420247383E-2</v>
      </c>
      <c r="R6" s="202">
        <f>'SER_se-appl'!R71</f>
        <v>3.1402537698488768E-2</v>
      </c>
      <c r="S6" s="202">
        <f>'SER_se-appl'!S71</f>
        <v>3.2106593905437554E-2</v>
      </c>
      <c r="T6" s="202">
        <f>'SER_se-appl'!T71</f>
        <v>3.2977268387338769E-2</v>
      </c>
      <c r="U6" s="202">
        <f>'SER_se-appl'!U71</f>
        <v>3.3697344351131829E-2</v>
      </c>
      <c r="V6" s="202">
        <f>'SER_se-appl'!V71</f>
        <v>3.4294109348804475E-2</v>
      </c>
      <c r="W6" s="202">
        <f>'SER_se-appl'!W71</f>
        <v>3.4861117692943998E-2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48.602551326671588</v>
      </c>
      <c r="C8" s="34">
        <f>'SER_se-appl'!C23</f>
        <v>55.049834802043932</v>
      </c>
      <c r="D8" s="34">
        <f>'SER_se-appl'!D23</f>
        <v>62.562107998760915</v>
      </c>
      <c r="E8" s="34">
        <f>'SER_se-appl'!E23</f>
        <v>69.420834892269966</v>
      </c>
      <c r="F8" s="34">
        <f>'SER_se-appl'!F23</f>
        <v>77.874737338898129</v>
      </c>
      <c r="G8" s="34">
        <f>'SER_se-appl'!G23</f>
        <v>85.630214793038562</v>
      </c>
      <c r="H8" s="34">
        <f>'SER_se-appl'!H23</f>
        <v>93.256189176662815</v>
      </c>
      <c r="I8" s="34">
        <f>'SER_se-appl'!I23</f>
        <v>99.610752062924291</v>
      </c>
      <c r="J8" s="34">
        <f>'SER_se-appl'!J23</f>
        <v>104.82990611341766</v>
      </c>
      <c r="K8" s="34">
        <f>'SER_se-appl'!K23</f>
        <v>108.33431607775343</v>
      </c>
      <c r="L8" s="34">
        <f>'SER_se-appl'!L23</f>
        <v>111.73285814178477</v>
      </c>
      <c r="M8" s="34">
        <f>'SER_se-appl'!M23</f>
        <v>114.2155767865796</v>
      </c>
      <c r="N8" s="34">
        <f>'SER_se-appl'!N23</f>
        <v>117.37693385811259</v>
      </c>
      <c r="O8" s="34">
        <f>'SER_se-appl'!O23</f>
        <v>120.74631724091314</v>
      </c>
      <c r="P8" s="34">
        <f>'SER_se-appl'!P23</f>
        <v>125.25045004637391</v>
      </c>
      <c r="Q8" s="34">
        <f>'SER_se-appl'!Q23</f>
        <v>129.76463637309399</v>
      </c>
      <c r="R8" s="34">
        <f>'SER_se-appl'!R23</f>
        <v>131.59764125438824</v>
      </c>
      <c r="S8" s="34">
        <f>'SER_se-appl'!S23</f>
        <v>133.37762978768944</v>
      </c>
      <c r="T8" s="34">
        <f>'SER_se-appl'!T23</f>
        <v>135.38794452334062</v>
      </c>
      <c r="U8" s="34">
        <f>'SER_se-appl'!U23</f>
        <v>137.35866512192374</v>
      </c>
      <c r="V8" s="34">
        <f>'SER_se-appl'!V23</f>
        <v>139.17115426549111</v>
      </c>
      <c r="W8" s="34">
        <f>'SER_se-appl'!W23</f>
        <v>140.71184670550298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10.864434123559782</v>
      </c>
      <c r="D9" s="36">
        <f>'SER_se-appl'!D31</f>
        <v>12.022467524186524</v>
      </c>
      <c r="E9" s="36">
        <f>'SER_se-appl'!E31</f>
        <v>11.463924789552209</v>
      </c>
      <c r="F9" s="36">
        <f>'SER_se-appl'!F31</f>
        <v>13.156105084007436</v>
      </c>
      <c r="G9" s="36">
        <f>'SER_se-appl'!G31</f>
        <v>12.556728158691996</v>
      </c>
      <c r="H9" s="36">
        <f>'SER_se-appl'!H31</f>
        <v>12.528359522178107</v>
      </c>
      <c r="I9" s="36">
        <f>'SER_se-appl'!I31</f>
        <v>11.360212773264905</v>
      </c>
      <c r="J9" s="36">
        <f>'SER_se-appl'!J31</f>
        <v>10.330243873731703</v>
      </c>
      <c r="K9" s="36">
        <f>'SER_se-appl'!K31</f>
        <v>8.7231607301526708</v>
      </c>
      <c r="L9" s="36">
        <f>'SER_se-appl'!L31</f>
        <v>8.7272215624594338</v>
      </c>
      <c r="M9" s="36">
        <f>'SER_se-appl'!M31</f>
        <v>13.347152768354604</v>
      </c>
      <c r="N9" s="36">
        <f>'SER_se-appl'!N31</f>
        <v>15.183824595719514</v>
      </c>
      <c r="O9" s="36">
        <f>'SER_se-appl'!O31</f>
        <v>14.833308172352758</v>
      </c>
      <c r="P9" s="36">
        <f>'SER_se-appl'!P31</f>
        <v>17.660237889468206</v>
      </c>
      <c r="Q9" s="36">
        <f>'SER_se-appl'!Q31</f>
        <v>17.070914485412075</v>
      </c>
      <c r="R9" s="36">
        <f>'SER_se-appl'!R31</f>
        <v>14.361364403472351</v>
      </c>
      <c r="S9" s="36">
        <f>'SER_se-appl'!S31</f>
        <v>13.140201306566112</v>
      </c>
      <c r="T9" s="36">
        <f>'SER_se-appl'!T31</f>
        <v>12.340558609382882</v>
      </c>
      <c r="U9" s="36">
        <f>'SER_se-appl'!U31</f>
        <v>10.693881328735785</v>
      </c>
      <c r="V9" s="36">
        <f>'SER_se-appl'!V31</f>
        <v>10.539710706026824</v>
      </c>
      <c r="W9" s="36">
        <f>'SER_se-appl'!W31</f>
        <v>14.887845208366471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4.4171506481874374</v>
      </c>
      <c r="D10" s="38">
        <f>'SER_se-appl'!D39</f>
        <v>4.5101943274695415</v>
      </c>
      <c r="E10" s="38">
        <f>'SER_se-appl'!E39</f>
        <v>4.6051978960431654</v>
      </c>
      <c r="F10" s="38">
        <f>'SER_se-appl'!F39</f>
        <v>4.7022026373792727</v>
      </c>
      <c r="G10" s="38">
        <f>'SER_se-appl'!G39</f>
        <v>4.8012507045515633</v>
      </c>
      <c r="H10" s="38">
        <f>'SER_se-appl'!H39</f>
        <v>4.9023851385538535</v>
      </c>
      <c r="I10" s="38">
        <f>'SER_se-appl'!I39</f>
        <v>5.0056498870034289</v>
      </c>
      <c r="J10" s="38">
        <f>'SER_se-appl'!J39</f>
        <v>5.1110898232383306</v>
      </c>
      <c r="K10" s="38">
        <f>'SER_se-appl'!K39</f>
        <v>5.2187507658169068</v>
      </c>
      <c r="L10" s="38">
        <f>'SER_se-appl'!L39</f>
        <v>5.3286794984280874</v>
      </c>
      <c r="M10" s="38">
        <f>'SER_se-appl'!M39</f>
        <v>10.864434123559775</v>
      </c>
      <c r="N10" s="38">
        <f>'SER_se-appl'!N39</f>
        <v>12.022467524186524</v>
      </c>
      <c r="O10" s="38">
        <f>'SER_se-appl'!O39</f>
        <v>11.463924789552195</v>
      </c>
      <c r="P10" s="38">
        <f>'SER_se-appl'!P39</f>
        <v>13.156105084007436</v>
      </c>
      <c r="Q10" s="38">
        <f>'SER_se-appl'!Q39</f>
        <v>12.55672815869201</v>
      </c>
      <c r="R10" s="38">
        <f>'SER_se-appl'!R39</f>
        <v>12.528359522178107</v>
      </c>
      <c r="S10" s="38">
        <f>'SER_se-appl'!S39</f>
        <v>11.360212773264891</v>
      </c>
      <c r="T10" s="38">
        <f>'SER_se-appl'!T39</f>
        <v>10.330243873731689</v>
      </c>
      <c r="U10" s="38">
        <f>'SER_se-appl'!U39</f>
        <v>8.7231607301526708</v>
      </c>
      <c r="V10" s="38">
        <f>'SER_se-appl'!V39</f>
        <v>8.727221562459448</v>
      </c>
      <c r="W10" s="38">
        <f>'SER_se-appl'!W39</f>
        <v>13.34715276835459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8760.0000000000018</v>
      </c>
      <c r="E12" s="205">
        <f>'SER_se-appl'!E47</f>
        <v>8760</v>
      </c>
      <c r="F12" s="205">
        <f>'SER_se-appl'!F47</f>
        <v>8760.0000000000036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8759.9999999999982</v>
      </c>
      <c r="M12" s="205">
        <f>'SER_se-appl'!M47</f>
        <v>8760.0000000000018</v>
      </c>
      <c r="N12" s="205">
        <f>'SER_se-appl'!N47</f>
        <v>8760.0000000000018</v>
      </c>
      <c r="O12" s="205">
        <f>'SER_se-appl'!O47</f>
        <v>8759.9999999999982</v>
      </c>
      <c r="P12" s="205">
        <f>'SER_se-appl'!P47</f>
        <v>8759.9999999999982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715.80719734692366</v>
      </c>
      <c r="C14" s="59">
        <f>'SER_se-appl'!C55</f>
        <v>702.22106969493416</v>
      </c>
      <c r="D14" s="59">
        <f>'SER_se-appl'!D55</f>
        <v>687.60808614075961</v>
      </c>
      <c r="E14" s="59">
        <f>'SER_se-appl'!E55</f>
        <v>674.19898774994908</v>
      </c>
      <c r="F14" s="59">
        <f>'SER_se-appl'!F55</f>
        <v>660.29136441065771</v>
      </c>
      <c r="G14" s="59">
        <f>'SER_se-appl'!G55</f>
        <v>647.39482961928752</v>
      </c>
      <c r="H14" s="59">
        <f>'SER_se-appl'!H55</f>
        <v>634.99691014069936</v>
      </c>
      <c r="I14" s="59">
        <f>'SER_se-appl'!I55</f>
        <v>623.05881804168712</v>
      </c>
      <c r="J14" s="59">
        <f>'SER_se-appl'!J55</f>
        <v>611.31133101744888</v>
      </c>
      <c r="K14" s="59">
        <f>'SER_se-appl'!K55</f>
        <v>599.8010300983035</v>
      </c>
      <c r="L14" s="59">
        <f>'SER_se-appl'!L55</f>
        <v>587.55172142160916</v>
      </c>
      <c r="M14" s="59">
        <f>'SER_se-appl'!M55</f>
        <v>571.40011095640216</v>
      </c>
      <c r="N14" s="59">
        <f>'SER_se-appl'!N55</f>
        <v>554.30076394266575</v>
      </c>
      <c r="O14" s="59">
        <f>'SER_se-appl'!O55</f>
        <v>538.70807393476468</v>
      </c>
      <c r="P14" s="59">
        <f>'SER_se-appl'!P55</f>
        <v>521.20673834361844</v>
      </c>
      <c r="Q14" s="59">
        <f>'SER_se-appl'!Q55</f>
        <v>506.33062152162586</v>
      </c>
      <c r="R14" s="59">
        <f>'SER_se-appl'!R55</f>
        <v>494.00840252420505</v>
      </c>
      <c r="S14" s="59">
        <f>'SER_se-appl'!S55</f>
        <v>483.67568032549678</v>
      </c>
      <c r="T14" s="59">
        <f>'SER_se-appl'!T55</f>
        <v>474.95965694581275</v>
      </c>
      <c r="U14" s="59">
        <f>'SER_se-appl'!U55</f>
        <v>468.34117058444963</v>
      </c>
      <c r="V14" s="59">
        <f>'SER_se-appl'!V55</f>
        <v>462.4293805140274</v>
      </c>
      <c r="W14" s="59">
        <f>'SER_se-appl'!W55</f>
        <v>454.45057310246693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646.96660479184266</v>
      </c>
      <c r="D15" s="63">
        <f>'SER_se-appl'!D63</f>
        <v>631.27531935573211</v>
      </c>
      <c r="E15" s="63">
        <f>'SER_se-appl'!E63</f>
        <v>617.73600196800328</v>
      </c>
      <c r="F15" s="63">
        <f>'SER_se-appl'!F63</f>
        <v>606.74723998830643</v>
      </c>
      <c r="G15" s="63">
        <f>'SER_se-appl'!G63</f>
        <v>593.57114862801564</v>
      </c>
      <c r="H15" s="63">
        <f>'SER_se-appl'!H63</f>
        <v>581.87955222019957</v>
      </c>
      <c r="I15" s="63">
        <f>'SER_se-appl'!I63</f>
        <v>565.92652010336485</v>
      </c>
      <c r="J15" s="63">
        <f>'SER_se-appl'!J63</f>
        <v>549.73599299622026</v>
      </c>
      <c r="K15" s="63">
        <f>'SER_se-appl'!K63</f>
        <v>530.8791668974111</v>
      </c>
      <c r="L15" s="63">
        <f>'SER_se-appl'!L63</f>
        <v>513.80681324155</v>
      </c>
      <c r="M15" s="63">
        <f>'SER_se-appl'!M63</f>
        <v>497.7006168606228</v>
      </c>
      <c r="N15" s="63">
        <f>'SER_se-appl'!N63</f>
        <v>486.62429134331893</v>
      </c>
      <c r="O15" s="63">
        <f>'SER_se-appl'!O63</f>
        <v>476.39885000837614</v>
      </c>
      <c r="P15" s="63">
        <f>'SER_se-appl'!P63</f>
        <v>465.27079925634786</v>
      </c>
      <c r="Q15" s="63">
        <f>'SER_se-appl'!Q63</f>
        <v>461.35442857911067</v>
      </c>
      <c r="R15" s="63">
        <f>'SER_se-appl'!R63</f>
        <v>459.32458708039115</v>
      </c>
      <c r="S15" s="63">
        <f>'SER_se-appl'!S63</f>
        <v>451.30366268996704</v>
      </c>
      <c r="T15" s="63">
        <f>'SER_se-appl'!T63</f>
        <v>443.35130237141482</v>
      </c>
      <c r="U15" s="63">
        <f>'SER_se-appl'!U63</f>
        <v>435.56221409845119</v>
      </c>
      <c r="V15" s="63">
        <f>'SER_se-appl'!V63</f>
        <v>427.92621776375796</v>
      </c>
      <c r="W15" s="63">
        <f>'SER_se-appl'!W63</f>
        <v>418.63915188006058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7.9416091829753093</v>
      </c>
      <c r="C3" s="199">
        <f>'SER_se-appl'!C8</f>
        <v>9.3667190055608174</v>
      </c>
      <c r="D3" s="199">
        <f>'SER_se-appl'!D8</f>
        <v>10.991898118793026</v>
      </c>
      <c r="E3" s="199">
        <f>'SER_se-appl'!E8</f>
        <v>13.283600077571426</v>
      </c>
      <c r="F3" s="199">
        <f>'SER_se-appl'!F8</f>
        <v>15.567386045193862</v>
      </c>
      <c r="G3" s="199">
        <f>'SER_se-appl'!G8</f>
        <v>18.180300798840435</v>
      </c>
      <c r="H3" s="199">
        <f>'SER_se-appl'!H8</f>
        <v>20.79636511842002</v>
      </c>
      <c r="I3" s="199">
        <f>'SER_se-appl'!I8</f>
        <v>23.19166333899982</v>
      </c>
      <c r="J3" s="199">
        <f>'SER_se-appl'!J8</f>
        <v>24.426569591537611</v>
      </c>
      <c r="K3" s="199">
        <f>'SER_se-appl'!K8</f>
        <v>25.273622170678429</v>
      </c>
      <c r="L3" s="199">
        <f>'SER_se-appl'!L8</f>
        <v>25.811935892747329</v>
      </c>
      <c r="M3" s="199">
        <f>'SER_se-appl'!M8</f>
        <v>26.305532852122852</v>
      </c>
      <c r="N3" s="199">
        <f>'SER_se-appl'!N8</f>
        <v>26.247851276117789</v>
      </c>
      <c r="O3" s="199">
        <f>'SER_se-appl'!O8</f>
        <v>26.222646937233943</v>
      </c>
      <c r="P3" s="199">
        <f>'SER_se-appl'!P8</f>
        <v>26.877445479359316</v>
      </c>
      <c r="Q3" s="199">
        <f>'SER_se-appl'!Q8</f>
        <v>27.521972477604599</v>
      </c>
      <c r="R3" s="199">
        <f>'SER_se-appl'!R8</f>
        <v>28.08591980988027</v>
      </c>
      <c r="S3" s="199">
        <f>'SER_se-appl'!S8</f>
        <v>28.09708688996378</v>
      </c>
      <c r="T3" s="199">
        <f>'SER_se-appl'!T8</f>
        <v>27.763067186770897</v>
      </c>
      <c r="U3" s="199">
        <f>'SER_se-appl'!U8</f>
        <v>27.826803423249409</v>
      </c>
      <c r="V3" s="199">
        <f>'SER_se-appl'!V8</f>
        <v>24.253152225748185</v>
      </c>
      <c r="W3" s="199">
        <f>'SER_se-appl'!W8</f>
        <v>26.748952458717323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100.30427732567888</v>
      </c>
      <c r="C5" s="59">
        <f>'SER_se-appl'!C16</f>
        <v>117.74129274775196</v>
      </c>
      <c r="D5" s="59">
        <f>'SER_se-appl'!D16</f>
        <v>137.57026512920481</v>
      </c>
      <c r="E5" s="59">
        <f>'SER_se-appl'!E16</f>
        <v>165.58826916044754</v>
      </c>
      <c r="F5" s="59">
        <f>'SER_se-appl'!F16</f>
        <v>193.33934179413907</v>
      </c>
      <c r="G5" s="59">
        <f>'SER_se-appl'!G16</f>
        <v>225.01291387818759</v>
      </c>
      <c r="H5" s="59">
        <f>'SER_se-appl'!H16</f>
        <v>256.56202617532284</v>
      </c>
      <c r="I5" s="59">
        <f>'SER_se-appl'!I16</f>
        <v>285.24654585358905</v>
      </c>
      <c r="J5" s="59">
        <f>'SER_se-appl'!J16</f>
        <v>299.57791712706529</v>
      </c>
      <c r="K5" s="59">
        <f>'SER_se-appl'!K16</f>
        <v>309.12971311643855</v>
      </c>
      <c r="L5" s="59">
        <f>'SER_se-appl'!L16</f>
        <v>314.90533636807305</v>
      </c>
      <c r="M5" s="59">
        <f>'SER_se-appl'!M16</f>
        <v>320.4057016999011</v>
      </c>
      <c r="N5" s="59">
        <f>'SER_se-appl'!N16</f>
        <v>319.20776167089252</v>
      </c>
      <c r="O5" s="59">
        <f>'SER_se-appl'!O16</f>
        <v>318.42907018994254</v>
      </c>
      <c r="P5" s="59">
        <f>'SER_se-appl'!P16</f>
        <v>325.91778275085375</v>
      </c>
      <c r="Q5" s="59">
        <f>'SER_se-appl'!Q16</f>
        <v>333.27954896719837</v>
      </c>
      <c r="R5" s="59">
        <f>'SER_se-appl'!R16</f>
        <v>338.46502705141017</v>
      </c>
      <c r="S5" s="59">
        <f>'SER_se-appl'!S16</f>
        <v>342.62447093530341</v>
      </c>
      <c r="T5" s="59">
        <f>'SER_se-appl'!T16</f>
        <v>344.91634309893368</v>
      </c>
      <c r="U5" s="59">
        <f>'SER_se-appl'!U16</f>
        <v>346.94806280292295</v>
      </c>
      <c r="V5" s="59">
        <f>'SER_se-appl'!V16</f>
        <v>347.3053795863824</v>
      </c>
      <c r="W5" s="59">
        <f>'SER_se-appl'!W16</f>
        <v>347.20619040385429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62.503808979266609</v>
      </c>
      <c r="C6" s="202">
        <f>'SER_se-appl'!C72</f>
        <v>71.408987973183102</v>
      </c>
      <c r="D6" s="202">
        <f>'SER_se-appl'!D72</f>
        <v>81.091436243701366</v>
      </c>
      <c r="E6" s="202">
        <f>'SER_se-appl'!E72</f>
        <v>93.792569925381358</v>
      </c>
      <c r="F6" s="202">
        <f>'SER_se-appl'!F72</f>
        <v>106.78694512330014</v>
      </c>
      <c r="G6" s="202">
        <f>'SER_se-appl'!G72</f>
        <v>121.37664616027151</v>
      </c>
      <c r="H6" s="202">
        <f>'SER_se-appl'!H72</f>
        <v>133.12409736330758</v>
      </c>
      <c r="I6" s="202">
        <f>'SER_se-appl'!I72</f>
        <v>142.35434417241694</v>
      </c>
      <c r="J6" s="202">
        <f>'SER_se-appl'!J72</f>
        <v>147.57315804945671</v>
      </c>
      <c r="K6" s="202">
        <f>'SER_se-appl'!K72</f>
        <v>151.28378315498492</v>
      </c>
      <c r="L6" s="202">
        <f>'SER_se-appl'!L72</f>
        <v>154.52381150580473</v>
      </c>
      <c r="M6" s="202">
        <f>'SER_se-appl'!M72</f>
        <v>156.81149142366172</v>
      </c>
      <c r="N6" s="202">
        <f>'SER_se-appl'!N72</f>
        <v>158.99046796444782</v>
      </c>
      <c r="O6" s="202">
        <f>'SER_se-appl'!O72</f>
        <v>160.21353271168434</v>
      </c>
      <c r="P6" s="202">
        <f>'SER_se-appl'!P72</f>
        <v>162.15372089568521</v>
      </c>
      <c r="Q6" s="202">
        <f>'SER_se-appl'!Q72</f>
        <v>163.89074676871897</v>
      </c>
      <c r="R6" s="202">
        <f>'SER_se-appl'!R72</f>
        <v>168.9424728377783</v>
      </c>
      <c r="S6" s="202">
        <f>'SER_se-appl'!S72</f>
        <v>174.0150161415973</v>
      </c>
      <c r="T6" s="202">
        <f>'SER_se-appl'!T72</f>
        <v>178.99828002027209</v>
      </c>
      <c r="U6" s="202">
        <f>'SER_se-appl'!U72</f>
        <v>183.82548932571106</v>
      </c>
      <c r="V6" s="202">
        <f>'SER_se-appl'!V72</f>
        <v>188.37235157842866</v>
      </c>
      <c r="W6" s="202">
        <f>'SER_se-appl'!W72</f>
        <v>192.5570471903838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1.9053634940194211</v>
      </c>
      <c r="C8" s="34">
        <f>'SER_se-appl'!C24</f>
        <v>2.2636437596458032</v>
      </c>
      <c r="D8" s="34">
        <f>'SER_se-appl'!D24</f>
        <v>2.6780705058283352</v>
      </c>
      <c r="E8" s="34">
        <f>'SER_se-appl'!E24</f>
        <v>3.2714212745835898</v>
      </c>
      <c r="F8" s="34">
        <f>'SER_se-appl'!F24</f>
        <v>3.8687280730084099</v>
      </c>
      <c r="G8" s="34">
        <f>'SER_se-appl'!G24</f>
        <v>4.5601983333762144</v>
      </c>
      <c r="H8" s="34">
        <f>'SER_se-appl'!H24</f>
        <v>5.2631441095899074</v>
      </c>
      <c r="I8" s="34">
        <f>'SER_se-appl'!I24</f>
        <v>5.9214261676624957</v>
      </c>
      <c r="J8" s="34">
        <f>'SER_se-appl'!J24</f>
        <v>6.2701127992409367</v>
      </c>
      <c r="K8" s="34">
        <f>'SER_se-appl'!K24</f>
        <v>6.5195172998463651</v>
      </c>
      <c r="L8" s="34">
        <f>'SER_se-appl'!L24</f>
        <v>6.6931819446999281</v>
      </c>
      <c r="M8" s="34">
        <f>'SER_se-appl'!M24</f>
        <v>6.8752266804879909</v>
      </c>
      <c r="N8" s="34">
        <f>'SER_se-appl'!N24</f>
        <v>6.9043453268760926</v>
      </c>
      <c r="O8" s="34">
        <f>'SER_se-appl'!O24</f>
        <v>6.9579098195658009</v>
      </c>
      <c r="P8" s="34">
        <f>'SER_se-appl'!P24</f>
        <v>7.2509515885250577</v>
      </c>
      <c r="Q8" s="34">
        <f>'SER_se-appl'!Q24</f>
        <v>7.5696890491921076</v>
      </c>
      <c r="R8" s="34">
        <f>'SER_se-appl'!R24</f>
        <v>7.8770649174240734</v>
      </c>
      <c r="S8" s="34">
        <f>'SER_se-appl'!S24</f>
        <v>8.1814010177105541</v>
      </c>
      <c r="T8" s="34">
        <f>'SER_se-appl'!T24</f>
        <v>8.5060090682010543</v>
      </c>
      <c r="U8" s="34">
        <f>'SER_se-appl'!U24</f>
        <v>8.8299868996237603</v>
      </c>
      <c r="V8" s="34">
        <f>'SER_se-appl'!V24</f>
        <v>9.1468172058550472</v>
      </c>
      <c r="W8" s="34">
        <f>'SER_se-appl'!W24</f>
        <v>9.4474589465658525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0.4125496947365086</v>
      </c>
      <c r="D9" s="36">
        <f>'SER_se-appl'!D32</f>
        <v>0.4748031942573343</v>
      </c>
      <c r="E9" s="36">
        <f>'SER_se-appl'!E32</f>
        <v>0.66052146765337749</v>
      </c>
      <c r="F9" s="36">
        <f>'SER_se-appl'!F32</f>
        <v>0.67203631522038165</v>
      </c>
      <c r="G9" s="36">
        <f>'SER_se-appl'!G32</f>
        <v>0.77460919999634736</v>
      </c>
      <c r="H9" s="36">
        <f>'SER_se-appl'!H32</f>
        <v>0.79544046343973296</v>
      </c>
      <c r="I9" s="36">
        <f>'SER_se-appl'!I32</f>
        <v>0.76118530898325698</v>
      </c>
      <c r="J9" s="36">
        <f>'SER_se-appl'!J32</f>
        <v>0.46316973720921428</v>
      </c>
      <c r="K9" s="36">
        <f>'SER_se-appl'!K32</f>
        <v>0.37677055910094293</v>
      </c>
      <c r="L9" s="36">
        <f>'SER_se-appl'!L32</f>
        <v>0.31536339391616952</v>
      </c>
      <c r="M9" s="36">
        <f>'SER_se-appl'!M32</f>
        <v>0.33968905424370988</v>
      </c>
      <c r="N9" s="36">
        <f>'SER_se-appl'!N32</f>
        <v>0.20450291269778731</v>
      </c>
      <c r="O9" s="36">
        <f>'SER_se-appl'!O32</f>
        <v>0.24868500937132243</v>
      </c>
      <c r="P9" s="36">
        <f>'SER_se-appl'!P32</f>
        <v>0.51011948539976171</v>
      </c>
      <c r="Q9" s="36">
        <f>'SER_se-appl'!Q32</f>
        <v>0.56024325296625932</v>
      </c>
      <c r="R9" s="36">
        <f>'SER_se-appl'!R32</f>
        <v>0.71992556296847443</v>
      </c>
      <c r="S9" s="36">
        <f>'SER_se-appl'!S32</f>
        <v>0.77913929454381492</v>
      </c>
      <c r="T9" s="36">
        <f>'SER_se-appl'!T32</f>
        <v>0.98512951814387772</v>
      </c>
      <c r="U9" s="36">
        <f>'SER_se-appl'!U32</f>
        <v>0.99601414664308763</v>
      </c>
      <c r="V9" s="36">
        <f>'SER_se-appl'!V32</f>
        <v>1.0914395062276334</v>
      </c>
      <c r="W9" s="36">
        <f>'SER_se-appl'!W32</f>
        <v>1.0960822041505374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5.4269429110126666E-2</v>
      </c>
      <c r="D10" s="38">
        <f>'SER_se-appl'!D40</f>
        <v>6.0376448074802358E-2</v>
      </c>
      <c r="E10" s="38">
        <f>'SER_se-appl'!E40</f>
        <v>6.7170698898122883E-2</v>
      </c>
      <c r="F10" s="38">
        <f>'SER_se-appl'!F40</f>
        <v>7.4729516795561501E-2</v>
      </c>
      <c r="G10" s="38">
        <f>'SER_se-appl'!G40</f>
        <v>8.3138939628542907E-2</v>
      </c>
      <c r="H10" s="38">
        <f>'SER_se-appl'!H40</f>
        <v>9.2494687226039929E-2</v>
      </c>
      <c r="I10" s="38">
        <f>'SER_se-appl'!I40</f>
        <v>0.10290325091066865</v>
      </c>
      <c r="J10" s="38">
        <f>'SER_se-appl'!J40</f>
        <v>0.11448310563077335</v>
      </c>
      <c r="K10" s="38">
        <f>'SER_se-appl'!K40</f>
        <v>0.12736605849551452</v>
      </c>
      <c r="L10" s="38">
        <f>'SER_se-appl'!L40</f>
        <v>0.14169874906260649</v>
      </c>
      <c r="M10" s="38">
        <f>'SER_se-appl'!M40</f>
        <v>0.15764431845564708</v>
      </c>
      <c r="N10" s="38">
        <f>'SER_se-appl'!N40</f>
        <v>0.17538426630968562</v>
      </c>
      <c r="O10" s="38">
        <f>'SER_se-appl'!O40</f>
        <v>0.19512051668161412</v>
      </c>
      <c r="P10" s="38">
        <f>'SER_se-appl'!P40</f>
        <v>0.21707771644050489</v>
      </c>
      <c r="Q10" s="38">
        <f>'SER_se-appl'!Q40</f>
        <v>0.24150579229920943</v>
      </c>
      <c r="R10" s="38">
        <f>'SER_se-appl'!R40</f>
        <v>0.4125496947365086</v>
      </c>
      <c r="S10" s="38">
        <f>'SER_se-appl'!S40</f>
        <v>0.47480319425733519</v>
      </c>
      <c r="T10" s="38">
        <f>'SER_se-appl'!T40</f>
        <v>0.6605214676533766</v>
      </c>
      <c r="U10" s="38">
        <f>'SER_se-appl'!U40</f>
        <v>0.67203631522038165</v>
      </c>
      <c r="V10" s="38">
        <f>'SER_se-appl'!V40</f>
        <v>0.77460919999634648</v>
      </c>
      <c r="W10" s="38">
        <f>'SER_se-appl'!W40</f>
        <v>0.79544046343973207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920.80734003112696</v>
      </c>
      <c r="C12" s="205">
        <f>'SER_se-appl'!C48</f>
        <v>925.20592811948893</v>
      </c>
      <c r="D12" s="205">
        <f>'SER_se-appl'!D48</f>
        <v>929.239868815406</v>
      </c>
      <c r="E12" s="205">
        <f>'SER_se-appl'!E48</f>
        <v>932.96626437023474</v>
      </c>
      <c r="F12" s="205">
        <f>'SER_se-appl'!F48</f>
        <v>936.42968898890172</v>
      </c>
      <c r="G12" s="205">
        <f>'SER_se-appl'!G48</f>
        <v>939.66561583650787</v>
      </c>
      <c r="H12" s="205">
        <f>'SER_se-appl'!H48</f>
        <v>942.70274495707133</v>
      </c>
      <c r="I12" s="205">
        <f>'SER_se-appl'!I48</f>
        <v>945.56463015334441</v>
      </c>
      <c r="J12" s="205">
        <f>'SER_se-appl'!J48</f>
        <v>948.27084410594296</v>
      </c>
      <c r="K12" s="205">
        <f>'SER_se-appl'!K48</f>
        <v>950.83783076612872</v>
      </c>
      <c r="L12" s="205">
        <f>'SER_se-appl'!L48</f>
        <v>953.27954074990635</v>
      </c>
      <c r="M12" s="205">
        <f>'SER_se-appl'!M48</f>
        <v>954.83115764504271</v>
      </c>
      <c r="N12" s="205">
        <f>'SER_se-appl'!N48</f>
        <v>956.31293156329832</v>
      </c>
      <c r="O12" s="205">
        <f>'SER_se-appl'!O48</f>
        <v>957.73097505864314</v>
      </c>
      <c r="P12" s="205">
        <f>'SER_se-appl'!P48</f>
        <v>959.09062796951673</v>
      </c>
      <c r="Q12" s="205">
        <f>'SER_se-appl'!Q48</f>
        <v>960.39658270794177</v>
      </c>
      <c r="R12" s="205">
        <f>'SER_se-appl'!R48</f>
        <v>965.06055657943534</v>
      </c>
      <c r="S12" s="205">
        <f>'SER_se-appl'!S48</f>
        <v>953.72382374865879</v>
      </c>
      <c r="T12" s="205">
        <f>'SER_se-appl'!T48</f>
        <v>936.12401338005407</v>
      </c>
      <c r="U12" s="205">
        <f>'SER_se-appl'!U48</f>
        <v>932.77858708270094</v>
      </c>
      <c r="V12" s="205">
        <f>'SER_se-appl'!V48</f>
        <v>812.15027743414475</v>
      </c>
      <c r="W12" s="205">
        <f>'SER_se-appl'!W48</f>
        <v>895.98148216492484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52.64311909014485</v>
      </c>
      <c r="C14" s="59">
        <f>'SER_se-appl'!C56</f>
        <v>52.014055765636535</v>
      </c>
      <c r="D14" s="59">
        <f>'SER_se-appl'!D56</f>
        <v>51.369172256595952</v>
      </c>
      <c r="E14" s="59">
        <f>'SER_se-appl'!E56</f>
        <v>50.616614389268719</v>
      </c>
      <c r="F14" s="59">
        <f>'SER_se-appl'!F56</f>
        <v>49.974911171204148</v>
      </c>
      <c r="G14" s="59">
        <f>'SER_se-appl'!G56</f>
        <v>49.342791130664651</v>
      </c>
      <c r="H14" s="59">
        <f>'SER_se-appl'!H56</f>
        <v>48.746912650148509</v>
      </c>
      <c r="I14" s="59">
        <f>'SER_se-appl'!I56</f>
        <v>48.17193320949422</v>
      </c>
      <c r="J14" s="59">
        <f>'SER_se-appl'!J56</f>
        <v>47.778712555750573</v>
      </c>
      <c r="K14" s="59">
        <f>'SER_se-appl'!K56</f>
        <v>47.416043074802992</v>
      </c>
      <c r="L14" s="59">
        <f>'SER_se-appl'!L56</f>
        <v>47.048674153768438</v>
      </c>
      <c r="M14" s="59">
        <f>'SER_se-appl'!M56</f>
        <v>46.602929123663351</v>
      </c>
      <c r="N14" s="59">
        <f>'SER_se-appl'!N56</f>
        <v>46.232878941951732</v>
      </c>
      <c r="O14" s="59">
        <f>'SER_se-appl'!O56</f>
        <v>45.765047039631462</v>
      </c>
      <c r="P14" s="59">
        <f>'SER_se-appl'!P56</f>
        <v>44.94827730840634</v>
      </c>
      <c r="Q14" s="59">
        <f>'SER_se-appl'!Q56</f>
        <v>44.028169030637841</v>
      </c>
      <c r="R14" s="59">
        <f>'SER_se-appl'!R56</f>
        <v>42.968419150986719</v>
      </c>
      <c r="S14" s="59">
        <f>'SER_se-appl'!S56</f>
        <v>41.878459470891684</v>
      </c>
      <c r="T14" s="59">
        <f>'SER_se-appl'!T56</f>
        <v>40.549726708894802</v>
      </c>
      <c r="U14" s="59">
        <f>'SER_se-appl'!U56</f>
        <v>39.292024636832267</v>
      </c>
      <c r="V14" s="59">
        <f>'SER_se-appl'!V56</f>
        <v>37.97007983980108</v>
      </c>
      <c r="W14" s="59">
        <f>'SER_se-appl'!W56</f>
        <v>36.751278028052567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49.191473659029484</v>
      </c>
      <c r="D15" s="63">
        <f>'SER_se-appl'!D64</f>
        <v>48.456659950828133</v>
      </c>
      <c r="E15" s="63">
        <f>'SER_se-appl'!E64</f>
        <v>47.771466451811868</v>
      </c>
      <c r="F15" s="63">
        <f>'SER_se-appl'!F64</f>
        <v>47.14785015080431</v>
      </c>
      <c r="G15" s="63">
        <f>'SER_se-appl'!G64</f>
        <v>46.539939345042981</v>
      </c>
      <c r="H15" s="63">
        <f>'SER_se-appl'!H64</f>
        <v>45.783842796351124</v>
      </c>
      <c r="I15" s="63">
        <f>'SER_se-appl'!I64</f>
        <v>44.800743482911415</v>
      </c>
      <c r="J15" s="63">
        <f>'SER_se-appl'!J64</f>
        <v>43.953905882695658</v>
      </c>
      <c r="K15" s="63">
        <f>'SER_se-appl'!K64</f>
        <v>43.147592565584688</v>
      </c>
      <c r="L15" s="63">
        <f>'SER_se-appl'!L64</f>
        <v>41.967735091600233</v>
      </c>
      <c r="M15" s="63">
        <f>'SER_se-appl'!M64</f>
        <v>40.623192857645357</v>
      </c>
      <c r="N15" s="63">
        <f>'SER_se-appl'!N64</f>
        <v>39.289586064447541</v>
      </c>
      <c r="O15" s="63">
        <f>'SER_se-appl'!O64</f>
        <v>38.173033186235472</v>
      </c>
      <c r="P15" s="63">
        <f>'SER_se-appl'!P64</f>
        <v>37.082215403870272</v>
      </c>
      <c r="Q15" s="63">
        <f>'SER_se-appl'!Q64</f>
        <v>35.83333542174892</v>
      </c>
      <c r="R15" s="63">
        <f>'SER_se-appl'!R64</f>
        <v>35.391722195311402</v>
      </c>
      <c r="S15" s="63">
        <f>'SER_se-appl'!S64</f>
        <v>34.86773289684232</v>
      </c>
      <c r="T15" s="63">
        <f>'SER_se-appl'!T64</f>
        <v>34.356854274456886</v>
      </c>
      <c r="U15" s="63">
        <f>'SER_se-appl'!U64</f>
        <v>33.851715162415815</v>
      </c>
      <c r="V15" s="63">
        <f>'SER_se-appl'!V64</f>
        <v>33.357397968154942</v>
      </c>
      <c r="W15" s="63">
        <f>'SER_se-appl'!W64</f>
        <v>33.135408833318856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17.748288629121689</v>
      </c>
      <c r="C3" s="199">
        <f>'SER_se-appl'!C9</f>
        <v>19.92791926284244</v>
      </c>
      <c r="D3" s="199">
        <f>'SER_se-appl'!D9</f>
        <v>22.539332004638933</v>
      </c>
      <c r="E3" s="199">
        <f>'SER_se-appl'!E9</f>
        <v>25.520890686546085</v>
      </c>
      <c r="F3" s="199">
        <f>'SER_se-appl'!F9</f>
        <v>28.490335171347251</v>
      </c>
      <c r="G3" s="199">
        <f>'SER_se-appl'!G9</f>
        <v>31.860416454989547</v>
      </c>
      <c r="H3" s="199">
        <f>'SER_se-appl'!H9</f>
        <v>33.623441713170251</v>
      </c>
      <c r="I3" s="199">
        <f>'SER_se-appl'!I9</f>
        <v>35.504453535896097</v>
      </c>
      <c r="J3" s="199">
        <f>'SER_se-appl'!J9</f>
        <v>37.067068216702474</v>
      </c>
      <c r="K3" s="199">
        <f>'SER_se-appl'!K9</f>
        <v>37.679577296105279</v>
      </c>
      <c r="L3" s="199">
        <f>'SER_se-appl'!L9</f>
        <v>38.609990200518425</v>
      </c>
      <c r="M3" s="199">
        <f>'SER_se-appl'!M9</f>
        <v>39.952584533517992</v>
      </c>
      <c r="N3" s="199">
        <f>'SER_se-appl'!N9</f>
        <v>41.046043467442829</v>
      </c>
      <c r="O3" s="199">
        <f>'SER_se-appl'!O9</f>
        <v>43.199569863302173</v>
      </c>
      <c r="P3" s="199">
        <f>'SER_se-appl'!P9</f>
        <v>44.960331849234173</v>
      </c>
      <c r="Q3" s="199">
        <f>'SER_se-appl'!Q9</f>
        <v>48.305613329363091</v>
      </c>
      <c r="R3" s="199">
        <f>'SER_se-appl'!R9</f>
        <v>50.263840743897696</v>
      </c>
      <c r="S3" s="199">
        <f>'SER_se-appl'!S9</f>
        <v>52.308489483164529</v>
      </c>
      <c r="T3" s="199">
        <f>'SER_se-appl'!T9</f>
        <v>55.323091012799352</v>
      </c>
      <c r="U3" s="199">
        <f>'SER_se-appl'!U9</f>
        <v>56.587043801598476</v>
      </c>
      <c r="V3" s="199">
        <f>'SER_se-appl'!V9</f>
        <v>51.134668615831835</v>
      </c>
      <c r="W3" s="199">
        <f>'SER_se-appl'!W9</f>
        <v>54.942657945312618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127.69081365755295</v>
      </c>
      <c r="C5" s="59">
        <f>'SER_se-appl'!C17</f>
        <v>141.44159636064859</v>
      </c>
      <c r="D5" s="59">
        <f>'SER_se-appl'!D17</f>
        <v>157.01677389115582</v>
      </c>
      <c r="E5" s="59">
        <f>'SER_se-appl'!E17</f>
        <v>174.80633653604841</v>
      </c>
      <c r="F5" s="59">
        <f>'SER_se-appl'!F17</f>
        <v>191.87979829096059</v>
      </c>
      <c r="G5" s="59">
        <f>'SER_se-appl'!G17</f>
        <v>211.27124841098677</v>
      </c>
      <c r="H5" s="59">
        <f>'SER_se-appl'!H17</f>
        <v>219.44951391783766</v>
      </c>
      <c r="I5" s="59">
        <f>'SER_se-appl'!I17</f>
        <v>228.88894460251845</v>
      </c>
      <c r="J5" s="59">
        <f>'SER_se-appl'!J17</f>
        <v>236.25010864082861</v>
      </c>
      <c r="K5" s="59">
        <f>'SER_se-appl'!K17</f>
        <v>238.3581003420116</v>
      </c>
      <c r="L5" s="59">
        <f>'SER_se-appl'!L17</f>
        <v>241.07691338079135</v>
      </c>
      <c r="M5" s="59">
        <f>'SER_se-appl'!M17</f>
        <v>246.41426539936336</v>
      </c>
      <c r="N5" s="59">
        <f>'SER_se-appl'!N17</f>
        <v>250.44713638791913</v>
      </c>
      <c r="O5" s="59">
        <f>'SER_se-appl'!O17</f>
        <v>260.9789312907663</v>
      </c>
      <c r="P5" s="59">
        <f>'SER_se-appl'!P17</f>
        <v>269.09149478484045</v>
      </c>
      <c r="Q5" s="59">
        <f>'SER_se-appl'!Q17</f>
        <v>287.04679660933311</v>
      </c>
      <c r="R5" s="59">
        <f>'SER_se-appl'!R17</f>
        <v>297.85126578375076</v>
      </c>
      <c r="S5" s="59">
        <f>'SER_se-appl'!S17</f>
        <v>305.91285205678366</v>
      </c>
      <c r="T5" s="59">
        <f>'SER_se-appl'!T17</f>
        <v>323.37716741796601</v>
      </c>
      <c r="U5" s="59">
        <f>'SER_se-appl'!U17</f>
        <v>326.13926814445807</v>
      </c>
      <c r="V5" s="59">
        <f>'SER_se-appl'!V17</f>
        <v>319.50590546426798</v>
      </c>
      <c r="W5" s="59">
        <f>'SER_se-appl'!W17</f>
        <v>324.33874211724185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7.2694640673971536E-2</v>
      </c>
      <c r="C6" s="202">
        <f>'SER_se-appl'!C73</f>
        <v>8.6751590897505435E-2</v>
      </c>
      <c r="D6" s="202">
        <f>'SER_se-appl'!D73</f>
        <v>9.9612365248916493E-2</v>
      </c>
      <c r="E6" s="202">
        <f>'SER_se-appl'!E73</f>
        <v>0.11554685498404954</v>
      </c>
      <c r="F6" s="202">
        <f>'SER_se-appl'!F73</f>
        <v>0.13247793472886168</v>
      </c>
      <c r="G6" s="202">
        <f>'SER_se-appl'!G73</f>
        <v>0.15245567412931671</v>
      </c>
      <c r="H6" s="202">
        <f>'SER_se-appl'!H73</f>
        <v>0.16598974005841155</v>
      </c>
      <c r="I6" s="202">
        <f>'SER_se-appl'!I73</f>
        <v>0.18218118395162999</v>
      </c>
      <c r="J6" s="202">
        <f>'SER_se-appl'!J73</f>
        <v>0.19846970353623614</v>
      </c>
      <c r="K6" s="202">
        <f>'SER_se-appl'!K73</f>
        <v>0.21112913390414831</v>
      </c>
      <c r="L6" s="202">
        <f>'SER_se-appl'!L73</f>
        <v>0.22764748739201277</v>
      </c>
      <c r="M6" s="202">
        <f>'SER_se-appl'!M73</f>
        <v>0.24841701068879163</v>
      </c>
      <c r="N6" s="202">
        <f>'SER_se-appl'!N73</f>
        <v>0.26826502579808503</v>
      </c>
      <c r="O6" s="202">
        <f>'SER_se-appl'!O73</f>
        <v>0.29422923675991031</v>
      </c>
      <c r="P6" s="202">
        <f>'SER_se-appl'!P73</f>
        <v>0.31428795190987202</v>
      </c>
      <c r="Q6" s="202">
        <f>'SER_se-appl'!Q73</f>
        <v>0.3443925975815646</v>
      </c>
      <c r="R6" s="202">
        <f>'SER_se-appl'!R73</f>
        <v>0.36714081131173482</v>
      </c>
      <c r="S6" s="202">
        <f>'SER_se-appl'!S73</f>
        <v>0.38714889973453892</v>
      </c>
      <c r="T6" s="202">
        <f>'SER_se-appl'!T73</f>
        <v>0.42369452308457844</v>
      </c>
      <c r="U6" s="202">
        <f>'SER_se-appl'!U73</f>
        <v>0.43840018617147375</v>
      </c>
      <c r="V6" s="202">
        <f>'SER_se-appl'!V73</f>
        <v>0.44210393342892496</v>
      </c>
      <c r="W6" s="202">
        <f>'SER_se-appl'!W73</f>
        <v>0.46273683254587267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326.9612296717454</v>
      </c>
      <c r="C8" s="34">
        <f>'SER_se-appl'!C25</f>
        <v>372.63330405069019</v>
      </c>
      <c r="D8" s="34">
        <f>'SER_se-appl'!D25</f>
        <v>428.88044090501847</v>
      </c>
      <c r="E8" s="34">
        <f>'SER_se-appl'!E25</f>
        <v>497.47358069864714</v>
      </c>
      <c r="F8" s="34">
        <f>'SER_se-appl'!F25</f>
        <v>570.41355551042795</v>
      </c>
      <c r="G8" s="34">
        <f>'SER_se-appl'!G25</f>
        <v>657.21521983278035</v>
      </c>
      <c r="H8" s="34">
        <f>'SER_se-appl'!H25</f>
        <v>715.8285961352791</v>
      </c>
      <c r="I8" s="34">
        <f>'SER_se-appl'!I25</f>
        <v>785.84400241087462</v>
      </c>
      <c r="J8" s="34">
        <f>'SER_se-appl'!J25</f>
        <v>855.79481214803354</v>
      </c>
      <c r="K8" s="34">
        <f>'SER_se-appl'!K25</f>
        <v>909.92349678356277</v>
      </c>
      <c r="L8" s="34">
        <f>'SER_se-appl'!L25</f>
        <v>979.53230818225995</v>
      </c>
      <c r="M8" s="34">
        <f>'SER_se-appl'!M25</f>
        <v>1065.6734522223876</v>
      </c>
      <c r="N8" s="34">
        <f>'SER_se-appl'!N25</f>
        <v>1147.0969580721987</v>
      </c>
      <c r="O8" s="34">
        <f>'SER_se-appl'!O25</f>
        <v>1254.0461991638842</v>
      </c>
      <c r="P8" s="34">
        <f>'SER_se-appl'!P25</f>
        <v>1334.7209027624117</v>
      </c>
      <c r="Q8" s="34">
        <f>'SER_se-appl'!Q25</f>
        <v>1455.1675528429462</v>
      </c>
      <c r="R8" s="34">
        <f>'SER_se-appl'!R25</f>
        <v>1538.5656165989365</v>
      </c>
      <c r="S8" s="34">
        <f>'SER_se-appl'!S25</f>
        <v>1608.2989922129182</v>
      </c>
      <c r="T8" s="34">
        <f>'SER_se-appl'!T25</f>
        <v>1739.4748986620752</v>
      </c>
      <c r="U8" s="34">
        <f>'SER_se-appl'!U25</f>
        <v>1787.0270052807252</v>
      </c>
      <c r="V8" s="34">
        <f>'SER_se-appl'!V25</f>
        <v>1794.1307090035932</v>
      </c>
      <c r="W8" s="34">
        <f>'SER_se-appl'!W25</f>
        <v>1867.7701277306958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111.06432031329388</v>
      </c>
      <c r="D9" s="36">
        <f>'SER_se-appl'!D33</f>
        <v>121.63938278867738</v>
      </c>
      <c r="E9" s="36">
        <f>'SER_se-appl'!E33</f>
        <v>133.98538572797776</v>
      </c>
      <c r="F9" s="36">
        <f>'SER_se-appl'!F33</f>
        <v>138.33222074612991</v>
      </c>
      <c r="G9" s="36">
        <f>'SER_se-appl'!G33</f>
        <v>152.19391025670149</v>
      </c>
      <c r="H9" s="36">
        <f>'SER_se-appl'!H33</f>
        <v>169.67769661579257</v>
      </c>
      <c r="I9" s="36">
        <f>'SER_se-appl'!I33</f>
        <v>191.6547890642729</v>
      </c>
      <c r="J9" s="36">
        <f>'SER_se-appl'!J33</f>
        <v>203.93619546513673</v>
      </c>
      <c r="K9" s="36">
        <f>'SER_se-appl'!K33</f>
        <v>192.46090538165913</v>
      </c>
      <c r="L9" s="36">
        <f>'SER_se-appl'!L33</f>
        <v>221.80272165539861</v>
      </c>
      <c r="M9" s="36">
        <f>'SER_se-appl'!M33</f>
        <v>255.81884065592021</v>
      </c>
      <c r="N9" s="36">
        <f>'SER_se-appl'!N33</f>
        <v>273.07829491408404</v>
      </c>
      <c r="O9" s="36">
        <f>'SER_se-appl'!O33</f>
        <v>310.88543655682224</v>
      </c>
      <c r="P9" s="36">
        <f>'SER_se-appl'!P33</f>
        <v>273.13560898018659</v>
      </c>
      <c r="Q9" s="36">
        <f>'SER_se-appl'!Q33</f>
        <v>342.24937173593321</v>
      </c>
      <c r="R9" s="36">
        <f>'SER_se-appl'!R33</f>
        <v>339.21690441191049</v>
      </c>
      <c r="S9" s="36">
        <f>'SER_se-appl'!S33</f>
        <v>342.81167052806586</v>
      </c>
      <c r="T9" s="36">
        <f>'SER_se-appl'!T33</f>
        <v>442.06134300597932</v>
      </c>
      <c r="U9" s="36">
        <f>'SER_se-appl'!U33</f>
        <v>320.68771559883658</v>
      </c>
      <c r="V9" s="36">
        <f>'SER_se-appl'!V33</f>
        <v>349.35307545880119</v>
      </c>
      <c r="W9" s="36">
        <f>'SER_se-appl'!W33</f>
        <v>412.85632313901306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65.392245934349091</v>
      </c>
      <c r="D10" s="38">
        <f>'SER_se-appl'!D41</f>
        <v>65.392245934349091</v>
      </c>
      <c r="E10" s="38">
        <f>'SER_se-appl'!E41</f>
        <v>65.392245934349091</v>
      </c>
      <c r="F10" s="38">
        <f>'SER_se-appl'!F41</f>
        <v>65.392245934349035</v>
      </c>
      <c r="G10" s="38">
        <f>'SER_se-appl'!G41</f>
        <v>65.392245934349148</v>
      </c>
      <c r="H10" s="38">
        <f>'SER_se-appl'!H41</f>
        <v>111.06432031329382</v>
      </c>
      <c r="I10" s="38">
        <f>'SER_se-appl'!I41</f>
        <v>121.63938278867738</v>
      </c>
      <c r="J10" s="38">
        <f>'SER_se-appl'!J41</f>
        <v>133.98538572797781</v>
      </c>
      <c r="K10" s="38">
        <f>'SER_se-appl'!K41</f>
        <v>138.33222074612991</v>
      </c>
      <c r="L10" s="38">
        <f>'SER_se-appl'!L41</f>
        <v>152.19391025670154</v>
      </c>
      <c r="M10" s="38">
        <f>'SER_se-appl'!M41</f>
        <v>169.67769661579246</v>
      </c>
      <c r="N10" s="38">
        <f>'SER_se-appl'!N41</f>
        <v>191.65478906427302</v>
      </c>
      <c r="O10" s="38">
        <f>'SER_se-appl'!O41</f>
        <v>203.93619546513673</v>
      </c>
      <c r="P10" s="38">
        <f>'SER_se-appl'!P41</f>
        <v>192.46090538165913</v>
      </c>
      <c r="Q10" s="38">
        <f>'SER_se-appl'!Q41</f>
        <v>221.80272165539873</v>
      </c>
      <c r="R10" s="38">
        <f>'SER_se-appl'!R41</f>
        <v>255.81884065592021</v>
      </c>
      <c r="S10" s="38">
        <f>'SER_se-appl'!S41</f>
        <v>273.07829491408415</v>
      </c>
      <c r="T10" s="38">
        <f>'SER_se-appl'!T41</f>
        <v>310.88543655682224</v>
      </c>
      <c r="U10" s="38">
        <f>'SER_se-appl'!U41</f>
        <v>273.13560898018682</v>
      </c>
      <c r="V10" s="38">
        <f>'SER_se-appl'!V41</f>
        <v>342.24937173593321</v>
      </c>
      <c r="W10" s="38">
        <f>'SER_se-appl'!W41</f>
        <v>339.21690441191026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1616.5031049943182</v>
      </c>
      <c r="C12" s="205">
        <f>'SER_se-appl'!C49</f>
        <v>1638.5681934465042</v>
      </c>
      <c r="D12" s="205">
        <f>'SER_se-appl'!D49</f>
        <v>1669.4549551480482</v>
      </c>
      <c r="E12" s="205">
        <f>'SER_se-appl'!E49</f>
        <v>1697.924483551679</v>
      </c>
      <c r="F12" s="205">
        <f>'SER_se-appl'!F49</f>
        <v>1726.8237771457884</v>
      </c>
      <c r="G12" s="205">
        <f>'SER_se-appl'!G49</f>
        <v>1753.8432046878524</v>
      </c>
      <c r="H12" s="205">
        <f>'SER_se-appl'!H49</f>
        <v>1781.9161234076664</v>
      </c>
      <c r="I12" s="205">
        <f>'SER_se-appl'!I49</f>
        <v>1804.0049742879908</v>
      </c>
      <c r="J12" s="205">
        <f>'SER_se-appl'!J49</f>
        <v>1824.7187518361593</v>
      </c>
      <c r="K12" s="205">
        <f>'SER_se-appl'!K49</f>
        <v>1838.4669257093735</v>
      </c>
      <c r="L12" s="205">
        <f>'SER_se-appl'!L49</f>
        <v>1862.6179493295588</v>
      </c>
      <c r="M12" s="205">
        <f>'SER_se-appl'!M49</f>
        <v>1885.6398486985272</v>
      </c>
      <c r="N12" s="205">
        <f>'SER_se-appl'!N49</f>
        <v>1906.0528797061818</v>
      </c>
      <c r="O12" s="205">
        <f>'SER_se-appl'!O49</f>
        <v>1925.1017506484061</v>
      </c>
      <c r="P12" s="205">
        <f>'SER_se-appl'!P49</f>
        <v>1943.1630859410236</v>
      </c>
      <c r="Q12" s="205">
        <f>'SER_se-appl'!Q49</f>
        <v>1957.1522471476569</v>
      </c>
      <c r="R12" s="205">
        <f>'SER_se-appl'!R49</f>
        <v>1962.6187127770843</v>
      </c>
      <c r="S12" s="205">
        <f>'SER_se-appl'!S49</f>
        <v>1988.6308424082872</v>
      </c>
      <c r="T12" s="205">
        <f>'SER_se-appl'!T49</f>
        <v>1989.6505174320182</v>
      </c>
      <c r="U12" s="205">
        <f>'SER_se-appl'!U49</f>
        <v>2017.8720678341999</v>
      </c>
      <c r="V12" s="205">
        <f>'SER_se-appl'!V49</f>
        <v>1861.2995435498524</v>
      </c>
      <c r="W12" s="205">
        <f>'SER_se-appl'!W49</f>
        <v>1970.1103473879984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390.53808852428426</v>
      </c>
      <c r="C14" s="59">
        <f>'SER_se-appl'!C57</f>
        <v>379.57314824819827</v>
      </c>
      <c r="D14" s="59">
        <f>'SER_se-appl'!D57</f>
        <v>366.10849764988313</v>
      </c>
      <c r="E14" s="59">
        <f>'SER_se-appl'!E57</f>
        <v>351.38818083676335</v>
      </c>
      <c r="F14" s="59">
        <f>'SER_se-appl'!F57</f>
        <v>336.38716408003171</v>
      </c>
      <c r="G14" s="59">
        <f>'SER_se-appl'!G57</f>
        <v>321.46432711150834</v>
      </c>
      <c r="H14" s="59">
        <f>'SER_se-appl'!H57</f>
        <v>306.56712389339299</v>
      </c>
      <c r="I14" s="59">
        <f>'SER_se-appl'!I57</f>
        <v>291.26511610486915</v>
      </c>
      <c r="J14" s="59">
        <f>'SER_se-appl'!J57</f>
        <v>276.0592904832456</v>
      </c>
      <c r="K14" s="59">
        <f>'SER_se-appl'!K57</f>
        <v>261.95400073145731</v>
      </c>
      <c r="L14" s="59">
        <f>'SER_se-appl'!L57</f>
        <v>246.11430513013212</v>
      </c>
      <c r="M14" s="59">
        <f>'SER_se-appl'!M57</f>
        <v>231.22867974751892</v>
      </c>
      <c r="N14" s="59">
        <f>'SER_se-appl'!N57</f>
        <v>218.33127062669439</v>
      </c>
      <c r="O14" s="59">
        <f>'SER_se-appl'!O57</f>
        <v>208.10950303487218</v>
      </c>
      <c r="P14" s="59">
        <f>'SER_se-appl'!P57</f>
        <v>201.60881142110978</v>
      </c>
      <c r="Q14" s="59">
        <f>'SER_se-appl'!Q57</f>
        <v>197.26030589984825</v>
      </c>
      <c r="R14" s="59">
        <f>'SER_se-appl'!R57</f>
        <v>193.59022622783121</v>
      </c>
      <c r="S14" s="59">
        <f>'SER_se-appl'!S57</f>
        <v>190.20894344767751</v>
      </c>
      <c r="T14" s="59">
        <f>'SER_se-appl'!T57</f>
        <v>185.90504965992494</v>
      </c>
      <c r="U14" s="59">
        <f>'SER_se-appl'!U57</f>
        <v>182.50382740759122</v>
      </c>
      <c r="V14" s="59">
        <f>'SER_se-appl'!V57</f>
        <v>178.08396225585597</v>
      </c>
      <c r="W14" s="59">
        <f>'SER_se-appl'!W57</f>
        <v>173.65024598145121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353.74947889456018</v>
      </c>
      <c r="D15" s="63">
        <f>'SER_se-appl'!D65</f>
        <v>337.9936606012177</v>
      </c>
      <c r="E15" s="63">
        <f>'SER_se-appl'!E65</f>
        <v>323.37650215351687</v>
      </c>
      <c r="F15" s="63">
        <f>'SER_se-appl'!F65</f>
        <v>308.03831715117525</v>
      </c>
      <c r="G15" s="63">
        <f>'SER_se-appl'!G65</f>
        <v>295.2129475861102</v>
      </c>
      <c r="H15" s="63">
        <f>'SER_se-appl'!H65</f>
        <v>279.74926515497719</v>
      </c>
      <c r="I15" s="63">
        <f>'SER_se-appl'!I65</f>
        <v>263.76993339699635</v>
      </c>
      <c r="J15" s="63">
        <f>'SER_se-appl'!J65</f>
        <v>248.55268727114529</v>
      </c>
      <c r="K15" s="63">
        <f>'SER_se-appl'!K65</f>
        <v>232.35688359110966</v>
      </c>
      <c r="L15" s="63">
        <f>'SER_se-appl'!L65</f>
        <v>214.82345002215519</v>
      </c>
      <c r="M15" s="63">
        <f>'SER_se-appl'!M65</f>
        <v>206.41389361564671</v>
      </c>
      <c r="N15" s="63">
        <f>'SER_se-appl'!N65</f>
        <v>199.89007896957952</v>
      </c>
      <c r="O15" s="63">
        <f>'SER_se-appl'!O65</f>
        <v>196.92361596478582</v>
      </c>
      <c r="P15" s="63">
        <f>'SER_se-appl'!P65</f>
        <v>193.42838481932378</v>
      </c>
      <c r="Q15" s="63">
        <f>'SER_se-appl'!Q65</f>
        <v>191.68399749591541</v>
      </c>
      <c r="R15" s="63">
        <f>'SER_se-appl'!R65</f>
        <v>187.5172826210524</v>
      </c>
      <c r="S15" s="63">
        <f>'SER_se-appl'!S65</f>
        <v>182.74531935212642</v>
      </c>
      <c r="T15" s="63">
        <f>'SER_se-appl'!T65</f>
        <v>177.99565812222238</v>
      </c>
      <c r="U15" s="63">
        <f>'SER_se-appl'!U65</f>
        <v>173.35955730127623</v>
      </c>
      <c r="V15" s="63">
        <f>'SER_se-appl'!V65</f>
        <v>168.79875740946059</v>
      </c>
      <c r="W15" s="63">
        <f>'SER_se-appl'!W65</f>
        <v>165.77648191759803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1768.2945199289011</v>
      </c>
      <c r="C3" s="220">
        <v>1822.9196170622561</v>
      </c>
      <c r="D3" s="220">
        <v>1876.574816411777</v>
      </c>
      <c r="E3" s="220">
        <v>1602.8359482702031</v>
      </c>
      <c r="F3" s="220">
        <v>1860.7404084582511</v>
      </c>
      <c r="G3" s="220">
        <v>1695.7386262159621</v>
      </c>
      <c r="H3" s="220">
        <v>1832.635888363443</v>
      </c>
      <c r="I3" s="220">
        <v>1775.7606611713479</v>
      </c>
      <c r="J3" s="220">
        <v>1904.1796353935081</v>
      </c>
      <c r="K3" s="220">
        <v>1817.5741734671481</v>
      </c>
      <c r="L3" s="220">
        <v>1643.6591744833149</v>
      </c>
      <c r="M3" s="220">
        <v>1629.4895657911579</v>
      </c>
      <c r="N3" s="220">
        <v>1446.5198255235771</v>
      </c>
      <c r="O3" s="220">
        <v>1521.183164489205</v>
      </c>
      <c r="P3" s="220">
        <v>1294.681647940075</v>
      </c>
      <c r="Q3" s="220">
        <v>1342.8</v>
      </c>
      <c r="R3" s="220">
        <v>1435.6901556354701</v>
      </c>
      <c r="S3" s="220">
        <v>1397.316501771573</v>
      </c>
      <c r="T3" s="220">
        <v>1472.694421583373</v>
      </c>
      <c r="U3" s="220">
        <v>1483.0595196010941</v>
      </c>
      <c r="V3" s="220">
        <v>1453.6394742254549</v>
      </c>
      <c r="W3" s="220">
        <v>1766.4503491894959</v>
      </c>
      <c r="DA3" s="211" t="s">
        <v>972</v>
      </c>
    </row>
    <row r="5" spans="1:105" x14ac:dyDescent="0.25">
      <c r="A5" s="219" t="s">
        <v>120</v>
      </c>
      <c r="B5" s="220">
        <v>2325.291952154977</v>
      </c>
      <c r="C5" s="220">
        <v>2272.8523575327381</v>
      </c>
      <c r="D5" s="220">
        <v>2023.991143092526</v>
      </c>
      <c r="E5" s="220">
        <v>1927.675115962913</v>
      </c>
      <c r="F5" s="220">
        <v>1802.2964989979409</v>
      </c>
      <c r="G5" s="220">
        <v>1606.694194115596</v>
      </c>
      <c r="H5" s="220">
        <v>1707.210319818395</v>
      </c>
      <c r="I5" s="220">
        <v>1789.570096954574</v>
      </c>
      <c r="J5" s="220">
        <v>1869.9755868881559</v>
      </c>
      <c r="K5" s="220">
        <v>1638.9683594560779</v>
      </c>
      <c r="L5" s="220">
        <v>1740.2614469934119</v>
      </c>
      <c r="M5" s="220">
        <v>1935.190470435615</v>
      </c>
      <c r="N5" s="220">
        <v>1754.46089371275</v>
      </c>
      <c r="O5" s="220">
        <v>1758.0428685806689</v>
      </c>
      <c r="P5" s="220">
        <v>1851.1834828007979</v>
      </c>
      <c r="Q5" s="220">
        <v>1786.330425785369</v>
      </c>
      <c r="R5" s="220">
        <v>1775.959753690239</v>
      </c>
      <c r="S5" s="220">
        <v>1901.2371327453609</v>
      </c>
      <c r="T5" s="220">
        <v>1715.246909704199</v>
      </c>
      <c r="U5" s="220">
        <v>1723.50694303098</v>
      </c>
      <c r="V5" s="220">
        <v>1733.578512612291</v>
      </c>
      <c r="W5" s="220">
        <v>1813.120665854565</v>
      </c>
      <c r="DA5" s="211" t="s">
        <v>973</v>
      </c>
    </row>
    <row r="6" spans="1:105" x14ac:dyDescent="0.25">
      <c r="A6" s="221" t="s">
        <v>119</v>
      </c>
      <c r="B6" s="222">
        <v>2906.6149401937218</v>
      </c>
      <c r="C6" s="222">
        <v>2761.2841931840362</v>
      </c>
      <c r="D6" s="222">
        <v>2615.9534461743501</v>
      </c>
      <c r="E6" s="222">
        <v>2615.9534461743501</v>
      </c>
      <c r="F6" s="222">
        <v>2470.622699164664</v>
      </c>
      <c r="G6" s="222">
        <v>2325.291952154977</v>
      </c>
      <c r="H6" s="222">
        <v>2325.291952154977</v>
      </c>
      <c r="I6" s="222">
        <v>2179.9612051452909</v>
      </c>
      <c r="J6" s="222">
        <v>2034.6304581356051</v>
      </c>
      <c r="K6" s="222">
        <v>2034.6304581356051</v>
      </c>
      <c r="L6" s="222">
        <v>1889.299711125919</v>
      </c>
      <c r="M6" s="222">
        <v>2179.9612051452909</v>
      </c>
      <c r="N6" s="222">
        <v>2179.9612051452909</v>
      </c>
      <c r="O6" s="222">
        <v>2034.6304581356051</v>
      </c>
      <c r="P6" s="222">
        <v>2034.6304581356051</v>
      </c>
      <c r="Q6" s="222">
        <v>2034.6304581356051</v>
      </c>
      <c r="R6" s="222">
        <v>1889.299711125919</v>
      </c>
      <c r="S6" s="222">
        <v>2034.6304581356051</v>
      </c>
      <c r="T6" s="222">
        <v>2034.6304581356051</v>
      </c>
      <c r="U6" s="222">
        <v>1889.299711125919</v>
      </c>
      <c r="V6" s="222">
        <v>1889.299711125919</v>
      </c>
      <c r="W6" s="222">
        <v>2034.6304581356051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435.99224102905828</v>
      </c>
      <c r="N7" s="226">
        <v>0</v>
      </c>
      <c r="O7" s="226">
        <v>0</v>
      </c>
      <c r="P7" s="226">
        <v>145.33074700968609</v>
      </c>
      <c r="Q7" s="226">
        <v>0</v>
      </c>
      <c r="R7" s="226">
        <v>0</v>
      </c>
      <c r="S7" s="226">
        <v>290.66149401937218</v>
      </c>
      <c r="T7" s="226">
        <v>0</v>
      </c>
      <c r="U7" s="226">
        <v>0</v>
      </c>
      <c r="V7" s="226">
        <v>145.33074700968609</v>
      </c>
      <c r="W7" s="226">
        <v>145.33074700968609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145.33074700968564</v>
      </c>
      <c r="D8" s="228">
        <f t="shared" ref="D8" si="1">IF(C6=0,0,C6+D7-D6)</f>
        <v>145.33074700968609</v>
      </c>
      <c r="E8" s="228">
        <f t="shared" ref="E8" si="2">IF(D6=0,0,D6+E7-E6)</f>
        <v>0</v>
      </c>
      <c r="F8" s="228">
        <f t="shared" ref="F8" si="3">IF(E6=0,0,E6+F7-F6)</f>
        <v>145.33074700968609</v>
      </c>
      <c r="G8" s="228">
        <f t="shared" ref="G8" si="4">IF(F6=0,0,F6+G7-G6)</f>
        <v>145.330747009687</v>
      </c>
      <c r="H8" s="228">
        <f t="shared" ref="H8" si="5">IF(G6=0,0,G6+H7-H6)</f>
        <v>0</v>
      </c>
      <c r="I8" s="228">
        <f t="shared" ref="I8" si="6">IF(H6=0,0,H6+I7-I6)</f>
        <v>145.33074700968609</v>
      </c>
      <c r="J8" s="228">
        <f t="shared" ref="J8" si="7">IF(I6=0,0,I6+J7-J6)</f>
        <v>145.33074700968587</v>
      </c>
      <c r="K8" s="228">
        <f t="shared" ref="K8" si="8">IF(J6=0,0,J6+K7-K6)</f>
        <v>0</v>
      </c>
      <c r="L8" s="228">
        <f t="shared" ref="L8" si="9">IF(K6=0,0,K6+L7-L6)</f>
        <v>145.33074700968609</v>
      </c>
      <c r="M8" s="228">
        <f t="shared" ref="M8" si="10">IF(L6=0,0,L6+M7-M6)</f>
        <v>145.33074700968655</v>
      </c>
      <c r="N8" s="228">
        <f t="shared" ref="N8" si="11">IF(M6=0,0,M6+N7-N6)</f>
        <v>0</v>
      </c>
      <c r="O8" s="228">
        <f t="shared" ref="O8" si="12">IF(N6=0,0,N6+O7-O6)</f>
        <v>145.33074700968587</v>
      </c>
      <c r="P8" s="228">
        <f t="shared" ref="P8" si="13">IF(O6=0,0,O6+P7-P6)</f>
        <v>145.33074700968632</v>
      </c>
      <c r="Q8" s="228">
        <f t="shared" ref="Q8" si="14">IF(P6=0,0,P6+Q7-Q6)</f>
        <v>0</v>
      </c>
      <c r="R8" s="228">
        <f t="shared" ref="R8" si="15">IF(Q6=0,0,Q6+R7-R6)</f>
        <v>145.33074700968609</v>
      </c>
      <c r="S8" s="228">
        <f t="shared" ref="S8" si="16">IF(R6=0,0,R6+S7-S6)</f>
        <v>145.33074700968632</v>
      </c>
      <c r="T8" s="228">
        <f t="shared" ref="T8" si="17">IF(S6=0,0,S6+T7-T6)</f>
        <v>0</v>
      </c>
      <c r="U8" s="228">
        <f t="shared" ref="U8" si="18">IF(T6=0,0,T6+U7-U6)</f>
        <v>145.33074700968609</v>
      </c>
      <c r="V8" s="228">
        <f t="shared" ref="V8" si="19">IF(U6=0,0,U6+V7-V6)</f>
        <v>145.33074700968609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581.32298803874482</v>
      </c>
      <c r="C9" s="224">
        <f t="shared" ref="C9:W9" si="21">C6-C5</f>
        <v>488.43183565129812</v>
      </c>
      <c r="D9" s="224">
        <f t="shared" si="21"/>
        <v>591.96230308182407</v>
      </c>
      <c r="E9" s="224">
        <f t="shared" si="21"/>
        <v>688.27833021143715</v>
      </c>
      <c r="F9" s="224">
        <f t="shared" si="21"/>
        <v>668.32620016672308</v>
      </c>
      <c r="G9" s="224">
        <f t="shared" si="21"/>
        <v>718.59775803938101</v>
      </c>
      <c r="H9" s="224">
        <f t="shared" si="21"/>
        <v>618.08163233658206</v>
      </c>
      <c r="I9" s="224">
        <f t="shared" si="21"/>
        <v>390.39110819071698</v>
      </c>
      <c r="J9" s="224">
        <f t="shared" si="21"/>
        <v>164.65487124744914</v>
      </c>
      <c r="K9" s="224">
        <f t="shared" si="21"/>
        <v>395.66209867952716</v>
      </c>
      <c r="L9" s="224">
        <f t="shared" si="21"/>
        <v>149.03826413250704</v>
      </c>
      <c r="M9" s="224">
        <f t="shared" si="21"/>
        <v>244.77073470967593</v>
      </c>
      <c r="N9" s="224">
        <f t="shared" si="21"/>
        <v>425.50031143254091</v>
      </c>
      <c r="O9" s="224">
        <f t="shared" si="21"/>
        <v>276.58758955493613</v>
      </c>
      <c r="P9" s="224">
        <f t="shared" si="21"/>
        <v>183.44697533480712</v>
      </c>
      <c r="Q9" s="224">
        <f t="shared" si="21"/>
        <v>248.30003235023605</v>
      </c>
      <c r="R9" s="224">
        <f t="shared" si="21"/>
        <v>113.33995743567993</v>
      </c>
      <c r="S9" s="224">
        <f t="shared" si="21"/>
        <v>133.39332539024417</v>
      </c>
      <c r="T9" s="224">
        <f t="shared" si="21"/>
        <v>319.3835484314061</v>
      </c>
      <c r="U9" s="224">
        <f t="shared" si="21"/>
        <v>165.79276809493899</v>
      </c>
      <c r="V9" s="224">
        <f t="shared" si="21"/>
        <v>155.721198513628</v>
      </c>
      <c r="W9" s="224">
        <f t="shared" si="21"/>
        <v>221.50979228104006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294.05382631126395</v>
      </c>
      <c r="C12" s="230">
        <f t="shared" ref="C12:W12" si="22">SUM(C13,C14,C18,C19,C26,C27)</f>
        <v>278.07901977644013</v>
      </c>
      <c r="D12" s="230">
        <f t="shared" si="22"/>
        <v>258.68744625967327</v>
      </c>
      <c r="E12" s="230">
        <f t="shared" si="22"/>
        <v>261.0705932932072</v>
      </c>
      <c r="F12" s="230">
        <f t="shared" si="22"/>
        <v>243.02820292347374</v>
      </c>
      <c r="G12" s="230">
        <f t="shared" si="22"/>
        <v>248.11625107480651</v>
      </c>
      <c r="H12" s="230">
        <f t="shared" si="22"/>
        <v>250.84075666380051</v>
      </c>
      <c r="I12" s="230">
        <f t="shared" si="22"/>
        <v>245.59793637145313</v>
      </c>
      <c r="J12" s="230">
        <f t="shared" si="22"/>
        <v>260.53852106620809</v>
      </c>
      <c r="K12" s="230">
        <f t="shared" si="22"/>
        <v>256.26947549441098</v>
      </c>
      <c r="L12" s="230">
        <f t="shared" si="22"/>
        <v>251.61719690455718</v>
      </c>
      <c r="M12" s="230">
        <f t="shared" si="22"/>
        <v>256.99380911435935</v>
      </c>
      <c r="N12" s="230">
        <f t="shared" si="22"/>
        <v>236.92768701633705</v>
      </c>
      <c r="O12" s="230">
        <f t="shared" si="22"/>
        <v>233.73215821152198</v>
      </c>
      <c r="P12" s="230">
        <f t="shared" si="22"/>
        <v>240.94892519346521</v>
      </c>
      <c r="Q12" s="230">
        <f t="shared" si="22"/>
        <v>237.43576956147893</v>
      </c>
      <c r="R12" s="230">
        <f t="shared" si="22"/>
        <v>240.4390369733448</v>
      </c>
      <c r="S12" s="230">
        <f t="shared" si="22"/>
        <v>237.46852966466028</v>
      </c>
      <c r="T12" s="230">
        <f t="shared" si="22"/>
        <v>242.32983662940674</v>
      </c>
      <c r="U12" s="230">
        <f t="shared" si="22"/>
        <v>244.75864144453996</v>
      </c>
      <c r="V12" s="230">
        <f t="shared" si="22"/>
        <v>257.65485812553732</v>
      </c>
      <c r="W12" s="230">
        <f t="shared" si="22"/>
        <v>258.4424763542562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270.92957867583834</v>
      </c>
      <c r="C14" s="55">
        <f t="shared" ref="C14:W14" si="23">SUM(C15:C17)</f>
        <v>247.38443680137567</v>
      </c>
      <c r="D14" s="55">
        <f t="shared" si="23"/>
        <v>227.41960447119519</v>
      </c>
      <c r="E14" s="55">
        <f t="shared" si="23"/>
        <v>233.98830610490108</v>
      </c>
      <c r="F14" s="55">
        <f t="shared" si="23"/>
        <v>215.87953568357693</v>
      </c>
      <c r="G14" s="55">
        <f t="shared" si="23"/>
        <v>217.37695614789337</v>
      </c>
      <c r="H14" s="55">
        <f t="shared" si="23"/>
        <v>223.30472914875321</v>
      </c>
      <c r="I14" s="55">
        <f t="shared" si="23"/>
        <v>218.74178847807394</v>
      </c>
      <c r="J14" s="55">
        <f t="shared" si="23"/>
        <v>231.07480653482372</v>
      </c>
      <c r="K14" s="55">
        <f t="shared" si="23"/>
        <v>227.48159931212379</v>
      </c>
      <c r="L14" s="55">
        <f t="shared" si="23"/>
        <v>219.76190885640585</v>
      </c>
      <c r="M14" s="55">
        <f t="shared" si="23"/>
        <v>225.725279449699</v>
      </c>
      <c r="N14" s="55">
        <f t="shared" si="23"/>
        <v>205.78641444539983</v>
      </c>
      <c r="O14" s="55">
        <f t="shared" si="23"/>
        <v>200.3349097162511</v>
      </c>
      <c r="P14" s="55">
        <f t="shared" si="23"/>
        <v>201.45511607910581</v>
      </c>
      <c r="Q14" s="55">
        <f t="shared" si="23"/>
        <v>199.3701633705933</v>
      </c>
      <c r="R14" s="55">
        <f t="shared" si="23"/>
        <v>196.32012037833192</v>
      </c>
      <c r="S14" s="55">
        <f t="shared" si="23"/>
        <v>195.99105760963019</v>
      </c>
      <c r="T14" s="55">
        <f t="shared" si="23"/>
        <v>200.64453998280314</v>
      </c>
      <c r="U14" s="55">
        <f t="shared" si="23"/>
        <v>200.13903697334479</v>
      </c>
      <c r="V14" s="55">
        <f t="shared" si="23"/>
        <v>208.40739466895954</v>
      </c>
      <c r="W14" s="55">
        <f t="shared" si="23"/>
        <v>207.19234737747203</v>
      </c>
      <c r="DA14" s="10"/>
    </row>
    <row r="15" spans="1:105" x14ac:dyDescent="0.25">
      <c r="A15" s="61" t="s">
        <v>52</v>
      </c>
      <c r="B15" s="55">
        <v>2.2398968185726571</v>
      </c>
      <c r="C15" s="55">
        <v>3.359845227858985</v>
      </c>
      <c r="D15" s="55">
        <v>2.9118658641444539</v>
      </c>
      <c r="E15" s="55">
        <v>3.359845227858985</v>
      </c>
      <c r="F15" s="55">
        <v>3.0239036973344802</v>
      </c>
      <c r="G15" s="55">
        <v>3.359845227858985</v>
      </c>
      <c r="H15" s="55">
        <v>3.359845227858985</v>
      </c>
      <c r="I15" s="55">
        <v>3.359845227858985</v>
      </c>
      <c r="J15" s="55">
        <v>3.359845227858985</v>
      </c>
      <c r="K15" s="55">
        <v>3.359845227858985</v>
      </c>
      <c r="L15" s="55">
        <v>3.359845227858985</v>
      </c>
      <c r="M15" s="55">
        <v>3.359845227858985</v>
      </c>
      <c r="N15" s="55">
        <v>3.359845227858985</v>
      </c>
      <c r="O15" s="55">
        <v>3.359845227858985</v>
      </c>
      <c r="P15" s="55">
        <v>3.359845227858985</v>
      </c>
      <c r="Q15" s="55">
        <v>2.2398968185726571</v>
      </c>
      <c r="R15" s="55">
        <v>2.2398968185726571</v>
      </c>
      <c r="S15" s="55">
        <v>2.799914015477214</v>
      </c>
      <c r="T15" s="55">
        <v>2.9118658641444539</v>
      </c>
      <c r="U15" s="55">
        <v>2.9118658641444539</v>
      </c>
      <c r="V15" s="55">
        <v>3.0239036973344802</v>
      </c>
      <c r="W15" s="55">
        <v>3.0239036973344802</v>
      </c>
      <c r="DA15" s="10" t="s">
        <v>980</v>
      </c>
    </row>
    <row r="16" spans="1:105" x14ac:dyDescent="0.25">
      <c r="A16" s="61" t="s">
        <v>172</v>
      </c>
      <c r="B16" s="55">
        <v>242.78641444539983</v>
      </c>
      <c r="C16" s="55">
        <v>227.48478073946683</v>
      </c>
      <c r="D16" s="55">
        <v>211.16294067067926</v>
      </c>
      <c r="E16" s="55">
        <v>217.28366294067064</v>
      </c>
      <c r="F16" s="55">
        <v>200.96182287188304</v>
      </c>
      <c r="G16" s="55">
        <v>200.96182287188304</v>
      </c>
      <c r="H16" s="55">
        <v>207.08254514187445</v>
      </c>
      <c r="I16" s="55">
        <v>203.00206362854686</v>
      </c>
      <c r="J16" s="55">
        <v>213.30515907136714</v>
      </c>
      <c r="K16" s="55">
        <v>211.16294067067926</v>
      </c>
      <c r="L16" s="55">
        <v>204.02218400687877</v>
      </c>
      <c r="M16" s="55">
        <v>209.02063628546856</v>
      </c>
      <c r="N16" s="55">
        <v>190.04668959587275</v>
      </c>
      <c r="O16" s="55">
        <v>185.66018916595016</v>
      </c>
      <c r="P16" s="55">
        <v>186.68030954428207</v>
      </c>
      <c r="Q16" s="55">
        <v>186.68030954428204</v>
      </c>
      <c r="R16" s="55">
        <v>185.66018916595016</v>
      </c>
      <c r="S16" s="55">
        <v>184.53809114359407</v>
      </c>
      <c r="T16" s="55">
        <v>189.63860705073091</v>
      </c>
      <c r="U16" s="55">
        <v>189.02656921754084</v>
      </c>
      <c r="V16" s="55">
        <v>197.2894239036973</v>
      </c>
      <c r="W16" s="55">
        <v>195.86130696474632</v>
      </c>
      <c r="DA16" s="10" t="s">
        <v>981</v>
      </c>
    </row>
    <row r="17" spans="1:105" x14ac:dyDescent="0.25">
      <c r="A17" s="61" t="s">
        <v>113</v>
      </c>
      <c r="B17" s="55">
        <v>25.903267411865869</v>
      </c>
      <c r="C17" s="55">
        <v>16.539810834049874</v>
      </c>
      <c r="D17" s="55">
        <v>13.344797936371453</v>
      </c>
      <c r="E17" s="55">
        <v>13.344797936371453</v>
      </c>
      <c r="F17" s="55">
        <v>11.893809114359414</v>
      </c>
      <c r="G17" s="55">
        <v>13.055288048151333</v>
      </c>
      <c r="H17" s="55">
        <v>12.862338779019776</v>
      </c>
      <c r="I17" s="55">
        <v>12.379879621668099</v>
      </c>
      <c r="J17" s="55">
        <v>14.409802235597592</v>
      </c>
      <c r="K17" s="55">
        <v>12.958813413585553</v>
      </c>
      <c r="L17" s="55">
        <v>12.379879621668099</v>
      </c>
      <c r="M17" s="55">
        <v>13.344797936371453</v>
      </c>
      <c r="N17" s="55">
        <v>12.379879621668099</v>
      </c>
      <c r="O17" s="55">
        <v>11.31487532244196</v>
      </c>
      <c r="P17" s="55">
        <v>11.414961306964745</v>
      </c>
      <c r="Q17" s="55">
        <v>10.449957007738607</v>
      </c>
      <c r="R17" s="55">
        <v>8.4200343938091127</v>
      </c>
      <c r="S17" s="55">
        <v>8.6530524505588993</v>
      </c>
      <c r="T17" s="55">
        <v>8.0940670679277726</v>
      </c>
      <c r="U17" s="55">
        <v>8.2006018916595007</v>
      </c>
      <c r="V17" s="55">
        <v>8.0940670679277726</v>
      </c>
      <c r="W17" s="55">
        <v>8.3071367153912288</v>
      </c>
      <c r="DA17" s="10" t="s">
        <v>982</v>
      </c>
    </row>
    <row r="18" spans="1:105" x14ac:dyDescent="0.25">
      <c r="A18" s="60" t="s">
        <v>153</v>
      </c>
      <c r="B18" s="55">
        <v>11.844368013757521</v>
      </c>
      <c r="C18" s="55">
        <v>19.27773000859845</v>
      </c>
      <c r="D18" s="55">
        <v>19.88392089423904</v>
      </c>
      <c r="E18" s="55">
        <v>16.25107480653482</v>
      </c>
      <c r="F18" s="55">
        <v>15.842648323301811</v>
      </c>
      <c r="G18" s="55">
        <v>18.95047291487532</v>
      </c>
      <c r="H18" s="55">
        <v>15.43422184006879</v>
      </c>
      <c r="I18" s="55">
        <v>14.61736887360275</v>
      </c>
      <c r="J18" s="55">
        <v>16.723989681857269</v>
      </c>
      <c r="K18" s="55">
        <v>15.90713671539123</v>
      </c>
      <c r="L18" s="55">
        <v>18.03525365434222</v>
      </c>
      <c r="M18" s="55">
        <v>17.454858125537399</v>
      </c>
      <c r="N18" s="55">
        <v>16.809974204643161</v>
      </c>
      <c r="O18" s="55">
        <v>17.04643164230438</v>
      </c>
      <c r="P18" s="55">
        <v>17.92777300085984</v>
      </c>
      <c r="Q18" s="55">
        <v>17.691315563198621</v>
      </c>
      <c r="R18" s="55">
        <v>23.118142734307821</v>
      </c>
      <c r="S18" s="55">
        <v>19.89105760963027</v>
      </c>
      <c r="T18" s="55">
        <v>19.442992261392948</v>
      </c>
      <c r="U18" s="55">
        <v>22.09054170249355</v>
      </c>
      <c r="V18" s="55">
        <v>25.163198624247631</v>
      </c>
      <c r="W18" s="55">
        <v>30.345399828030949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0</v>
      </c>
      <c r="M19" s="55">
        <f t="shared" si="24"/>
        <v>0</v>
      </c>
      <c r="N19" s="55">
        <f t="shared" si="24"/>
        <v>8.8907996560619082E-2</v>
      </c>
      <c r="O19" s="55">
        <f t="shared" si="24"/>
        <v>0</v>
      </c>
      <c r="P19" s="55">
        <f t="shared" si="24"/>
        <v>4.0364574376612206</v>
      </c>
      <c r="Q19" s="55">
        <f t="shared" si="24"/>
        <v>4.0364574376612206</v>
      </c>
      <c r="R19" s="55">
        <f t="shared" si="24"/>
        <v>4.0603611349957003</v>
      </c>
      <c r="S19" s="55">
        <f t="shared" si="24"/>
        <v>3.7833190025795349</v>
      </c>
      <c r="T19" s="55">
        <f t="shared" si="24"/>
        <v>3.5444539982803089</v>
      </c>
      <c r="U19" s="55">
        <f t="shared" si="24"/>
        <v>3.298452278589854</v>
      </c>
      <c r="V19" s="55">
        <f t="shared" si="24"/>
        <v>3.4680137575236452</v>
      </c>
      <c r="W19" s="55">
        <f t="shared" si="24"/>
        <v>1.667153912295787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8.8907996560619082E-2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4.0364574376612206</v>
      </c>
      <c r="Q24" s="55">
        <v>4.0364574376612206</v>
      </c>
      <c r="R24" s="55">
        <v>4.0603611349957003</v>
      </c>
      <c r="S24" s="55">
        <v>3.7833190025795349</v>
      </c>
      <c r="T24" s="55">
        <v>3.5444539982803089</v>
      </c>
      <c r="U24" s="55">
        <v>3.298452278589854</v>
      </c>
      <c r="V24" s="55">
        <v>3.4680137575236452</v>
      </c>
      <c r="W24" s="55">
        <v>1.667153912295787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1.1703353396388649</v>
      </c>
      <c r="M26" s="55">
        <v>1.026999140154772</v>
      </c>
      <c r="N26" s="55">
        <v>2.2690455717970761</v>
      </c>
      <c r="O26" s="55">
        <v>4.4425623387790196</v>
      </c>
      <c r="P26" s="55">
        <v>5.3024075666380046</v>
      </c>
      <c r="Q26" s="55">
        <v>4.1797936371453126</v>
      </c>
      <c r="R26" s="55">
        <v>4.6575236457437663</v>
      </c>
      <c r="S26" s="55">
        <v>5.6104901117798791</v>
      </c>
      <c r="T26" s="55">
        <v>5.8947549441100593</v>
      </c>
      <c r="U26" s="55">
        <v>6.4225279449699064</v>
      </c>
      <c r="V26" s="55">
        <v>7.6239896818572657</v>
      </c>
      <c r="W26" s="55">
        <v>6.4774720550300939</v>
      </c>
      <c r="DA26" s="10" t="s">
        <v>990</v>
      </c>
    </row>
    <row r="27" spans="1:105" x14ac:dyDescent="0.25">
      <c r="A27" s="62" t="s">
        <v>24</v>
      </c>
      <c r="B27" s="63">
        <v>11.279879621668099</v>
      </c>
      <c r="C27" s="63">
        <v>11.416852966466029</v>
      </c>
      <c r="D27" s="63">
        <v>11.38392089423904</v>
      </c>
      <c r="E27" s="63">
        <v>10.83121238177128</v>
      </c>
      <c r="F27" s="63">
        <v>11.30601891659501</v>
      </c>
      <c r="G27" s="63">
        <v>11.78882201203783</v>
      </c>
      <c r="H27" s="63">
        <v>12.1018056749785</v>
      </c>
      <c r="I27" s="63">
        <v>12.238779019776439</v>
      </c>
      <c r="J27" s="63">
        <v>12.739724849527089</v>
      </c>
      <c r="K27" s="63">
        <v>12.88073946689596</v>
      </c>
      <c r="L27" s="63">
        <v>12.649699054170251</v>
      </c>
      <c r="M27" s="63">
        <v>12.786672398968189</v>
      </c>
      <c r="N27" s="63">
        <v>11.97334479793637</v>
      </c>
      <c r="O27" s="63">
        <v>11.908254514187449</v>
      </c>
      <c r="P27" s="63">
        <v>12.22717110920034</v>
      </c>
      <c r="Q27" s="63">
        <v>12.15803955288048</v>
      </c>
      <c r="R27" s="63">
        <v>12.282889079965599</v>
      </c>
      <c r="S27" s="63">
        <v>12.19260533104041</v>
      </c>
      <c r="T27" s="63">
        <v>12.80309544282029</v>
      </c>
      <c r="U27" s="63">
        <v>12.80808254514187</v>
      </c>
      <c r="V27" s="63">
        <v>12.992261392949271</v>
      </c>
      <c r="W27" s="63">
        <v>12.76010318142734</v>
      </c>
      <c r="DA27" s="11" t="s">
        <v>991</v>
      </c>
    </row>
    <row r="29" spans="1:105" x14ac:dyDescent="0.25">
      <c r="A29" s="219" t="s">
        <v>84</v>
      </c>
      <c r="B29" s="220">
        <v>866.57019948000004</v>
      </c>
      <c r="C29" s="220">
        <v>809.53444007999997</v>
      </c>
      <c r="D29" s="220">
        <v>749.84633315999997</v>
      </c>
      <c r="E29" s="220">
        <v>761.50713059999998</v>
      </c>
      <c r="F29" s="220">
        <v>704.68224875999988</v>
      </c>
      <c r="G29" s="220">
        <v>716.27209847999995</v>
      </c>
      <c r="H29" s="220">
        <v>726.37692192000009</v>
      </c>
      <c r="I29" s="220">
        <v>710.23549032000005</v>
      </c>
      <c r="J29" s="220">
        <v>753.36498468000002</v>
      </c>
      <c r="K29" s="220">
        <v>740.45943179999995</v>
      </c>
      <c r="L29" s="220">
        <v>721.42824096000015</v>
      </c>
      <c r="M29" s="220">
        <v>738.69920135999985</v>
      </c>
      <c r="N29" s="220">
        <v>675.19247436000001</v>
      </c>
      <c r="O29" s="220">
        <v>659.04904368000018</v>
      </c>
      <c r="P29" s="220">
        <v>664.24713552000003</v>
      </c>
      <c r="Q29" s="220">
        <v>657.60580979999997</v>
      </c>
      <c r="R29" s="220">
        <v>660.97051524000005</v>
      </c>
      <c r="S29" s="220">
        <v>651.9996853199998</v>
      </c>
      <c r="T29" s="220">
        <v>665.18330256000013</v>
      </c>
      <c r="U29" s="220">
        <v>669.81216096000003</v>
      </c>
      <c r="V29" s="220">
        <v>702.65092103999984</v>
      </c>
      <c r="W29" s="220">
        <v>711.01044287999991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166.29233591872872</v>
      </c>
      <c r="C31" s="59">
        <f t="shared" si="25"/>
        <v>152.54595823845546</v>
      </c>
      <c r="D31" s="59">
        <f t="shared" si="25"/>
        <v>137.85085678295144</v>
      </c>
      <c r="E31" s="59">
        <f t="shared" si="25"/>
        <v>162.88042052897381</v>
      </c>
      <c r="F31" s="59">
        <f t="shared" si="25"/>
        <v>130.60833301558654</v>
      </c>
      <c r="G31" s="59">
        <f t="shared" si="25"/>
        <v>146.31750862954482</v>
      </c>
      <c r="H31" s="59">
        <f t="shared" si="25"/>
        <v>136.87430124911671</v>
      </c>
      <c r="I31" s="59">
        <f t="shared" si="25"/>
        <v>138.30576481486472</v>
      </c>
      <c r="J31" s="59">
        <f t="shared" si="25"/>
        <v>136.82454965041495</v>
      </c>
      <c r="K31" s="59">
        <f t="shared" si="25"/>
        <v>140.99533280975228</v>
      </c>
      <c r="L31" s="59">
        <f t="shared" si="25"/>
        <v>153.08355942079851</v>
      </c>
      <c r="M31" s="59">
        <f t="shared" si="25"/>
        <v>157.71430177252006</v>
      </c>
      <c r="N31" s="59">
        <f t="shared" si="25"/>
        <v>163.79152420574641</v>
      </c>
      <c r="O31" s="59">
        <f t="shared" si="25"/>
        <v>153.65155470282005</v>
      </c>
      <c r="P31" s="59">
        <f t="shared" si="25"/>
        <v>186.10669702226107</v>
      </c>
      <c r="Q31" s="59">
        <f t="shared" si="25"/>
        <v>176.82139526472963</v>
      </c>
      <c r="R31" s="59">
        <f t="shared" si="25"/>
        <v>167.47279071988962</v>
      </c>
      <c r="S31" s="59">
        <f t="shared" si="25"/>
        <v>169.9461284280178</v>
      </c>
      <c r="T31" s="59">
        <f t="shared" si="25"/>
        <v>164.54862127396729</v>
      </c>
      <c r="U31" s="59">
        <f t="shared" si="25"/>
        <v>165.0362903239203</v>
      </c>
      <c r="V31" s="59">
        <f t="shared" si="25"/>
        <v>177.248115983383</v>
      </c>
      <c r="W31" s="59">
        <f t="shared" si="25"/>
        <v>146.30610844671511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122.34803499436487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146.93020171673035</v>
      </c>
      <c r="I32" s="55">
        <f t="shared" si="26"/>
        <v>137.2385115226293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144.58585940593426</v>
      </c>
      <c r="M32" s="55">
        <f t="shared" si="26"/>
        <v>132.80026593791027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130.15939664117738</v>
      </c>
      <c r="Q32" s="55">
        <f t="shared" si="26"/>
        <v>132.918169076748</v>
      </c>
      <c r="R32" s="55">
        <f t="shared" si="26"/>
        <v>135.38540863538168</v>
      </c>
      <c r="S32" s="55">
        <f t="shared" si="26"/>
        <v>124.90211009173743</v>
      </c>
      <c r="T32" s="55">
        <f t="shared" si="26"/>
        <v>141.27985612939975</v>
      </c>
      <c r="U32" s="55">
        <f t="shared" si="26"/>
        <v>142.01198459584066</v>
      </c>
      <c r="V32" s="55">
        <f t="shared" si="26"/>
        <v>148.6260104466125</v>
      </c>
      <c r="W32" s="55">
        <f t="shared" si="26"/>
        <v>142.54014154785798</v>
      </c>
      <c r="DA32" s="217"/>
    </row>
    <row r="33" spans="1:105" x14ac:dyDescent="0.25">
      <c r="A33" s="35" t="s">
        <v>111</v>
      </c>
      <c r="B33" s="55">
        <f>IF(AGR_ued!B$5=0,"",AGR_ued!B$5/B$5*1000)</f>
        <v>47.9703404396545</v>
      </c>
      <c r="C33" s="55">
        <f>IF(AGR_ued!C$5=0,"",AGR_ued!C$5/C$5*1000)</f>
        <v>46.793557412283015</v>
      </c>
      <c r="D33" s="55">
        <f>IF(AGR_ued!D$5=0,"",AGR_ued!D$5/D$5*1000)</f>
        <v>49.029997319257483</v>
      </c>
      <c r="E33" s="55">
        <f>IF(AGR_ued!E$5=0,"",AGR_ued!E$5/E$5*1000)</f>
        <v>51.815650418076295</v>
      </c>
      <c r="F33" s="55">
        <f>IF(AGR_ued!F$5=0,"",AGR_ued!F$5/F$5*1000)</f>
        <v>51.71399268747426</v>
      </c>
      <c r="G33" s="55">
        <f>IF(AGR_ued!G$5=0,"",AGR_ued!G$5/G$5*1000)</f>
        <v>59.294396091381877</v>
      </c>
      <c r="H33" s="55">
        <f>IF(AGR_ued!H$5=0,"",AGR_ued!H$5/H$5*1000)</f>
        <v>56.338237216741817</v>
      </c>
      <c r="I33" s="55">
        <f>IF(AGR_ued!I$5=0,"",AGR_ued!I$5/I$5*1000)</f>
        <v>52.643775440952979</v>
      </c>
      <c r="J33" s="55">
        <f>IF(AGR_ued!J$5=0,"",AGR_ued!J$5/J$5*1000)</f>
        <v>53.425537433935489</v>
      </c>
      <c r="K33" s="55">
        <f>IF(AGR_ued!K$5=0,"",AGR_ued!K$5/K$5*1000)</f>
        <v>60.006869706436213</v>
      </c>
      <c r="L33" s="55">
        <f>IF(AGR_ued!L$5=0,"",AGR_ued!L$5/L$5*1000)</f>
        <v>55.684199082843115</v>
      </c>
      <c r="M33" s="55">
        <f>IF(AGR_ued!M$5=0,"",AGR_ued!M$5/M$5*1000)</f>
        <v>51.079350379037344</v>
      </c>
      <c r="N33" s="55">
        <f>IF(AGR_ued!N$5=0,"",AGR_ued!N$5/N$5*1000)</f>
        <v>52.107689446092138</v>
      </c>
      <c r="O33" s="55">
        <f>IF(AGR_ued!O$5=0,"",AGR_ued!O$5/O$5*1000)</f>
        <v>51.576064429184868</v>
      </c>
      <c r="P33" s="55">
        <f>IF(AGR_ued!P$5=0,"",AGR_ued!P$5/P$5*1000)</f>
        <v>50.603539987149418</v>
      </c>
      <c r="Q33" s="55">
        <f>IF(AGR_ued!Q$5=0,"",AGR_ued!Q$5/Q$5*1000)</f>
        <v>51.608396344114226</v>
      </c>
      <c r="R33" s="55">
        <f>IF(AGR_ued!R$5=0,"",AGR_ued!R$5/R$5*1000)</f>
        <v>52.800322024488267</v>
      </c>
      <c r="S33" s="55">
        <f>IF(AGR_ued!S$5=0,"",AGR_ued!S$5/S$5*1000)</f>
        <v>48.728417094008449</v>
      </c>
      <c r="T33" s="55">
        <f>IF(AGR_ued!T$5=0,"",AGR_ued!T$5/T$5*1000)</f>
        <v>55.159575471680313</v>
      </c>
      <c r="U33" s="55">
        <f>IF(AGR_ued!U$5=0,"",AGR_ued!U$5/U$5*1000)</f>
        <v>55.549792698476857</v>
      </c>
      <c r="V33" s="55">
        <f>IF(AGR_ued!V$5=0,"",AGR_ued!V$5/V$5*1000)</f>
        <v>58.256607626041628</v>
      </c>
      <c r="W33" s="55">
        <f>IF(AGR_ued!W$5=0,"",AGR_ued!W$5/W$5*1000)</f>
        <v>55.848064811866209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2.946978144615986</v>
      </c>
      <c r="C34" s="218">
        <f t="shared" si="27"/>
        <v>2.9111669076322984</v>
      </c>
      <c r="D34" s="218">
        <f t="shared" si="27"/>
        <v>2.8986576040002192</v>
      </c>
      <c r="E34" s="218">
        <f t="shared" si="27"/>
        <v>2.9168629105031174</v>
      </c>
      <c r="F34" s="218">
        <f t="shared" si="27"/>
        <v>2.8995904190671018</v>
      </c>
      <c r="G34" s="218">
        <f t="shared" si="27"/>
        <v>2.8868407263821081</v>
      </c>
      <c r="H34" s="218">
        <f t="shared" si="27"/>
        <v>2.8957691388786402</v>
      </c>
      <c r="I34" s="218">
        <f t="shared" si="27"/>
        <v>2.8918626142110928</v>
      </c>
      <c r="J34" s="218">
        <f t="shared" si="27"/>
        <v>2.891568515845512</v>
      </c>
      <c r="K34" s="218">
        <f t="shared" si="27"/>
        <v>2.8893781843173465</v>
      </c>
      <c r="L34" s="218">
        <f t="shared" si="27"/>
        <v>2.8671658767172841</v>
      </c>
      <c r="M34" s="218">
        <f t="shared" si="27"/>
        <v>2.8743851998056771</v>
      </c>
      <c r="N34" s="218">
        <f t="shared" si="27"/>
        <v>2.8497829141996518</v>
      </c>
      <c r="O34" s="218">
        <f t="shared" si="27"/>
        <v>2.8196763711203858</v>
      </c>
      <c r="P34" s="218">
        <f t="shared" si="27"/>
        <v>2.7567964247470944</v>
      </c>
      <c r="Q34" s="218">
        <f t="shared" si="27"/>
        <v>2.7696155933646169</v>
      </c>
      <c r="R34" s="218">
        <f t="shared" si="27"/>
        <v>2.7490149834249902</v>
      </c>
      <c r="S34" s="218">
        <f t="shared" si="27"/>
        <v>2.7456256466518623</v>
      </c>
      <c r="T34" s="218">
        <f t="shared" si="27"/>
        <v>2.7449500722325832</v>
      </c>
      <c r="U34" s="218">
        <f t="shared" si="27"/>
        <v>2.736623136191795</v>
      </c>
      <c r="V34" s="218">
        <f t="shared" si="27"/>
        <v>2.7271013873048995</v>
      </c>
      <c r="W34" s="218">
        <f t="shared" si="27"/>
        <v>2.7511361634895994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294.05382631126395</v>
      </c>
      <c r="C5" s="80">
        <f t="shared" ref="C5:W5" si="1">SUM(C6:C9,C16:C17,C25:C27)</f>
        <v>278.07901977644019</v>
      </c>
      <c r="D5" s="80">
        <f t="shared" si="1"/>
        <v>258.68744625967321</v>
      </c>
      <c r="E5" s="80">
        <f t="shared" si="1"/>
        <v>261.0705932932072</v>
      </c>
      <c r="F5" s="80">
        <f t="shared" si="1"/>
        <v>243.02820292347388</v>
      </c>
      <c r="G5" s="80">
        <f t="shared" si="1"/>
        <v>248.11625107480643</v>
      </c>
      <c r="H5" s="80">
        <f t="shared" si="1"/>
        <v>250.84075666380053</v>
      </c>
      <c r="I5" s="80">
        <f t="shared" si="1"/>
        <v>245.59793637145322</v>
      </c>
      <c r="J5" s="80">
        <f t="shared" si="1"/>
        <v>260.53852106620809</v>
      </c>
      <c r="K5" s="80">
        <f t="shared" si="1"/>
        <v>256.26947549441104</v>
      </c>
      <c r="L5" s="80">
        <f t="shared" si="1"/>
        <v>251.61719690455718</v>
      </c>
      <c r="M5" s="80">
        <f t="shared" si="1"/>
        <v>256.99380911435941</v>
      </c>
      <c r="N5" s="80">
        <f t="shared" si="1"/>
        <v>236.92768701633707</v>
      </c>
      <c r="O5" s="80">
        <f t="shared" si="1"/>
        <v>233.73215821152195</v>
      </c>
      <c r="P5" s="80">
        <f t="shared" si="1"/>
        <v>240.94892519346513</v>
      </c>
      <c r="Q5" s="80">
        <f t="shared" si="1"/>
        <v>237.43576956147891</v>
      </c>
      <c r="R5" s="80">
        <f t="shared" si="1"/>
        <v>240.43903697334477</v>
      </c>
      <c r="S5" s="80">
        <f t="shared" si="1"/>
        <v>237.46852966466031</v>
      </c>
      <c r="T5" s="80">
        <f t="shared" si="1"/>
        <v>242.32983662940666</v>
      </c>
      <c r="U5" s="80">
        <f t="shared" si="1"/>
        <v>244.75864144453996</v>
      </c>
      <c r="V5" s="80">
        <f t="shared" si="1"/>
        <v>257.65485812553743</v>
      </c>
      <c r="W5" s="80">
        <f t="shared" si="1"/>
        <v>258.4424763542562</v>
      </c>
      <c r="DA5" s="103"/>
    </row>
    <row r="6" spans="1:105" x14ac:dyDescent="0.25">
      <c r="A6" s="239" t="s">
        <v>125</v>
      </c>
      <c r="B6" s="240">
        <v>2.225697116576411</v>
      </c>
      <c r="C6" s="240">
        <v>2.2496051768449989</v>
      </c>
      <c r="D6" s="240">
        <v>2.2386269059965178</v>
      </c>
      <c r="E6" s="240">
        <v>2.1338431801466471</v>
      </c>
      <c r="F6" s="240">
        <v>2.218893209808551</v>
      </c>
      <c r="G6" s="240">
        <v>2.311533090713223</v>
      </c>
      <c r="H6" s="240">
        <v>2.3714377189919671</v>
      </c>
      <c r="I6" s="240">
        <v>2.395030331095616</v>
      </c>
      <c r="J6" s="240">
        <v>2.4948157127409809</v>
      </c>
      <c r="K6" s="240">
        <v>2.5197581269124969</v>
      </c>
      <c r="L6" s="240">
        <v>2.4750484238550681</v>
      </c>
      <c r="M6" s="240">
        <v>2.502715007935763</v>
      </c>
      <c r="N6" s="240">
        <v>2.3422489901933621</v>
      </c>
      <c r="O6" s="240">
        <v>2.3296394445118511</v>
      </c>
      <c r="P6" s="240">
        <v>2.3929179066292172</v>
      </c>
      <c r="Q6" s="240">
        <v>2.3786819270357822</v>
      </c>
      <c r="R6" s="240">
        <v>2.4042896086592349</v>
      </c>
      <c r="S6" s="240">
        <v>2.386038570748064</v>
      </c>
      <c r="T6" s="240">
        <v>2.5025392236782422</v>
      </c>
      <c r="U6" s="240">
        <v>2.5048320653693872</v>
      </c>
      <c r="V6" s="240">
        <v>2.5453899397744588</v>
      </c>
      <c r="W6" s="240">
        <v>2.5017663326563402</v>
      </c>
      <c r="DA6" s="268" t="s">
        <v>993</v>
      </c>
    </row>
    <row r="7" spans="1:105" x14ac:dyDescent="0.25">
      <c r="A7" s="241" t="s">
        <v>124</v>
      </c>
      <c r="B7" s="242">
        <v>1.446703125774667</v>
      </c>
      <c r="C7" s="242">
        <v>1.462243364949249</v>
      </c>
      <c r="D7" s="242">
        <v>1.455107488897736</v>
      </c>
      <c r="E7" s="242">
        <v>1.3869980670953199</v>
      </c>
      <c r="F7" s="242">
        <v>1.442280586375557</v>
      </c>
      <c r="G7" s="242">
        <v>1.502496508963594</v>
      </c>
      <c r="H7" s="242">
        <v>1.5414345173447781</v>
      </c>
      <c r="I7" s="242">
        <v>1.55676971521215</v>
      </c>
      <c r="J7" s="242">
        <v>1.6216302132816369</v>
      </c>
      <c r="K7" s="242">
        <v>1.637842782493123</v>
      </c>
      <c r="L7" s="242">
        <v>1.6087814755057941</v>
      </c>
      <c r="M7" s="242">
        <v>1.6267647551582449</v>
      </c>
      <c r="N7" s="242">
        <v>1.5224618436256849</v>
      </c>
      <c r="O7" s="242">
        <v>1.5142656389327029</v>
      </c>
      <c r="P7" s="242">
        <v>1.55539663930899</v>
      </c>
      <c r="Q7" s="242">
        <v>1.5461432525732579</v>
      </c>
      <c r="R7" s="242">
        <v>1.562788245628502</v>
      </c>
      <c r="S7" s="242">
        <v>1.550925070986241</v>
      </c>
      <c r="T7" s="242">
        <v>1.6266504953908569</v>
      </c>
      <c r="U7" s="242">
        <v>1.6281408424901009</v>
      </c>
      <c r="V7" s="242">
        <v>1.6545034608533979</v>
      </c>
      <c r="W7" s="242">
        <v>1.62614811622662</v>
      </c>
      <c r="DA7" s="269" t="s">
        <v>994</v>
      </c>
    </row>
    <row r="8" spans="1:105" x14ac:dyDescent="0.25">
      <c r="A8" s="241" t="s">
        <v>123</v>
      </c>
      <c r="B8" s="242">
        <v>2.0031274049187702</v>
      </c>
      <c r="C8" s="242">
        <v>2.024644659160499</v>
      </c>
      <c r="D8" s="242">
        <v>2.0147642153968661</v>
      </c>
      <c r="E8" s="242">
        <v>1.920458862131982</v>
      </c>
      <c r="F8" s="242">
        <v>1.997003888827696</v>
      </c>
      <c r="G8" s="242">
        <v>2.0803797816418999</v>
      </c>
      <c r="H8" s="242">
        <v>2.13429394709277</v>
      </c>
      <c r="I8" s="242">
        <v>2.1555272979860538</v>
      </c>
      <c r="J8" s="242">
        <v>2.2453341414668828</v>
      </c>
      <c r="K8" s="242">
        <v>2.2677823142212459</v>
      </c>
      <c r="L8" s="242">
        <v>2.2275435814695612</v>
      </c>
      <c r="M8" s="242">
        <v>2.252443507142186</v>
      </c>
      <c r="N8" s="242">
        <v>2.108024091174026</v>
      </c>
      <c r="O8" s="242">
        <v>2.0966755000606652</v>
      </c>
      <c r="P8" s="242">
        <v>2.1536261159662939</v>
      </c>
      <c r="Q8" s="242">
        <v>2.140813734332204</v>
      </c>
      <c r="R8" s="242">
        <v>2.163860647793312</v>
      </c>
      <c r="S8" s="242">
        <v>2.147434713673257</v>
      </c>
      <c r="T8" s="242">
        <v>2.2522853013104172</v>
      </c>
      <c r="U8" s="242">
        <v>2.254348858832449</v>
      </c>
      <c r="V8" s="242">
        <v>2.290850945797013</v>
      </c>
      <c r="W8" s="242">
        <v>2.251589699390705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62.198525525943779</v>
      </c>
      <c r="C9" s="244">
        <f t="shared" ref="C9:W9" si="3">SUM(C10:C15)</f>
        <v>59.399583192100572</v>
      </c>
      <c r="D9" s="244">
        <f t="shared" si="3"/>
        <v>55.272389248276802</v>
      </c>
      <c r="E9" s="244">
        <f t="shared" si="3"/>
        <v>55.826939913316522</v>
      </c>
      <c r="F9" s="244">
        <f t="shared" si="3"/>
        <v>51.689979734212649</v>
      </c>
      <c r="G9" s="244">
        <f t="shared" si="3"/>
        <v>52.701662787997954</v>
      </c>
      <c r="H9" s="244">
        <f t="shared" si="3"/>
        <v>53.138890397484865</v>
      </c>
      <c r="I9" s="244">
        <f t="shared" si="3"/>
        <v>51.915572111050778</v>
      </c>
      <c r="J9" s="244">
        <f t="shared" si="3"/>
        <v>55.097039578810147</v>
      </c>
      <c r="K9" s="244">
        <f t="shared" si="3"/>
        <v>54.16939667195885</v>
      </c>
      <c r="L9" s="244">
        <f t="shared" si="3"/>
        <v>53.638292800963491</v>
      </c>
      <c r="M9" s="244">
        <f t="shared" si="3"/>
        <v>54.691101450188022</v>
      </c>
      <c r="N9" s="244">
        <f t="shared" si="3"/>
        <v>50.774000323218878</v>
      </c>
      <c r="O9" s="244">
        <f t="shared" si="3"/>
        <v>50.837773039859478</v>
      </c>
      <c r="P9" s="244">
        <f t="shared" si="3"/>
        <v>52.827791857286883</v>
      </c>
      <c r="Q9" s="244">
        <f t="shared" si="3"/>
        <v>51.83147573297228</v>
      </c>
      <c r="R9" s="244">
        <f t="shared" si="3"/>
        <v>52.96363979530436</v>
      </c>
      <c r="S9" s="244">
        <f t="shared" si="3"/>
        <v>52.446515058262705</v>
      </c>
      <c r="T9" s="244">
        <f t="shared" si="3"/>
        <v>53.487054406375385</v>
      </c>
      <c r="U9" s="244">
        <f t="shared" si="3"/>
        <v>54.2839347780248</v>
      </c>
      <c r="V9" s="244">
        <f t="shared" si="3"/>
        <v>57.669093027790012</v>
      </c>
      <c r="W9" s="244">
        <f t="shared" si="3"/>
        <v>57.636764301358888</v>
      </c>
      <c r="DA9" s="270"/>
    </row>
    <row r="10" spans="1:105" x14ac:dyDescent="0.25">
      <c r="A10" s="254" t="s">
        <v>173</v>
      </c>
      <c r="B10" s="255">
        <v>57.327399566207653</v>
      </c>
      <c r="C10" s="255">
        <v>51.779473559148506</v>
      </c>
      <c r="D10" s="255">
        <v>47.484014403664602</v>
      </c>
      <c r="E10" s="255">
        <v>49.44089722560814</v>
      </c>
      <c r="F10" s="255">
        <v>45.440445031683147</v>
      </c>
      <c r="G10" s="255">
        <v>45.209734325449823</v>
      </c>
      <c r="H10" s="255">
        <v>46.99219611915003</v>
      </c>
      <c r="I10" s="255">
        <v>46.06934306818043</v>
      </c>
      <c r="J10" s="255">
        <v>48.410468036985819</v>
      </c>
      <c r="K10" s="255">
        <v>47.816349850491562</v>
      </c>
      <c r="L10" s="255">
        <v>45.376683345079257</v>
      </c>
      <c r="M10" s="255">
        <v>46.764781584443988</v>
      </c>
      <c r="N10" s="255">
        <v>41.916247301736448</v>
      </c>
      <c r="O10" s="255">
        <v>39.859061823124023</v>
      </c>
      <c r="P10" s="255">
        <v>39.235534901646467</v>
      </c>
      <c r="Q10" s="255">
        <v>39.458515729533602</v>
      </c>
      <c r="R10" s="255">
        <v>38.267842744398521</v>
      </c>
      <c r="S10" s="255">
        <v>38.086697927405837</v>
      </c>
      <c r="T10" s="255">
        <v>39.105973168680833</v>
      </c>
      <c r="U10" s="255">
        <v>38.556449748482407</v>
      </c>
      <c r="V10" s="255">
        <v>39.690435126731067</v>
      </c>
      <c r="W10" s="255">
        <v>39.513396971492668</v>
      </c>
      <c r="DA10" s="271" t="s">
        <v>996</v>
      </c>
    </row>
    <row r="11" spans="1:105" x14ac:dyDescent="0.25">
      <c r="A11" s="254" t="s">
        <v>176</v>
      </c>
      <c r="B11" s="256">
        <v>4.7197319199537091</v>
      </c>
      <c r="C11" s="256">
        <v>7.4512825498013404</v>
      </c>
      <c r="D11" s="256">
        <v>7.5975884795578121</v>
      </c>
      <c r="E11" s="256">
        <v>6.2240462058198442</v>
      </c>
      <c r="F11" s="256">
        <v>6.0379818342729203</v>
      </c>
      <c r="G11" s="256">
        <v>7.2607719033784521</v>
      </c>
      <c r="H11" s="256">
        <v>5.9020771976245792</v>
      </c>
      <c r="I11" s="256">
        <v>5.5826016779246768</v>
      </c>
      <c r="J11" s="256">
        <v>6.4209252552991849</v>
      </c>
      <c r="K11" s="256">
        <v>6.0710979884664518</v>
      </c>
      <c r="L11" s="256">
        <v>6.816817180694108</v>
      </c>
      <c r="M11" s="256">
        <v>6.6262233656211604</v>
      </c>
      <c r="N11" s="256">
        <v>6.3266076021050273</v>
      </c>
      <c r="O11" s="256">
        <v>6.2760915857306809</v>
      </c>
      <c r="P11" s="256">
        <v>6.5520636181318226</v>
      </c>
      <c r="Q11" s="256">
        <v>6.4556197383887666</v>
      </c>
      <c r="R11" s="256">
        <v>8.3162122262742137</v>
      </c>
      <c r="S11" s="256">
        <v>7.1306505270042422</v>
      </c>
      <c r="T11" s="256">
        <v>6.9321899798920308</v>
      </c>
      <c r="U11" s="256">
        <v>7.8490525086611651</v>
      </c>
      <c r="V11" s="256">
        <v>8.8672627211901336</v>
      </c>
      <c r="W11" s="256">
        <v>10.801213066914331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1.4752041941946299</v>
      </c>
      <c r="Q12" s="256">
        <v>1.4729167095937901</v>
      </c>
      <c r="R12" s="256">
        <v>1.4606201415924811</v>
      </c>
      <c r="S12" s="256">
        <v>1.35626401416221</v>
      </c>
      <c r="T12" s="256">
        <v>1.263736988665894</v>
      </c>
      <c r="U12" s="256">
        <v>1.1719823570031529</v>
      </c>
      <c r="V12" s="256">
        <v>1.2220938032508739</v>
      </c>
      <c r="W12" s="256">
        <v>0.59341068906967342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1.17033533963591</v>
      </c>
      <c r="M14" s="255">
        <v>1.0269991401521461</v>
      </c>
      <c r="N14" s="255">
        <v>2.2690455717913989</v>
      </c>
      <c r="O14" s="255">
        <v>4.4425623387679041</v>
      </c>
      <c r="P14" s="255">
        <v>5.3024075666245576</v>
      </c>
      <c r="Q14" s="255">
        <v>4.1797936371348108</v>
      </c>
      <c r="R14" s="255">
        <v>4.6575236457318416</v>
      </c>
      <c r="S14" s="255">
        <v>5.6104901117656647</v>
      </c>
      <c r="T14" s="255">
        <v>5.8947549440957783</v>
      </c>
      <c r="U14" s="255">
        <v>6.4225279449540418</v>
      </c>
      <c r="V14" s="255">
        <v>7.6239896818371413</v>
      </c>
      <c r="W14" s="255">
        <v>6.4774720550125</v>
      </c>
      <c r="DA14" s="271" t="s">
        <v>1000</v>
      </c>
    </row>
    <row r="15" spans="1:105" x14ac:dyDescent="0.25">
      <c r="A15" s="254" t="s">
        <v>24</v>
      </c>
      <c r="B15" s="256">
        <v>0.15139403978241731</v>
      </c>
      <c r="C15" s="256">
        <v>0.1688270831507204</v>
      </c>
      <c r="D15" s="256">
        <v>0.19078636505438251</v>
      </c>
      <c r="E15" s="256">
        <v>0.16199648188853541</v>
      </c>
      <c r="F15" s="256">
        <v>0.21155286825657901</v>
      </c>
      <c r="G15" s="256">
        <v>0.23115655916967909</v>
      </c>
      <c r="H15" s="256">
        <v>0.2446170807102569</v>
      </c>
      <c r="I15" s="256">
        <v>0.26362736494567057</v>
      </c>
      <c r="J15" s="256">
        <v>0.26564628652514871</v>
      </c>
      <c r="K15" s="256">
        <v>0.281948833000842</v>
      </c>
      <c r="L15" s="256">
        <v>0.27445693555421169</v>
      </c>
      <c r="M15" s="256">
        <v>0.27309735997072682</v>
      </c>
      <c r="N15" s="256">
        <v>0.26209984758600358</v>
      </c>
      <c r="O15" s="256">
        <v>0.26005729223686552</v>
      </c>
      <c r="P15" s="256">
        <v>0.26258157668940157</v>
      </c>
      <c r="Q15" s="256">
        <v>0.26462991832130811</v>
      </c>
      <c r="R15" s="256">
        <v>0.2614410373072989</v>
      </c>
      <c r="S15" s="256">
        <v>0.26241247792475442</v>
      </c>
      <c r="T15" s="256">
        <v>0.29039932504084592</v>
      </c>
      <c r="U15" s="256">
        <v>0.2839222189240313</v>
      </c>
      <c r="V15" s="256">
        <v>0.26531169478079281</v>
      </c>
      <c r="W15" s="256">
        <v>0.25127151886971971</v>
      </c>
      <c r="DA15" s="272" t="s">
        <v>1001</v>
      </c>
    </row>
    <row r="16" spans="1:105" x14ac:dyDescent="0.25">
      <c r="A16" s="257" t="s">
        <v>175</v>
      </c>
      <c r="B16" s="258">
        <v>82.97628253838252</v>
      </c>
      <c r="C16" s="258">
        <v>78.448063405846995</v>
      </c>
      <c r="D16" s="258">
        <v>72.885306944373056</v>
      </c>
      <c r="E16" s="258">
        <v>73.977391740515515</v>
      </c>
      <c r="F16" s="258">
        <v>68.559468192826515</v>
      </c>
      <c r="G16" s="258">
        <v>69.592516841419197</v>
      </c>
      <c r="H16" s="258">
        <v>70.624548088767654</v>
      </c>
      <c r="I16" s="258">
        <v>69.097405431287527</v>
      </c>
      <c r="J16" s="258">
        <v>73.157139831670818</v>
      </c>
      <c r="K16" s="258">
        <v>72.035172117635284</v>
      </c>
      <c r="L16" s="258">
        <v>70.434511574830651</v>
      </c>
      <c r="M16" s="258">
        <v>71.997501484403486</v>
      </c>
      <c r="N16" s="258">
        <v>66.067524967219711</v>
      </c>
      <c r="O16" s="258">
        <v>64.923739361836454</v>
      </c>
      <c r="P16" s="258">
        <v>66.538091227026484</v>
      </c>
      <c r="Q16" s="258">
        <v>65.885664501374634</v>
      </c>
      <c r="R16" s="258">
        <v>66.501110586169887</v>
      </c>
      <c r="S16" s="258">
        <v>65.674724902421374</v>
      </c>
      <c r="T16" s="258">
        <v>67.068700359352349</v>
      </c>
      <c r="U16" s="258">
        <v>67.535047928186387</v>
      </c>
      <c r="V16" s="258">
        <v>71.011823618132667</v>
      </c>
      <c r="W16" s="258">
        <v>71.173971625902681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121.80594847276795</v>
      </c>
      <c r="C17" s="258">
        <f t="shared" ref="C17:W17" si="5">SUM(C18:C24)</f>
        <v>113.9088981462306</v>
      </c>
      <c r="D17" s="258">
        <f t="shared" si="5"/>
        <v>105.33109640155971</v>
      </c>
      <c r="E17" s="258">
        <f t="shared" si="5"/>
        <v>106.38167340844747</v>
      </c>
      <c r="F17" s="258">
        <f t="shared" si="5"/>
        <v>98.510015778372008</v>
      </c>
      <c r="G17" s="258">
        <f t="shared" si="5"/>
        <v>100.89162391583253</v>
      </c>
      <c r="H17" s="258">
        <f t="shared" si="5"/>
        <v>101.64903410175476</v>
      </c>
      <c r="I17" s="258">
        <f t="shared" si="5"/>
        <v>99.332164881225424</v>
      </c>
      <c r="J17" s="258">
        <f t="shared" si="5"/>
        <v>105.75250900186629</v>
      </c>
      <c r="K17" s="258">
        <f t="shared" si="5"/>
        <v>103.62395742652106</v>
      </c>
      <c r="L17" s="258">
        <f t="shared" si="5"/>
        <v>101.63457202851933</v>
      </c>
      <c r="M17" s="258">
        <f t="shared" si="5"/>
        <v>103.95671122246793</v>
      </c>
      <c r="N17" s="258">
        <f t="shared" si="5"/>
        <v>95.679491263882142</v>
      </c>
      <c r="O17" s="258">
        <f t="shared" si="5"/>
        <v>93.846811012286565</v>
      </c>
      <c r="P17" s="258">
        <f t="shared" si="5"/>
        <v>96.832603836564402</v>
      </c>
      <c r="Q17" s="258">
        <f t="shared" si="5"/>
        <v>95.164740184990833</v>
      </c>
      <c r="R17" s="258">
        <f t="shared" si="5"/>
        <v>96.174095947460131</v>
      </c>
      <c r="S17" s="258">
        <f t="shared" si="5"/>
        <v>94.79715114512517</v>
      </c>
      <c r="T17" s="258">
        <f t="shared" si="5"/>
        <v>96.373576039119328</v>
      </c>
      <c r="U17" s="258">
        <f t="shared" si="5"/>
        <v>97.438076133549473</v>
      </c>
      <c r="V17" s="258">
        <f t="shared" si="5"/>
        <v>102.60147807949369</v>
      </c>
      <c r="W17" s="258">
        <f t="shared" si="5"/>
        <v>103.44623697147422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2.239896818564636</v>
      </c>
      <c r="C19" s="55">
        <v>3.3598452278473281</v>
      </c>
      <c r="D19" s="55">
        <v>2.9118658641348789</v>
      </c>
      <c r="E19" s="55">
        <v>3.3598452278473712</v>
      </c>
      <c r="F19" s="55">
        <v>3.0239036973250921</v>
      </c>
      <c r="G19" s="55">
        <v>3.3598452278488362</v>
      </c>
      <c r="H19" s="55">
        <v>3.3598452278490241</v>
      </c>
      <c r="I19" s="55">
        <v>3.3598452278494322</v>
      </c>
      <c r="J19" s="55">
        <v>3.3598452278492221</v>
      </c>
      <c r="K19" s="55">
        <v>3.3598452278495392</v>
      </c>
      <c r="L19" s="55">
        <v>3.3598452278494788</v>
      </c>
      <c r="M19" s="55">
        <v>3.3598452278493758</v>
      </c>
      <c r="N19" s="55">
        <v>3.3598452278495361</v>
      </c>
      <c r="O19" s="55">
        <v>3.359845227849517</v>
      </c>
      <c r="P19" s="55">
        <v>3.3598452278494069</v>
      </c>
      <c r="Q19" s="55">
        <v>2.2398968185663342</v>
      </c>
      <c r="R19" s="55">
        <v>2.2398968185662369</v>
      </c>
      <c r="S19" s="55">
        <v>2.7999140154692479</v>
      </c>
      <c r="T19" s="55">
        <v>2.911865864136479</v>
      </c>
      <c r="U19" s="55">
        <v>2.911865864136344</v>
      </c>
      <c r="V19" s="55">
        <v>3.0239036973255651</v>
      </c>
      <c r="W19" s="55">
        <v>3.0239036973253581</v>
      </c>
      <c r="DA19" s="101" t="s">
        <v>1004</v>
      </c>
    </row>
    <row r="20" spans="1:105" x14ac:dyDescent="0.25">
      <c r="A20" s="61" t="s">
        <v>173</v>
      </c>
      <c r="B20" s="55">
        <v>86.538148148667673</v>
      </c>
      <c r="C20" s="55">
        <v>82.182794625658673</v>
      </c>
      <c r="D20" s="55">
        <v>76.788100186479383</v>
      </c>
      <c r="E20" s="55">
        <v>79.650001643614402</v>
      </c>
      <c r="F20" s="55">
        <v>73.787636477742993</v>
      </c>
      <c r="G20" s="55">
        <v>72.786789628430043</v>
      </c>
      <c r="H20" s="55">
        <v>75.894705452523908</v>
      </c>
      <c r="I20" s="55">
        <v>74.557672836104899</v>
      </c>
      <c r="J20" s="55">
        <v>77.679797111949938</v>
      </c>
      <c r="K20" s="55">
        <v>77.469260058240508</v>
      </c>
      <c r="L20" s="55">
        <v>74.676410705437632</v>
      </c>
      <c r="M20" s="55">
        <v>76.423433298416924</v>
      </c>
      <c r="N20" s="55">
        <v>69.456399811906493</v>
      </c>
      <c r="O20" s="55">
        <v>68.401750405499328</v>
      </c>
      <c r="P20" s="55">
        <v>68.120834675648283</v>
      </c>
      <c r="Q20" s="55">
        <v>68.675649805896967</v>
      </c>
      <c r="R20" s="55">
        <v>68.112493233747003</v>
      </c>
      <c r="S20" s="55">
        <v>68.156722608142999</v>
      </c>
      <c r="T20" s="55">
        <v>70.576123816022289</v>
      </c>
      <c r="U20" s="55">
        <v>69.95764926242525</v>
      </c>
      <c r="V20" s="55">
        <v>72.94165145701524</v>
      </c>
      <c r="W20" s="55">
        <v>71.497266574533114</v>
      </c>
      <c r="DA20" s="101" t="s">
        <v>1005</v>
      </c>
    </row>
    <row r="21" spans="1:105" x14ac:dyDescent="0.25">
      <c r="A21" s="61" t="s">
        <v>129</v>
      </c>
      <c r="B21" s="55">
        <v>25.903267411773111</v>
      </c>
      <c r="C21" s="55">
        <v>16.53981083399249</v>
      </c>
      <c r="D21" s="55">
        <v>13.34479793632757</v>
      </c>
      <c r="E21" s="55">
        <v>13.344797936325319</v>
      </c>
      <c r="F21" s="55">
        <v>11.89380911432249</v>
      </c>
      <c r="G21" s="55">
        <v>13.055288048111899</v>
      </c>
      <c r="H21" s="55">
        <v>12.862338778981639</v>
      </c>
      <c r="I21" s="55">
        <v>12.379879621632901</v>
      </c>
      <c r="J21" s="55">
        <v>14.40980223555572</v>
      </c>
      <c r="K21" s="55">
        <v>12.95881341354912</v>
      </c>
      <c r="L21" s="55">
        <v>12.379879621633069</v>
      </c>
      <c r="M21" s="55">
        <v>13.34479793633329</v>
      </c>
      <c r="N21" s="55">
        <v>12.37987962163329</v>
      </c>
      <c r="O21" s="55">
        <v>11.31487532241008</v>
      </c>
      <c r="P21" s="55">
        <v>11.4149613069322</v>
      </c>
      <c r="Q21" s="55">
        <v>10.449957007709109</v>
      </c>
      <c r="R21" s="55">
        <v>8.4200343937849791</v>
      </c>
      <c r="S21" s="55">
        <v>8.6530524505342825</v>
      </c>
      <c r="T21" s="55">
        <v>8.0940670679056019</v>
      </c>
      <c r="U21" s="55">
        <v>8.2006018916366603</v>
      </c>
      <c r="V21" s="55">
        <v>8.0940670679039091</v>
      </c>
      <c r="W21" s="55">
        <v>8.3071367153661715</v>
      </c>
      <c r="DA21" s="101" t="s">
        <v>1006</v>
      </c>
    </row>
    <row r="22" spans="1:105" x14ac:dyDescent="0.25">
      <c r="A22" s="61" t="s">
        <v>176</v>
      </c>
      <c r="B22" s="55">
        <v>7.1246360937625388</v>
      </c>
      <c r="C22" s="55">
        <v>11.826447458732099</v>
      </c>
      <c r="D22" s="55">
        <v>12.286332414617879</v>
      </c>
      <c r="E22" s="55">
        <v>10.027028600660371</v>
      </c>
      <c r="F22" s="55">
        <v>9.8046664889814235</v>
      </c>
      <c r="G22" s="55">
        <v>11.689701011441739</v>
      </c>
      <c r="H22" s="55">
        <v>9.5321446424001941</v>
      </c>
      <c r="I22" s="55">
        <v>9.0347671956381959</v>
      </c>
      <c r="J22" s="55">
        <v>10.30306442651141</v>
      </c>
      <c r="K22" s="55">
        <v>9.8360387268818972</v>
      </c>
      <c r="L22" s="55">
        <v>11.21843647359916</v>
      </c>
      <c r="M22" s="55">
        <v>10.828634759868329</v>
      </c>
      <c r="N22" s="55">
        <v>10.48336660249282</v>
      </c>
      <c r="O22" s="55">
        <v>10.770340056527649</v>
      </c>
      <c r="P22" s="55">
        <v>11.37570938267897</v>
      </c>
      <c r="Q22" s="55">
        <v>11.235695824761921</v>
      </c>
      <c r="R22" s="55">
        <v>14.801930507969891</v>
      </c>
      <c r="S22" s="55">
        <v>12.76040708257166</v>
      </c>
      <c r="T22" s="55">
        <v>12.510802281449861</v>
      </c>
      <c r="U22" s="55">
        <v>14.241489193773329</v>
      </c>
      <c r="V22" s="55">
        <v>16.295935902986049</v>
      </c>
      <c r="W22" s="55">
        <v>19.544186761028332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2.5612532434555479</v>
      </c>
      <c r="Q24" s="55">
        <v>2.563540728056493</v>
      </c>
      <c r="R24" s="55">
        <v>2.5997409933920279</v>
      </c>
      <c r="S24" s="55">
        <v>2.4270549884069839</v>
      </c>
      <c r="T24" s="55">
        <v>2.2807170096051061</v>
      </c>
      <c r="U24" s="55">
        <v>2.1264699215778831</v>
      </c>
      <c r="V24" s="55">
        <v>2.245919954262924</v>
      </c>
      <c r="W24" s="55">
        <v>1.0737432232212629</v>
      </c>
      <c r="DA24" s="101" t="s">
        <v>1009</v>
      </c>
    </row>
    <row r="25" spans="1:105" x14ac:dyDescent="0.25">
      <c r="A25" s="257" t="s">
        <v>174</v>
      </c>
      <c r="B25" s="258">
        <v>15.944584191287669</v>
      </c>
      <c r="C25" s="258">
        <v>15.074449148037029</v>
      </c>
      <c r="D25" s="258">
        <v>14.00551913548107</v>
      </c>
      <c r="E25" s="258">
        <v>14.215372330194439</v>
      </c>
      <c r="F25" s="258">
        <v>13.174273169019949</v>
      </c>
      <c r="G25" s="258">
        <v>13.3727820759906</v>
      </c>
      <c r="H25" s="258">
        <v>13.57109548083343</v>
      </c>
      <c r="I25" s="258">
        <v>13.277642292411359</v>
      </c>
      <c r="J25" s="258">
        <v>14.057754090155919</v>
      </c>
      <c r="K25" s="258">
        <v>13.84215864373337</v>
      </c>
      <c r="L25" s="258">
        <v>13.53457838096835</v>
      </c>
      <c r="M25" s="258">
        <v>13.834919917621169</v>
      </c>
      <c r="N25" s="258">
        <v>12.69542551104953</v>
      </c>
      <c r="O25" s="258">
        <v>12.475637574980199</v>
      </c>
      <c r="P25" s="258">
        <v>12.785848739441301</v>
      </c>
      <c r="Q25" s="258">
        <v>12.66047950696225</v>
      </c>
      <c r="R25" s="258">
        <v>12.7787426011142</v>
      </c>
      <c r="S25" s="258">
        <v>12.61994570511072</v>
      </c>
      <c r="T25" s="258">
        <v>12.88780970616842</v>
      </c>
      <c r="U25" s="258">
        <v>12.977422277932369</v>
      </c>
      <c r="V25" s="258">
        <v>13.64551370124876</v>
      </c>
      <c r="W25" s="258">
        <v>13.6766717922387</v>
      </c>
      <c r="DA25" s="273" t="s">
        <v>1010</v>
      </c>
    </row>
    <row r="26" spans="1:105" x14ac:dyDescent="0.25">
      <c r="A26" s="257" t="s">
        <v>177</v>
      </c>
      <c r="B26" s="258">
        <v>2.225697116576411</v>
      </c>
      <c r="C26" s="258">
        <v>2.2496051768449989</v>
      </c>
      <c r="D26" s="258">
        <v>2.2386269059965178</v>
      </c>
      <c r="E26" s="258">
        <v>2.1338431801466471</v>
      </c>
      <c r="F26" s="258">
        <v>2.218893209808551</v>
      </c>
      <c r="G26" s="258">
        <v>2.311533090713223</v>
      </c>
      <c r="H26" s="258">
        <v>2.3714377189919671</v>
      </c>
      <c r="I26" s="258">
        <v>2.395030331095616</v>
      </c>
      <c r="J26" s="258">
        <v>2.4948157127409809</v>
      </c>
      <c r="K26" s="258">
        <v>2.5197581269124969</v>
      </c>
      <c r="L26" s="258">
        <v>2.4750484238550681</v>
      </c>
      <c r="M26" s="258">
        <v>2.502715007935763</v>
      </c>
      <c r="N26" s="258">
        <v>2.3422489901933621</v>
      </c>
      <c r="O26" s="258">
        <v>2.3296394445118511</v>
      </c>
      <c r="P26" s="258">
        <v>2.3929179066292172</v>
      </c>
      <c r="Q26" s="258">
        <v>2.3786819270357822</v>
      </c>
      <c r="R26" s="258">
        <v>2.4042896086592349</v>
      </c>
      <c r="S26" s="258">
        <v>2.386038570748064</v>
      </c>
      <c r="T26" s="258">
        <v>2.5025392236782422</v>
      </c>
      <c r="U26" s="258">
        <v>2.5048320653693872</v>
      </c>
      <c r="V26" s="258">
        <v>2.5453899397744588</v>
      </c>
      <c r="W26" s="258">
        <v>2.5017663326563402</v>
      </c>
      <c r="DA26" s="273" t="s">
        <v>1011</v>
      </c>
    </row>
    <row r="27" spans="1:105" x14ac:dyDescent="0.25">
      <c r="A27" s="129" t="s">
        <v>33</v>
      </c>
      <c r="B27" s="259">
        <v>3.2272608190357959</v>
      </c>
      <c r="C27" s="259">
        <v>3.2619275064252489</v>
      </c>
      <c r="D27" s="259">
        <v>3.2460090136949522</v>
      </c>
      <c r="E27" s="259">
        <v>3.0940726112126371</v>
      </c>
      <c r="F27" s="259">
        <v>3.2173951542223982</v>
      </c>
      <c r="G27" s="259">
        <v>3.3517229815341731</v>
      </c>
      <c r="H27" s="259">
        <v>3.4385846925383521</v>
      </c>
      <c r="I27" s="259">
        <v>3.4727939800886429</v>
      </c>
      <c r="J27" s="259">
        <v>3.617482783474423</v>
      </c>
      <c r="K27" s="259">
        <v>3.6536492840231198</v>
      </c>
      <c r="L27" s="259">
        <v>3.5888202145898478</v>
      </c>
      <c r="M27" s="259">
        <v>3.6289367615068548</v>
      </c>
      <c r="N27" s="259">
        <v>3.396261035780376</v>
      </c>
      <c r="O27" s="259">
        <v>3.3779771945421841</v>
      </c>
      <c r="P27" s="259">
        <v>3.469730964612364</v>
      </c>
      <c r="Q27" s="259">
        <v>3.4490887942018849</v>
      </c>
      <c r="R27" s="259">
        <v>3.48621993255589</v>
      </c>
      <c r="S27" s="259">
        <v>3.4597559275846921</v>
      </c>
      <c r="T27" s="259">
        <v>3.6286818743334499</v>
      </c>
      <c r="U27" s="259">
        <v>3.6320064947856121</v>
      </c>
      <c r="V27" s="259">
        <v>3.6908154126729649</v>
      </c>
      <c r="W27" s="259">
        <v>3.627561182351692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0.99999999999999978</v>
      </c>
      <c r="H31" s="236">
        <f t="shared" si="6"/>
        <v>1</v>
      </c>
      <c r="I31" s="236">
        <f t="shared" si="6"/>
        <v>0.99999999999999967</v>
      </c>
      <c r="J31" s="236">
        <f t="shared" si="6"/>
        <v>1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7.5690126005041342E-3</v>
      </c>
      <c r="C32" s="245">
        <f t="shared" si="8"/>
        <v>8.0898054756290295E-3</v>
      </c>
      <c r="D32" s="245">
        <f t="shared" si="8"/>
        <v>8.6537902722552702E-3</v>
      </c>
      <c r="E32" s="245">
        <f t="shared" si="8"/>
        <v>8.1734336802542044E-3</v>
      </c>
      <c r="F32" s="245">
        <f t="shared" si="8"/>
        <v>9.1301881144520858E-3</v>
      </c>
      <c r="G32" s="245">
        <f t="shared" si="8"/>
        <v>9.3163308759501677E-3</v>
      </c>
      <c r="H32" s="245">
        <f t="shared" si="8"/>
        <v>9.4539569666917504E-3</v>
      </c>
      <c r="I32" s="245">
        <f t="shared" si="8"/>
        <v>9.7518341012168188E-3</v>
      </c>
      <c r="J32" s="245">
        <f t="shared" si="8"/>
        <v>9.5756117081320109E-3</v>
      </c>
      <c r="K32" s="245">
        <f t="shared" si="8"/>
        <v>9.8324551609247357E-3</v>
      </c>
      <c r="L32" s="245">
        <f t="shared" si="8"/>
        <v>9.8365630581040819E-3</v>
      </c>
      <c r="M32" s="245">
        <f t="shared" si="8"/>
        <v>9.7384252817626533E-3</v>
      </c>
      <c r="N32" s="245">
        <f t="shared" si="8"/>
        <v>9.8859235055625012E-3</v>
      </c>
      <c r="O32" s="245">
        <f t="shared" si="8"/>
        <v>9.9671327314899642E-3</v>
      </c>
      <c r="P32" s="245">
        <f t="shared" si="8"/>
        <v>9.9312246556313606E-3</v>
      </c>
      <c r="Q32" s="245">
        <f t="shared" si="8"/>
        <v>1.0018212215577204E-2</v>
      </c>
      <c r="R32" s="245">
        <f t="shared" si="8"/>
        <v>9.9995809288063991E-3</v>
      </c>
      <c r="S32" s="245">
        <f t="shared" si="8"/>
        <v>1.0047809594464973E-2</v>
      </c>
      <c r="T32" s="245">
        <f t="shared" si="8"/>
        <v>1.032699587672053E-2</v>
      </c>
      <c r="U32" s="245">
        <f t="shared" si="8"/>
        <v>1.0233886127926393E-2</v>
      </c>
      <c r="V32" s="245">
        <f t="shared" si="8"/>
        <v>9.8790682942770901E-3</v>
      </c>
      <c r="W32" s="245">
        <f t="shared" si="8"/>
        <v>9.6801670063982864E-3</v>
      </c>
      <c r="DA32" s="276"/>
    </row>
    <row r="33" spans="1:105" x14ac:dyDescent="0.25">
      <c r="A33" s="241" t="s">
        <v>124</v>
      </c>
      <c r="B33" s="246">
        <f t="shared" ref="B33:W33" si="9">IF(B$7=0,0,B$7/B$5)</f>
        <v>4.9198581903276868E-3</v>
      </c>
      <c r="C33" s="246">
        <f t="shared" si="9"/>
        <v>5.2583735591588679E-3</v>
      </c>
      <c r="D33" s="246">
        <f t="shared" si="9"/>
        <v>5.6249636769659227E-3</v>
      </c>
      <c r="E33" s="246">
        <f t="shared" si="9"/>
        <v>5.3127318921652299E-3</v>
      </c>
      <c r="F33" s="246">
        <f t="shared" si="9"/>
        <v>5.934622274393851E-3</v>
      </c>
      <c r="G33" s="246">
        <f t="shared" si="9"/>
        <v>6.0556150693676048E-3</v>
      </c>
      <c r="H33" s="246">
        <f t="shared" si="9"/>
        <v>6.1450720283496357E-3</v>
      </c>
      <c r="I33" s="246">
        <f t="shared" si="9"/>
        <v>6.3386921657909313E-3</v>
      </c>
      <c r="J33" s="246">
        <f t="shared" si="9"/>
        <v>6.2241476102858047E-3</v>
      </c>
      <c r="K33" s="246">
        <f t="shared" si="9"/>
        <v>6.3910958546010786E-3</v>
      </c>
      <c r="L33" s="246">
        <f t="shared" si="9"/>
        <v>6.3937659877676533E-3</v>
      </c>
      <c r="M33" s="246">
        <f t="shared" si="9"/>
        <v>6.3299764331457209E-3</v>
      </c>
      <c r="N33" s="246">
        <f t="shared" si="9"/>
        <v>6.4258502786156239E-3</v>
      </c>
      <c r="O33" s="246">
        <f t="shared" si="9"/>
        <v>6.4786362754684756E-3</v>
      </c>
      <c r="P33" s="246">
        <f t="shared" si="9"/>
        <v>6.4552960261603795E-3</v>
      </c>
      <c r="Q33" s="246">
        <f t="shared" si="9"/>
        <v>6.5118379401251812E-3</v>
      </c>
      <c r="R33" s="246">
        <f t="shared" si="9"/>
        <v>6.499727603724156E-3</v>
      </c>
      <c r="S33" s="246">
        <f t="shared" si="9"/>
        <v>6.5310762364022305E-3</v>
      </c>
      <c r="T33" s="246">
        <f t="shared" si="9"/>
        <v>6.712547319868342E-3</v>
      </c>
      <c r="U33" s="246">
        <f t="shared" si="9"/>
        <v>6.6520259831521515E-3</v>
      </c>
      <c r="V33" s="246">
        <f t="shared" si="9"/>
        <v>6.4213943912801077E-3</v>
      </c>
      <c r="W33" s="246">
        <f t="shared" si="9"/>
        <v>6.2921085541588822E-3</v>
      </c>
      <c r="DA33" s="277"/>
    </row>
    <row r="34" spans="1:105" x14ac:dyDescent="0.25">
      <c r="A34" s="241" t="s">
        <v>123</v>
      </c>
      <c r="B34" s="246">
        <f t="shared" ref="B34:W34" si="10">IF(B$8=0,0,B$8/B$5)</f>
        <v>6.8121113404537217E-3</v>
      </c>
      <c r="C34" s="246">
        <f t="shared" si="10"/>
        <v>7.2808249280661257E-3</v>
      </c>
      <c r="D34" s="246">
        <f t="shared" si="10"/>
        <v>7.7884112450297433E-3</v>
      </c>
      <c r="E34" s="246">
        <f t="shared" si="10"/>
        <v>7.3560903122287828E-3</v>
      </c>
      <c r="F34" s="246">
        <f t="shared" si="10"/>
        <v>8.2171693030068781E-3</v>
      </c>
      <c r="G34" s="246">
        <f t="shared" si="10"/>
        <v>8.3846977883551468E-3</v>
      </c>
      <c r="H34" s="246">
        <f t="shared" si="10"/>
        <v>8.5085612700225733E-3</v>
      </c>
      <c r="I34" s="246">
        <f t="shared" si="10"/>
        <v>8.7766506910951347E-3</v>
      </c>
      <c r="J34" s="246">
        <f t="shared" si="10"/>
        <v>8.6180505373188096E-3</v>
      </c>
      <c r="K34" s="246">
        <f t="shared" si="10"/>
        <v>8.8492096448322573E-3</v>
      </c>
      <c r="L34" s="246">
        <f t="shared" si="10"/>
        <v>8.8529067522936742E-3</v>
      </c>
      <c r="M34" s="246">
        <f t="shared" si="10"/>
        <v>8.7645827535863842E-3</v>
      </c>
      <c r="N34" s="246">
        <f t="shared" si="10"/>
        <v>8.8973311550062523E-3</v>
      </c>
      <c r="O34" s="246">
        <f t="shared" si="10"/>
        <v>8.9704194583409644E-3</v>
      </c>
      <c r="P34" s="246">
        <f t="shared" si="10"/>
        <v>8.938102190068218E-3</v>
      </c>
      <c r="Q34" s="246">
        <f t="shared" si="10"/>
        <v>9.0163909940194839E-3</v>
      </c>
      <c r="R34" s="246">
        <f t="shared" si="10"/>
        <v>8.9996228359257614E-3</v>
      </c>
      <c r="S34" s="246">
        <f t="shared" si="10"/>
        <v>9.0430286350184734E-3</v>
      </c>
      <c r="T34" s="246">
        <f t="shared" si="10"/>
        <v>9.2942962890484732E-3</v>
      </c>
      <c r="U34" s="246">
        <f t="shared" si="10"/>
        <v>9.2104975151337549E-3</v>
      </c>
      <c r="V34" s="246">
        <f t="shared" si="10"/>
        <v>8.8911614648493811E-3</v>
      </c>
      <c r="W34" s="246">
        <f t="shared" si="10"/>
        <v>8.7121503057584534E-3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0.21152088481958725</v>
      </c>
      <c r="C35" s="247">
        <f t="shared" si="11"/>
        <v>0.21360684901670926</v>
      </c>
      <c r="D35" s="247">
        <f t="shared" si="11"/>
        <v>0.2136647527642056</v>
      </c>
      <c r="E35" s="247">
        <f t="shared" si="11"/>
        <v>0.21383848410156842</v>
      </c>
      <c r="F35" s="247">
        <f t="shared" si="11"/>
        <v>0.21269128073373891</v>
      </c>
      <c r="G35" s="247">
        <f t="shared" si="11"/>
        <v>0.21240713802381503</v>
      </c>
      <c r="H35" s="247">
        <f t="shared" si="11"/>
        <v>0.21184312750541737</v>
      </c>
      <c r="I35" s="247">
        <f t="shared" si="11"/>
        <v>0.21138439873750145</v>
      </c>
      <c r="J35" s="247">
        <f t="shared" si="11"/>
        <v>0.21147367902963141</v>
      </c>
      <c r="K35" s="247">
        <f t="shared" si="11"/>
        <v>0.21137670246310791</v>
      </c>
      <c r="L35" s="247">
        <f t="shared" si="11"/>
        <v>0.21317419262606854</v>
      </c>
      <c r="M35" s="247">
        <f t="shared" si="11"/>
        <v>0.21281096863252097</v>
      </c>
      <c r="N35" s="247">
        <f t="shared" si="11"/>
        <v>0.21430167559825042</v>
      </c>
      <c r="O35" s="247">
        <f t="shared" si="11"/>
        <v>0.21750440088715786</v>
      </c>
      <c r="P35" s="247">
        <f t="shared" si="11"/>
        <v>0.21924892096891432</v>
      </c>
      <c r="Q35" s="247">
        <f t="shared" si="11"/>
        <v>0.21829682961712149</v>
      </c>
      <c r="R35" s="247">
        <f t="shared" si="11"/>
        <v>0.22027887177561747</v>
      </c>
      <c r="S35" s="247">
        <f t="shared" si="11"/>
        <v>0.2208566968108352</v>
      </c>
      <c r="T35" s="247">
        <f t="shared" si="11"/>
        <v>0.22072005309099749</v>
      </c>
      <c r="U35" s="247">
        <f t="shared" si="11"/>
        <v>0.22178556988895951</v>
      </c>
      <c r="V35" s="247">
        <f t="shared" si="11"/>
        <v>0.22382303771540704</v>
      </c>
      <c r="W35" s="247">
        <f t="shared" si="11"/>
        <v>0.22301583359832131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0.28218059114983213</v>
      </c>
      <c r="C36" s="260">
        <f t="shared" si="12"/>
        <v>0.28210709124663486</v>
      </c>
      <c r="D36" s="260">
        <f t="shared" si="12"/>
        <v>0.28175045986271019</v>
      </c>
      <c r="E36" s="260">
        <f t="shared" si="12"/>
        <v>0.28336164103105954</v>
      </c>
      <c r="F36" s="260">
        <f t="shared" si="12"/>
        <v>0.28210498768496806</v>
      </c>
      <c r="G36" s="260">
        <f t="shared" si="12"/>
        <v>0.28048350940316774</v>
      </c>
      <c r="H36" s="260">
        <f t="shared" si="12"/>
        <v>0.28155132773508995</v>
      </c>
      <c r="I36" s="260">
        <f t="shared" si="12"/>
        <v>0.28134359128645747</v>
      </c>
      <c r="J36" s="260">
        <f t="shared" si="12"/>
        <v>0.28079202849654666</v>
      </c>
      <c r="K36" s="260">
        <f t="shared" si="12"/>
        <v>0.2810915033039364</v>
      </c>
      <c r="L36" s="260">
        <f t="shared" si="12"/>
        <v>0.2799272563295731</v>
      </c>
      <c r="M36" s="260">
        <f t="shared" si="12"/>
        <v>0.28015266878419393</v>
      </c>
      <c r="N36" s="260">
        <f t="shared" si="12"/>
        <v>0.27885101061516759</v>
      </c>
      <c r="O36" s="260">
        <f t="shared" si="12"/>
        <v>0.27776981934630512</v>
      </c>
      <c r="P36" s="260">
        <f t="shared" si="12"/>
        <v>0.27615018898134136</v>
      </c>
      <c r="Q36" s="260">
        <f t="shared" si="12"/>
        <v>0.2774883692674408</v>
      </c>
      <c r="R36" s="260">
        <f t="shared" si="12"/>
        <v>0.27658200358514262</v>
      </c>
      <c r="S36" s="260">
        <f t="shared" si="12"/>
        <v>0.27656180376896056</v>
      </c>
      <c r="T36" s="260">
        <f t="shared" si="12"/>
        <v>0.27676616834401635</v>
      </c>
      <c r="U36" s="260">
        <f t="shared" si="12"/>
        <v>0.27592508084536499</v>
      </c>
      <c r="V36" s="260">
        <f t="shared" si="12"/>
        <v>0.27560832399881824</v>
      </c>
      <c r="W36" s="260">
        <f t="shared" si="12"/>
        <v>0.27539579650344326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0.41423010882311406</v>
      </c>
      <c r="C37" s="260">
        <f t="shared" si="13"/>
        <v>0.40962780377249214</v>
      </c>
      <c r="D37" s="260">
        <f t="shared" si="13"/>
        <v>0.40717513711827835</v>
      </c>
      <c r="E37" s="260">
        <f t="shared" si="13"/>
        <v>0.40748240568393201</v>
      </c>
      <c r="F37" s="260">
        <f t="shared" si="13"/>
        <v>0.40534396663991878</v>
      </c>
      <c r="G37" s="260">
        <f t="shared" si="13"/>
        <v>0.40663045438895479</v>
      </c>
      <c r="H37" s="260">
        <f t="shared" si="13"/>
        <v>0.40523332593033912</v>
      </c>
      <c r="I37" s="260">
        <f t="shared" si="13"/>
        <v>0.40445032376408507</v>
      </c>
      <c r="J37" s="260">
        <f t="shared" si="13"/>
        <v>0.40589970561394428</v>
      </c>
      <c r="K37" s="260">
        <f t="shared" si="13"/>
        <v>0.40435544352913377</v>
      </c>
      <c r="L37" s="260">
        <f t="shared" si="13"/>
        <v>0.40392538061327782</v>
      </c>
      <c r="M37" s="260">
        <f t="shared" si="13"/>
        <v>0.40451056615223108</v>
      </c>
      <c r="N37" s="260">
        <f t="shared" si="13"/>
        <v>0.40383415070136852</v>
      </c>
      <c r="O37" s="260">
        <f t="shared" si="13"/>
        <v>0.40151433046434915</v>
      </c>
      <c r="P37" s="260">
        <f t="shared" si="13"/>
        <v>0.40188020659903173</v>
      </c>
      <c r="Q37" s="260">
        <f t="shared" si="13"/>
        <v>0.40080203737099501</v>
      </c>
      <c r="R37" s="260">
        <f t="shared" si="13"/>
        <v>0.39999368304790728</v>
      </c>
      <c r="S37" s="260">
        <f t="shared" si="13"/>
        <v>0.39919879606359787</v>
      </c>
      <c r="T37" s="260">
        <f t="shared" si="13"/>
        <v>0.39769587344088697</v>
      </c>
      <c r="U37" s="260">
        <f t="shared" si="13"/>
        <v>0.3980986148578049</v>
      </c>
      <c r="V37" s="260">
        <f t="shared" si="13"/>
        <v>0.39821286051397903</v>
      </c>
      <c r="W37" s="260">
        <f t="shared" si="13"/>
        <v>0.40026793749521583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5.4223352204945958E-2</v>
      </c>
      <c r="C38" s="260">
        <f t="shared" si="14"/>
        <v>5.4209228586018586E-2</v>
      </c>
      <c r="D38" s="260">
        <f t="shared" si="14"/>
        <v>5.4140698893529529E-2</v>
      </c>
      <c r="E38" s="260">
        <f t="shared" si="14"/>
        <v>5.4450300782168982E-2</v>
      </c>
      <c r="F38" s="260">
        <f t="shared" si="14"/>
        <v>5.4208824369113819E-2</v>
      </c>
      <c r="G38" s="260">
        <f t="shared" si="14"/>
        <v>5.3897243804311469E-2</v>
      </c>
      <c r="H38" s="260">
        <f t="shared" si="14"/>
        <v>5.4102433995694886E-2</v>
      </c>
      <c r="I38" s="260">
        <f t="shared" si="14"/>
        <v>5.4062515705871665E-2</v>
      </c>
      <c r="J38" s="260">
        <f t="shared" si="14"/>
        <v>5.3956528319217566E-2</v>
      </c>
      <c r="K38" s="260">
        <f t="shared" si="14"/>
        <v>5.401407489919826E-2</v>
      </c>
      <c r="L38" s="260">
        <f t="shared" si="14"/>
        <v>5.379035514056002E-2</v>
      </c>
      <c r="M38" s="260">
        <f t="shared" si="14"/>
        <v>5.383367002224082E-2</v>
      </c>
      <c r="N38" s="260">
        <f t="shared" si="14"/>
        <v>5.3583545557400948E-2</v>
      </c>
      <c r="O38" s="260">
        <f t="shared" si="14"/>
        <v>5.3375785644738064E-2</v>
      </c>
      <c r="P38" s="260">
        <f t="shared" si="14"/>
        <v>5.3064560172555904E-2</v>
      </c>
      <c r="Q38" s="260">
        <f t="shared" si="14"/>
        <v>5.332170266655669E-2</v>
      </c>
      <c r="R38" s="260">
        <f t="shared" si="14"/>
        <v>5.3147536947300532E-2</v>
      </c>
      <c r="S38" s="260">
        <f t="shared" si="14"/>
        <v>5.3143655384281431E-2</v>
      </c>
      <c r="T38" s="260">
        <f t="shared" si="14"/>
        <v>5.3182925740496656E-2</v>
      </c>
      <c r="U38" s="260">
        <f t="shared" si="14"/>
        <v>5.3021303768238694E-2</v>
      </c>
      <c r="V38" s="260">
        <f t="shared" si="14"/>
        <v>5.2960436300410231E-2</v>
      </c>
      <c r="W38" s="260">
        <f t="shared" si="14"/>
        <v>5.2919597371028144E-2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7.5690126005041342E-3</v>
      </c>
      <c r="C39" s="260">
        <f t="shared" si="15"/>
        <v>8.0898054756290295E-3</v>
      </c>
      <c r="D39" s="260">
        <f t="shared" si="15"/>
        <v>8.6537902722552702E-3</v>
      </c>
      <c r="E39" s="260">
        <f t="shared" si="15"/>
        <v>8.1734336802542044E-3</v>
      </c>
      <c r="F39" s="260">
        <f t="shared" si="15"/>
        <v>9.1301881144520858E-3</v>
      </c>
      <c r="G39" s="260">
        <f t="shared" si="15"/>
        <v>9.3163308759501677E-3</v>
      </c>
      <c r="H39" s="260">
        <f t="shared" si="15"/>
        <v>9.4539569666917504E-3</v>
      </c>
      <c r="I39" s="260">
        <f t="shared" si="15"/>
        <v>9.7518341012168188E-3</v>
      </c>
      <c r="J39" s="260">
        <f t="shared" si="15"/>
        <v>9.5756117081320109E-3</v>
      </c>
      <c r="K39" s="260">
        <f t="shared" si="15"/>
        <v>9.8324551609247357E-3</v>
      </c>
      <c r="L39" s="260">
        <f t="shared" si="15"/>
        <v>9.8365630581040819E-3</v>
      </c>
      <c r="M39" s="260">
        <f t="shared" si="15"/>
        <v>9.7384252817626533E-3</v>
      </c>
      <c r="N39" s="260">
        <f t="shared" si="15"/>
        <v>9.8859235055625012E-3</v>
      </c>
      <c r="O39" s="260">
        <f t="shared" si="15"/>
        <v>9.9671327314899642E-3</v>
      </c>
      <c r="P39" s="260">
        <f t="shared" si="15"/>
        <v>9.9312246556313606E-3</v>
      </c>
      <c r="Q39" s="260">
        <f t="shared" si="15"/>
        <v>1.0018212215577204E-2</v>
      </c>
      <c r="R39" s="260">
        <f t="shared" si="15"/>
        <v>9.9995809288063991E-3</v>
      </c>
      <c r="S39" s="260">
        <f t="shared" si="15"/>
        <v>1.0047809594464973E-2</v>
      </c>
      <c r="T39" s="260">
        <f t="shared" si="15"/>
        <v>1.032699587672053E-2</v>
      </c>
      <c r="U39" s="260">
        <f t="shared" si="15"/>
        <v>1.0233886127926393E-2</v>
      </c>
      <c r="V39" s="260">
        <f t="shared" si="15"/>
        <v>9.8790682942770901E-3</v>
      </c>
      <c r="W39" s="260">
        <f t="shared" si="15"/>
        <v>9.6801670063982864E-3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1.0975068270730994E-2</v>
      </c>
      <c r="C40" s="262">
        <f t="shared" si="16"/>
        <v>1.1730217939662094E-2</v>
      </c>
      <c r="D40" s="262">
        <f t="shared" si="16"/>
        <v>1.2547995894770146E-2</v>
      </c>
      <c r="E40" s="262">
        <f t="shared" si="16"/>
        <v>1.1851478836368591E-2</v>
      </c>
      <c r="F40" s="262">
        <f t="shared" si="16"/>
        <v>1.3238772765955522E-2</v>
      </c>
      <c r="G40" s="262">
        <f t="shared" si="16"/>
        <v>1.3508679770127742E-2</v>
      </c>
      <c r="H40" s="262">
        <f t="shared" si="16"/>
        <v>1.3708237601703036E-2</v>
      </c>
      <c r="I40" s="262">
        <f t="shared" si="16"/>
        <v>1.4140159446764387E-2</v>
      </c>
      <c r="J40" s="262">
        <f t="shared" si="16"/>
        <v>1.3884636976791419E-2</v>
      </c>
      <c r="K40" s="262">
        <f t="shared" si="16"/>
        <v>1.4257059983340864E-2</v>
      </c>
      <c r="L40" s="262">
        <f t="shared" si="16"/>
        <v>1.4263016434250916E-2</v>
      </c>
      <c r="M40" s="262">
        <f t="shared" si="16"/>
        <v>1.4120716658555842E-2</v>
      </c>
      <c r="N40" s="262">
        <f t="shared" si="16"/>
        <v>1.4334589083065631E-2</v>
      </c>
      <c r="O40" s="262">
        <f t="shared" si="16"/>
        <v>1.4452342460660447E-2</v>
      </c>
      <c r="P40" s="262">
        <f t="shared" si="16"/>
        <v>1.440027575066547E-2</v>
      </c>
      <c r="Q40" s="262">
        <f t="shared" si="16"/>
        <v>1.4526407712586949E-2</v>
      </c>
      <c r="R40" s="262">
        <f t="shared" si="16"/>
        <v>1.4499392346769276E-2</v>
      </c>
      <c r="S40" s="262">
        <f t="shared" si="16"/>
        <v>1.4569323911974208E-2</v>
      </c>
      <c r="T40" s="262">
        <f t="shared" si="16"/>
        <v>1.4974144021244763E-2</v>
      </c>
      <c r="U40" s="262">
        <f t="shared" si="16"/>
        <v>1.4839134885493271E-2</v>
      </c>
      <c r="V40" s="262">
        <f t="shared" si="16"/>
        <v>1.432464902670178E-2</v>
      </c>
      <c r="W40" s="262">
        <f t="shared" si="16"/>
        <v>1.403624215927751E-2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135.43288032890183</v>
      </c>
      <c r="F44" s="237">
        <f t="shared" si="17"/>
        <v>134.84363036747567</v>
      </c>
      <c r="G44" s="237">
        <f t="shared" si="17"/>
        <v>154.42655608236751</v>
      </c>
      <c r="H44" s="237">
        <f t="shared" si="17"/>
        <v>146.93020171673035</v>
      </c>
      <c r="I44" s="237">
        <f t="shared" si="17"/>
        <v>137.23851152262932</v>
      </c>
      <c r="J44" s="237">
        <f t="shared" si="17"/>
        <v>139.32723127138397</v>
      </c>
      <c r="K44" s="237">
        <f t="shared" si="17"/>
        <v>156.36023356757102</v>
      </c>
      <c r="L44" s="237">
        <f t="shared" si="17"/>
        <v>144.58585940593426</v>
      </c>
      <c r="M44" s="237">
        <f t="shared" si="17"/>
        <v>132.80026593791032</v>
      </c>
      <c r="N44" s="237">
        <f t="shared" si="17"/>
        <v>135.04301399101359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132.91816907674797</v>
      </c>
      <c r="R44" s="237">
        <f t="shared" si="17"/>
        <v>135.38540863538168</v>
      </c>
      <c r="S44" s="237">
        <f t="shared" si="17"/>
        <v>124.90211009173744</v>
      </c>
      <c r="T44" s="237">
        <f t="shared" si="17"/>
        <v>141.27985612939969</v>
      </c>
      <c r="U44" s="237">
        <f t="shared" si="17"/>
        <v>142.01198459584066</v>
      </c>
      <c r="V44" s="237">
        <f t="shared" si="17"/>
        <v>148.62601044661255</v>
      </c>
      <c r="W44" s="237">
        <f t="shared" si="17"/>
        <v>142.54014154785798</v>
      </c>
      <c r="DA44" s="281"/>
    </row>
    <row r="45" spans="1:105" x14ac:dyDescent="0.25">
      <c r="A45" s="239" t="s">
        <v>125</v>
      </c>
      <c r="B45" s="248">
        <f>IF(B$6=0,0,B$6/AGR!B$5*1000)</f>
        <v>0.95716888991669802</v>
      </c>
      <c r="C45" s="248">
        <f>IF(C$6=0,0,C$6/AGR!C$5*1000)</f>
        <v>0.98977180342986515</v>
      </c>
      <c r="D45" s="248">
        <f>IF(D$6=0,0,D$6/AGR!D$5*1000)</f>
        <v>1.10604580145348</v>
      </c>
      <c r="E45" s="248">
        <f>IF(E$6=0,0,E$6/AGR!E$5*1000)</f>
        <v>1.1069516654940836</v>
      </c>
      <c r="F45" s="248">
        <f>IF(F$6=0,0,F$6/AGR!F$5*1000)</f>
        <v>1.231147711290697</v>
      </c>
      <c r="G45" s="248">
        <f>IF(G$6=0,0,G$6/AGR!G$5*1000)</f>
        <v>1.4386888924968109</v>
      </c>
      <c r="H45" s="248">
        <f>IF(H$6=0,0,H$6/AGR!H$5*1000)</f>
        <v>1.3890718041373074</v>
      </c>
      <c r="I45" s="248">
        <f>IF(I$6=0,0,I$6/AGR!I$5*1000)</f>
        <v>1.3383271966666141</v>
      </c>
      <c r="J45" s="248">
        <f>IF(J$6=0,0,J$6/AGR!J$5*1000)</f>
        <v>1.334143467023881</v>
      </c>
      <c r="K45" s="248">
        <f>IF(K$6=0,0,K$6/AGR!K$5*1000)</f>
        <v>1.5374049855048606</v>
      </c>
      <c r="L45" s="248">
        <f>IF(L$6=0,0,L$6/AGR!L$5*1000)</f>
        <v>1.4222279233566437</v>
      </c>
      <c r="M45" s="248">
        <f>IF(M$6=0,0,M$6/AGR!M$5*1000)</f>
        <v>1.2932654672345492</v>
      </c>
      <c r="N45" s="248">
        <f>IF(N$6=0,0,N$6/AGR!N$5*1000)</f>
        <v>1.3350249062757669</v>
      </c>
      <c r="O45" s="248">
        <f>IF(O$6=0,0,O$6/AGR!O$5*1000)</f>
        <v>1.3251323310407399</v>
      </c>
      <c r="P45" s="248">
        <f>IF(P$6=0,0,P$6/AGR!P$5*1000)</f>
        <v>1.2926422090849619</v>
      </c>
      <c r="Q45" s="248">
        <f>IF(Q$6=0,0,Q$6/AGR!Q$5*1000)</f>
        <v>1.3316024251168328</v>
      </c>
      <c r="R45" s="248">
        <f>IF(R$6=0,0,R$6/AGR!R$5*1000)</f>
        <v>1.3537973502290237</v>
      </c>
      <c r="S45" s="248">
        <f>IF(S$6=0,0,S$6/AGR!S$5*1000)</f>
        <v>1.2549926201486798</v>
      </c>
      <c r="T45" s="248">
        <f>IF(T$6=0,0,T$6/AGR!T$5*1000)</f>
        <v>1.4589964917119804</v>
      </c>
      <c r="U45" s="248">
        <f>IF(U$6=0,0,U$6/AGR!U$5*1000)</f>
        <v>1.4533344791546703</v>
      </c>
      <c r="V45" s="248">
        <f>IF(V$6=0,0,V$6/AGR!V$5*1000)</f>
        <v>1.4682865075080258</v>
      </c>
      <c r="W45" s="248">
        <f>IF(W$6=0,0,W$6/AGR!W$5*1000)</f>
        <v>1.3798123752989162</v>
      </c>
      <c r="DA45" s="282"/>
    </row>
    <row r="46" spans="1:105" x14ac:dyDescent="0.25">
      <c r="A46" s="241" t="s">
        <v>124</v>
      </c>
      <c r="B46" s="249">
        <f>IF(B$7=0,0,B$7/AGR!B$5*1000)</f>
        <v>0.62215977844585357</v>
      </c>
      <c r="C46" s="249">
        <f>IF(C$7=0,0,C$7/AGR!C$5*1000)</f>
        <v>0.64335167222941225</v>
      </c>
      <c r="D46" s="249">
        <f>IF(D$7=0,0,D$7/AGR!D$5*1000)</f>
        <v>0.71892977094476163</v>
      </c>
      <c r="E46" s="249">
        <f>IF(E$7=0,0,E$7/AGR!E$5*1000)</f>
        <v>0.71951858257115386</v>
      </c>
      <c r="F46" s="249">
        <f>IF(F$7=0,0,F$7/AGR!F$5*1000)</f>
        <v>0.80024601233895243</v>
      </c>
      <c r="G46" s="249">
        <f>IF(G$7=0,0,G$7/AGR!G$5*1000)</f>
        <v>0.93514778012292654</v>
      </c>
      <c r="H46" s="249">
        <f>IF(H$7=0,0,H$7/AGR!H$5*1000)</f>
        <v>0.90289667268924945</v>
      </c>
      <c r="I46" s="249">
        <f>IF(I$7=0,0,I$7/AGR!I$5*1000)</f>
        <v>0.86991267783329906</v>
      </c>
      <c r="J46" s="249">
        <f>IF(J$7=0,0,J$7/AGR!J$5*1000)</f>
        <v>0.86719325356552224</v>
      </c>
      <c r="K46" s="249">
        <f>IF(K$7=0,0,K$7/AGR!K$5*1000)</f>
        <v>0.99931324057815951</v>
      </c>
      <c r="L46" s="249">
        <f>IF(L$7=0,0,L$7/AGR!L$5*1000)</f>
        <v>0.92444815018181825</v>
      </c>
      <c r="M46" s="249">
        <f>IF(M$7=0,0,M$7/AGR!M$5*1000)</f>
        <v>0.84062255370245653</v>
      </c>
      <c r="N46" s="249">
        <f>IF(N$7=0,0,N$7/AGR!N$5*1000)</f>
        <v>0.86776618907924818</v>
      </c>
      <c r="O46" s="249">
        <f>IF(O$7=0,0,O$7/AGR!O$5*1000)</f>
        <v>0.86133601517648084</v>
      </c>
      <c r="P46" s="249">
        <f>IF(P$7=0,0,P$7/AGR!P$5*1000)</f>
        <v>0.84021743590522469</v>
      </c>
      <c r="Q46" s="249">
        <f>IF(Q$7=0,0,Q$7/AGR!Q$5*1000)</f>
        <v>0.86554157632594109</v>
      </c>
      <c r="R46" s="249">
        <f>IF(R$7=0,0,R$7/AGR!R$5*1000)</f>
        <v>0.87996827764886487</v>
      </c>
      <c r="S46" s="249">
        <f>IF(S$7=0,0,S$7/AGR!S$5*1000)</f>
        <v>0.81574520309664156</v>
      </c>
      <c r="T46" s="249">
        <f>IF(T$7=0,0,T$7/AGR!T$5*1000)</f>
        <v>0.94834771961278685</v>
      </c>
      <c r="U46" s="249">
        <f>IF(U$7=0,0,U$7/AGR!U$5*1000)</f>
        <v>0.94466741145053523</v>
      </c>
      <c r="V46" s="249">
        <f>IF(V$7=0,0,V$7/AGR!V$5*1000)</f>
        <v>0.9543862298802166</v>
      </c>
      <c r="W46" s="249">
        <f>IF(W$7=0,0,W$7/AGR!W$5*1000)</f>
        <v>0.89687804394429504</v>
      </c>
      <c r="DA46" s="283"/>
    </row>
    <row r="47" spans="1:105" x14ac:dyDescent="0.25">
      <c r="A47" s="241" t="s">
        <v>123</v>
      </c>
      <c r="B47" s="249">
        <f>IF(B$8=0,0,B$8/AGR!B$5*1000)</f>
        <v>0.86145200092502838</v>
      </c>
      <c r="C47" s="249">
        <f>IF(C$8=0,0,C$8/AGR!C$5*1000)</f>
        <v>0.89079462308687862</v>
      </c>
      <c r="D47" s="249">
        <f>IF(D$8=0,0,D$8/AGR!D$5*1000)</f>
        <v>0.99544122130813184</v>
      </c>
      <c r="E47" s="249">
        <f>IF(E$8=0,0,E$8/AGR!E$5*1000)</f>
        <v>0.99625649894467494</v>
      </c>
      <c r="F47" s="249">
        <f>IF(F$8=0,0,F$8/AGR!F$5*1000)</f>
        <v>1.1080329401616273</v>
      </c>
      <c r="G47" s="249">
        <f>IF(G$8=0,0,G$8/AGR!G$5*1000)</f>
        <v>1.2948200032471293</v>
      </c>
      <c r="H47" s="249">
        <f>IF(H$8=0,0,H$8/AGR!H$5*1000)</f>
        <v>1.2501646237235762</v>
      </c>
      <c r="I47" s="249">
        <f>IF(I$8=0,0,I$8/AGR!I$5*1000)</f>
        <v>1.2044944769999526</v>
      </c>
      <c r="J47" s="249">
        <f>IF(J$8=0,0,J$8/AGR!J$5*1000)</f>
        <v>1.2007291203214927</v>
      </c>
      <c r="K47" s="249">
        <f>IF(K$8=0,0,K$8/AGR!K$5*1000)</f>
        <v>1.3836644869543739</v>
      </c>
      <c r="L47" s="249">
        <f>IF(L$8=0,0,L$8/AGR!L$5*1000)</f>
        <v>1.2800051310209792</v>
      </c>
      <c r="M47" s="249">
        <f>IF(M$8=0,0,M$8/AGR!M$5*1000)</f>
        <v>1.1639389205110939</v>
      </c>
      <c r="N47" s="249">
        <f>IF(N$8=0,0,N$8/AGR!N$5*1000)</f>
        <v>1.2015224156481901</v>
      </c>
      <c r="O47" s="249">
        <f>IF(O$8=0,0,O$8/AGR!O$5*1000)</f>
        <v>1.1926190979366655</v>
      </c>
      <c r="P47" s="249">
        <f>IF(P$8=0,0,P$8/AGR!P$5*1000)</f>
        <v>1.1633779881764648</v>
      </c>
      <c r="Q47" s="249">
        <f>IF(Q$8=0,0,Q$8/AGR!Q$5*1000)</f>
        <v>1.1984421826051497</v>
      </c>
      <c r="R47" s="249">
        <f>IF(R$8=0,0,R$8/AGR!R$5*1000)</f>
        <v>1.2184176152061217</v>
      </c>
      <c r="S47" s="249">
        <f>IF(S$8=0,0,S$8/AGR!S$5*1000)</f>
        <v>1.1294933581338116</v>
      </c>
      <c r="T47" s="249">
        <f>IF(T$8=0,0,T$8/AGR!T$5*1000)</f>
        <v>1.3130968425407819</v>
      </c>
      <c r="U47" s="249">
        <f>IF(U$8=0,0,U$8/AGR!U$5*1000)</f>
        <v>1.3080010312392036</v>
      </c>
      <c r="V47" s="249">
        <f>IF(V$8=0,0,V$8/AGR!V$5*1000)</f>
        <v>1.3214578567572233</v>
      </c>
      <c r="W47" s="249">
        <f>IF(W$8=0,0,W$8/AGR!W$5*1000)</f>
        <v>1.2418311377690241</v>
      </c>
      <c r="DA47" s="283"/>
    </row>
    <row r="48" spans="1:105" x14ac:dyDescent="0.25">
      <c r="A48" s="243" t="s">
        <v>122</v>
      </c>
      <c r="B48" s="250">
        <f>IF(B$9=0,0,B$9/AGR!B$5*1000)</f>
        <v>26.748695134088845</v>
      </c>
      <c r="C48" s="250">
        <f>IF(C$9=0,0,C$9/AGR!C$5*1000)</f>
        <v>26.134378238532364</v>
      </c>
      <c r="D48" s="250">
        <f>IF(D$9=0,0,D$9/AGR!D$5*1000)</f>
        <v>27.308612212514038</v>
      </c>
      <c r="E48" s="250">
        <f>IF(E$9=0,0,E$9/AGR!E$5*1000)</f>
        <v>28.960761827041498</v>
      </c>
      <c r="F48" s="250">
        <f>IF(F$9=0,0,F$9/AGR!F$5*1000)</f>
        <v>28.680064441645296</v>
      </c>
      <c r="G48" s="250">
        <f>IF(G$9=0,0,G$9/AGR!G$5*1000)</f>
        <v>32.801302812329858</v>
      </c>
      <c r="H48" s="250">
        <f>IF(H$9=0,0,H$9/AGR!H$5*1000)</f>
        <v>31.126153456674004</v>
      </c>
      <c r="I48" s="250">
        <f>IF(I$9=0,0,I$9/AGR!I$5*1000)</f>
        <v>29.010080241840669</v>
      </c>
      <c r="J48" s="250">
        <f>IF(J$9=0,0,J$9/AGR!J$5*1000)</f>
        <v>29.464042185971877</v>
      </c>
      <c r="K48" s="250">
        <f>IF(K$9=0,0,K$9/AGR!K$5*1000)</f>
        <v>33.050910567874524</v>
      </c>
      <c r="L48" s="250">
        <f>IF(L$9=0,0,L$9/AGR!L$5*1000)</f>
        <v>30.821973844006294</v>
      </c>
      <c r="M48" s="250">
        <f>IF(M$9=0,0,M$9/AGR!M$5*1000)</f>
        <v>28.261353228903072</v>
      </c>
      <c r="N48" s="250">
        <f>IF(N$9=0,0,N$9/AGR!N$5*1000)</f>
        <v>28.939944176112185</v>
      </c>
      <c r="O48" s="250">
        <f>IF(O$9=0,0,O$9/AGR!O$5*1000)</f>
        <v>28.917254492720442</v>
      </c>
      <c r="P48" s="250">
        <f>IF(P$9=0,0,P$9/AGR!P$5*1000)</f>
        <v>28.53730726754306</v>
      </c>
      <c r="Q48" s="250">
        <f>IF(Q$9=0,0,Q$9/AGR!Q$5*1000)</f>
        <v>29.015614907966601</v>
      </c>
      <c r="R48" s="250">
        <f>IF(R$9=0,0,R$9/AGR!R$5*1000)</f>
        <v>29.82254506908281</v>
      </c>
      <c r="S48" s="250">
        <f>IF(S$9=0,0,S$9/AGR!S$5*1000)</f>
        <v>27.585467459564416</v>
      </c>
      <c r="T48" s="250">
        <f>IF(T$9=0,0,T$9/AGR!T$5*1000)</f>
        <v>31.183297345569589</v>
      </c>
      <c r="U48" s="250">
        <f>IF(U$9=0,0,U$9/AGR!U$5*1000)</f>
        <v>31.49620893465066</v>
      </c>
      <c r="V48" s="250">
        <f>IF(V$9=0,0,V$9/AGR!V$5*1000)</f>
        <v>33.265925141682644</v>
      </c>
      <c r="W48" s="250">
        <f>IF(W$9=0,0,W$9/AGR!W$5*1000)</f>
        <v>31.78870848851826</v>
      </c>
      <c r="DA48" s="284"/>
    </row>
    <row r="49" spans="1:105" x14ac:dyDescent="0.25">
      <c r="A49" s="128" t="s">
        <v>175</v>
      </c>
      <c r="B49" s="263">
        <f>IF(B$16=0,0,B$16/AGR!B$5*1000)</f>
        <v>35.6842427728199</v>
      </c>
      <c r="C49" s="263">
        <f>IF(C$16=0,0,C$16/AGR!C$5*1000)</f>
        <v>34.51524827200177</v>
      </c>
      <c r="D49" s="263">
        <f>IF(D$16=0,0,D$16/AGR!D$5*1000)</f>
        <v>36.010684727112533</v>
      </c>
      <c r="E49" s="263">
        <f>IF(E$16=0,0,E$16/AGR!E$5*1000)</f>
        <v>38.376483219560733</v>
      </c>
      <c r="F49" s="263">
        <f>IF(F$16=0,0,F$16/AGR!F$5*1000)</f>
        <v>38.040060684213117</v>
      </c>
      <c r="G49" s="263">
        <f>IF(G$16=0,0,G$16/AGR!G$5*1000)</f>
        <v>43.314102395027554</v>
      </c>
      <c r="H49" s="263">
        <f>IF(H$16=0,0,H$16/AGR!H$5*1000)</f>
        <v>41.36839337773003</v>
      </c>
      <c r="I49" s="263">
        <f>IF(I$16=0,0,I$16/AGR!I$5*1000)</f>
        <v>38.611175694584418</v>
      </c>
      <c r="J49" s="263">
        <f>IF(J$16=0,0,J$16/AGR!J$5*1000)</f>
        <v>39.121975893499396</v>
      </c>
      <c r="K49" s="263">
        <f>IF(K$16=0,0,K$16/AGR!K$5*1000)</f>
        <v>43.951533110463153</v>
      </c>
      <c r="L49" s="263">
        <f>IF(L$16=0,0,L$16/AGR!L$5*1000)</f>
        <v>40.473522927556587</v>
      </c>
      <c r="M49" s="263">
        <f>IF(M$16=0,0,M$16/AGR!M$5*1000)</f>
        <v>37.204348917756249</v>
      </c>
      <c r="N49" s="263">
        <f>IF(N$16=0,0,N$16/AGR!N$5*1000)</f>
        <v>37.656880927912347</v>
      </c>
      <c r="O49" s="263">
        <f>IF(O$16=0,0,O$16/AGR!O$5*1000)</f>
        <v>36.929554177624638</v>
      </c>
      <c r="P49" s="263">
        <f>IF(P$16=0,0,P$16/AGR!P$5*1000)</f>
        <v>35.943541980158493</v>
      </c>
      <c r="Q49" s="263">
        <f>IF(Q$16=0,0,Q$16/AGR!Q$5*1000)</f>
        <v>36.883245983120773</v>
      </c>
      <c r="R49" s="263">
        <f>IF(R$16=0,0,R$16/AGR!R$5*1000)</f>
        <v>37.44516757656713</v>
      </c>
      <c r="S49" s="263">
        <f>IF(S$16=0,0,S$16/AGR!S$5*1000)</f>
        <v>34.543152861520205</v>
      </c>
      <c r="T49" s="263">
        <f>IF(T$16=0,0,T$16/AGR!T$5*1000)</f>
        <v>39.101484445127852</v>
      </c>
      <c r="U49" s="263">
        <f>IF(U$16=0,0,U$16/AGR!U$5*1000)</f>
        <v>39.184668330618059</v>
      </c>
      <c r="V49" s="263">
        <f>IF(V$16=0,0,V$16/AGR!V$5*1000)</f>
        <v>40.96256564182174</v>
      </c>
      <c r="W49" s="263">
        <f>IF(W$16=0,0,W$16/AGR!W$5*1000)</f>
        <v>39.254955815285889</v>
      </c>
      <c r="DA49" s="285"/>
    </row>
    <row r="50" spans="1:105" x14ac:dyDescent="0.25">
      <c r="A50" s="128" t="s">
        <v>121</v>
      </c>
      <c r="B50" s="263">
        <f>IF(B$17=0,0,B$17/AGR!B$5*1000)</f>
        <v>52.383077471146635</v>
      </c>
      <c r="C50" s="263">
        <f>IF(C$17=0,0,C$17/AGR!C$5*1000)</f>
        <v>50.117156870621706</v>
      </c>
      <c r="D50" s="263">
        <f>IF(D$17=0,0,D$17/AGR!D$5*1000)</f>
        <v>52.04128326402688</v>
      </c>
      <c r="E50" s="263">
        <f>IF(E$17=0,0,E$17/AGR!E$5*1000)</f>
        <v>55.186515885124997</v>
      </c>
      <c r="F50" s="263">
        <f>IF(F$17=0,0,F$17/AGR!F$5*1000)</f>
        <v>54.658052009279608</v>
      </c>
      <c r="G50" s="263">
        <f>IF(G$17=0,0,G$17/AGR!G$5*1000)</f>
        <v>62.794540669494523</v>
      </c>
      <c r="H50" s="263">
        <f>IF(H$17=0,0,H$17/AGR!H$5*1000)</f>
        <v>59.541014321286269</v>
      </c>
      <c r="I50" s="263">
        <f>IF(I$17=0,0,I$17/AGR!I$5*1000)</f>
        <v>55.506160418228561</v>
      </c>
      <c r="J50" s="263">
        <f>IF(J$17=0,0,J$17/AGR!J$5*1000)</f>
        <v>56.552882157060687</v>
      </c>
      <c r="K50" s="263">
        <f>IF(K$17=0,0,K$17/AGR!K$5*1000)</f>
        <v>63.225111594534134</v>
      </c>
      <c r="L50" s="263">
        <f>IF(L$17=0,0,L$17/AGR!L$5*1000)</f>
        <v>58.401898291839871</v>
      </c>
      <c r="M50" s="263">
        <f>IF(M$17=0,0,M$17/AGR!M$5*1000)</f>
        <v>53.719110759710951</v>
      </c>
      <c r="N50" s="263">
        <f>IF(N$17=0,0,N$17/AGR!N$5*1000)</f>
        <v>54.534980863213988</v>
      </c>
      <c r="O50" s="263">
        <f>IF(O$17=0,0,O$17/AGR!O$5*1000)</f>
        <v>53.381412188232055</v>
      </c>
      <c r="P50" s="263">
        <f>IF(P$17=0,0,P$17/AGR!P$5*1000)</f>
        <v>52.308485212961656</v>
      </c>
      <c r="Q50" s="263">
        <f>IF(Q$17=0,0,Q$17/AGR!Q$5*1000)</f>
        <v>53.273872969582982</v>
      </c>
      <c r="R50" s="263">
        <f>IF(R$17=0,0,R$17/AGR!R$5*1000)</f>
        <v>54.153308231012261</v>
      </c>
      <c r="S50" s="263">
        <f>IF(S$17=0,0,S$17/AGR!S$5*1000)</f>
        <v>49.860771974424544</v>
      </c>
      <c r="T50" s="263">
        <f>IF(T$17=0,0,T$17/AGR!T$5*1000)</f>
        <v>56.186415782984461</v>
      </c>
      <c r="U50" s="263">
        <f>IF(U$17=0,0,U$17/AGR!U$5*1000)</f>
        <v>56.534774360812094</v>
      </c>
      <c r="V50" s="263">
        <f>IF(V$17=0,0,V$17/AGR!V$5*1000)</f>
        <v>59.184788766726115</v>
      </c>
      <c r="W50" s="263">
        <f>IF(W$17=0,0,W$17/AGR!W$5*1000)</f>
        <v>57.054248467637237</v>
      </c>
      <c r="DA50" s="285"/>
    </row>
    <row r="51" spans="1:105" x14ac:dyDescent="0.25">
      <c r="A51" s="128" t="s">
        <v>174</v>
      </c>
      <c r="B51" s="263">
        <f>IF(B$25=0,0,B$25/AGR!B$5*1000)</f>
        <v>6.8570246314708738</v>
      </c>
      <c r="C51" s="263">
        <f>IF(C$25=0,0,C$25/AGR!C$5*1000)</f>
        <v>6.6323925960597272</v>
      </c>
      <c r="D51" s="263">
        <f>IF(D$25=0,0,D$25/AGR!D$5*1000)</f>
        <v>6.9197531734657458</v>
      </c>
      <c r="E51" s="263">
        <f>IF(E$25=0,0,E$25/AGR!E$5*1000)</f>
        <v>7.3743610697042028</v>
      </c>
      <c r="F51" s="263">
        <f>IF(F$25=0,0,F$25/AGR!F$5*1000)</f>
        <v>7.3097146758841927</v>
      </c>
      <c r="G51" s="263">
        <f>IF(G$25=0,0,G$25/AGR!G$5*1000)</f>
        <v>8.3231657430315433</v>
      </c>
      <c r="H51" s="263">
        <f>IF(H$25=0,0,H$25/AGR!H$5*1000)</f>
        <v>7.9492815403535388</v>
      </c>
      <c r="I51" s="263">
        <f>IF(I$25=0,0,I$25/AGR!I$5*1000)</f>
        <v>7.4194591846425988</v>
      </c>
      <c r="J51" s="263">
        <f>IF(J$25=0,0,J$25/AGR!J$5*1000)</f>
        <v>7.5176136997326042</v>
      </c>
      <c r="K51" s="263">
        <f>IF(K$25=0,0,K$25/AGR!K$5*1000)</f>
        <v>8.4456533671749145</v>
      </c>
      <c r="L51" s="263">
        <f>IF(L$25=0,0,L$25/AGR!L$5*1000)</f>
        <v>7.7773247257482847</v>
      </c>
      <c r="M51" s="263">
        <f>IF(M$25=0,0,M$25/AGR!M$5*1000)</f>
        <v>7.1491256953672897</v>
      </c>
      <c r="N51" s="263">
        <f>IF(N$25=0,0,N$25/AGR!N$5*1000)</f>
        <v>7.236083492396209</v>
      </c>
      <c r="O51" s="263">
        <f>IF(O$25=0,0,O$25/AGR!O$5*1000)</f>
        <v>7.0963215959871491</v>
      </c>
      <c r="P51" s="263">
        <f>IF(P$25=0,0,P$25/AGR!P$5*1000)</f>
        <v>6.9068511350893242</v>
      </c>
      <c r="Q51" s="263">
        <f>IF(Q$25=0,0,Q$25/AGR!Q$5*1000)</f>
        <v>7.0874230904934663</v>
      </c>
      <c r="R51" s="263">
        <f>IF(R$25=0,0,R$25/AGR!R$5*1000)</f>
        <v>7.1954010075743273</v>
      </c>
      <c r="S51" s="263">
        <f>IF(S$25=0,0,S$25/AGR!S$5*1000)</f>
        <v>6.6377546954848743</v>
      </c>
      <c r="T51" s="263">
        <f>IF(T$25=0,0,T$25/AGR!T$5*1000)</f>
        <v>7.5136760971579148</v>
      </c>
      <c r="U51" s="263">
        <f>IF(U$25=0,0,U$25/AGR!U$5*1000)</f>
        <v>7.5296605739865008</v>
      </c>
      <c r="V51" s="263">
        <f>IF(V$25=0,0,V$25/AGR!V$5*1000)</f>
        <v>7.8712983588419307</v>
      </c>
      <c r="W51" s="263">
        <f>IF(W$25=0,0,W$25/AGR!W$5*1000)</f>
        <v>7.5431668999220047</v>
      </c>
      <c r="DA51" s="285"/>
    </row>
    <row r="52" spans="1:105" x14ac:dyDescent="0.25">
      <c r="A52" s="128" t="s">
        <v>177</v>
      </c>
      <c r="B52" s="263">
        <f>IF(B$26=0,0,B$26/AGR!B$5*1000)</f>
        <v>0.95716888991669802</v>
      </c>
      <c r="C52" s="263">
        <f>IF(C$26=0,0,C$26/AGR!C$5*1000)</f>
        <v>0.98977180342986515</v>
      </c>
      <c r="D52" s="263">
        <f>IF(D$26=0,0,D$26/AGR!D$5*1000)</f>
        <v>1.10604580145348</v>
      </c>
      <c r="E52" s="263">
        <f>IF(E$26=0,0,E$26/AGR!E$5*1000)</f>
        <v>1.1069516654940836</v>
      </c>
      <c r="F52" s="263">
        <f>IF(F$26=0,0,F$26/AGR!F$5*1000)</f>
        <v>1.231147711290697</v>
      </c>
      <c r="G52" s="263">
        <f>IF(G$26=0,0,G$26/AGR!G$5*1000)</f>
        <v>1.4386888924968109</v>
      </c>
      <c r="H52" s="263">
        <f>IF(H$26=0,0,H$26/AGR!H$5*1000)</f>
        <v>1.3890718041373074</v>
      </c>
      <c r="I52" s="263">
        <f>IF(I$26=0,0,I$26/AGR!I$5*1000)</f>
        <v>1.3383271966666141</v>
      </c>
      <c r="J52" s="263">
        <f>IF(J$26=0,0,J$26/AGR!J$5*1000)</f>
        <v>1.334143467023881</v>
      </c>
      <c r="K52" s="263">
        <f>IF(K$26=0,0,K$26/AGR!K$5*1000)</f>
        <v>1.5374049855048606</v>
      </c>
      <c r="L52" s="263">
        <f>IF(L$26=0,0,L$26/AGR!L$5*1000)</f>
        <v>1.4222279233566437</v>
      </c>
      <c r="M52" s="263">
        <f>IF(M$26=0,0,M$26/AGR!M$5*1000)</f>
        <v>1.2932654672345492</v>
      </c>
      <c r="N52" s="263">
        <f>IF(N$26=0,0,N$26/AGR!N$5*1000)</f>
        <v>1.3350249062757669</v>
      </c>
      <c r="O52" s="263">
        <f>IF(O$26=0,0,O$26/AGR!O$5*1000)</f>
        <v>1.3251323310407399</v>
      </c>
      <c r="P52" s="263">
        <f>IF(P$26=0,0,P$26/AGR!P$5*1000)</f>
        <v>1.2926422090849619</v>
      </c>
      <c r="Q52" s="263">
        <f>IF(Q$26=0,0,Q$26/AGR!Q$5*1000)</f>
        <v>1.3316024251168328</v>
      </c>
      <c r="R52" s="263">
        <f>IF(R$26=0,0,R$26/AGR!R$5*1000)</f>
        <v>1.3537973502290237</v>
      </c>
      <c r="S52" s="263">
        <f>IF(S$26=0,0,S$26/AGR!S$5*1000)</f>
        <v>1.2549926201486798</v>
      </c>
      <c r="T52" s="263">
        <f>IF(T$26=0,0,T$26/AGR!T$5*1000)</f>
        <v>1.4589964917119804</v>
      </c>
      <c r="U52" s="263">
        <f>IF(U$26=0,0,U$26/AGR!U$5*1000)</f>
        <v>1.4533344791546703</v>
      </c>
      <c r="V52" s="263">
        <f>IF(V$26=0,0,V$26/AGR!V$5*1000)</f>
        <v>1.4682865075080258</v>
      </c>
      <c r="W52" s="263">
        <f>IF(W$26=0,0,W$26/AGR!W$5*1000)</f>
        <v>1.3798123752989162</v>
      </c>
      <c r="DA52" s="285"/>
    </row>
    <row r="53" spans="1:105" x14ac:dyDescent="0.25">
      <c r="A53" s="261" t="s">
        <v>33</v>
      </c>
      <c r="B53" s="264">
        <f>IF(B$27=0,0,B$27/AGR!B$5*1000)</f>
        <v>1.3878948903792119</v>
      </c>
      <c r="C53" s="264">
        <f>IF(C$27=0,0,C$27/AGR!C$5*1000)</f>
        <v>1.4351691149733048</v>
      </c>
      <c r="D53" s="264">
        <f>IF(D$27=0,0,D$27/AGR!D$5*1000)</f>
        <v>1.6037664121075463</v>
      </c>
      <c r="E53" s="264">
        <f>IF(E$27=0,0,E$27/AGR!E$5*1000)</f>
        <v>1.6050799149664206</v>
      </c>
      <c r="F53" s="264">
        <f>IF(F$27=0,0,F$27/AGR!F$5*1000)</f>
        <v>1.7851641813715102</v>
      </c>
      <c r="G53" s="264">
        <f>IF(G$27=0,0,G$27/AGR!G$5*1000)</f>
        <v>2.0860988941203757</v>
      </c>
      <c r="H53" s="264">
        <f>IF(H$27=0,0,H$27/AGR!H$5*1000)</f>
        <v>2.0141541159990957</v>
      </c>
      <c r="I53" s="264">
        <f>IF(I$27=0,0,I$27/AGR!I$5*1000)</f>
        <v>1.9405744351665906</v>
      </c>
      <c r="J53" s="264">
        <f>IF(J$27=0,0,J$27/AGR!J$5*1000)</f>
        <v>1.9345080271846278</v>
      </c>
      <c r="K53" s="264">
        <f>IF(K$27=0,0,K$27/AGR!K$5*1000)</f>
        <v>2.2292372289820475</v>
      </c>
      <c r="L53" s="264">
        <f>IF(L$27=0,0,L$27/AGR!L$5*1000)</f>
        <v>2.062230488867133</v>
      </c>
      <c r="M53" s="264">
        <f>IF(M$27=0,0,M$27/AGR!M$5*1000)</f>
        <v>1.8752349274900957</v>
      </c>
      <c r="N53" s="264">
        <f>IF(N$27=0,0,N$27/AGR!N$5*1000)</f>
        <v>1.9357861140998622</v>
      </c>
      <c r="O53" s="264">
        <f>IF(O$27=0,0,O$27/AGR!O$5*1000)</f>
        <v>1.9214418800090731</v>
      </c>
      <c r="P53" s="264">
        <f>IF(P$27=0,0,P$27/AGR!P$5*1000)</f>
        <v>1.8743312031731942</v>
      </c>
      <c r="Q53" s="264">
        <f>IF(Q$27=0,0,Q$27/AGR!Q$5*1000)</f>
        <v>1.9308235164194083</v>
      </c>
      <c r="R53" s="264">
        <f>IF(R$27=0,0,R$27/AGR!R$5*1000)</f>
        <v>1.9630061578320839</v>
      </c>
      <c r="S53" s="264">
        <f>IF(S$27=0,0,S$27/AGR!S$5*1000)</f>
        <v>1.8197392992155854</v>
      </c>
      <c r="T53" s="264">
        <f>IF(T$27=0,0,T$27/AGR!T$5*1000)</f>
        <v>2.1155449129823709</v>
      </c>
      <c r="U53" s="264">
        <f>IF(U$27=0,0,U$27/AGR!U$5*1000)</f>
        <v>2.1073349947742721</v>
      </c>
      <c r="V53" s="264">
        <f>IF(V$27=0,0,V$27/AGR!V$5*1000)</f>
        <v>2.1290154358866373</v>
      </c>
      <c r="W53" s="264">
        <f>IF(W$27=0,0,W$27/AGR!W$5*1000)</f>
        <v>2.0007279441834278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111.54504656646306</v>
      </c>
      <c r="C5" s="80">
        <f t="shared" ref="C5:W5" si="1">SUM(C6:C9,C16:C17,C25:C27)</f>
        <v>106.35484728185098</v>
      </c>
      <c r="D5" s="80">
        <f t="shared" si="1"/>
        <v>99.236280320027433</v>
      </c>
      <c r="E5" s="80">
        <f t="shared" si="1"/>
        <v>99.883739928358978</v>
      </c>
      <c r="F5" s="80">
        <f t="shared" si="1"/>
        <v>93.203947969839973</v>
      </c>
      <c r="G5" s="80">
        <f t="shared" si="1"/>
        <v>95.267961943613756</v>
      </c>
      <c r="H5" s="80">
        <f t="shared" si="1"/>
        <v>96.181219976798403</v>
      </c>
      <c r="I5" s="80">
        <f t="shared" si="1"/>
        <v>94.209726319921046</v>
      </c>
      <c r="J5" s="80">
        <f t="shared" si="1"/>
        <v>99.904450717838657</v>
      </c>
      <c r="K5" s="80">
        <f t="shared" si="1"/>
        <v>98.349360798852373</v>
      </c>
      <c r="L5" s="80">
        <f t="shared" si="1"/>
        <v>96.905064870577789</v>
      </c>
      <c r="M5" s="80">
        <f t="shared" si="1"/>
        <v>98.848272089554897</v>
      </c>
      <c r="N5" s="80">
        <f t="shared" si="1"/>
        <v>91.420903394897252</v>
      </c>
      <c r="O5" s="80">
        <f t="shared" si="1"/>
        <v>90.672932259185558</v>
      </c>
      <c r="P5" s="80">
        <f t="shared" si="1"/>
        <v>93.676437395460709</v>
      </c>
      <c r="Q5" s="80">
        <f t="shared" si="1"/>
        <v>92.189648615481644</v>
      </c>
      <c r="R5" s="80">
        <f t="shared" si="1"/>
        <v>93.771246897375491</v>
      </c>
      <c r="S5" s="80">
        <f t="shared" si="1"/>
        <v>92.644275999032658</v>
      </c>
      <c r="T5" s="80">
        <f t="shared" si="1"/>
        <v>94.612291368395191</v>
      </c>
      <c r="U5" s="80">
        <f t="shared" si="1"/>
        <v>95.74045339975649</v>
      </c>
      <c r="V5" s="80">
        <f t="shared" si="1"/>
        <v>100.9924031981911</v>
      </c>
      <c r="W5" s="80">
        <f t="shared" si="1"/>
        <v>101.25928045837976</v>
      </c>
      <c r="DA5" s="103"/>
    </row>
    <row r="6" spans="1:105" x14ac:dyDescent="0.25">
      <c r="A6" s="239" t="s">
        <v>125</v>
      </c>
      <c r="B6" s="240">
        <v>1.07952981834741</v>
      </c>
      <c r="C6" s="240">
        <v>1.0911259442382899</v>
      </c>
      <c r="D6" s="240">
        <v>1.085801153795527</v>
      </c>
      <c r="E6" s="240">
        <v>1.0349779057938071</v>
      </c>
      <c r="F6" s="240">
        <v>1.0762297196131949</v>
      </c>
      <c r="G6" s="240">
        <v>1.1211628387963559</v>
      </c>
      <c r="H6" s="240">
        <v>1.150218379194142</v>
      </c>
      <c r="I6" s="240">
        <v>1.161661503269249</v>
      </c>
      <c r="J6" s="240">
        <v>1.210060404502965</v>
      </c>
      <c r="K6" s="240">
        <v>1.222158223042237</v>
      </c>
      <c r="L6" s="240">
        <v>1.2004726768551639</v>
      </c>
      <c r="M6" s="240">
        <v>1.213891799459262</v>
      </c>
      <c r="N6" s="240">
        <v>1.1360609707745191</v>
      </c>
      <c r="O6" s="240">
        <v>1.1299449631391481</v>
      </c>
      <c r="P6" s="240">
        <v>1.1606369140816639</v>
      </c>
      <c r="Q6" s="240">
        <v>1.15373203724553</v>
      </c>
      <c r="R6" s="240">
        <v>1.1661525304408431</v>
      </c>
      <c r="S6" s="240">
        <v>1.1573002299664621</v>
      </c>
      <c r="T6" s="240">
        <v>1.21380653882511</v>
      </c>
      <c r="U6" s="240">
        <v>1.2149186357748281</v>
      </c>
      <c r="V6" s="240">
        <v>1.2345904206115781</v>
      </c>
      <c r="W6" s="240">
        <v>1.2134316635115461</v>
      </c>
      <c r="DA6" s="268" t="s">
        <v>1014</v>
      </c>
    </row>
    <row r="7" spans="1:105" x14ac:dyDescent="0.25">
      <c r="A7" s="241" t="s">
        <v>124</v>
      </c>
      <c r="B7" s="242">
        <v>0.69581973605182645</v>
      </c>
      <c r="C7" s="242">
        <v>0.70329411343305315</v>
      </c>
      <c r="D7" s="242">
        <v>0.69986197638834791</v>
      </c>
      <c r="E7" s="242">
        <v>0.66710343798688898</v>
      </c>
      <c r="F7" s="242">
        <v>0.69369263053685115</v>
      </c>
      <c r="G7" s="242">
        <v>0.72265463843939814</v>
      </c>
      <c r="H7" s="242">
        <v>0.74138262362963603</v>
      </c>
      <c r="I7" s="242">
        <v>0.74875838244446802</v>
      </c>
      <c r="J7" s="242">
        <v>0.77995428839285252</v>
      </c>
      <c r="K7" s="242">
        <v>0.78775203585635989</v>
      </c>
      <c r="L7" s="242">
        <v>0.7737744404554957</v>
      </c>
      <c r="M7" s="242">
        <v>0.7824238452146195</v>
      </c>
      <c r="N7" s="242">
        <v>0.7322573507355532</v>
      </c>
      <c r="O7" s="242">
        <v>0.72831522820571926</v>
      </c>
      <c r="P7" s="242">
        <v>0.74809797513940735</v>
      </c>
      <c r="Q7" s="242">
        <v>0.74364738054171142</v>
      </c>
      <c r="R7" s="242">
        <v>0.7516531105826153</v>
      </c>
      <c r="S7" s="242">
        <v>0.74594728821916756</v>
      </c>
      <c r="T7" s="242">
        <v>0.78236888977851859</v>
      </c>
      <c r="U7" s="242">
        <v>0.78308570092432073</v>
      </c>
      <c r="V7" s="242">
        <v>0.79576531004686368</v>
      </c>
      <c r="W7" s="242">
        <v>0.78212726084219486</v>
      </c>
      <c r="DA7" s="269" t="s">
        <v>1015</v>
      </c>
    </row>
    <row r="8" spans="1:105" x14ac:dyDescent="0.25">
      <c r="A8" s="241" t="s">
        <v>123</v>
      </c>
      <c r="B8" s="242">
        <v>1.3827554074464989</v>
      </c>
      <c r="C8" s="242">
        <v>1.397608731095854</v>
      </c>
      <c r="D8" s="242">
        <v>1.390788277734482</v>
      </c>
      <c r="E8" s="242">
        <v>1.325689454335649</v>
      </c>
      <c r="F8" s="242">
        <v>1.3785283548053511</v>
      </c>
      <c r="G8" s="242">
        <v>1.436082590425324</v>
      </c>
      <c r="H8" s="242">
        <v>1.4732994462439279</v>
      </c>
      <c r="I8" s="242">
        <v>1.487956791899427</v>
      </c>
      <c r="J8" s="242">
        <v>1.5499503017200631</v>
      </c>
      <c r="K8" s="242">
        <v>1.565446236819932</v>
      </c>
      <c r="L8" s="242">
        <v>1.537669508707401</v>
      </c>
      <c r="M8" s="242">
        <v>1.554857884636107</v>
      </c>
      <c r="N8" s="242">
        <v>1.4551654098190421</v>
      </c>
      <c r="O8" s="242">
        <v>1.447331496863548</v>
      </c>
      <c r="P8" s="242">
        <v>1.4866444092162749</v>
      </c>
      <c r="Q8" s="242">
        <v>1.4778000441782331</v>
      </c>
      <c r="R8" s="242">
        <v>1.4937092889596899</v>
      </c>
      <c r="S8" s="242">
        <v>1.4823704948464991</v>
      </c>
      <c r="T8" s="242">
        <v>1.55474867542214</v>
      </c>
      <c r="U8" s="242">
        <v>1.5561731456356469</v>
      </c>
      <c r="V8" s="242">
        <v>1.58137047357864</v>
      </c>
      <c r="W8" s="242">
        <v>1.554268502611589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39.02306598004683</v>
      </c>
      <c r="C9" s="244">
        <f t="shared" ref="C9:W9" si="3">SUM(C10:C15)</f>
        <v>37.473032833331729</v>
      </c>
      <c r="D9" s="244">
        <f t="shared" si="3"/>
        <v>34.92251199511999</v>
      </c>
      <c r="E9" s="244">
        <f t="shared" si="3"/>
        <v>35.166979723190671</v>
      </c>
      <c r="F9" s="244">
        <f t="shared" si="3"/>
        <v>32.594339279613429</v>
      </c>
      <c r="G9" s="244">
        <f t="shared" si="3"/>
        <v>33.311091425796469</v>
      </c>
      <c r="H9" s="244">
        <f t="shared" si="3"/>
        <v>33.4936770298591</v>
      </c>
      <c r="I9" s="244">
        <f t="shared" si="3"/>
        <v>32.71598245222868</v>
      </c>
      <c r="J9" s="244">
        <f t="shared" si="3"/>
        <v>34.751261434659249</v>
      </c>
      <c r="K9" s="244">
        <f t="shared" si="3"/>
        <v>34.154666899146271</v>
      </c>
      <c r="L9" s="244">
        <f t="shared" si="3"/>
        <v>33.975084450187644</v>
      </c>
      <c r="M9" s="244">
        <f t="shared" si="3"/>
        <v>34.603833118561028</v>
      </c>
      <c r="N9" s="244">
        <f t="shared" si="3"/>
        <v>32.253618087750453</v>
      </c>
      <c r="O9" s="244">
        <f t="shared" si="3"/>
        <v>32.478100382890936</v>
      </c>
      <c r="P9" s="244">
        <f t="shared" si="3"/>
        <v>34.057103381292983</v>
      </c>
      <c r="Q9" s="244">
        <f t="shared" si="3"/>
        <v>33.333787071829093</v>
      </c>
      <c r="R9" s="244">
        <f t="shared" si="3"/>
        <v>34.202825316712371</v>
      </c>
      <c r="S9" s="244">
        <f t="shared" si="3"/>
        <v>33.866168092796407</v>
      </c>
      <c r="T9" s="244">
        <f t="shared" si="3"/>
        <v>34.515319084889278</v>
      </c>
      <c r="U9" s="244">
        <f t="shared" si="3"/>
        <v>35.101948238659588</v>
      </c>
      <c r="V9" s="244">
        <f t="shared" si="3"/>
        <v>37.383945595435335</v>
      </c>
      <c r="W9" s="244">
        <f t="shared" si="3"/>
        <v>37.286862941378814</v>
      </c>
      <c r="DA9" s="270"/>
    </row>
    <row r="10" spans="1:105" x14ac:dyDescent="0.25">
      <c r="A10" s="254" t="s">
        <v>173</v>
      </c>
      <c r="B10" s="255">
        <v>35.637882880947359</v>
      </c>
      <c r="C10" s="255">
        <v>32.188985167675163</v>
      </c>
      <c r="D10" s="255">
        <v>29.518690134909281</v>
      </c>
      <c r="E10" s="255">
        <v>30.735196750382389</v>
      </c>
      <c r="F10" s="255">
        <v>28.248294364494889</v>
      </c>
      <c r="G10" s="255">
        <v>28.104871826749601</v>
      </c>
      <c r="H10" s="255">
        <v>29.212948682220571</v>
      </c>
      <c r="I10" s="255">
        <v>28.639252174169538</v>
      </c>
      <c r="J10" s="255">
        <v>30.094624964131711</v>
      </c>
      <c r="K10" s="255">
        <v>29.725288233215281</v>
      </c>
      <c r="L10" s="255">
        <v>28.20865657285119</v>
      </c>
      <c r="M10" s="255">
        <v>29.07157522703848</v>
      </c>
      <c r="N10" s="255">
        <v>26.057458099471379</v>
      </c>
      <c r="O10" s="255">
        <v>24.778597803941931</v>
      </c>
      <c r="P10" s="255">
        <v>24.39097897648977</v>
      </c>
      <c r="Q10" s="255">
        <v>24.529596194243751</v>
      </c>
      <c r="R10" s="255">
        <v>23.789407999508938</v>
      </c>
      <c r="S10" s="255">
        <v>23.67679836046505</v>
      </c>
      <c r="T10" s="255">
        <v>24.310436236016269</v>
      </c>
      <c r="U10" s="255">
        <v>23.968822078779791</v>
      </c>
      <c r="V10" s="255">
        <v>24.67377012115627</v>
      </c>
      <c r="W10" s="255">
        <v>24.563713410236421</v>
      </c>
      <c r="DA10" s="271" t="s">
        <v>1017</v>
      </c>
    </row>
    <row r="11" spans="1:105" x14ac:dyDescent="0.25">
      <c r="A11" s="254" t="s">
        <v>176</v>
      </c>
      <c r="B11" s="256">
        <v>3.2550835389196191</v>
      </c>
      <c r="C11" s="256">
        <v>5.1389671242037904</v>
      </c>
      <c r="D11" s="256">
        <v>5.2398707415434149</v>
      </c>
      <c r="E11" s="256">
        <v>4.2925722675871789</v>
      </c>
      <c r="F11" s="256">
        <v>4.1642482264607601</v>
      </c>
      <c r="G11" s="256">
        <v>5.007576596165884</v>
      </c>
      <c r="H11" s="256">
        <v>4.0705181262941368</v>
      </c>
      <c r="I11" s="256">
        <v>3.8501836829613589</v>
      </c>
      <c r="J11" s="256">
        <v>4.4283549272778657</v>
      </c>
      <c r="K11" s="256">
        <v>4.1870876271334874</v>
      </c>
      <c r="L11" s="256">
        <v>4.7013918945039288</v>
      </c>
      <c r="M11" s="256">
        <v>4.5699440070845254</v>
      </c>
      <c r="N11" s="256">
        <v>4.3633063513102606</v>
      </c>
      <c r="O11" s="256">
        <v>4.3284666917404566</v>
      </c>
      <c r="P11" s="256">
        <v>4.5187978450996837</v>
      </c>
      <c r="Q11" s="256">
        <v>4.4522828627436004</v>
      </c>
      <c r="R11" s="256">
        <v>5.7354879435976036</v>
      </c>
      <c r="S11" s="256">
        <v>4.9178350690027468</v>
      </c>
      <c r="T11" s="256">
        <v>4.7809616891188567</v>
      </c>
      <c r="U11" s="256">
        <v>5.4132993251255002</v>
      </c>
      <c r="V11" s="256">
        <v>6.11553397704518</v>
      </c>
      <c r="W11" s="256">
        <v>7.4493321762268971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1.1649207523062499</v>
      </c>
      <c r="Q12" s="256">
        <v>1.1631144001466061</v>
      </c>
      <c r="R12" s="256">
        <v>1.153404200498827</v>
      </c>
      <c r="S12" s="256">
        <v>1.0709975621824239</v>
      </c>
      <c r="T12" s="256">
        <v>0.9979319807707111</v>
      </c>
      <c r="U12" s="256">
        <v>0.92547633363740234</v>
      </c>
      <c r="V12" s="256">
        <v>0.9650477122247032</v>
      </c>
      <c r="W12" s="256">
        <v>0.46859711290002681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0.82918306117701834</v>
      </c>
      <c r="M14" s="255">
        <v>0.7276293059068395</v>
      </c>
      <c r="N14" s="255">
        <v>1.6076197047535701</v>
      </c>
      <c r="O14" s="255">
        <v>3.147557212683417</v>
      </c>
      <c r="P14" s="255">
        <v>3.7567579041659411</v>
      </c>
      <c r="Q14" s="255">
        <v>2.9613854813662872</v>
      </c>
      <c r="R14" s="255">
        <v>3.2998573855538869</v>
      </c>
      <c r="S14" s="255">
        <v>3.9750345119241768</v>
      </c>
      <c r="T14" s="255">
        <v>4.1764362605287966</v>
      </c>
      <c r="U14" s="255">
        <v>4.5503636449606644</v>
      </c>
      <c r="V14" s="255">
        <v>5.4015997711684864</v>
      </c>
      <c r="W14" s="255">
        <v>4.5892915691452769</v>
      </c>
      <c r="DA14" s="271" t="s">
        <v>1021</v>
      </c>
    </row>
    <row r="15" spans="1:105" x14ac:dyDescent="0.25">
      <c r="A15" s="254" t="s">
        <v>24</v>
      </c>
      <c r="B15" s="256">
        <v>0.13009956017985161</v>
      </c>
      <c r="C15" s="256">
        <v>0.1450805414527743</v>
      </c>
      <c r="D15" s="256">
        <v>0.16395111866729159</v>
      </c>
      <c r="E15" s="256">
        <v>0.1392107052211011</v>
      </c>
      <c r="F15" s="256">
        <v>0.18179668865777571</v>
      </c>
      <c r="G15" s="256">
        <v>0.19864300288098771</v>
      </c>
      <c r="H15" s="256">
        <v>0.21021022134439241</v>
      </c>
      <c r="I15" s="256">
        <v>0.22654659509778319</v>
      </c>
      <c r="J15" s="256">
        <v>0.22828154324967351</v>
      </c>
      <c r="K15" s="256">
        <v>0.2422910387975003</v>
      </c>
      <c r="L15" s="256">
        <v>0.23585292165550459</v>
      </c>
      <c r="M15" s="256">
        <v>0.23468457853118571</v>
      </c>
      <c r="N15" s="256">
        <v>0.22523393221524579</v>
      </c>
      <c r="O15" s="256">
        <v>0.2234786745251294</v>
      </c>
      <c r="P15" s="256">
        <v>0.2256479032313306</v>
      </c>
      <c r="Q15" s="256">
        <v>0.2274081333288438</v>
      </c>
      <c r="R15" s="256">
        <v>0.22466778755311359</v>
      </c>
      <c r="S15" s="256">
        <v>0.22550258922201311</v>
      </c>
      <c r="T15" s="256">
        <v>0.24955291845463801</v>
      </c>
      <c r="U15" s="256">
        <v>0.2439868561562353</v>
      </c>
      <c r="V15" s="256">
        <v>0.2279940138407015</v>
      </c>
      <c r="W15" s="256">
        <v>0.21592867287018799</v>
      </c>
      <c r="DA15" s="272" t="s">
        <v>1022</v>
      </c>
    </row>
    <row r="16" spans="1:105" x14ac:dyDescent="0.25">
      <c r="A16" s="257" t="s">
        <v>175</v>
      </c>
      <c r="B16" s="258">
        <v>28.799209781664089</v>
      </c>
      <c r="C16" s="258">
        <v>27.227566310231001</v>
      </c>
      <c r="D16" s="258">
        <v>25.29685809581817</v>
      </c>
      <c r="E16" s="258">
        <v>25.67589627614306</v>
      </c>
      <c r="F16" s="258">
        <v>23.795456323211479</v>
      </c>
      <c r="G16" s="258">
        <v>24.15400437857566</v>
      </c>
      <c r="H16" s="258">
        <v>24.51219931674817</v>
      </c>
      <c r="I16" s="258">
        <v>23.982162293952481</v>
      </c>
      <c r="J16" s="258">
        <v>25.391205204502182</v>
      </c>
      <c r="K16" s="258">
        <v>25.001795332472579</v>
      </c>
      <c r="L16" s="258">
        <v>24.446241897789118</v>
      </c>
      <c r="M16" s="258">
        <v>24.98872069914529</v>
      </c>
      <c r="N16" s="258">
        <v>22.930558625667</v>
      </c>
      <c r="O16" s="258">
        <v>22.533576252065931</v>
      </c>
      <c r="P16" s="258">
        <v>23.093881638192659</v>
      </c>
      <c r="Q16" s="258">
        <v>22.867438929934181</v>
      </c>
      <c r="R16" s="258">
        <v>23.08104648576947</v>
      </c>
      <c r="S16" s="258">
        <v>22.794226518198268</v>
      </c>
      <c r="T16" s="258">
        <v>23.278044187374721</v>
      </c>
      <c r="U16" s="258">
        <v>23.439902986722689</v>
      </c>
      <c r="V16" s="258">
        <v>24.64661398166557</v>
      </c>
      <c r="W16" s="258">
        <v>24.702891924573979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33.988869255443184</v>
      </c>
      <c r="C17" s="258">
        <f t="shared" ref="C17:W17" si="5">SUM(C18:C24)</f>
        <v>32.0688015086645</v>
      </c>
      <c r="D17" s="258">
        <f t="shared" si="5"/>
        <v>29.720069745729344</v>
      </c>
      <c r="E17" s="258">
        <f t="shared" si="5"/>
        <v>29.968926501544821</v>
      </c>
      <c r="F17" s="258">
        <f t="shared" si="5"/>
        <v>27.771224049685923</v>
      </c>
      <c r="G17" s="258">
        <f t="shared" si="5"/>
        <v>28.467795271861743</v>
      </c>
      <c r="H17" s="258">
        <f t="shared" si="5"/>
        <v>28.63436720901521</v>
      </c>
      <c r="I17" s="258">
        <f t="shared" si="5"/>
        <v>27.97978327223095</v>
      </c>
      <c r="J17" s="258">
        <f t="shared" si="5"/>
        <v>29.777926713673011</v>
      </c>
      <c r="K17" s="258">
        <f t="shared" si="5"/>
        <v>29.195549517642583</v>
      </c>
      <c r="L17" s="258">
        <f t="shared" si="5"/>
        <v>28.678834768817122</v>
      </c>
      <c r="M17" s="258">
        <f t="shared" si="5"/>
        <v>29.305001173374762</v>
      </c>
      <c r="N17" s="258">
        <f t="shared" si="5"/>
        <v>26.985349831456659</v>
      </c>
      <c r="O17" s="258">
        <f t="shared" si="5"/>
        <v>26.496477205037699</v>
      </c>
      <c r="P17" s="258">
        <f t="shared" si="5"/>
        <v>27.118699303277094</v>
      </c>
      <c r="Q17" s="258">
        <f t="shared" si="5"/>
        <v>26.64961081945858</v>
      </c>
      <c r="R17" s="258">
        <f t="shared" si="5"/>
        <v>27.052407639165569</v>
      </c>
      <c r="S17" s="258">
        <f t="shared" si="5"/>
        <v>26.635547957715961</v>
      </c>
      <c r="T17" s="258">
        <f t="shared" si="5"/>
        <v>27.098778348232887</v>
      </c>
      <c r="U17" s="258">
        <f t="shared" si="5"/>
        <v>27.450643781917567</v>
      </c>
      <c r="V17" s="258">
        <f t="shared" si="5"/>
        <v>28.944783644244598</v>
      </c>
      <c r="W17" s="258">
        <f t="shared" si="5"/>
        <v>29.359753352510481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0.6596017647503839</v>
      </c>
      <c r="C19" s="55">
        <v>0.98940264712568593</v>
      </c>
      <c r="D19" s="55">
        <v>0.85748229417574995</v>
      </c>
      <c r="E19" s="55">
        <v>0.98940264712569848</v>
      </c>
      <c r="F19" s="55">
        <v>0.89047504271602884</v>
      </c>
      <c r="G19" s="55">
        <v>0.98940264712613002</v>
      </c>
      <c r="H19" s="55">
        <v>0.98940264712618553</v>
      </c>
      <c r="I19" s="55">
        <v>0.98940264712630555</v>
      </c>
      <c r="J19" s="55">
        <v>0.98940264712624393</v>
      </c>
      <c r="K19" s="55">
        <v>0.98940264712633708</v>
      </c>
      <c r="L19" s="55">
        <v>0.98940264712631965</v>
      </c>
      <c r="M19" s="55">
        <v>0.98940264712628911</v>
      </c>
      <c r="N19" s="55">
        <v>0.98940264712633619</v>
      </c>
      <c r="O19" s="55">
        <v>0.98940264712633041</v>
      </c>
      <c r="P19" s="55">
        <v>0.98940264712629833</v>
      </c>
      <c r="Q19" s="55">
        <v>0.65960176475088406</v>
      </c>
      <c r="R19" s="55">
        <v>0.65960176475085541</v>
      </c>
      <c r="S19" s="55">
        <v>0.82451486624117287</v>
      </c>
      <c r="T19" s="55">
        <v>0.85748229417622113</v>
      </c>
      <c r="U19" s="55">
        <v>0.85748229417618127</v>
      </c>
      <c r="V19" s="55">
        <v>0.89047504271616817</v>
      </c>
      <c r="W19" s="55">
        <v>0.89047504271610722</v>
      </c>
      <c r="DA19" s="101" t="s">
        <v>1025</v>
      </c>
    </row>
    <row r="20" spans="1:105" x14ac:dyDescent="0.25">
      <c r="A20" s="61" t="s">
        <v>173</v>
      </c>
      <c r="B20" s="55">
        <v>24.360282072155531</v>
      </c>
      <c r="C20" s="55">
        <v>23.1342604549355</v>
      </c>
      <c r="D20" s="55">
        <v>21.615666851502588</v>
      </c>
      <c r="E20" s="55">
        <v>22.421285278173251</v>
      </c>
      <c r="F20" s="55">
        <v>20.771043481858541</v>
      </c>
      <c r="G20" s="55">
        <v>20.489307483551681</v>
      </c>
      <c r="H20" s="55">
        <v>21.36417836709979</v>
      </c>
      <c r="I20" s="55">
        <v>20.987806878081042</v>
      </c>
      <c r="J20" s="55">
        <v>21.866677406870838</v>
      </c>
      <c r="K20" s="55">
        <v>21.807411728962052</v>
      </c>
      <c r="L20" s="55">
        <v>21.021231304781541</v>
      </c>
      <c r="M20" s="55">
        <v>21.513013993247341</v>
      </c>
      <c r="N20" s="55">
        <v>19.551810702347481</v>
      </c>
      <c r="O20" s="55">
        <v>19.254929412685801</v>
      </c>
      <c r="P20" s="55">
        <v>19.175852305490011</v>
      </c>
      <c r="Q20" s="55">
        <v>19.332031439893711</v>
      </c>
      <c r="R20" s="55">
        <v>19.17350420951211</v>
      </c>
      <c r="S20" s="55">
        <v>19.18595467279577</v>
      </c>
      <c r="T20" s="55">
        <v>19.8670103358821</v>
      </c>
      <c r="U20" s="55">
        <v>19.6929112258088</v>
      </c>
      <c r="V20" s="55">
        <v>20.532900718526669</v>
      </c>
      <c r="W20" s="55">
        <v>20.12630982294181</v>
      </c>
      <c r="DA20" s="101" t="s">
        <v>1026</v>
      </c>
    </row>
    <row r="21" spans="1:105" x14ac:dyDescent="0.25">
      <c r="A21" s="61" t="s">
        <v>129</v>
      </c>
      <c r="B21" s="55">
        <v>6.7972505798620944</v>
      </c>
      <c r="C21" s="55">
        <v>4.340195273244456</v>
      </c>
      <c r="D21" s="55">
        <v>3.501795123715477</v>
      </c>
      <c r="E21" s="55">
        <v>3.501795123714885</v>
      </c>
      <c r="F21" s="55">
        <v>3.1210425933507229</v>
      </c>
      <c r="G21" s="55">
        <v>3.425825122546613</v>
      </c>
      <c r="H21" s="55">
        <v>3.3751934971755411</v>
      </c>
      <c r="I21" s="55">
        <v>3.2485918706348671</v>
      </c>
      <c r="J21" s="55">
        <v>3.781261840226843</v>
      </c>
      <c r="K21" s="55">
        <v>3.4005093098616941</v>
      </c>
      <c r="L21" s="55">
        <v>3.2485918706349119</v>
      </c>
      <c r="M21" s="55">
        <v>3.5017951237169762</v>
      </c>
      <c r="N21" s="55">
        <v>3.248591870634967</v>
      </c>
      <c r="O21" s="55">
        <v>2.9691251541248951</v>
      </c>
      <c r="P21" s="55">
        <v>2.995388617552674</v>
      </c>
      <c r="Q21" s="55">
        <v>2.7421628013576749</v>
      </c>
      <c r="R21" s="55">
        <v>2.2094928317653522</v>
      </c>
      <c r="S21" s="55">
        <v>2.270638867752985</v>
      </c>
      <c r="T21" s="55">
        <v>2.123956070721738</v>
      </c>
      <c r="U21" s="55">
        <v>2.1519117676178099</v>
      </c>
      <c r="V21" s="55">
        <v>2.123956070721293</v>
      </c>
      <c r="W21" s="55">
        <v>2.1798674645134768</v>
      </c>
      <c r="DA21" s="101" t="s">
        <v>1027</v>
      </c>
    </row>
    <row r="22" spans="1:105" x14ac:dyDescent="0.25">
      <c r="A22" s="61" t="s">
        <v>176</v>
      </c>
      <c r="B22" s="55">
        <v>2.1717348386751731</v>
      </c>
      <c r="C22" s="55">
        <v>3.6049431333588609</v>
      </c>
      <c r="D22" s="55">
        <v>3.7451254763355268</v>
      </c>
      <c r="E22" s="55">
        <v>3.0564434525309898</v>
      </c>
      <c r="F22" s="55">
        <v>2.9886629317606279</v>
      </c>
      <c r="G22" s="55">
        <v>3.5632600186373198</v>
      </c>
      <c r="H22" s="55">
        <v>2.9055926976136952</v>
      </c>
      <c r="I22" s="55">
        <v>2.753981876388734</v>
      </c>
      <c r="J22" s="55">
        <v>3.140584819449086</v>
      </c>
      <c r="K22" s="55">
        <v>2.9982258316925021</v>
      </c>
      <c r="L22" s="55">
        <v>3.4196089462743529</v>
      </c>
      <c r="M22" s="55">
        <v>3.3007894092841532</v>
      </c>
      <c r="N22" s="55">
        <v>3.1955446113478732</v>
      </c>
      <c r="O22" s="55">
        <v>3.2830199911006721</v>
      </c>
      <c r="P22" s="55">
        <v>3.4675489464839711</v>
      </c>
      <c r="Q22" s="55">
        <v>3.4248699496041808</v>
      </c>
      <c r="R22" s="55">
        <v>4.5119312398215117</v>
      </c>
      <c r="S22" s="55">
        <v>3.889633133846615</v>
      </c>
      <c r="T22" s="55">
        <v>3.8135484839974292</v>
      </c>
      <c r="U22" s="55">
        <v>4.3410972616286978</v>
      </c>
      <c r="V22" s="55">
        <v>4.9673346488974941</v>
      </c>
      <c r="W22" s="55">
        <v>5.9574679638246746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0.49050678662414182</v>
      </c>
      <c r="Q24" s="55">
        <v>0.49094486385212738</v>
      </c>
      <c r="R24" s="55">
        <v>0.49787759331573872</v>
      </c>
      <c r="S24" s="55">
        <v>0.46480641707941489</v>
      </c>
      <c r="T24" s="55">
        <v>0.43678116345539669</v>
      </c>
      <c r="U24" s="55">
        <v>0.4072412326860802</v>
      </c>
      <c r="V24" s="55">
        <v>0.43011716338297562</v>
      </c>
      <c r="W24" s="55">
        <v>0.2056330585144073</v>
      </c>
      <c r="DA24" s="101" t="s">
        <v>1030</v>
      </c>
    </row>
    <row r="25" spans="1:105" x14ac:dyDescent="0.25">
      <c r="A25" s="257" t="s">
        <v>174</v>
      </c>
      <c r="B25" s="258">
        <v>3.8738057149731011</v>
      </c>
      <c r="C25" s="258">
        <v>3.6624026414966222</v>
      </c>
      <c r="D25" s="258">
        <v>3.4027014701228229</v>
      </c>
      <c r="E25" s="258">
        <v>3.4536862117274492</v>
      </c>
      <c r="F25" s="258">
        <v>3.2007466661095001</v>
      </c>
      <c r="G25" s="258">
        <v>3.2489752639249372</v>
      </c>
      <c r="H25" s="258">
        <v>3.2971563636525589</v>
      </c>
      <c r="I25" s="258">
        <v>3.2258606418733971</v>
      </c>
      <c r="J25" s="258">
        <v>3.41539217836038</v>
      </c>
      <c r="K25" s="258">
        <v>3.363012331858632</v>
      </c>
      <c r="L25" s="258">
        <v>3.2882843762457719</v>
      </c>
      <c r="M25" s="258">
        <v>3.3612536520306642</v>
      </c>
      <c r="N25" s="258">
        <v>3.084408555827459</v>
      </c>
      <c r="O25" s="258">
        <v>3.031010125826838</v>
      </c>
      <c r="P25" s="258">
        <v>3.106377270389598</v>
      </c>
      <c r="Q25" s="258">
        <v>3.0759182729373769</v>
      </c>
      <c r="R25" s="258">
        <v>3.1046508033376732</v>
      </c>
      <c r="S25" s="258">
        <v>3.066070410404353</v>
      </c>
      <c r="T25" s="258">
        <v>3.1311491283993842</v>
      </c>
      <c r="U25" s="258">
        <v>3.152920890426413</v>
      </c>
      <c r="V25" s="258">
        <v>3.315236592279692</v>
      </c>
      <c r="W25" s="258">
        <v>3.3228065852940238</v>
      </c>
      <c r="DA25" s="273" t="s">
        <v>1031</v>
      </c>
    </row>
    <row r="26" spans="1:105" x14ac:dyDescent="0.25">
      <c r="A26" s="257" t="s">
        <v>177</v>
      </c>
      <c r="B26" s="258">
        <v>1.0704919016181951</v>
      </c>
      <c r="C26" s="258">
        <v>1.081990943743159</v>
      </c>
      <c r="D26" s="258">
        <v>1.0767107329051511</v>
      </c>
      <c r="E26" s="258">
        <v>1.026312981518291</v>
      </c>
      <c r="F26" s="258">
        <v>1.067219431595156</v>
      </c>
      <c r="G26" s="258">
        <v>1.111776366829843</v>
      </c>
      <c r="H26" s="258">
        <v>1.140588651737902</v>
      </c>
      <c r="I26" s="258">
        <v>1.1519359729914891</v>
      </c>
      <c r="J26" s="258">
        <v>1.199929674450543</v>
      </c>
      <c r="K26" s="258">
        <v>1.2119262090097851</v>
      </c>
      <c r="L26" s="258">
        <v>1.1904222160853779</v>
      </c>
      <c r="M26" s="258">
        <v>1.203728992637876</v>
      </c>
      <c r="N26" s="258">
        <v>1.1265497703623899</v>
      </c>
      <c r="O26" s="258">
        <v>1.1204849664703369</v>
      </c>
      <c r="P26" s="258">
        <v>1.150919961752934</v>
      </c>
      <c r="Q26" s="258">
        <v>1.1440728931410951</v>
      </c>
      <c r="R26" s="258">
        <v>1.156389400896332</v>
      </c>
      <c r="S26" s="258">
        <v>1.1476112126448741</v>
      </c>
      <c r="T26" s="258">
        <v>1.2036444458131059</v>
      </c>
      <c r="U26" s="258">
        <v>1.2047472321912629</v>
      </c>
      <c r="V26" s="258">
        <v>1.2242543231490211</v>
      </c>
      <c r="W26" s="258">
        <v>1.2032727089879931</v>
      </c>
      <c r="DA26" s="273" t="s">
        <v>1032</v>
      </c>
    </row>
    <row r="27" spans="1:105" x14ac:dyDescent="0.25">
      <c r="A27" s="129" t="s">
        <v>33</v>
      </c>
      <c r="B27" s="259">
        <v>1.6314989708719181</v>
      </c>
      <c r="C27" s="259">
        <v>1.649024255616746</v>
      </c>
      <c r="D27" s="259">
        <v>1.6409768724135909</v>
      </c>
      <c r="E27" s="259">
        <v>1.5641674361183431</v>
      </c>
      <c r="F27" s="259">
        <v>1.6265115146690949</v>
      </c>
      <c r="G27" s="259">
        <v>1.694419168964014</v>
      </c>
      <c r="H27" s="259">
        <v>1.7383309567177641</v>
      </c>
      <c r="I27" s="259">
        <v>1.7556250090309069</v>
      </c>
      <c r="J27" s="259">
        <v>1.828770517577414</v>
      </c>
      <c r="K27" s="259">
        <v>1.847054013003999</v>
      </c>
      <c r="L27" s="259">
        <v>1.814280535434694</v>
      </c>
      <c r="M27" s="259">
        <v>1.8345609244952801</v>
      </c>
      <c r="N27" s="259">
        <v>1.7169347925041749</v>
      </c>
      <c r="O27" s="259">
        <v>1.707691638685386</v>
      </c>
      <c r="P27" s="259">
        <v>1.7540765421180891</v>
      </c>
      <c r="Q27" s="259">
        <v>1.7436411662158331</v>
      </c>
      <c r="R27" s="259">
        <v>1.7624123215109171</v>
      </c>
      <c r="S27" s="259">
        <v>1.7490337942406731</v>
      </c>
      <c r="T27" s="259">
        <v>1.8344320696600449</v>
      </c>
      <c r="U27" s="259">
        <v>1.8361127875041829</v>
      </c>
      <c r="V27" s="259">
        <v>1.8658428571797949</v>
      </c>
      <c r="W27" s="259">
        <v>1.833865518669149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0.99999999999999978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0.99999999999999978</v>
      </c>
      <c r="N31" s="236">
        <f t="shared" si="6"/>
        <v>0.99999999999999989</v>
      </c>
      <c r="O31" s="236">
        <f t="shared" si="6"/>
        <v>0.99999999999999978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9.6779718291137417E-3</v>
      </c>
      <c r="C32" s="245">
        <f t="shared" si="8"/>
        <v>1.025929679863765E-2</v>
      </c>
      <c r="D32" s="245">
        <f t="shared" si="8"/>
        <v>1.094157449567762E-2</v>
      </c>
      <c r="E32" s="245">
        <f t="shared" si="8"/>
        <v>1.0361825723948051E-2</v>
      </c>
      <c r="F32" s="245">
        <f t="shared" si="8"/>
        <v>1.1547040045572467E-2</v>
      </c>
      <c r="G32" s="245">
        <f t="shared" si="8"/>
        <v>1.1768519194941301E-2</v>
      </c>
      <c r="H32" s="245">
        <f t="shared" si="8"/>
        <v>1.1958866600689894E-2</v>
      </c>
      <c r="I32" s="245">
        <f t="shared" si="8"/>
        <v>1.2330589936376991E-2</v>
      </c>
      <c r="J32" s="245">
        <f t="shared" si="8"/>
        <v>1.2112177143344225E-2</v>
      </c>
      <c r="K32" s="245">
        <f t="shared" si="8"/>
        <v>1.2426702249156846E-2</v>
      </c>
      <c r="L32" s="245">
        <f t="shared" si="8"/>
        <v>1.2388131399101412E-2</v>
      </c>
      <c r="M32" s="245">
        <f t="shared" si="8"/>
        <v>1.2280354262131119E-2</v>
      </c>
      <c r="N32" s="245">
        <f t="shared" si="8"/>
        <v>1.242670908498077E-2</v>
      </c>
      <c r="O32" s="245">
        <f t="shared" si="8"/>
        <v>1.2461767089534923E-2</v>
      </c>
      <c r="P32" s="245">
        <f t="shared" si="8"/>
        <v>1.2389848998867938E-2</v>
      </c>
      <c r="Q32" s="245">
        <f t="shared" si="8"/>
        <v>1.2514767705186598E-2</v>
      </c>
      <c r="R32" s="245">
        <f t="shared" si="8"/>
        <v>1.2436141877446677E-2</v>
      </c>
      <c r="S32" s="245">
        <f t="shared" si="8"/>
        <v>1.2491869761911098E-2</v>
      </c>
      <c r="T32" s="245">
        <f t="shared" si="8"/>
        <v>1.2829269022762265E-2</v>
      </c>
      <c r="U32" s="245">
        <f t="shared" si="8"/>
        <v>1.2689710489483834E-2</v>
      </c>
      <c r="V32" s="245">
        <f t="shared" si="8"/>
        <v>1.2224587013626893E-2</v>
      </c>
      <c r="W32" s="245">
        <f t="shared" si="8"/>
        <v>1.1983411871174599E-2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6.238015559366223E-3</v>
      </c>
      <c r="C33" s="246">
        <f t="shared" si="9"/>
        <v>6.6127133027538785E-3</v>
      </c>
      <c r="D33" s="246">
        <f t="shared" si="9"/>
        <v>7.0524809488159024E-3</v>
      </c>
      <c r="E33" s="246">
        <f t="shared" si="9"/>
        <v>6.6787991565530587E-3</v>
      </c>
      <c r="F33" s="246">
        <f t="shared" si="9"/>
        <v>7.4427386998813004E-3</v>
      </c>
      <c r="G33" s="246">
        <f t="shared" si="9"/>
        <v>7.5854948893219285E-3</v>
      </c>
      <c r="H33" s="246">
        <f t="shared" si="9"/>
        <v>7.7081848598767851E-3</v>
      </c>
      <c r="I33" s="246">
        <f t="shared" si="9"/>
        <v>7.9477821631898735E-3</v>
      </c>
      <c r="J33" s="246">
        <f t="shared" si="9"/>
        <v>7.8070024186979101E-3</v>
      </c>
      <c r="K33" s="246">
        <f t="shared" si="9"/>
        <v>8.0097321371259186E-3</v>
      </c>
      <c r="L33" s="246">
        <f t="shared" si="9"/>
        <v>7.9848709816036489E-3</v>
      </c>
      <c r="M33" s="246">
        <f t="shared" si="9"/>
        <v>7.9154023502379135E-3</v>
      </c>
      <c r="N33" s="246">
        <f t="shared" si="9"/>
        <v>8.009736543211899E-3</v>
      </c>
      <c r="O33" s="246">
        <f t="shared" si="9"/>
        <v>8.0323334655578848E-3</v>
      </c>
      <c r="P33" s="246">
        <f t="shared" si="9"/>
        <v>7.9859780745212029E-3</v>
      </c>
      <c r="Q33" s="246">
        <f t="shared" si="9"/>
        <v>8.0664954440104984E-3</v>
      </c>
      <c r="R33" s="246">
        <f t="shared" si="9"/>
        <v>8.015816526415977E-3</v>
      </c>
      <c r="S33" s="246">
        <f t="shared" si="9"/>
        <v>8.0517363881925774E-3</v>
      </c>
      <c r="T33" s="246">
        <f t="shared" si="9"/>
        <v>8.2692098295366456E-3</v>
      </c>
      <c r="U33" s="246">
        <f t="shared" si="9"/>
        <v>8.1792562403544301E-3</v>
      </c>
      <c r="V33" s="246">
        <f t="shared" si="9"/>
        <v>7.8794571160488713E-3</v>
      </c>
      <c r="W33" s="246">
        <f t="shared" si="9"/>
        <v>7.7240057138631335E-3</v>
      </c>
      <c r="DA33" s="277"/>
    </row>
    <row r="34" spans="1:105" x14ac:dyDescent="0.25">
      <c r="A34" s="241" t="s">
        <v>123</v>
      </c>
      <c r="B34" s="246">
        <f t="shared" ref="B34:W34" si="10">IF(B$8=0,0,B$8/B$5)</f>
        <v>1.2396385586002668E-2</v>
      </c>
      <c r="C34" s="246">
        <f t="shared" si="10"/>
        <v>1.3140997019083212E-2</v>
      </c>
      <c r="D34" s="246">
        <f t="shared" si="10"/>
        <v>1.4014917460119665E-2</v>
      </c>
      <c r="E34" s="246">
        <f t="shared" si="10"/>
        <v>1.3272324957860928E-2</v>
      </c>
      <c r="F34" s="246">
        <f t="shared" si="10"/>
        <v>1.4790450241994378E-2</v>
      </c>
      <c r="G34" s="246">
        <f t="shared" si="10"/>
        <v>1.5074139943030357E-2</v>
      </c>
      <c r="H34" s="246">
        <f t="shared" si="10"/>
        <v>1.5317953407113456E-2</v>
      </c>
      <c r="I34" s="246">
        <f t="shared" si="10"/>
        <v>1.5794088891061688E-2</v>
      </c>
      <c r="J34" s="246">
        <f t="shared" si="10"/>
        <v>1.5514326845133321E-2</v>
      </c>
      <c r="K34" s="246">
        <f t="shared" si="10"/>
        <v>1.5917197876065901E-2</v>
      </c>
      <c r="L34" s="246">
        <f t="shared" si="10"/>
        <v>1.5867792986476465E-2</v>
      </c>
      <c r="M34" s="246">
        <f t="shared" si="10"/>
        <v>1.5729742683083338E-2</v>
      </c>
      <c r="N34" s="246">
        <f t="shared" si="10"/>
        <v>1.5917206631981977E-2</v>
      </c>
      <c r="O34" s="246">
        <f t="shared" si="10"/>
        <v>1.5962111964421741E-2</v>
      </c>
      <c r="P34" s="246">
        <f t="shared" si="10"/>
        <v>1.5869993037206532E-2</v>
      </c>
      <c r="Q34" s="246">
        <f t="shared" si="10"/>
        <v>1.6029999749126524E-2</v>
      </c>
      <c r="R34" s="246">
        <f t="shared" si="10"/>
        <v>1.5929288970577788E-2</v>
      </c>
      <c r="S34" s="246">
        <f t="shared" si="10"/>
        <v>1.6000670077684857E-2</v>
      </c>
      <c r="T34" s="246">
        <f t="shared" si="10"/>
        <v>1.6432840310022307E-2</v>
      </c>
      <c r="U34" s="246">
        <f t="shared" si="10"/>
        <v>1.625408163817621E-2</v>
      </c>
      <c r="V34" s="246">
        <f t="shared" si="10"/>
        <v>1.5658311155100468E-2</v>
      </c>
      <c r="W34" s="246">
        <f t="shared" si="10"/>
        <v>1.5349393118099771E-2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0.34984131686022746</v>
      </c>
      <c r="C35" s="247">
        <f t="shared" si="11"/>
        <v>0.35233967977053687</v>
      </c>
      <c r="D35" s="247">
        <f t="shared" si="11"/>
        <v>0.35191274685526558</v>
      </c>
      <c r="E35" s="247">
        <f t="shared" si="11"/>
        <v>0.35207912467448638</v>
      </c>
      <c r="F35" s="247">
        <f t="shared" si="11"/>
        <v>0.34970985660565246</v>
      </c>
      <c r="G35" s="247">
        <f t="shared" si="11"/>
        <v>0.34965680745340499</v>
      </c>
      <c r="H35" s="247">
        <f t="shared" si="11"/>
        <v>0.3482351028396054</v>
      </c>
      <c r="I35" s="247">
        <f t="shared" si="11"/>
        <v>0.3472675670570412</v>
      </c>
      <c r="J35" s="247">
        <f t="shared" si="11"/>
        <v>0.34784497772584383</v>
      </c>
      <c r="K35" s="247">
        <f t="shared" si="11"/>
        <v>0.34727899217363106</v>
      </c>
      <c r="L35" s="247">
        <f t="shared" si="11"/>
        <v>0.35060174094680496</v>
      </c>
      <c r="M35" s="247">
        <f t="shared" si="11"/>
        <v>0.35007018723817984</v>
      </c>
      <c r="N35" s="247">
        <f t="shared" si="11"/>
        <v>0.35280353715636897</v>
      </c>
      <c r="O35" s="247">
        <f t="shared" si="11"/>
        <v>0.35818958948028029</v>
      </c>
      <c r="P35" s="247">
        <f t="shared" si="11"/>
        <v>0.36356104403841571</v>
      </c>
      <c r="Q35" s="247">
        <f t="shared" si="11"/>
        <v>0.36157841549936515</v>
      </c>
      <c r="R35" s="247">
        <f t="shared" si="11"/>
        <v>0.36474747268898322</v>
      </c>
      <c r="S35" s="247">
        <f t="shared" si="11"/>
        <v>0.36555057209524761</v>
      </c>
      <c r="T35" s="247">
        <f t="shared" si="11"/>
        <v>0.36480798198297271</v>
      </c>
      <c r="U35" s="247">
        <f t="shared" si="11"/>
        <v>0.36663653651288086</v>
      </c>
      <c r="V35" s="247">
        <f t="shared" si="11"/>
        <v>0.37016591754997397</v>
      </c>
      <c r="W35" s="247">
        <f t="shared" si="11"/>
        <v>0.36823156132049251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0.25818456908800835</v>
      </c>
      <c r="C36" s="260">
        <f t="shared" si="12"/>
        <v>0.25600682062073982</v>
      </c>
      <c r="D36" s="260">
        <f t="shared" si="12"/>
        <v>0.25491542018945329</v>
      </c>
      <c r="E36" s="260">
        <f t="shared" si="12"/>
        <v>0.25705781836522085</v>
      </c>
      <c r="F36" s="260">
        <f t="shared" si="12"/>
        <v>0.25530524019123624</v>
      </c>
      <c r="G36" s="260">
        <f t="shared" si="12"/>
        <v>0.25353753650016875</v>
      </c>
      <c r="H36" s="260">
        <f t="shared" si="12"/>
        <v>0.25485431898931205</v>
      </c>
      <c r="I36" s="260">
        <f t="shared" si="12"/>
        <v>0.25456142620044264</v>
      </c>
      <c r="J36" s="260">
        <f t="shared" si="12"/>
        <v>0.25415489522298529</v>
      </c>
      <c r="K36" s="260">
        <f t="shared" si="12"/>
        <v>0.25421411109734759</v>
      </c>
      <c r="L36" s="260">
        <f t="shared" si="12"/>
        <v>0.25227001220667322</v>
      </c>
      <c r="M36" s="260">
        <f t="shared" si="12"/>
        <v>0.25279876087774122</v>
      </c>
      <c r="N36" s="260">
        <f t="shared" si="12"/>
        <v>0.25082402135775539</v>
      </c>
      <c r="O36" s="260">
        <f t="shared" si="12"/>
        <v>0.24851491719330807</v>
      </c>
      <c r="P36" s="260">
        <f t="shared" si="12"/>
        <v>0.24652818019434761</v>
      </c>
      <c r="Q36" s="260">
        <f t="shared" si="12"/>
        <v>0.2480477935794409</v>
      </c>
      <c r="R36" s="260">
        <f t="shared" si="12"/>
        <v>0.24614204513063237</v>
      </c>
      <c r="S36" s="260">
        <f t="shared" si="12"/>
        <v>0.24604031142125038</v>
      </c>
      <c r="T36" s="260">
        <f t="shared" si="12"/>
        <v>0.24603615292157111</v>
      </c>
      <c r="U36" s="260">
        <f t="shared" si="12"/>
        <v>0.24482757449300221</v>
      </c>
      <c r="V36" s="260">
        <f t="shared" si="12"/>
        <v>0.24404423700363062</v>
      </c>
      <c r="W36" s="260">
        <f t="shared" si="12"/>
        <v>0.24395681870095373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0.30470980381178325</v>
      </c>
      <c r="C37" s="260">
        <f t="shared" si="13"/>
        <v>0.30152646849916459</v>
      </c>
      <c r="D37" s="260">
        <f t="shared" si="13"/>
        <v>0.29948794583881</v>
      </c>
      <c r="E37" s="260">
        <f t="shared" si="13"/>
        <v>0.30003808951326671</v>
      </c>
      <c r="F37" s="260">
        <f t="shared" si="13"/>
        <v>0.29796188524838518</v>
      </c>
      <c r="G37" s="260">
        <f t="shared" si="13"/>
        <v>0.29881814086367225</v>
      </c>
      <c r="H37" s="260">
        <f t="shared" si="13"/>
        <v>0.29771266382275685</v>
      </c>
      <c r="I37" s="260">
        <f t="shared" si="13"/>
        <v>0.29699463489805839</v>
      </c>
      <c r="J37" s="260">
        <f t="shared" si="13"/>
        <v>0.29806406521142054</v>
      </c>
      <c r="K37" s="260">
        <f t="shared" si="13"/>
        <v>0.29685550857167609</v>
      </c>
      <c r="L37" s="260">
        <f t="shared" si="13"/>
        <v>0.29594773820253184</v>
      </c>
      <c r="M37" s="260">
        <f t="shared" si="13"/>
        <v>0.296464475846628</v>
      </c>
      <c r="N37" s="260">
        <f t="shared" si="13"/>
        <v>0.29517702001797186</v>
      </c>
      <c r="O37" s="260">
        <f t="shared" si="13"/>
        <v>0.29222036328656936</v>
      </c>
      <c r="P37" s="260">
        <f t="shared" si="13"/>
        <v>0.28949328195300461</v>
      </c>
      <c r="Q37" s="260">
        <f t="shared" si="13"/>
        <v>0.28907378669608297</v>
      </c>
      <c r="R37" s="260">
        <f t="shared" si="13"/>
        <v>0.28849363247533744</v>
      </c>
      <c r="S37" s="260">
        <f t="shared" si="13"/>
        <v>0.28750343904672615</v>
      </c>
      <c r="T37" s="260">
        <f t="shared" si="13"/>
        <v>0.28641921632272305</v>
      </c>
      <c r="U37" s="260">
        <f t="shared" si="13"/>
        <v>0.28671938357446075</v>
      </c>
      <c r="V37" s="260">
        <f t="shared" si="13"/>
        <v>0.28660357341375786</v>
      </c>
      <c r="W37" s="260">
        <f t="shared" si="13"/>
        <v>0.2899462964738142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3.47286216126588E-2</v>
      </c>
      <c r="C38" s="260">
        <f t="shared" si="14"/>
        <v>3.4435690850938734E-2</v>
      </c>
      <c r="D38" s="260">
        <f t="shared" si="14"/>
        <v>3.4288885669126641E-2</v>
      </c>
      <c r="E38" s="260">
        <f t="shared" si="14"/>
        <v>3.4577061433668635E-2</v>
      </c>
      <c r="F38" s="260">
        <f t="shared" si="14"/>
        <v>3.43413206825234E-2</v>
      </c>
      <c r="G38" s="260">
        <f t="shared" si="14"/>
        <v>3.4103545385466609E-2</v>
      </c>
      <c r="H38" s="260">
        <f t="shared" si="14"/>
        <v>3.4280666895761203E-2</v>
      </c>
      <c r="I38" s="260">
        <f t="shared" si="14"/>
        <v>3.4241269642572722E-2</v>
      </c>
      <c r="J38" s="260">
        <f t="shared" si="14"/>
        <v>3.4186586821907596E-2</v>
      </c>
      <c r="K38" s="260">
        <f t="shared" si="14"/>
        <v>3.419455199853088E-2</v>
      </c>
      <c r="L38" s="260">
        <f t="shared" si="14"/>
        <v>3.3933049636130599E-2</v>
      </c>
      <c r="M38" s="260">
        <f t="shared" si="14"/>
        <v>3.4004172060644863E-2</v>
      </c>
      <c r="N38" s="260">
        <f t="shared" si="14"/>
        <v>3.3738548201653611E-2</v>
      </c>
      <c r="O38" s="260">
        <f t="shared" si="14"/>
        <v>3.3427948675606924E-2</v>
      </c>
      <c r="P38" s="260">
        <f t="shared" si="14"/>
        <v>3.3160711025717597E-2</v>
      </c>
      <c r="Q38" s="260">
        <f t="shared" si="14"/>
        <v>3.3365115488907832E-2</v>
      </c>
      <c r="R38" s="260">
        <f t="shared" si="14"/>
        <v>3.3108771676412116E-2</v>
      </c>
      <c r="S38" s="260">
        <f t="shared" si="14"/>
        <v>3.3095087390357145E-2</v>
      </c>
      <c r="T38" s="260">
        <f t="shared" si="14"/>
        <v>3.309452802709871E-2</v>
      </c>
      <c r="U38" s="260">
        <f t="shared" si="14"/>
        <v>3.2931961135191701E-2</v>
      </c>
      <c r="V38" s="260">
        <f t="shared" si="14"/>
        <v>3.2826593756500211E-2</v>
      </c>
      <c r="W38" s="260">
        <f t="shared" si="14"/>
        <v>3.2814835047734567E-2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9.5969470144095792E-3</v>
      </c>
      <c r="C39" s="260">
        <f t="shared" si="15"/>
        <v>1.0173405081159815E-2</v>
      </c>
      <c r="D39" s="260">
        <f t="shared" si="15"/>
        <v>1.0849970690486007E-2</v>
      </c>
      <c r="E39" s="260">
        <f t="shared" si="15"/>
        <v>1.0275075625466246E-2</v>
      </c>
      <c r="F39" s="260">
        <f t="shared" si="15"/>
        <v>1.145036723058662E-2</v>
      </c>
      <c r="G39" s="260">
        <f t="shared" si="15"/>
        <v>1.166999213741835E-2</v>
      </c>
      <c r="H39" s="260">
        <f t="shared" si="15"/>
        <v>1.1858745938271981E-2</v>
      </c>
      <c r="I39" s="260">
        <f t="shared" si="15"/>
        <v>1.2227357174138264E-2</v>
      </c>
      <c r="J39" s="260">
        <f t="shared" si="15"/>
        <v>1.2010772951842944E-2</v>
      </c>
      <c r="K39" s="260">
        <f t="shared" si="15"/>
        <v>1.2322664826347574E-2</v>
      </c>
      <c r="L39" s="260">
        <f t="shared" si="15"/>
        <v>1.2284416894774842E-2</v>
      </c>
      <c r="M39" s="260">
        <f t="shared" si="15"/>
        <v>1.2177542077289095E-2</v>
      </c>
      <c r="N39" s="260">
        <f t="shared" si="15"/>
        <v>1.2322671604941385E-2</v>
      </c>
      <c r="O39" s="260">
        <f t="shared" si="15"/>
        <v>1.2357436100858279E-2</v>
      </c>
      <c r="P39" s="260">
        <f t="shared" si="15"/>
        <v>1.2286120114648E-2</v>
      </c>
      <c r="Q39" s="260">
        <f t="shared" si="15"/>
        <v>1.2409992990785388E-2</v>
      </c>
      <c r="R39" s="260">
        <f t="shared" si="15"/>
        <v>1.2332025425255357E-2</v>
      </c>
      <c r="S39" s="260">
        <f t="shared" si="15"/>
        <v>1.2387286751065514E-2</v>
      </c>
      <c r="T39" s="260">
        <f t="shared" si="15"/>
        <v>1.2721861276210228E-2</v>
      </c>
      <c r="U39" s="260">
        <f t="shared" si="15"/>
        <v>1.2583471139006817E-2</v>
      </c>
      <c r="V39" s="260">
        <f t="shared" si="15"/>
        <v>1.2122241716998263E-2</v>
      </c>
      <c r="W39" s="260">
        <f t="shared" si="15"/>
        <v>1.18830857136356E-2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1.46263686384299E-2</v>
      </c>
      <c r="C40" s="262">
        <f t="shared" si="16"/>
        <v>1.5504928056985187E-2</v>
      </c>
      <c r="D40" s="262">
        <f t="shared" si="16"/>
        <v>1.6536057852245153E-2</v>
      </c>
      <c r="E40" s="262">
        <f t="shared" si="16"/>
        <v>1.5659880549529211E-2</v>
      </c>
      <c r="F40" s="262">
        <f t="shared" si="16"/>
        <v>1.7451101054168014E-2</v>
      </c>
      <c r="G40" s="262">
        <f t="shared" si="16"/>
        <v>1.7785823632575342E-2</v>
      </c>
      <c r="H40" s="262">
        <f t="shared" si="16"/>
        <v>1.8073496646612487E-2</v>
      </c>
      <c r="I40" s="262">
        <f t="shared" si="16"/>
        <v>1.8635284037118283E-2</v>
      </c>
      <c r="J40" s="262">
        <f t="shared" si="16"/>
        <v>1.8305195658824377E-2</v>
      </c>
      <c r="K40" s="262">
        <f t="shared" si="16"/>
        <v>1.8780539070118205E-2</v>
      </c>
      <c r="L40" s="262">
        <f t="shared" si="16"/>
        <v>1.8722246745903001E-2</v>
      </c>
      <c r="M40" s="262">
        <f t="shared" si="16"/>
        <v>1.8559362604064523E-2</v>
      </c>
      <c r="N40" s="262">
        <f t="shared" si="16"/>
        <v>1.8780549401134088E-2</v>
      </c>
      <c r="O40" s="262">
        <f t="shared" si="16"/>
        <v>1.8833532743862371E-2</v>
      </c>
      <c r="P40" s="262">
        <f t="shared" si="16"/>
        <v>1.8724842563270734E-2</v>
      </c>
      <c r="Q40" s="262">
        <f t="shared" si="16"/>
        <v>1.8913632847094061E-2</v>
      </c>
      <c r="R40" s="262">
        <f t="shared" si="16"/>
        <v>1.8794805228938938E-2</v>
      </c>
      <c r="S40" s="262">
        <f t="shared" si="16"/>
        <v>1.887902706756471E-2</v>
      </c>
      <c r="T40" s="262">
        <f t="shared" si="16"/>
        <v>1.9388940307102937E-2</v>
      </c>
      <c r="U40" s="262">
        <f t="shared" si="16"/>
        <v>1.9178024777443271E-2</v>
      </c>
      <c r="V40" s="262">
        <f t="shared" si="16"/>
        <v>1.8475081274362769E-2</v>
      </c>
      <c r="W40" s="262">
        <f t="shared" si="16"/>
        <v>1.8110592040231969E-2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0.37933547053521283</v>
      </c>
      <c r="C44" s="238">
        <f>IF(C$5=0,0,C$5/AGR_fec!C$5)</f>
        <v>0.38246268045447751</v>
      </c>
      <c r="D44" s="238">
        <f>IF(D$5=0,0,D$5/AGR_fec!D$5)</f>
        <v>0.38361459651355867</v>
      </c>
      <c r="E44" s="238">
        <f>IF(E$5=0,0,E$5/AGR_fec!E$5)</f>
        <v>0.38259284076540939</v>
      </c>
      <c r="F44" s="238">
        <f>IF(F$5=0,0,F$5/AGR_fec!F$5)</f>
        <v>0.38351083063058555</v>
      </c>
      <c r="G44" s="238">
        <f>IF(G$5=0,0,G$5/AGR_fec!G$5)</f>
        <v>0.38396502256875831</v>
      </c>
      <c r="H44" s="238">
        <f>IF(H$5=0,0,H$5/AGR_fec!H$5)</f>
        <v>0.38343537651542475</v>
      </c>
      <c r="I44" s="238">
        <f>IF(I$5=0,0,I$5/AGR_fec!I$5)</f>
        <v>0.38359331398222368</v>
      </c>
      <c r="J44" s="238">
        <f>IF(J$5=0,0,J$5/AGR_fec!J$5)</f>
        <v>0.38345366477477977</v>
      </c>
      <c r="K44" s="238">
        <f>IF(K$5=0,0,K$5/AGR_fec!K$5)</f>
        <v>0.38377321610039844</v>
      </c>
      <c r="L44" s="238">
        <f>IF(L$5=0,0,L$5/AGR_fec!L$5)</f>
        <v>0.38512894214991028</v>
      </c>
      <c r="M44" s="238">
        <f>IF(M$5=0,0,M$5/AGR_fec!M$5)</f>
        <v>0.38463289224826619</v>
      </c>
      <c r="N44" s="238">
        <f>IF(N$5=0,0,N$5/AGR_fec!N$5)</f>
        <v>0.38585994125960227</v>
      </c>
      <c r="O44" s="238">
        <f>IF(O$5=0,0,O$5/AGR_fec!O$5)</f>
        <v>0.38793520306747326</v>
      </c>
      <c r="P44" s="238">
        <f>IF(P$5=0,0,P$5/AGR_fec!P$5)</f>
        <v>0.38878130425460533</v>
      </c>
      <c r="Q44" s="238">
        <f>IF(Q$5=0,0,Q$5/AGR_fec!Q$5)</f>
        <v>0.38827194733863007</v>
      </c>
      <c r="R44" s="238">
        <f>IF(R$5=0,0,R$5/AGR_fec!R$5)</f>
        <v>0.39000009348636278</v>
      </c>
      <c r="S44" s="238">
        <f>IF(S$5=0,0,S$5/AGR_fec!S$5)</f>
        <v>0.39013285730896508</v>
      </c>
      <c r="T44" s="238">
        <f>IF(T$5=0,0,T$5/AGR_fec!T$5)</f>
        <v>0.39042774379072898</v>
      </c>
      <c r="U44" s="238">
        <f>IF(U$5=0,0,U$5/AGR_fec!U$5)</f>
        <v>0.39116270965840605</v>
      </c>
      <c r="V44" s="238">
        <f>IF(V$5=0,0,V$5/AGR_fec!V$5)</f>
        <v>0.39196778175626118</v>
      </c>
      <c r="W44" s="238">
        <f>IF(W$5=0,0,W$5/AGR_fec!W$5)</f>
        <v>0.39180587450949861</v>
      </c>
      <c r="DA44" s="287"/>
    </row>
    <row r="45" spans="1:105" x14ac:dyDescent="0.25">
      <c r="A45" s="239" t="s">
        <v>125</v>
      </c>
      <c r="B45" s="251">
        <f>IF(B$6=0,0,B$6/AGR_fec!B$6)</f>
        <v>0.4850299756904719</v>
      </c>
      <c r="C45" s="251">
        <f>IF(C$6=0,0,C$6/AGR_fec!C$6)</f>
        <v>0.48502997569047207</v>
      </c>
      <c r="D45" s="251">
        <f>IF(D$6=0,0,D$6/AGR_fec!D$6)</f>
        <v>0.48502997569047174</v>
      </c>
      <c r="E45" s="251">
        <f>IF(E$6=0,0,E$6/AGR_fec!E$6)</f>
        <v>0.48502997569047174</v>
      </c>
      <c r="F45" s="251">
        <f>IF(F$6=0,0,F$6/AGR_fec!F$6)</f>
        <v>0.48502997569047201</v>
      </c>
      <c r="G45" s="251">
        <f>IF(G$6=0,0,G$6/AGR_fec!G$6)</f>
        <v>0.4850299756904719</v>
      </c>
      <c r="H45" s="251">
        <f>IF(H$6=0,0,H$6/AGR_fec!H$6)</f>
        <v>0.48502997569047196</v>
      </c>
      <c r="I45" s="251">
        <f>IF(I$6=0,0,I$6/AGR_fec!I$6)</f>
        <v>0.48502997569047168</v>
      </c>
      <c r="J45" s="251">
        <f>IF(J$6=0,0,J$6/AGR_fec!J$6)</f>
        <v>0.48502997569047179</v>
      </c>
      <c r="K45" s="251">
        <f>IF(K$6=0,0,K$6/AGR_fec!K$6)</f>
        <v>0.48502997569047174</v>
      </c>
      <c r="L45" s="251">
        <f>IF(L$6=0,0,L$6/AGR_fec!L$6)</f>
        <v>0.48502997569047168</v>
      </c>
      <c r="M45" s="251">
        <f>IF(M$6=0,0,M$6/AGR_fec!M$6)</f>
        <v>0.48502997569047174</v>
      </c>
      <c r="N45" s="251">
        <f>IF(N$6=0,0,N$6/AGR_fec!N$6)</f>
        <v>0.48502997569047201</v>
      </c>
      <c r="O45" s="251">
        <f>IF(O$6=0,0,O$6/AGR_fec!O$6)</f>
        <v>0.48502997569047207</v>
      </c>
      <c r="P45" s="251">
        <f>IF(P$6=0,0,P$6/AGR_fec!P$6)</f>
        <v>0.48502997569047179</v>
      </c>
      <c r="Q45" s="251">
        <f>IF(Q$6=0,0,Q$6/AGR_fec!Q$6)</f>
        <v>0.48502997569047179</v>
      </c>
      <c r="R45" s="251">
        <f>IF(R$6=0,0,R$6/AGR_fec!R$6)</f>
        <v>0.48502997569047196</v>
      </c>
      <c r="S45" s="251">
        <f>IF(S$6=0,0,S$6/AGR_fec!S$6)</f>
        <v>0.48502997569047201</v>
      </c>
      <c r="T45" s="251">
        <f>IF(T$6=0,0,T$6/AGR_fec!T$6)</f>
        <v>0.48502997569047179</v>
      </c>
      <c r="U45" s="251">
        <f>IF(U$6=0,0,U$6/AGR_fec!U$6)</f>
        <v>0.48502997569047179</v>
      </c>
      <c r="V45" s="251">
        <f>IF(V$6=0,0,V$6/AGR_fec!V$6)</f>
        <v>0.48502997569047213</v>
      </c>
      <c r="W45" s="251">
        <f>IF(W$6=0,0,W$6/AGR_fec!W$6)</f>
        <v>0.48502997569047207</v>
      </c>
      <c r="DA45" s="288"/>
    </row>
    <row r="46" spans="1:105" x14ac:dyDescent="0.25">
      <c r="A46" s="241" t="s">
        <v>124</v>
      </c>
      <c r="B46" s="252">
        <f>IF(B$7=0,0,B$7/AGR_fec!B$7)</f>
        <v>0.48096926290888842</v>
      </c>
      <c r="C46" s="252">
        <f>IF(C$7=0,0,C$7/AGR_fec!C$7)</f>
        <v>0.48096926290888853</v>
      </c>
      <c r="D46" s="252">
        <f>IF(D$7=0,0,D$7/AGR_fec!D$7)</f>
        <v>0.48096926290888864</v>
      </c>
      <c r="E46" s="252">
        <f>IF(E$7=0,0,E$7/AGR_fec!E$7)</f>
        <v>0.48096926290888842</v>
      </c>
      <c r="F46" s="252">
        <f>IF(F$7=0,0,F$7/AGR_fec!F$7)</f>
        <v>0.48096926290888853</v>
      </c>
      <c r="G46" s="252">
        <f>IF(G$7=0,0,G$7/AGR_fec!G$7)</f>
        <v>0.48096926290888858</v>
      </c>
      <c r="H46" s="252">
        <f>IF(H$7=0,0,H$7/AGR_fec!H$7)</f>
        <v>0.48096926290888836</v>
      </c>
      <c r="I46" s="252">
        <f>IF(I$7=0,0,I$7/AGR_fec!I$7)</f>
        <v>0.48096926290888847</v>
      </c>
      <c r="J46" s="252">
        <f>IF(J$7=0,0,J$7/AGR_fec!J$7)</f>
        <v>0.48096926290888847</v>
      </c>
      <c r="K46" s="252">
        <f>IF(K$7=0,0,K$7/AGR_fec!K$7)</f>
        <v>0.4809692629088882</v>
      </c>
      <c r="L46" s="252">
        <f>IF(L$7=0,0,L$7/AGR_fec!L$7)</f>
        <v>0.48096926290888842</v>
      </c>
      <c r="M46" s="252">
        <f>IF(M$7=0,0,M$7/AGR_fec!M$7)</f>
        <v>0.48096926290888847</v>
      </c>
      <c r="N46" s="252">
        <f>IF(N$7=0,0,N$7/AGR_fec!N$7)</f>
        <v>0.48096926290888853</v>
      </c>
      <c r="O46" s="252">
        <f>IF(O$7=0,0,O$7/AGR_fec!O$7)</f>
        <v>0.48096926290888853</v>
      </c>
      <c r="P46" s="252">
        <f>IF(P$7=0,0,P$7/AGR_fec!P$7)</f>
        <v>0.48096926290888858</v>
      </c>
      <c r="Q46" s="252">
        <f>IF(Q$7=0,0,Q$7/AGR_fec!Q$7)</f>
        <v>0.48096926290888858</v>
      </c>
      <c r="R46" s="252">
        <f>IF(R$7=0,0,R$7/AGR_fec!R$7)</f>
        <v>0.48096926290888831</v>
      </c>
      <c r="S46" s="252">
        <f>IF(S$7=0,0,S$7/AGR_fec!S$7)</f>
        <v>0.48096926290888825</v>
      </c>
      <c r="T46" s="252">
        <f>IF(T$7=0,0,T$7/AGR_fec!T$7)</f>
        <v>0.48096926290888836</v>
      </c>
      <c r="U46" s="252">
        <f>IF(U$7=0,0,U$7/AGR_fec!U$7)</f>
        <v>0.48096926290888858</v>
      </c>
      <c r="V46" s="252">
        <f>IF(V$7=0,0,V$7/AGR_fec!V$7)</f>
        <v>0.48096926290888836</v>
      </c>
      <c r="W46" s="252">
        <f>IF(W$7=0,0,W$7/AGR_fec!W$7)</f>
        <v>0.48096926290888842</v>
      </c>
      <c r="DA46" s="289"/>
    </row>
    <row r="47" spans="1:105" x14ac:dyDescent="0.25">
      <c r="A47" s="241" t="s">
        <v>123</v>
      </c>
      <c r="B47" s="252">
        <f>IF(B$8=0,0,B$8/AGR_fec!B$8)</f>
        <v>0.69029828260103698</v>
      </c>
      <c r="C47" s="252">
        <f>IF(C$8=0,0,C$8/AGR_fec!C$8)</f>
        <v>0.69029828260103687</v>
      </c>
      <c r="D47" s="252">
        <f>IF(D$8=0,0,D$8/AGR_fec!D$8)</f>
        <v>0.69029828260103676</v>
      </c>
      <c r="E47" s="252">
        <f>IF(E$8=0,0,E$8/AGR_fec!E$8)</f>
        <v>0.69029828260103709</v>
      </c>
      <c r="F47" s="252">
        <f>IF(F$8=0,0,F$8/AGR_fec!F$8)</f>
        <v>0.69029828260103721</v>
      </c>
      <c r="G47" s="252">
        <f>IF(G$8=0,0,G$8/AGR_fec!G$8)</f>
        <v>0.69029828260103709</v>
      </c>
      <c r="H47" s="252">
        <f>IF(H$8=0,0,H$8/AGR_fec!H$8)</f>
        <v>0.69029828260103709</v>
      </c>
      <c r="I47" s="252">
        <f>IF(I$8=0,0,I$8/AGR_fec!I$8)</f>
        <v>0.69029828260103709</v>
      </c>
      <c r="J47" s="252">
        <f>IF(J$8=0,0,J$8/AGR_fec!J$8)</f>
        <v>0.69029828260103698</v>
      </c>
      <c r="K47" s="252">
        <f>IF(K$8=0,0,K$8/AGR_fec!K$8)</f>
        <v>0.69029828260103732</v>
      </c>
      <c r="L47" s="252">
        <f>IF(L$8=0,0,L$8/AGR_fec!L$8)</f>
        <v>0.69029828260103687</v>
      </c>
      <c r="M47" s="252">
        <f>IF(M$8=0,0,M$8/AGR_fec!M$8)</f>
        <v>0.69029828260103676</v>
      </c>
      <c r="N47" s="252">
        <f>IF(N$8=0,0,N$8/AGR_fec!N$8)</f>
        <v>0.69029828260103709</v>
      </c>
      <c r="O47" s="252">
        <f>IF(O$8=0,0,O$8/AGR_fec!O$8)</f>
        <v>0.69029828260103721</v>
      </c>
      <c r="P47" s="252">
        <f>IF(P$8=0,0,P$8/AGR_fec!P$8)</f>
        <v>0.69029828260103721</v>
      </c>
      <c r="Q47" s="252">
        <f>IF(Q$8=0,0,Q$8/AGR_fec!Q$8)</f>
        <v>0.69029828260103698</v>
      </c>
      <c r="R47" s="252">
        <f>IF(R$8=0,0,R$8/AGR_fec!R$8)</f>
        <v>0.69029828260103665</v>
      </c>
      <c r="S47" s="252">
        <f>IF(S$8=0,0,S$8/AGR_fec!S$8)</f>
        <v>0.69029828260103709</v>
      </c>
      <c r="T47" s="252">
        <f>IF(T$8=0,0,T$8/AGR_fec!T$8)</f>
        <v>0.69029828260103698</v>
      </c>
      <c r="U47" s="252">
        <f>IF(U$8=0,0,U$8/AGR_fec!U$8)</f>
        <v>0.69029828260103687</v>
      </c>
      <c r="V47" s="252">
        <f>IF(V$8=0,0,V$8/AGR_fec!V$8)</f>
        <v>0.69029828260103732</v>
      </c>
      <c r="W47" s="252">
        <f>IF(W$8=0,0,W$8/AGR_fec!W$8)</f>
        <v>0.69029828260103709</v>
      </c>
      <c r="DA47" s="289"/>
    </row>
    <row r="48" spans="1:105" x14ac:dyDescent="0.25">
      <c r="A48" s="243" t="s">
        <v>122</v>
      </c>
      <c r="B48" s="253">
        <f>IF(B$9=0,0,B$9/AGR_fec!B$9)</f>
        <v>0.62739535463376572</v>
      </c>
      <c r="C48" s="253">
        <f>IF(C$9=0,0,C$9/AGR_fec!C$9)</f>
        <v>0.63086356535773114</v>
      </c>
      <c r="D48" s="253">
        <f>IF(D$9=0,0,D$9/AGR_fec!D$9)</f>
        <v>0.63182562704594414</v>
      </c>
      <c r="E48" s="253">
        <f>IF(E$9=0,0,E$9/AGR_fec!E$9)</f>
        <v>0.62992848574174154</v>
      </c>
      <c r="F48" s="253">
        <f>IF(F$9=0,0,F$9/AGR_fec!F$9)</f>
        <v>0.63057365174472746</v>
      </c>
      <c r="G48" s="253">
        <f>IF(G$9=0,0,G$9/AGR_fec!G$9)</f>
        <v>0.63206907834761128</v>
      </c>
      <c r="H48" s="253">
        <f>IF(H$9=0,0,H$9/AGR_fec!H$9)</f>
        <v>0.63030441131387271</v>
      </c>
      <c r="I48" s="253">
        <f>IF(I$9=0,0,I$9/AGR_fec!I$9)</f>
        <v>0.63017667189041215</v>
      </c>
      <c r="J48" s="253">
        <f>IF(J$9=0,0,J$9/AGR_fec!J$9)</f>
        <v>0.63072828776855527</v>
      </c>
      <c r="K48" s="253">
        <f>IF(K$9=0,0,K$9/AGR_fec!K$9)</f>
        <v>0.63051591853572664</v>
      </c>
      <c r="L48" s="253">
        <f>IF(L$9=0,0,L$9/AGR_fec!L$9)</f>
        <v>0.6334109956903281</v>
      </c>
      <c r="M48" s="253">
        <f>IF(M$9=0,0,M$9/AGR_fec!M$9)</f>
        <v>0.63271413815056865</v>
      </c>
      <c r="N48" s="253">
        <f>IF(N$9=0,0,N$9/AGR_fec!N$9)</f>
        <v>0.63523886009432506</v>
      </c>
      <c r="O48" s="253">
        <f>IF(O$9=0,0,O$9/AGR_fec!O$9)</f>
        <v>0.63885765329308197</v>
      </c>
      <c r="P48" s="253">
        <f>IF(P$9=0,0,P$9/AGR_fec!P$9)</f>
        <v>0.6446815621841151</v>
      </c>
      <c r="Q48" s="253">
        <f>IF(Q$9=0,0,Q$9/AGR_fec!Q$9)</f>
        <v>0.64311861856991281</v>
      </c>
      <c r="R48" s="253">
        <f>IF(R$9=0,0,R$9/AGR_fec!R$9)</f>
        <v>0.64577935823331989</v>
      </c>
      <c r="S48" s="253">
        <f>IF(S$9=0,0,S$9/AGR_fec!S$9)</f>
        <v>0.64572771050992739</v>
      </c>
      <c r="T48" s="253">
        <f>IF(T$9=0,0,T$9/AGR_fec!T$9)</f>
        <v>0.6453022973120619</v>
      </c>
      <c r="U48" s="253">
        <f>IF(U$9=0,0,U$9/AGR_fec!U$9)</f>
        <v>0.64663603296623118</v>
      </c>
      <c r="V48" s="253">
        <f>IF(V$9=0,0,V$9/AGR_fec!V$9)</f>
        <v>0.64824923772289056</v>
      </c>
      <c r="W48" s="253">
        <f>IF(W$9=0,0,W$9/AGR_fec!W$9)</f>
        <v>0.64692845605317417</v>
      </c>
      <c r="DA48" s="290"/>
    </row>
    <row r="49" spans="1:105" x14ac:dyDescent="0.25">
      <c r="A49" s="128" t="s">
        <v>175</v>
      </c>
      <c r="B49" s="265">
        <f>IF(B$16=0,0,B$16/AGR_fec!B$16)</f>
        <v>0.3470776094161892</v>
      </c>
      <c r="C49" s="265">
        <f>IF(C$16=0,0,C$16/AGR_fec!C$16)</f>
        <v>0.34707760941618909</v>
      </c>
      <c r="D49" s="265">
        <f>IF(D$16=0,0,D$16/AGR_fec!D$16)</f>
        <v>0.34707760941618915</v>
      </c>
      <c r="E49" s="265">
        <f>IF(E$16=0,0,E$16/AGR_fec!E$16)</f>
        <v>0.34707760941618915</v>
      </c>
      <c r="F49" s="265">
        <f>IF(F$16=0,0,F$16/AGR_fec!F$16)</f>
        <v>0.34707760941618909</v>
      </c>
      <c r="G49" s="265">
        <f>IF(G$16=0,0,G$16/AGR_fec!G$16)</f>
        <v>0.3470776094161892</v>
      </c>
      <c r="H49" s="265">
        <f>IF(H$16=0,0,H$16/AGR_fec!H$16)</f>
        <v>0.3470776094161892</v>
      </c>
      <c r="I49" s="265">
        <f>IF(I$16=0,0,I$16/AGR_fec!I$16)</f>
        <v>0.34707760941618915</v>
      </c>
      <c r="J49" s="265">
        <f>IF(J$16=0,0,J$16/AGR_fec!J$16)</f>
        <v>0.3470776094161892</v>
      </c>
      <c r="K49" s="265">
        <f>IF(K$16=0,0,K$16/AGR_fec!K$16)</f>
        <v>0.34707760941618915</v>
      </c>
      <c r="L49" s="265">
        <f>IF(L$16=0,0,L$16/AGR_fec!L$16)</f>
        <v>0.34707760941618904</v>
      </c>
      <c r="M49" s="265">
        <f>IF(M$16=0,0,M$16/AGR_fec!M$16)</f>
        <v>0.34707760941618915</v>
      </c>
      <c r="N49" s="265">
        <f>IF(N$16=0,0,N$16/AGR_fec!N$16)</f>
        <v>0.34707760941618904</v>
      </c>
      <c r="O49" s="265">
        <f>IF(O$16=0,0,O$16/AGR_fec!O$16)</f>
        <v>0.34707760941618904</v>
      </c>
      <c r="P49" s="265">
        <f>IF(P$16=0,0,P$16/AGR_fec!P$16)</f>
        <v>0.34707760941618915</v>
      </c>
      <c r="Q49" s="265">
        <f>IF(Q$16=0,0,Q$16/AGR_fec!Q$16)</f>
        <v>0.34707760941618909</v>
      </c>
      <c r="R49" s="265">
        <f>IF(R$16=0,0,R$16/AGR_fec!R$16)</f>
        <v>0.34707760941618909</v>
      </c>
      <c r="S49" s="265">
        <f>IF(S$16=0,0,S$16/AGR_fec!S$16)</f>
        <v>0.34707760941618904</v>
      </c>
      <c r="T49" s="265">
        <f>IF(T$16=0,0,T$16/AGR_fec!T$16)</f>
        <v>0.3470776094161892</v>
      </c>
      <c r="U49" s="265">
        <f>IF(U$16=0,0,U$16/AGR_fec!U$16)</f>
        <v>0.34707760941618915</v>
      </c>
      <c r="V49" s="265">
        <f>IF(V$16=0,0,V$16/AGR_fec!V$16)</f>
        <v>0.3470776094161892</v>
      </c>
      <c r="W49" s="265">
        <f>IF(W$16=0,0,W$16/AGR_fec!W$16)</f>
        <v>0.34707760941618915</v>
      </c>
      <c r="DA49" s="291"/>
    </row>
    <row r="50" spans="1:105" x14ac:dyDescent="0.25">
      <c r="A50" s="128" t="s">
        <v>121</v>
      </c>
      <c r="B50" s="265">
        <f>IF(B$17=0,0,B$17/AGR_fec!B$17)</f>
        <v>0.27904112797120123</v>
      </c>
      <c r="C50" s="265">
        <f>IF(C$17=0,0,C$17/AGR_fec!C$17)</f>
        <v>0.28153025822000455</v>
      </c>
      <c r="D50" s="265">
        <f>IF(D$17=0,0,D$17/AGR_fec!D$17)</f>
        <v>0.28215855299204179</v>
      </c>
      <c r="E50" s="265">
        <f>IF(E$17=0,0,E$17/AGR_fec!E$17)</f>
        <v>0.28171136570187733</v>
      </c>
      <c r="F50" s="265">
        <f>IF(F$17=0,0,F$17/AGR_fec!F$17)</f>
        <v>0.28191269517371376</v>
      </c>
      <c r="G50" s="265">
        <f>IF(G$17=0,0,G$17/AGR_fec!G$17)</f>
        <v>0.28216212770656379</v>
      </c>
      <c r="H50" s="265">
        <f>IF(H$17=0,0,H$17/AGR_fec!H$17)</f>
        <v>0.28169836990630975</v>
      </c>
      <c r="I50" s="265">
        <f>IF(I$17=0,0,I$17/AGR_fec!I$17)</f>
        <v>0.28167898389899437</v>
      </c>
      <c r="J50" s="265">
        <f>IF(J$17=0,0,J$17/AGR_fec!J$17)</f>
        <v>0.28158127873020489</v>
      </c>
      <c r="K50" s="265">
        <f>IF(K$17=0,0,K$17/AGR_fec!K$17)</f>
        <v>0.2817451701585989</v>
      </c>
      <c r="L50" s="265">
        <f>IF(L$17=0,0,L$17/AGR_fec!L$17)</f>
        <v>0.28217597807928635</v>
      </c>
      <c r="M50" s="265">
        <f>IF(M$17=0,0,M$17/AGR_fec!M$17)</f>
        <v>0.28189619341325545</v>
      </c>
      <c r="N50" s="265">
        <f>IF(N$17=0,0,N$17/AGR_fec!N$17)</f>
        <v>0.2820390187593243</v>
      </c>
      <c r="O50" s="265">
        <f>IF(O$17=0,0,O$17/AGR_fec!O$17)</f>
        <v>0.28233753410724571</v>
      </c>
      <c r="P50" s="265">
        <f>IF(P$17=0,0,P$17/AGR_fec!P$17)</f>
        <v>0.28005752431328257</v>
      </c>
      <c r="Q50" s="265">
        <f>IF(Q$17=0,0,Q$17/AGR_fec!Q$17)</f>
        <v>0.28003660565514471</v>
      </c>
      <c r="R50" s="265">
        <f>IF(R$17=0,0,R$17/AGR_fec!R$17)</f>
        <v>0.28128580126133224</v>
      </c>
      <c r="S50" s="265">
        <f>IF(S$17=0,0,S$17/AGR_fec!S$17)</f>
        <v>0.28097413936985871</v>
      </c>
      <c r="T50" s="265">
        <f>IF(T$17=0,0,T$17/AGR_fec!T$17)</f>
        <v>0.28118473405234157</v>
      </c>
      <c r="U50" s="265">
        <f>IF(U$17=0,0,U$17/AGR_fec!U$17)</f>
        <v>0.28172399200794435</v>
      </c>
      <c r="V50" s="265">
        <f>IF(V$17=0,0,V$17/AGR_fec!V$17)</f>
        <v>0.28210883689042693</v>
      </c>
      <c r="W50" s="265">
        <f>IF(W$17=0,0,W$17/AGR_fec!W$17)</f>
        <v>0.28381654289277403</v>
      </c>
      <c r="DA50" s="291"/>
    </row>
    <row r="51" spans="1:105" x14ac:dyDescent="0.25">
      <c r="A51" s="128" t="s">
        <v>174</v>
      </c>
      <c r="B51" s="265">
        <f>IF(B$25=0,0,B$25/AGR_fec!B$25)</f>
        <v>0.24295432659133248</v>
      </c>
      <c r="C51" s="265">
        <f>IF(C$25=0,0,C$25/AGR_fec!C$25)</f>
        <v>0.24295432659133248</v>
      </c>
      <c r="D51" s="265">
        <f>IF(D$25=0,0,D$25/AGR_fec!D$25)</f>
        <v>0.24295432659133237</v>
      </c>
      <c r="E51" s="265">
        <f>IF(E$25=0,0,E$25/AGR_fec!E$25)</f>
        <v>0.24295432659133237</v>
      </c>
      <c r="F51" s="265">
        <f>IF(F$25=0,0,F$25/AGR_fec!F$25)</f>
        <v>0.24295432659133237</v>
      </c>
      <c r="G51" s="265">
        <f>IF(G$25=0,0,G$25/AGR_fec!G$25)</f>
        <v>0.24295432659133248</v>
      </c>
      <c r="H51" s="265">
        <f>IF(H$25=0,0,H$25/AGR_fec!H$25)</f>
        <v>0.24295432659133229</v>
      </c>
      <c r="I51" s="265">
        <f>IF(I$25=0,0,I$25/AGR_fec!I$25)</f>
        <v>0.24295432659133243</v>
      </c>
      <c r="J51" s="265">
        <f>IF(J$25=0,0,J$25/AGR_fec!J$25)</f>
        <v>0.2429543265913324</v>
      </c>
      <c r="K51" s="265">
        <f>IF(K$25=0,0,K$25/AGR_fec!K$25)</f>
        <v>0.2429543265913324</v>
      </c>
      <c r="L51" s="265">
        <f>IF(L$25=0,0,L$25/AGR_fec!L$25)</f>
        <v>0.24295432659133243</v>
      </c>
      <c r="M51" s="265">
        <f>IF(M$25=0,0,M$25/AGR_fec!M$25)</f>
        <v>0.24295432659133248</v>
      </c>
      <c r="N51" s="265">
        <f>IF(N$25=0,0,N$25/AGR_fec!N$25)</f>
        <v>0.24295432659133229</v>
      </c>
      <c r="O51" s="265">
        <f>IF(O$25=0,0,O$25/AGR_fec!O$25)</f>
        <v>0.24295432659133245</v>
      </c>
      <c r="P51" s="265">
        <f>IF(P$25=0,0,P$25/AGR_fec!P$25)</f>
        <v>0.24295432659133245</v>
      </c>
      <c r="Q51" s="265">
        <f>IF(Q$25=0,0,Q$25/AGR_fec!Q$25)</f>
        <v>0.24295432659133234</v>
      </c>
      <c r="R51" s="265">
        <f>IF(R$25=0,0,R$25/AGR_fec!R$25)</f>
        <v>0.24295432659133251</v>
      </c>
      <c r="S51" s="265">
        <f>IF(S$25=0,0,S$25/AGR_fec!S$25)</f>
        <v>0.24295432659133245</v>
      </c>
      <c r="T51" s="265">
        <f>IF(T$25=0,0,T$25/AGR_fec!T$25)</f>
        <v>0.24295432659133226</v>
      </c>
      <c r="U51" s="265">
        <f>IF(U$25=0,0,U$25/AGR_fec!U$25)</f>
        <v>0.24295432659133234</v>
      </c>
      <c r="V51" s="265">
        <f>IF(V$25=0,0,V$25/AGR_fec!V$25)</f>
        <v>0.2429543265913324</v>
      </c>
      <c r="W51" s="265">
        <f>IF(W$25=0,0,W$25/AGR_fec!W$25)</f>
        <v>0.24295432659133234</v>
      </c>
      <c r="DA51" s="291"/>
    </row>
    <row r="52" spans="1:105" x14ac:dyDescent="0.25">
      <c r="A52" s="128" t="s">
        <v>177</v>
      </c>
      <c r="B52" s="265">
        <f>IF(B$26=0,0,B$26/AGR_fec!B$26)</f>
        <v>0.48096926290888858</v>
      </c>
      <c r="C52" s="265">
        <f>IF(C$26=0,0,C$26/AGR_fec!C$26)</f>
        <v>0.48096926290888853</v>
      </c>
      <c r="D52" s="265">
        <f>IF(D$26=0,0,D$26/AGR_fec!D$26)</f>
        <v>0.48096926290888864</v>
      </c>
      <c r="E52" s="265">
        <f>IF(E$26=0,0,E$26/AGR_fec!E$26)</f>
        <v>0.48096926290888831</v>
      </c>
      <c r="F52" s="265">
        <f>IF(F$26=0,0,F$26/AGR_fec!F$26)</f>
        <v>0.48096926290888831</v>
      </c>
      <c r="G52" s="265">
        <f>IF(G$26=0,0,G$26/AGR_fec!G$26)</f>
        <v>0.4809692629088882</v>
      </c>
      <c r="H52" s="265">
        <f>IF(H$26=0,0,H$26/AGR_fec!H$26)</f>
        <v>0.48096926290888842</v>
      </c>
      <c r="I52" s="265">
        <f>IF(I$26=0,0,I$26/AGR_fec!I$26)</f>
        <v>0.48096926290888831</v>
      </c>
      <c r="J52" s="265">
        <f>IF(J$26=0,0,J$26/AGR_fec!J$26)</f>
        <v>0.48096926290888853</v>
      </c>
      <c r="K52" s="265">
        <f>IF(K$26=0,0,K$26/AGR_fec!K$26)</f>
        <v>0.48096926290888847</v>
      </c>
      <c r="L52" s="265">
        <f>IF(L$26=0,0,L$26/AGR_fec!L$26)</f>
        <v>0.48096926290888831</v>
      </c>
      <c r="M52" s="265">
        <f>IF(M$26=0,0,M$26/AGR_fec!M$26)</f>
        <v>0.48096926290888814</v>
      </c>
      <c r="N52" s="265">
        <f>IF(N$26=0,0,N$26/AGR_fec!N$26)</f>
        <v>0.48096926290888858</v>
      </c>
      <c r="O52" s="265">
        <f>IF(O$26=0,0,O$26/AGR_fec!O$26)</f>
        <v>0.48096926290888825</v>
      </c>
      <c r="P52" s="265">
        <f>IF(P$26=0,0,P$26/AGR_fec!P$26)</f>
        <v>0.48096926290888803</v>
      </c>
      <c r="Q52" s="265">
        <f>IF(Q$26=0,0,Q$26/AGR_fec!Q$26)</f>
        <v>0.4809692629088887</v>
      </c>
      <c r="R52" s="265">
        <f>IF(R$26=0,0,R$26/AGR_fec!R$26)</f>
        <v>0.48096926290888842</v>
      </c>
      <c r="S52" s="265">
        <f>IF(S$26=0,0,S$26/AGR_fec!S$26)</f>
        <v>0.48096926290888847</v>
      </c>
      <c r="T52" s="265">
        <f>IF(T$26=0,0,T$26/AGR_fec!T$26)</f>
        <v>0.48096926290888836</v>
      </c>
      <c r="U52" s="265">
        <f>IF(U$26=0,0,U$26/AGR_fec!U$26)</f>
        <v>0.48096926290888847</v>
      </c>
      <c r="V52" s="265">
        <f>IF(V$26=0,0,V$26/AGR_fec!V$26)</f>
        <v>0.48096926290888831</v>
      </c>
      <c r="W52" s="265">
        <f>IF(W$26=0,0,W$26/AGR_fec!W$26)</f>
        <v>0.48096926290888853</v>
      </c>
      <c r="DA52" s="291"/>
    </row>
    <row r="53" spans="1:105" x14ac:dyDescent="0.25">
      <c r="A53" s="261" t="s">
        <v>33</v>
      </c>
      <c r="B53" s="266">
        <f>IF(B$27=0,0,B$27/AGR_fec!B$27)</f>
        <v>0.50553675775091478</v>
      </c>
      <c r="C53" s="266">
        <f>IF(C$27=0,0,C$27/AGR_fec!C$27)</f>
        <v>0.50553675775091467</v>
      </c>
      <c r="D53" s="266">
        <f>IF(D$27=0,0,D$27/AGR_fec!D$27)</f>
        <v>0.50553675775091478</v>
      </c>
      <c r="E53" s="266">
        <f>IF(E$27=0,0,E$27/AGR_fec!E$27)</f>
        <v>0.50553675775091478</v>
      </c>
      <c r="F53" s="266">
        <f>IF(F$27=0,0,F$27/AGR_fec!F$27)</f>
        <v>0.50553675775091456</v>
      </c>
      <c r="G53" s="266">
        <f>IF(G$27=0,0,G$27/AGR_fec!G$27)</f>
        <v>0.50553675775091444</v>
      </c>
      <c r="H53" s="266">
        <f>IF(H$27=0,0,H$27/AGR_fec!H$27)</f>
        <v>0.50553675775091456</v>
      </c>
      <c r="I53" s="266">
        <f>IF(I$27=0,0,I$27/AGR_fec!I$27)</f>
        <v>0.50553675775091467</v>
      </c>
      <c r="J53" s="266">
        <f>IF(J$27=0,0,J$27/AGR_fec!J$27)</f>
        <v>0.50553675775091467</v>
      </c>
      <c r="K53" s="266">
        <f>IF(K$27=0,0,K$27/AGR_fec!K$27)</f>
        <v>0.50553675775091478</v>
      </c>
      <c r="L53" s="266">
        <f>IF(L$27=0,0,L$27/AGR_fec!L$27)</f>
        <v>0.50553675775091478</v>
      </c>
      <c r="M53" s="266">
        <f>IF(M$27=0,0,M$27/AGR_fec!M$27)</f>
        <v>0.50553675775091478</v>
      </c>
      <c r="N53" s="266">
        <f>IF(N$27=0,0,N$27/AGR_fec!N$27)</f>
        <v>0.50553675775091478</v>
      </c>
      <c r="O53" s="266">
        <f>IF(O$27=0,0,O$27/AGR_fec!O$27)</f>
        <v>0.50553675775091456</v>
      </c>
      <c r="P53" s="266">
        <f>IF(P$27=0,0,P$27/AGR_fec!P$27)</f>
        <v>0.50553675775091489</v>
      </c>
      <c r="Q53" s="266">
        <f>IF(Q$27=0,0,Q$27/AGR_fec!Q$27)</f>
        <v>0.50553675775091478</v>
      </c>
      <c r="R53" s="266">
        <f>IF(R$27=0,0,R$27/AGR_fec!R$27)</f>
        <v>0.50553675775091467</v>
      </c>
      <c r="S53" s="266">
        <f>IF(S$27=0,0,S$27/AGR_fec!S$27)</f>
        <v>0.50553675775091456</v>
      </c>
      <c r="T53" s="266">
        <f>IF(T$27=0,0,T$27/AGR_fec!T$27)</f>
        <v>0.50553675775091489</v>
      </c>
      <c r="U53" s="266">
        <f>IF(U$27=0,0,U$27/AGR_fec!U$27)</f>
        <v>0.50553675775091478</v>
      </c>
      <c r="V53" s="266">
        <f>IF(V$27=0,0,V$27/AGR_fec!V$27)</f>
        <v>0.50553675775091467</v>
      </c>
      <c r="W53" s="266">
        <f>IF(W$27=0,0,W$27/AGR_fec!W$27)</f>
        <v>0.50553675775091467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866.57019947694653</v>
      </c>
      <c r="C5" s="80">
        <f t="shared" ref="C5:W5" si="0">SUM(C6:C9,C16:C17,C25:C27)</f>
        <v>809.53444007723806</v>
      </c>
      <c r="D5" s="80">
        <f t="shared" si="0"/>
        <v>749.84633315758003</v>
      </c>
      <c r="E5" s="80">
        <f t="shared" si="0"/>
        <v>761.50713059741156</v>
      </c>
      <c r="F5" s="80">
        <f t="shared" si="0"/>
        <v>704.68224875785802</v>
      </c>
      <c r="G5" s="80">
        <f t="shared" si="0"/>
        <v>716.27209847788356</v>
      </c>
      <c r="H5" s="80">
        <f t="shared" si="0"/>
        <v>726.37692191789563</v>
      </c>
      <c r="I5" s="80">
        <f t="shared" si="0"/>
        <v>710.23549031802963</v>
      </c>
      <c r="J5" s="80">
        <f t="shared" si="0"/>
        <v>753.36498467786248</v>
      </c>
      <c r="K5" s="80">
        <f t="shared" si="0"/>
        <v>740.45943179796939</v>
      </c>
      <c r="L5" s="80">
        <f t="shared" si="0"/>
        <v>721.42824095800847</v>
      </c>
      <c r="M5" s="80">
        <f t="shared" si="0"/>
        <v>738.69920135793791</v>
      </c>
      <c r="N5" s="80">
        <f t="shared" si="0"/>
        <v>675.19247435814782</v>
      </c>
      <c r="O5" s="80">
        <f t="shared" si="0"/>
        <v>659.0490436781879</v>
      </c>
      <c r="P5" s="80">
        <f t="shared" si="0"/>
        <v>664.24713551815057</v>
      </c>
      <c r="Q5" s="80">
        <f t="shared" si="0"/>
        <v>657.60580979818678</v>
      </c>
      <c r="R5" s="80">
        <f t="shared" si="0"/>
        <v>660.97051523814764</v>
      </c>
      <c r="S5" s="80">
        <f t="shared" si="0"/>
        <v>651.99968531818695</v>
      </c>
      <c r="T5" s="80">
        <f t="shared" si="0"/>
        <v>665.18330255822195</v>
      </c>
      <c r="U5" s="80">
        <f t="shared" si="0"/>
        <v>669.81216095817751</v>
      </c>
      <c r="V5" s="80">
        <f t="shared" si="0"/>
        <v>702.65092103797224</v>
      </c>
      <c r="W5" s="80">
        <f t="shared" si="0"/>
        <v>711.0104428778991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188.9392839602958</v>
      </c>
      <c r="C9" s="244">
        <f t="shared" ref="C9:W9" si="1">SUM(C10:C15)</f>
        <v>178.14314593030946</v>
      </c>
      <c r="D9" s="244">
        <f t="shared" si="1"/>
        <v>165.15242833383169</v>
      </c>
      <c r="E9" s="244">
        <f t="shared" si="1"/>
        <v>168.00537640478399</v>
      </c>
      <c r="F9" s="244">
        <f t="shared" si="1"/>
        <v>155.1572712814951</v>
      </c>
      <c r="G9" s="244">
        <f t="shared" si="1"/>
        <v>157.31359300492221</v>
      </c>
      <c r="H9" s="244">
        <f t="shared" si="1"/>
        <v>159.65224092431728</v>
      </c>
      <c r="I9" s="244">
        <f t="shared" si="1"/>
        <v>156.03878182995334</v>
      </c>
      <c r="J9" s="244">
        <f t="shared" si="1"/>
        <v>165.2709820055793</v>
      </c>
      <c r="K9" s="244">
        <f t="shared" si="1"/>
        <v>162.60610610914264</v>
      </c>
      <c r="L9" s="244">
        <f t="shared" si="1"/>
        <v>156.78878023798578</v>
      </c>
      <c r="M9" s="244">
        <f t="shared" si="1"/>
        <v>160.64757655028228</v>
      </c>
      <c r="N9" s="244">
        <f t="shared" si="1"/>
        <v>144.84084876351616</v>
      </c>
      <c r="O9" s="244">
        <f t="shared" si="1"/>
        <v>138.40075403131019</v>
      </c>
      <c r="P9" s="244">
        <f t="shared" si="1"/>
        <v>137.11451406246141</v>
      </c>
      <c r="Q9" s="244">
        <f t="shared" si="1"/>
        <v>137.57976709170561</v>
      </c>
      <c r="R9" s="244">
        <f t="shared" si="1"/>
        <v>138.2559507984349</v>
      </c>
      <c r="S9" s="244">
        <f t="shared" si="1"/>
        <v>134.90932255834974</v>
      </c>
      <c r="T9" s="244">
        <f t="shared" si="1"/>
        <v>137.60539812819351</v>
      </c>
      <c r="U9" s="244">
        <f t="shared" si="1"/>
        <v>138.05406827821739</v>
      </c>
      <c r="V9" s="244">
        <f t="shared" si="1"/>
        <v>143.96373268711613</v>
      </c>
      <c r="W9" s="244">
        <f t="shared" si="1"/>
        <v>147.95693870148244</v>
      </c>
      <c r="DA9" s="270"/>
    </row>
    <row r="10" spans="1:105" x14ac:dyDescent="0.25">
      <c r="A10" s="254" t="s">
        <v>173</v>
      </c>
      <c r="B10" s="255">
        <v>177.85360216931451</v>
      </c>
      <c r="C10" s="255">
        <v>160.64161222400531</v>
      </c>
      <c r="D10" s="255">
        <v>147.31529898539981</v>
      </c>
      <c r="E10" s="255">
        <v>153.38636904159461</v>
      </c>
      <c r="F10" s="255">
        <v>140.97529094666041</v>
      </c>
      <c r="G10" s="255">
        <v>140.2595297142808</v>
      </c>
      <c r="H10" s="255">
        <v>145.7894726933381</v>
      </c>
      <c r="I10" s="255">
        <v>142.92639603837259</v>
      </c>
      <c r="J10" s="255">
        <v>150.18954615474391</v>
      </c>
      <c r="K10" s="255">
        <v>148.34634272354219</v>
      </c>
      <c r="L10" s="255">
        <v>140.7774754914208</v>
      </c>
      <c r="M10" s="255">
        <v>145.08393756547281</v>
      </c>
      <c r="N10" s="255">
        <v>129.9809457260514</v>
      </c>
      <c r="O10" s="255">
        <v>123.65950275042221</v>
      </c>
      <c r="P10" s="255">
        <v>121.7250611069242</v>
      </c>
      <c r="Q10" s="255">
        <v>122.41684101940071</v>
      </c>
      <c r="R10" s="255">
        <v>118.72287476566559</v>
      </c>
      <c r="S10" s="255">
        <v>118.1608876799049</v>
      </c>
      <c r="T10" s="255">
        <v>121.323106350811</v>
      </c>
      <c r="U10" s="255">
        <v>119.61825456094709</v>
      </c>
      <c r="V10" s="255">
        <v>123.1363521173509</v>
      </c>
      <c r="W10" s="255">
        <v>122.587105616222</v>
      </c>
      <c r="DA10" s="271" t="s">
        <v>1038</v>
      </c>
    </row>
    <row r="11" spans="1:105" x14ac:dyDescent="0.25">
      <c r="A11" s="254" t="s">
        <v>176</v>
      </c>
      <c r="B11" s="256">
        <v>11.08568179098129</v>
      </c>
      <c r="C11" s="256">
        <v>17.50153370630413</v>
      </c>
      <c r="D11" s="256">
        <v>17.83712934843188</v>
      </c>
      <c r="E11" s="256">
        <v>14.619007363189381</v>
      </c>
      <c r="F11" s="256">
        <v>14.1819803348347</v>
      </c>
      <c r="G11" s="256">
        <v>17.054063290641409</v>
      </c>
      <c r="H11" s="256">
        <v>13.86276823097919</v>
      </c>
      <c r="I11" s="256">
        <v>13.11238579158076</v>
      </c>
      <c r="J11" s="256">
        <v>15.081435850835399</v>
      </c>
      <c r="K11" s="256">
        <v>14.25976338560046</v>
      </c>
      <c r="L11" s="256">
        <v>16.011304746564981</v>
      </c>
      <c r="M11" s="256">
        <v>15.563638984809479</v>
      </c>
      <c r="N11" s="256">
        <v>14.859903037464759</v>
      </c>
      <c r="O11" s="256">
        <v>14.74125128088798</v>
      </c>
      <c r="P11" s="256">
        <v>15.389452955537211</v>
      </c>
      <c r="Q11" s="256">
        <v>15.1629260723049</v>
      </c>
      <c r="R11" s="256">
        <v>19.533076032769301</v>
      </c>
      <c r="S11" s="256">
        <v>16.748434878444829</v>
      </c>
      <c r="T11" s="256">
        <v>16.282291777382511</v>
      </c>
      <c r="U11" s="256">
        <v>18.4358137172703</v>
      </c>
      <c r="V11" s="256">
        <v>20.827380569765239</v>
      </c>
      <c r="W11" s="256">
        <v>25.369833085260431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257.42717890118968</v>
      </c>
      <c r="C16" s="258">
        <v>243.3787467338918</v>
      </c>
      <c r="D16" s="258">
        <v>226.12074650799349</v>
      </c>
      <c r="E16" s="258">
        <v>229.50885091074011</v>
      </c>
      <c r="F16" s="258">
        <v>212.700183039427</v>
      </c>
      <c r="G16" s="258">
        <v>215.9051325881355</v>
      </c>
      <c r="H16" s="258">
        <v>219.10692573209681</v>
      </c>
      <c r="I16" s="258">
        <v>214.36908964124851</v>
      </c>
      <c r="J16" s="258">
        <v>226.96408596800441</v>
      </c>
      <c r="K16" s="258">
        <v>223.4832722389875</v>
      </c>
      <c r="L16" s="258">
        <v>218.5173528785723</v>
      </c>
      <c r="M16" s="258">
        <v>223.3664021582413</v>
      </c>
      <c r="N16" s="258">
        <v>204.87328732462601</v>
      </c>
      <c r="O16" s="258">
        <v>201.42062956246139</v>
      </c>
      <c r="P16" s="258">
        <v>206.42902513884201</v>
      </c>
      <c r="Q16" s="258">
        <v>204.40492419955731</v>
      </c>
      <c r="R16" s="258">
        <v>206.31429570341251</v>
      </c>
      <c r="S16" s="258">
        <v>203.75050122210021</v>
      </c>
      <c r="T16" s="258">
        <v>208.07519688642151</v>
      </c>
      <c r="U16" s="258">
        <v>209.5220023513065</v>
      </c>
      <c r="V16" s="258">
        <v>220.3084166151788</v>
      </c>
      <c r="W16" s="258">
        <v>220.81146764286709</v>
      </c>
      <c r="DA16" s="273" t="s">
        <v>1044</v>
      </c>
    </row>
    <row r="17" spans="1:105" x14ac:dyDescent="0.25">
      <c r="A17" s="257" t="s">
        <v>121</v>
      </c>
      <c r="B17" s="258">
        <f>SUM(B18:B24)</f>
        <v>370.73695886222731</v>
      </c>
      <c r="C17" s="258">
        <f t="shared" ref="C17:W17" si="2">SUM(C18:C24)</f>
        <v>341.24529297652265</v>
      </c>
      <c r="D17" s="258">
        <f t="shared" si="2"/>
        <v>315.12217244607865</v>
      </c>
      <c r="E17" s="258">
        <f t="shared" si="2"/>
        <v>319.89086491569248</v>
      </c>
      <c r="F17" s="258">
        <f t="shared" si="2"/>
        <v>295.9526816810328</v>
      </c>
      <c r="G17" s="258">
        <f t="shared" si="2"/>
        <v>301.56540236396961</v>
      </c>
      <c r="H17" s="258">
        <f t="shared" si="2"/>
        <v>305.51453350514885</v>
      </c>
      <c r="I17" s="258">
        <f t="shared" si="2"/>
        <v>298.63481177917572</v>
      </c>
      <c r="J17" s="258">
        <f t="shared" si="2"/>
        <v>317.51687612920216</v>
      </c>
      <c r="K17" s="258">
        <f t="shared" si="2"/>
        <v>311.42588024093834</v>
      </c>
      <c r="L17" s="258">
        <f t="shared" si="2"/>
        <v>304.13217742226061</v>
      </c>
      <c r="M17" s="258">
        <f t="shared" si="2"/>
        <v>311.76350700049187</v>
      </c>
      <c r="N17" s="258">
        <f t="shared" si="2"/>
        <v>286.11022875289979</v>
      </c>
      <c r="O17" s="258">
        <f t="shared" si="2"/>
        <v>280.52300752981142</v>
      </c>
      <c r="P17" s="258">
        <f t="shared" si="2"/>
        <v>281.03653881364824</v>
      </c>
      <c r="Q17" s="258">
        <f t="shared" si="2"/>
        <v>276.34300886750947</v>
      </c>
      <c r="R17" s="258">
        <f t="shared" si="2"/>
        <v>276.7552574502426</v>
      </c>
      <c r="S17" s="258">
        <f t="shared" si="2"/>
        <v>274.18750472722218</v>
      </c>
      <c r="T17" s="258">
        <f t="shared" si="2"/>
        <v>279.51932442036747</v>
      </c>
      <c r="U17" s="258">
        <f t="shared" si="2"/>
        <v>281.97469147805748</v>
      </c>
      <c r="V17" s="258">
        <f t="shared" si="2"/>
        <v>296.04467349326558</v>
      </c>
      <c r="W17" s="258">
        <f t="shared" si="2"/>
        <v>299.81127284387856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5.917517999978811</v>
      </c>
      <c r="C19" s="55">
        <v>8.8762769999692051</v>
      </c>
      <c r="D19" s="55">
        <v>7.6927733999747048</v>
      </c>
      <c r="E19" s="55">
        <v>8.876276999969317</v>
      </c>
      <c r="F19" s="55">
        <v>7.9887628799752006</v>
      </c>
      <c r="G19" s="55">
        <v>8.8762769999731894</v>
      </c>
      <c r="H19" s="55">
        <v>8.876276999973685</v>
      </c>
      <c r="I19" s="55">
        <v>8.8762769999747633</v>
      </c>
      <c r="J19" s="55">
        <v>8.8762769999742073</v>
      </c>
      <c r="K19" s="55">
        <v>8.8762769999750457</v>
      </c>
      <c r="L19" s="55">
        <v>8.8762769999748876</v>
      </c>
      <c r="M19" s="55">
        <v>8.8762769999746158</v>
      </c>
      <c r="N19" s="55">
        <v>8.8762769999750368</v>
      </c>
      <c r="O19" s="55">
        <v>8.8762769999749853</v>
      </c>
      <c r="P19" s="55">
        <v>8.8762769999746958</v>
      </c>
      <c r="Q19" s="55">
        <v>5.9175179999832972</v>
      </c>
      <c r="R19" s="55">
        <v>5.9175179999830414</v>
      </c>
      <c r="S19" s="55">
        <v>7.397011079978955</v>
      </c>
      <c r="T19" s="55">
        <v>7.6927733999789307</v>
      </c>
      <c r="U19" s="55">
        <v>7.6927733999785746</v>
      </c>
      <c r="V19" s="55">
        <v>7.9887628799764494</v>
      </c>
      <c r="W19" s="55">
        <v>7.9887628799759032</v>
      </c>
      <c r="DA19" s="101" t="s">
        <v>1046</v>
      </c>
    </row>
    <row r="20" spans="1:105" x14ac:dyDescent="0.25">
      <c r="A20" s="61" t="s">
        <v>173</v>
      </c>
      <c r="B20" s="55">
        <v>268.47757773361178</v>
      </c>
      <c r="C20" s="55">
        <v>254.96544708318251</v>
      </c>
      <c r="D20" s="55">
        <v>238.22884563481719</v>
      </c>
      <c r="E20" s="55">
        <v>247.10766251918031</v>
      </c>
      <c r="F20" s="55">
        <v>228.92015061611559</v>
      </c>
      <c r="G20" s="55">
        <v>225.81510453488639</v>
      </c>
      <c r="H20" s="55">
        <v>235.45716101637271</v>
      </c>
      <c r="I20" s="55">
        <v>231.30912589098119</v>
      </c>
      <c r="J20" s="55">
        <v>240.9952629402992</v>
      </c>
      <c r="K20" s="55">
        <v>240.34208882677439</v>
      </c>
      <c r="L20" s="55">
        <v>231.67750048907101</v>
      </c>
      <c r="M20" s="55">
        <v>237.09749622555469</v>
      </c>
      <c r="N20" s="55">
        <v>215.38208011060061</v>
      </c>
      <c r="O20" s="55">
        <v>212.21087641092879</v>
      </c>
      <c r="P20" s="55">
        <v>211.33935816942321</v>
      </c>
      <c r="Q20" s="55">
        <v>213.06062706003109</v>
      </c>
      <c r="R20" s="55">
        <v>211.3134795232495</v>
      </c>
      <c r="S20" s="55">
        <v>211.45069756588791</v>
      </c>
      <c r="T20" s="55">
        <v>218.95669335795529</v>
      </c>
      <c r="U20" s="55">
        <v>217.03792627555421</v>
      </c>
      <c r="V20" s="55">
        <v>226.29555078329139</v>
      </c>
      <c r="W20" s="55">
        <v>221.81446396944321</v>
      </c>
      <c r="DA20" s="101" t="s">
        <v>1047</v>
      </c>
    </row>
    <row r="21" spans="1:105" x14ac:dyDescent="0.25">
      <c r="A21" s="61" t="s">
        <v>129</v>
      </c>
      <c r="B21" s="55">
        <v>79.607554919714943</v>
      </c>
      <c r="C21" s="55">
        <v>49.625670599827821</v>
      </c>
      <c r="D21" s="55">
        <v>40.35549275986731</v>
      </c>
      <c r="E21" s="55">
        <v>40.355492759860503</v>
      </c>
      <c r="F21" s="55">
        <v>36.014618519888188</v>
      </c>
      <c r="G21" s="55">
        <v>39.417311879880941</v>
      </c>
      <c r="H21" s="55">
        <v>38.792043719884987</v>
      </c>
      <c r="I21" s="55">
        <v>37.228594679894158</v>
      </c>
      <c r="J21" s="55">
        <v>43.445552039873739</v>
      </c>
      <c r="K21" s="55">
        <v>39.104677799890062</v>
      </c>
      <c r="L21" s="55">
        <v>37.228594679894677</v>
      </c>
      <c r="M21" s="55">
        <v>40.355492759884591</v>
      </c>
      <c r="N21" s="55">
        <v>37.228594679895323</v>
      </c>
      <c r="O21" s="55">
        <v>34.138535399903802</v>
      </c>
      <c r="P21" s="55">
        <v>34.10169659990278</v>
      </c>
      <c r="Q21" s="55">
        <v>30.97451987991257</v>
      </c>
      <c r="R21" s="55">
        <v>24.757562519929039</v>
      </c>
      <c r="S21" s="55">
        <v>25.368218279927831</v>
      </c>
      <c r="T21" s="55">
        <v>23.484550319935671</v>
      </c>
      <c r="U21" s="55">
        <v>23.79365603993373</v>
      </c>
      <c r="V21" s="55">
        <v>23.484550319930761</v>
      </c>
      <c r="W21" s="55">
        <v>24.102761759927301</v>
      </c>
      <c r="DA21" s="101" t="s">
        <v>1048</v>
      </c>
    </row>
    <row r="22" spans="1:105" x14ac:dyDescent="0.25">
      <c r="A22" s="61" t="s">
        <v>176</v>
      </c>
      <c r="B22" s="55">
        <v>16.734308208921771</v>
      </c>
      <c r="C22" s="55">
        <v>27.777898293543171</v>
      </c>
      <c r="D22" s="55">
        <v>28.84506065141942</v>
      </c>
      <c r="E22" s="55">
        <v>23.55143263668235</v>
      </c>
      <c r="F22" s="55">
        <v>23.029149665053829</v>
      </c>
      <c r="G22" s="55">
        <v>27.4567089492291</v>
      </c>
      <c r="H22" s="55">
        <v>22.38905176891744</v>
      </c>
      <c r="I22" s="55">
        <v>21.220814208325582</v>
      </c>
      <c r="J22" s="55">
        <v>24.199784149054981</v>
      </c>
      <c r="K22" s="55">
        <v>23.10283661429882</v>
      </c>
      <c r="L22" s="55">
        <v>26.349805253320039</v>
      </c>
      <c r="M22" s="55">
        <v>25.43424101507798</v>
      </c>
      <c r="N22" s="55">
        <v>24.623276962428811</v>
      </c>
      <c r="O22" s="55">
        <v>25.29731871900384</v>
      </c>
      <c r="P22" s="55">
        <v>26.719207044347591</v>
      </c>
      <c r="Q22" s="55">
        <v>26.39034392758251</v>
      </c>
      <c r="R22" s="55">
        <v>34.76669740708104</v>
      </c>
      <c r="S22" s="55">
        <v>29.971577801427479</v>
      </c>
      <c r="T22" s="55">
        <v>29.385307342497569</v>
      </c>
      <c r="U22" s="55">
        <v>33.450335762591003</v>
      </c>
      <c r="V22" s="55">
        <v>38.275809510066942</v>
      </c>
      <c r="W22" s="55">
        <v>45.905284234532182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49.466777753233693</v>
      </c>
      <c r="C25" s="258">
        <v>46.767254436514087</v>
      </c>
      <c r="D25" s="258">
        <v>43.450985869676217</v>
      </c>
      <c r="E25" s="258">
        <v>44.102038366195039</v>
      </c>
      <c r="F25" s="258">
        <v>40.872112755903068</v>
      </c>
      <c r="G25" s="258">
        <v>41.487970520856273</v>
      </c>
      <c r="H25" s="258">
        <v>42.103221756332672</v>
      </c>
      <c r="I25" s="258">
        <v>41.192807067652097</v>
      </c>
      <c r="J25" s="258">
        <v>43.613040575076631</v>
      </c>
      <c r="K25" s="258">
        <v>42.944173208900921</v>
      </c>
      <c r="L25" s="258">
        <v>41.98993041918979</v>
      </c>
      <c r="M25" s="258">
        <v>42.92171564892238</v>
      </c>
      <c r="N25" s="258">
        <v>39.368109517105943</v>
      </c>
      <c r="O25" s="258">
        <v>38.704652554604991</v>
      </c>
      <c r="P25" s="258">
        <v>39.667057503198997</v>
      </c>
      <c r="Q25" s="258">
        <v>39.27810963941441</v>
      </c>
      <c r="R25" s="258">
        <v>39.64501128605761</v>
      </c>
      <c r="S25" s="258">
        <v>39.152356810514767</v>
      </c>
      <c r="T25" s="258">
        <v>39.983383123239371</v>
      </c>
      <c r="U25" s="258">
        <v>40.261398850596201</v>
      </c>
      <c r="V25" s="258">
        <v>42.334098242411727</v>
      </c>
      <c r="W25" s="258">
        <v>42.430763689671053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0.99999999999999978</v>
      </c>
      <c r="N31" s="236">
        <f t="shared" si="3"/>
        <v>1</v>
      </c>
      <c r="O31" s="236">
        <f t="shared" si="3"/>
        <v>1.0000000000000002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0.99999999999999989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0.2180311347820843</v>
      </c>
      <c r="C35" s="247">
        <f t="shared" si="8"/>
        <v>0.22005629051842776</v>
      </c>
      <c r="D35" s="247">
        <f t="shared" si="8"/>
        <v>0.22024836427269018</v>
      </c>
      <c r="E35" s="247">
        <f t="shared" si="8"/>
        <v>0.22062219729049909</v>
      </c>
      <c r="F35" s="247">
        <f t="shared" si="8"/>
        <v>0.22018047361770574</v>
      </c>
      <c r="G35" s="247">
        <f t="shared" si="8"/>
        <v>0.21962825766803146</v>
      </c>
      <c r="H35" s="247">
        <f t="shared" si="8"/>
        <v>0.21979255687636398</v>
      </c>
      <c r="I35" s="247">
        <f t="shared" si="8"/>
        <v>0.21970006280604509</v>
      </c>
      <c r="J35" s="247">
        <f t="shared" si="8"/>
        <v>0.21937704216004794</v>
      </c>
      <c r="K35" s="247">
        <f t="shared" si="8"/>
        <v>0.21960164071960786</v>
      </c>
      <c r="L35" s="247">
        <f t="shared" si="8"/>
        <v>0.21733108206268825</v>
      </c>
      <c r="M35" s="247">
        <f t="shared" si="8"/>
        <v>0.21747360259083351</v>
      </c>
      <c r="N35" s="247">
        <f t="shared" si="8"/>
        <v>0.21451786603694736</v>
      </c>
      <c r="O35" s="247">
        <f t="shared" si="8"/>
        <v>0.2100006901745706</v>
      </c>
      <c r="P35" s="247">
        <f t="shared" si="8"/>
        <v>0.20642093391265329</v>
      </c>
      <c r="Q35" s="247">
        <f t="shared" si="8"/>
        <v>0.2092131259210249</v>
      </c>
      <c r="R35" s="247">
        <f t="shared" si="8"/>
        <v>0.20917113185997607</v>
      </c>
      <c r="S35" s="247">
        <f t="shared" si="8"/>
        <v>0.2069162387593971</v>
      </c>
      <c r="T35" s="247">
        <f t="shared" si="8"/>
        <v>0.20686838890720538</v>
      </c>
      <c r="U35" s="247">
        <f t="shared" si="8"/>
        <v>0.20610863212863847</v>
      </c>
      <c r="V35" s="247">
        <f t="shared" si="8"/>
        <v>0.20488656369289257</v>
      </c>
      <c r="W35" s="247">
        <f t="shared" si="8"/>
        <v>0.20809390380063783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0.29706442600561417</v>
      </c>
      <c r="C36" s="260">
        <f t="shared" si="9"/>
        <v>0.30064038623319217</v>
      </c>
      <c r="D36" s="260">
        <f t="shared" si="9"/>
        <v>0.30155611424517598</v>
      </c>
      <c r="E36" s="260">
        <f t="shared" si="9"/>
        <v>0.30138765835414782</v>
      </c>
      <c r="F36" s="260">
        <f t="shared" si="9"/>
        <v>0.30183842918471865</v>
      </c>
      <c r="G36" s="260">
        <f t="shared" si="9"/>
        <v>0.30142893049575076</v>
      </c>
      <c r="H36" s="260">
        <f t="shared" si="9"/>
        <v>0.30164356702519668</v>
      </c>
      <c r="I36" s="260">
        <f t="shared" si="9"/>
        <v>0.30182818595175837</v>
      </c>
      <c r="J36" s="260">
        <f t="shared" si="9"/>
        <v>0.30126710237940491</v>
      </c>
      <c r="K36" s="260">
        <f t="shared" si="9"/>
        <v>0.30181703769554219</v>
      </c>
      <c r="L36" s="260">
        <f t="shared" si="9"/>
        <v>0.3028954793735214</v>
      </c>
      <c r="M36" s="260">
        <f t="shared" si="9"/>
        <v>0.30237802037369299</v>
      </c>
      <c r="N36" s="260">
        <f t="shared" si="9"/>
        <v>0.30342945916182323</v>
      </c>
      <c r="O36" s="260">
        <f t="shared" si="9"/>
        <v>0.30562312698053867</v>
      </c>
      <c r="P36" s="260">
        <f t="shared" si="9"/>
        <v>0.31077141940223141</v>
      </c>
      <c r="Q36" s="260">
        <f t="shared" si="9"/>
        <v>0.31083199259186489</v>
      </c>
      <c r="R36" s="260">
        <f t="shared" si="9"/>
        <v>0.31213842515967216</v>
      </c>
      <c r="S36" s="260">
        <f t="shared" si="9"/>
        <v>0.31250091957125176</v>
      </c>
      <c r="T36" s="260">
        <f t="shared" si="9"/>
        <v>0.31280880937057071</v>
      </c>
      <c r="U36" s="260">
        <f t="shared" si="9"/>
        <v>0.31280710408658713</v>
      </c>
      <c r="V36" s="260">
        <f t="shared" si="9"/>
        <v>0.3135389281063406</v>
      </c>
      <c r="W36" s="260">
        <f t="shared" si="9"/>
        <v>0.31056009071977408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0.42782103410202726</v>
      </c>
      <c r="C37" s="260">
        <f t="shared" si="10"/>
        <v>0.4215327675793068</v>
      </c>
      <c r="D37" s="260">
        <f t="shared" si="10"/>
        <v>0.42024900104413232</v>
      </c>
      <c r="E37" s="260">
        <f t="shared" si="10"/>
        <v>0.42007599412067781</v>
      </c>
      <c r="F37" s="260">
        <f t="shared" si="10"/>
        <v>0.41998032759120579</v>
      </c>
      <c r="G37" s="260">
        <f t="shared" si="10"/>
        <v>0.42102073081558278</v>
      </c>
      <c r="H37" s="260">
        <f t="shared" si="10"/>
        <v>0.42060055087994935</v>
      </c>
      <c r="I37" s="260">
        <f t="shared" si="10"/>
        <v>0.42047294995840445</v>
      </c>
      <c r="J37" s="260">
        <f t="shared" si="10"/>
        <v>0.42146487106109903</v>
      </c>
      <c r="K37" s="260">
        <f t="shared" si="10"/>
        <v>0.4205846625313962</v>
      </c>
      <c r="L37" s="260">
        <f t="shared" si="10"/>
        <v>0.42156954795447626</v>
      </c>
      <c r="M37" s="260">
        <f t="shared" si="10"/>
        <v>0.42204392048533751</v>
      </c>
      <c r="N37" s="260">
        <f t="shared" si="10"/>
        <v>0.42374617552555244</v>
      </c>
      <c r="O37" s="260">
        <f t="shared" si="10"/>
        <v>0.42564815201642286</v>
      </c>
      <c r="P37" s="260">
        <f t="shared" si="10"/>
        <v>0.42309032856336481</v>
      </c>
      <c r="Q37" s="260">
        <f t="shared" si="10"/>
        <v>0.42022592372217121</v>
      </c>
      <c r="R37" s="260">
        <f t="shared" si="10"/>
        <v>0.41871044331005852</v>
      </c>
      <c r="S37" s="260">
        <f t="shared" si="10"/>
        <v>0.42053318567694403</v>
      </c>
      <c r="T37" s="260">
        <f t="shared" si="10"/>
        <v>0.42021398213900868</v>
      </c>
      <c r="U37" s="260">
        <f t="shared" si="10"/>
        <v>0.42097577188608815</v>
      </c>
      <c r="V37" s="260">
        <f t="shared" si="10"/>
        <v>0.42132539021786453</v>
      </c>
      <c r="W37" s="260">
        <f t="shared" si="10"/>
        <v>0.42166929592532687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5.7083405110274238E-2</v>
      </c>
      <c r="C38" s="260">
        <f t="shared" si="11"/>
        <v>5.7770555669073201E-2</v>
      </c>
      <c r="D38" s="260">
        <f t="shared" si="11"/>
        <v>5.7946520438001532E-2</v>
      </c>
      <c r="E38" s="260">
        <f t="shared" si="11"/>
        <v>5.7914150234675353E-2</v>
      </c>
      <c r="F38" s="260">
        <f t="shared" si="11"/>
        <v>5.8000769606369761E-2</v>
      </c>
      <c r="G38" s="260">
        <f t="shared" si="11"/>
        <v>5.792208102063507E-2</v>
      </c>
      <c r="H38" s="260">
        <f t="shared" si="11"/>
        <v>5.7963325218489958E-2</v>
      </c>
      <c r="I38" s="260">
        <f t="shared" si="11"/>
        <v>5.7998801283792166E-2</v>
      </c>
      <c r="J38" s="260">
        <f t="shared" si="11"/>
        <v>5.7890984399448148E-2</v>
      </c>
      <c r="K38" s="260">
        <f t="shared" si="11"/>
        <v>5.7996659053453747E-2</v>
      </c>
      <c r="L38" s="260">
        <f t="shared" si="11"/>
        <v>5.8203890609314059E-2</v>
      </c>
      <c r="M38" s="260">
        <f t="shared" si="11"/>
        <v>5.810445655013588E-2</v>
      </c>
      <c r="N38" s="260">
        <f t="shared" si="11"/>
        <v>5.8306499275677055E-2</v>
      </c>
      <c r="O38" s="260">
        <f t="shared" si="11"/>
        <v>5.8728030828468031E-2</v>
      </c>
      <c r="P38" s="260">
        <f t="shared" si="11"/>
        <v>5.9717318121750629E-2</v>
      </c>
      <c r="Q38" s="260">
        <f t="shared" si="11"/>
        <v>5.9728957764939007E-2</v>
      </c>
      <c r="R38" s="260">
        <f t="shared" si="11"/>
        <v>5.9979999670293181E-2</v>
      </c>
      <c r="S38" s="260">
        <f t="shared" si="11"/>
        <v>6.0049655992407039E-2</v>
      </c>
      <c r="T38" s="260">
        <f t="shared" si="11"/>
        <v>6.0108819583215137E-2</v>
      </c>
      <c r="U38" s="260">
        <f t="shared" si="11"/>
        <v>6.0108491898686334E-2</v>
      </c>
      <c r="V38" s="260">
        <f t="shared" si="11"/>
        <v>6.0249117982902257E-2</v>
      </c>
      <c r="W38" s="260">
        <f t="shared" si="11"/>
        <v>5.9676709554261263E-2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2.9469781446056018</v>
      </c>
      <c r="C44" s="238">
        <f>IF(C$5=0,0,C$5/AGR_fec!C$5)</f>
        <v>2.9111669076223659</v>
      </c>
      <c r="D44" s="238">
        <f>IF(D$5=0,0,D$5/AGR_fec!D$5)</f>
        <v>2.8986576039908654</v>
      </c>
      <c r="E44" s="238">
        <f>IF(E$5=0,0,E$5/AGR_fec!E$5)</f>
        <v>2.9168629104932027</v>
      </c>
      <c r="F44" s="238">
        <f>IF(F$5=0,0,F$5/AGR_fec!F$5)</f>
        <v>2.8995904190582871</v>
      </c>
      <c r="G44" s="238">
        <f>IF(G$5=0,0,G$5/AGR_fec!G$5)</f>
        <v>2.8868407263735794</v>
      </c>
      <c r="H44" s="238">
        <f>IF(H$5=0,0,H$5/AGR_fec!H$5)</f>
        <v>2.89576913887025</v>
      </c>
      <c r="I44" s="238">
        <f>IF(I$5=0,0,I$5/AGR_fec!I$5)</f>
        <v>2.8918626142030686</v>
      </c>
      <c r="J44" s="238">
        <f>IF(J$5=0,0,J$5/AGR_fec!J$5)</f>
        <v>2.8915685158373079</v>
      </c>
      <c r="K44" s="238">
        <f>IF(K$5=0,0,K$5/AGR_fec!K$5)</f>
        <v>2.8893781843094222</v>
      </c>
      <c r="L44" s="238">
        <f>IF(L$5=0,0,L$5/AGR_fec!L$5)</f>
        <v>2.8671658767093686</v>
      </c>
      <c r="M44" s="238">
        <f>IF(M$5=0,0,M$5/AGR_fec!M$5)</f>
        <v>2.8743851997976533</v>
      </c>
      <c r="N44" s="238">
        <f>IF(N$5=0,0,N$5/AGR_fec!N$5)</f>
        <v>2.849782914191834</v>
      </c>
      <c r="O44" s="238">
        <f>IF(O$5=0,0,O$5/AGR_fec!O$5)</f>
        <v>2.8196763711126325</v>
      </c>
      <c r="P44" s="238">
        <f>IF(P$5=0,0,P$5/AGR_fec!P$5)</f>
        <v>2.7567964247394197</v>
      </c>
      <c r="Q44" s="238">
        <f>IF(Q$5=0,0,Q$5/AGR_fec!Q$5)</f>
        <v>2.7696155933569808</v>
      </c>
      <c r="R44" s="238">
        <f>IF(R$5=0,0,R$5/AGR_fec!R$5)</f>
        <v>2.7490149834172861</v>
      </c>
      <c r="S44" s="238">
        <f>IF(S$5=0,0,S$5/AGR_fec!S$5)</f>
        <v>2.7456256466442279</v>
      </c>
      <c r="T44" s="238">
        <f>IF(T$5=0,0,T$5/AGR_fec!T$5)</f>
        <v>2.7449500722252465</v>
      </c>
      <c r="U44" s="238">
        <f>IF(U$5=0,0,U$5/AGR_fec!U$5)</f>
        <v>2.7366231361843489</v>
      </c>
      <c r="V44" s="238">
        <f>IF(V$5=0,0,V$5/AGR_fec!V$5)</f>
        <v>2.7271013872970289</v>
      </c>
      <c r="W44" s="238">
        <f>IF(W$5=0,0,W$5/AGR_fec!W$5)</f>
        <v>2.7511361634814708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3.0376810762417006</v>
      </c>
      <c r="C48" s="253">
        <f>IF(C$9=0,0,C$9/AGR_fec!C$9)</f>
        <v>2.9990639051150842</v>
      </c>
      <c r="D48" s="253">
        <f>IF(D$9=0,0,D$9/AGR_fec!D$9)</f>
        <v>2.9879733910540254</v>
      </c>
      <c r="E48" s="253">
        <f>IF(E$9=0,0,E$9/AGR_fec!E$9)</f>
        <v>3.0093961206838293</v>
      </c>
      <c r="F48" s="253">
        <f>IF(F$9=0,0,F$9/AGR_fec!F$9)</f>
        <v>3.0016895359469324</v>
      </c>
      <c r="G48" s="253">
        <f>IF(G$9=0,0,G$9/AGR_fec!G$9)</f>
        <v>2.9849834840647214</v>
      </c>
      <c r="H48" s="253">
        <f>IF(H$9=0,0,H$9/AGR_fec!H$9)</f>
        <v>3.0044330946713527</v>
      </c>
      <c r="I48" s="253">
        <f>IF(I$9=0,0,I$9/AGR_fec!I$9)</f>
        <v>3.0056257782573645</v>
      </c>
      <c r="J48" s="253">
        <f>IF(J$9=0,0,J$9/AGR_fec!J$9)</f>
        <v>2.9996345224533827</v>
      </c>
      <c r="K48" s="253">
        <f>IF(K$9=0,0,K$9/AGR_fec!K$9)</f>
        <v>3.0018075906190917</v>
      </c>
      <c r="L48" s="253">
        <f>IF(L$9=0,0,L$9/AGR_fec!L$9)</f>
        <v>2.9230755128576615</v>
      </c>
      <c r="M48" s="253">
        <f>IF(M$9=0,0,M$9/AGR_fec!M$9)</f>
        <v>2.9373622452383428</v>
      </c>
      <c r="N48" s="253">
        <f>IF(N$9=0,0,N$9/AGR_fec!N$9)</f>
        <v>2.8526578138709437</v>
      </c>
      <c r="O48" s="253">
        <f>IF(O$9=0,0,O$9/AGR_fec!O$9)</f>
        <v>2.7224000139187203</v>
      </c>
      <c r="P48" s="253">
        <f>IF(P$9=0,0,P$9/AGR_fec!P$9)</f>
        <v>2.595499627031038</v>
      </c>
      <c r="Q48" s="253">
        <f>IF(Q$9=0,0,Q$9/AGR_fec!Q$9)</f>
        <v>2.6543671609987571</v>
      </c>
      <c r="R48" s="253">
        <f>IF(R$9=0,0,R$9/AGR_fec!R$9)</f>
        <v>2.6103936839078865</v>
      </c>
      <c r="S48" s="253">
        <f>IF(S$9=0,0,S$9/AGR_fec!S$9)</f>
        <v>2.5723219628316447</v>
      </c>
      <c r="T48" s="253">
        <f>IF(T$9=0,0,T$9/AGR_fec!T$9)</f>
        <v>2.5726860388070212</v>
      </c>
      <c r="U48" s="253">
        <f>IF(U$9=0,0,U$9/AGR_fec!U$9)</f>
        <v>2.5431846243781204</v>
      </c>
      <c r="V48" s="253">
        <f>IF(V$9=0,0,V$9/AGR_fec!V$9)</f>
        <v>2.4963758770706144</v>
      </c>
      <c r="W48" s="253">
        <f>IF(W$9=0,0,W$9/AGR_fec!W$9)</f>
        <v>2.5670583783620571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3.1024187999999997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3.1009680993237847</v>
      </c>
      <c r="O49" s="265">
        <f>IF(O$16=0,0,O$16/AGR_fec!O$16)</f>
        <v>3.1024187999999997</v>
      </c>
      <c r="P49" s="265">
        <f>IF(P$16=0,0,P$16/AGR_fec!P$16)</f>
        <v>3.1024187999999997</v>
      </c>
      <c r="Q49" s="265">
        <f>IF(Q$16=0,0,Q$16/AGR_fec!Q$16)</f>
        <v>3.1024188000000001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3.1024188000000006</v>
      </c>
      <c r="U49" s="265">
        <f>IF(U$16=0,0,U$16/AGR_fec!U$16)</f>
        <v>3.1024188000000001</v>
      </c>
      <c r="V49" s="265">
        <f>IF(V$16=0,0,V$16/AGR_fec!V$16)</f>
        <v>3.1024187999999997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3.0436687494380674</v>
      </c>
      <c r="C50" s="265">
        <f>IF(C$17=0,0,C$17/AGR_fec!C$17)</f>
        <v>2.9957738028371486</v>
      </c>
      <c r="D50" s="265">
        <f>IF(D$17=0,0,D$17/AGR_fec!D$17)</f>
        <v>2.9917297285572775</v>
      </c>
      <c r="E50" s="265">
        <f>IF(E$17=0,0,E$17/AGR_fec!E$17)</f>
        <v>3.0070110261143048</v>
      </c>
      <c r="F50" s="265">
        <f>IF(F$17=0,0,F$17/AGR_fec!F$17)</f>
        <v>3.0042902677720367</v>
      </c>
      <c r="G50" s="265">
        <f>IF(G$17=0,0,G$17/AGR_fec!G$17)</f>
        <v>2.9890033548825268</v>
      </c>
      <c r="H50" s="265">
        <f>IF(H$17=0,0,H$17/AGR_fec!H$17)</f>
        <v>3.0055822586500578</v>
      </c>
      <c r="I50" s="265">
        <f>IF(I$17=0,0,I$17/AGR_fec!I$17)</f>
        <v>3.0064260870208828</v>
      </c>
      <c r="J50" s="265">
        <f>IF(J$17=0,0,J$17/AGR_fec!J$17)</f>
        <v>3.0024524157965722</v>
      </c>
      <c r="K50" s="265">
        <f>IF(K$17=0,0,K$17/AGR_fec!K$17)</f>
        <v>3.0053463308595214</v>
      </c>
      <c r="L50" s="265">
        <f>IF(L$17=0,0,L$17/AGR_fec!L$17)</f>
        <v>2.9924086986554057</v>
      </c>
      <c r="M50" s="265">
        <f>IF(M$17=0,0,M$17/AGR_fec!M$17)</f>
        <v>2.9989743166587508</v>
      </c>
      <c r="N50" s="265">
        <f>IF(N$17=0,0,N$17/AGR_fec!N$17)</f>
        <v>2.9902983907367719</v>
      </c>
      <c r="O50" s="265">
        <f>IF(O$17=0,0,O$17/AGR_fec!O$17)</f>
        <v>2.9891586565800825</v>
      </c>
      <c r="P50" s="265">
        <f>IF(P$17=0,0,P$17/AGR_fec!P$17)</f>
        <v>2.9022924890875199</v>
      </c>
      <c r="Q50" s="265">
        <f>IF(Q$17=0,0,Q$17/AGR_fec!Q$17)</f>
        <v>2.9038382107735075</v>
      </c>
      <c r="R50" s="265">
        <f>IF(R$17=0,0,R$17/AGR_fec!R$17)</f>
        <v>2.8776486508532804</v>
      </c>
      <c r="S50" s="265">
        <f>IF(S$17=0,0,S$17/AGR_fec!S$17)</f>
        <v>2.8923601755443884</v>
      </c>
      <c r="T50" s="265">
        <f>IF(T$17=0,0,T$17/AGR_fec!T$17)</f>
        <v>2.90037306810019</v>
      </c>
      <c r="U50" s="265">
        <f>IF(U$17=0,0,U$17/AGR_fec!U$17)</f>
        <v>2.8938860727461462</v>
      </c>
      <c r="V50" s="265">
        <f>IF(V$17=0,0,V$17/AGR_fec!V$17)</f>
        <v>2.8853841000603886</v>
      </c>
      <c r="W50" s="265">
        <f>IF(W$17=0,0,W$17/AGR_fec!W$17)</f>
        <v>2.8982327595594697</v>
      </c>
      <c r="DA50" s="291"/>
    </row>
    <row r="51" spans="1:105" x14ac:dyDescent="0.25">
      <c r="A51" s="128" t="s">
        <v>174</v>
      </c>
      <c r="B51" s="265">
        <f>IF(B$25=0,0,B$25/AGR_fec!B$25)</f>
        <v>3.1024188000000019</v>
      </c>
      <c r="C51" s="265">
        <f>IF(C$25=0,0,C$25/AGR_fec!C$25)</f>
        <v>3.1024188000000015</v>
      </c>
      <c r="D51" s="265">
        <f>IF(D$25=0,0,D$25/AGR_fec!D$25)</f>
        <v>3.1024188000000001</v>
      </c>
      <c r="E51" s="265">
        <f>IF(E$25=0,0,E$25/AGR_fec!E$25)</f>
        <v>3.1024188000000001</v>
      </c>
      <c r="F51" s="265">
        <f>IF(F$25=0,0,F$25/AGR_fec!F$25)</f>
        <v>3.1024187999999997</v>
      </c>
      <c r="G51" s="265">
        <f>IF(G$25=0,0,G$25/AGR_fec!G$25)</f>
        <v>3.1024188000000006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3.102418800000001</v>
      </c>
      <c r="K51" s="265">
        <f>IF(K$25=0,0,K$25/AGR_fec!K$25)</f>
        <v>3.1024188000000006</v>
      </c>
      <c r="L51" s="265">
        <f>IF(L$25=0,0,L$25/AGR_fec!L$25)</f>
        <v>3.1024188000000015</v>
      </c>
      <c r="M51" s="265">
        <f>IF(M$25=0,0,M$25/AGR_fec!M$25)</f>
        <v>3.102418800000001</v>
      </c>
      <c r="N51" s="265">
        <f>IF(N$25=0,0,N$25/AGR_fec!N$25)</f>
        <v>3.1009680993237843</v>
      </c>
      <c r="O51" s="265">
        <f>IF(O$25=0,0,O$25/AGR_fec!O$25)</f>
        <v>3.102418800000001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3.1024188000000015</v>
      </c>
      <c r="S51" s="265">
        <f>IF(S$25=0,0,S$25/AGR_fec!S$25)</f>
        <v>3.102418800000001</v>
      </c>
      <c r="T51" s="265">
        <f>IF(T$25=0,0,T$25/AGR_fec!T$25)</f>
        <v>3.1024187999999988</v>
      </c>
      <c r="U51" s="265">
        <f>IF(U$25=0,0,U$25/AGR_fec!U$25)</f>
        <v>3.1024187999999997</v>
      </c>
      <c r="V51" s="265">
        <f>IF(V$25=0,0,V$25/AGR_fec!V$25)</f>
        <v>3.1024187999999993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22F77-EB4F-438A-8C89-2BB22363B496}"/>
</file>

<file path=customXml/itemProps2.xml><?xml version="1.0" encoding="utf-8"?>
<ds:datastoreItem xmlns:ds="http://schemas.openxmlformats.org/officeDocument/2006/customXml" ds:itemID="{8D9BC6EF-D1AF-47C3-8BA5-2DC83CA31101}"/>
</file>

<file path=customXml/itemProps3.xml><?xml version="1.0" encoding="utf-8"?>
<ds:datastoreItem xmlns:ds="http://schemas.openxmlformats.org/officeDocument/2006/customXml" ds:itemID="{AAD28DB6-DE18-493C-8294-2EC8CD19B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2024-05-20T16:51:02Z</dcterms:created>
  <dcterms:modified xsi:type="dcterms:W3CDTF">2024-05-20T16:51:02Z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