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J17" i="29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N11" i="29" s="1"/>
  <c r="M13" i="29"/>
  <c r="L13" i="29"/>
  <c r="K13" i="29"/>
  <c r="J13" i="29"/>
  <c r="I13" i="29"/>
  <c r="I5" i="29" s="1"/>
  <c r="H13" i="29"/>
  <c r="H5" i="29" s="1"/>
  <c r="G13" i="29"/>
  <c r="G11" i="29" s="1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N12" i="29"/>
  <c r="M12" i="29"/>
  <c r="M4" i="29" s="1"/>
  <c r="L12" i="29"/>
  <c r="K12" i="29"/>
  <c r="K11" i="29" s="1"/>
  <c r="J12" i="29"/>
  <c r="J11" i="29" s="1"/>
  <c r="I12" i="29"/>
  <c r="H12" i="29"/>
  <c r="H4" i="29" s="1"/>
  <c r="G12" i="29"/>
  <c r="F12" i="29"/>
  <c r="E12" i="29"/>
  <c r="E4" i="29" s="1"/>
  <c r="D12" i="29"/>
  <c r="W11" i="29"/>
  <c r="V11" i="29"/>
  <c r="T9" i="29"/>
  <c r="S9" i="29"/>
  <c r="R9" i="29"/>
  <c r="K9" i="29"/>
  <c r="J9" i="29"/>
  <c r="D9" i="29"/>
  <c r="W8" i="29"/>
  <c r="V8" i="29"/>
  <c r="O8" i="29"/>
  <c r="N8" i="29"/>
  <c r="H8" i="29"/>
  <c r="G8" i="29"/>
  <c r="F8" i="29"/>
  <c r="E8" i="29"/>
  <c r="S7" i="29"/>
  <c r="R7" i="29"/>
  <c r="L7" i="29"/>
  <c r="K7" i="29"/>
  <c r="J7" i="29"/>
  <c r="I7" i="29"/>
  <c r="D7" i="29"/>
  <c r="W6" i="29"/>
  <c r="V6" i="29"/>
  <c r="O6" i="29"/>
  <c r="N6" i="29"/>
  <c r="H6" i="29"/>
  <c r="G6" i="29"/>
  <c r="F6" i="29"/>
  <c r="S5" i="29"/>
  <c r="R5" i="29"/>
  <c r="L5" i="29"/>
  <c r="K5" i="29"/>
  <c r="J5" i="29"/>
  <c r="W4" i="29"/>
  <c r="V4" i="29"/>
  <c r="O4" i="29"/>
  <c r="N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8" i="29" l="1"/>
  <c r="U11" i="29"/>
  <c r="U4" i="29"/>
  <c r="T7" i="29"/>
  <c r="D11" i="29"/>
  <c r="L11" i="29"/>
  <c r="T11" i="29"/>
  <c r="T5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S8" i="34"/>
  <c r="W3" i="33"/>
  <c r="W8" i="32"/>
  <c r="S3" i="31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3" i="34" l="1"/>
  <c r="W3" i="29"/>
  <c r="U3" i="30"/>
  <c r="V4" i="14"/>
  <c r="U19" i="25"/>
  <c r="U15" i="24"/>
  <c r="U19" i="23"/>
  <c r="U27" i="24"/>
  <c r="W3" i="8"/>
  <c r="R3" i="29"/>
  <c r="S3" i="30"/>
  <c r="T15" i="12"/>
  <c r="T19" i="14"/>
  <c r="T3" i="11"/>
  <c r="T3" i="14" s="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C113" i="6" l="1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N29" i="24" l="1"/>
  <c r="P29" i="25"/>
  <c r="P29" i="28" s="1"/>
  <c r="F16" i="12"/>
  <c r="E4" i="23"/>
  <c r="E16" i="23"/>
  <c r="P29" i="23"/>
  <c r="O29" i="13"/>
  <c r="Q16" i="24"/>
  <c r="K16" i="12"/>
  <c r="K16" i="15" s="1"/>
  <c r="I19" i="12"/>
  <c r="O4" i="24"/>
  <c r="I19" i="13"/>
  <c r="O29" i="12"/>
  <c r="G29" i="12"/>
  <c r="G29" i="13"/>
  <c r="E4" i="13"/>
  <c r="E4" i="16" s="1"/>
  <c r="E19" i="24"/>
  <c r="E19" i="27" s="1"/>
  <c r="I4" i="23"/>
  <c r="K4" i="24"/>
  <c r="G16" i="13"/>
  <c r="N29" i="23"/>
  <c r="C19" i="13"/>
  <c r="K19" i="24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F19" i="12"/>
  <c r="F19" i="15" s="1"/>
  <c r="M16" i="24"/>
  <c r="M16" i="27" s="1"/>
  <c r="J4" i="23"/>
  <c r="J4" i="26" s="1"/>
  <c r="P19" i="12"/>
  <c r="P19" i="15" s="1"/>
  <c r="H4" i="24"/>
  <c r="H4" i="27" s="1"/>
  <c r="M4" i="12"/>
  <c r="O19" i="24"/>
  <c r="P16" i="24"/>
  <c r="L19" i="13"/>
  <c r="L19" i="16" s="1"/>
  <c r="G4" i="23"/>
  <c r="G4" i="26" s="1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P19" i="23"/>
  <c r="N16" i="14"/>
  <c r="N16" i="17" s="1"/>
  <c r="D4" i="13"/>
  <c r="D4" i="16" s="1"/>
  <c r="N16" i="12"/>
  <c r="N16" i="15" s="1"/>
  <c r="E16" i="12"/>
  <c r="E16" i="15" s="1"/>
  <c r="I16" i="14"/>
  <c r="Q4" i="23"/>
  <c r="J29" i="24"/>
  <c r="P16" i="13"/>
  <c r="C29" i="12"/>
  <c r="C29" i="15" s="1"/>
  <c r="G16" i="24"/>
  <c r="G16" i="27" s="1"/>
  <c r="I4" i="12"/>
  <c r="L16" i="13"/>
  <c r="L16" i="16" s="1"/>
  <c r="B29" i="13"/>
  <c r="B29" i="16" s="1"/>
  <c r="L4" i="24"/>
  <c r="Q29" i="23"/>
  <c r="G16" i="25"/>
  <c r="Q4" i="24"/>
  <c r="Q4" i="27" s="1"/>
  <c r="D4" i="23"/>
  <c r="D4" i="26" s="1"/>
  <c r="C29" i="13"/>
  <c r="B29" i="12"/>
  <c r="H19" i="24"/>
  <c r="H19" i="27" s="1"/>
  <c r="Q4" i="12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K16" i="23"/>
  <c r="K16" i="26" s="1"/>
  <c r="E29" i="13"/>
  <c r="E29" i="16" s="1"/>
  <c r="L16" i="24"/>
  <c r="L16" i="27" s="1"/>
  <c r="M4" i="13"/>
  <c r="M4" i="16" s="1"/>
  <c r="D27" i="13"/>
  <c r="D27" i="12"/>
  <c r="M27" i="12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6" s="1"/>
  <c r="K15" i="24"/>
  <c r="K15" i="27" s="1"/>
  <c r="P27" i="23"/>
  <c r="P27" i="26" s="1"/>
  <c r="P27" i="24"/>
  <c r="P27" i="27" s="1"/>
  <c r="P16" i="12"/>
  <c r="F4" i="13"/>
  <c r="L29" i="13"/>
  <c r="L15" i="23"/>
  <c r="L15" i="24"/>
  <c r="L15" i="27" s="1"/>
  <c r="J27" i="12"/>
  <c r="J27" i="15" s="1"/>
  <c r="J27" i="13"/>
  <c r="J27" i="16" s="1"/>
  <c r="E16" i="24"/>
  <c r="E16" i="27" s="1"/>
  <c r="D16" i="12"/>
  <c r="M15" i="23"/>
  <c r="M15" i="24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6"/>
  <c r="G29" i="10"/>
  <c r="F4" i="15"/>
  <c r="F3" i="8"/>
  <c r="F16" i="15"/>
  <c r="F2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D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3" i="4"/>
  <c r="B36" i="4"/>
  <c r="B42" i="4"/>
  <c r="B39" i="4"/>
  <c r="B4" i="4"/>
  <c r="B23" i="4"/>
  <c r="B38" i="4"/>
  <c r="B43" i="4"/>
  <c r="B12" i="4"/>
  <c r="B24" i="4"/>
  <c r="B45" i="4"/>
  <c r="B8" i="4"/>
  <c r="B11" i="4"/>
  <c r="B13" i="4"/>
  <c r="B7" i="4"/>
  <c r="B22" i="4"/>
  <c r="B35" i="4"/>
  <c r="B28" i="4"/>
  <c r="B26" i="4"/>
  <c r="B34" i="4"/>
  <c r="B37" i="4"/>
  <c r="B21" i="4"/>
  <c r="B29" i="4"/>
  <c r="B30" i="4"/>
  <c r="B20" i="4"/>
  <c r="B27" i="4"/>
  <c r="B17" i="4"/>
  <c r="B10" i="4"/>
  <c r="B9" i="4"/>
  <c r="B25" i="4"/>
  <c r="B44" i="4"/>
  <c r="B14" i="4"/>
  <c r="B16" i="4"/>
  <c r="B1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<sst xmlns="http://schemas.openxmlformats.org/spreadsheetml/2006/main" count="2099" uniqueCount="1055">
  <si>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</si>
  <si>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</si>
  <si>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</si>
  <si>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</si>
  <si>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</si>
  <si>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</si>
  <si>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</si>
  <si>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</si>
  <si>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</si>
  <si>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</si>
  <si>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</si>
  <si>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</si>
  <si>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</si>
  <si>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</si>
  <si>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</si>
  <si>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</si>
  <si>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</si>
  <si>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</si>
  <si>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</si>
  <si>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</si>
  <si>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</si>
  <si>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</si>
  <si>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</si>
  <si>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</si>
  <si>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</si>
  <si>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</si>
  <si>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</si>
  <si>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</si>
  <si>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</si>
  <si>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</si>
  <si>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</si>
  <si>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</si>
  <si>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</si>
  <si>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</si>
  <si>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</si>
  <si>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</si>
  <si>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</si>
  <si>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</si>
  <si>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</si>
  <si>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</si>
  <si>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</si>
  <si>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</si>
  <si>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</si>
  <si>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</si>
  <si>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</si>
  <si>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</si>
  <si>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</si>
  <si>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</si>
  <si>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</si>
  <si>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</si>
  <si>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</si>
  <si>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</si>
  <si>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</si>
  <si>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</si>
  <si>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</si>
  <si>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</si>
  <si>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</si>
  <si>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</si>
  <si>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</si>
  <si>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</si>
  <si>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</si>
  <si>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</si>
  <si>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</si>
  <si>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</si>
  <si>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</si>
  <si>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</si>
  <si>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</si>
  <si>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</si>
  <si>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</si>
  <si>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</si>
  <si>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</si>
  <si>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</si>
  <si>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</si>
  <si>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</si>
  <si>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</si>
  <si>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</si>
  <si>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</si>
  <si>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</si>
  <si>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</si>
  <si>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</si>
  <si>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</si>
  <si>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</si>
  <si>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</si>
  <si>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</si>
  <si>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</si>
  <si>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</si>
  <si>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</si>
  <si>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</si>
  <si>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</si>
  <si>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</si>
  <si>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</si>
  <si>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</si>
  <si>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</si>
  <si>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</si>
  <si>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</si>
  <si>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</si>
  <si>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</si>
  <si>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</si>
  <si>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</si>
  <si>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</si>
  <si>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</si>
  <si>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</si>
  <si>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</si>
  <si>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</si>
  <si>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</si>
  <si>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</si>
  <si>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</si>
  <si>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</si>
  <si>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</si>
  <si>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</si>
  <si>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</si>
  <si>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</si>
  <si>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</si>
  <si>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</si>
  <si>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</si>
  <si>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</si>
  <si>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</si>
  <si>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</si>
  <si>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</si>
  <si>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</si>
  <si>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</si>
  <si>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</si>
  <si>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</si>
  <si>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</si>
  <si>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</si>
  <si>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</si>
  <si>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</si>
  <si>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</si>
  <si>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</si>
  <si>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</si>
  <si>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</si>
  <si>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</si>
  <si>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</si>
  <si>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</si>
  <si>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</si>
  <si>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</si>
  <si>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</si>
  <si>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</si>
  <si>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</si>
  <si>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</si>
  <si>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</si>
  <si>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</si>
  <si>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</si>
  <si>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</si>
  <si>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</si>
  <si>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</si>
  <si>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</si>
  <si>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</si>
  <si>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</si>
  <si>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</si>
  <si>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</si>
  <si>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</si>
  <si>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</si>
  <si>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</si>
  <si>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</si>
  <si>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</si>
  <si>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</si>
  <si>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</si>
  <si>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</si>
  <si>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</si>
  <si>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</si>
  <si>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</si>
  <si>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</si>
  <si>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</si>
  <si>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</si>
  <si>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</si>
  <si>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</si>
  <si>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</si>
  <si>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</si>
  <si>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</si>
  <si>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</si>
  <si>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</si>
  <si>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</si>
  <si>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</si>
  <si>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</si>
  <si>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</si>
  <si>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</si>
  <si>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</si>
  <si>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</si>
  <si>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</si>
  <si>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</si>
  <si>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</si>
  <si>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</si>
  <si>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</si>
  <si>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EE</t>
  </si>
  <si>
    <t>Estonia</t>
  </si>
  <si>
    <t>EE - Services sector summary</t>
  </si>
  <si>
    <t>Macro.number.EE.Population</t>
  </si>
  <si>
    <t>Macro.Meuro2015.EE.GDP</t>
  </si>
  <si>
    <t>Macro.Meuro2015.EE.VA</t>
  </si>
  <si>
    <t>Macro.number.EE.Employees</t>
  </si>
  <si>
    <t>NUM.number.EE.Ser.Bld</t>
  </si>
  <si>
    <t>SurfaceArea.ksqm.EE.Ser.Bld</t>
  </si>
  <si>
    <t>NUM.number.EE.Ser.BldNew</t>
  </si>
  <si>
    <t>SurfaceArea.ksqm.EE.Ser.BldNew</t>
  </si>
  <si>
    <t>HDD.Celsius.EE.Actual</t>
  </si>
  <si>
    <t>HDD.Celsius.EE.Mean</t>
  </si>
  <si>
    <t>HDD.ratio.EE.Relative</t>
  </si>
  <si>
    <t>FEC.ktoe.EE.ES.Ser</t>
  </si>
  <si>
    <t>FEC.ktoe.EE.ES.Ser.Solids</t>
  </si>
  <si>
    <t>FEC.ktoe.EE.ES.Ser.LPG</t>
  </si>
  <si>
    <t>FEC.ktoe.EE.ES.Ser.Oil</t>
  </si>
  <si>
    <t>FEC.ktoe.EE.ES.Ser.NG</t>
  </si>
  <si>
    <t>FEC.ktoe.EE.ES.Ser.Biomass_Waste</t>
  </si>
  <si>
    <t>FEC.ktoe.EE.ES.Ser.Biogas</t>
  </si>
  <si>
    <t>FEC.ktoe.EE.ES.Ser.LiqBio</t>
  </si>
  <si>
    <t>FEC.ktoe.EE.ES.Ser.Solar</t>
  </si>
  <si>
    <t>FEC.ktoe.EE.ES.Ser.Geo</t>
  </si>
  <si>
    <t>FEC.ktoe.EE.ES.Ser.Ambient</t>
  </si>
  <si>
    <t>FEC.ktoe.EE.ES.Ser.Steam_Distr</t>
  </si>
  <si>
    <t>FEC.ktoe.EE.ES.Ser.Elec</t>
  </si>
  <si>
    <t>FEC.ktoe.EE.Ser</t>
  </si>
  <si>
    <t>FEC.ktoe.EE.Ser.Bld.Thermal</t>
  </si>
  <si>
    <t>FEC.ktoe.EE.Ser.Bld.Thermal.SH</t>
  </si>
  <si>
    <t>FEC.ktoe.EE.Ser.Bld.Thermal.SC</t>
  </si>
  <si>
    <t>FEC.ktoe.EE.Ser.Bld.Thermal.HW</t>
  </si>
  <si>
    <t>FEC.ktoe.EE.Ser.Bld.Thermal.CA</t>
  </si>
  <si>
    <t>FEC.ktoe.EE.Ser.SEU</t>
  </si>
  <si>
    <t>EMI.ktCO2.EE.ES.Ser</t>
  </si>
  <si>
    <t>EMI.ktCO2.EE.ES.Ser.Solids</t>
  </si>
  <si>
    <t>EMI.ktCO2.EE.ES.Ser.LPG</t>
  </si>
  <si>
    <t>EMI.ktCO2.EE.ES.Ser.Oil</t>
  </si>
  <si>
    <t>EMI.ktCO2.EE.ES.Ser.NG</t>
  </si>
  <si>
    <t>EMI.ktCO2.EE.ES.Ser.Biomass_Waste</t>
  </si>
  <si>
    <t>EMI.ktCO2.EE.ES.Ser.Biogas</t>
  </si>
  <si>
    <t>EMI.ktCO2.EE.ES.Ser.LiqBio</t>
  </si>
  <si>
    <t>EMI.ktCO2.EE.ES.Ser.Solar</t>
  </si>
  <si>
    <t>EMI.ktCO2.EE.ES.Ser.Geo</t>
  </si>
  <si>
    <t>EMI.ktCO2.EE.ES.Ser.Ambient</t>
  </si>
  <si>
    <t>EMI.ktCO2.EE.ES.Ser.Steam_Distr</t>
  </si>
  <si>
    <t>EMI.ktCO2.EE.ES.Ser.Elec</t>
  </si>
  <si>
    <t>EMI.ktCO2.EE.Ser</t>
  </si>
  <si>
    <t>EMI.ktCO2.EE.Ser.Bld.Thermal</t>
  </si>
  <si>
    <t>EMI.ktCO2.EE.Ser.Bld.Thermal.SH</t>
  </si>
  <si>
    <t>EMI.ktCO2.EE.Ser.Bld.Thermal.SC</t>
  </si>
  <si>
    <t>EMI.ktCO2.EE.Ser.Bld.Thermal.HW</t>
  </si>
  <si>
    <t>EMI.ktCO2.EE.Ser.Bld.Thermal.CA</t>
  </si>
  <si>
    <t>EMI.ktCO2.EE.Ser.SEU</t>
  </si>
  <si>
    <t>Eff.ratio.EE.Ser.Bld.Thermal</t>
  </si>
  <si>
    <t>Eff.ratio.EE.Ser.Bld.Thermal.SH</t>
  </si>
  <si>
    <t>Eff.ratio.EE.Ser.Bld.Thermal.SC</t>
  </si>
  <si>
    <t>Eff.ratio.EE.Ser.Bld.Thermal.HW</t>
  </si>
  <si>
    <t>Eff.ratio.EE.Ser.Bld.Thermal.CA</t>
  </si>
  <si>
    <t>EE - Number of buildings</t>
  </si>
  <si>
    <t>NUM.number.EE.Ser.Bld.Thermal</t>
  </si>
  <si>
    <t>NUM.number.EE.Ser.Bld.Thermal.SH</t>
  </si>
  <si>
    <t>NUM.number.EE.Ser.Bld.Thermal.SH.Solids</t>
  </si>
  <si>
    <t>NUM.number.EE.Ser.Bld.Thermal.SH.LPG</t>
  </si>
  <si>
    <t>NUM.number.EE.Ser.Bld.Thermal.SH.Oil</t>
  </si>
  <si>
    <t>NUM.number.EE.Ser.Bld.Thermal.SH.GasHP</t>
  </si>
  <si>
    <t>NUM.number.EE.Ser.Bld.Thermal.SH.GasTH</t>
  </si>
  <si>
    <t>NUM.number.EE.Ser.Bld.Thermal.SH.Biomass</t>
  </si>
  <si>
    <t>NUM.number.EE.Ser.Bld.Thermal.SH.Geo</t>
  </si>
  <si>
    <t>NUM.number.EE.Ser.Bld.Thermal.SH.DistrHeat</t>
  </si>
  <si>
    <t>NUM.number.EE.Ser.Bld.Thermal.SH.AdvElc</t>
  </si>
  <si>
    <t>NUM.number.EE.Ser.Bld.Thermal.SH.ConvElc</t>
  </si>
  <si>
    <t>NUM.number.EE.Ser.Bld.Thermal.SC</t>
  </si>
  <si>
    <t>NUM.number.EE.Ser.Bld.Thermal.SC.GasHP</t>
  </si>
  <si>
    <t>NUM.number.EE.Ser.Bld.Thermal.SC.AC</t>
  </si>
  <si>
    <t>NUM.number.EE.Ser.Bld.Thermal.HW</t>
  </si>
  <si>
    <t>NUM.number.EE.Ser.Bld.Thermal.HW.Solids</t>
  </si>
  <si>
    <t>NUM.number.EE.Ser.Bld.Thermal.HW.LPG</t>
  </si>
  <si>
    <t>NUM.number.EE.Ser.Bld.Thermal.HW.Oil</t>
  </si>
  <si>
    <t>NUM.number.EE.Ser.Bld.Thermal.HW.Gas</t>
  </si>
  <si>
    <t>NUM.number.EE.Ser.Bld.Thermal.HW.Biomass</t>
  </si>
  <si>
    <t>NUM.number.EE.Ser.Bld.Thermal.HW.DistrHeat</t>
  </si>
  <si>
    <t>NUM.number.EE.Ser.Bld.Thermal.HW.Elc</t>
  </si>
  <si>
    <t>NUM.number.EE.Ser.Bld.Thermal.HW.Solar</t>
  </si>
  <si>
    <t>NUM.number.EE.Ser.Bld.Thermal.CA</t>
  </si>
  <si>
    <t>NUM.number.EE.Ser.Bld.Thermal.CA.LPG</t>
  </si>
  <si>
    <t>NUM.number.EE.Ser.Bld.Thermal.CA.Gas</t>
  </si>
  <si>
    <t>NUM.number.EE.Ser.Bld.Thermal.CA.Biomass</t>
  </si>
  <si>
    <t>NUM.number.EE.Ser.Bld.Thermal.CA.Elc</t>
  </si>
  <si>
    <t>EE - Final energy consumption</t>
  </si>
  <si>
    <t>FEC.ktoe.EE.Ser.Bld.Thermal.SH.Solids.Solids</t>
  </si>
  <si>
    <t>FEC.ktoe.EE.Ser.Bld.Thermal.SH.LPG.LPG</t>
  </si>
  <si>
    <t>FEC.ktoe.EE.Ser.Bld.Thermal.SH.Oil.Oil_LiqBio</t>
  </si>
  <si>
    <t>FEC.ktoe.EE.Ser.Bld.Thermal.SH.GasHP.NG_Biogas</t>
  </si>
  <si>
    <t>FEC.ktoe.EE.Ser.Bld.Thermal.SH.GasTH.NG_Biogas</t>
  </si>
  <si>
    <t>FEC.ktoe.EE.Ser.Bld.Thermal.SH.Biomass.Biomass_Waste</t>
  </si>
  <si>
    <t>FEC.ktoe.EE.Ser.Bld.Thermal.SH.Geo.Geo</t>
  </si>
  <si>
    <t>FEC.ktoe.EE.Ser.Bld.Thermal.SH.DistrHeat.Steam_Distr</t>
  </si>
  <si>
    <t>FEC.ktoe.EE.Ser.Bld.Thermal.SH.AdvElc.Elec</t>
  </si>
  <si>
    <t>FEC.ktoe.EE.Ser.Bld.Thermal.SH.ConvElc.Elec</t>
  </si>
  <si>
    <t>FEC.ktoe.EE.Ser.Bld.Thermal.SH.TotalCirculation.Elec</t>
  </si>
  <si>
    <t>FEC.ktoe.EE.Ser.Bld.Thermal.SC.GasHP.NG_Biogas</t>
  </si>
  <si>
    <t>FEC.ktoe.EE.Ser.Bld.Thermal.SC.AC.Elec</t>
  </si>
  <si>
    <t>FEC.ktoe.EE.Ser.Bld.Thermal.HW.Solids.Solids</t>
  </si>
  <si>
    <t>FEC.ktoe.EE.Ser.Bld.Thermal.HW.LPG.LPG</t>
  </si>
  <si>
    <t>FEC.ktoe.EE.Ser.Bld.Thermal.HW.Oil.Oil_LiqBio</t>
  </si>
  <si>
    <t>FEC.ktoe.EE.Ser.Bld.Thermal.HW.Gas.NG_Biogas</t>
  </si>
  <si>
    <t>FEC.ktoe.EE.Ser.Bld.Thermal.HW.Biomass.Biomass_Waste</t>
  </si>
  <si>
    <t>FEC.ktoe.EE.Ser.Bld.Thermal.HW.DistrHeat.Steam_Distr</t>
  </si>
  <si>
    <t>FEC.ktoe.EE.Ser.Bld.Thermal.HW.Elc.Elec</t>
  </si>
  <si>
    <t>FEC.ktoe.EE.Ser.Bld.Thermal.HW.TotalSolar.Solar</t>
  </si>
  <si>
    <t>FEC.ktoe.EE.Ser.Bld.Thermal.CA.LPG</t>
  </si>
  <si>
    <t>FEC.ktoe.EE.Ser.Bld.Thermal.CA.Gas.NG_Biogas</t>
  </si>
  <si>
    <t>FEC.ktoe.EE.Ser.Bld.Thermal.CA.Biomass.Biomass_Waste</t>
  </si>
  <si>
    <t>FEC.ktoe.EE.Ser.Bld.Thermal.CA.Elc.Elec</t>
  </si>
  <si>
    <t>EE - Thermal energy service</t>
  </si>
  <si>
    <t>TES.ktoe.EE.Ser.Bld.Thermal</t>
  </si>
  <si>
    <t>TES.ktoe.EE.Ser.Bld.Thermal.SH</t>
  </si>
  <si>
    <t>TES.ktoe.EE.Ser.Bld.Thermal.SH.Solids.Solids</t>
  </si>
  <si>
    <t>TES.ktoe.EE.Ser.Bld.Thermal.SH.LPG.LPG</t>
  </si>
  <si>
    <t>TES.ktoe.EE.Ser.Bld.Thermal.SH.Oil.Oil_LiqBio</t>
  </si>
  <si>
    <t>TES.ktoe.EE.Ser.Bld.Thermal.SH.GasHP.NG_Biogas</t>
  </si>
  <si>
    <t>TES.ktoe.EE.Ser.Bld.Thermal.SH.GasTH.NG_Biogas</t>
  </si>
  <si>
    <t>TES.ktoe.EE.Ser.Bld.Thermal.SH.Biomass.Biomass_Waste</t>
  </si>
  <si>
    <t>TES.ktoe.EE.Ser.Bld.Thermal.SH.Geo.Geo</t>
  </si>
  <si>
    <t>TES.ktoe.EE.Ser.Bld.Thermal.SH.DistrHeat.Steam_Distr</t>
  </si>
  <si>
    <t>TES.ktoe.EE.Ser.Bld.Thermal.SH.AdvElc.Elec</t>
  </si>
  <si>
    <t>TES.ktoe.EE.Ser.Bld.Thermal.SH.ConvElc.Elec</t>
  </si>
  <si>
    <t>TES.ktoe.EE.Ser.Bld.Thermal.SH.TotalCirculation.Elec</t>
  </si>
  <si>
    <t>TES.ktoe.EE.Ser.Bld.Thermal.SC</t>
  </si>
  <si>
    <t>TES.ktoe.EE.Ser.Bld.Thermal.SC.GasHP.NG_Biogas</t>
  </si>
  <si>
    <t>TES.ktoe.EE.Ser.Bld.Thermal.SC.AC.Elec</t>
  </si>
  <si>
    <t>TES.ktoe.EE.Ser.Bld.Thermal.HW</t>
  </si>
  <si>
    <t>TES.ktoe.EE.Ser.Bld.Thermal.HW.Solids.Solids</t>
  </si>
  <si>
    <t>TES.ktoe.EE.Ser.Bld.Thermal.HW.LPG.LPG</t>
  </si>
  <si>
    <t>TES.ktoe.EE.Ser.Bld.Thermal.HW.Oil.Oil_LiqBio</t>
  </si>
  <si>
    <t>TES.ktoe.EE.Ser.Bld.Thermal.HW.Gas.NG_Biogas</t>
  </si>
  <si>
    <t>TES.ktoe.EE.Ser.Bld.Thermal.HW.Biomass.Biomass_Waste</t>
  </si>
  <si>
    <t>TES.ktoe.EE.Ser.Bld.Thermal.HW.DistrHeat.Steam_Distr</t>
  </si>
  <si>
    <t>TES.ktoe.EE.Ser.Bld.Thermal.HW.Elc.Elec</t>
  </si>
  <si>
    <t>TES.ktoe.EE.Ser.Bld.Thermal.HW.TotalSolar.Solar</t>
  </si>
  <si>
    <t>TES.ktoe.EE.Ser.Bld.Thermal.CA</t>
  </si>
  <si>
    <t>TES.ktoe.EE.Ser.Bld.Thermal.CA.LPG</t>
  </si>
  <si>
    <t>TES.ktoe.EE.Ser.Bld.Thermal.CA.Gas.NG_Biogas</t>
  </si>
  <si>
    <t>TES.ktoe.EE.Ser.Bld.Thermal.CA.Biomass.Biomass_Waste</t>
  </si>
  <si>
    <t>TES.ktoe.EE.Ser.Bld.Thermal.CA.Elc.Elec</t>
  </si>
  <si>
    <t>EE - System efficiency indicator of total stock</t>
  </si>
  <si>
    <t>Eff.ratio.EE.Ser.Bld.Thermal.SH.Solids.Solids</t>
  </si>
  <si>
    <t>Eff.ratio.EE.Ser.Bld.Thermal.SH.LPG.LPG</t>
  </si>
  <si>
    <t>Eff.ratio.EE.Ser.Bld.Thermal.SH.Oil.Oil_LiqBio</t>
  </si>
  <si>
    <t>Eff.ratio.EE.Ser.Bld.Thermal.SH.GasHP.NG_Biogas</t>
  </si>
  <si>
    <t>Eff.ratio.EE.Ser.Bld.Thermal.SH.GasTH.NG_Biogas</t>
  </si>
  <si>
    <t>Eff.ratio.EE.Ser.Bld.Thermal.SH.Biomass.Biomass_Waste</t>
  </si>
  <si>
    <t>Eff.ratio.EE.Ser.Bld.Thermal.SH.Geo.Geo</t>
  </si>
  <si>
    <t>Eff.ratio.EE.Ser.Bld.Thermal.SH.DistrHeat.Steam_Distr</t>
  </si>
  <si>
    <t>Eff.ratio.EE.Ser.Bld.Thermal.SH.AdvElc.Elec</t>
  </si>
  <si>
    <t>Eff.ratio.EE.Ser.Bld.Thermal.SH.ConvElc.Elec</t>
  </si>
  <si>
    <t>Eff.ratio.EE.Ser.Bld.Thermal.SH.TotalCirculation.Elec</t>
  </si>
  <si>
    <t>Eff.ratio.EE.Ser.Bld.Thermal.SC.GasHP.NG_Biogas</t>
  </si>
  <si>
    <t>Eff.ratio.EE.Ser.Bld.Thermal.SC.AC.Elec</t>
  </si>
  <si>
    <t>Eff.ratio.EE.Ser.Bld.Thermal.HW.Solids.Solids</t>
  </si>
  <si>
    <t>Eff.ratio.EE.Ser.Bld.Thermal.HW.LPG.LPG</t>
  </si>
  <si>
    <t>Eff.ratio.EE.Ser.Bld.Thermal.HW.Oil.Oil_LiqBio</t>
  </si>
  <si>
    <t>Eff.ratio.EE.Ser.Bld.Thermal.HW.Gas.NG_Biogas</t>
  </si>
  <si>
    <t>Eff.ratio.EE.Ser.Bld.Thermal.HW.Biomass.Biomass_Waste</t>
  </si>
  <si>
    <t>Eff.ratio.EE.Ser.Bld.Thermal.HW.DistrHeat.Steam_Distr</t>
  </si>
  <si>
    <t>Eff.ratio.EE.Ser.Bld.Thermal.HW.Elc.Elec</t>
  </si>
  <si>
    <t>Eff.ratio.EE.Ser.Bld.Thermal.HW.TotalSolar.Solar</t>
  </si>
  <si>
    <t>Eff.ratio.EE.Ser.Bld.Thermal.CA.LPG</t>
  </si>
  <si>
    <t>Eff.ratio.EE.Ser.Bld.Thermal.CA.Gas.NG_Biogas</t>
  </si>
  <si>
    <t>Eff.ratio.EE.Ser.Bld.Thermal.CA.Biomass.Biomass_Waste</t>
  </si>
  <si>
    <t>Eff.ratio.EE.Ser.Bld.Thermal.CA.Elc.Elec</t>
  </si>
  <si>
    <t>EE - CO2 emissions</t>
  </si>
  <si>
    <t>EMI.ktCO2.EE.Ser.Bld.Thermal.SH.Solids.Solids</t>
  </si>
  <si>
    <t>EMI.ktCO2.EE.Ser.Bld.Thermal.SH.LPG.LPG</t>
  </si>
  <si>
    <t>EMI.ktCO2.EE.Ser.Bld.Thermal.SH.Oil.Oil_LiqBio</t>
  </si>
  <si>
    <t>EMI.ktCO2.EE.Ser.Bld.Thermal.SH.GasHP.NG_Biogas</t>
  </si>
  <si>
    <t>EMI.ktCO2.EE.Ser.Bld.Thermal.SH.GasTH.NG_Biogas</t>
  </si>
  <si>
    <t>EMI.ktCO2.EE.Ser.Bld.Thermal.SH.Biomass.Biomass_Waste</t>
  </si>
  <si>
    <t>EMI.ktCO2.EE.Ser.Bld.Thermal.SH.Geo.Geo</t>
  </si>
  <si>
    <t>EMI.ktCO2.EE.Ser.Bld.Thermal.SH.DistrHeat.Steam_Distr</t>
  </si>
  <si>
    <t>EMI.ktCO2.EE.Ser.Bld.Thermal.SH.AdvElc.Elec</t>
  </si>
  <si>
    <t>EMI.ktCO2.EE.Ser.Bld.Thermal.SH.ConvElc.Elec</t>
  </si>
  <si>
    <t>EMI.ktCO2.EE.Ser.Bld.Thermal.SH.TotalCirculation.Elec</t>
  </si>
  <si>
    <t>EMI.ktCO2.EE.Ser.Bld.Thermal.SC.GasHP.NG_Biogas</t>
  </si>
  <si>
    <t>EMI.ktCO2.EE.Ser.Bld.Thermal.SC.AC.Elec</t>
  </si>
  <si>
    <t>EMI.ktCO2.EE.Ser.Bld.Thermal.HW.Solids.Solids</t>
  </si>
  <si>
    <t>EMI.ktCO2.EE.Ser.Bld.Thermal.HW.LPG.LPG</t>
  </si>
  <si>
    <t>EMI.ktCO2.EE.Ser.Bld.Thermal.HW.Oil.Oil_LiqBio</t>
  </si>
  <si>
    <t>EMI.ktCO2.EE.Ser.Bld.Thermal.HW.Gas.NG_Biogas</t>
  </si>
  <si>
    <t>EMI.ktCO2.EE.Ser.Bld.Thermal.HW.Biomass.Biomass_Waste</t>
  </si>
  <si>
    <t>EMI.ktCO2.EE.Ser.Bld.Thermal.HW.DistrHeat.Steam_Distr</t>
  </si>
  <si>
    <t>EMI.ktCO2.EE.Ser.Bld.Thermal.HW.Elc.Elec</t>
  </si>
  <si>
    <t>EMI.ktCO2.EE.Ser.Bld.Thermal.HW.TotalSolar.Solar</t>
  </si>
  <si>
    <t>EMI.ktCO2.EE.Ser.Bld.Thermal.CA.LPG</t>
  </si>
  <si>
    <t>EMI.ktCO2.EE.Ser.Bld.Thermal.CA.Gas.NG_Biogas</t>
  </si>
  <si>
    <t>EMI.ktCO2.EE.Ser.Bld.Thermal.CA.Biomass.Biomass_Waste</t>
  </si>
  <si>
    <t>EMI.ktCO2.EE.Ser.Bld.Thermal.CA.Elc.Elec</t>
  </si>
  <si>
    <t>EE - Final energy consumption per building</t>
  </si>
  <si>
    <t>FEC_per_building.kWh.EE.Ser.Bld.Thermal</t>
  </si>
  <si>
    <t>FEC_per_building.kWh.EE.Ser.Bld.Thermal.SH</t>
  </si>
  <si>
    <t>FEC_per_building.kWh.EE.Ser.Bld.Thermal.SH.Solids.Solids</t>
  </si>
  <si>
    <t>FEC_per_building.kWh.EE.Ser.Bld.Thermal.SH.LPG.LPG</t>
  </si>
  <si>
    <t>FEC_per_building.kWh.EE.Ser.Bld.Thermal.SH.Oil.Oil_LiqBio</t>
  </si>
  <si>
    <t>FEC_per_building.kWh.EE.Ser.Bld.Thermal.SH.GasHP.NG_Biogas</t>
  </si>
  <si>
    <t>FEC_per_building.kWh.EE.Ser.Bld.Thermal.SH.GasTH.NG_Biogas</t>
  </si>
  <si>
    <t>FEC_per_building.kWh.EE.Ser.Bld.Thermal.SH.Biomass.Biomass_Waste</t>
  </si>
  <si>
    <t>FEC_per_building.kWh.EE.Ser.Bld.Thermal.SH.Geo.Geo</t>
  </si>
  <si>
    <t>FEC_per_building.kWh.EE.Ser.Bld.Thermal.SH.DistrHeat.Steam_Distr</t>
  </si>
  <si>
    <t>FEC_per_building.kWh.EE.Ser.Bld.Thermal.SH.AdvElc.Elec</t>
  </si>
  <si>
    <t>FEC_per_building.kWh.EE.Ser.Bld.Thermal.SH.ConvElc.Elec</t>
  </si>
  <si>
    <t>FEC_per_building.kWh.EE.Ser.Bld.Thermal.SH.TotalCirculation.Elec</t>
  </si>
  <si>
    <t>FEC_per_building.kWh.EE.Ser.Bld.Thermal.SC</t>
  </si>
  <si>
    <t>FEC_per_building.kWh.EE.Ser.Bld.Thermal.SC.GasHP.NG_Biogas</t>
  </si>
  <si>
    <t>FEC_per_building.kWh.EE.Ser.Bld.Thermal.SC.AC.Elec</t>
  </si>
  <si>
    <t>FEC_per_building.kWh.EE.Ser.Bld.Thermal.HW</t>
  </si>
  <si>
    <t>FEC_per_building.kWh.EE.Ser.Bld.Thermal.HW.Solids.Solids</t>
  </si>
  <si>
    <t>FEC_per_building.kWh.EE.Ser.Bld.Thermal.HW.LPG.LPG</t>
  </si>
  <si>
    <t>FEC_per_building.kWh.EE.Ser.Bld.Thermal.HW.Oil.Oil_LiqBio</t>
  </si>
  <si>
    <t>FEC_per_building.kWh.EE.Ser.Bld.Thermal.HW.Gas.NG_Biogas</t>
  </si>
  <si>
    <t>FEC_per_building.kWh.EE.Ser.Bld.Thermal.HW.Biomass.Biomass_Waste</t>
  </si>
  <si>
    <t>FEC_per_building.kWh.EE.Ser.Bld.Thermal.HW.DistrHeat.Steam_Distr</t>
  </si>
  <si>
    <t>FEC_per_building.kWh.EE.Ser.Bld.Thermal.HW.Elc.Elec</t>
  </si>
  <si>
    <t>FEC_per_building.kWh.EE.Ser.Bld.Thermal.HW.TotalSolar.Solar</t>
  </si>
  <si>
    <t>FEC_per_building.kWh.EE.Ser.Bld.Thermal.CA</t>
  </si>
  <si>
    <t>FEC_per_building.kWh.EE.Ser.Bld.Thermal.CA.LPG</t>
  </si>
  <si>
    <t>FEC_per_building.kWh.EE.Ser.Bld.Thermal.CA.Gas.NG_Biogas</t>
  </si>
  <si>
    <t>FEC_per_building.kWh.EE.Ser.Bld.Thermal.CA.Biomass.Biomass_Waste</t>
  </si>
  <si>
    <t>FEC_per_building.kWh.EE.Ser.Bld.Thermal.CA.Elc.Elec</t>
  </si>
  <si>
    <t>EE - Thermal energy service per building</t>
  </si>
  <si>
    <t>TES_per_building.kWh.EE.Ser.Bld.Thermal</t>
  </si>
  <si>
    <t>TES_per_building.kWh.EE.Ser.Bld.Thermal.SH</t>
  </si>
  <si>
    <t>TES_per_building.kWh.EE.Ser.Bld.Thermal.SH.Solids.Solids</t>
  </si>
  <si>
    <t>TES_per_building.kWh.EE.Ser.Bld.Thermal.SH.LPG.LPG</t>
  </si>
  <si>
    <t>TES_per_building.kWh.EE.Ser.Bld.Thermal.SH.Oil.Oil_LiqBio</t>
  </si>
  <si>
    <t>TES_per_building.kWh.EE.Ser.Bld.Thermal.SH.GasHP.NG_Biogas</t>
  </si>
  <si>
    <t>TES_per_building.kWh.EE.Ser.Bld.Thermal.SH.GasTH.NG_Biogas</t>
  </si>
  <si>
    <t>TES_per_building.kWh.EE.Ser.Bld.Thermal.SH.Biomass.Biomass_Waste</t>
  </si>
  <si>
    <t>TES_per_building.kWh.EE.Ser.Bld.Thermal.SH.Geo.Geo</t>
  </si>
  <si>
    <t>TES_per_building.kWh.EE.Ser.Bld.Thermal.SH.DistrHeat.Steam_Distr</t>
  </si>
  <si>
    <t>TES_per_building.kWh.EE.Ser.Bld.Thermal.SH.AdvElc.Elec</t>
  </si>
  <si>
    <t>TES_per_building.kWh.EE.Ser.Bld.Thermal.SH.ConvElc.Elec</t>
  </si>
  <si>
    <t>TES_per_building.kWh.EE.Ser.Bld.Thermal.SH.TotalCirculation.Elec</t>
  </si>
  <si>
    <t>TES_per_building.kWh.EE.Ser.Bld.Thermal.SC</t>
  </si>
  <si>
    <t>TES_per_building.kWh.EE.Ser.Bld.Thermal.SC.GasHP.NG_Biogas</t>
  </si>
  <si>
    <t>TES_per_building.kWh.EE.Ser.Bld.Thermal.SC.AC.Elec</t>
  </si>
  <si>
    <t>TES_per_building.kWh.EE.Ser.Bld.Thermal.HW</t>
  </si>
  <si>
    <t>TES_per_building.kWh.EE.Ser.Bld.Thermal.HW.Solids.Solids</t>
  </si>
  <si>
    <t>TES_per_building.kWh.EE.Ser.Bld.Thermal.HW.LPG.LPG</t>
  </si>
  <si>
    <t>TES_per_building.kWh.EE.Ser.Bld.Thermal.HW.Oil.Oil_LiqBio</t>
  </si>
  <si>
    <t>TES_per_building.kWh.EE.Ser.Bld.Thermal.HW.Gas.NG_Biogas</t>
  </si>
  <si>
    <t>TES_per_building.kWh.EE.Ser.Bld.Thermal.HW.Biomass.Biomass_Waste</t>
  </si>
  <si>
    <t>TES_per_building.kWh.EE.Ser.Bld.Thermal.HW.DistrHeat.Steam_Distr</t>
  </si>
  <si>
    <t>TES_per_building.kWh.EE.Ser.Bld.Thermal.HW.Elc.Elec</t>
  </si>
  <si>
    <t>TES_per_building.kWh.EE.Ser.Bld.Thermal.HW.TotalSolar.Solar</t>
  </si>
  <si>
    <t>TES_per_building.kWh.EE.Ser.Bld.Thermal.CA</t>
  </si>
  <si>
    <t>TES_per_building.kWh.EE.Ser.Bld.Thermal.CA.LPG</t>
  </si>
  <si>
    <t>TES_per_building.kWh.EE.Ser.Bld.Thermal.CA.Gas.NG_Biogas</t>
  </si>
  <si>
    <t>TES_per_building.kWh.EE.Ser.Bld.Thermal.CA.Biomass.Biomass_Waste</t>
  </si>
  <si>
    <t>TES_per_building.kWh.EE.Ser.Bld.Thermal.CA.Elc.Elec</t>
  </si>
  <si>
    <t>EE - CO2 emissions per building</t>
  </si>
  <si>
    <t>EMI_per_building.kgCO2.EE.Ser.Bld.Thermal</t>
  </si>
  <si>
    <t>EMI_per_building.kgCO2.EE.Ser.Bld.Thermal.SH</t>
  </si>
  <si>
    <t>EMI_per_building.kgCO2.EE.Ser.Bld.Thermal.SH.Solids.Solids</t>
  </si>
  <si>
    <t>EMI_per_building.kgCO2.EE.Ser.Bld.Thermal.SH.LPG.LPG</t>
  </si>
  <si>
    <t>EMI_per_building.kgCO2.EE.Ser.Bld.Thermal.SH.Oil.Oil_LiqBio</t>
  </si>
  <si>
    <t>EMI_per_building.kgCO2.EE.Ser.Bld.Thermal.SH.GasHP.NG_Biogas</t>
  </si>
  <si>
    <t>EMI_per_building.kgCO2.EE.Ser.Bld.Thermal.SH.GasTH.NG_Biogas</t>
  </si>
  <si>
    <t>EMI_per_building.kgCO2.EE.Ser.Bld.Thermal.SH.Biomass.Biomass_Waste</t>
  </si>
  <si>
    <t>EMI_per_building.kgCO2.EE.Ser.Bld.Thermal.SH.Geo.Geo</t>
  </si>
  <si>
    <t>EMI_per_building.kgCO2.EE.Ser.Bld.Thermal.SH.DistrHeat.Steam_Distr</t>
  </si>
  <si>
    <t>EMI_per_building.kgCO2.EE.Ser.Bld.Thermal.SH.AdvElc.Elec</t>
  </si>
  <si>
    <t>EMI_per_building.kgCO2.EE.Ser.Bld.Thermal.SH.ConvElc.Elec</t>
  </si>
  <si>
    <t>EMI_per_building.kgCO2.EE.Ser.Bld.Thermal.SH.TotalCirculation.Elec</t>
  </si>
  <si>
    <t>EMI_per_building.kgCO2.EE.Ser.Bld.Thermal.SC</t>
  </si>
  <si>
    <t>EMI_per_building.kgCO2.EE.Ser.Bld.Thermal.SC.GasHP.NG_Biogas</t>
  </si>
  <si>
    <t>EMI_per_building.kgCO2.EE.Ser.Bld.Thermal.SC.AC.Elec</t>
  </si>
  <si>
    <t>EMI_per_building.kgCO2.EE.Ser.Bld.Thermal.HW</t>
  </si>
  <si>
    <t>EMI_per_building.kgCO2.EE.Ser.Bld.Thermal.HW.Solids.Solids</t>
  </si>
  <si>
    <t>EMI_per_building.kgCO2.EE.Ser.Bld.Thermal.HW.LPG.LPG</t>
  </si>
  <si>
    <t>EMI_per_building.kgCO2.EE.Ser.Bld.Thermal.HW.Oil.Oil_LiqBio</t>
  </si>
  <si>
    <t>EMI_per_building.kgCO2.EE.Ser.Bld.Thermal.HW.Gas.NG_Biogas</t>
  </si>
  <si>
    <t>EMI_per_building.kgCO2.EE.Ser.Bld.Thermal.HW.Biomass.Biomass_Waste</t>
  </si>
  <si>
    <t>EMI_per_building.kgCO2.EE.Ser.Bld.Thermal.HW.DistrHeat.Steam_Distr</t>
  </si>
  <si>
    <t>EMI_per_building.kgCO2.EE.Ser.Bld.Thermal.HW.Elc.Elec</t>
  </si>
  <si>
    <t>EMI_per_building.kgCO2.EE.Ser.Bld.Thermal.HW.TotalSolar.Solar</t>
  </si>
  <si>
    <t>EMI_per_building.kgCO2.EE.Ser.Bld.Thermal.CA</t>
  </si>
  <si>
    <t>EMI_per_building.kgCO2.EE.Ser.Bld.Thermal.CA.LPG</t>
  </si>
  <si>
    <t>EMI_per_building.kgCO2.EE.Ser.Bld.Thermal.CA.Gas.NG_Biogas</t>
  </si>
  <si>
    <t>EMI_per_building.kgCO2.EE.Ser.Bld.Thermal.CA.Biomass.Biomass_Waste</t>
  </si>
  <si>
    <t>EMI_per_building.kgCO2.EE.Ser.Bld.Thermal.CA.Elc.Elec</t>
  </si>
  <si>
    <t>EE - Final energy consumption per useful surface area</t>
  </si>
  <si>
    <t>FEC_per_sqm.kWh.EE.Ser.Bld.Thermal</t>
  </si>
  <si>
    <t>FEC_per_sqm.kWh.EE.Ser.Bld.Thermal.SH</t>
  </si>
  <si>
    <t>FEC_per_sqm.kWh.EE.Ser.Bld.Thermal.SH.Solids.Solids</t>
  </si>
  <si>
    <t>FEC_per_sqm.kWh.EE.Ser.Bld.Thermal.SH.LPG.LPG</t>
  </si>
  <si>
    <t>FEC_per_sqm.kWh.EE.Ser.Bld.Thermal.SH.Oil.Oil_LiqBio</t>
  </si>
  <si>
    <t>FEC_per_sqm.kWh.EE.Ser.Bld.Thermal.SH.GasHP.NG_Biogas</t>
  </si>
  <si>
    <t>FEC_per_sqm.kWh.EE.Ser.Bld.Thermal.SH.GasTH.NG_Biogas</t>
  </si>
  <si>
    <t>FEC_per_sqm.kWh.EE.Ser.Bld.Thermal.SH.Biomass.Biomass_Waste</t>
  </si>
  <si>
    <t>FEC_per_sqm.kWh.EE.Ser.Bld.Thermal.SH.Geo.Geo</t>
  </si>
  <si>
    <t>FEC_per_sqm.kWh.EE.Ser.Bld.Thermal.SH.DistrHeat.Steam_Distr</t>
  </si>
  <si>
    <t>FEC_per_sqm.kWh.EE.Ser.Bld.Thermal.SH.AdvElc.Elec</t>
  </si>
  <si>
    <t>FEC_per_sqm.kWh.EE.Ser.Bld.Thermal.SH.ConvElc.Elec</t>
  </si>
  <si>
    <t>FEC_per_sqm.kWh.EE.Ser.Bld.Thermal.SH.TotalCirculation.Elec</t>
  </si>
  <si>
    <t>FEC_per_sqm.kWh.EE.Ser.Bld.Thermal.SC</t>
  </si>
  <si>
    <t>FEC_per_sqm.kWh.EE.Ser.Bld.Thermal.SC.GasHP.NG_Biogas</t>
  </si>
  <si>
    <t>FEC_per_sqm.kWh.EE.Ser.Bld.Thermal.SC.AC.Elec</t>
  </si>
  <si>
    <t>FEC_per_sqm.kWh.EE.Ser.Bld.Thermal.HW</t>
  </si>
  <si>
    <t>FEC_per_sqm.kWh.EE.Ser.Bld.Thermal.HW.Solids.Solids</t>
  </si>
  <si>
    <t>FEC_per_sqm.kWh.EE.Ser.Bld.Thermal.HW.LPG.LPG</t>
  </si>
  <si>
    <t>FEC_per_sqm.kWh.EE.Ser.Bld.Thermal.HW.Oil.Oil_LiqBio</t>
  </si>
  <si>
    <t>FEC_per_sqm.kWh.EE.Ser.Bld.Thermal.HW.Gas.NG_Biogas</t>
  </si>
  <si>
    <t>FEC_per_sqm.kWh.EE.Ser.Bld.Thermal.HW.Biomass.Biomass_Waste</t>
  </si>
  <si>
    <t>FEC_per_sqm.kWh.EE.Ser.Bld.Thermal.HW.DistrHeat.Steam_Distr</t>
  </si>
  <si>
    <t>FEC_per_sqm.kWh.EE.Ser.Bld.Thermal.HW.Elc.Elec</t>
  </si>
  <si>
    <t>FEC_per_sqm.kWh.EE.Ser.Bld.Thermal.HW.TotalSolar.Solar</t>
  </si>
  <si>
    <t>FEC_per_sqm.kWh.EE.Ser.Bld.Thermal.CA</t>
  </si>
  <si>
    <t>FEC_per_sqm.kWh.EE.Ser.Bld.Thermal.CA.LPG</t>
  </si>
  <si>
    <t>FEC_per_sqm.kWh.EE.Ser.Bld.Thermal.CA.Gas.NG_Biogas</t>
  </si>
  <si>
    <t>FEC_per_sqm.kWh.EE.Ser.Bld.Thermal.CA.Biomass.Biomass_Waste</t>
  </si>
  <si>
    <t>FEC_per_sqm.kWh.EE.Ser.Bld.Thermal.CA.Elc.Elec</t>
  </si>
  <si>
    <t>EE - Thermal energy service per useful surface area</t>
  </si>
  <si>
    <t>TES_per_sqm.kWh.EE.Ser.Bld.Thermal</t>
  </si>
  <si>
    <t>TES_per_sqm.kWh.EE.Ser.Bld.Thermal.SH</t>
  </si>
  <si>
    <t>TES_per_sqm.kWh.EE.Ser.Bld.Thermal.SH.Solids.Solids</t>
  </si>
  <si>
    <t>TES_per_sqm.kWh.EE.Ser.Bld.Thermal.SH.LPG.LPG</t>
  </si>
  <si>
    <t>TES_per_sqm.kWh.EE.Ser.Bld.Thermal.SH.Oil.Oil_LiqBio</t>
  </si>
  <si>
    <t>TES_per_sqm.kWh.EE.Ser.Bld.Thermal.SH.GasHP.NG_Biogas</t>
  </si>
  <si>
    <t>TES_per_sqm.kWh.EE.Ser.Bld.Thermal.SH.GasTH.NG_Biogas</t>
  </si>
  <si>
    <t>TES_per_sqm.kWh.EE.Ser.Bld.Thermal.SH.Biomass.Biomass_Waste</t>
  </si>
  <si>
    <t>TES_per_sqm.kWh.EE.Ser.Bld.Thermal.SH.Geo.Geo</t>
  </si>
  <si>
    <t>TES_per_sqm.kWh.EE.Ser.Bld.Thermal.SH.DistrHeat.Steam_Distr</t>
  </si>
  <si>
    <t>TES_per_sqm.kWh.EE.Ser.Bld.Thermal.SH.AdvElc.Elec</t>
  </si>
  <si>
    <t>TES_per_sqm.kWh.EE.Ser.Bld.Thermal.SH.ConvElc.Elec</t>
  </si>
  <si>
    <t>TES_per_sqm.kWh.EE.Ser.Bld.Thermal.SH.TotalCirculation.Elec</t>
  </si>
  <si>
    <t>TES_per_sqm.kWh.EE.Ser.Bld.Thermal.SC</t>
  </si>
  <si>
    <t>TES_per_sqm.kWh.EE.Ser.Bld.Thermal.SC.GasHP.NG_Biogas</t>
  </si>
  <si>
    <t>TES_per_sqm.kWh.EE.Ser.Bld.Thermal.SC.AC.Elec</t>
  </si>
  <si>
    <t>TES_per_sqm.kWh.EE.Ser.Bld.Thermal.HW</t>
  </si>
  <si>
    <t>TES_per_sqm.kWh.EE.Ser.Bld.Thermal.HW.Solids.Solids</t>
  </si>
  <si>
    <t>TES_per_sqm.kWh.EE.Ser.Bld.Thermal.HW.LPG.LPG</t>
  </si>
  <si>
    <t>TES_per_sqm.kWh.EE.Ser.Bld.Thermal.HW.Oil.Oil_LiqBio</t>
  </si>
  <si>
    <t>TES_per_sqm.kWh.EE.Ser.Bld.Thermal.HW.Gas.NG_Biogas</t>
  </si>
  <si>
    <t>TES_per_sqm.kWh.EE.Ser.Bld.Thermal.HW.Biomass.Biomass_Waste</t>
  </si>
  <si>
    <t>TES_per_sqm.kWh.EE.Ser.Bld.Thermal.HW.DistrHeat.Steam_Distr</t>
  </si>
  <si>
    <t>TES_per_sqm.kWh.EE.Ser.Bld.Thermal.HW.Elc.Elec</t>
  </si>
  <si>
    <t>TES_per_sqm.kWh.EE.Ser.Bld.Thermal.HW.TotalSolar.Solar</t>
  </si>
  <si>
    <t>TES_per_sqm.kWh.EE.Ser.Bld.Thermal.CA</t>
  </si>
  <si>
    <t>TES_per_sqm.kWh.EE.Ser.Bld.Thermal.CA.LPG</t>
  </si>
  <si>
    <t>TES_per_sqm.kWh.EE.Ser.Bld.Thermal.CA.Gas.NG_Biogas</t>
  </si>
  <si>
    <t>TES_per_sqm.kWh.EE.Ser.Bld.Thermal.CA.Biomass.Biomass_Waste</t>
  </si>
  <si>
    <t>TES_per_sqm.kWh.EE.Ser.Bld.Thermal.CA.Elc.Elec</t>
  </si>
  <si>
    <t>EE - CO2 emissions per useful surface area</t>
  </si>
  <si>
    <t>EMI_per_sqm.kgCO2.EE.Ser.Bld.Thermal</t>
  </si>
  <si>
    <t>EMI_per_sqm.kgCO2.EE.Ser.Bld.Thermal.SH</t>
  </si>
  <si>
    <t>EMI_per_sqm.kgCO2.EE.Ser.Bld.Thermal.SH.Solids.Solids</t>
  </si>
  <si>
    <t>EMI_per_sqm.kgCO2.EE.Ser.Bld.Thermal.SH.LPG.LPG</t>
  </si>
  <si>
    <t>EMI_per_sqm.kgCO2.EE.Ser.Bld.Thermal.SH.Oil.Oil_LiqBio</t>
  </si>
  <si>
    <t>EMI_per_sqm.kgCO2.EE.Ser.Bld.Thermal.SH.GasHP.NG_Biogas</t>
  </si>
  <si>
    <t>EMI_per_sqm.kgCO2.EE.Ser.Bld.Thermal.SH.GasTH.NG_Biogas</t>
  </si>
  <si>
    <t>EMI_per_sqm.kgCO2.EE.Ser.Bld.Thermal.SH.Biomass.Biomass_Waste</t>
  </si>
  <si>
    <t>EMI_per_sqm.kgCO2.EE.Ser.Bld.Thermal.SH.Geo.Geo</t>
  </si>
  <si>
    <t>EMI_per_sqm.kgCO2.EE.Ser.Bld.Thermal.SH.DistrHeat.Steam_Distr</t>
  </si>
  <si>
    <t>EMI_per_sqm.kgCO2.EE.Ser.Bld.Thermal.SH.AdvElc.Elec</t>
  </si>
  <si>
    <t>EMI_per_sqm.kgCO2.EE.Ser.Bld.Thermal.SH.ConvElc.Elec</t>
  </si>
  <si>
    <t>EMI_per_sqm.kgCO2.EE.Ser.Bld.Thermal.SH.TotalCirculation.Elec</t>
  </si>
  <si>
    <t>EMI_per_sqm.kgCO2.EE.Ser.Bld.Thermal.SC</t>
  </si>
  <si>
    <t>EMI_per_sqm.kgCO2.EE.Ser.Bld.Thermal.SC.GasHP.NG_Biogas</t>
  </si>
  <si>
    <t>EMI_per_sqm.kgCO2.EE.Ser.Bld.Thermal.SC.AC.Elec</t>
  </si>
  <si>
    <t>EMI_per_sqm.kgCO2.EE.Ser.Bld.Thermal.HW</t>
  </si>
  <si>
    <t>EMI_per_sqm.kgCO2.EE.Ser.Bld.Thermal.HW.Solids.Solids</t>
  </si>
  <si>
    <t>EMI_per_sqm.kgCO2.EE.Ser.Bld.Thermal.HW.LPG.LPG</t>
  </si>
  <si>
    <t>EMI_per_sqm.kgCO2.EE.Ser.Bld.Thermal.HW.Oil.Oil_LiqBio</t>
  </si>
  <si>
    <t>EMI_per_sqm.kgCO2.EE.Ser.Bld.Thermal.HW.Gas.NG_Biogas</t>
  </si>
  <si>
    <t>EMI_per_sqm.kgCO2.EE.Ser.Bld.Thermal.HW.Biomass.Biomass_Waste</t>
  </si>
  <si>
    <t>EMI_per_sqm.kgCO2.EE.Ser.Bld.Thermal.HW.DistrHeat.Steam_Distr</t>
  </si>
  <si>
    <t>EMI_per_sqm.kgCO2.EE.Ser.Bld.Thermal.HW.Elc.Elec</t>
  </si>
  <si>
    <t>EMI_per_sqm.kgCO2.EE.Ser.Bld.Thermal.HW.TotalSolar.Solar</t>
  </si>
  <si>
    <t>EMI_per_sqm.kgCO2.EE.Ser.Bld.Thermal.CA</t>
  </si>
  <si>
    <t>EMI_per_sqm.kgCO2.EE.Ser.Bld.Thermal.CA.LPG</t>
  </si>
  <si>
    <t>EMI_per_sqm.kgCO2.EE.Ser.Bld.Thermal.CA.Gas.NG_Biogas</t>
  </si>
  <si>
    <t>EMI_per_sqm.kgCO2.EE.Ser.Bld.Thermal.CA.Biomass.Biomass_Waste</t>
  </si>
  <si>
    <t>EMI_per_sqm.kgCO2.EE.Ser.Bld.Thermal.CA.Elc.Elec</t>
  </si>
  <si>
    <t>EE - Number of new and renovated buildings</t>
  </si>
  <si>
    <t>NUM.number.EE.Ser.BldNew.Thermal</t>
  </si>
  <si>
    <t>NUM.number.EE.Ser.BldNew.Thermal.SH</t>
  </si>
  <si>
    <t>NUM.number.EE.Ser.BldNew.Thermal.SH.Solids</t>
  </si>
  <si>
    <t>NUM.number.EE.Ser.BldNew.Thermal.SH.LPG</t>
  </si>
  <si>
    <t>NUM.number.EE.Ser.BldNew.Thermal.SH.Oil</t>
  </si>
  <si>
    <t>NUM.number.EE.Ser.BldNew.Thermal.SH.GasHP</t>
  </si>
  <si>
    <t>NUM.number.EE.Ser.BldNew.Thermal.SH.GasTH</t>
  </si>
  <si>
    <t>NUM.number.EE.Ser.BldNew.Thermal.SH.Biomass</t>
  </si>
  <si>
    <t>NUM.number.EE.Ser.BldNew.Thermal.SH.Geo</t>
  </si>
  <si>
    <t>NUM.number.EE.Ser.BldNew.Thermal.SH.DistrHeat</t>
  </si>
  <si>
    <t>NUM.number.EE.Ser.BldNew.Thermal.SH.AdvElc</t>
  </si>
  <si>
    <t>NUM.number.EE.Ser.BldNew.Thermal.SH.ConvElc</t>
  </si>
  <si>
    <t>NUM.number.EE.Ser.BldNew.Thermal.SC</t>
  </si>
  <si>
    <t>NUM.number.EE.Ser.BldNew.Thermal.SC.GasHP</t>
  </si>
  <si>
    <t>NUM.number.EE.Ser.BldNew.Thermal.SC.AC</t>
  </si>
  <si>
    <t>NUM.number.EE.Ser.BldNew.Thermal.HW</t>
  </si>
  <si>
    <t>NUM.number.EE.Ser.BldNew.Thermal.HW.Solids</t>
  </si>
  <si>
    <t>NUM.number.EE.Ser.BldNew.Thermal.HW.LPG</t>
  </si>
  <si>
    <t>NUM.number.EE.Ser.BldNew.Thermal.HW.Oil</t>
  </si>
  <si>
    <t>NUM.number.EE.Ser.BldNew.Thermal.HW.Gas</t>
  </si>
  <si>
    <t>NUM.number.EE.Ser.BldNew.Thermal.HW.Biomass</t>
  </si>
  <si>
    <t>NUM.number.EE.Ser.BldNew.Thermal.HW.DistrHeat</t>
  </si>
  <si>
    <t>NUM.number.EE.Ser.BldNew.Thermal.HW.Elc</t>
  </si>
  <si>
    <t>NUM.number.EE.Ser.BldNew.Thermal.HW.Solar</t>
  </si>
  <si>
    <t>NUM.number.EE.Ser.BldNew.Thermal.CA</t>
  </si>
  <si>
    <t>NUM.number.EE.Ser.BldNew.Thermal.CA.LPG</t>
  </si>
  <si>
    <t>NUM.number.EE.Ser.BldNew.Thermal.CA.Gas</t>
  </si>
  <si>
    <t>NUM.number.EE.Ser.BldNew.Thermal.CA.Biomass</t>
  </si>
  <si>
    <t>NUM.number.EE.Ser.BldNew.Thermal.CA.Elc</t>
  </si>
  <si>
    <t>EE - Final energy consumption in new and renovated buildings</t>
  </si>
  <si>
    <t>FEC.ktoe.EE.Ser.BldNew.Thermal</t>
  </si>
  <si>
    <t>FEC.ktoe.EE.Ser.BldNew.Thermal.SH</t>
  </si>
  <si>
    <t>FEC.ktoe.EE.Ser.BldNew.Thermal.SH.Solids.Solids</t>
  </si>
  <si>
    <t>FEC.ktoe.EE.Ser.BldNew.Thermal.SH.LPG.LPG</t>
  </si>
  <si>
    <t>FEC.ktoe.EE.Ser.BldNew.Thermal.SH.Oil.Oil_LiqBio</t>
  </si>
  <si>
    <t>FEC.ktoe.EE.Ser.BldNew.Thermal.SH.GasHP.NG_Biogas</t>
  </si>
  <si>
    <t>FEC.ktoe.EE.Ser.BldNew.Thermal.SH.GasTH.NG_Biogas</t>
  </si>
  <si>
    <t>FEC.ktoe.EE.Ser.BldNew.Thermal.SH.Biomass.Biomass_Waste</t>
  </si>
  <si>
    <t>FEC.ktoe.EE.Ser.BldNew.Thermal.SH.Geo.Geo</t>
  </si>
  <si>
    <t>FEC.ktoe.EE.Ser.BldNew.Thermal.SH.DistrHeat.Steam_Distr</t>
  </si>
  <si>
    <t>FEC.ktoe.EE.Ser.BldNew.Thermal.SH.AdvElc.Elec</t>
  </si>
  <si>
    <t>FEC.ktoe.EE.Ser.BldNew.Thermal.SH.ConvElc.Elec</t>
  </si>
  <si>
    <t>FEC.ktoe.EE.Ser.BldNew.Thermal.SH.TotalCirculation.Elec</t>
  </si>
  <si>
    <t>FEC.ktoe.EE.Ser.BldNew.Thermal.SC</t>
  </si>
  <si>
    <t>FEC.ktoe.EE.Ser.BldNew.Thermal.SC.GasHP.NG_Biogas</t>
  </si>
  <si>
    <t>FEC.ktoe.EE.Ser.BldNew.Thermal.SC.AC.Elec</t>
  </si>
  <si>
    <t>FEC.ktoe.EE.Ser.BldNew.Thermal.HW</t>
  </si>
  <si>
    <t>FEC.ktoe.EE.Ser.BldNew.Thermal.HW.Solids.Solids</t>
  </si>
  <si>
    <t>FEC.ktoe.EE.Ser.BldNew.Thermal.HW.LPG.LPG</t>
  </si>
  <si>
    <t>FEC.ktoe.EE.Ser.BldNew.Thermal.HW.Oil.Oil_LiqBio</t>
  </si>
  <si>
    <t>FEC.ktoe.EE.Ser.BldNew.Thermal.HW.Gas.NG_Biogas</t>
  </si>
  <si>
    <t>FEC.ktoe.EE.Ser.BldNew.Thermal.HW.Biomass.Biomass_Waste</t>
  </si>
  <si>
    <t>FEC.ktoe.EE.Ser.BldNew.Thermal.HW.DistrHeat.Steam_Distr</t>
  </si>
  <si>
    <t>FEC.ktoe.EE.Ser.BldNew.Thermal.HW.Elc.Elec</t>
  </si>
  <si>
    <t>FEC.ktoe.EE.Ser.BldNew.Thermal.HW.TotalSolar.Solar</t>
  </si>
  <si>
    <t>FEC.ktoe.EE.Ser.BldNew.Thermal.CA</t>
  </si>
  <si>
    <t>FEC.ktoe.EE.Ser.BldNew.Thermal.CA.LPG</t>
  </si>
  <si>
    <t>FEC.ktoe.EE.Ser.BldNew.Thermal.CA.Gas.NG_Biogas</t>
  </si>
  <si>
    <t>FEC.ktoe.EE.Ser.BldNew.Thermal.CA.Biomass.Biomass_Waste</t>
  </si>
  <si>
    <t>FEC.ktoe.EE.Ser.BldNew.Thermal.CA.Elc.Elec</t>
  </si>
  <si>
    <t>EE - Thermal energy service in new and renovated buildings</t>
  </si>
  <si>
    <t>TES.ktoe.EE.Ser.BldNew.Thermal</t>
  </si>
  <si>
    <t>TES.ktoe.EE.Ser.BldNew.Thermal.SH</t>
  </si>
  <si>
    <t>TES.ktoe.EE.Ser.BldNew.Thermal.SH.Solids.Solids</t>
  </si>
  <si>
    <t>TES.ktoe.EE.Ser.BldNew.Thermal.SH.LPG.LPG</t>
  </si>
  <si>
    <t>TES.ktoe.EE.Ser.BldNew.Thermal.SH.Oil.Oil_LiqBio</t>
  </si>
  <si>
    <t>TES.ktoe.EE.Ser.BldNew.Thermal.SH.GasHP.NG_Biogas</t>
  </si>
  <si>
    <t>TES.ktoe.EE.Ser.BldNew.Thermal.SH.GasTH.NG_Biogas</t>
  </si>
  <si>
    <t>TES.ktoe.EE.Ser.BldNew.Thermal.SH.Biomass.Biomass_Waste</t>
  </si>
  <si>
    <t>TES.ktoe.EE.Ser.BldNew.Thermal.SH.Geo.Geo</t>
  </si>
  <si>
    <t>TES.ktoe.EE.Ser.BldNew.Thermal.SH.DistrHeat.Steam_Distr</t>
  </si>
  <si>
    <t>TES.ktoe.EE.Ser.BldNew.Thermal.SH.AdvElc.Elec</t>
  </si>
  <si>
    <t>TES.ktoe.EE.Ser.BldNew.Thermal.SH.ConvElc.Elec</t>
  </si>
  <si>
    <t>TES.ktoe.EE.Ser.BldNew.Thermal.SH.TotalCirculation.Elec</t>
  </si>
  <si>
    <t>TES.ktoe.EE.Ser.BldNew.Thermal.SC</t>
  </si>
  <si>
    <t>TES.ktoe.EE.Ser.BldNew.Thermal.SC.GasHP.NG_Biogas</t>
  </si>
  <si>
    <t>TES.ktoe.EE.Ser.BldNew.Thermal.SC.AC.Elec</t>
  </si>
  <si>
    <t>TES.ktoe.EE.Ser.BldNew.Thermal.HW</t>
  </si>
  <si>
    <t>TES.ktoe.EE.Ser.BldNew.Thermal.HW.Solids.Solids</t>
  </si>
  <si>
    <t>TES.ktoe.EE.Ser.BldNew.Thermal.HW.LPG.LPG</t>
  </si>
  <si>
    <t>TES.ktoe.EE.Ser.BldNew.Thermal.HW.Oil.Oil_LiqBio</t>
  </si>
  <si>
    <t>TES.ktoe.EE.Ser.BldNew.Thermal.HW.Gas.NG_Biogas</t>
  </si>
  <si>
    <t>TES.ktoe.EE.Ser.BldNew.Thermal.HW.Biomass.Biomass_Waste</t>
  </si>
  <si>
    <t>TES.ktoe.EE.Ser.BldNew.Thermal.HW.DistrHeat.Steam_Distr</t>
  </si>
  <si>
    <t>TES.ktoe.EE.Ser.BldNew.Thermal.HW.Elc.Elec</t>
  </si>
  <si>
    <t>TES.ktoe.EE.Ser.BldNew.Thermal.HW.TotalSolar.Solar</t>
  </si>
  <si>
    <t>TES.ktoe.EE.Ser.BldNew.Thermal.CA</t>
  </si>
  <si>
    <t>TES.ktoe.EE.Ser.BldNew.Thermal.CA.LPG</t>
  </si>
  <si>
    <t>TES.ktoe.EE.Ser.BldNew.Thermal.CA.Gas.NG_Biogas</t>
  </si>
  <si>
    <t>TES.ktoe.EE.Ser.BldNew.Thermal.CA.Biomass.Biomass_Waste</t>
  </si>
  <si>
    <t>TES.ktoe.EE.Ser.BldNew.Thermal.CA.Elc.Elec</t>
  </si>
  <si>
    <t>EE - System efficiency indicator of new and renovated buildings</t>
  </si>
  <si>
    <t>Eff.ratio.EE.Ser.BldNew.Thermal</t>
  </si>
  <si>
    <t>Eff.ratio.EE.Ser.BldNew.Thermal.SH</t>
  </si>
  <si>
    <t>Eff.ratio.EE.Ser.BldNew.Thermal.SH.Solids.Solids</t>
  </si>
  <si>
    <t>Eff.ratio.EE.Ser.BldNew.Thermal.SH.LPG.LPG</t>
  </si>
  <si>
    <t>Eff.ratio.EE.Ser.BldNew.Thermal.SH.Oil.Oil_LiqBio</t>
  </si>
  <si>
    <t>Eff.ratio.EE.Ser.BldNew.Thermal.SH.GasHP.NG_Biogas</t>
  </si>
  <si>
    <t>Eff.ratio.EE.Ser.BldNew.Thermal.SH.GasTH.NG_Biogas</t>
  </si>
  <si>
    <t>Eff.ratio.EE.Ser.BldNew.Thermal.SH.Biomass.Biomass_Waste</t>
  </si>
  <si>
    <t>Eff.ratio.EE.Ser.BldNew.Thermal.SH.Geo.Geo</t>
  </si>
  <si>
    <t>Eff.ratio.EE.Ser.BldNew.Thermal.SH.DistrHeat.Steam_Distr</t>
  </si>
  <si>
    <t>Eff.ratio.EE.Ser.BldNew.Thermal.SH.AdvElc.Elec</t>
  </si>
  <si>
    <t>Eff.ratio.EE.Ser.BldNew.Thermal.SH.ConvElc.Elec</t>
  </si>
  <si>
    <t>Eff.ratio.EE.Ser.BldNew.Thermal.SH.TotalCirculation.Elec</t>
  </si>
  <si>
    <t>Eff.ratio.EE.Ser.BldNew.Thermal.SC</t>
  </si>
  <si>
    <t>Eff.ratio.EE.Ser.BldNew.Thermal.SC.GasHP.NG_Biogas</t>
  </si>
  <si>
    <t>Eff.ratio.EE.Ser.BldNew.Thermal.SC.AC.Elec</t>
  </si>
  <si>
    <t>Eff.ratio.EE.Ser.BldNew.Thermal.HW</t>
  </si>
  <si>
    <t>Eff.ratio.EE.Ser.BldNew.Thermal.HW.Solids.Solids</t>
  </si>
  <si>
    <t>Eff.ratio.EE.Ser.BldNew.Thermal.HW.LPG.LPG</t>
  </si>
  <si>
    <t>Eff.ratio.EE.Ser.BldNew.Thermal.HW.Oil.Oil_LiqBio</t>
  </si>
  <si>
    <t>Eff.ratio.EE.Ser.BldNew.Thermal.HW.Gas.NG_Biogas</t>
  </si>
  <si>
    <t>Eff.ratio.EE.Ser.BldNew.Thermal.HW.Biomass.Biomass_Waste</t>
  </si>
  <si>
    <t>Eff.ratio.EE.Ser.BldNew.Thermal.HW.DistrHeat.Steam_Distr</t>
  </si>
  <si>
    <t>Eff.ratio.EE.Ser.BldNew.Thermal.HW.Elc.Elec</t>
  </si>
  <si>
    <t>Eff.ratio.EE.Ser.BldNew.Thermal.HW.TotalSolar.Solar</t>
  </si>
  <si>
    <t>Eff.ratio.EE.Ser.BldNew.Thermal.CA</t>
  </si>
  <si>
    <t>Eff.ratio.EE.Ser.BldNew.Thermal.CA.LPG</t>
  </si>
  <si>
    <t>Eff.ratio.EE.Ser.BldNew.Thermal.CA.Gas.NG_Biogas</t>
  </si>
  <si>
    <t>Eff.ratio.EE.Ser.BldNew.Thermal.CA.Biomass.Biomass_Waste</t>
  </si>
  <si>
    <t>Eff.ratio.EE.Ser.BldNew.Thermal.CA.Elc.Elec</t>
  </si>
  <si>
    <t>EE - CO2 emissions in new and renovated buildings</t>
  </si>
  <si>
    <t>EMI.ktCO2.EE.Ser.BldNew.Thermal</t>
  </si>
  <si>
    <t>EMI.ktCO2.EE.Ser.BldNew.Thermal.SH</t>
  </si>
  <si>
    <t>EMI.ktCO2.EE.Ser.BldNew.Thermal.SH.Solids.Solids</t>
  </si>
  <si>
    <t>EMI.ktCO2.EE.Ser.BldNew.Thermal.SH.LPG.LPG</t>
  </si>
  <si>
    <t>EMI.ktCO2.EE.Ser.BldNew.Thermal.SH.Oil.Oil_LiqBio</t>
  </si>
  <si>
    <t>EMI.ktCO2.EE.Ser.BldNew.Thermal.SH.GasHP.NG_Biogas</t>
  </si>
  <si>
    <t>EMI.ktCO2.EE.Ser.BldNew.Thermal.SH.GasTH.NG_Biogas</t>
  </si>
  <si>
    <t>EMI.ktCO2.EE.Ser.BldNew.Thermal.SH.Biomass.Biomass_Waste</t>
  </si>
  <si>
    <t>EMI.ktCO2.EE.Ser.BldNew.Thermal.SH.Geo.Geo</t>
  </si>
  <si>
    <t>EMI.ktCO2.EE.Ser.BldNew.Thermal.SH.DistrHeat.Steam_Distr</t>
  </si>
  <si>
    <t>EMI.ktCO2.EE.Ser.BldNew.Thermal.SH.AdvElc.Elec</t>
  </si>
  <si>
    <t>EMI.ktCO2.EE.Ser.BldNew.Thermal.SH.ConvElc.Elec</t>
  </si>
  <si>
    <t>EMI.ktCO2.EE.Ser.BldNew.Thermal.SH.TotalCirculation.Elec</t>
  </si>
  <si>
    <t>EMI.ktCO2.EE.Ser.BldNew.Thermal.SC</t>
  </si>
  <si>
    <t>EMI.ktCO2.EE.Ser.BldNew.Thermal.SC.GasHP.NG_Biogas</t>
  </si>
  <si>
    <t>EMI.ktCO2.EE.Ser.BldNew.Thermal.SC.AC.Elec</t>
  </si>
  <si>
    <t>EMI.ktCO2.EE.Ser.BldNew.Thermal.HW</t>
  </si>
  <si>
    <t>EMI.ktCO2.EE.Ser.BldNew.Thermal.HW.Solids.Solids</t>
  </si>
  <si>
    <t>EMI.ktCO2.EE.Ser.BldNew.Thermal.HW.LPG.LPG</t>
  </si>
  <si>
    <t>EMI.ktCO2.EE.Ser.BldNew.Thermal.HW.Oil.Oil_LiqBio</t>
  </si>
  <si>
    <t>EMI.ktCO2.EE.Ser.BldNew.Thermal.HW.Gas.NG_Biogas</t>
  </si>
  <si>
    <t>EMI.ktCO2.EE.Ser.BldNew.Thermal.HW.Biomass.Biomass_Waste</t>
  </si>
  <si>
    <t>EMI.ktCO2.EE.Ser.BldNew.Thermal.HW.DistrHeat.Steam_Distr</t>
  </si>
  <si>
    <t>EMI.ktCO2.EE.Ser.BldNew.Thermal.HW.Elc.Elec</t>
  </si>
  <si>
    <t>EMI.ktCO2.EE.Ser.BldNew.Thermal.HW.TotalSolar.Solar</t>
  </si>
  <si>
    <t>EMI.ktCO2.EE.Ser.BldNew.Thermal.CA</t>
  </si>
  <si>
    <t>EMI.ktCO2.EE.Ser.BldNew.Thermal.CA.LPG</t>
  </si>
  <si>
    <t>EMI.ktCO2.EE.Ser.BldNew.Thermal.CA.Gas.NG_Biogas</t>
  </si>
  <si>
    <t>EMI.ktCO2.EE.Ser.BldNew.Thermal.CA.Biomass.Biomass_Waste</t>
  </si>
  <si>
    <t>EMI.ktCO2.EE.Ser.BldNew.Thermal.CA.Elc.Elec</t>
  </si>
  <si>
    <t>EE - Final energy consumption of new and renovated buildings (per building)</t>
  </si>
  <si>
    <t>FEC_per_building.kWh.EE.Ser.BldNew.Thermal</t>
  </si>
  <si>
    <t>FEC_per_building.kWh.EE.Ser.BldNew.Thermal.SH</t>
  </si>
  <si>
    <t>FEC_per_building.kWh.EE.Ser.BldNew.Thermal.SH.Solids.Solids</t>
  </si>
  <si>
    <t>FEC_per_building.kWh.EE.Ser.BldNew.Thermal.SH.LPG.LPG</t>
  </si>
  <si>
    <t>FEC_per_building.kWh.EE.Ser.BldNew.Thermal.SH.Oil.Oil_LiqBio</t>
  </si>
  <si>
    <t>FEC_per_building.kWh.EE.Ser.BldNew.Thermal.SH.GasHP.NG_Biogas</t>
  </si>
  <si>
    <t>FEC_per_building.kWh.EE.Ser.BldNew.Thermal.SH.GasTH.NG_Biogas</t>
  </si>
  <si>
    <t>FEC_per_building.kWh.EE.Ser.BldNew.Thermal.SH.Biomass.Biomass_Waste</t>
  </si>
  <si>
    <t>FEC_per_building.kWh.EE.Ser.BldNew.Thermal.SH.Geo.Geo</t>
  </si>
  <si>
    <t>FEC_per_building.kWh.EE.Ser.BldNew.Thermal.SH.DistrHeat.Steam_Distr</t>
  </si>
  <si>
    <t>FEC_per_building.kWh.EE.Ser.BldNew.Thermal.SH.AdvElc.Elec</t>
  </si>
  <si>
    <t>FEC_per_building.kWh.EE.Ser.BldNew.Thermal.SH.ConvElc.Elec</t>
  </si>
  <si>
    <t>FEC_per_building.kWh.EE.Ser.BldNew.Thermal.SH.TotalCirculation.Elec</t>
  </si>
  <si>
    <t>FEC_per_building.kWh.EE.Ser.BldNew.Thermal.SC</t>
  </si>
  <si>
    <t>FEC_per_building.kWh.EE.Ser.BldNew.Thermal.SC.GasHP.NG_Biogas</t>
  </si>
  <si>
    <t>FEC_per_building.kWh.EE.Ser.BldNew.Thermal.SC.AC.Elec</t>
  </si>
  <si>
    <t>FEC_per_building.kWh.EE.Ser.BldNew.Thermal.HW</t>
  </si>
  <si>
    <t>FEC_per_building.kWh.EE.Ser.BldNew.Thermal.HW.Solids.Solids</t>
  </si>
  <si>
    <t>FEC_per_building.kWh.EE.Ser.BldNew.Thermal.HW.LPG.LPG</t>
  </si>
  <si>
    <t>FEC_per_building.kWh.EE.Ser.BldNew.Thermal.HW.Oil.Oil_LiqBio</t>
  </si>
  <si>
    <t>FEC_per_building.kWh.EE.Ser.BldNew.Thermal.HW.Gas.NG_Biogas</t>
  </si>
  <si>
    <t>FEC_per_building.kWh.EE.Ser.BldNew.Thermal.HW.Biomass.Biomass_Waste</t>
  </si>
  <si>
    <t>FEC_per_building.kWh.EE.Ser.BldNew.Thermal.HW.DistrHeat.Steam_Distr</t>
  </si>
  <si>
    <t>FEC_per_building.kWh.EE.Ser.BldNew.Thermal.HW.Elc.Elec</t>
  </si>
  <si>
    <t>FEC_per_building.kWh.EE.Ser.BldNew.Thermal.HW.TotalSolar.Solar</t>
  </si>
  <si>
    <t>FEC_per_building.kWh.EE.Ser.BldNew.Thermal.CA</t>
  </si>
  <si>
    <t>FEC_per_building.kWh.EE.Ser.BldNew.Thermal.CA.LPG</t>
  </si>
  <si>
    <t>FEC_per_building.kWh.EE.Ser.BldNew.Thermal.CA.Gas.NG_Biogas</t>
  </si>
  <si>
    <t>FEC_per_building.kWh.EE.Ser.BldNew.Thermal.CA.Biomass.Biomass_Waste</t>
  </si>
  <si>
    <t>FEC_per_building.kWh.EE.Ser.BldNew.Thermal.CA.Elc.Elec</t>
  </si>
  <si>
    <t>EE - Thermal energy service of new and renovated buildings (per building)</t>
  </si>
  <si>
    <t>TES_per_building.kWh.EE.Ser.BldNew.Thermal</t>
  </si>
  <si>
    <t>TES_per_building.kWh.EE.Ser.BldNew.Thermal.SH</t>
  </si>
  <si>
    <t>TES_per_building.kWh.EE.Ser.BldNew.Thermal.SH.Solids.Solids</t>
  </si>
  <si>
    <t>TES_per_building.kWh.EE.Ser.BldNew.Thermal.SH.LPG.LPG</t>
  </si>
  <si>
    <t>TES_per_building.kWh.EE.Ser.BldNew.Thermal.SH.Oil.Oil_LiqBio</t>
  </si>
  <si>
    <t>TES_per_building.kWh.EE.Ser.BldNew.Thermal.SH.GasHP.NG_Biogas</t>
  </si>
  <si>
    <t>TES_per_building.kWh.EE.Ser.BldNew.Thermal.SH.GasTH.NG_Biogas</t>
  </si>
  <si>
    <t>TES_per_building.kWh.EE.Ser.BldNew.Thermal.SH.Biomass.Biomass_Waste</t>
  </si>
  <si>
    <t>TES_per_building.kWh.EE.Ser.BldNew.Thermal.SH.Geo.Geo</t>
  </si>
  <si>
    <t>TES_per_building.kWh.EE.Ser.BldNew.Thermal.SH.DistrHeat.Steam_Distr</t>
  </si>
  <si>
    <t>TES_per_building.kWh.EE.Ser.BldNew.Thermal.SH.AdvElc.Elec</t>
  </si>
  <si>
    <t>TES_per_building.kWh.EE.Ser.BldNew.Thermal.SH.ConvElc.Elec</t>
  </si>
  <si>
    <t>TES_per_building.kWh.EE.Ser.BldNew.Thermal.SH.TotalCirculation.Elec</t>
  </si>
  <si>
    <t>TES_per_building.kWh.EE.Ser.BldNew.Thermal.SC</t>
  </si>
  <si>
    <t>TES_per_building.kWh.EE.Ser.BldNew.Thermal.SC.GasHP.NG_Biogas</t>
  </si>
  <si>
    <t>TES_per_building.kWh.EE.Ser.BldNew.Thermal.SC.AC.Elec</t>
  </si>
  <si>
    <t>TES_per_building.kWh.EE.Ser.BldNew.Thermal.HW</t>
  </si>
  <si>
    <t>TES_per_building.kWh.EE.Ser.BldNew.Thermal.HW.Solids.Solids</t>
  </si>
  <si>
    <t>TES_per_building.kWh.EE.Ser.BldNew.Thermal.HW.LPG.LPG</t>
  </si>
  <si>
    <t>TES_per_building.kWh.EE.Ser.BldNew.Thermal.HW.Oil.Oil_LiqBio</t>
  </si>
  <si>
    <t>TES_per_building.kWh.EE.Ser.BldNew.Thermal.HW.Gas.NG_Biogas</t>
  </si>
  <si>
    <t>TES_per_building.kWh.EE.Ser.BldNew.Thermal.HW.Biomass.Biomass_Waste</t>
  </si>
  <si>
    <t>TES_per_building.kWh.EE.Ser.BldNew.Thermal.HW.DistrHeat.Steam_Distr</t>
  </si>
  <si>
    <t>TES_per_building.kWh.EE.Ser.BldNew.Thermal.HW.Elc.Elec</t>
  </si>
  <si>
    <t>TES_per_building.kWh.EE.Ser.BldNew.Thermal.HW.TotalSolar.Solar</t>
  </si>
  <si>
    <t>TES_per_building.kWh.EE.Ser.BldNew.Thermal.CA</t>
  </si>
  <si>
    <t>TES_per_building.kWh.EE.Ser.BldNew.Thermal.CA.LPG</t>
  </si>
  <si>
    <t>TES_per_building.kWh.EE.Ser.BldNew.Thermal.CA.Gas.NG_Biogas</t>
  </si>
  <si>
    <t>TES_per_building.kWh.EE.Ser.BldNew.Thermal.CA.Biomass.Biomass_Waste</t>
  </si>
  <si>
    <t>TES_per_building.kWh.EE.Ser.BldNew.Thermal.CA.Elc.Elec</t>
  </si>
  <si>
    <t>EE - CO2 emissions in new and renovated buildings (per building)</t>
  </si>
  <si>
    <t>EMI_per_building.kgCO2.EE.Ser.BldNew.Thermal</t>
  </si>
  <si>
    <t>EMI_per_building.kgCO2.EE.Ser.BldNew.Thermal.SH</t>
  </si>
  <si>
    <t>EMI_per_building.kgCO2.EE.Ser.BldNew.Thermal.SH.Solids.Solids</t>
  </si>
  <si>
    <t>EMI_per_building.kgCO2.EE.Ser.BldNew.Thermal.SH.LPG.LPG</t>
  </si>
  <si>
    <t>EMI_per_building.kgCO2.EE.Ser.BldNew.Thermal.SH.Oil.Oil_LiqBio</t>
  </si>
  <si>
    <t>EMI_per_building.kgCO2.EE.Ser.BldNew.Thermal.SH.GasHP.NG_Biogas</t>
  </si>
  <si>
    <t>EMI_per_building.kgCO2.EE.Ser.BldNew.Thermal.SH.GasTH.NG_Biogas</t>
  </si>
  <si>
    <t>EMI_per_building.kgCO2.EE.Ser.BldNew.Thermal.SH.Biomass.Biomass_Waste</t>
  </si>
  <si>
    <t>EMI_per_building.kgCO2.EE.Ser.BldNew.Thermal.SH.Geo.Geo</t>
  </si>
  <si>
    <t>EMI_per_building.kgCO2.EE.Ser.BldNew.Thermal.SH.DistrHeat.Steam_Distr</t>
  </si>
  <si>
    <t>EMI_per_building.kgCO2.EE.Ser.BldNew.Thermal.SH.AdvElc.Elec</t>
  </si>
  <si>
    <t>EMI_per_building.kgCO2.EE.Ser.BldNew.Thermal.SH.ConvElc.Elec</t>
  </si>
  <si>
    <t>EMI_per_building.kgCO2.EE.Ser.BldNew.Thermal.SH.TotalCirculation.Elec</t>
  </si>
  <si>
    <t>EMI_per_building.kgCO2.EE.Ser.BldNew.Thermal.SC</t>
  </si>
  <si>
    <t>EMI_per_building.kgCO2.EE.Ser.BldNew.Thermal.SC.GasHP.NG_Biogas</t>
  </si>
  <si>
    <t>EMI_per_building.kgCO2.EE.Ser.BldNew.Thermal.SC.AC.Elec</t>
  </si>
  <si>
    <t>EMI_per_building.kgCO2.EE.Ser.BldNew.Thermal.HW</t>
  </si>
  <si>
    <t>EMI_per_building.kgCO2.EE.Ser.BldNew.Thermal.HW.Solids.Solids</t>
  </si>
  <si>
    <t>EMI_per_building.kgCO2.EE.Ser.BldNew.Thermal.HW.LPG.LPG</t>
  </si>
  <si>
    <t>EMI_per_building.kgCO2.EE.Ser.BldNew.Thermal.HW.Oil.Oil_LiqBio</t>
  </si>
  <si>
    <t>EMI_per_building.kgCO2.EE.Ser.BldNew.Thermal.HW.Gas.NG_Biogas</t>
  </si>
  <si>
    <t>EMI_per_building.kgCO2.EE.Ser.BldNew.Thermal.HW.Biomass.Biomass_Waste</t>
  </si>
  <si>
    <t>EMI_per_building.kgCO2.EE.Ser.BldNew.Thermal.HW.DistrHeat.Steam_Distr</t>
  </si>
  <si>
    <t>EMI_per_building.kgCO2.EE.Ser.BldNew.Thermal.HW.Elc.Elec</t>
  </si>
  <si>
    <t>EMI_per_building.kgCO2.EE.Ser.BldNew.Thermal.HW.TotalSolar.Solar</t>
  </si>
  <si>
    <t>EMI_per_building.kgCO2.EE.Ser.BldNew.Thermal.CA</t>
  </si>
  <si>
    <t>EMI_per_building.kgCO2.EE.Ser.BldNew.Thermal.CA.LPG</t>
  </si>
  <si>
    <t>EMI_per_building.kgCO2.EE.Ser.BldNew.Thermal.CA.Gas.NG_Biogas</t>
  </si>
  <si>
    <t>EMI_per_building.kgCO2.EE.Ser.BldNew.Thermal.CA.Biomass.Biomass_Waste</t>
  </si>
  <si>
    <t>EMI_per_building.kgCO2.EE.Ser.BldNew.Thermal.CA.Elc.Elec</t>
  </si>
  <si>
    <t>EE - Final energy consumption in new and renovated buildings per surface area</t>
  </si>
  <si>
    <t>FEC_per_sqm.kWh.EE.Ser.BldNew.Thermal</t>
  </si>
  <si>
    <t>FEC_per_sqm.kWh.EE.Ser.BldNew.Thermal.SH</t>
  </si>
  <si>
    <t>FEC_per_sqm.kWh.EE.Ser.BldNew.Thermal.SH.Solids.Solids</t>
  </si>
  <si>
    <t>FEC_per_sqm.kWh.EE.Ser.BldNew.Thermal.SH.LPG.LPG</t>
  </si>
  <si>
    <t>FEC_per_sqm.kWh.EE.Ser.BldNew.Thermal.SH.Oil.Oil_LiqBio</t>
  </si>
  <si>
    <t>FEC_per_sqm.kWh.EE.Ser.BldNew.Thermal.SH.GasHP.NG_Biogas</t>
  </si>
  <si>
    <t>FEC_per_sqm.kWh.EE.Ser.BldNew.Thermal.SH.GasTH.NG_Biogas</t>
  </si>
  <si>
    <t>FEC_per_sqm.kWh.EE.Ser.BldNew.Thermal.SH.Biomass.Biomass_Waste</t>
  </si>
  <si>
    <t>FEC_per_sqm.kWh.EE.Ser.BldNew.Thermal.SH.Geo.Geo</t>
  </si>
  <si>
    <t>FEC_per_sqm.kWh.EE.Ser.BldNew.Thermal.SH.DistrHeat.Steam_Distr</t>
  </si>
  <si>
    <t>FEC_per_sqm.kWh.EE.Ser.BldNew.Thermal.SH.AdvElc.Elec</t>
  </si>
  <si>
    <t>FEC_per_sqm.kWh.EE.Ser.BldNew.Thermal.SH.ConvElc.Elec</t>
  </si>
  <si>
    <t>FEC_per_sqm.kWh.EE.Ser.BldNew.Thermal.SH.TotalCirculation.Elec</t>
  </si>
  <si>
    <t>FEC_per_sqm.kWh.EE.Ser.BldNew.Thermal.SC</t>
  </si>
  <si>
    <t>FEC_per_sqm.kWh.EE.Ser.BldNew.Thermal.SC.GasHP.NG_Biogas</t>
  </si>
  <si>
    <t>FEC_per_sqm.kWh.EE.Ser.BldNew.Thermal.SC.AC.Elec</t>
  </si>
  <si>
    <t>FEC_per_sqm.kWh.EE.Ser.BldNew.Thermal.HW</t>
  </si>
  <si>
    <t>FEC_per_sqm.kWh.EE.Ser.BldNew.Thermal.HW.Solids.Solids</t>
  </si>
  <si>
    <t>FEC_per_sqm.kWh.EE.Ser.BldNew.Thermal.HW.LPG.LPG</t>
  </si>
  <si>
    <t>FEC_per_sqm.kWh.EE.Ser.BldNew.Thermal.HW.Oil.Oil_LiqBio</t>
  </si>
  <si>
    <t>FEC_per_sqm.kWh.EE.Ser.BldNew.Thermal.HW.Gas.NG_Biogas</t>
  </si>
  <si>
    <t>FEC_per_sqm.kWh.EE.Ser.BldNew.Thermal.HW.Biomass.Biomass_Waste</t>
  </si>
  <si>
    <t>FEC_per_sqm.kWh.EE.Ser.BldNew.Thermal.HW.DistrHeat.Steam_Distr</t>
  </si>
  <si>
    <t>FEC_per_sqm.kWh.EE.Ser.BldNew.Thermal.HW.Elc.Elec</t>
  </si>
  <si>
    <t>FEC_per_sqm.kWh.EE.Ser.BldNew.Thermal.HW.TotalSolar.Solar</t>
  </si>
  <si>
    <t>FEC_per_sqm.kWh.EE.Ser.BldNew.Thermal.CA</t>
  </si>
  <si>
    <t>FEC_per_sqm.kWh.EE.Ser.BldNew.Thermal.CA.LPG</t>
  </si>
  <si>
    <t>FEC_per_sqm.kWh.EE.Ser.BldNew.Thermal.CA.Gas.NG_Biogas</t>
  </si>
  <si>
    <t>FEC_per_sqm.kWh.EE.Ser.BldNew.Thermal.CA.Biomass.Biomass_Waste</t>
  </si>
  <si>
    <t>FEC_per_sqm.kWh.EE.Ser.BldNew.Thermal.CA.Elc.Elec</t>
  </si>
  <si>
    <t>EE - Thermal energy service in new and renovated buildings per surface area</t>
  </si>
  <si>
    <t>TES_per_sqm.kWh.EE.Ser.BldNew.Thermal</t>
  </si>
  <si>
    <t>TES_per_sqm.kWh.EE.Ser.BldNew.Thermal.SH</t>
  </si>
  <si>
    <t>TES_per_sqm.kWh.EE.Ser.BldNew.Thermal.SH.Solids.Solids</t>
  </si>
  <si>
    <t>TES_per_sqm.kWh.EE.Ser.BldNew.Thermal.SH.LPG.LPG</t>
  </si>
  <si>
    <t>TES_per_sqm.kWh.EE.Ser.BldNew.Thermal.SH.Oil.Oil_LiqBio</t>
  </si>
  <si>
    <t>TES_per_sqm.kWh.EE.Ser.BldNew.Thermal.SH.GasHP.NG_Biogas</t>
  </si>
  <si>
    <t>TES_per_sqm.kWh.EE.Ser.BldNew.Thermal.SH.GasTH.NG_Biogas</t>
  </si>
  <si>
    <t>TES_per_sqm.kWh.EE.Ser.BldNew.Thermal.SH.Biomass.Biomass_Waste</t>
  </si>
  <si>
    <t>TES_per_sqm.kWh.EE.Ser.BldNew.Thermal.SH.Geo.Geo</t>
  </si>
  <si>
    <t>TES_per_sqm.kWh.EE.Ser.BldNew.Thermal.SH.DistrHeat.Steam_Distr</t>
  </si>
  <si>
    <t>TES_per_sqm.kWh.EE.Ser.BldNew.Thermal.SH.AdvElc.Elec</t>
  </si>
  <si>
    <t>TES_per_sqm.kWh.EE.Ser.BldNew.Thermal.SH.ConvElc.Elec</t>
  </si>
  <si>
    <t>TES_per_sqm.kWh.EE.Ser.BldNew.Thermal.SH.TotalCirculation.Elec</t>
  </si>
  <si>
    <t>TES_per_sqm.kWh.EE.Ser.BldNew.Thermal.SC</t>
  </si>
  <si>
    <t>TES_per_sqm.kWh.EE.Ser.BldNew.Thermal.SC.GasHP.NG_Biogas</t>
  </si>
  <si>
    <t>TES_per_sqm.kWh.EE.Ser.BldNew.Thermal.SC.AC.Elec</t>
  </si>
  <si>
    <t>TES_per_sqm.kWh.EE.Ser.BldNew.Thermal.HW</t>
  </si>
  <si>
    <t>TES_per_sqm.kWh.EE.Ser.BldNew.Thermal.HW.Solids.Solids</t>
  </si>
  <si>
    <t>TES_per_sqm.kWh.EE.Ser.BldNew.Thermal.HW.LPG.LPG</t>
  </si>
  <si>
    <t>TES_per_sqm.kWh.EE.Ser.BldNew.Thermal.HW.Oil.Oil_LiqBio</t>
  </si>
  <si>
    <t>TES_per_sqm.kWh.EE.Ser.BldNew.Thermal.HW.Gas.NG_Biogas</t>
  </si>
  <si>
    <t>TES_per_sqm.kWh.EE.Ser.BldNew.Thermal.HW.Biomass.Biomass_Waste</t>
  </si>
  <si>
    <t>TES_per_sqm.kWh.EE.Ser.BldNew.Thermal.HW.DistrHeat.Steam_Distr</t>
  </si>
  <si>
    <t>TES_per_sqm.kWh.EE.Ser.BldNew.Thermal.HW.Elc.Elec</t>
  </si>
  <si>
    <t>TES_per_sqm.kWh.EE.Ser.BldNew.Thermal.HW.TotalSolar.Solar</t>
  </si>
  <si>
    <t>TES_per_sqm.kWh.EE.Ser.BldNew.Thermal.CA</t>
  </si>
  <si>
    <t>TES_per_sqm.kWh.EE.Ser.BldNew.Thermal.CA.LPG</t>
  </si>
  <si>
    <t>TES_per_sqm.kWh.EE.Ser.BldNew.Thermal.CA.Gas.NG_Biogas</t>
  </si>
  <si>
    <t>TES_per_sqm.kWh.EE.Ser.BldNew.Thermal.CA.Biomass.Biomass_Waste</t>
  </si>
  <si>
    <t>TES_per_sqm.kWh.EE.Ser.BldNew.Thermal.CA.Elc.Elec</t>
  </si>
  <si>
    <t>EE - CO2 emissions in new and renovated buildings per surface area</t>
  </si>
  <si>
    <t>EMI_per_sqm.kgCO2.EE.Ser.BldNew.Thermal</t>
  </si>
  <si>
    <t>EMI_per_sqm.kgCO2.EE.Ser.BldNew.Thermal.SH</t>
  </si>
  <si>
    <t>EMI_per_sqm.kgCO2.EE.Ser.BldNew.Thermal.SH.Solids.Solids</t>
  </si>
  <si>
    <t>EMI_per_sqm.kgCO2.EE.Ser.BldNew.Thermal.SH.LPG.LPG</t>
  </si>
  <si>
    <t>EMI_per_sqm.kgCO2.EE.Ser.BldNew.Thermal.SH.Oil.Oil_LiqBio</t>
  </si>
  <si>
    <t>EMI_per_sqm.kgCO2.EE.Ser.BldNew.Thermal.SH.GasHP.NG_Biogas</t>
  </si>
  <si>
    <t>EMI_per_sqm.kgCO2.EE.Ser.BldNew.Thermal.SH.GasTH.NG_Biogas</t>
  </si>
  <si>
    <t>EMI_per_sqm.kgCO2.EE.Ser.BldNew.Thermal.SH.Biomass.Biomass_Waste</t>
  </si>
  <si>
    <t>EMI_per_sqm.kgCO2.EE.Ser.BldNew.Thermal.SH.Geo.Geo</t>
  </si>
  <si>
    <t>EMI_per_sqm.kgCO2.EE.Ser.BldNew.Thermal.SH.DistrHeat.Steam_Distr</t>
  </si>
  <si>
    <t>EMI_per_sqm.kgCO2.EE.Ser.BldNew.Thermal.SH.AdvElc.Elec</t>
  </si>
  <si>
    <t>EMI_per_sqm.kgCO2.EE.Ser.BldNew.Thermal.SH.ConvElc.Elec</t>
  </si>
  <si>
    <t>EMI_per_sqm.kgCO2.EE.Ser.BldNew.Thermal.SH.TotalCirculation.Elec</t>
  </si>
  <si>
    <t>EMI_per_sqm.kgCO2.EE.Ser.BldNew.Thermal.SC</t>
  </si>
  <si>
    <t>EMI_per_sqm.kgCO2.EE.Ser.BldNew.Thermal.SC.GasHP.NG_Biogas</t>
  </si>
  <si>
    <t>EMI_per_sqm.kgCO2.EE.Ser.BldNew.Thermal.SC.AC.Elec</t>
  </si>
  <si>
    <t>EMI_per_sqm.kgCO2.EE.Ser.BldNew.Thermal.HW</t>
  </si>
  <si>
    <t>EMI_per_sqm.kgCO2.EE.Ser.BldNew.Thermal.HW.Solids.Solids</t>
  </si>
  <si>
    <t>EMI_per_sqm.kgCO2.EE.Ser.BldNew.Thermal.HW.LPG.LPG</t>
  </si>
  <si>
    <t>EMI_per_sqm.kgCO2.EE.Ser.BldNew.Thermal.HW.Oil.Oil_LiqBio</t>
  </si>
  <si>
    <t>EMI_per_sqm.kgCO2.EE.Ser.BldNew.Thermal.HW.Gas.NG_Biogas</t>
  </si>
  <si>
    <t>EMI_per_sqm.kgCO2.EE.Ser.BldNew.Thermal.HW.Biomass.Biomass_Waste</t>
  </si>
  <si>
    <t>EMI_per_sqm.kgCO2.EE.Ser.BldNew.Thermal.HW.DistrHeat.Steam_Distr</t>
  </si>
  <si>
    <t>EMI_per_sqm.kgCO2.EE.Ser.BldNew.Thermal.HW.Elc.Elec</t>
  </si>
  <si>
    <t>EMI_per_sqm.kgCO2.EE.Ser.BldNew.Thermal.HW.TotalSolar.Solar</t>
  </si>
  <si>
    <t>EMI_per_sqm.kgCO2.EE.Ser.BldNew.Thermal.CA</t>
  </si>
  <si>
    <t>EMI_per_sqm.kgCO2.EE.Ser.BldNew.Thermal.CA.LPG</t>
  </si>
  <si>
    <t>EMI_per_sqm.kgCO2.EE.Ser.BldNew.Thermal.CA.Gas.NG_Biogas</t>
  </si>
  <si>
    <t>EMI_per_sqm.kgCO2.EE.Ser.BldNew.Thermal.CA.Biomass.Biomass_Waste</t>
  </si>
  <si>
    <t>EMI_per_sqm.kgCO2.EE.Ser.BldNew.Thermal.CA.Elc.Elec</t>
  </si>
  <si>
    <t>FEC.ktoe.EE.Ser.SEU.VE</t>
  </si>
  <si>
    <t>FEC.ktoe.EE.Ser.SEU.SL</t>
  </si>
  <si>
    <t>FEC.ktoe.EE.Ser.SEU.BL</t>
  </si>
  <si>
    <t>FEC.ktoe.EE.Ser.SEU.CR</t>
  </si>
  <si>
    <t>FEC.ktoe.EE.Ser.SEU.BT</t>
  </si>
  <si>
    <t>FEC.ktoe.EE.Ser.SEU.IT</t>
  </si>
  <si>
    <t>Size.MW.EE.Ser.SEU</t>
  </si>
  <si>
    <t>Size.MW.EE.Ser.SEU.VE</t>
  </si>
  <si>
    <t>Size.MW.EE.Ser.SEU.SL</t>
  </si>
  <si>
    <t>Size.MW.EE.Ser.SEU.BL</t>
  </si>
  <si>
    <t>Size.MW.EE.Ser.SEU.CR</t>
  </si>
  <si>
    <t>Size.MW.EE.Ser.SEU.BT</t>
  </si>
  <si>
    <t>Size.MW.EE.Ser.SEU.IT</t>
  </si>
  <si>
    <t>NUM.Msqm.EE.Ser.SEU.VE</t>
  </si>
  <si>
    <t>NUM.k.EE.Ser.SEU.SL</t>
  </si>
  <si>
    <t>NUM.M.EE.Ser.SEU.BL</t>
  </si>
  <si>
    <t>NUM.k.EE.Ser.SEU.CR</t>
  </si>
  <si>
    <t>NUM.Msqm.EE.Ser.SEU.BT</t>
  </si>
  <si>
    <t>NUM.k.EE.Ser.SEU.IT</t>
  </si>
  <si>
    <t>NUM.Msqm.EE.Ser.SEUnew.VE</t>
  </si>
  <si>
    <t>NUM.k.EE.Ser.SEUnew.SL</t>
  </si>
  <si>
    <t>NUM.M.EE.Ser.SEUnew.BL</t>
  </si>
  <si>
    <t>NUM.k.EE.Ser.SEUnew.CR</t>
  </si>
  <si>
    <t>NUM.Msqm.EE.Ser.SEUnew.BT</t>
  </si>
  <si>
    <t>NUM.k.EE.Ser.SEUnew.IT</t>
  </si>
  <si>
    <t>NUM.Msqm.EE.Ser.SEUrepl.VE</t>
  </si>
  <si>
    <t>NUM.k.EE.Ser.SEUrepl.SL</t>
  </si>
  <si>
    <t>NUM.M.EE.Ser.SEUrepl.BL</t>
  </si>
  <si>
    <t>NUM.k.EE.Ser.SEUrepl.CR</t>
  </si>
  <si>
    <t>NUM.Msqm.EE.Ser.SEUrepl.BT</t>
  </si>
  <si>
    <t>NUM.k.EE.Ser.SEUrepl.IT</t>
  </si>
  <si>
    <t>Op.hours.EE.Ser.SEU.VE</t>
  </si>
  <si>
    <t>Op.hours.EE.Ser.SEU.SL</t>
  </si>
  <si>
    <t>Op.hours.EE.Ser.SEU.BL</t>
  </si>
  <si>
    <t>Op.hours.EE.Ser.SEU.CR</t>
  </si>
  <si>
    <t>Op.hours.EE.Ser.SEU.BT</t>
  </si>
  <si>
    <t>Op.hours.EE.Ser.SEU.IT</t>
  </si>
  <si>
    <t>Size_per_appl.W.EE.Ser.SEU.VE</t>
  </si>
  <si>
    <t>Size_per_appl.W.EE.Ser.SEU.SL</t>
  </si>
  <si>
    <t>Size_per_appl.W.EE.Ser.SEU.BL</t>
  </si>
  <si>
    <t>Size_per_appl.W.EE.Ser.SEU.CR</t>
  </si>
  <si>
    <t>Size_per_appl.W.EE.Ser.SEU.BT</t>
  </si>
  <si>
    <t>Size_per_appl.W.EE.Ser.SEU.IT</t>
  </si>
  <si>
    <t>Size_per_appl.W.EE.Ser.SEUnew.VE</t>
  </si>
  <si>
    <t>Size_per_appl.W.EE.Ser.SEUnew.SL</t>
  </si>
  <si>
    <t>Size_per_appl.W.EE.Ser.SEUnew.BL</t>
  </si>
  <si>
    <t>Size_per_appl.W.EE.Ser.SEUnew.CR</t>
  </si>
  <si>
    <t>Size_per_appl.W.EE.Ser.SEUnew.BT</t>
  </si>
  <si>
    <t>Size_per_appl.W.EE.Ser.SEUnew.IT</t>
  </si>
  <si>
    <t>NUM.sqm_per_building.EE.Ser.SEU.VE</t>
  </si>
  <si>
    <t>NUM.number_per_capita.EE.Ser.SEU.SL</t>
  </si>
  <si>
    <t>NUM.number_per_building.EE.Ser.SEU.BL</t>
  </si>
  <si>
    <t>NUM.number_per_capita.EE.Ser.SEU.CR</t>
  </si>
  <si>
    <t>NUM.sqm_per_building.EE.Ser.SEU.BT</t>
  </si>
  <si>
    <t>NUM.number_per_capita.EE.Ser.SEU.IT</t>
  </si>
  <si>
    <t>Lumens_per_sqm.lumen.EE.Ser.SEU.BL</t>
  </si>
  <si>
    <t>EE - Services / specific electric uses</t>
  </si>
  <si>
    <t>EE - Ventilation and others</t>
  </si>
  <si>
    <t>EE - Street lighting</t>
  </si>
  <si>
    <t>EE - Building lighting</t>
  </si>
  <si>
    <t>EE - Commercial refrigeration</t>
  </si>
  <si>
    <t>EE - Miscellaneous building technologies</t>
  </si>
  <si>
    <t>EE - ICT and multimedia</t>
  </si>
  <si>
    <t>EE - Agriculture, forestry and fishing</t>
  </si>
  <si>
    <t>VA.Meuro2015.EE.AGR.AGR</t>
  </si>
  <si>
    <t>OUTPUT.index.EE.AGR.AGR</t>
  </si>
  <si>
    <t>CAP.index.EE.AGR.AGR</t>
  </si>
  <si>
    <t>NEWCAP.index.EE.AGR.AGR</t>
  </si>
  <si>
    <t>CAPOUT.index.EE.AGR.AGR</t>
  </si>
  <si>
    <t>CAPIDLE.index.EE.AGR.AGR</t>
  </si>
  <si>
    <t>FEC.ktoe.EE.ES.AGR</t>
  </si>
  <si>
    <t>FEC.ktoe.EE.ES.AGR.Solids</t>
  </si>
  <si>
    <t>FEC.ktoe.EE.ES.AGR.LPG</t>
  </si>
  <si>
    <t>FEC.ktoe.EE.ES.AGR.Diesel</t>
  </si>
  <si>
    <t>FEC.ktoe.EE.ES.AGR.RFO</t>
  </si>
  <si>
    <t>FEC.ktoe.EE.ES.AGR.NG</t>
  </si>
  <si>
    <t>FEC.ktoe.EE.ES.AGR.Biomass_Waste</t>
  </si>
  <si>
    <t>FEC.ktoe.EE.ES.AGR.Biogas</t>
  </si>
  <si>
    <t>FEC.ktoe.EE.ES.AGR.LiqBio</t>
  </si>
  <si>
    <t>FEC.ktoe.EE.ES.AGR.Solar</t>
  </si>
  <si>
    <t>FEC.ktoe.EE.ES.AGR.Geo</t>
  </si>
  <si>
    <t>FEC.ktoe.EE.ES.AGR.Ambient</t>
  </si>
  <si>
    <t>FEC.ktoe.EE.ES.AGR.Steam_Distr</t>
  </si>
  <si>
    <t>FEC.ktoe.EE.ES.AGR.Elec</t>
  </si>
  <si>
    <t>EE - Agriculture, forestry and fishing / final energy consumption</t>
  </si>
  <si>
    <t>FEC.ktoe.EE.AGR.AGR.LIGHT.GENERIC.ELEC</t>
  </si>
  <si>
    <t>FEC.ktoe.EE.AGR.AGR.FANS.GENERIC.ELEC</t>
  </si>
  <si>
    <t>FEC.ktoe.EE.AGR.AGR.MOTOR.GENERIC.ELEC</t>
  </si>
  <si>
    <t>FEC.ktoe.EE.AGR.AGR.LOW_ENTH.THERM.DIESEL_LIQBIO</t>
  </si>
  <si>
    <t>FEC.ktoe.EE.AGR.AGR.LOW_ENTH.THERM.NG_BIOGAS</t>
  </si>
  <si>
    <t>FEC.ktoe.EE.AGR.AGR.LOW_ENTH.THERM.SOLAR_GEO</t>
  </si>
  <si>
    <t>FEC.ktoe.EE.AGR.AGR.LOW_ENTH.HP.AMBIENT</t>
  </si>
  <si>
    <t>FEC.ktoe.EE.AGR.AGR.LOW_ENTH.THERM.STEAM_DISTR</t>
  </si>
  <si>
    <t>FEC.ktoe.EE.AGR.AGR.LOW_ENTH.THERM.ELEC</t>
  </si>
  <si>
    <t>FEC.ktoe.EE.AGR.AGR.FARM_DRIVES.MECH.DIESEL_LIQBIO</t>
  </si>
  <si>
    <t>FEC.ktoe.EE.AGR.AGR.HEAT_USE.THERM.SOLIDS</t>
  </si>
  <si>
    <t>FEC.ktoe.EE.AGR.AGR.HEAT_USE.THERM.LPG</t>
  </si>
  <si>
    <t>FEC.ktoe.EE.AGR.AGR.HEAT_USE.THERM.DIESEL_LIQBIO</t>
  </si>
  <si>
    <t>FEC.ktoe.EE.AGR.AGR.HEAT_USE.THERM.RFO</t>
  </si>
  <si>
    <t>FEC.ktoe.EE.AGR.AGR.HEAT_USE.THERM.NG_BIOGAS</t>
  </si>
  <si>
    <t>FEC.ktoe.EE.AGR.AGR.HEAT_USE.THERM.BIOMASS_WASTE</t>
  </si>
  <si>
    <t>FEC.ktoe.EE.AGR.AGR.HEAT_USE.THERM.SOLAR_GEO</t>
  </si>
  <si>
    <t>FEC.ktoe.EE.AGR.AGR.FARM_PUMP.MECH.DIESEL_LIQBIO</t>
  </si>
  <si>
    <t>FEC.ktoe.EE.AGR.AGR.FARM_PUMP_ELEC.MECH.ELEC</t>
  </si>
  <si>
    <t>FEC.ktoe.EE.AGR.AGR.GENERIC.MECH.ELEC</t>
  </si>
  <si>
    <t>EE - Agriculture, forestry and fishing / useful energy demand</t>
  </si>
  <si>
    <t>UED.ktoe.EE.AGR.AGR.LIGHT.GENERIC.ELEC</t>
  </si>
  <si>
    <t>UED.ktoe.EE.AGR.AGR.FANS.GENERIC.ELEC</t>
  </si>
  <si>
    <t>UED.ktoe.EE.AGR.AGR.MOTOR.GENERIC.ELEC</t>
  </si>
  <si>
    <t>UED.ktoe.EE.AGR.AGR.LOW_ENTH.THERM.DIESEL_LIQBIO</t>
  </si>
  <si>
    <t>UED.ktoe.EE.AGR.AGR.LOW_ENTH.THERM.NG_BIOGAS</t>
  </si>
  <si>
    <t>UED.ktoe.EE.AGR.AGR.LOW_ENTH.THERM.SOLAR_GEO</t>
  </si>
  <si>
    <t>UED.ktoe.EE.AGR.AGR.LOW_ENTH.HP.AMBIENT</t>
  </si>
  <si>
    <t>UED.ktoe.EE.AGR.AGR.LOW_ENTH.THERM.STEAM_DISTR</t>
  </si>
  <si>
    <t>UED.ktoe.EE.AGR.AGR.LOW_ENTH.THERM.ELEC</t>
  </si>
  <si>
    <t>UED.ktoe.EE.AGR.AGR.FARM_DRIVES.MECH.DIESEL_LIQBIO</t>
  </si>
  <si>
    <t>UED.ktoe.EE.AGR.AGR.HEAT_USE.THERM.SOLIDS</t>
  </si>
  <si>
    <t>UED.ktoe.EE.AGR.AGR.HEAT_USE.THERM.LPG</t>
  </si>
  <si>
    <t>UED.ktoe.EE.AGR.AGR.HEAT_USE.THERM.DIESEL_LIQBIO</t>
  </si>
  <si>
    <t>UED.ktoe.EE.AGR.AGR.HEAT_USE.THERM.RFO</t>
  </si>
  <si>
    <t>UED.ktoe.EE.AGR.AGR.HEAT_USE.THERM.NG_BIOGAS</t>
  </si>
  <si>
    <t>UED.ktoe.EE.AGR.AGR.HEAT_USE.THERM.BIOMASS_WASTE</t>
  </si>
  <si>
    <t>UED.ktoe.EE.AGR.AGR.HEAT_USE.THERM.SOLAR_GEO</t>
  </si>
  <si>
    <t>UED.ktoe.EE.AGR.AGR.FARM_PUMP.MECH.DIESEL_LIQBIO</t>
  </si>
  <si>
    <t>UED.ktoe.EE.AGR.AGR.FARM_PUMP_ELEC.MECH.ELEC</t>
  </si>
  <si>
    <t>UED.ktoe.EE.AGR.AGR.GENERIC.MECH.ELEC</t>
  </si>
  <si>
    <t>EE - Agriculture, forestry and fishing / CO2 emissions</t>
  </si>
  <si>
    <t>FUEL_EMI.ktCO2.EE.AGR.AGR.LIGHT.GENERIC.ELEC</t>
  </si>
  <si>
    <t>FUEL_EMI.ktCO2.EE.AGR.AGR.FANS.GENERIC.ELEC</t>
  </si>
  <si>
    <t>FUEL_EMI.ktCO2.EE.AGR.AGR.MOTOR.GENERIC.ELEC</t>
  </si>
  <si>
    <t>FUEL_EMI.ktCO2.EE.AGR.AGR.LOW_ENTH.THERM.DIESEL_LIQBIO</t>
  </si>
  <si>
    <t>FUEL_EMI.ktCO2.EE.AGR.AGR.LOW_ENTH.THERM.NG_BIOGAS</t>
  </si>
  <si>
    <t>FUEL_EMI.ktCO2.EE.AGR.AGR.LOW_ENTH.THERM.SOLAR_GEO</t>
  </si>
  <si>
    <t>FUEL_EMI.ktCO2.EE.AGR.AGR.LOW_ENTH.HP.AMBIENT</t>
  </si>
  <si>
    <t>FUEL_EMI.ktCO2.EE.AGR.AGR.LOW_ENTH.THERM.STEAM_DISTR</t>
  </si>
  <si>
    <t>FUEL_EMI.ktCO2.EE.AGR.AGR.LOW_ENTH.THERM.ELEC</t>
  </si>
  <si>
    <t>FUEL_EMI.ktCO2.EE.AGR.AGR.FARM_DRIVES.MECH.DIESEL_LIQBIO</t>
  </si>
  <si>
    <t>FUEL_EMI.ktCO2.EE.AGR.AGR.HEAT_USE.THERM.SOLIDS</t>
  </si>
  <si>
    <t>FUEL_EMI.ktCO2.EE.AGR.AGR.HEAT_USE.THERM.LPG</t>
  </si>
  <si>
    <t>FUEL_EMI.ktCO2.EE.AGR.AGR.HEAT_USE.THERM.DIESEL_LIQBIO</t>
  </si>
  <si>
    <t>FUEL_EMI.ktCO2.EE.AGR.AGR.HEAT_USE.THERM.RFO</t>
  </si>
  <si>
    <t>FUEL_EMI.ktCO2.EE.AGR.AGR.HEAT_USE.THERM.NG_BIOGAS</t>
  </si>
  <si>
    <t>FUEL_EMI.ktCO2.EE.AGR.AGR.HEAT_USE.THERM.BIOMASS_WASTE</t>
  </si>
  <si>
    <t>FUEL_EMI.ktCO2.EE.AGR.AGR.HEAT_USE.THERM.SOLAR_GEO</t>
  </si>
  <si>
    <t>FUEL_EMI.ktCO2.EE.AGR.AGR.FARM_PUMP.MECH.DIESEL_LIQBIO</t>
  </si>
  <si>
    <t>FUEL_EMI.ktCO2.EE.AGR.AGR.FARM_PUMP_ELEC.MECH.ELEC</t>
  </si>
  <si>
    <t>FUEL_EMI.ktCO2.EE.AGR.AGR.GENERIC.MECH.ELEC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</si>
</sst>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45432.783935185187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1401250</v>
      </c>
      <c r="C3" s="34">
        <v>1392720</v>
      </c>
      <c r="D3" s="34">
        <v>1383510</v>
      </c>
      <c r="E3" s="34">
        <v>1375190</v>
      </c>
      <c r="F3" s="34">
        <v>1366250</v>
      </c>
      <c r="G3" s="34">
        <v>1358850</v>
      </c>
      <c r="H3" s="34">
        <v>1350700</v>
      </c>
      <c r="I3" s="34">
        <v>1342920</v>
      </c>
      <c r="J3" s="34">
        <v>1338440</v>
      </c>
      <c r="K3" s="34">
        <v>1335740</v>
      </c>
      <c r="L3" s="34">
        <v>1333290</v>
      </c>
      <c r="M3" s="34">
        <v>1329660</v>
      </c>
      <c r="N3" s="34">
        <v>1325217</v>
      </c>
      <c r="O3" s="34">
        <v>1320174</v>
      </c>
      <c r="P3" s="34">
        <v>1315819</v>
      </c>
      <c r="Q3" s="34">
        <v>1314870</v>
      </c>
      <c r="R3" s="34">
        <v>1315944</v>
      </c>
      <c r="S3" s="34">
        <v>1315635</v>
      </c>
      <c r="T3" s="34">
        <v>1319133</v>
      </c>
      <c r="U3" s="34">
        <v>1324820</v>
      </c>
      <c r="V3" s="34">
        <v>1328976</v>
      </c>
      <c r="W3" s="34">
        <v>1330068</v>
      </c>
      <c r="DA3" s="88" t="s">
        <v>187</v>
      </c>
    </row>
    <row r="4" spans="1:105" ht="12" customHeight="1" x14ac:dyDescent="0.25">
      <c r="A4" s="35" t="s">
        <v>178</v>
      </c>
      <c r="B4" s="36">
        <v>12540.58886879483</v>
      </c>
      <c r="C4" s="36">
        <v>13293.822180787307</v>
      </c>
      <c r="D4" s="36">
        <v>14194.004935404268</v>
      </c>
      <c r="E4" s="36">
        <v>15272.460528154255</v>
      </c>
      <c r="F4" s="36">
        <v>16311.87334211975</v>
      </c>
      <c r="G4" s="36">
        <v>17865.715365715365</v>
      </c>
      <c r="H4" s="36">
        <v>19610.22068706372</v>
      </c>
      <c r="I4" s="36">
        <v>21096.547643548056</v>
      </c>
      <c r="J4" s="36">
        <v>20014.090952885632</v>
      </c>
      <c r="K4" s="36">
        <v>17086.290488338633</v>
      </c>
      <c r="L4" s="36">
        <v>17503.710652243608</v>
      </c>
      <c r="M4" s="36">
        <v>18775.245986535476</v>
      </c>
      <c r="N4" s="36">
        <v>19381.138851629094</v>
      </c>
      <c r="O4" s="36">
        <v>19663.928460018717</v>
      </c>
      <c r="P4" s="36">
        <v>20256.026835330489</v>
      </c>
      <c r="Q4" s="36">
        <v>20631.400000000001</v>
      </c>
      <c r="R4" s="36">
        <v>21282.452758178635</v>
      </c>
      <c r="S4" s="36">
        <v>22515.114873035069</v>
      </c>
      <c r="T4" s="36">
        <v>23367.18419131892</v>
      </c>
      <c r="U4" s="36">
        <v>24309.656545977963</v>
      </c>
      <c r="V4" s="36">
        <v>24074.919252913915</v>
      </c>
      <c r="W4" s="36">
        <v>25820.320589818995</v>
      </c>
      <c r="DA4" s="89" t="s">
        <v>188</v>
      </c>
    </row>
    <row r="5" spans="1:105" ht="12" customHeight="1" x14ac:dyDescent="0.25">
      <c r="A5" s="35" t="s">
        <v>147</v>
      </c>
      <c r="B5" s="36">
        <v>7363.992827727533</v>
      </c>
      <c r="C5" s="36">
        <v>7746.0486853483981</v>
      </c>
      <c r="D5" s="36">
        <v>8227.8236769632858</v>
      </c>
      <c r="E5" s="36">
        <v>8795.4587565482507</v>
      </c>
      <c r="F5" s="36">
        <v>9393.7292345408223</v>
      </c>
      <c r="G5" s="36">
        <v>10204.205941920845</v>
      </c>
      <c r="H5" s="36">
        <v>11007.219457489313</v>
      </c>
      <c r="I5" s="36">
        <v>11635.441401345151</v>
      </c>
      <c r="J5" s="36">
        <v>11611.169775900506</v>
      </c>
      <c r="K5" s="36">
        <v>10339.188880472289</v>
      </c>
      <c r="L5" s="36">
        <v>10485.381574730245</v>
      </c>
      <c r="M5" s="36">
        <v>10931.765023389711</v>
      </c>
      <c r="N5" s="36">
        <v>11374.221339350295</v>
      </c>
      <c r="O5" s="36">
        <v>11560.107850125512</v>
      </c>
      <c r="P5" s="36">
        <v>11957.650658186063</v>
      </c>
      <c r="Q5" s="36">
        <v>12377.600000000002</v>
      </c>
      <c r="R5" s="36">
        <v>12822.320867379007</v>
      </c>
      <c r="S5" s="36">
        <v>13671.617396923135</v>
      </c>
      <c r="T5" s="36">
        <v>14313.147706563428</v>
      </c>
      <c r="U5" s="36">
        <v>15002.482513523166</v>
      </c>
      <c r="V5" s="36">
        <v>15150.86244637072</v>
      </c>
      <c r="W5" s="36">
        <v>15951.029127809048</v>
      </c>
      <c r="DA5" s="89" t="s">
        <v>189</v>
      </c>
    </row>
    <row r="6" spans="1:105" ht="12" customHeight="1" x14ac:dyDescent="0.25">
      <c r="A6" s="37" t="s">
        <v>70</v>
      </c>
      <c r="B6" s="38">
        <v>366720</v>
      </c>
      <c r="C6" s="38">
        <v>373090</v>
      </c>
      <c r="D6" s="38">
        <v>378199.99999999994</v>
      </c>
      <c r="E6" s="38">
        <v>377609.99999999994</v>
      </c>
      <c r="F6" s="38">
        <v>380710.00000000006</v>
      </c>
      <c r="G6" s="38">
        <v>389750</v>
      </c>
      <c r="H6" s="38">
        <v>398439.99999999994</v>
      </c>
      <c r="I6" s="38">
        <v>404559.99999999994</v>
      </c>
      <c r="J6" s="38">
        <v>396980</v>
      </c>
      <c r="K6" s="38">
        <v>388700.00000000006</v>
      </c>
      <c r="L6" s="38">
        <v>382840.00000000006</v>
      </c>
      <c r="M6" s="38">
        <v>386750</v>
      </c>
      <c r="N6" s="38">
        <v>397719.99999999994</v>
      </c>
      <c r="O6" s="38">
        <v>407310</v>
      </c>
      <c r="P6" s="38">
        <v>415560</v>
      </c>
      <c r="Q6" s="38">
        <v>423390.00000000006</v>
      </c>
      <c r="R6" s="38">
        <v>432680.00000000006</v>
      </c>
      <c r="S6" s="38">
        <v>442490</v>
      </c>
      <c r="T6" s="38">
        <v>453150</v>
      </c>
      <c r="U6" s="38">
        <v>450110</v>
      </c>
      <c r="V6" s="38">
        <v>451460</v>
      </c>
      <c r="W6" s="38">
        <v>456749.99999999994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12898.905851480862</v>
      </c>
      <c r="C8" s="34">
        <v>13343.510041058458</v>
      </c>
      <c r="D8" s="34">
        <v>13820.440223099002</v>
      </c>
      <c r="E8" s="34">
        <v>14346.233302105393</v>
      </c>
      <c r="F8" s="34">
        <v>14723.184232768555</v>
      </c>
      <c r="G8" s="34">
        <v>15456.794435126712</v>
      </c>
      <c r="H8" s="34">
        <v>16361.159342903693</v>
      </c>
      <c r="I8" s="34">
        <v>16906.668653433822</v>
      </c>
      <c r="J8" s="34">
        <v>16586.946820310015</v>
      </c>
      <c r="K8" s="34">
        <v>16397.520237962595</v>
      </c>
      <c r="L8" s="34">
        <v>16445.233714106555</v>
      </c>
      <c r="M8" s="34">
        <v>16877.155969264106</v>
      </c>
      <c r="N8" s="34">
        <v>17145.476844967627</v>
      </c>
      <c r="O8" s="34">
        <v>17225.773692538962</v>
      </c>
      <c r="P8" s="34">
        <v>17418.193143585759</v>
      </c>
      <c r="Q8" s="34">
        <v>17806.585081906949</v>
      </c>
      <c r="R8" s="34">
        <v>17982.194583095028</v>
      </c>
      <c r="S8" s="34">
        <v>18286.833448233243</v>
      </c>
      <c r="T8" s="34">
        <v>18523.242572569929</v>
      </c>
      <c r="U8" s="34">
        <v>18712.403646947041</v>
      </c>
      <c r="V8" s="34">
        <v>18888.884444444444</v>
      </c>
      <c r="W8" s="34">
        <v>19049.91703822479</v>
      </c>
      <c r="DA8" s="88" t="s">
        <v>191</v>
      </c>
    </row>
    <row r="9" spans="1:105" ht="12" customHeight="1" x14ac:dyDescent="0.25">
      <c r="A9" s="39" t="s">
        <v>68</v>
      </c>
      <c r="B9" s="40">
        <v>11609.015266332775</v>
      </c>
      <c r="C9" s="40">
        <v>12009.159036952613</v>
      </c>
      <c r="D9" s="40">
        <v>12438.396200789102</v>
      </c>
      <c r="E9" s="40">
        <v>12911.609971894854</v>
      </c>
      <c r="F9" s="40">
        <v>13250.865809491701</v>
      </c>
      <c r="G9" s="40">
        <v>13911.11499161404</v>
      </c>
      <c r="H9" s="40">
        <v>14725.043408613325</v>
      </c>
      <c r="I9" s="40">
        <v>15216.001788090442</v>
      </c>
      <c r="J9" s="40">
        <v>14928.252138279015</v>
      </c>
      <c r="K9" s="40">
        <v>14757.768214166335</v>
      </c>
      <c r="L9" s="40">
        <v>14800.710342695897</v>
      </c>
      <c r="M9" s="40">
        <v>15189.440372337696</v>
      </c>
      <c r="N9" s="40">
        <v>15430.929160470863</v>
      </c>
      <c r="O9" s="40">
        <v>15503.196323285065</v>
      </c>
      <c r="P9" s="40">
        <v>15676.373829227183</v>
      </c>
      <c r="Q9" s="40">
        <v>16025.926573716255</v>
      </c>
      <c r="R9" s="40">
        <v>16183.975124785527</v>
      </c>
      <c r="S9" s="40">
        <v>16458.150103409916</v>
      </c>
      <c r="T9" s="40">
        <v>16670.918315312934</v>
      </c>
      <c r="U9" s="40">
        <v>16841.163282252339</v>
      </c>
      <c r="V9" s="40">
        <v>16999.995999999999</v>
      </c>
      <c r="W9" s="40">
        <v>17144.925334402313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496.06625535343284</v>
      </c>
      <c r="D10" s="41">
        <v>530.09347313127876</v>
      </c>
      <c r="E10" s="41">
        <v>581.08290174075637</v>
      </c>
      <c r="F10" s="41">
        <v>434.36728504116201</v>
      </c>
      <c r="G10" s="41">
        <v>792.30247572232645</v>
      </c>
      <c r="H10" s="41">
        <v>966.03432544223983</v>
      </c>
      <c r="I10" s="41">
        <v>611.0064851539164</v>
      </c>
      <c r="J10" s="41">
        <v>67.623706267417745</v>
      </c>
      <c r="K10" s="41">
        <v>66.347787281240073</v>
      </c>
      <c r="L10" s="41">
        <v>113.21065076774767</v>
      </c>
      <c r="M10" s="41">
        <v>497.84473611006678</v>
      </c>
      <c r="N10" s="41">
        <v>335.94458197093923</v>
      </c>
      <c r="O10" s="41">
        <v>148.77116649620402</v>
      </c>
      <c r="P10" s="41">
        <v>261.319076300392</v>
      </c>
      <c r="Q10" s="41">
        <v>458.14217623223698</v>
      </c>
      <c r="R10" s="41">
        <v>268.83769533419593</v>
      </c>
      <c r="S10" s="41">
        <v>398.78648075650898</v>
      </c>
      <c r="T10" s="41">
        <v>332.15170783529271</v>
      </c>
      <c r="U10" s="41">
        <v>286.14140198219599</v>
      </c>
      <c r="V10" s="41">
        <v>274.45149721963588</v>
      </c>
      <c r="W10" s="41">
        <v>259.92727673555038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446.45962981808958</v>
      </c>
      <c r="D11" s="42">
        <v>477.08412581815088</v>
      </c>
      <c r="E11" s="42">
        <v>522.97461156668078</v>
      </c>
      <c r="F11" s="42">
        <v>390.93055653704579</v>
      </c>
      <c r="G11" s="42">
        <v>713.07222815009379</v>
      </c>
      <c r="H11" s="42">
        <v>869.43089289801594</v>
      </c>
      <c r="I11" s="42">
        <v>549.90583663852487</v>
      </c>
      <c r="J11" s="42">
        <v>60.861335640675982</v>
      </c>
      <c r="K11" s="42">
        <v>59.713008553116069</v>
      </c>
      <c r="L11" s="42">
        <v>101.88958569097289</v>
      </c>
      <c r="M11" s="42">
        <v>448.06026249906017</v>
      </c>
      <c r="N11" s="42">
        <v>302.35012377384533</v>
      </c>
      <c r="O11" s="42">
        <v>133.89404984658361</v>
      </c>
      <c r="P11" s="42">
        <v>235.1871686703528</v>
      </c>
      <c r="Q11" s="42">
        <v>412.32795860901325</v>
      </c>
      <c r="R11" s="42">
        <v>241.95392580077635</v>
      </c>
      <c r="S11" s="42">
        <v>358.90783268085801</v>
      </c>
      <c r="T11" s="42">
        <v>298.93653705176342</v>
      </c>
      <c r="U11" s="42">
        <v>257.52726178397643</v>
      </c>
      <c r="V11" s="42">
        <v>247.00634749767232</v>
      </c>
      <c r="W11" s="42">
        <v>233.93454906199534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3904.14</v>
      </c>
      <c r="C13" s="43">
        <v>4356.83</v>
      </c>
      <c r="D13" s="43">
        <v>4277.7</v>
      </c>
      <c r="E13" s="43">
        <v>4436.75</v>
      </c>
      <c r="F13" s="43">
        <v>4338.2</v>
      </c>
      <c r="G13" s="43">
        <v>4331.9399999999996</v>
      </c>
      <c r="H13" s="43">
        <v>4173.78</v>
      </c>
      <c r="I13" s="43">
        <v>4056.17</v>
      </c>
      <c r="J13" s="43">
        <v>3882.35</v>
      </c>
      <c r="K13" s="43">
        <v>4318.1499999999996</v>
      </c>
      <c r="L13" s="43">
        <v>4887.2299999999996</v>
      </c>
      <c r="M13" s="43">
        <v>4084</v>
      </c>
      <c r="N13" s="43">
        <v>4579.62</v>
      </c>
      <c r="O13" s="43">
        <v>4154.32</v>
      </c>
      <c r="P13" s="43">
        <v>4143.17</v>
      </c>
      <c r="Q13" s="43">
        <v>3795.56</v>
      </c>
      <c r="R13" s="43">
        <v>4208.45</v>
      </c>
      <c r="S13" s="43">
        <v>4209.57</v>
      </c>
      <c r="T13" s="43">
        <v>4064.64</v>
      </c>
      <c r="U13" s="43">
        <v>3883.05</v>
      </c>
      <c r="V13" s="43">
        <v>3553.49</v>
      </c>
      <c r="W13" s="43">
        <v>4283.1000000000004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4173.2909523809521</v>
      </c>
      <c r="C14" s="44">
        <f t="shared" ref="C14:W14" si="0">AVERAGE($B$13:$V$13)</f>
        <v>4173.2909523809521</v>
      </c>
      <c r="D14" s="44">
        <f t="shared" si="0"/>
        <v>4173.2909523809521</v>
      </c>
      <c r="E14" s="44">
        <f t="shared" si="0"/>
        <v>4173.2909523809521</v>
      </c>
      <c r="F14" s="44">
        <f t="shared" si="0"/>
        <v>4173.2909523809521</v>
      </c>
      <c r="G14" s="44">
        <f t="shared" si="0"/>
        <v>4173.2909523809521</v>
      </c>
      <c r="H14" s="44">
        <f t="shared" si="0"/>
        <v>4173.2909523809521</v>
      </c>
      <c r="I14" s="44">
        <f t="shared" si="0"/>
        <v>4173.2909523809521</v>
      </c>
      <c r="J14" s="44">
        <f t="shared" si="0"/>
        <v>4173.2909523809521</v>
      </c>
      <c r="K14" s="44">
        <f t="shared" si="0"/>
        <v>4173.2909523809521</v>
      </c>
      <c r="L14" s="44">
        <f t="shared" si="0"/>
        <v>4173.2909523809521</v>
      </c>
      <c r="M14" s="44">
        <f t="shared" si="0"/>
        <v>4173.2909523809521</v>
      </c>
      <c r="N14" s="44">
        <f t="shared" si="0"/>
        <v>4173.2909523809521</v>
      </c>
      <c r="O14" s="44">
        <f t="shared" si="0"/>
        <v>4173.2909523809521</v>
      </c>
      <c r="P14" s="44">
        <f t="shared" si="0"/>
        <v>4173.2909523809521</v>
      </c>
      <c r="Q14" s="44">
        <f t="shared" si="0"/>
        <v>4173.2909523809521</v>
      </c>
      <c r="R14" s="44">
        <f t="shared" si="0"/>
        <v>4173.2909523809521</v>
      </c>
      <c r="S14" s="44">
        <f t="shared" si="0"/>
        <v>4173.2909523809521</v>
      </c>
      <c r="T14" s="44">
        <f t="shared" si="0"/>
        <v>4173.2909523809521</v>
      </c>
      <c r="U14" s="44">
        <f t="shared" si="0"/>
        <v>4173.2909523809521</v>
      </c>
      <c r="V14" s="44">
        <f t="shared" si="0"/>
        <v>4173.2909523809521</v>
      </c>
      <c r="W14" s="44">
        <f t="shared" si="0"/>
        <v>4173.2909523809521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0.93550630534700774</v>
      </c>
      <c r="C15" s="46">
        <f t="shared" ref="C15:W15" si="1">C13/C14</f>
        <v>1.0439794516397987</v>
      </c>
      <c r="D15" s="46">
        <f t="shared" si="1"/>
        <v>1.0250183964670567</v>
      </c>
      <c r="E15" s="46">
        <f t="shared" si="1"/>
        <v>1.0631298058595073</v>
      </c>
      <c r="F15" s="46">
        <f t="shared" si="1"/>
        <v>1.0395153487980424</v>
      </c>
      <c r="G15" s="46">
        <f t="shared" si="1"/>
        <v>1.0380153335651172</v>
      </c>
      <c r="H15" s="46">
        <f t="shared" si="1"/>
        <v>1.0001171851243127</v>
      </c>
      <c r="I15" s="46">
        <f t="shared" si="1"/>
        <v>0.97193558903097033</v>
      </c>
      <c r="J15" s="46">
        <f t="shared" si="1"/>
        <v>0.93028500631738509</v>
      </c>
      <c r="K15" s="46">
        <f t="shared" si="1"/>
        <v>1.0347109869098396</v>
      </c>
      <c r="L15" s="46">
        <f t="shared" si="1"/>
        <v>1.1710733940588853</v>
      </c>
      <c r="M15" s="46">
        <f t="shared" si="1"/>
        <v>0.97860418710322372</v>
      </c>
      <c r="N15" s="46">
        <f t="shared" si="1"/>
        <v>1.0973641790748445</v>
      </c>
      <c r="O15" s="46">
        <f t="shared" si="1"/>
        <v>0.99545419847371797</v>
      </c>
      <c r="P15" s="46">
        <f t="shared" si="1"/>
        <v>0.99278244610197441</v>
      </c>
      <c r="Q15" s="46">
        <f t="shared" si="1"/>
        <v>0.90948846924620763</v>
      </c>
      <c r="R15" s="46">
        <f t="shared" si="1"/>
        <v>1.0084247774766311</v>
      </c>
      <c r="S15" s="46">
        <f t="shared" si="1"/>
        <v>1.0086931508090395</v>
      </c>
      <c r="T15" s="46">
        <f t="shared" si="1"/>
        <v>0.97396516235730834</v>
      </c>
      <c r="U15" s="46">
        <f t="shared" si="1"/>
        <v>0.9304527396501403</v>
      </c>
      <c r="V15" s="46">
        <f t="shared" si="1"/>
        <v>0.85148388658898977</v>
      </c>
      <c r="W15" s="46">
        <f t="shared" si="1"/>
        <v>1.02631233931974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8949.5727877215559</v>
      </c>
      <c r="C19" s="34">
        <f t="shared" si="2"/>
        <v>9545.2224286197561</v>
      </c>
      <c r="D19" s="34">
        <f t="shared" ref="D19:W19" si="3">D4*1000000/D3</f>
        <v>10259.41622063033</v>
      </c>
      <c r="E19" s="34">
        <f t="shared" si="3"/>
        <v>11105.709413356884</v>
      </c>
      <c r="F19" s="34">
        <f t="shared" si="3"/>
        <v>11939.157066510339</v>
      </c>
      <c r="G19" s="34">
        <f t="shared" si="3"/>
        <v>13147.672933521262</v>
      </c>
      <c r="H19" s="34">
        <f t="shared" si="3"/>
        <v>14518.561254952041</v>
      </c>
      <c r="I19" s="34">
        <f t="shared" si="3"/>
        <v>15709.459717293701</v>
      </c>
      <c r="J19" s="34">
        <f t="shared" si="3"/>
        <v>14953.297086821696</v>
      </c>
      <c r="K19" s="34">
        <f t="shared" si="3"/>
        <v>12791.628975952381</v>
      </c>
      <c r="L19" s="34">
        <f t="shared" si="3"/>
        <v>13128.209655996525</v>
      </c>
      <c r="M19" s="34">
        <f t="shared" si="3"/>
        <v>14120.336015624653</v>
      </c>
      <c r="N19" s="34">
        <f t="shared" si="3"/>
        <v>14624.879436069032</v>
      </c>
      <c r="O19" s="34">
        <f t="shared" si="3"/>
        <v>14894.952074513447</v>
      </c>
      <c r="P19" s="34">
        <f t="shared" si="3"/>
        <v>15394.234948218935</v>
      </c>
      <c r="Q19" s="34">
        <f t="shared" si="3"/>
        <v>15690.82875113129</v>
      </c>
      <c r="R19" s="34">
        <f t="shared" si="3"/>
        <v>16172.764766721559</v>
      </c>
      <c r="S19" s="34">
        <f t="shared" si="3"/>
        <v>17113.496427987298</v>
      </c>
      <c r="T19" s="34">
        <f t="shared" si="3"/>
        <v>17714.047174408435</v>
      </c>
      <c r="U19" s="34">
        <f t="shared" si="3"/>
        <v>18349.403349872406</v>
      </c>
      <c r="V19" s="34">
        <f t="shared" si="3"/>
        <v>18115.390535956943</v>
      </c>
      <c r="W19" s="34">
        <f t="shared" si="3"/>
        <v>19412.782346330412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20080.695974387909</v>
      </c>
      <c r="C20" s="36">
        <f t="shared" si="4"/>
        <v>20761.876987719847</v>
      </c>
      <c r="D20" s="36">
        <f t="shared" ref="D20:W20" si="5">D5*1000000/D6</f>
        <v>21755.218606460305</v>
      </c>
      <c r="E20" s="36">
        <f t="shared" si="5"/>
        <v>23292.441292731262</v>
      </c>
      <c r="F20" s="36">
        <f t="shared" si="5"/>
        <v>24674.238224740147</v>
      </c>
      <c r="G20" s="36">
        <f t="shared" si="5"/>
        <v>26181.41357773148</v>
      </c>
      <c r="H20" s="36">
        <f t="shared" si="5"/>
        <v>27625.789221687868</v>
      </c>
      <c r="I20" s="36">
        <f t="shared" si="5"/>
        <v>28760.731168047147</v>
      </c>
      <c r="J20" s="36">
        <f t="shared" si="5"/>
        <v>29248.75252128698</v>
      </c>
      <c r="K20" s="36">
        <f t="shared" si="5"/>
        <v>26599.405403839177</v>
      </c>
      <c r="L20" s="36">
        <f t="shared" si="5"/>
        <v>27388.417027296637</v>
      </c>
      <c r="M20" s="36">
        <f t="shared" si="5"/>
        <v>28265.714346191886</v>
      </c>
      <c r="N20" s="36">
        <f t="shared" si="5"/>
        <v>28598.565169843856</v>
      </c>
      <c r="O20" s="36">
        <f t="shared" si="5"/>
        <v>28381.595959160131</v>
      </c>
      <c r="P20" s="36">
        <f t="shared" si="5"/>
        <v>28774.787415020848</v>
      </c>
      <c r="Q20" s="36">
        <f t="shared" si="5"/>
        <v>29234.511915727817</v>
      </c>
      <c r="R20" s="36">
        <f t="shared" si="5"/>
        <v>29634.65116802026</v>
      </c>
      <c r="S20" s="36">
        <f t="shared" si="5"/>
        <v>30897.008739006837</v>
      </c>
      <c r="T20" s="36">
        <f t="shared" si="5"/>
        <v>31585.893647938716</v>
      </c>
      <c r="U20" s="36">
        <f t="shared" si="5"/>
        <v>33330.702524989814</v>
      </c>
      <c r="V20" s="36">
        <f t="shared" si="5"/>
        <v>33559.700629891289</v>
      </c>
      <c r="W20" s="36">
        <f t="shared" si="5"/>
        <v>34922.888074020906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5255.3026424460541</v>
      </c>
      <c r="C21" s="36">
        <f t="shared" si="6"/>
        <v>5561.8133475130662</v>
      </c>
      <c r="D21" s="36">
        <f t="shared" ref="D21:W21" si="7">D5*1000000/D3</f>
        <v>5947.064840126407</v>
      </c>
      <c r="E21" s="36">
        <f t="shared" si="7"/>
        <v>6395.8134923525113</v>
      </c>
      <c r="F21" s="36">
        <f t="shared" si="7"/>
        <v>6875.5566218048107</v>
      </c>
      <c r="G21" s="36">
        <f t="shared" si="7"/>
        <v>7509.4425005856756</v>
      </c>
      <c r="H21" s="36">
        <f t="shared" si="7"/>
        <v>8149.2703468492728</v>
      </c>
      <c r="I21" s="36">
        <f t="shared" si="7"/>
        <v>8664.2848429877813</v>
      </c>
      <c r="J21" s="36">
        <f t="shared" si="7"/>
        <v>8675.1515016739668</v>
      </c>
      <c r="K21" s="36">
        <f t="shared" si="7"/>
        <v>7740.4202018898068</v>
      </c>
      <c r="L21" s="36">
        <f t="shared" si="7"/>
        <v>7864.2917705302261</v>
      </c>
      <c r="M21" s="36">
        <f t="shared" si="7"/>
        <v>8221.4739282145147</v>
      </c>
      <c r="N21" s="36">
        <f t="shared" si="7"/>
        <v>8582.9123376400221</v>
      </c>
      <c r="O21" s="36">
        <f t="shared" si="7"/>
        <v>8756.5031958859308</v>
      </c>
      <c r="P21" s="36">
        <f t="shared" si="7"/>
        <v>9087.6105742401232</v>
      </c>
      <c r="Q21" s="36">
        <f t="shared" si="7"/>
        <v>9413.55419166914</v>
      </c>
      <c r="R21" s="36">
        <f t="shared" si="7"/>
        <v>9743.8195450406765</v>
      </c>
      <c r="S21" s="36">
        <f t="shared" si="7"/>
        <v>10391.649201277813</v>
      </c>
      <c r="T21" s="36">
        <f t="shared" si="7"/>
        <v>10850.420470538929</v>
      </c>
      <c r="U21" s="36">
        <f t="shared" si="7"/>
        <v>11324.166689454541</v>
      </c>
      <c r="V21" s="36">
        <f t="shared" si="7"/>
        <v>11400.403352935433</v>
      </c>
      <c r="W21" s="36">
        <f t="shared" si="7"/>
        <v>11992.641825687895</v>
      </c>
      <c r="DA21" s="89"/>
    </row>
    <row r="22" spans="1:105" ht="12" customHeight="1" x14ac:dyDescent="0.25">
      <c r="A22" s="51" t="s">
        <v>152</v>
      </c>
      <c r="B22" s="52">
        <v>0.36122125632778274</v>
      </c>
      <c r="C22" s="52">
        <v>0.37257556004615333</v>
      </c>
      <c r="D22" s="52">
        <v>0.39079371779958777</v>
      </c>
      <c r="E22" s="52">
        <v>0.41561803239660122</v>
      </c>
      <c r="F22" s="52">
        <v>0.43656526146268682</v>
      </c>
      <c r="G22" s="52">
        <v>0.46735807006842151</v>
      </c>
      <c r="H22" s="52">
        <v>0.49284938808139944</v>
      </c>
      <c r="I22" s="52">
        <v>0.50852227569784347</v>
      </c>
      <c r="J22" s="52">
        <v>0.50255143049128692</v>
      </c>
      <c r="K22" s="52">
        <v>0.45870191844002267</v>
      </c>
      <c r="L22" s="52">
        <v>0.45983112758020633</v>
      </c>
      <c r="M22" s="52">
        <v>0.47176083613789277</v>
      </c>
      <c r="N22" s="52">
        <v>0.4940005048810871</v>
      </c>
      <c r="O22" s="52">
        <v>0.50208195541303435</v>
      </c>
      <c r="P22" s="52">
        <v>0.51432963793848996</v>
      </c>
      <c r="Q22" s="52">
        <v>0.52512939474286957</v>
      </c>
      <c r="R22" s="52">
        <v>0.53486927413012664</v>
      </c>
      <c r="S22" s="52">
        <v>0.55577624585968677</v>
      </c>
      <c r="T22" s="52">
        <v>0.5683095039695335</v>
      </c>
      <c r="U22" s="52">
        <v>0.5820191915055033</v>
      </c>
      <c r="V22" s="52">
        <v>0.62072997720130629</v>
      </c>
      <c r="W22" s="52">
        <v>0.61974967318832763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28.430318371375556</v>
      </c>
      <c r="C23" s="53">
        <f t="shared" si="8"/>
        <v>27.960409131629437</v>
      </c>
      <c r="D23" s="53">
        <f t="shared" ref="D23:W23" si="9">D6/D8</f>
        <v>27.365264339980261</v>
      </c>
      <c r="E23" s="53">
        <f t="shared" si="9"/>
        <v>26.321194703043307</v>
      </c>
      <c r="F23" s="53">
        <f t="shared" si="9"/>
        <v>25.857857511059017</v>
      </c>
      <c r="G23" s="53">
        <f t="shared" si="9"/>
        <v>25.215448237718956</v>
      </c>
      <c r="H23" s="53">
        <f t="shared" si="9"/>
        <v>24.352797479037747</v>
      </c>
      <c r="I23" s="53">
        <f t="shared" si="9"/>
        <v>23.929019270028217</v>
      </c>
      <c r="J23" s="53">
        <f t="shared" si="9"/>
        <v>23.93327743198132</v>
      </c>
      <c r="K23" s="53">
        <f t="shared" si="9"/>
        <v>23.704803797107331</v>
      </c>
      <c r="L23" s="53">
        <f t="shared" si="9"/>
        <v>23.279693475660597</v>
      </c>
      <c r="M23" s="53">
        <f t="shared" si="9"/>
        <v>22.915590796478458</v>
      </c>
      <c r="N23" s="53">
        <f t="shared" si="9"/>
        <v>23.196788493913182</v>
      </c>
      <c r="O23" s="53">
        <f t="shared" si="9"/>
        <v>23.64538204611495</v>
      </c>
      <c r="P23" s="53">
        <f t="shared" si="9"/>
        <v>23.857813297530793</v>
      </c>
      <c r="Q23" s="53">
        <f t="shared" si="9"/>
        <v>23.777158733832767</v>
      </c>
      <c r="R23" s="53">
        <f t="shared" si="9"/>
        <v>24.061579247216041</v>
      </c>
      <c r="S23" s="53">
        <f t="shared" si="9"/>
        <v>24.197190905282213</v>
      </c>
      <c r="T23" s="53">
        <f t="shared" si="9"/>
        <v>24.463859295944513</v>
      </c>
      <c r="U23" s="53">
        <f t="shared" si="9"/>
        <v>24.054098473524334</v>
      </c>
      <c r="V23" s="53">
        <f t="shared" si="9"/>
        <v>23.900829153136272</v>
      </c>
      <c r="W23" s="53">
        <f t="shared" si="9"/>
        <v>23.976482369109743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8.2847566575077796</v>
      </c>
      <c r="C24" s="54">
        <f t="shared" si="10"/>
        <v>8.6228093492967819</v>
      </c>
      <c r="D24" s="54">
        <f t="shared" ref="D24:W24" si="11">D9*1000/D3</f>
        <v>8.9904635317338517</v>
      </c>
      <c r="E24" s="54">
        <f t="shared" si="11"/>
        <v>9.3889644135681998</v>
      </c>
      <c r="F24" s="54">
        <f t="shared" si="11"/>
        <v>9.6987123948704124</v>
      </c>
      <c r="G24" s="54">
        <f t="shared" si="11"/>
        <v>10.237417663181397</v>
      </c>
      <c r="H24" s="54">
        <f t="shared" si="11"/>
        <v>10.901786783603557</v>
      </c>
      <c r="I24" s="54">
        <f t="shared" si="11"/>
        <v>11.330534795885415</v>
      </c>
      <c r="J24" s="54">
        <f t="shared" si="11"/>
        <v>11.153471308597334</v>
      </c>
      <c r="K24" s="54">
        <f t="shared" si="11"/>
        <v>11.048383827815545</v>
      </c>
      <c r="L24" s="54">
        <f t="shared" si="11"/>
        <v>11.100893536061845</v>
      </c>
      <c r="M24" s="54">
        <f t="shared" si="11"/>
        <v>11.42355216546914</v>
      </c>
      <c r="N24" s="54">
        <f t="shared" si="11"/>
        <v>11.644077279774455</v>
      </c>
      <c r="O24" s="54">
        <f t="shared" si="11"/>
        <v>11.743297719304474</v>
      </c>
      <c r="P24" s="54">
        <f t="shared" si="11"/>
        <v>11.913776765062051</v>
      </c>
      <c r="Q24" s="54">
        <f t="shared" si="11"/>
        <v>12.188221325086324</v>
      </c>
      <c r="R24" s="54">
        <f t="shared" si="11"/>
        <v>12.298376773468725</v>
      </c>
      <c r="S24" s="54">
        <f t="shared" si="11"/>
        <v>12.509662712994041</v>
      </c>
      <c r="T24" s="54">
        <f t="shared" si="11"/>
        <v>12.637784298712059</v>
      </c>
      <c r="U24" s="54">
        <f t="shared" si="11"/>
        <v>12.712038829616354</v>
      </c>
      <c r="V24" s="54">
        <f t="shared" si="11"/>
        <v>12.791800604375098</v>
      </c>
      <c r="W24" s="54">
        <f t="shared" si="11"/>
        <v>12.890262253059475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31.656346166919654</v>
      </c>
      <c r="C25" s="54">
        <f t="shared" si="12"/>
        <v>32.188370197412453</v>
      </c>
      <c r="D25" s="54">
        <f t="shared" ref="D25:W25" si="13">D9*1000/D6</f>
        <v>32.888408780510588</v>
      </c>
      <c r="E25" s="54">
        <f t="shared" si="13"/>
        <v>34.192976806479848</v>
      </c>
      <c r="F25" s="54">
        <f t="shared" si="13"/>
        <v>34.805667856089144</v>
      </c>
      <c r="G25" s="54">
        <f t="shared" si="13"/>
        <v>35.692405366553018</v>
      </c>
      <c r="H25" s="54">
        <f t="shared" si="13"/>
        <v>36.956739806779758</v>
      </c>
      <c r="I25" s="54">
        <f t="shared" si="13"/>
        <v>37.611236375544898</v>
      </c>
      <c r="J25" s="54">
        <f t="shared" si="13"/>
        <v>37.604544657864416</v>
      </c>
      <c r="K25" s="54">
        <f t="shared" si="13"/>
        <v>37.966987944858076</v>
      </c>
      <c r="L25" s="54">
        <f t="shared" si="13"/>
        <v>38.660302848960129</v>
      </c>
      <c r="M25" s="54">
        <f t="shared" si="13"/>
        <v>39.274571098481438</v>
      </c>
      <c r="N25" s="54">
        <f t="shared" si="13"/>
        <v>38.798474204140767</v>
      </c>
      <c r="O25" s="54">
        <f t="shared" si="13"/>
        <v>38.062400440168581</v>
      </c>
      <c r="P25" s="54">
        <f t="shared" si="13"/>
        <v>37.723490781661333</v>
      </c>
      <c r="Q25" s="54">
        <f t="shared" si="13"/>
        <v>37.851452735577723</v>
      </c>
      <c r="R25" s="54">
        <f t="shared" si="13"/>
        <v>37.404028669653151</v>
      </c>
      <c r="S25" s="54">
        <f t="shared" si="13"/>
        <v>37.194400107143473</v>
      </c>
      <c r="T25" s="54">
        <f t="shared" si="13"/>
        <v>36.788962408281883</v>
      </c>
      <c r="U25" s="54">
        <f t="shared" si="13"/>
        <v>37.415661243367929</v>
      </c>
      <c r="V25" s="54">
        <f t="shared" si="13"/>
        <v>37.655597395118065</v>
      </c>
      <c r="W25" s="54">
        <f t="shared" si="13"/>
        <v>37.536782341329641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899.99999999999989</v>
      </c>
      <c r="H26" s="55">
        <f t="shared" si="15"/>
        <v>900</v>
      </c>
      <c r="I26" s="55">
        <f t="shared" si="15"/>
        <v>900.00000000000011</v>
      </c>
      <c r="J26" s="55">
        <f t="shared" si="15"/>
        <v>900.00000000000011</v>
      </c>
      <c r="K26" s="55">
        <f t="shared" si="15"/>
        <v>900</v>
      </c>
      <c r="L26" s="55">
        <f t="shared" si="15"/>
        <v>899.99999999999989</v>
      </c>
      <c r="M26" s="55">
        <f t="shared" si="15"/>
        <v>900.00000000000011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899.99999999999989</v>
      </c>
      <c r="T26" s="55">
        <f t="shared" si="15"/>
        <v>900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</v>
      </c>
      <c r="E27" s="57">
        <f t="shared" si="17"/>
        <v>900.00000000000011</v>
      </c>
      <c r="F27" s="57">
        <f t="shared" si="17"/>
        <v>900</v>
      </c>
      <c r="G27" s="57">
        <f t="shared" si="17"/>
        <v>900</v>
      </c>
      <c r="H27" s="57">
        <f t="shared" si="17"/>
        <v>900.00000000000011</v>
      </c>
      <c r="I27" s="57">
        <f t="shared" si="17"/>
        <v>900.00000000000023</v>
      </c>
      <c r="J27" s="57">
        <f t="shared" si="17"/>
        <v>900.00000000000023</v>
      </c>
      <c r="K27" s="57">
        <f t="shared" si="17"/>
        <v>900</v>
      </c>
      <c r="L27" s="57">
        <f t="shared" si="17"/>
        <v>899.99999999999989</v>
      </c>
      <c r="M27" s="57">
        <f t="shared" si="17"/>
        <v>900.00000000000023</v>
      </c>
      <c r="N27" s="57">
        <f t="shared" si="17"/>
        <v>900</v>
      </c>
      <c r="O27" s="57">
        <f t="shared" si="17"/>
        <v>899.99999999999989</v>
      </c>
      <c r="P27" s="57">
        <f t="shared" si="17"/>
        <v>900</v>
      </c>
      <c r="Q27" s="57">
        <f t="shared" si="17"/>
        <v>899.99999999999989</v>
      </c>
      <c r="R27" s="57">
        <f t="shared" si="17"/>
        <v>900</v>
      </c>
      <c r="S27" s="57">
        <f t="shared" si="17"/>
        <v>899.99999999999989</v>
      </c>
      <c r="T27" s="57">
        <f t="shared" si="17"/>
        <v>900</v>
      </c>
      <c r="U27" s="57">
        <f t="shared" si="17"/>
        <v>900.00000000000011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295.66268271711084</v>
      </c>
      <c r="C31" s="80">
        <f t="shared" ref="C31:W31" si="18">SUM(C32:C33,C36:C37,C44:C45)</f>
        <v>303.83757523645738</v>
      </c>
      <c r="D31" s="80">
        <f t="shared" si="18"/>
        <v>306.93989681857266</v>
      </c>
      <c r="E31" s="80">
        <f t="shared" si="18"/>
        <v>347.31771281169392</v>
      </c>
      <c r="F31" s="80">
        <f t="shared" si="18"/>
        <v>388.34703353396384</v>
      </c>
      <c r="G31" s="80">
        <f t="shared" si="18"/>
        <v>398.95795356835765</v>
      </c>
      <c r="H31" s="80">
        <f t="shared" si="18"/>
        <v>404.57463456577807</v>
      </c>
      <c r="I31" s="80">
        <f t="shared" si="18"/>
        <v>417.12101976323049</v>
      </c>
      <c r="J31" s="80">
        <f t="shared" si="18"/>
        <v>441.80215219947411</v>
      </c>
      <c r="K31" s="80">
        <f t="shared" si="18"/>
        <v>426.34436946291277</v>
      </c>
      <c r="L31" s="80">
        <f t="shared" si="18"/>
        <v>429.92358544726551</v>
      </c>
      <c r="M31" s="80">
        <f t="shared" si="18"/>
        <v>407.44649512817239</v>
      </c>
      <c r="N31" s="80">
        <f t="shared" si="18"/>
        <v>428.50043219988726</v>
      </c>
      <c r="O31" s="80">
        <f t="shared" si="18"/>
        <v>421.88388982143272</v>
      </c>
      <c r="P31" s="80">
        <f t="shared" si="18"/>
        <v>460.31656603564869</v>
      </c>
      <c r="Q31" s="80">
        <f t="shared" si="18"/>
        <v>468.93453651027016</v>
      </c>
      <c r="R31" s="80">
        <f t="shared" si="18"/>
        <v>501.7636291333136</v>
      </c>
      <c r="S31" s="80">
        <f t="shared" si="18"/>
        <v>469.9997381913185</v>
      </c>
      <c r="T31" s="80">
        <f t="shared" si="18"/>
        <v>492.90102498707063</v>
      </c>
      <c r="U31" s="80">
        <f t="shared" si="18"/>
        <v>465.70498098082066</v>
      </c>
      <c r="V31" s="80">
        <f t="shared" si="18"/>
        <v>471.78629143955607</v>
      </c>
      <c r="W31" s="80">
        <f t="shared" si="18"/>
        <v>513.68127438624401</v>
      </c>
      <c r="DA31" s="103" t="s">
        <v>198</v>
      </c>
    </row>
    <row r="32" spans="1:105" ht="12" customHeight="1" x14ac:dyDescent="0.25">
      <c r="A32" s="58" t="s">
        <v>29</v>
      </c>
      <c r="B32" s="59">
        <v>5.5365434221840077</v>
      </c>
      <c r="C32" s="59">
        <v>6.8846947549441104</v>
      </c>
      <c r="D32" s="59">
        <v>5.9856405846947549</v>
      </c>
      <c r="E32" s="59">
        <v>6.3698194325021493</v>
      </c>
      <c r="F32" s="59">
        <v>6.2254514187446262</v>
      </c>
      <c r="G32" s="59">
        <v>7.3104901117798802</v>
      </c>
      <c r="H32" s="59">
        <v>4.491315563198623</v>
      </c>
      <c r="I32" s="59">
        <v>4.9223559759243329</v>
      </c>
      <c r="J32" s="59">
        <v>3.358727429062768</v>
      </c>
      <c r="K32" s="59">
        <v>2.7104041272570929</v>
      </c>
      <c r="L32" s="59">
        <v>2.328202923473774</v>
      </c>
      <c r="M32" s="59">
        <v>1.6836629406706791</v>
      </c>
      <c r="N32" s="59">
        <v>2.0276010318142732</v>
      </c>
      <c r="O32" s="59">
        <v>3.3198624247635422</v>
      </c>
      <c r="P32" s="59">
        <v>2.0232158211521925</v>
      </c>
      <c r="Q32" s="59">
        <v>1.7260533104041271</v>
      </c>
      <c r="R32" s="59">
        <v>2.2128976784178849</v>
      </c>
      <c r="S32" s="59">
        <v>1</v>
      </c>
      <c r="T32" s="59">
        <v>1.050902837489252</v>
      </c>
      <c r="U32" s="59">
        <v>0.95907136715391217</v>
      </c>
      <c r="V32" s="59">
        <v>1.030524505588994</v>
      </c>
      <c r="W32" s="59">
        <v>1.0126397248495269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53.668701633705929</v>
      </c>
      <c r="C33" s="55">
        <f t="shared" ref="C33:W33" si="19">SUM(C34:C35)</f>
        <v>65.265176268271702</v>
      </c>
      <c r="D33" s="55">
        <f t="shared" si="19"/>
        <v>45.006964746345659</v>
      </c>
      <c r="E33" s="55">
        <f t="shared" si="19"/>
        <v>40.572914875322446</v>
      </c>
      <c r="F33" s="55">
        <f t="shared" si="19"/>
        <v>41.510576096302671</v>
      </c>
      <c r="G33" s="55">
        <f t="shared" si="19"/>
        <v>46.856663800515911</v>
      </c>
      <c r="H33" s="55">
        <f t="shared" si="19"/>
        <v>36.753310404127255</v>
      </c>
      <c r="I33" s="55">
        <f t="shared" si="19"/>
        <v>39.073860705073088</v>
      </c>
      <c r="J33" s="55">
        <f t="shared" si="19"/>
        <v>38.111865864144448</v>
      </c>
      <c r="K33" s="55">
        <f t="shared" si="19"/>
        <v>35.404643164230436</v>
      </c>
      <c r="L33" s="55">
        <f t="shared" si="19"/>
        <v>30.174462596732585</v>
      </c>
      <c r="M33" s="55">
        <f t="shared" si="19"/>
        <v>43.558383490971622</v>
      </c>
      <c r="N33" s="55">
        <f t="shared" si="19"/>
        <v>44.421152192605327</v>
      </c>
      <c r="O33" s="55">
        <f t="shared" si="19"/>
        <v>40.707566638005162</v>
      </c>
      <c r="P33" s="55">
        <f t="shared" si="19"/>
        <v>31.594067067927774</v>
      </c>
      <c r="Q33" s="55">
        <f t="shared" si="19"/>
        <v>34.625365434221841</v>
      </c>
      <c r="R33" s="55">
        <f t="shared" si="19"/>
        <v>27.445399828030951</v>
      </c>
      <c r="S33" s="55">
        <f t="shared" si="19"/>
        <v>31.222527944969912</v>
      </c>
      <c r="T33" s="55">
        <f t="shared" si="19"/>
        <v>28.677558039552885</v>
      </c>
      <c r="U33" s="55">
        <f t="shared" si="19"/>
        <v>21.69561478933792</v>
      </c>
      <c r="V33" s="55">
        <f t="shared" si="19"/>
        <v>22.154256233877899</v>
      </c>
      <c r="W33" s="55">
        <f t="shared" si="19"/>
        <v>22.799656061908856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1.086758383490972</v>
      </c>
      <c r="G34" s="55">
        <v>1.086758383490972</v>
      </c>
      <c r="H34" s="55">
        <v>1.086758383490972</v>
      </c>
      <c r="I34" s="55">
        <v>1.086758383490972</v>
      </c>
      <c r="J34" s="55">
        <v>1.086758383490972</v>
      </c>
      <c r="K34" s="55">
        <v>1.086758383490972</v>
      </c>
      <c r="L34" s="55">
        <v>1.0760963026655199</v>
      </c>
      <c r="M34" s="55">
        <v>1.0760963026655199</v>
      </c>
      <c r="N34" s="55">
        <v>1.086758383490972</v>
      </c>
      <c r="O34" s="55">
        <v>1.086758383490972</v>
      </c>
      <c r="P34" s="55">
        <v>1.086758383490972</v>
      </c>
      <c r="Q34" s="55">
        <v>1.086758383490972</v>
      </c>
      <c r="R34" s="55">
        <v>2.1735167669819431</v>
      </c>
      <c r="S34" s="55">
        <v>3.2602751504729151</v>
      </c>
      <c r="T34" s="55">
        <v>1.086758383490972</v>
      </c>
      <c r="U34" s="55">
        <v>2.1735167669819431</v>
      </c>
      <c r="V34" s="55">
        <v>2.249613069647463</v>
      </c>
      <c r="W34" s="55">
        <v>1.6300945829750639</v>
      </c>
      <c r="DA34" s="101" t="s">
        <v>200</v>
      </c>
    </row>
    <row r="35" spans="1:105" ht="12" customHeight="1" x14ac:dyDescent="0.25">
      <c r="A35" s="61" t="s">
        <v>170</v>
      </c>
      <c r="B35" s="55">
        <v>53.668701633705929</v>
      </c>
      <c r="C35" s="55">
        <v>65.265176268271702</v>
      </c>
      <c r="D35" s="55">
        <v>45.006964746345659</v>
      </c>
      <c r="E35" s="55">
        <v>40.572914875322446</v>
      </c>
      <c r="F35" s="55">
        <v>40.423817712811697</v>
      </c>
      <c r="G35" s="55">
        <v>45.769905417024937</v>
      </c>
      <c r="H35" s="55">
        <v>35.666552020636281</v>
      </c>
      <c r="I35" s="55">
        <v>37.987102321582114</v>
      </c>
      <c r="J35" s="55">
        <v>37.025107480653475</v>
      </c>
      <c r="K35" s="55">
        <v>34.317884780739462</v>
      </c>
      <c r="L35" s="55">
        <v>29.098366294067066</v>
      </c>
      <c r="M35" s="55">
        <v>42.482287188306103</v>
      </c>
      <c r="N35" s="55">
        <v>43.334393809114353</v>
      </c>
      <c r="O35" s="55">
        <v>39.620808254514188</v>
      </c>
      <c r="P35" s="55">
        <v>30.507308684436801</v>
      </c>
      <c r="Q35" s="55">
        <v>33.538607050730867</v>
      </c>
      <c r="R35" s="55">
        <v>25.271883061049007</v>
      </c>
      <c r="S35" s="55">
        <v>27.962252794496997</v>
      </c>
      <c r="T35" s="55">
        <v>27.590799656061911</v>
      </c>
      <c r="U35" s="55">
        <v>19.522098022355976</v>
      </c>
      <c r="V35" s="55">
        <v>19.904643164230436</v>
      </c>
      <c r="W35" s="55">
        <v>21.16956147893379</v>
      </c>
      <c r="DA35" s="101" t="s">
        <v>201</v>
      </c>
    </row>
    <row r="36" spans="1:105" ht="12" customHeight="1" x14ac:dyDescent="0.25">
      <c r="A36" s="60" t="s">
        <v>153</v>
      </c>
      <c r="B36" s="55">
        <v>10.662080825451421</v>
      </c>
      <c r="C36" s="55">
        <v>22.42046431642304</v>
      </c>
      <c r="D36" s="55">
        <v>27.51504729148753</v>
      </c>
      <c r="E36" s="55">
        <v>64.208942390369728</v>
      </c>
      <c r="F36" s="55">
        <v>58.533963886500423</v>
      </c>
      <c r="G36" s="55">
        <v>46.238177128116938</v>
      </c>
      <c r="H36" s="55">
        <v>49.247635425623393</v>
      </c>
      <c r="I36" s="55">
        <v>43.895098882201196</v>
      </c>
      <c r="J36" s="55">
        <v>33.942390369733452</v>
      </c>
      <c r="K36" s="55">
        <v>27.257093723129831</v>
      </c>
      <c r="L36" s="55">
        <v>29.729148753224418</v>
      </c>
      <c r="M36" s="55">
        <v>30.99742046431642</v>
      </c>
      <c r="N36" s="55">
        <v>34.866723989681851</v>
      </c>
      <c r="O36" s="55">
        <v>43.314703353396389</v>
      </c>
      <c r="P36" s="55">
        <v>66.831470335339631</v>
      </c>
      <c r="Q36" s="55">
        <v>69.991401547721409</v>
      </c>
      <c r="R36" s="55">
        <v>79.320722269991393</v>
      </c>
      <c r="S36" s="55">
        <v>70.895356835769562</v>
      </c>
      <c r="T36" s="55">
        <v>76.206190885640581</v>
      </c>
      <c r="U36" s="55">
        <v>73.421840068787603</v>
      </c>
      <c r="V36" s="55">
        <v>75.230180567497854</v>
      </c>
      <c r="W36" s="55">
        <v>79.649785038693025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8.7417884780739463</v>
      </c>
      <c r="C37" s="55">
        <f t="shared" ref="C37:W37" si="20">SUM(C38:C42)</f>
        <v>12.61109200343938</v>
      </c>
      <c r="D37" s="55">
        <f t="shared" si="20"/>
        <v>12.348323301805671</v>
      </c>
      <c r="E37" s="55">
        <f t="shared" si="20"/>
        <v>13.017110920034391</v>
      </c>
      <c r="F37" s="55">
        <f t="shared" si="20"/>
        <v>24.983319002579531</v>
      </c>
      <c r="G37" s="55">
        <f t="shared" si="20"/>
        <v>16.981943250214957</v>
      </c>
      <c r="H37" s="55">
        <f t="shared" si="20"/>
        <v>20.684092863284611</v>
      </c>
      <c r="I37" s="55">
        <f t="shared" si="20"/>
        <v>22.141014617368874</v>
      </c>
      <c r="J37" s="55">
        <f t="shared" si="20"/>
        <v>22.141014617368874</v>
      </c>
      <c r="K37" s="55">
        <f t="shared" si="20"/>
        <v>15.333963886500424</v>
      </c>
      <c r="L37" s="55">
        <f t="shared" si="20"/>
        <v>18.31943250214961</v>
      </c>
      <c r="M37" s="55">
        <f t="shared" si="20"/>
        <v>19.680911435941532</v>
      </c>
      <c r="N37" s="55">
        <f t="shared" si="20"/>
        <v>11.918400687876183</v>
      </c>
      <c r="O37" s="55">
        <f t="shared" si="20"/>
        <v>12.324419604471194</v>
      </c>
      <c r="P37" s="55">
        <f t="shared" si="20"/>
        <v>10.604729148753224</v>
      </c>
      <c r="Q37" s="55">
        <f t="shared" si="20"/>
        <v>11.560103181427342</v>
      </c>
      <c r="R37" s="55">
        <f t="shared" si="20"/>
        <v>15.071195184866724</v>
      </c>
      <c r="S37" s="55">
        <f t="shared" si="20"/>
        <v>13.232072226999135</v>
      </c>
      <c r="T37" s="55">
        <f t="shared" si="20"/>
        <v>11.679535683576955</v>
      </c>
      <c r="U37" s="55">
        <f t="shared" si="20"/>
        <v>13.490025795356832</v>
      </c>
      <c r="V37" s="55">
        <f t="shared" si="20"/>
        <v>15.358813413585551</v>
      </c>
      <c r="W37" s="55">
        <f t="shared" si="20"/>
        <v>13.9195184866724</v>
      </c>
      <c r="DA37" s="101"/>
    </row>
    <row r="38" spans="1:105" ht="12" customHeight="1" x14ac:dyDescent="0.25">
      <c r="A38" s="61" t="s">
        <v>171</v>
      </c>
      <c r="B38" s="55">
        <v>8.7417884780739463</v>
      </c>
      <c r="C38" s="55">
        <v>12.61109200343938</v>
      </c>
      <c r="D38" s="55">
        <v>12.348323301805671</v>
      </c>
      <c r="E38" s="55">
        <v>13.017110920034391</v>
      </c>
      <c r="F38" s="55">
        <v>24.983319002579531</v>
      </c>
      <c r="G38" s="55">
        <v>16.456491831470331</v>
      </c>
      <c r="H38" s="55">
        <v>20.015305245055892</v>
      </c>
      <c r="I38" s="55">
        <v>20.97067927773001</v>
      </c>
      <c r="J38" s="55">
        <v>21.257265692175409</v>
      </c>
      <c r="K38" s="55">
        <v>14.42631126397248</v>
      </c>
      <c r="L38" s="55">
        <v>17.364058469475491</v>
      </c>
      <c r="M38" s="55">
        <v>18.630008598452278</v>
      </c>
      <c r="N38" s="55">
        <v>11.201891659501291</v>
      </c>
      <c r="O38" s="55">
        <v>10.17480653482373</v>
      </c>
      <c r="P38" s="55">
        <v>8.8850386930352521</v>
      </c>
      <c r="Q38" s="55">
        <v>9.5538263112639719</v>
      </c>
      <c r="R38" s="55">
        <v>8.8373172828890816</v>
      </c>
      <c r="S38" s="55">
        <v>10.031556319862419</v>
      </c>
      <c r="T38" s="55">
        <v>9.0999999999999979</v>
      </c>
      <c r="U38" s="55">
        <v>10.98693035253654</v>
      </c>
      <c r="V38" s="55">
        <v>13.397850386930349</v>
      </c>
      <c r="W38" s="55">
        <v>12.18116938950989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0.52545141874462586</v>
      </c>
      <c r="H39" s="55">
        <v>0.66878761822871879</v>
      </c>
      <c r="I39" s="55">
        <v>1.1703353396388649</v>
      </c>
      <c r="J39" s="55">
        <v>0.88374892519346515</v>
      </c>
      <c r="K39" s="55">
        <v>0.90765262252794487</v>
      </c>
      <c r="L39" s="55">
        <v>0.95537403267411869</v>
      </c>
      <c r="M39" s="55">
        <v>1.050902837489252</v>
      </c>
      <c r="N39" s="55">
        <v>0.7165090283748925</v>
      </c>
      <c r="O39" s="55">
        <v>2.1496130696474629</v>
      </c>
      <c r="P39" s="55">
        <v>1.7196904557179711</v>
      </c>
      <c r="Q39" s="55">
        <v>2.00627687016337</v>
      </c>
      <c r="R39" s="55">
        <v>6.2338779019776434</v>
      </c>
      <c r="S39" s="55">
        <v>3.2005159071367149</v>
      </c>
      <c r="T39" s="55">
        <v>2.5795356835769558</v>
      </c>
      <c r="U39" s="55">
        <v>2.5030954428202921</v>
      </c>
      <c r="V39" s="55">
        <v>1.9609630266552021</v>
      </c>
      <c r="W39" s="55">
        <v>1.7383490971625111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90.140412725709368</v>
      </c>
      <c r="C44" s="55">
        <v>63.724075666380052</v>
      </c>
      <c r="D44" s="55">
        <v>74.209458297506444</v>
      </c>
      <c r="E44" s="55">
        <v>73.277901977644021</v>
      </c>
      <c r="F44" s="55">
        <v>92.433361994840922</v>
      </c>
      <c r="G44" s="55">
        <v>108.0539122957867</v>
      </c>
      <c r="H44" s="55">
        <v>100.36302665520201</v>
      </c>
      <c r="I44" s="55">
        <v>98.834393809114346</v>
      </c>
      <c r="J44" s="55">
        <v>118.96913155631989</v>
      </c>
      <c r="K44" s="55">
        <v>118.8975064488392</v>
      </c>
      <c r="L44" s="55">
        <v>128.7140154772141</v>
      </c>
      <c r="M44" s="55">
        <v>102.91865864144449</v>
      </c>
      <c r="N44" s="55">
        <v>113.23680137575229</v>
      </c>
      <c r="O44" s="55">
        <v>101.9871883061049</v>
      </c>
      <c r="P44" s="55">
        <v>107.5761822871883</v>
      </c>
      <c r="Q44" s="55">
        <v>108.00610490111779</v>
      </c>
      <c r="R44" s="55">
        <v>120.8560619088564</v>
      </c>
      <c r="S44" s="55">
        <v>118.9452278589854</v>
      </c>
      <c r="T44" s="55">
        <v>121.8114359415305</v>
      </c>
      <c r="U44" s="55">
        <v>102.7036973344798</v>
      </c>
      <c r="V44" s="55">
        <v>109.8691315563199</v>
      </c>
      <c r="W44" s="55">
        <v>116.4612209802235</v>
      </c>
      <c r="DA44" s="101" t="s">
        <v>209</v>
      </c>
    </row>
    <row r="45" spans="1:105" ht="12" customHeight="1" x14ac:dyDescent="0.25">
      <c r="A45" s="62" t="s">
        <v>24</v>
      </c>
      <c r="B45" s="63">
        <v>126.91315563198619</v>
      </c>
      <c r="C45" s="63">
        <v>132.93207222699911</v>
      </c>
      <c r="D45" s="63">
        <v>141.8744625967326</v>
      </c>
      <c r="E45" s="63">
        <v>149.8710232158212</v>
      </c>
      <c r="F45" s="63">
        <v>164.6603611349957</v>
      </c>
      <c r="G45" s="63">
        <v>173.51676698194328</v>
      </c>
      <c r="H45" s="63">
        <v>193.0352536543422</v>
      </c>
      <c r="I45" s="63">
        <v>208.25429577354862</v>
      </c>
      <c r="J45" s="63">
        <v>225.27902236284467</v>
      </c>
      <c r="K45" s="63">
        <v>226.7407581129558</v>
      </c>
      <c r="L45" s="63">
        <v>220.65832319447102</v>
      </c>
      <c r="M45" s="63">
        <v>208.60745815482767</v>
      </c>
      <c r="N45" s="63">
        <v>222.02975292215734</v>
      </c>
      <c r="O45" s="63">
        <v>220.23014949469152</v>
      </c>
      <c r="P45" s="63">
        <v>241.68690137528756</v>
      </c>
      <c r="Q45" s="63">
        <v>243.02550813537766</v>
      </c>
      <c r="R45" s="63">
        <v>256.85735226315023</v>
      </c>
      <c r="S45" s="63">
        <v>234.70455332459449</v>
      </c>
      <c r="T45" s="63">
        <v>253.47540159928042</v>
      </c>
      <c r="U45" s="63">
        <v>253.43473162570464</v>
      </c>
      <c r="V45" s="63">
        <v>248.14338516268589</v>
      </c>
      <c r="W45" s="63">
        <v>279.8384540938967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295.66268271711084</v>
      </c>
      <c r="C47" s="82">
        <f t="shared" ref="C47:W47" si="22">SUM(C48,C53)</f>
        <v>303.83757523645738</v>
      </c>
      <c r="D47" s="82">
        <f t="shared" si="22"/>
        <v>306.93989681857266</v>
      </c>
      <c r="E47" s="82">
        <f t="shared" si="22"/>
        <v>347.31771281169398</v>
      </c>
      <c r="F47" s="82">
        <f t="shared" si="22"/>
        <v>388.3470335339639</v>
      </c>
      <c r="G47" s="82">
        <f t="shared" si="22"/>
        <v>398.9579535683576</v>
      </c>
      <c r="H47" s="82">
        <f t="shared" si="22"/>
        <v>404.57463456577807</v>
      </c>
      <c r="I47" s="82">
        <f t="shared" si="22"/>
        <v>417.12101976323049</v>
      </c>
      <c r="J47" s="82">
        <f t="shared" si="22"/>
        <v>441.80215219947411</v>
      </c>
      <c r="K47" s="82">
        <f t="shared" si="22"/>
        <v>426.34436946291282</v>
      </c>
      <c r="L47" s="82">
        <f t="shared" si="22"/>
        <v>429.92358544726562</v>
      </c>
      <c r="M47" s="82">
        <f t="shared" si="22"/>
        <v>407.44649512817233</v>
      </c>
      <c r="N47" s="82">
        <f t="shared" si="22"/>
        <v>428.5004321998872</v>
      </c>
      <c r="O47" s="82">
        <f t="shared" si="22"/>
        <v>421.88388982143283</v>
      </c>
      <c r="P47" s="82">
        <f t="shared" si="22"/>
        <v>460.31656603564863</v>
      </c>
      <c r="Q47" s="82">
        <f t="shared" si="22"/>
        <v>468.93453651027028</v>
      </c>
      <c r="R47" s="82">
        <f t="shared" si="22"/>
        <v>501.76362913331377</v>
      </c>
      <c r="S47" s="82">
        <f t="shared" si="22"/>
        <v>469.99973819131839</v>
      </c>
      <c r="T47" s="82">
        <f t="shared" si="22"/>
        <v>492.90102498707051</v>
      </c>
      <c r="U47" s="82">
        <f t="shared" si="22"/>
        <v>465.70498098082066</v>
      </c>
      <c r="V47" s="82">
        <f t="shared" si="22"/>
        <v>471.78629143955618</v>
      </c>
      <c r="W47" s="82">
        <f t="shared" si="22"/>
        <v>513.68127438624424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237.47749846991431</v>
      </c>
      <c r="C48" s="64">
        <f t="shared" ref="C48:W48" si="24">SUM(C49:C52)</f>
        <v>240.90955222548635</v>
      </c>
      <c r="D48" s="64">
        <f t="shared" si="24"/>
        <v>238.9981563781223</v>
      </c>
      <c r="E48" s="64">
        <f t="shared" si="24"/>
        <v>273.16544853889297</v>
      </c>
      <c r="F48" s="64">
        <f t="shared" si="24"/>
        <v>308.11575076124552</v>
      </c>
      <c r="G48" s="64">
        <f t="shared" si="24"/>
        <v>312.03750129351755</v>
      </c>
      <c r="H48" s="64">
        <f t="shared" si="24"/>
        <v>310.19310947209237</v>
      </c>
      <c r="I48" s="64">
        <f t="shared" si="24"/>
        <v>317.14221140805603</v>
      </c>
      <c r="J48" s="64">
        <f t="shared" si="24"/>
        <v>337.52752581469827</v>
      </c>
      <c r="K48" s="64">
        <f t="shared" si="24"/>
        <v>319.05238056776017</v>
      </c>
      <c r="L48" s="64">
        <f t="shared" si="24"/>
        <v>321.05286923748838</v>
      </c>
      <c r="M48" s="64">
        <f t="shared" si="24"/>
        <v>297.66242809445197</v>
      </c>
      <c r="N48" s="64">
        <f t="shared" si="24"/>
        <v>315.89093322099728</v>
      </c>
      <c r="O48" s="64">
        <f t="shared" si="24"/>
        <v>306.41009217895015</v>
      </c>
      <c r="P48" s="64">
        <f t="shared" si="24"/>
        <v>338.85192135164021</v>
      </c>
      <c r="Q48" s="64">
        <f t="shared" si="24"/>
        <v>342.85911146793342</v>
      </c>
      <c r="R48" s="64">
        <f t="shared" si="24"/>
        <v>372.45646078922522</v>
      </c>
      <c r="S48" s="64">
        <f t="shared" si="24"/>
        <v>341.09386402977157</v>
      </c>
      <c r="T48" s="64">
        <f t="shared" si="24"/>
        <v>361.16891722674706</v>
      </c>
      <c r="U48" s="64">
        <f t="shared" si="24"/>
        <v>332.03640467095511</v>
      </c>
      <c r="V48" s="64">
        <f t="shared" si="24"/>
        <v>337.1278333059289</v>
      </c>
      <c r="W48" s="64">
        <f t="shared" si="24"/>
        <v>359.91663033412652</v>
      </c>
      <c r="DA48" s="108" t="s">
        <v>212</v>
      </c>
    </row>
    <row r="49" spans="1:105" ht="12" customHeight="1" x14ac:dyDescent="0.25">
      <c r="A49" s="61" t="s">
        <v>32</v>
      </c>
      <c r="B49" s="65">
        <v>179.33373500409968</v>
      </c>
      <c r="C49" s="65">
        <v>181.0921467601278</v>
      </c>
      <c r="D49" s="65">
        <v>178.84445173772457</v>
      </c>
      <c r="E49" s="65">
        <v>211.77187031522362</v>
      </c>
      <c r="F49" s="65">
        <v>246.94906829682793</v>
      </c>
      <c r="G49" s="65">
        <v>247.97622553014492</v>
      </c>
      <c r="H49" s="65">
        <v>244.86302973353236</v>
      </c>
      <c r="I49" s="65">
        <v>251.58017121688442</v>
      </c>
      <c r="J49" s="65">
        <v>271.904225430351</v>
      </c>
      <c r="K49" s="65">
        <v>253.5498827754578</v>
      </c>
      <c r="L49" s="65">
        <v>255.39026703777637</v>
      </c>
      <c r="M49" s="65">
        <v>230.33009416351632</v>
      </c>
      <c r="N49" s="65">
        <v>247.88859510193561</v>
      </c>
      <c r="O49" s="65">
        <v>238.06608193665556</v>
      </c>
      <c r="P49" s="65">
        <v>270.16460766754165</v>
      </c>
      <c r="Q49" s="65">
        <v>273.38833453627092</v>
      </c>
      <c r="R49" s="65">
        <v>302.45227924701351</v>
      </c>
      <c r="S49" s="65">
        <v>271.18492257117737</v>
      </c>
      <c r="T49" s="65">
        <v>291.43988367461429</v>
      </c>
      <c r="U49" s="65">
        <v>261.92282574387713</v>
      </c>
      <c r="V49" s="65">
        <v>271.76153786296379</v>
      </c>
      <c r="W49" s="65">
        <v>291.57154157134556</v>
      </c>
      <c r="DA49" s="109" t="s">
        <v>213</v>
      </c>
    </row>
    <row r="50" spans="1:105" ht="12" customHeight="1" x14ac:dyDescent="0.25">
      <c r="A50" s="61" t="s">
        <v>31</v>
      </c>
      <c r="B50" s="65">
        <v>0.35392190642045068</v>
      </c>
      <c r="C50" s="65">
        <v>0.37383742865245484</v>
      </c>
      <c r="D50" s="65">
        <v>0.39344593443916531</v>
      </c>
      <c r="E50" s="65">
        <v>0.42746777660865842</v>
      </c>
      <c r="F50" s="65">
        <v>0.41504957647136798</v>
      </c>
      <c r="G50" s="65">
        <v>0.44458353246845633</v>
      </c>
      <c r="H50" s="65">
        <v>0.49501059454510543</v>
      </c>
      <c r="I50" s="65">
        <v>0.50864150294144383</v>
      </c>
      <c r="J50" s="65">
        <v>0.51294337792830358</v>
      </c>
      <c r="K50" s="65">
        <v>0.52135881997333189</v>
      </c>
      <c r="L50" s="65">
        <v>0.61924304295503296</v>
      </c>
      <c r="M50" s="65">
        <v>0.58183046032853536</v>
      </c>
      <c r="N50" s="65">
        <v>0.56435322818434586</v>
      </c>
      <c r="O50" s="65">
        <v>0.56269712715568054</v>
      </c>
      <c r="P50" s="65">
        <v>0.57561665970672482</v>
      </c>
      <c r="Q50" s="65">
        <v>0.56948325146916279</v>
      </c>
      <c r="R50" s="65">
        <v>0.5717877965311291</v>
      </c>
      <c r="S50" s="65">
        <v>0.57663027702149494</v>
      </c>
      <c r="T50" s="65">
        <v>0.63364280983411136</v>
      </c>
      <c r="U50" s="65">
        <v>0.60199606865169941</v>
      </c>
      <c r="V50" s="65">
        <v>0.58029017891838275</v>
      </c>
      <c r="W50" s="65">
        <v>0.65304250355150639</v>
      </c>
      <c r="DA50" s="109" t="s">
        <v>214</v>
      </c>
    </row>
    <row r="51" spans="1:105" ht="12" customHeight="1" x14ac:dyDescent="0.25">
      <c r="A51" s="61" t="s">
        <v>35</v>
      </c>
      <c r="B51" s="65">
        <v>30.860466091173869</v>
      </c>
      <c r="C51" s="65">
        <v>31.25592735789656</v>
      </c>
      <c r="D51" s="65">
        <v>30.988071099114645</v>
      </c>
      <c r="E51" s="65">
        <v>31.157202417143488</v>
      </c>
      <c r="F51" s="65">
        <v>30.608106572580922</v>
      </c>
      <c r="G51" s="65">
        <v>31.790349243579257</v>
      </c>
      <c r="H51" s="65">
        <v>32.400085876107852</v>
      </c>
      <c r="I51" s="65">
        <v>31.939831508491789</v>
      </c>
      <c r="J51" s="65">
        <v>31.720224888461466</v>
      </c>
      <c r="K51" s="65">
        <v>31.062948692233945</v>
      </c>
      <c r="L51" s="65">
        <v>30.809417557484394</v>
      </c>
      <c r="M51" s="65">
        <v>31.899092503609708</v>
      </c>
      <c r="N51" s="65">
        <v>32.270855280253002</v>
      </c>
      <c r="O51" s="65">
        <v>32.215246315210067</v>
      </c>
      <c r="P51" s="65">
        <v>32.686122142211488</v>
      </c>
      <c r="Q51" s="65">
        <v>33.428586745274067</v>
      </c>
      <c r="R51" s="65">
        <v>32.981854548819996</v>
      </c>
      <c r="S51" s="65">
        <v>32.758269993067763</v>
      </c>
      <c r="T51" s="65">
        <v>33.022870885739515</v>
      </c>
      <c r="U51" s="65">
        <v>33.02946109091441</v>
      </c>
      <c r="V51" s="65">
        <v>31.2072490577631</v>
      </c>
      <c r="W51" s="65">
        <v>32.408574110075484</v>
      </c>
      <c r="DA51" s="109" t="s">
        <v>215</v>
      </c>
    </row>
    <row r="52" spans="1:105" ht="12" customHeight="1" x14ac:dyDescent="0.25">
      <c r="A52" s="66" t="s">
        <v>34</v>
      </c>
      <c r="B52" s="67">
        <v>26.929375468220307</v>
      </c>
      <c r="C52" s="67">
        <v>28.187640678809554</v>
      </c>
      <c r="D52" s="67">
        <v>28.772187606843925</v>
      </c>
      <c r="E52" s="67">
        <v>29.808908029917216</v>
      </c>
      <c r="F52" s="67">
        <v>30.143526315365285</v>
      </c>
      <c r="G52" s="67">
        <v>31.826342987324942</v>
      </c>
      <c r="H52" s="67">
        <v>32.434983267907072</v>
      </c>
      <c r="I52" s="67">
        <v>33.113567179738347</v>
      </c>
      <c r="J52" s="67">
        <v>33.39013211795745</v>
      </c>
      <c r="K52" s="67">
        <v>33.918190280095075</v>
      </c>
      <c r="L52" s="67">
        <v>34.233941599272583</v>
      </c>
      <c r="M52" s="67">
        <v>34.851410966997392</v>
      </c>
      <c r="N52" s="67">
        <v>35.167129610624322</v>
      </c>
      <c r="O52" s="67">
        <v>35.566066799928834</v>
      </c>
      <c r="P52" s="67">
        <v>35.425574882180328</v>
      </c>
      <c r="Q52" s="67">
        <v>35.472706934919294</v>
      </c>
      <c r="R52" s="67">
        <v>36.450539196860561</v>
      </c>
      <c r="S52" s="67">
        <v>36.574041188504978</v>
      </c>
      <c r="T52" s="67">
        <v>36.072519856559161</v>
      </c>
      <c r="U52" s="67">
        <v>36.482121767511849</v>
      </c>
      <c r="V52" s="67">
        <v>33.578756206283643</v>
      </c>
      <c r="W52" s="67">
        <v>35.283472149153951</v>
      </c>
      <c r="DA52" s="110" t="s">
        <v>216</v>
      </c>
    </row>
    <row r="53" spans="1:105" ht="12" customHeight="1" x14ac:dyDescent="0.25">
      <c r="A53" s="78" t="s">
        <v>33</v>
      </c>
      <c r="B53" s="68">
        <v>58.185184247196538</v>
      </c>
      <c r="C53" s="68">
        <v>62.928023010971032</v>
      </c>
      <c r="D53" s="68">
        <v>67.94174044045036</v>
      </c>
      <c r="E53" s="68">
        <v>74.152264272801006</v>
      </c>
      <c r="F53" s="68">
        <v>80.231282772718359</v>
      </c>
      <c r="G53" s="68">
        <v>86.920452274840059</v>
      </c>
      <c r="H53" s="68">
        <v>94.381525093685681</v>
      </c>
      <c r="I53" s="68">
        <v>99.978808355174436</v>
      </c>
      <c r="J53" s="68">
        <v>104.27462638477587</v>
      </c>
      <c r="K53" s="68">
        <v>107.29198889515268</v>
      </c>
      <c r="L53" s="68">
        <v>108.87071620977721</v>
      </c>
      <c r="M53" s="68">
        <v>109.78406703372038</v>
      </c>
      <c r="N53" s="68">
        <v>112.60949897888995</v>
      </c>
      <c r="O53" s="68">
        <v>115.47379764248271</v>
      </c>
      <c r="P53" s="68">
        <v>121.46464468400845</v>
      </c>
      <c r="Q53" s="68">
        <v>126.07542504233683</v>
      </c>
      <c r="R53" s="68">
        <v>129.30716834408855</v>
      </c>
      <c r="S53" s="68">
        <v>128.90587416154682</v>
      </c>
      <c r="T53" s="68">
        <v>131.73210776032349</v>
      </c>
      <c r="U53" s="68">
        <v>133.66857630986559</v>
      </c>
      <c r="V53" s="68">
        <v>134.65845813362728</v>
      </c>
      <c r="W53" s="68">
        <v>153.76464405211766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0.80320416593504318</v>
      </c>
      <c r="C56" s="70">
        <f t="shared" ref="C56:W56" si="28">IF(C48=0,0,C48/C$47)</f>
        <v>0.79288926670113735</v>
      </c>
      <c r="D56" s="70">
        <f t="shared" si="28"/>
        <v>0.77864806385658736</v>
      </c>
      <c r="E56" s="70">
        <f t="shared" si="28"/>
        <v>0.78650019409460903</v>
      </c>
      <c r="F56" s="70">
        <f t="shared" si="28"/>
        <v>0.79340312698512849</v>
      </c>
      <c r="G56" s="70">
        <f t="shared" si="28"/>
        <v>0.78213129604910347</v>
      </c>
      <c r="H56" s="70">
        <f t="shared" si="28"/>
        <v>0.76671418069750341</v>
      </c>
      <c r="I56" s="70">
        <f t="shared" si="28"/>
        <v>0.76031222686421984</v>
      </c>
      <c r="J56" s="70">
        <f t="shared" si="28"/>
        <v>0.76397890805725244</v>
      </c>
      <c r="K56" s="70">
        <f t="shared" si="28"/>
        <v>0.74834430432302013</v>
      </c>
      <c r="L56" s="70">
        <f t="shared" si="28"/>
        <v>0.74676728633876888</v>
      </c>
      <c r="M56" s="70">
        <f t="shared" si="28"/>
        <v>0.7305558684479907</v>
      </c>
      <c r="N56" s="70">
        <f t="shared" si="28"/>
        <v>0.73720096756784659</v>
      </c>
      <c r="O56" s="70">
        <f t="shared" si="28"/>
        <v>0.72629009917549048</v>
      </c>
      <c r="P56" s="70">
        <f t="shared" si="28"/>
        <v>0.73612801787671978</v>
      </c>
      <c r="Q56" s="70">
        <f t="shared" si="28"/>
        <v>0.73114493553712556</v>
      </c>
      <c r="R56" s="70">
        <f t="shared" si="28"/>
        <v>0.74229465661463301</v>
      </c>
      <c r="S56" s="70">
        <f t="shared" si="28"/>
        <v>0.72573202985684582</v>
      </c>
      <c r="T56" s="70">
        <f t="shared" si="28"/>
        <v>0.73274125821958069</v>
      </c>
      <c r="U56" s="70">
        <f t="shared" si="28"/>
        <v>0.71297585001486063</v>
      </c>
      <c r="V56" s="70">
        <f t="shared" si="28"/>
        <v>0.71457742503974531</v>
      </c>
      <c r="W56" s="70">
        <f t="shared" si="28"/>
        <v>0.7006613794987202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0.60654842659222452</v>
      </c>
      <c r="C57" s="71">
        <f t="shared" ref="C57:W57" si="30">IF(C49=0,0,C49/C$47)</f>
        <v>0.59601629791573785</v>
      </c>
      <c r="D57" s="71">
        <f t="shared" si="30"/>
        <v>0.58266928995365075</v>
      </c>
      <c r="E57" s="71">
        <f t="shared" si="30"/>
        <v>0.60973530143577925</v>
      </c>
      <c r="F57" s="71">
        <f t="shared" si="30"/>
        <v>0.63589791339356361</v>
      </c>
      <c r="G57" s="71">
        <f t="shared" si="30"/>
        <v>0.62155979925252092</v>
      </c>
      <c r="H57" s="71">
        <f t="shared" si="30"/>
        <v>0.60523574345272291</v>
      </c>
      <c r="I57" s="71">
        <f t="shared" si="30"/>
        <v>0.6031347242095072</v>
      </c>
      <c r="J57" s="71">
        <f t="shared" si="30"/>
        <v>0.61544341528600333</v>
      </c>
      <c r="K57" s="71">
        <f t="shared" si="30"/>
        <v>0.59470676977596115</v>
      </c>
      <c r="L57" s="71">
        <f t="shared" si="30"/>
        <v>0.59403641875586866</v>
      </c>
      <c r="M57" s="71">
        <f t="shared" si="30"/>
        <v>0.56530144919042757</v>
      </c>
      <c r="N57" s="71">
        <f t="shared" si="30"/>
        <v>0.57850255559672425</v>
      </c>
      <c r="O57" s="71">
        <f t="shared" si="30"/>
        <v>0.56429289593736265</v>
      </c>
      <c r="P57" s="71">
        <f t="shared" si="30"/>
        <v>0.58691046032572958</v>
      </c>
      <c r="Q57" s="71">
        <f t="shared" si="30"/>
        <v>0.5829989332216382</v>
      </c>
      <c r="R57" s="71">
        <f t="shared" si="30"/>
        <v>0.60277840338773303</v>
      </c>
      <c r="S57" s="71">
        <f t="shared" si="30"/>
        <v>0.57698951836604784</v>
      </c>
      <c r="T57" s="71">
        <f t="shared" si="30"/>
        <v>0.59127465535755208</v>
      </c>
      <c r="U57" s="71">
        <f t="shared" si="30"/>
        <v>0.56242221243208912</v>
      </c>
      <c r="V57" s="71">
        <f t="shared" si="30"/>
        <v>0.57602677906079225</v>
      </c>
      <c r="W57" s="71">
        <f t="shared" si="30"/>
        <v>0.56761177817844455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1.1970462527362037E-3</v>
      </c>
      <c r="C58" s="72">
        <f t="shared" ref="C58:W58" si="32">IF(C50=0,0,C50/C$47)</f>
        <v>1.23038576898042E-3</v>
      </c>
      <c r="D58" s="72">
        <f t="shared" si="32"/>
        <v>1.2818338004189954E-3</v>
      </c>
      <c r="E58" s="72">
        <f t="shared" si="32"/>
        <v>1.2307687193610524E-3</v>
      </c>
      <c r="F58" s="72">
        <f t="shared" si="32"/>
        <v>1.0687594873441174E-3</v>
      </c>
      <c r="G58" s="72">
        <f t="shared" si="32"/>
        <v>1.1143618732049698E-3</v>
      </c>
      <c r="H58" s="72">
        <f t="shared" si="32"/>
        <v>1.2235334404402057E-3</v>
      </c>
      <c r="I58" s="72">
        <f t="shared" si="32"/>
        <v>1.2194099046606735E-3</v>
      </c>
      <c r="J58" s="72">
        <f t="shared" si="32"/>
        <v>1.16102507734437E-3</v>
      </c>
      <c r="K58" s="72">
        <f t="shared" si="32"/>
        <v>1.2228584621162312E-3</v>
      </c>
      <c r="L58" s="72">
        <f t="shared" si="32"/>
        <v>1.4403560630683037E-3</v>
      </c>
      <c r="M58" s="72">
        <f t="shared" si="32"/>
        <v>1.4279923064389258E-3</v>
      </c>
      <c r="N58" s="72">
        <f t="shared" si="32"/>
        <v>1.3170423779668113E-3</v>
      </c>
      <c r="O58" s="72">
        <f t="shared" si="32"/>
        <v>1.3337724922225604E-3</v>
      </c>
      <c r="P58" s="72">
        <f t="shared" si="32"/>
        <v>1.2504800004572221E-3</v>
      </c>
      <c r="Q58" s="72">
        <f t="shared" si="32"/>
        <v>1.2144195130244803E-3</v>
      </c>
      <c r="R58" s="72">
        <f t="shared" si="32"/>
        <v>1.1395560844431206E-3</v>
      </c>
      <c r="S58" s="72">
        <f t="shared" si="32"/>
        <v>1.2268736132503364E-3</v>
      </c>
      <c r="T58" s="72">
        <f t="shared" si="32"/>
        <v>1.2855376185325091E-3</v>
      </c>
      <c r="U58" s="72">
        <f t="shared" si="32"/>
        <v>1.2926554218592129E-3</v>
      </c>
      <c r="V58" s="72">
        <f t="shared" si="32"/>
        <v>1.2299852485067972E-3</v>
      </c>
      <c r="W58" s="72">
        <f t="shared" si="32"/>
        <v>1.2712990255129963E-3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0.10437727821302721</v>
      </c>
      <c r="C59" s="72">
        <f t="shared" ref="C59:W59" si="34">IF(C51=0,0,C51/C$47)</f>
        <v>0.10287051341023923</v>
      </c>
      <c r="D59" s="72">
        <f t="shared" si="34"/>
        <v>0.10095810750021593</v>
      </c>
      <c r="E59" s="72">
        <f t="shared" si="34"/>
        <v>8.970807208452411E-2</v>
      </c>
      <c r="F59" s="72">
        <f t="shared" si="34"/>
        <v>7.8816377954652281E-2</v>
      </c>
      <c r="G59" s="72">
        <f t="shared" si="34"/>
        <v>7.9683457766013155E-2</v>
      </c>
      <c r="H59" s="72">
        <f t="shared" si="34"/>
        <v>8.0084323405203647E-2</v>
      </c>
      <c r="I59" s="72">
        <f t="shared" si="34"/>
        <v>7.6572097773019751E-2</v>
      </c>
      <c r="J59" s="72">
        <f t="shared" si="34"/>
        <v>7.1797352571835713E-2</v>
      </c>
      <c r="K59" s="72">
        <f t="shared" si="34"/>
        <v>7.2858822391311237E-2</v>
      </c>
      <c r="L59" s="72">
        <f t="shared" si="34"/>
        <v>7.1662543299252132E-2</v>
      </c>
      <c r="M59" s="72">
        <f t="shared" si="34"/>
        <v>7.8290261138643652E-2</v>
      </c>
      <c r="N59" s="72">
        <f t="shared" si="34"/>
        <v>7.5311138228208993E-2</v>
      </c>
      <c r="O59" s="72">
        <f t="shared" si="34"/>
        <v>7.6360456259293372E-2</v>
      </c>
      <c r="P59" s="72">
        <f t="shared" si="34"/>
        <v>7.1007920535452018E-2</v>
      </c>
      <c r="Q59" s="72">
        <f t="shared" si="34"/>
        <v>7.1286254567735255E-2</v>
      </c>
      <c r="R59" s="72">
        <f t="shared" si="34"/>
        <v>6.5731855865657079E-2</v>
      </c>
      <c r="S59" s="72">
        <f t="shared" si="34"/>
        <v>6.9698485618588074E-2</v>
      </c>
      <c r="T59" s="72">
        <f t="shared" si="34"/>
        <v>6.6996961279611356E-2</v>
      </c>
      <c r="U59" s="72">
        <f t="shared" si="34"/>
        <v>7.0923572733431167E-2</v>
      </c>
      <c r="V59" s="72">
        <f t="shared" si="34"/>
        <v>6.6147002623880347E-2</v>
      </c>
      <c r="W59" s="72">
        <f t="shared" si="34"/>
        <v>6.3090822512068087E-2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9.1081414877055192E-2</v>
      </c>
      <c r="C60" s="73">
        <f t="shared" ref="C60:W60" si="36">IF(C52=0,0,C52/C$47)</f>
        <v>9.2772069606179924E-2</v>
      </c>
      <c r="D60" s="73">
        <f t="shared" si="36"/>
        <v>9.3738832602301661E-2</v>
      </c>
      <c r="E60" s="73">
        <f t="shared" si="36"/>
        <v>8.5826051854944629E-2</v>
      </c>
      <c r="F60" s="73">
        <f t="shared" si="36"/>
        <v>7.7620076149568437E-2</v>
      </c>
      <c r="G60" s="73">
        <f t="shared" si="36"/>
        <v>7.9773677157364414E-2</v>
      </c>
      <c r="H60" s="73">
        <f t="shared" si="36"/>
        <v>8.0170580399136729E-2</v>
      </c>
      <c r="I60" s="73">
        <f t="shared" si="36"/>
        <v>7.9385994977032151E-2</v>
      </c>
      <c r="J60" s="73">
        <f t="shared" si="36"/>
        <v>7.5577115122068869E-2</v>
      </c>
      <c r="K60" s="73">
        <f t="shared" si="36"/>
        <v>7.9555853693631523E-2</v>
      </c>
      <c r="L60" s="73">
        <f t="shared" si="36"/>
        <v>7.9627968220579784E-2</v>
      </c>
      <c r="M60" s="73">
        <f t="shared" si="36"/>
        <v>8.5536165812480539E-2</v>
      </c>
      <c r="N60" s="73">
        <f t="shared" si="36"/>
        <v>8.2070231364946525E-2</v>
      </c>
      <c r="O60" s="73">
        <f t="shared" si="36"/>
        <v>8.4302974486611892E-2</v>
      </c>
      <c r="P60" s="73">
        <f t="shared" si="36"/>
        <v>7.6959157015080881E-2</v>
      </c>
      <c r="Q60" s="73">
        <f t="shared" si="36"/>
        <v>7.5645328234727693E-2</v>
      </c>
      <c r="R60" s="73">
        <f t="shared" si="36"/>
        <v>7.2644841276799682E-2</v>
      </c>
      <c r="S60" s="73">
        <f t="shared" si="36"/>
        <v>7.7817152258959618E-2</v>
      </c>
      <c r="T60" s="73">
        <f t="shared" si="36"/>
        <v>7.3184103963884833E-2</v>
      </c>
      <c r="U60" s="73">
        <f t="shared" si="36"/>
        <v>7.8337409427481103E-2</v>
      </c>
      <c r="V60" s="73">
        <f t="shared" si="36"/>
        <v>7.1173658106565924E-2</v>
      </c>
      <c r="W60" s="73">
        <f t="shared" si="36"/>
        <v>6.8687479782694599E-2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0.19679583406495688</v>
      </c>
      <c r="C61" s="70">
        <f t="shared" ref="C61:W61" si="38">IF(C53=0,0,C53/C$47)</f>
        <v>0.20711073329886262</v>
      </c>
      <c r="D61" s="70">
        <f t="shared" si="38"/>
        <v>0.22135193614341264</v>
      </c>
      <c r="E61" s="70">
        <f t="shared" si="38"/>
        <v>0.21349980590539103</v>
      </c>
      <c r="F61" s="70">
        <f t="shared" si="38"/>
        <v>0.20659687301487145</v>
      </c>
      <c r="G61" s="70">
        <f t="shared" si="38"/>
        <v>0.21786870395089661</v>
      </c>
      <c r="H61" s="70">
        <f t="shared" si="38"/>
        <v>0.23328581930249656</v>
      </c>
      <c r="I61" s="70">
        <f t="shared" si="38"/>
        <v>0.2396877731357801</v>
      </c>
      <c r="J61" s="70">
        <f t="shared" si="38"/>
        <v>0.23602109194274765</v>
      </c>
      <c r="K61" s="70">
        <f t="shared" si="38"/>
        <v>0.25165569567697993</v>
      </c>
      <c r="L61" s="70">
        <f t="shared" si="38"/>
        <v>0.25323271366123107</v>
      </c>
      <c r="M61" s="70">
        <f t="shared" si="38"/>
        <v>0.2694441315520093</v>
      </c>
      <c r="N61" s="70">
        <f t="shared" si="38"/>
        <v>0.26279903243215347</v>
      </c>
      <c r="O61" s="70">
        <f t="shared" si="38"/>
        <v>0.27370990082450958</v>
      </c>
      <c r="P61" s="70">
        <f t="shared" si="38"/>
        <v>0.26387198212328028</v>
      </c>
      <c r="Q61" s="70">
        <f t="shared" si="38"/>
        <v>0.26885506446287438</v>
      </c>
      <c r="R61" s="70">
        <f t="shared" si="38"/>
        <v>0.25770534338536699</v>
      </c>
      <c r="S61" s="70">
        <f t="shared" si="38"/>
        <v>0.27426797014315424</v>
      </c>
      <c r="T61" s="70">
        <f t="shared" si="38"/>
        <v>0.26725874178041931</v>
      </c>
      <c r="U61" s="70">
        <f t="shared" si="38"/>
        <v>0.28702414998513948</v>
      </c>
      <c r="V61" s="70">
        <f t="shared" si="38"/>
        <v>0.28542257496025464</v>
      </c>
      <c r="W61" s="70">
        <f t="shared" si="38"/>
        <v>0.29933862050127963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217.93047548214881</v>
      </c>
      <c r="C65" s="80">
        <v>287.42059230719656</v>
      </c>
      <c r="D65" s="80">
        <v>231.03616708363205</v>
      </c>
      <c r="E65" s="80">
        <v>303.92520810651149</v>
      </c>
      <c r="F65" s="80">
        <v>293.24959444061028</v>
      </c>
      <c r="G65" s="80">
        <v>283.42368009005497</v>
      </c>
      <c r="H65" s="80">
        <v>247.81814218095616</v>
      </c>
      <c r="I65" s="80">
        <v>243.80627754773025</v>
      </c>
      <c r="J65" s="80">
        <v>211.51025166334409</v>
      </c>
      <c r="K65" s="80">
        <v>184.48655097066126</v>
      </c>
      <c r="L65" s="80">
        <v>172.60887602864909</v>
      </c>
      <c r="M65" s="80">
        <v>214.37343717323699</v>
      </c>
      <c r="N65" s="80">
        <v>227.57453617472686</v>
      </c>
      <c r="O65" s="80">
        <v>241.14934078044226</v>
      </c>
      <c r="P65" s="80">
        <v>262.74325561509659</v>
      </c>
      <c r="Q65" s="80">
        <v>278.50618950956556</v>
      </c>
      <c r="R65" s="80">
        <v>279.68308929209968</v>
      </c>
      <c r="S65" s="80">
        <v>265.56915151389023</v>
      </c>
      <c r="T65" s="80">
        <v>271.83222007983011</v>
      </c>
      <c r="U65" s="80">
        <v>242.80449040743792</v>
      </c>
      <c r="V65" s="80">
        <v>248.29729239381552</v>
      </c>
      <c r="W65" s="80">
        <v>260.90384007760304</v>
      </c>
      <c r="DA65" s="103" t="s">
        <v>218</v>
      </c>
    </row>
    <row r="66" spans="1:105" ht="12" customHeight="1" x14ac:dyDescent="0.25">
      <c r="A66" s="58" t="s">
        <v>29</v>
      </c>
      <c r="B66" s="59">
        <v>22.585157962148777</v>
      </c>
      <c r="C66" s="59">
        <v>27.77286390719652</v>
      </c>
      <c r="D66" s="59">
        <v>24.312761563632037</v>
      </c>
      <c r="E66" s="59">
        <v>26.008082346511472</v>
      </c>
      <c r="F66" s="59">
        <v>25.362541000610264</v>
      </c>
      <c r="G66" s="59">
        <v>29.623188330054955</v>
      </c>
      <c r="H66" s="59">
        <v>18.24192946095615</v>
      </c>
      <c r="I66" s="59">
        <v>19.880949907730233</v>
      </c>
      <c r="J66" s="59">
        <v>14.002714383344072</v>
      </c>
      <c r="K66" s="59">
        <v>11.172600570661256</v>
      </c>
      <c r="L66" s="59">
        <v>9.4869500686490582</v>
      </c>
      <c r="M66" s="59">
        <v>6.9010286132370053</v>
      </c>
      <c r="N66" s="59">
        <v>8.4123922947268586</v>
      </c>
      <c r="O66" s="59">
        <v>13.611110740442202</v>
      </c>
      <c r="P66" s="59">
        <v>8.32575409509659</v>
      </c>
      <c r="Q66" s="59">
        <v>7.1396914295655396</v>
      </c>
      <c r="R66" s="59">
        <v>9.2853724520997147</v>
      </c>
      <c r="S66" s="59">
        <v>3.944458993890164</v>
      </c>
      <c r="T66" s="59">
        <v>4.1469743598300726</v>
      </c>
      <c r="U66" s="59">
        <v>3.7904892474379381</v>
      </c>
      <c r="V66" s="59">
        <v>4.0760449538154866</v>
      </c>
      <c r="W66" s="59">
        <v>4.0025660776030403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170.30227752000002</v>
      </c>
      <c r="C67" s="55">
        <f t="shared" ref="C67:W67" si="39">SUM(C68:C69)</f>
        <v>206.98665840000001</v>
      </c>
      <c r="D67" s="55">
        <f t="shared" si="39"/>
        <v>142.09620552000001</v>
      </c>
      <c r="E67" s="55">
        <f t="shared" si="39"/>
        <v>127.10349576000002</v>
      </c>
      <c r="F67" s="55">
        <f t="shared" si="39"/>
        <v>130.40278344000001</v>
      </c>
      <c r="G67" s="55">
        <f t="shared" si="39"/>
        <v>145.19650176000002</v>
      </c>
      <c r="H67" s="55">
        <f t="shared" si="39"/>
        <v>113.90362271999999</v>
      </c>
      <c r="I67" s="55">
        <f t="shared" si="39"/>
        <v>120.82474764000001</v>
      </c>
      <c r="J67" s="55">
        <f t="shared" si="39"/>
        <v>117.78382728</v>
      </c>
      <c r="K67" s="55">
        <f t="shared" si="39"/>
        <v>109.29263039999999</v>
      </c>
      <c r="L67" s="55">
        <f t="shared" si="39"/>
        <v>93.294255960000015</v>
      </c>
      <c r="M67" s="55">
        <f t="shared" si="39"/>
        <v>134.66582855999999</v>
      </c>
      <c r="N67" s="55">
        <f t="shared" si="39"/>
        <v>137.26736388</v>
      </c>
      <c r="O67" s="55">
        <f t="shared" si="39"/>
        <v>125.80088004000002</v>
      </c>
      <c r="P67" s="55">
        <f t="shared" si="39"/>
        <v>97.444091520000001</v>
      </c>
      <c r="Q67" s="55">
        <f t="shared" si="39"/>
        <v>106.97105808000001</v>
      </c>
      <c r="R67" s="55">
        <f t="shared" si="39"/>
        <v>84.089616839999991</v>
      </c>
      <c r="S67" s="55">
        <f t="shared" si="39"/>
        <v>95.106047040000021</v>
      </c>
      <c r="T67" s="55">
        <f t="shared" si="39"/>
        <v>88.692540840000007</v>
      </c>
      <c r="U67" s="55">
        <f t="shared" si="39"/>
        <v>66.561165000000017</v>
      </c>
      <c r="V67" s="55">
        <f t="shared" si="39"/>
        <v>67.520990519999998</v>
      </c>
      <c r="W67" s="55">
        <f t="shared" si="39"/>
        <v>69.820273080000007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2.8710752400000015</v>
      </c>
      <c r="G68" s="55">
        <v>2.8710752400000015</v>
      </c>
      <c r="H68" s="55">
        <v>2.8710752400000015</v>
      </c>
      <c r="I68" s="55">
        <v>2.8710752400000015</v>
      </c>
      <c r="J68" s="55">
        <v>2.8710752400000015</v>
      </c>
      <c r="K68" s="55">
        <v>2.8710752400000015</v>
      </c>
      <c r="L68" s="55">
        <v>2.8429073999999996</v>
      </c>
      <c r="M68" s="55">
        <v>2.8429073999999996</v>
      </c>
      <c r="N68" s="55">
        <v>2.8710752400000015</v>
      </c>
      <c r="O68" s="55">
        <v>2.8710752400000015</v>
      </c>
      <c r="P68" s="55">
        <v>2.8710752400000015</v>
      </c>
      <c r="Q68" s="55">
        <v>2.8710752400000015</v>
      </c>
      <c r="R68" s="55">
        <v>5.7421504800000003</v>
      </c>
      <c r="S68" s="55">
        <v>8.6132257200000026</v>
      </c>
      <c r="T68" s="55">
        <v>2.8710752400000015</v>
      </c>
      <c r="U68" s="55">
        <v>5.7421504800000003</v>
      </c>
      <c r="V68" s="55">
        <v>5.9431870799999995</v>
      </c>
      <c r="W68" s="55">
        <v>4.3064992799999988</v>
      </c>
      <c r="DA68" s="101" t="s">
        <v>220</v>
      </c>
    </row>
    <row r="69" spans="1:105" ht="12" customHeight="1" x14ac:dyDescent="0.25">
      <c r="A69" s="61" t="s">
        <v>170</v>
      </c>
      <c r="B69" s="55">
        <v>170.30227752000002</v>
      </c>
      <c r="C69" s="55">
        <v>206.98665840000001</v>
      </c>
      <c r="D69" s="55">
        <v>142.09620552000001</v>
      </c>
      <c r="E69" s="55">
        <v>127.10349576000002</v>
      </c>
      <c r="F69" s="55">
        <v>127.53170820000001</v>
      </c>
      <c r="G69" s="55">
        <v>142.32542652000001</v>
      </c>
      <c r="H69" s="55">
        <v>111.03254747999999</v>
      </c>
      <c r="I69" s="55">
        <v>117.95367240000002</v>
      </c>
      <c r="J69" s="55">
        <v>114.91275204</v>
      </c>
      <c r="K69" s="55">
        <v>106.42155516</v>
      </c>
      <c r="L69" s="55">
        <v>90.451348560000014</v>
      </c>
      <c r="M69" s="55">
        <v>131.82292115999999</v>
      </c>
      <c r="N69" s="55">
        <v>134.39628863999999</v>
      </c>
      <c r="O69" s="55">
        <v>122.92980480000003</v>
      </c>
      <c r="P69" s="55">
        <v>94.573016280000004</v>
      </c>
      <c r="Q69" s="55">
        <v>104.09998284000001</v>
      </c>
      <c r="R69" s="55">
        <v>78.347466359999984</v>
      </c>
      <c r="S69" s="55">
        <v>86.492821320000019</v>
      </c>
      <c r="T69" s="55">
        <v>85.82146560000001</v>
      </c>
      <c r="U69" s="55">
        <v>60.819014520000017</v>
      </c>
      <c r="V69" s="55">
        <v>61.577803439999997</v>
      </c>
      <c r="W69" s="55">
        <v>65.51377380000001</v>
      </c>
      <c r="DA69" s="101" t="s">
        <v>221</v>
      </c>
    </row>
    <row r="70" spans="1:105" ht="12" customHeight="1" x14ac:dyDescent="0.25">
      <c r="A70" s="60" t="s">
        <v>153</v>
      </c>
      <c r="B70" s="55">
        <v>25.043040000000008</v>
      </c>
      <c r="C70" s="55">
        <v>52.661069999999995</v>
      </c>
      <c r="D70" s="55">
        <v>64.627200000000002</v>
      </c>
      <c r="E70" s="55">
        <v>150.81363000000002</v>
      </c>
      <c r="F70" s="55">
        <v>137.48427000000001</v>
      </c>
      <c r="G70" s="55">
        <v>108.60399000000001</v>
      </c>
      <c r="H70" s="55">
        <v>115.67259000000003</v>
      </c>
      <c r="I70" s="55">
        <v>103.10057999999999</v>
      </c>
      <c r="J70" s="55">
        <v>79.723710000000025</v>
      </c>
      <c r="K70" s="55">
        <v>64.021319999999989</v>
      </c>
      <c r="L70" s="55">
        <v>69.827670000000012</v>
      </c>
      <c r="M70" s="55">
        <v>72.806579999999997</v>
      </c>
      <c r="N70" s="55">
        <v>81.894779999999997</v>
      </c>
      <c r="O70" s="55">
        <v>101.73735000000002</v>
      </c>
      <c r="P70" s="55">
        <v>156.97341</v>
      </c>
      <c r="Q70" s="55">
        <v>164.39544000000001</v>
      </c>
      <c r="R70" s="55">
        <v>186.3081</v>
      </c>
      <c r="S70" s="55">
        <v>166.51864548000003</v>
      </c>
      <c r="T70" s="55">
        <v>178.99270488000002</v>
      </c>
      <c r="U70" s="55">
        <v>172.45283615999998</v>
      </c>
      <c r="V70" s="55">
        <v>176.70025692000004</v>
      </c>
      <c r="W70" s="55">
        <v>187.08100092000001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217.93047548214881</v>
      </c>
      <c r="C81" s="82">
        <f t="shared" ref="C81:W81" si="42">C82+C87</f>
        <v>287.42059230719656</v>
      </c>
      <c r="D81" s="82">
        <f t="shared" si="42"/>
        <v>231.03616708363208</v>
      </c>
      <c r="E81" s="82">
        <f t="shared" si="42"/>
        <v>303.92520810651155</v>
      </c>
      <c r="F81" s="82">
        <f t="shared" si="42"/>
        <v>293.24959444061022</v>
      </c>
      <c r="G81" s="82">
        <f t="shared" si="42"/>
        <v>283.42368009005492</v>
      </c>
      <c r="H81" s="82">
        <f t="shared" si="42"/>
        <v>247.81814218095619</v>
      </c>
      <c r="I81" s="82">
        <f t="shared" si="42"/>
        <v>243.8062775477303</v>
      </c>
      <c r="J81" s="82">
        <f t="shared" si="42"/>
        <v>211.51025166334412</v>
      </c>
      <c r="K81" s="82">
        <f t="shared" si="42"/>
        <v>184.48655097066123</v>
      </c>
      <c r="L81" s="82">
        <f t="shared" si="42"/>
        <v>172.60887602864904</v>
      </c>
      <c r="M81" s="82">
        <f t="shared" si="42"/>
        <v>214.37343717323694</v>
      </c>
      <c r="N81" s="82">
        <f t="shared" si="42"/>
        <v>227.57453617472689</v>
      </c>
      <c r="O81" s="82">
        <f t="shared" si="42"/>
        <v>241.1493407804422</v>
      </c>
      <c r="P81" s="82">
        <f t="shared" si="42"/>
        <v>262.74325561509647</v>
      </c>
      <c r="Q81" s="82">
        <f t="shared" si="42"/>
        <v>278.50618950956556</v>
      </c>
      <c r="R81" s="82">
        <f t="shared" si="42"/>
        <v>279.68308929209974</v>
      </c>
      <c r="S81" s="82">
        <f t="shared" si="42"/>
        <v>265.5691515138904</v>
      </c>
      <c r="T81" s="82">
        <f t="shared" si="42"/>
        <v>271.83222007983022</v>
      </c>
      <c r="U81" s="82">
        <f t="shared" si="42"/>
        <v>242.8044904074379</v>
      </c>
      <c r="V81" s="82">
        <f t="shared" si="42"/>
        <v>248.29729239381567</v>
      </c>
      <c r="W81" s="82">
        <f t="shared" si="42"/>
        <v>260.90384007760304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217.93047548214881</v>
      </c>
      <c r="C82" s="64">
        <f t="shared" ref="C82:W82" si="44">SUM(C83:C86)</f>
        <v>287.42059230719656</v>
      </c>
      <c r="D82" s="64">
        <f t="shared" si="44"/>
        <v>231.03616708363208</v>
      </c>
      <c r="E82" s="64">
        <f t="shared" si="44"/>
        <v>303.92520810651155</v>
      </c>
      <c r="F82" s="64">
        <f t="shared" si="44"/>
        <v>293.24959444061022</v>
      </c>
      <c r="G82" s="64">
        <f t="shared" si="44"/>
        <v>283.42368009005492</v>
      </c>
      <c r="H82" s="64">
        <f t="shared" si="44"/>
        <v>247.81814218095619</v>
      </c>
      <c r="I82" s="64">
        <f t="shared" si="44"/>
        <v>243.8062775477303</v>
      </c>
      <c r="J82" s="64">
        <f t="shared" si="44"/>
        <v>211.51025166334412</v>
      </c>
      <c r="K82" s="64">
        <f t="shared" si="44"/>
        <v>184.48655097066123</v>
      </c>
      <c r="L82" s="64">
        <f t="shared" si="44"/>
        <v>172.60887602864904</v>
      </c>
      <c r="M82" s="64">
        <f t="shared" si="44"/>
        <v>214.37343717323694</v>
      </c>
      <c r="N82" s="64">
        <f t="shared" si="44"/>
        <v>227.57453617472689</v>
      </c>
      <c r="O82" s="64">
        <f t="shared" si="44"/>
        <v>241.1493407804422</v>
      </c>
      <c r="P82" s="64">
        <f t="shared" si="44"/>
        <v>262.74325561509647</v>
      </c>
      <c r="Q82" s="64">
        <f t="shared" si="44"/>
        <v>278.50618950956556</v>
      </c>
      <c r="R82" s="64">
        <f t="shared" si="44"/>
        <v>279.68308929209974</v>
      </c>
      <c r="S82" s="64">
        <f t="shared" si="44"/>
        <v>265.5691515138904</v>
      </c>
      <c r="T82" s="64">
        <f t="shared" si="44"/>
        <v>271.83222007983022</v>
      </c>
      <c r="U82" s="64">
        <f t="shared" si="44"/>
        <v>242.8044904074379</v>
      </c>
      <c r="V82" s="64">
        <f t="shared" si="44"/>
        <v>248.29729239381567</v>
      </c>
      <c r="W82" s="64">
        <f t="shared" si="44"/>
        <v>260.90384007760304</v>
      </c>
      <c r="DA82" s="108" t="s">
        <v>232</v>
      </c>
    </row>
    <row r="83" spans="1:105" ht="12" customHeight="1" x14ac:dyDescent="0.25">
      <c r="A83" s="61" t="s">
        <v>32</v>
      </c>
      <c r="B83" s="65">
        <v>190.49495620506926</v>
      </c>
      <c r="C83" s="65">
        <v>252.11402535610605</v>
      </c>
      <c r="D83" s="65">
        <v>194.94765638790068</v>
      </c>
      <c r="E83" s="65">
        <v>272.61184547905634</v>
      </c>
      <c r="F83" s="65">
        <v>261.57095597999285</v>
      </c>
      <c r="G83" s="65">
        <v>252.70799871080186</v>
      </c>
      <c r="H83" s="65">
        <v>218.00856887230975</v>
      </c>
      <c r="I83" s="65">
        <v>214.73877691301078</v>
      </c>
      <c r="J83" s="65">
        <v>182.66651163618059</v>
      </c>
      <c r="K83" s="65">
        <v>156.97240075070138</v>
      </c>
      <c r="L83" s="65">
        <v>144.9418389583324</v>
      </c>
      <c r="M83" s="65">
        <v>185.5747229214781</v>
      </c>
      <c r="N83" s="65">
        <v>197.90331044899858</v>
      </c>
      <c r="O83" s="65">
        <v>209.55544525429445</v>
      </c>
      <c r="P83" s="65">
        <v>227.28295033629195</v>
      </c>
      <c r="Q83" s="65">
        <v>242.57689557751908</v>
      </c>
      <c r="R83" s="65">
        <v>238.17144527931262</v>
      </c>
      <c r="S83" s="65">
        <v>220.01393200785401</v>
      </c>
      <c r="T83" s="65">
        <v>228.66636885617439</v>
      </c>
      <c r="U83" s="65">
        <v>194.8650690235385</v>
      </c>
      <c r="V83" s="65">
        <v>200.43327533102277</v>
      </c>
      <c r="W83" s="65">
        <v>216.40307476774615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24.962999842159064</v>
      </c>
      <c r="C85" s="65">
        <v>27.218497451220529</v>
      </c>
      <c r="D85" s="65">
        <v>24.571973868952171</v>
      </c>
      <c r="E85" s="65">
        <v>19.675340855531587</v>
      </c>
      <c r="F85" s="65">
        <v>17.348990875429521</v>
      </c>
      <c r="G85" s="65">
        <v>16.691589825437944</v>
      </c>
      <c r="H85" s="65">
        <v>16.100213957165579</v>
      </c>
      <c r="I85" s="65">
        <v>15.670768156342115</v>
      </c>
      <c r="J85" s="65">
        <v>15.752136229276893</v>
      </c>
      <c r="K85" s="65">
        <v>15.412452436821042</v>
      </c>
      <c r="L85" s="65">
        <v>15.107619621444067</v>
      </c>
      <c r="M85" s="65">
        <v>16.050526139001043</v>
      </c>
      <c r="N85" s="65">
        <v>16.157546301340247</v>
      </c>
      <c r="O85" s="65">
        <v>18.309087061401389</v>
      </c>
      <c r="P85" s="65">
        <v>21.870723510829464</v>
      </c>
      <c r="Q85" s="65">
        <v>22.119715953734236</v>
      </c>
      <c r="R85" s="65">
        <v>21.227208001079703</v>
      </c>
      <c r="S85" s="65">
        <v>22.357251059838688</v>
      </c>
      <c r="T85" s="65">
        <v>23.941244733905062</v>
      </c>
      <c r="U85" s="65">
        <v>22.940799758869286</v>
      </c>
      <c r="V85" s="65">
        <v>23.100897451131168</v>
      </c>
      <c r="W85" s="65">
        <v>21.926354886894014</v>
      </c>
      <c r="DA85" s="109" t="s">
        <v>235</v>
      </c>
    </row>
    <row r="86" spans="1:105" ht="12" customHeight="1" x14ac:dyDescent="0.25">
      <c r="A86" s="66" t="s">
        <v>34</v>
      </c>
      <c r="B86" s="67">
        <v>2.4725194349204864</v>
      </c>
      <c r="C86" s="67">
        <v>8.0880694998699632</v>
      </c>
      <c r="D86" s="67">
        <v>11.516536826779232</v>
      </c>
      <c r="E86" s="67">
        <v>11.638021771923619</v>
      </c>
      <c r="F86" s="67">
        <v>14.329647585187869</v>
      </c>
      <c r="G86" s="67">
        <v>14.024091553815129</v>
      </c>
      <c r="H86" s="67">
        <v>13.709359351480861</v>
      </c>
      <c r="I86" s="67">
        <v>13.396732478377398</v>
      </c>
      <c r="J86" s="67">
        <v>13.091603797886659</v>
      </c>
      <c r="K86" s="67">
        <v>12.101697783138814</v>
      </c>
      <c r="L86" s="67">
        <v>12.559417448872582</v>
      </c>
      <c r="M86" s="67">
        <v>12.748188112757799</v>
      </c>
      <c r="N86" s="67">
        <v>13.513679424388066</v>
      </c>
      <c r="O86" s="67">
        <v>13.284808464746362</v>
      </c>
      <c r="P86" s="67">
        <v>13.589581767975055</v>
      </c>
      <c r="Q86" s="67">
        <v>13.809577978312261</v>
      </c>
      <c r="R86" s="67">
        <v>20.284436011707434</v>
      </c>
      <c r="S86" s="67">
        <v>23.19796844619772</v>
      </c>
      <c r="T86" s="67">
        <v>19.224606489750812</v>
      </c>
      <c r="U86" s="67">
        <v>24.998621625030133</v>
      </c>
      <c r="V86" s="67">
        <v>24.763119611661729</v>
      </c>
      <c r="W86" s="67">
        <v>22.574410422962863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0.87410884495901142</v>
      </c>
      <c r="C91" s="71">
        <f t="shared" ref="C91:W91" si="50">IF(C83=0,0,C83/C$81)</f>
        <v>0.87716062141659401</v>
      </c>
      <c r="D91" s="71">
        <f t="shared" si="50"/>
        <v>0.84379713725657579</v>
      </c>
      <c r="E91" s="71">
        <f t="shared" si="50"/>
        <v>0.89697016965936782</v>
      </c>
      <c r="F91" s="71">
        <f t="shared" si="50"/>
        <v>0.89197380299520579</v>
      </c>
      <c r="G91" s="71">
        <f t="shared" si="50"/>
        <v>0.89162627000858408</v>
      </c>
      <c r="H91" s="71">
        <f t="shared" si="50"/>
        <v>0.87971190064495131</v>
      </c>
      <c r="I91" s="71">
        <f t="shared" si="50"/>
        <v>0.88077624199389637</v>
      </c>
      <c r="J91" s="71">
        <f t="shared" si="50"/>
        <v>0.86362958863538475</v>
      </c>
      <c r="K91" s="71">
        <f t="shared" si="50"/>
        <v>0.85086094311375904</v>
      </c>
      <c r="L91" s="71">
        <f t="shared" si="50"/>
        <v>0.83971254719412836</v>
      </c>
      <c r="M91" s="71">
        <f t="shared" si="50"/>
        <v>0.86566099498378446</v>
      </c>
      <c r="N91" s="71">
        <f t="shared" si="50"/>
        <v>0.86961974645991424</v>
      </c>
      <c r="O91" s="71">
        <f t="shared" si="50"/>
        <v>0.86898618331736244</v>
      </c>
      <c r="P91" s="71">
        <f t="shared" si="50"/>
        <v>0.8650381902447315</v>
      </c>
      <c r="Q91" s="71">
        <f t="shared" si="50"/>
        <v>0.87099283504141856</v>
      </c>
      <c r="R91" s="71">
        <f t="shared" si="50"/>
        <v>0.85157613884394512</v>
      </c>
      <c r="S91" s="71">
        <f t="shared" si="50"/>
        <v>0.82846193073876784</v>
      </c>
      <c r="T91" s="71">
        <f t="shared" si="50"/>
        <v>0.84120406620311927</v>
      </c>
      <c r="U91" s="71">
        <f t="shared" si="50"/>
        <v>0.80255957662292532</v>
      </c>
      <c r="V91" s="71">
        <f t="shared" si="50"/>
        <v>0.80723101488002758</v>
      </c>
      <c r="W91" s="71">
        <f t="shared" si="50"/>
        <v>0.82943614284626621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0.11454570448181232</v>
      </c>
      <c r="C93" s="72">
        <f t="shared" ref="C93:W93" si="54">IF(C85=0,0,C85/C$81)</f>
        <v>9.4699190592889962E-2</v>
      </c>
      <c r="D93" s="72">
        <f t="shared" si="54"/>
        <v>0.1063555294356032</v>
      </c>
      <c r="E93" s="72">
        <f t="shared" si="54"/>
        <v>6.4737443064072198E-2</v>
      </c>
      <c r="F93" s="72">
        <f t="shared" si="54"/>
        <v>5.9161176023188294E-2</v>
      </c>
      <c r="G93" s="72">
        <f t="shared" si="54"/>
        <v>5.8892714328366513E-2</v>
      </c>
      <c r="H93" s="72">
        <f t="shared" si="54"/>
        <v>6.4967858347550853E-2</v>
      </c>
      <c r="I93" s="72">
        <f t="shared" si="54"/>
        <v>6.4275490828058057E-2</v>
      </c>
      <c r="J93" s="72">
        <f t="shared" si="54"/>
        <v>7.4474575607565333E-2</v>
      </c>
      <c r="K93" s="72">
        <f t="shared" si="54"/>
        <v>8.3542417350910711E-2</v>
      </c>
      <c r="L93" s="72">
        <f t="shared" si="54"/>
        <v>8.7525160750925438E-2</v>
      </c>
      <c r="M93" s="72">
        <f t="shared" si="54"/>
        <v>7.4871804784426163E-2</v>
      </c>
      <c r="N93" s="72">
        <f t="shared" si="54"/>
        <v>7.0998920059029913E-2</v>
      </c>
      <c r="O93" s="72">
        <f t="shared" si="54"/>
        <v>7.5924267518820018E-2</v>
      </c>
      <c r="P93" s="72">
        <f t="shared" si="54"/>
        <v>8.3239904520589478E-2</v>
      </c>
      <c r="Q93" s="72">
        <f t="shared" si="54"/>
        <v>7.942270867547277E-2</v>
      </c>
      <c r="R93" s="72">
        <f t="shared" si="54"/>
        <v>7.5897359596561464E-2</v>
      </c>
      <c r="S93" s="72">
        <f t="shared" si="54"/>
        <v>8.4186174984519274E-2</v>
      </c>
      <c r="T93" s="72">
        <f t="shared" si="54"/>
        <v>8.8073609253804155E-2</v>
      </c>
      <c r="U93" s="72">
        <f t="shared" si="54"/>
        <v>9.4482600879306197E-2</v>
      </c>
      <c r="V93" s="72">
        <f t="shared" si="54"/>
        <v>9.3037250742515717E-2</v>
      </c>
      <c r="W93" s="72">
        <f t="shared" si="54"/>
        <v>8.4039985307890669E-2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1.1345450559176228E-2</v>
      </c>
      <c r="C94" s="73">
        <f t="shared" ref="C94:W94" si="56">IF(C86=0,0,C86/C$81)</f>
        <v>2.8140187990515982E-2</v>
      </c>
      <c r="D94" s="73">
        <f t="shared" si="56"/>
        <v>4.9847333307821005E-2</v>
      </c>
      <c r="E94" s="73">
        <f t="shared" si="56"/>
        <v>3.8292387276559953E-2</v>
      </c>
      <c r="F94" s="73">
        <f t="shared" si="56"/>
        <v>4.8865020981606E-2</v>
      </c>
      <c r="G94" s="73">
        <f t="shared" si="56"/>
        <v>4.9481015663049466E-2</v>
      </c>
      <c r="H94" s="73">
        <f t="shared" si="56"/>
        <v>5.5320241007497835E-2</v>
      </c>
      <c r="I94" s="73">
        <f t="shared" si="56"/>
        <v>5.494826717804549E-2</v>
      </c>
      <c r="J94" s="73">
        <f t="shared" si="56"/>
        <v>6.1895835757050002E-2</v>
      </c>
      <c r="K94" s="73">
        <f t="shared" si="56"/>
        <v>6.5596639535330348E-2</v>
      </c>
      <c r="L94" s="73">
        <f t="shared" si="56"/>
        <v>7.2762292054946304E-2</v>
      </c>
      <c r="M94" s="73">
        <f t="shared" si="56"/>
        <v>5.9467200231789363E-2</v>
      </c>
      <c r="N94" s="73">
        <f t="shared" si="56"/>
        <v>5.9381333481055849E-2</v>
      </c>
      <c r="O94" s="73">
        <f t="shared" si="56"/>
        <v>5.5089549163817544E-2</v>
      </c>
      <c r="P94" s="73">
        <f t="shared" si="56"/>
        <v>5.1721905234678976E-2</v>
      </c>
      <c r="Q94" s="73">
        <f t="shared" si="56"/>
        <v>4.9584456283108772E-2</v>
      </c>
      <c r="R94" s="73">
        <f t="shared" si="56"/>
        <v>7.2526501559493514E-2</v>
      </c>
      <c r="S94" s="73">
        <f t="shared" si="56"/>
        <v>8.7351894276712957E-2</v>
      </c>
      <c r="T94" s="73">
        <f t="shared" si="56"/>
        <v>7.0722324543076726E-2</v>
      </c>
      <c r="U94" s="73">
        <f t="shared" si="56"/>
        <v>0.10295782249776853</v>
      </c>
      <c r="V94" s="73">
        <f t="shared" si="56"/>
        <v>9.9731734377456721E-2</v>
      </c>
      <c r="W94" s="73">
        <f t="shared" si="56"/>
        <v>8.6523871845843078E-2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266577.41668881429</v>
      </c>
      <c r="C99" s="82">
        <f t="shared" ref="C99:W99" si="60">C47*11630*1000/C$8</f>
        <v>264820.20016673952</v>
      </c>
      <c r="D99" s="82">
        <f t="shared" si="60"/>
        <v>258292.13414155284</v>
      </c>
      <c r="E99" s="82">
        <f t="shared" si="60"/>
        <v>281558.57464043953</v>
      </c>
      <c r="F99" s="82">
        <f t="shared" si="60"/>
        <v>306759.4569623014</v>
      </c>
      <c r="G99" s="82">
        <f t="shared" si="60"/>
        <v>300183.9106726764</v>
      </c>
      <c r="H99" s="82">
        <f t="shared" si="60"/>
        <v>287583.71588384913</v>
      </c>
      <c r="I99" s="82">
        <f t="shared" si="60"/>
        <v>286935.14726575575</v>
      </c>
      <c r="J99" s="82">
        <f t="shared" si="60"/>
        <v>309771.23672865611</v>
      </c>
      <c r="K99" s="82">
        <f t="shared" si="60"/>
        <v>302386.27212511731</v>
      </c>
      <c r="L99" s="82">
        <f t="shared" si="60"/>
        <v>304040.14839039592</v>
      </c>
      <c r="M99" s="82">
        <f t="shared" si="60"/>
        <v>280770.21667456103</v>
      </c>
      <c r="N99" s="82">
        <f t="shared" si="60"/>
        <v>290657.41778697656</v>
      </c>
      <c r="O99" s="82">
        <f t="shared" si="60"/>
        <v>284835.37089242216</v>
      </c>
      <c r="P99" s="82">
        <f t="shared" si="60"/>
        <v>307350.00001799903</v>
      </c>
      <c r="Q99" s="82">
        <f t="shared" si="60"/>
        <v>306274.82105796295</v>
      </c>
      <c r="R99" s="82">
        <f t="shared" si="60"/>
        <v>324516.06392394257</v>
      </c>
      <c r="S99" s="82">
        <f t="shared" si="60"/>
        <v>298908.88275646942</v>
      </c>
      <c r="T99" s="82">
        <f t="shared" si="60"/>
        <v>309472.75554704934</v>
      </c>
      <c r="U99" s="82">
        <f t="shared" si="60"/>
        <v>289441.64688808424</v>
      </c>
      <c r="V99" s="82">
        <f t="shared" si="60"/>
        <v>290481.66320144047</v>
      </c>
      <c r="W99" s="82">
        <f t="shared" si="60"/>
        <v>313603.10961589008</v>
      </c>
      <c r="DA99" s="107"/>
    </row>
    <row r="100" spans="1:105" ht="12" customHeight="1" x14ac:dyDescent="0.25">
      <c r="A100" s="77" t="s">
        <v>36</v>
      </c>
      <c r="B100" s="64">
        <f t="shared" si="59"/>
        <v>214116.09162865757</v>
      </c>
      <c r="C100" s="64">
        <f t="shared" ref="C100:W100" si="61">C48*11630*1000/C$8</f>
        <v>209973.0943178545</v>
      </c>
      <c r="D100" s="64">
        <f t="shared" si="61"/>
        <v>201118.67015870611</v>
      </c>
      <c r="E100" s="64">
        <f t="shared" si="61"/>
        <v>221445.87360370715</v>
      </c>
      <c r="F100" s="64">
        <f t="shared" si="61"/>
        <v>243383.91238614987</v>
      </c>
      <c r="G100" s="64">
        <f t="shared" si="61"/>
        <v>234783.23110750868</v>
      </c>
      <c r="H100" s="64">
        <f t="shared" si="61"/>
        <v>220494.51310582896</v>
      </c>
      <c r="I100" s="64">
        <f t="shared" si="61"/>
        <v>218160.30078323963</v>
      </c>
      <c r="J100" s="64">
        <f t="shared" si="61"/>
        <v>236658.69118350337</v>
      </c>
      <c r="K100" s="64">
        <f t="shared" si="61"/>
        <v>226289.0444503024</v>
      </c>
      <c r="L100" s="64">
        <f t="shared" si="61"/>
        <v>227047.23655153261</v>
      </c>
      <c r="M100" s="64">
        <f t="shared" si="61"/>
        <v>205118.32947701449</v>
      </c>
      <c r="N100" s="64">
        <f t="shared" si="61"/>
        <v>214272.92962333094</v>
      </c>
      <c r="O100" s="64">
        <f t="shared" si="61"/>
        <v>206873.10977414492</v>
      </c>
      <c r="P100" s="64">
        <f t="shared" si="61"/>
        <v>226248.94630765941</v>
      </c>
      <c r="Q100" s="64">
        <f t="shared" si="61"/>
        <v>223931.28429906897</v>
      </c>
      <c r="R100" s="64">
        <f t="shared" si="61"/>
        <v>240886.54023635521</v>
      </c>
      <c r="S100" s="64">
        <f t="shared" si="61"/>
        <v>216927.75022509441</v>
      </c>
      <c r="T100" s="64">
        <f t="shared" si="61"/>
        <v>226763.45628422563</v>
      </c>
      <c r="U100" s="64">
        <f t="shared" si="61"/>
        <v>206364.90421973297</v>
      </c>
      <c r="V100" s="64">
        <f t="shared" si="61"/>
        <v>207571.63891174787</v>
      </c>
      <c r="W100" s="64">
        <f t="shared" si="61"/>
        <v>219729.58739855792</v>
      </c>
      <c r="DA100" s="108"/>
    </row>
    <row r="101" spans="1:105" ht="12" customHeight="1" x14ac:dyDescent="0.25">
      <c r="A101" s="61" t="s">
        <v>32</v>
      </c>
      <c r="B101" s="65">
        <f t="shared" si="59"/>
        <v>161692.11265762013</v>
      </c>
      <c r="C101" s="65">
        <f t="shared" ref="C101:W101" si="62">C49*11630*1000/C$8</f>
        <v>157837.15531668474</v>
      </c>
      <c r="D101" s="65">
        <f t="shared" si="62"/>
        <v>150498.89440087174</v>
      </c>
      <c r="E101" s="65">
        <f t="shared" si="62"/>
        <v>171676.20238021677</v>
      </c>
      <c r="F101" s="65">
        <f t="shared" si="62"/>
        <v>195067.69859607011</v>
      </c>
      <c r="G101" s="65">
        <f t="shared" si="62"/>
        <v>186582.25125654542</v>
      </c>
      <c r="H101" s="65">
        <f t="shared" si="62"/>
        <v>174055.94408785805</v>
      </c>
      <c r="I101" s="65">
        <f t="shared" si="62"/>
        <v>173060.55091214596</v>
      </c>
      <c r="J101" s="65">
        <f t="shared" si="62"/>
        <v>190646.66788965315</v>
      </c>
      <c r="K101" s="65">
        <f t="shared" si="62"/>
        <v>179831.16312012327</v>
      </c>
      <c r="L101" s="65">
        <f t="shared" si="62"/>
        <v>180610.9209078337</v>
      </c>
      <c r="M101" s="65">
        <f t="shared" si="62"/>
        <v>158719.8103756397</v>
      </c>
      <c r="N101" s="65">
        <f t="shared" si="62"/>
        <v>168146.05899291069</v>
      </c>
      <c r="O101" s="65">
        <f t="shared" si="62"/>
        <v>160730.57630627768</v>
      </c>
      <c r="P101" s="65">
        <f t="shared" si="62"/>
        <v>180386.92999167679</v>
      </c>
      <c r="Q101" s="65">
        <f t="shared" si="62"/>
        <v>178557.89394944053</v>
      </c>
      <c r="R101" s="65">
        <f t="shared" si="62"/>
        <v>195611.2748857456</v>
      </c>
      <c r="S101" s="65">
        <f t="shared" si="62"/>
        <v>172467.29229698871</v>
      </c>
      <c r="T101" s="65">
        <f t="shared" si="62"/>
        <v>182983.39687863353</v>
      </c>
      <c r="U101" s="65">
        <f t="shared" si="62"/>
        <v>162788.41141278381</v>
      </c>
      <c r="V101" s="65">
        <f t="shared" si="62"/>
        <v>167325.21683014763</v>
      </c>
      <c r="W101" s="65">
        <f t="shared" si="62"/>
        <v>178004.81869136501</v>
      </c>
      <c r="DA101" s="109"/>
    </row>
    <row r="102" spans="1:105" ht="12" customHeight="1" x14ac:dyDescent="0.25">
      <c r="A102" s="61" t="s">
        <v>31</v>
      </c>
      <c r="B102" s="65">
        <f t="shared" si="59"/>
        <v>319.10549771144275</v>
      </c>
      <c r="C102" s="65">
        <f t="shared" ref="C102:W102" si="63">C50*11630*1000/C$8</f>
        <v>325.83100562370248</v>
      </c>
      <c r="D102" s="65">
        <f t="shared" si="63"/>
        <v>331.0875879249997</v>
      </c>
      <c r="E102" s="65">
        <f t="shared" si="63"/>
        <v>346.5334863353371</v>
      </c>
      <c r="F102" s="65">
        <f t="shared" si="63"/>
        <v>327.85207996098904</v>
      </c>
      <c r="G102" s="65">
        <f t="shared" si="63"/>
        <v>334.513505003197</v>
      </c>
      <c r="H102" s="65">
        <f t="shared" si="63"/>
        <v>351.86829330994459</v>
      </c>
      <c r="I102" s="65">
        <f t="shared" si="63"/>
        <v>349.89156057113161</v>
      </c>
      <c r="J102" s="65">
        <f t="shared" si="63"/>
        <v>359.65217408194917</v>
      </c>
      <c r="K102" s="65">
        <f t="shared" si="63"/>
        <v>369.77561169598124</v>
      </c>
      <c r="L102" s="65">
        <f t="shared" si="63"/>
        <v>437.92607115029358</v>
      </c>
      <c r="M102" s="65">
        <f t="shared" si="63"/>
        <v>400.93770928846334</v>
      </c>
      <c r="N102" s="65">
        <f t="shared" si="63"/>
        <v>382.80813669585257</v>
      </c>
      <c r="O102" s="65">
        <f t="shared" si="63"/>
        <v>379.90558250832322</v>
      </c>
      <c r="P102" s="65">
        <f t="shared" si="63"/>
        <v>384.33502816303462</v>
      </c>
      <c r="Q102" s="65">
        <f t="shared" si="63"/>
        <v>371.94611904087117</v>
      </c>
      <c r="R102" s="65">
        <f t="shared" si="63"/>
        <v>369.80425514406136</v>
      </c>
      <c r="S102" s="65">
        <f t="shared" si="63"/>
        <v>366.72342102005075</v>
      </c>
      <c r="T102" s="65">
        <f t="shared" si="63"/>
        <v>397.83886916664704</v>
      </c>
      <c r="U102" s="65">
        <f t="shared" si="63"/>
        <v>374.14831416174178</v>
      </c>
      <c r="V102" s="65">
        <f t="shared" si="63"/>
        <v>357.28816069949147</v>
      </c>
      <c r="W102" s="65">
        <f t="shared" si="63"/>
        <v>398.68332765252643</v>
      </c>
      <c r="DA102" s="109"/>
    </row>
    <row r="103" spans="1:105" ht="12" customHeight="1" x14ac:dyDescent="0.25">
      <c r="A103" s="61" t="s">
        <v>35</v>
      </c>
      <c r="B103" s="65">
        <f t="shared" si="59"/>
        <v>27824.625187038459</v>
      </c>
      <c r="C103" s="65">
        <f t="shared" ref="C103:W103" si="64">C51*11630*1000/C$8</f>
        <v>27242.189952554814</v>
      </c>
      <c r="D103" s="65">
        <f t="shared" si="64"/>
        <v>26076.685045123089</v>
      </c>
      <c r="E103" s="65">
        <f t="shared" si="64"/>
        <v>25258.076909860414</v>
      </c>
      <c r="F103" s="65">
        <f t="shared" si="64"/>
        <v>24177.669301104637</v>
      </c>
      <c r="G103" s="65">
        <f t="shared" si="64"/>
        <v>23919.691968122876</v>
      </c>
      <c r="H103" s="65">
        <f t="shared" si="64"/>
        <v>23030.947308912375</v>
      </c>
      <c r="I103" s="65">
        <f t="shared" si="64"/>
        <v>21971.226150949271</v>
      </c>
      <c r="J103" s="65">
        <f t="shared" si="64"/>
        <v>22240.754700020909</v>
      </c>
      <c r="K103" s="65">
        <f t="shared" si="64"/>
        <v>22031.507694334632</v>
      </c>
      <c r="L103" s="65">
        <f t="shared" si="64"/>
        <v>21788.290298737789</v>
      </c>
      <c r="M103" s="65">
        <f t="shared" si="64"/>
        <v>21981.573583404941</v>
      </c>
      <c r="N103" s="65">
        <f t="shared" si="64"/>
        <v>21889.740968009282</v>
      </c>
      <c r="O103" s="65">
        <f t="shared" si="64"/>
        <v>21750.158880130406</v>
      </c>
      <c r="P103" s="65">
        <f t="shared" si="64"/>
        <v>21824.28437784925</v>
      </c>
      <c r="Q103" s="65">
        <f t="shared" si="64"/>
        <v>21833.184861625508</v>
      </c>
      <c r="R103" s="65">
        <f t="shared" si="64"/>
        <v>21331.043139938953</v>
      </c>
      <c r="S103" s="65">
        <f t="shared" si="64"/>
        <v>20833.496466070006</v>
      </c>
      <c r="T103" s="65">
        <f t="shared" si="64"/>
        <v>20733.734220480295</v>
      </c>
      <c r="U103" s="65">
        <f t="shared" si="64"/>
        <v>20528.235695151139</v>
      </c>
      <c r="V103" s="65">
        <f t="shared" si="64"/>
        <v>19214.491337974807</v>
      </c>
      <c r="W103" s="65">
        <f t="shared" si="64"/>
        <v>19785.478128008755</v>
      </c>
      <c r="DA103" s="109"/>
    </row>
    <row r="104" spans="1:105" ht="12" customHeight="1" x14ac:dyDescent="0.25">
      <c r="A104" s="66" t="s">
        <v>34</v>
      </c>
      <c r="B104" s="67">
        <f t="shared" si="59"/>
        <v>24280.248286287511</v>
      </c>
      <c r="C104" s="67">
        <f t="shared" ref="C104:W104" si="65">C52*11630*1000/C$8</f>
        <v>24567.918042991259</v>
      </c>
      <c r="D104" s="67">
        <f t="shared" si="65"/>
        <v>24212.003124786272</v>
      </c>
      <c r="E104" s="67">
        <f t="shared" si="65"/>
        <v>24165.060827294663</v>
      </c>
      <c r="F104" s="67">
        <f t="shared" si="65"/>
        <v>23810.692409014096</v>
      </c>
      <c r="G104" s="67">
        <f t="shared" si="65"/>
        <v>23946.77437783721</v>
      </c>
      <c r="H104" s="67">
        <f t="shared" si="65"/>
        <v>23055.753415748615</v>
      </c>
      <c r="I104" s="67">
        <f t="shared" si="65"/>
        <v>22778.63215957327</v>
      </c>
      <c r="J104" s="67">
        <f t="shared" si="65"/>
        <v>23411.616419747294</v>
      </c>
      <c r="K104" s="67">
        <f t="shared" si="65"/>
        <v>24056.598024148483</v>
      </c>
      <c r="L104" s="67">
        <f t="shared" si="65"/>
        <v>24210.099273810807</v>
      </c>
      <c r="M104" s="67">
        <f t="shared" si="65"/>
        <v>24016.007808681345</v>
      </c>
      <c r="N104" s="67">
        <f t="shared" si="65"/>
        <v>23854.321525715088</v>
      </c>
      <c r="O104" s="67">
        <f t="shared" si="65"/>
        <v>24012.4690052285</v>
      </c>
      <c r="P104" s="67">
        <f t="shared" si="65"/>
        <v>23653.396909970299</v>
      </c>
      <c r="Q104" s="67">
        <f t="shared" si="65"/>
        <v>23168.259368962099</v>
      </c>
      <c r="R104" s="67">
        <f t="shared" si="65"/>
        <v>23574.417955526587</v>
      </c>
      <c r="S104" s="67">
        <f t="shared" si="65"/>
        <v>23260.238041015684</v>
      </c>
      <c r="T104" s="67">
        <f t="shared" si="65"/>
        <v>22648.486315945171</v>
      </c>
      <c r="U104" s="67">
        <f t="shared" si="65"/>
        <v>22674.108797636265</v>
      </c>
      <c r="V104" s="67">
        <f t="shared" si="65"/>
        <v>20674.642582925953</v>
      </c>
      <c r="W104" s="67">
        <f t="shared" si="65"/>
        <v>21540.607251531608</v>
      </c>
      <c r="DA104" s="110"/>
    </row>
    <row r="105" spans="1:105" ht="12" customHeight="1" x14ac:dyDescent="0.25">
      <c r="A105" s="78" t="s">
        <v>33</v>
      </c>
      <c r="B105" s="68">
        <f t="shared" si="59"/>
        <v>52461.325060156771</v>
      </c>
      <c r="C105" s="68">
        <f t="shared" ref="C105:W105" si="66">C53*11630*1000/C$8</f>
        <v>54847.105848884996</v>
      </c>
      <c r="D105" s="68">
        <f t="shared" si="66"/>
        <v>57173.463982846784</v>
      </c>
      <c r="E105" s="68">
        <f t="shared" si="66"/>
        <v>60112.701036732396</v>
      </c>
      <c r="F105" s="68">
        <f t="shared" si="66"/>
        <v>63375.544576151507</v>
      </c>
      <c r="G105" s="68">
        <f t="shared" si="66"/>
        <v>65400.679565167731</v>
      </c>
      <c r="H105" s="68">
        <f t="shared" si="66"/>
        <v>67089.202778020117</v>
      </c>
      <c r="I105" s="68">
        <f t="shared" si="66"/>
        <v>68774.846482516135</v>
      </c>
      <c r="J105" s="68">
        <f t="shared" si="66"/>
        <v>73112.545545152796</v>
      </c>
      <c r="K105" s="68">
        <f t="shared" si="66"/>
        <v>76097.227674814974</v>
      </c>
      <c r="L105" s="68">
        <f t="shared" si="66"/>
        <v>76992.911838863321</v>
      </c>
      <c r="M105" s="68">
        <f t="shared" si="66"/>
        <v>75651.887197546588</v>
      </c>
      <c r="N105" s="68">
        <f t="shared" si="66"/>
        <v>76384.488163645641</v>
      </c>
      <c r="O105" s="68">
        <f t="shared" si="66"/>
        <v>77962.261118277282</v>
      </c>
      <c r="P105" s="68">
        <f t="shared" si="66"/>
        <v>81101.053710339649</v>
      </c>
      <c r="Q105" s="68">
        <f t="shared" si="66"/>
        <v>82343.536758893941</v>
      </c>
      <c r="R105" s="68">
        <f t="shared" si="66"/>
        <v>83629.523687587309</v>
      </c>
      <c r="S105" s="68">
        <f t="shared" si="66"/>
        <v>81981.132531374926</v>
      </c>
      <c r="T105" s="68">
        <f t="shared" si="66"/>
        <v>82709.299262823668</v>
      </c>
      <c r="U105" s="68">
        <f t="shared" si="66"/>
        <v>83076.742668351246</v>
      </c>
      <c r="V105" s="68">
        <f t="shared" si="66"/>
        <v>82910.024289692577</v>
      </c>
      <c r="W105" s="68">
        <f t="shared" si="66"/>
        <v>93873.522217332124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134692.23472145366</v>
      </c>
      <c r="C107" s="85">
        <f t="shared" ref="C107:W107" si="68">SUM(C108:C111)</f>
        <v>126537.57408362519</v>
      </c>
      <c r="D107" s="85">
        <f t="shared" si="68"/>
        <v>126189.04315622422</v>
      </c>
      <c r="E107" s="85">
        <f t="shared" si="68"/>
        <v>138034.96049485935</v>
      </c>
      <c r="F107" s="85">
        <f t="shared" si="68"/>
        <v>153659.69987289194</v>
      </c>
      <c r="G107" s="85">
        <f t="shared" si="68"/>
        <v>151403.94915495161</v>
      </c>
      <c r="H107" s="85">
        <f t="shared" si="68"/>
        <v>144045.94047555889</v>
      </c>
      <c r="I107" s="85">
        <f t="shared" si="68"/>
        <v>143568.26745893725</v>
      </c>
      <c r="J107" s="85">
        <f t="shared" si="68"/>
        <v>159466.19828464455</v>
      </c>
      <c r="K107" s="85">
        <f t="shared" si="68"/>
        <v>155352.23717140104</v>
      </c>
      <c r="L107" s="85">
        <f t="shared" si="68"/>
        <v>157810.93014815578</v>
      </c>
      <c r="M107" s="85">
        <f t="shared" si="68"/>
        <v>140634.3694976063</v>
      </c>
      <c r="N107" s="85">
        <f t="shared" si="68"/>
        <v>150038.33062796085</v>
      </c>
      <c r="O107" s="85">
        <f t="shared" si="68"/>
        <v>145765.32904620125</v>
      </c>
      <c r="P107" s="85">
        <f t="shared" si="68"/>
        <v>160885.6473710596</v>
      </c>
      <c r="Q107" s="85">
        <f t="shared" si="68"/>
        <v>159900.68202092487</v>
      </c>
      <c r="R107" s="85">
        <f t="shared" si="68"/>
        <v>174543.08300518931</v>
      </c>
      <c r="S107" s="85">
        <f t="shared" si="68"/>
        <v>158652.84621373503</v>
      </c>
      <c r="T107" s="85">
        <f t="shared" si="68"/>
        <v>168582.44874562084</v>
      </c>
      <c r="U107" s="85">
        <f t="shared" si="68"/>
        <v>155008.52878081053</v>
      </c>
      <c r="V107" s="85">
        <f t="shared" si="68"/>
        <v>157264.95195550189</v>
      </c>
      <c r="W107" s="85">
        <f t="shared" si="68"/>
        <v>168924.18217769862</v>
      </c>
      <c r="DA107" s="117"/>
    </row>
    <row r="108" spans="1:105" ht="12" customHeight="1" x14ac:dyDescent="0.25">
      <c r="A108" s="61" t="s">
        <v>32</v>
      </c>
      <c r="B108" s="65">
        <v>99749.897482390821</v>
      </c>
      <c r="C108" s="65">
        <v>91969.719691426144</v>
      </c>
      <c r="D108" s="65">
        <v>92530.033394320504</v>
      </c>
      <c r="E108" s="65">
        <v>104538.34986772567</v>
      </c>
      <c r="F108" s="65">
        <v>120978.31612630478</v>
      </c>
      <c r="G108" s="65">
        <v>118489.81736062016</v>
      </c>
      <c r="H108" s="65">
        <v>112014.63192423305</v>
      </c>
      <c r="I108" s="65">
        <v>112175.08280627229</v>
      </c>
      <c r="J108" s="65">
        <v>127230.03003515372</v>
      </c>
      <c r="K108" s="65">
        <v>122498.9367241556</v>
      </c>
      <c r="L108" s="65">
        <v>124620.45281895806</v>
      </c>
      <c r="M108" s="65">
        <v>107390.48744955017</v>
      </c>
      <c r="N108" s="65">
        <v>116826.6578677623</v>
      </c>
      <c r="O108" s="65">
        <v>112298.04739347282</v>
      </c>
      <c r="P108" s="65">
        <v>127428.67253452163</v>
      </c>
      <c r="Q108" s="65">
        <v>126539.53959055021</v>
      </c>
      <c r="R108" s="65">
        <v>141209.783697404</v>
      </c>
      <c r="S108" s="65">
        <v>125547.90252420308</v>
      </c>
      <c r="T108" s="65">
        <v>135263.61068389501</v>
      </c>
      <c r="U108" s="65">
        <v>121657.47781753734</v>
      </c>
      <c r="V108" s="65">
        <v>126114.60866234162</v>
      </c>
      <c r="W108" s="65">
        <v>135804.28257947159</v>
      </c>
      <c r="DA108" s="109"/>
    </row>
    <row r="109" spans="1:105" ht="12" customHeight="1" x14ac:dyDescent="0.25">
      <c r="A109" s="61" t="s">
        <v>31</v>
      </c>
      <c r="B109" s="65">
        <v>652.0026012407576</v>
      </c>
      <c r="C109" s="65">
        <v>701.87271066005701</v>
      </c>
      <c r="D109" s="65">
        <v>754.56873497739946</v>
      </c>
      <c r="E109" s="65">
        <v>831.48774617629908</v>
      </c>
      <c r="F109" s="65">
        <v>825.85149031423975</v>
      </c>
      <c r="G109" s="65">
        <v>893.70166981282875</v>
      </c>
      <c r="H109" s="65">
        <v>998.87347362165201</v>
      </c>
      <c r="I109" s="65">
        <v>1046.1147876874136</v>
      </c>
      <c r="J109" s="65">
        <v>1131.4372450487679</v>
      </c>
      <c r="K109" s="65">
        <v>1180.8515483098049</v>
      </c>
      <c r="L109" s="65">
        <v>1430.6462188057239</v>
      </c>
      <c r="M109" s="65">
        <v>1356.8022244269505</v>
      </c>
      <c r="N109" s="65">
        <v>1339.564389594869</v>
      </c>
      <c r="O109" s="65">
        <v>1376.1606678647706</v>
      </c>
      <c r="P109" s="65">
        <v>1446.2206759968433</v>
      </c>
      <c r="Q109" s="65">
        <v>1462.6646863624192</v>
      </c>
      <c r="R109" s="65">
        <v>1512.2091829087763</v>
      </c>
      <c r="S109" s="65">
        <v>1552.8302632208351</v>
      </c>
      <c r="T109" s="65">
        <v>1738.7998674864552</v>
      </c>
      <c r="U109" s="65">
        <v>1677.7514520047528</v>
      </c>
      <c r="V109" s="65">
        <v>1639.4716676504647</v>
      </c>
      <c r="W109" s="65">
        <v>1878.5875937732569</v>
      </c>
      <c r="DA109" s="109"/>
    </row>
    <row r="110" spans="1:105" ht="12" customHeight="1" x14ac:dyDescent="0.25">
      <c r="A110" s="61" t="s">
        <v>35</v>
      </c>
      <c r="B110" s="65">
        <v>17167.807421020865</v>
      </c>
      <c r="C110" s="65">
        <v>16840.846727857959</v>
      </c>
      <c r="D110" s="65">
        <v>16277.877349898106</v>
      </c>
      <c r="E110" s="65">
        <v>16008.683478178944</v>
      </c>
      <c r="F110" s="65">
        <v>15496.604285820347</v>
      </c>
      <c r="G110" s="65">
        <v>15464.350246381751</v>
      </c>
      <c r="H110" s="65">
        <v>15008.119832427608</v>
      </c>
      <c r="I110" s="65">
        <v>14440.070926554126</v>
      </c>
      <c r="J110" s="65">
        <v>14685.596132860022</v>
      </c>
      <c r="K110" s="65">
        <v>14680.021066137366</v>
      </c>
      <c r="L110" s="65">
        <v>14628.15810024806</v>
      </c>
      <c r="M110" s="65">
        <v>14863.930222061388</v>
      </c>
      <c r="N110" s="65">
        <v>14952.101614806606</v>
      </c>
      <c r="O110" s="65">
        <v>14998.892019516352</v>
      </c>
      <c r="P110" s="65">
        <v>15111.866339869839</v>
      </c>
      <c r="Q110" s="65">
        <v>15273.063652778523</v>
      </c>
      <c r="R110" s="65">
        <v>15131.829876092781</v>
      </c>
      <c r="S110" s="65">
        <v>15035.428963193213</v>
      </c>
      <c r="T110" s="65">
        <v>15214.023120134132</v>
      </c>
      <c r="U110" s="65">
        <v>15394.754257643248</v>
      </c>
      <c r="V110" s="65">
        <v>14600.936232252661</v>
      </c>
      <c r="W110" s="65">
        <v>15346.600656842806</v>
      </c>
      <c r="DA110" s="109"/>
    </row>
    <row r="111" spans="1:105" ht="12" customHeight="1" x14ac:dyDescent="0.25">
      <c r="A111" s="74" t="s">
        <v>34</v>
      </c>
      <c r="B111" s="68">
        <v>17122.527216801212</v>
      </c>
      <c r="C111" s="68">
        <v>17025.134953681023</v>
      </c>
      <c r="D111" s="68">
        <v>16626.563677028218</v>
      </c>
      <c r="E111" s="68">
        <v>16656.43940277844</v>
      </c>
      <c r="F111" s="68">
        <v>16358.927970452594</v>
      </c>
      <c r="G111" s="68">
        <v>16556.07987813685</v>
      </c>
      <c r="H111" s="68">
        <v>16024.31524527657</v>
      </c>
      <c r="I111" s="68">
        <v>15906.998938423409</v>
      </c>
      <c r="J111" s="68">
        <v>16419.134871582024</v>
      </c>
      <c r="K111" s="68">
        <v>16992.427832798279</v>
      </c>
      <c r="L111" s="68">
        <v>17131.673010143943</v>
      </c>
      <c r="M111" s="68">
        <v>17023.149601567769</v>
      </c>
      <c r="N111" s="68">
        <v>16920.006755797087</v>
      </c>
      <c r="O111" s="68">
        <v>17092.228965347309</v>
      </c>
      <c r="P111" s="68">
        <v>16898.887820671323</v>
      </c>
      <c r="Q111" s="68">
        <v>16625.414091233728</v>
      </c>
      <c r="R111" s="68">
        <v>16689.260248783736</v>
      </c>
      <c r="S111" s="68">
        <v>16516.684463117916</v>
      </c>
      <c r="T111" s="68">
        <v>16366.015074105249</v>
      </c>
      <c r="U111" s="68">
        <v>16278.545253625187</v>
      </c>
      <c r="V111" s="68">
        <v>14909.935393257141</v>
      </c>
      <c r="W111" s="68">
        <v>15894.711347610955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16895.268326741778</v>
      </c>
      <c r="C113" s="82">
        <f t="shared" ref="C113:W113" si="70">C81*1000000/C$8</f>
        <v>21540.103872428852</v>
      </c>
      <c r="D113" s="82">
        <f t="shared" si="70"/>
        <v>16716.990439818717</v>
      </c>
      <c r="E113" s="82">
        <f t="shared" si="70"/>
        <v>21185.017816621508</v>
      </c>
      <c r="F113" s="82">
        <f t="shared" si="70"/>
        <v>19917.538883194931</v>
      </c>
      <c r="G113" s="82">
        <f t="shared" si="70"/>
        <v>18336.510929197168</v>
      </c>
      <c r="H113" s="82">
        <f t="shared" si="70"/>
        <v>15146.734836271982</v>
      </c>
      <c r="I113" s="82">
        <f t="shared" si="70"/>
        <v>14420.716614577534</v>
      </c>
      <c r="J113" s="82">
        <f t="shared" si="70"/>
        <v>12751.608475910632</v>
      </c>
      <c r="K113" s="82">
        <f t="shared" si="70"/>
        <v>11250.88112674187</v>
      </c>
      <c r="L113" s="82">
        <f t="shared" si="70"/>
        <v>10495.98193795123</v>
      </c>
      <c r="M113" s="82">
        <f t="shared" si="70"/>
        <v>12701.988271225549</v>
      </c>
      <c r="N113" s="82">
        <f t="shared" si="70"/>
        <v>13273.152927299443</v>
      </c>
      <c r="O113" s="82">
        <f t="shared" si="70"/>
        <v>13999.332923135509</v>
      </c>
      <c r="P113" s="82">
        <f t="shared" si="70"/>
        <v>15084.415096858169</v>
      </c>
      <c r="Q113" s="82">
        <f t="shared" si="70"/>
        <v>15640.628915004721</v>
      </c>
      <c r="R113" s="82">
        <f t="shared" si="70"/>
        <v>15553.334605500733</v>
      </c>
      <c r="S113" s="82">
        <f t="shared" si="70"/>
        <v>14522.424140060619</v>
      </c>
      <c r="T113" s="82">
        <f t="shared" si="70"/>
        <v>14675.196257612688</v>
      </c>
      <c r="U113" s="82">
        <f t="shared" si="70"/>
        <v>12975.590682442971</v>
      </c>
      <c r="V113" s="82">
        <f t="shared" si="70"/>
        <v>13145.153866767621</v>
      </c>
      <c r="W113" s="82">
        <f t="shared" si="70"/>
        <v>13695.799281124637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16895.268326741778</v>
      </c>
      <c r="C114" s="64">
        <f t="shared" ref="C114:W114" si="72">C82*1000000/C$8</f>
        <v>21540.103872428852</v>
      </c>
      <c r="D114" s="64">
        <f t="shared" si="72"/>
        <v>16716.990439818717</v>
      </c>
      <c r="E114" s="64">
        <f t="shared" si="72"/>
        <v>21185.017816621508</v>
      </c>
      <c r="F114" s="64">
        <f t="shared" si="72"/>
        <v>19917.538883194931</v>
      </c>
      <c r="G114" s="64">
        <f t="shared" si="72"/>
        <v>18336.510929197168</v>
      </c>
      <c r="H114" s="64">
        <f t="shared" si="72"/>
        <v>15146.734836271982</v>
      </c>
      <c r="I114" s="64">
        <f t="shared" si="72"/>
        <v>14420.716614577534</v>
      </c>
      <c r="J114" s="64">
        <f t="shared" si="72"/>
        <v>12751.608475910632</v>
      </c>
      <c r="K114" s="64">
        <f t="shared" si="72"/>
        <v>11250.88112674187</v>
      </c>
      <c r="L114" s="64">
        <f t="shared" si="72"/>
        <v>10495.98193795123</v>
      </c>
      <c r="M114" s="64">
        <f t="shared" si="72"/>
        <v>12701.988271225549</v>
      </c>
      <c r="N114" s="64">
        <f t="shared" si="72"/>
        <v>13273.152927299443</v>
      </c>
      <c r="O114" s="64">
        <f t="shared" si="72"/>
        <v>13999.332923135509</v>
      </c>
      <c r="P114" s="64">
        <f t="shared" si="72"/>
        <v>15084.415096858169</v>
      </c>
      <c r="Q114" s="64">
        <f t="shared" si="72"/>
        <v>15640.628915004721</v>
      </c>
      <c r="R114" s="64">
        <f t="shared" si="72"/>
        <v>15553.334605500733</v>
      </c>
      <c r="S114" s="64">
        <f t="shared" si="72"/>
        <v>14522.424140060619</v>
      </c>
      <c r="T114" s="64">
        <f t="shared" si="72"/>
        <v>14675.196257612688</v>
      </c>
      <c r="U114" s="64">
        <f t="shared" si="72"/>
        <v>12975.590682442971</v>
      </c>
      <c r="V114" s="64">
        <f t="shared" si="72"/>
        <v>13145.153866767621</v>
      </c>
      <c r="W114" s="64">
        <f t="shared" si="72"/>
        <v>13695.799281124637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14768.303482360825</v>
      </c>
      <c r="C115" s="65">
        <f t="shared" ref="C115:W115" si="74">C83*1000000/C$8</f>
        <v>18894.130898117673</v>
      </c>
      <c r="D115" s="65">
        <f t="shared" si="74"/>
        <v>14105.74867666458</v>
      </c>
      <c r="E115" s="65">
        <f t="shared" si="74"/>
        <v>19002.329025211726</v>
      </c>
      <c r="F115" s="65">
        <f t="shared" si="74"/>
        <v>17765.922903948263</v>
      </c>
      <c r="G115" s="65">
        <f t="shared" si="74"/>
        <v>16349.314844771707</v>
      </c>
      <c r="H115" s="65">
        <f t="shared" si="74"/>
        <v>13324.762891381921</v>
      </c>
      <c r="I115" s="65">
        <f t="shared" si="74"/>
        <v>12701.424586646544</v>
      </c>
      <c r="J115" s="65">
        <f t="shared" si="74"/>
        <v>11012.666382490186</v>
      </c>
      <c r="K115" s="65">
        <f t="shared" si="74"/>
        <v>9572.9353263603789</v>
      </c>
      <c r="L115" s="65">
        <f t="shared" si="74"/>
        <v>8813.6077284205912</v>
      </c>
      <c r="M115" s="65">
        <f t="shared" si="74"/>
        <v>10995.61580514147</v>
      </c>
      <c r="N115" s="65">
        <f t="shared" si="74"/>
        <v>11542.59588336181</v>
      </c>
      <c r="O115" s="65">
        <f t="shared" si="74"/>
        <v>12165.22688586462</v>
      </c>
      <c r="P115" s="65">
        <f t="shared" si="74"/>
        <v>13048.595136286496</v>
      </c>
      <c r="Q115" s="65">
        <f t="shared" si="74"/>
        <v>13622.875720510749</v>
      </c>
      <c r="R115" s="65">
        <f t="shared" si="74"/>
        <v>13244.848629500228</v>
      </c>
      <c r="S115" s="65">
        <f t="shared" si="74"/>
        <v>12031.27554208191</v>
      </c>
      <c r="T115" s="65">
        <f t="shared" si="74"/>
        <v>12344.83476423259</v>
      </c>
      <c r="U115" s="65">
        <f t="shared" si="74"/>
        <v>10413.684564533805</v>
      </c>
      <c r="V115" s="65">
        <f t="shared" si="74"/>
        <v>10611.175896624945</v>
      </c>
      <c r="W115" s="65">
        <f t="shared" si="74"/>
        <v>11359.790928932684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1935.2804128958876</v>
      </c>
      <c r="C117" s="65">
        <f t="shared" ref="C117:W117" si="78">C85*1000000/C$8</f>
        <v>2039.8304020057867</v>
      </c>
      <c r="D117" s="65">
        <f t="shared" si="78"/>
        <v>1777.9443687968369</v>
      </c>
      <c r="E117" s="65">
        <f t="shared" si="78"/>
        <v>1371.4638847148901</v>
      </c>
      <c r="F117" s="65">
        <f t="shared" si="78"/>
        <v>1178.3450238173925</v>
      </c>
      <c r="G117" s="65">
        <f t="shared" si="78"/>
        <v>1079.8868999321792</v>
      </c>
      <c r="H117" s="65">
        <f t="shared" si="78"/>
        <v>984.05092327083207</v>
      </c>
      <c r="I117" s="65">
        <f t="shared" si="78"/>
        <v>926.89863849430265</v>
      </c>
      <c r="J117" s="65">
        <f t="shared" si="78"/>
        <v>949.67062955727738</v>
      </c>
      <c r="K117" s="65">
        <f t="shared" si="78"/>
        <v>939.92580665575383</v>
      </c>
      <c r="L117" s="65">
        <f t="shared" si="78"/>
        <v>918.66250635799133</v>
      </c>
      <c r="M117" s="65">
        <f t="shared" si="78"/>
        <v>951.02078621727014</v>
      </c>
      <c r="N117" s="65">
        <f t="shared" si="78"/>
        <v>942.37952361661212</v>
      </c>
      <c r="O117" s="65">
        <f t="shared" si="78"/>
        <v>1062.8890979411651</v>
      </c>
      <c r="P117" s="65">
        <f t="shared" si="78"/>
        <v>1255.6252724114124</v>
      </c>
      <c r="Q117" s="65">
        <f t="shared" si="78"/>
        <v>1242.2211138175958</v>
      </c>
      <c r="R117" s="65">
        <f t="shared" si="78"/>
        <v>1180.4570294793325</v>
      </c>
      <c r="S117" s="65">
        <f t="shared" si="78"/>
        <v>1222.58733985455</v>
      </c>
      <c r="T117" s="65">
        <f t="shared" si="78"/>
        <v>1292.4975009158688</v>
      </c>
      <c r="U117" s="65">
        <f t="shared" si="78"/>
        <v>1225.9675556225036</v>
      </c>
      <c r="V117" s="65">
        <f t="shared" si="78"/>
        <v>1222.9889763514093</v>
      </c>
      <c r="W117" s="65">
        <f t="shared" si="78"/>
        <v>1150.9947703655339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191.68443148506495</v>
      </c>
      <c r="C118" s="67">
        <f t="shared" ref="C118:W118" si="80">C86*1000000/C$8</f>
        <v>606.14257230538919</v>
      </c>
      <c r="D118" s="67">
        <f t="shared" si="80"/>
        <v>833.29739435730085</v>
      </c>
      <c r="E118" s="67">
        <f t="shared" si="80"/>
        <v>811.22490669489332</v>
      </c>
      <c r="F118" s="67">
        <f t="shared" si="80"/>
        <v>973.27095542927361</v>
      </c>
      <c r="G118" s="67">
        <f t="shared" si="80"/>
        <v>907.30918449328271</v>
      </c>
      <c r="H118" s="67">
        <f t="shared" si="80"/>
        <v>837.92102161922935</v>
      </c>
      <c r="I118" s="67">
        <f t="shared" si="80"/>
        <v>792.39338943668599</v>
      </c>
      <c r="J118" s="67">
        <f t="shared" si="80"/>
        <v>789.27146386317122</v>
      </c>
      <c r="K118" s="67">
        <f t="shared" si="80"/>
        <v>738.01999372573778</v>
      </c>
      <c r="L118" s="67">
        <f t="shared" si="80"/>
        <v>763.71170317264875</v>
      </c>
      <c r="M118" s="67">
        <f t="shared" si="80"/>
        <v>755.35167986680972</v>
      </c>
      <c r="N118" s="67">
        <f t="shared" si="80"/>
        <v>788.17752032102101</v>
      </c>
      <c r="O118" s="67">
        <f t="shared" si="80"/>
        <v>771.21693932972312</v>
      </c>
      <c r="P118" s="67">
        <f t="shared" si="80"/>
        <v>780.19468816025915</v>
      </c>
      <c r="Q118" s="67">
        <f t="shared" si="80"/>
        <v>775.53208067637865</v>
      </c>
      <c r="R118" s="67">
        <f t="shared" si="80"/>
        <v>1128.0289465211733</v>
      </c>
      <c r="S118" s="67">
        <f t="shared" si="80"/>
        <v>1268.5612581241592</v>
      </c>
      <c r="T118" s="67">
        <f t="shared" si="80"/>
        <v>1037.8639924642296</v>
      </c>
      <c r="U118" s="67">
        <f t="shared" si="80"/>
        <v>1335.9385622866628</v>
      </c>
      <c r="V118" s="67">
        <f t="shared" si="80"/>
        <v>1310.9889937912665</v>
      </c>
      <c r="W118" s="67">
        <f t="shared" si="80"/>
        <v>1185.0135818264177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0.62906170992066757</v>
      </c>
      <c r="C121" s="86">
        <f t="shared" ref="C121:W121" si="84">IF(C107=0,"",C107/C100)</f>
        <v>0.60263708783599812</v>
      </c>
      <c r="D121" s="86">
        <f t="shared" si="84"/>
        <v>0.62743574754470244</v>
      </c>
      <c r="E121" s="86">
        <f t="shared" si="84"/>
        <v>0.62333498587507008</v>
      </c>
      <c r="F121" s="86">
        <f t="shared" si="84"/>
        <v>0.63134698742576456</v>
      </c>
      <c r="G121" s="86">
        <f t="shared" si="84"/>
        <v>0.6448669627756457</v>
      </c>
      <c r="H121" s="86">
        <f t="shared" si="84"/>
        <v>0.65328582759981124</v>
      </c>
      <c r="I121" s="86">
        <f t="shared" si="84"/>
        <v>0.65808612723533166</v>
      </c>
      <c r="J121" s="86">
        <f t="shared" si="84"/>
        <v>0.67382354515345333</v>
      </c>
      <c r="K121" s="86">
        <f t="shared" si="84"/>
        <v>0.6865212478526308</v>
      </c>
      <c r="L121" s="86">
        <f t="shared" si="84"/>
        <v>0.69505770052540428</v>
      </c>
      <c r="M121" s="86">
        <f t="shared" si="84"/>
        <v>0.6856255599203569</v>
      </c>
      <c r="N121" s="86">
        <f t="shared" si="84"/>
        <v>0.70022065265879507</v>
      </c>
      <c r="O121" s="86">
        <f t="shared" si="84"/>
        <v>0.70461225823569584</v>
      </c>
      <c r="P121" s="86">
        <f t="shared" si="84"/>
        <v>0.71110009569849209</v>
      </c>
      <c r="Q121" s="86">
        <f t="shared" si="84"/>
        <v>0.71406138057678115</v>
      </c>
      <c r="R121" s="86">
        <f t="shared" si="84"/>
        <v>0.72458628379123868</v>
      </c>
      <c r="S121" s="86">
        <f t="shared" si="84"/>
        <v>0.73136261289350668</v>
      </c>
      <c r="T121" s="86">
        <f t="shared" si="84"/>
        <v>0.7434286436978601</v>
      </c>
      <c r="U121" s="86">
        <f t="shared" si="84"/>
        <v>0.75113803564079262</v>
      </c>
      <c r="V121" s="86">
        <f t="shared" si="84"/>
        <v>0.7576418087750677</v>
      </c>
      <c r="W121" s="86">
        <f t="shared" si="84"/>
        <v>0.76878213889008218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0.61691257441610192</v>
      </c>
      <c r="C122" s="75">
        <f t="shared" ref="C122:W122" si="86">IF(C108=0,"",C108/C101)</f>
        <v>0.58268738756028604</v>
      </c>
      <c r="D122" s="75">
        <f t="shared" si="86"/>
        <v>0.61482201422593663</v>
      </c>
      <c r="E122" s="75">
        <f t="shared" si="86"/>
        <v>0.60892743675795702</v>
      </c>
      <c r="F122" s="75">
        <f t="shared" si="86"/>
        <v>0.62018630966071198</v>
      </c>
      <c r="G122" s="75">
        <f t="shared" si="86"/>
        <v>0.63505406630398054</v>
      </c>
      <c r="H122" s="75">
        <f t="shared" si="86"/>
        <v>0.64355533797622866</v>
      </c>
      <c r="I122" s="75">
        <f t="shared" si="86"/>
        <v>0.64818401545027937</v>
      </c>
      <c r="J122" s="75">
        <f t="shared" si="86"/>
        <v>0.66736036587219472</v>
      </c>
      <c r="K122" s="75">
        <f t="shared" si="86"/>
        <v>0.68118859155867773</v>
      </c>
      <c r="L122" s="75">
        <f t="shared" si="86"/>
        <v>0.68999400585832937</v>
      </c>
      <c r="M122" s="75">
        <f t="shared" si="86"/>
        <v>0.67660418189380878</v>
      </c>
      <c r="N122" s="75">
        <f t="shared" si="86"/>
        <v>0.69479272108713475</v>
      </c>
      <c r="O122" s="75">
        <f t="shared" si="86"/>
        <v>0.69867258597695192</v>
      </c>
      <c r="P122" s="75">
        <f t="shared" si="86"/>
        <v>0.70641854451650843</v>
      </c>
      <c r="Q122" s="75">
        <f t="shared" si="86"/>
        <v>0.70867513494743861</v>
      </c>
      <c r="R122" s="75">
        <f t="shared" si="86"/>
        <v>0.72188979791621455</v>
      </c>
      <c r="S122" s="75">
        <f t="shared" si="86"/>
        <v>0.72795195455384987</v>
      </c>
      <c r="T122" s="75">
        <f t="shared" si="86"/>
        <v>0.73921248042854193</v>
      </c>
      <c r="U122" s="75">
        <f t="shared" si="86"/>
        <v>0.74733500229970018</v>
      </c>
      <c r="V122" s="75">
        <f t="shared" si="86"/>
        <v>0.7537095188130607</v>
      </c>
      <c r="W122" s="75">
        <f t="shared" si="86"/>
        <v>0.762924754385087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2.0432195807241889</v>
      </c>
      <c r="C123" s="76">
        <f t="shared" ref="C123:W123" si="88">IF(C109=0,"",C109/C102)</f>
        <v>2.1541004341085932</v>
      </c>
      <c r="D123" s="76">
        <f t="shared" si="88"/>
        <v>2.2790607757495569</v>
      </c>
      <c r="E123" s="76">
        <f t="shared" si="88"/>
        <v>2.3994441488741911</v>
      </c>
      <c r="F123" s="76">
        <f t="shared" si="88"/>
        <v>2.51897590648962</v>
      </c>
      <c r="G123" s="76">
        <f t="shared" si="88"/>
        <v>2.6716460066516223</v>
      </c>
      <c r="H123" s="76">
        <f t="shared" si="88"/>
        <v>2.8387709055154633</v>
      </c>
      <c r="I123" s="76">
        <f t="shared" si="88"/>
        <v>2.9898257219460498</v>
      </c>
      <c r="J123" s="76">
        <f t="shared" si="88"/>
        <v>3.1459207717481008</v>
      </c>
      <c r="K123" s="76">
        <f t="shared" si="88"/>
        <v>3.1934273406886193</v>
      </c>
      <c r="L123" s="76">
        <f t="shared" si="88"/>
        <v>3.2668669737973532</v>
      </c>
      <c r="M123" s="76">
        <f t="shared" si="88"/>
        <v>3.3840723708299776</v>
      </c>
      <c r="N123" s="76">
        <f t="shared" si="88"/>
        <v>3.4993101274103147</v>
      </c>
      <c r="O123" s="76">
        <f t="shared" si="88"/>
        <v>3.6223754828204475</v>
      </c>
      <c r="P123" s="76">
        <f t="shared" si="88"/>
        <v>3.7629166482930034</v>
      </c>
      <c r="Q123" s="76">
        <f t="shared" si="88"/>
        <v>3.9324639013149505</v>
      </c>
      <c r="R123" s="76">
        <f t="shared" si="88"/>
        <v>4.0892152047295358</v>
      </c>
      <c r="S123" s="76">
        <f t="shared" si="88"/>
        <v>4.2343362169277254</v>
      </c>
      <c r="T123" s="76">
        <f t="shared" si="88"/>
        <v>4.3706133368233191</v>
      </c>
      <c r="U123" s="76">
        <f t="shared" si="88"/>
        <v>4.4841881908880445</v>
      </c>
      <c r="V123" s="76">
        <f t="shared" si="88"/>
        <v>4.5886537758226877</v>
      </c>
      <c r="W123" s="76">
        <f t="shared" si="88"/>
        <v>4.7119793166032391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0.61700049167304305</v>
      </c>
      <c r="C124" s="76">
        <f t="shared" ref="C124:W124" si="90">IF(C110=0,"",C110/C103)</f>
        <v>0.61818990166312227</v>
      </c>
      <c r="D124" s="76">
        <f t="shared" si="90"/>
        <v>0.62423108312006959</v>
      </c>
      <c r="E124" s="76">
        <f t="shared" si="90"/>
        <v>0.63380452658014386</v>
      </c>
      <c r="F124" s="76">
        <f t="shared" si="90"/>
        <v>0.64094698677644391</v>
      </c>
      <c r="G124" s="76">
        <f t="shared" si="90"/>
        <v>0.64651126222656508</v>
      </c>
      <c r="H124" s="76">
        <f t="shared" si="90"/>
        <v>0.6516501310660312</v>
      </c>
      <c r="I124" s="76">
        <f t="shared" si="90"/>
        <v>0.65722644823489929</v>
      </c>
      <c r="J124" s="76">
        <f t="shared" si="90"/>
        <v>0.66030116023204088</v>
      </c>
      <c r="K124" s="76">
        <f t="shared" si="90"/>
        <v>0.66631940354732555</v>
      </c>
      <c r="L124" s="76">
        <f t="shared" si="90"/>
        <v>0.67137705160351568</v>
      </c>
      <c r="M124" s="76">
        <f t="shared" si="90"/>
        <v>0.67619955257811748</v>
      </c>
      <c r="N124" s="76">
        <f t="shared" si="90"/>
        <v>0.68306434674847571</v>
      </c>
      <c r="O124" s="76">
        <f t="shared" si="90"/>
        <v>0.68959919337501518</v>
      </c>
      <c r="P124" s="76">
        <f t="shared" si="90"/>
        <v>0.692433533133749</v>
      </c>
      <c r="Q124" s="76">
        <f t="shared" si="90"/>
        <v>0.69953438994705708</v>
      </c>
      <c r="R124" s="76">
        <f t="shared" si="90"/>
        <v>0.70938067945495176</v>
      </c>
      <c r="S124" s="76">
        <f t="shared" si="90"/>
        <v>0.72169493909389226</v>
      </c>
      <c r="T124" s="76">
        <f t="shared" si="90"/>
        <v>0.73378113939099676</v>
      </c>
      <c r="U124" s="76">
        <f t="shared" si="90"/>
        <v>0.74993070453100641</v>
      </c>
      <c r="V124" s="76">
        <f t="shared" si="90"/>
        <v>0.75989189489476172</v>
      </c>
      <c r="W124" s="76">
        <f t="shared" si="90"/>
        <v>0.77564972438638324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0.70520395899210442</v>
      </c>
      <c r="C125" s="56">
        <f t="shared" ref="C125:W125" si="92">IF(C111=0,"",C111/C104)</f>
        <v>0.69298240591200433</v>
      </c>
      <c r="D125" s="56">
        <f t="shared" si="92"/>
        <v>0.68670748105130142</v>
      </c>
      <c r="E125" s="56">
        <f t="shared" si="92"/>
        <v>0.68927777677947477</v>
      </c>
      <c r="F125" s="56">
        <f t="shared" si="92"/>
        <v>0.68704125396452298</v>
      </c>
      <c r="G125" s="56">
        <f t="shared" si="92"/>
        <v>0.69136993638105759</v>
      </c>
      <c r="H125" s="56">
        <f t="shared" si="92"/>
        <v>0.69502457613598934</v>
      </c>
      <c r="I125" s="56">
        <f t="shared" si="92"/>
        <v>0.6983298569900348</v>
      </c>
      <c r="J125" s="56">
        <f t="shared" si="92"/>
        <v>0.70132427326687141</v>
      </c>
      <c r="K125" s="56">
        <f t="shared" si="92"/>
        <v>0.70635207088470897</v>
      </c>
      <c r="L125" s="56">
        <f t="shared" si="92"/>
        <v>0.70762506243318346</v>
      </c>
      <c r="M125" s="56">
        <f t="shared" si="92"/>
        <v>0.70882511936118764</v>
      </c>
      <c r="N125" s="56">
        <f t="shared" si="92"/>
        <v>0.70930572213329257</v>
      </c>
      <c r="O125" s="56">
        <f t="shared" si="92"/>
        <v>0.7118063936542981</v>
      </c>
      <c r="P125" s="56">
        <f t="shared" si="92"/>
        <v>0.71443809466318819</v>
      </c>
      <c r="Q125" s="56">
        <f t="shared" si="92"/>
        <v>0.71759443929164368</v>
      </c>
      <c r="R125" s="56">
        <f t="shared" si="92"/>
        <v>0.70793944012820242</v>
      </c>
      <c r="S125" s="56">
        <f t="shared" si="92"/>
        <v>0.71008234885616395</v>
      </c>
      <c r="T125" s="56">
        <f t="shared" si="92"/>
        <v>0.72260966343623212</v>
      </c>
      <c r="U125" s="56">
        <f t="shared" si="92"/>
        <v>0.71793539489949854</v>
      </c>
      <c r="V125" s="56">
        <f t="shared" si="92"/>
        <v>0.72117016453626315</v>
      </c>
      <c r="W125" s="56">
        <f t="shared" si="92"/>
        <v>0.73789523025079939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296.1971296542381</v>
      </c>
      <c r="C129" s="82">
        <f t="shared" ref="C129:W129" si="94">IF(C99=0,0,C99/C$26)</f>
        <v>294.24466685193278</v>
      </c>
      <c r="D129" s="82">
        <f t="shared" si="94"/>
        <v>286.99126015728092</v>
      </c>
      <c r="E129" s="82">
        <f t="shared" si="94"/>
        <v>312.84286071159949</v>
      </c>
      <c r="F129" s="82">
        <f t="shared" si="94"/>
        <v>340.84384106922374</v>
      </c>
      <c r="G129" s="82">
        <f t="shared" si="94"/>
        <v>333.53767852519604</v>
      </c>
      <c r="H129" s="82">
        <f t="shared" si="94"/>
        <v>319.53746209316569</v>
      </c>
      <c r="I129" s="82">
        <f t="shared" si="94"/>
        <v>318.81683029528415</v>
      </c>
      <c r="J129" s="82">
        <f t="shared" si="94"/>
        <v>344.19026303184006</v>
      </c>
      <c r="K129" s="82">
        <f t="shared" si="94"/>
        <v>335.98474680568592</v>
      </c>
      <c r="L129" s="82">
        <f t="shared" si="94"/>
        <v>337.82238710043993</v>
      </c>
      <c r="M129" s="82">
        <f t="shared" si="94"/>
        <v>311.96690741617886</v>
      </c>
      <c r="N129" s="82">
        <f t="shared" si="94"/>
        <v>322.95268642997394</v>
      </c>
      <c r="O129" s="82">
        <f t="shared" si="94"/>
        <v>316.48374543602461</v>
      </c>
      <c r="P129" s="82">
        <f t="shared" si="94"/>
        <v>341.50000001999894</v>
      </c>
      <c r="Q129" s="82">
        <f t="shared" si="94"/>
        <v>340.30535673106993</v>
      </c>
      <c r="R129" s="82">
        <f t="shared" si="94"/>
        <v>360.57340435993615</v>
      </c>
      <c r="S129" s="82">
        <f t="shared" si="94"/>
        <v>332.12098084052161</v>
      </c>
      <c r="T129" s="82">
        <f t="shared" si="94"/>
        <v>343.85861727449924</v>
      </c>
      <c r="U129" s="82">
        <f t="shared" si="94"/>
        <v>321.60182987564917</v>
      </c>
      <c r="V129" s="82">
        <f t="shared" si="94"/>
        <v>322.75740355715607</v>
      </c>
      <c r="W129" s="82">
        <f t="shared" si="94"/>
        <v>348.4478995732112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237.90676847628617</v>
      </c>
      <c r="C130" s="64">
        <f t="shared" ref="C130:W130" si="96">IF(C100=0,0,C100/C$26)</f>
        <v>233.30343813094944</v>
      </c>
      <c r="D130" s="64">
        <f t="shared" si="96"/>
        <v>223.465189065229</v>
      </c>
      <c r="E130" s="64">
        <f t="shared" si="96"/>
        <v>246.05097067078572</v>
      </c>
      <c r="F130" s="64">
        <f t="shared" si="96"/>
        <v>270.42656931794426</v>
      </c>
      <c r="G130" s="64">
        <f t="shared" si="96"/>
        <v>260.87025678612076</v>
      </c>
      <c r="H130" s="64">
        <f t="shared" si="96"/>
        <v>244.99390345092107</v>
      </c>
      <c r="I130" s="64">
        <f t="shared" si="96"/>
        <v>242.40033420359956</v>
      </c>
      <c r="J130" s="64">
        <f t="shared" si="96"/>
        <v>262.9541013150037</v>
      </c>
      <c r="K130" s="64">
        <f t="shared" si="96"/>
        <v>251.43227161144711</v>
      </c>
      <c r="L130" s="64">
        <f t="shared" si="96"/>
        <v>252.27470727948071</v>
      </c>
      <c r="M130" s="64">
        <f t="shared" si="96"/>
        <v>227.90925497446051</v>
      </c>
      <c r="N130" s="64">
        <f t="shared" si="96"/>
        <v>238.08103291481217</v>
      </c>
      <c r="O130" s="64">
        <f t="shared" si="96"/>
        <v>229.85901086016102</v>
      </c>
      <c r="P130" s="64">
        <f t="shared" si="96"/>
        <v>251.38771811962158</v>
      </c>
      <c r="Q130" s="64">
        <f t="shared" si="96"/>
        <v>248.81253811007664</v>
      </c>
      <c r="R130" s="64">
        <f t="shared" si="96"/>
        <v>267.65171137372801</v>
      </c>
      <c r="S130" s="64">
        <f t="shared" si="96"/>
        <v>241.03083358343827</v>
      </c>
      <c r="T130" s="64">
        <f t="shared" si="96"/>
        <v>251.95939587136181</v>
      </c>
      <c r="U130" s="64">
        <f t="shared" si="96"/>
        <v>229.29433802192551</v>
      </c>
      <c r="V130" s="64">
        <f t="shared" si="96"/>
        <v>230.63515434638651</v>
      </c>
      <c r="W130" s="64">
        <f t="shared" si="96"/>
        <v>244.14398599839768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179.65790295291126</v>
      </c>
      <c r="C131" s="65">
        <f t="shared" ref="C131:W131" si="98">IF(C101=0,0,C101/C$26)</f>
        <v>175.3746170185386</v>
      </c>
      <c r="D131" s="65">
        <f t="shared" si="98"/>
        <v>167.22099377874636</v>
      </c>
      <c r="E131" s="65">
        <f t="shared" si="98"/>
        <v>190.75133597801863</v>
      </c>
      <c r="F131" s="65">
        <f t="shared" si="98"/>
        <v>216.74188732896675</v>
      </c>
      <c r="G131" s="65">
        <f t="shared" si="98"/>
        <v>207.31361250727272</v>
      </c>
      <c r="H131" s="65">
        <f t="shared" si="98"/>
        <v>193.39549343095339</v>
      </c>
      <c r="I131" s="65">
        <f t="shared" si="98"/>
        <v>192.28950101349548</v>
      </c>
      <c r="J131" s="65">
        <f t="shared" si="98"/>
        <v>211.82963098850348</v>
      </c>
      <c r="K131" s="65">
        <f t="shared" si="98"/>
        <v>199.81240346680363</v>
      </c>
      <c r="L131" s="65">
        <f t="shared" si="98"/>
        <v>200.67880100870414</v>
      </c>
      <c r="M131" s="65">
        <f t="shared" si="98"/>
        <v>176.35534486182186</v>
      </c>
      <c r="N131" s="65">
        <f t="shared" si="98"/>
        <v>186.82895443656744</v>
      </c>
      <c r="O131" s="65">
        <f t="shared" si="98"/>
        <v>178.58952922919744</v>
      </c>
      <c r="P131" s="65">
        <f t="shared" si="98"/>
        <v>200.42992221297422</v>
      </c>
      <c r="Q131" s="65">
        <f t="shared" si="98"/>
        <v>198.39765994382282</v>
      </c>
      <c r="R131" s="65">
        <f t="shared" si="98"/>
        <v>217.34586098416176</v>
      </c>
      <c r="S131" s="65">
        <f t="shared" si="98"/>
        <v>191.63032477443193</v>
      </c>
      <c r="T131" s="65">
        <f t="shared" si="98"/>
        <v>203.31488542070392</v>
      </c>
      <c r="U131" s="65">
        <f t="shared" si="98"/>
        <v>180.8760126808709</v>
      </c>
      <c r="V131" s="65">
        <f t="shared" si="98"/>
        <v>185.91690758905293</v>
      </c>
      <c r="W131" s="65">
        <f t="shared" si="98"/>
        <v>197.78313187929447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0.35456166412382528</v>
      </c>
      <c r="C132" s="65">
        <f t="shared" ref="C132:W132" si="100">IF(C102=0,0,C102/C$26)</f>
        <v>0.36203445069300277</v>
      </c>
      <c r="D132" s="65">
        <f t="shared" si="100"/>
        <v>0.3678750976944441</v>
      </c>
      <c r="E132" s="65">
        <f t="shared" si="100"/>
        <v>0.38503720703926347</v>
      </c>
      <c r="F132" s="65">
        <f t="shared" si="100"/>
        <v>0.36428008884554336</v>
      </c>
      <c r="G132" s="65">
        <f t="shared" si="100"/>
        <v>0.37168167222577447</v>
      </c>
      <c r="H132" s="65">
        <f t="shared" si="100"/>
        <v>0.39096477034438287</v>
      </c>
      <c r="I132" s="65">
        <f t="shared" si="100"/>
        <v>0.38876840063459062</v>
      </c>
      <c r="J132" s="65">
        <f t="shared" si="100"/>
        <v>0.39961352675772127</v>
      </c>
      <c r="K132" s="65">
        <f t="shared" si="100"/>
        <v>0.41086179077331247</v>
      </c>
      <c r="L132" s="65">
        <f t="shared" si="100"/>
        <v>0.48658452350032627</v>
      </c>
      <c r="M132" s="65">
        <f t="shared" si="100"/>
        <v>0.44548634365384809</v>
      </c>
      <c r="N132" s="65">
        <f t="shared" si="100"/>
        <v>0.42534237410650283</v>
      </c>
      <c r="O132" s="65">
        <f t="shared" si="100"/>
        <v>0.42211731389813689</v>
      </c>
      <c r="P132" s="65">
        <f t="shared" si="100"/>
        <v>0.42703892018114958</v>
      </c>
      <c r="Q132" s="65">
        <f t="shared" si="100"/>
        <v>0.41327346560096795</v>
      </c>
      <c r="R132" s="65">
        <f t="shared" si="100"/>
        <v>0.41089361682673481</v>
      </c>
      <c r="S132" s="65">
        <f t="shared" si="100"/>
        <v>0.40747046780005647</v>
      </c>
      <c r="T132" s="65">
        <f t="shared" si="100"/>
        <v>0.44204318796294118</v>
      </c>
      <c r="U132" s="65">
        <f t="shared" si="100"/>
        <v>0.415720349068602</v>
      </c>
      <c r="V132" s="65">
        <f t="shared" si="100"/>
        <v>0.39698684522165717</v>
      </c>
      <c r="W132" s="65">
        <f t="shared" si="100"/>
        <v>0.44298147516947384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30.916250207820511</v>
      </c>
      <c r="C133" s="65">
        <f t="shared" ref="C133:W133" si="102">IF(C103=0,0,C103/C$26)</f>
        <v>30.269099947283127</v>
      </c>
      <c r="D133" s="65">
        <f t="shared" si="102"/>
        <v>28.974094494581209</v>
      </c>
      <c r="E133" s="65">
        <f t="shared" si="102"/>
        <v>28.064529899844903</v>
      </c>
      <c r="F133" s="65">
        <f t="shared" si="102"/>
        <v>26.864077001227372</v>
      </c>
      <c r="G133" s="65">
        <f t="shared" si="102"/>
        <v>26.577435520136532</v>
      </c>
      <c r="H133" s="65">
        <f t="shared" si="102"/>
        <v>25.589941454347084</v>
      </c>
      <c r="I133" s="65">
        <f t="shared" si="102"/>
        <v>24.412473501054741</v>
      </c>
      <c r="J133" s="65">
        <f t="shared" si="102"/>
        <v>24.711949666689897</v>
      </c>
      <c r="K133" s="65">
        <f t="shared" si="102"/>
        <v>24.479452993705145</v>
      </c>
      <c r="L133" s="65">
        <f t="shared" si="102"/>
        <v>24.20921144304199</v>
      </c>
      <c r="M133" s="65">
        <f t="shared" si="102"/>
        <v>24.423970648227709</v>
      </c>
      <c r="N133" s="65">
        <f t="shared" si="102"/>
        <v>24.321934408899203</v>
      </c>
      <c r="O133" s="65">
        <f t="shared" si="102"/>
        <v>24.166843200144896</v>
      </c>
      <c r="P133" s="65">
        <f t="shared" si="102"/>
        <v>24.249204864276944</v>
      </c>
      <c r="Q133" s="65">
        <f t="shared" si="102"/>
        <v>24.25909429069501</v>
      </c>
      <c r="R133" s="65">
        <f t="shared" si="102"/>
        <v>23.70115904437661</v>
      </c>
      <c r="S133" s="65">
        <f t="shared" si="102"/>
        <v>23.148329406744455</v>
      </c>
      <c r="T133" s="65">
        <f t="shared" si="102"/>
        <v>23.037482467200327</v>
      </c>
      <c r="U133" s="65">
        <f t="shared" si="102"/>
        <v>22.809150772390154</v>
      </c>
      <c r="V133" s="65">
        <f t="shared" si="102"/>
        <v>21.349434819972007</v>
      </c>
      <c r="W133" s="65">
        <f t="shared" si="102"/>
        <v>21.983864586676393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26.978053651430567</v>
      </c>
      <c r="C134" s="67">
        <f t="shared" ref="C134:W134" si="104">IF(C104=0,0,C104/C$26)</f>
        <v>27.297686714434732</v>
      </c>
      <c r="D134" s="67">
        <f t="shared" si="104"/>
        <v>26.902225694206969</v>
      </c>
      <c r="E134" s="67">
        <f t="shared" si="104"/>
        <v>26.850067585882957</v>
      </c>
      <c r="F134" s="67">
        <f t="shared" si="104"/>
        <v>26.456324898904548</v>
      </c>
      <c r="G134" s="67">
        <f t="shared" si="104"/>
        <v>26.607527086485792</v>
      </c>
      <c r="H134" s="67">
        <f t="shared" si="104"/>
        <v>25.617503795276239</v>
      </c>
      <c r="I134" s="67">
        <f t="shared" si="104"/>
        <v>25.30959128841474</v>
      </c>
      <c r="J134" s="67">
        <f t="shared" si="104"/>
        <v>26.012907133052543</v>
      </c>
      <c r="K134" s="67">
        <f t="shared" si="104"/>
        <v>26.729553360164982</v>
      </c>
      <c r="L134" s="67">
        <f t="shared" si="104"/>
        <v>26.900110304234232</v>
      </c>
      <c r="M134" s="67">
        <f t="shared" si="104"/>
        <v>26.684453120757045</v>
      </c>
      <c r="N134" s="67">
        <f t="shared" si="104"/>
        <v>26.504801695238985</v>
      </c>
      <c r="O134" s="67">
        <f t="shared" si="104"/>
        <v>26.680521116920556</v>
      </c>
      <c r="P134" s="67">
        <f t="shared" si="104"/>
        <v>26.281552122189222</v>
      </c>
      <c r="Q134" s="67">
        <f t="shared" si="104"/>
        <v>25.742510409957887</v>
      </c>
      <c r="R134" s="67">
        <f t="shared" si="104"/>
        <v>26.19379772836287</v>
      </c>
      <c r="S134" s="67">
        <f t="shared" si="104"/>
        <v>25.844708934461874</v>
      </c>
      <c r="T134" s="67">
        <f t="shared" si="104"/>
        <v>25.164984795494632</v>
      </c>
      <c r="U134" s="67">
        <f t="shared" si="104"/>
        <v>25.19345421959585</v>
      </c>
      <c r="V134" s="67">
        <f t="shared" si="104"/>
        <v>22.971825092139948</v>
      </c>
      <c r="W134" s="67">
        <f t="shared" si="104"/>
        <v>23.934008057257344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58.290361177951965</v>
      </c>
      <c r="C135" s="68">
        <f t="shared" ref="C135:W135" si="106">IF(C105=0,0,C105/C$26)</f>
        <v>60.941228720983325</v>
      </c>
      <c r="D135" s="68">
        <f t="shared" si="106"/>
        <v>63.526071092051986</v>
      </c>
      <c r="E135" s="68">
        <f t="shared" si="106"/>
        <v>66.791890040813769</v>
      </c>
      <c r="F135" s="68">
        <f t="shared" si="106"/>
        <v>70.417271751279443</v>
      </c>
      <c r="G135" s="68">
        <f t="shared" si="106"/>
        <v>72.667421739075266</v>
      </c>
      <c r="H135" s="68">
        <f t="shared" si="106"/>
        <v>74.543558642244577</v>
      </c>
      <c r="I135" s="68">
        <f t="shared" si="106"/>
        <v>76.416496091684579</v>
      </c>
      <c r="J135" s="68">
        <f t="shared" si="106"/>
        <v>81.236161716836435</v>
      </c>
      <c r="K135" s="68">
        <f t="shared" si="106"/>
        <v>84.552475194238866</v>
      </c>
      <c r="L135" s="68">
        <f t="shared" si="106"/>
        <v>85.54767982095926</v>
      </c>
      <c r="M135" s="68">
        <f t="shared" si="106"/>
        <v>84.057652441718417</v>
      </c>
      <c r="N135" s="68">
        <f t="shared" si="106"/>
        <v>84.871653515161825</v>
      </c>
      <c r="O135" s="68">
        <f t="shared" si="106"/>
        <v>86.624734575863641</v>
      </c>
      <c r="P135" s="68">
        <f t="shared" si="106"/>
        <v>90.112281900377383</v>
      </c>
      <c r="Q135" s="68">
        <f t="shared" si="106"/>
        <v>91.492818620993262</v>
      </c>
      <c r="R135" s="68">
        <f t="shared" si="106"/>
        <v>92.921692986208114</v>
      </c>
      <c r="S135" s="68">
        <f t="shared" si="106"/>
        <v>91.09014725708326</v>
      </c>
      <c r="T135" s="68">
        <f t="shared" si="106"/>
        <v>91.899221403137403</v>
      </c>
      <c r="U135" s="68">
        <f t="shared" si="106"/>
        <v>92.307491853723604</v>
      </c>
      <c r="V135" s="68">
        <f t="shared" si="106"/>
        <v>92.122249210769525</v>
      </c>
      <c r="W135" s="68">
        <f t="shared" si="106"/>
        <v>104.30391357481346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149.65803857939295</v>
      </c>
      <c r="C137" s="85">
        <f t="shared" ref="C137:W137" si="108">IF(C107=0,0,C107/C$26)</f>
        <v>140.59730453736134</v>
      </c>
      <c r="D137" s="85">
        <f t="shared" si="108"/>
        <v>140.21004795136025</v>
      </c>
      <c r="E137" s="85">
        <f t="shared" si="108"/>
        <v>153.3721783276215</v>
      </c>
      <c r="F137" s="85">
        <f t="shared" si="108"/>
        <v>170.73299985876881</v>
      </c>
      <c r="G137" s="85">
        <f t="shared" si="108"/>
        <v>168.22661017216848</v>
      </c>
      <c r="H137" s="85">
        <f t="shared" si="108"/>
        <v>160.05104497284321</v>
      </c>
      <c r="I137" s="85">
        <f t="shared" si="108"/>
        <v>159.52029717659693</v>
      </c>
      <c r="J137" s="85">
        <f t="shared" si="108"/>
        <v>177.18466476071615</v>
      </c>
      <c r="K137" s="85">
        <f t="shared" si="108"/>
        <v>172.61359685711227</v>
      </c>
      <c r="L137" s="85">
        <f t="shared" si="108"/>
        <v>175.34547794239532</v>
      </c>
      <c r="M137" s="85">
        <f t="shared" si="108"/>
        <v>156.26041055289588</v>
      </c>
      <c r="N137" s="85">
        <f t="shared" si="108"/>
        <v>166.70925625328982</v>
      </c>
      <c r="O137" s="85">
        <f t="shared" si="108"/>
        <v>161.96147671800139</v>
      </c>
      <c r="P137" s="85">
        <f t="shared" si="108"/>
        <v>178.76183041228845</v>
      </c>
      <c r="Q137" s="85">
        <f t="shared" si="108"/>
        <v>177.6674244676943</v>
      </c>
      <c r="R137" s="85">
        <f t="shared" si="108"/>
        <v>193.93675889465476</v>
      </c>
      <c r="S137" s="85">
        <f t="shared" si="108"/>
        <v>176.28094023748338</v>
      </c>
      <c r="T137" s="85">
        <f t="shared" si="108"/>
        <v>187.31383193957871</v>
      </c>
      <c r="U137" s="85">
        <f t="shared" si="108"/>
        <v>172.23169864534503</v>
      </c>
      <c r="V137" s="85">
        <f t="shared" si="108"/>
        <v>174.73883550611322</v>
      </c>
      <c r="W137" s="85">
        <f t="shared" si="108"/>
        <v>187.69353575299846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110.83321942487869</v>
      </c>
      <c r="C138" s="65">
        <f t="shared" ref="C138:W138" si="110">IF(C108=0,0,C108/C$26)</f>
        <v>102.18857743491793</v>
      </c>
      <c r="D138" s="65">
        <f t="shared" si="110"/>
        <v>102.81114821591167</v>
      </c>
      <c r="E138" s="65">
        <f t="shared" si="110"/>
        <v>116.15372207525074</v>
      </c>
      <c r="F138" s="65">
        <f t="shared" si="110"/>
        <v>134.42035125144974</v>
      </c>
      <c r="G138" s="65">
        <f t="shared" si="110"/>
        <v>131.65535262291129</v>
      </c>
      <c r="H138" s="65">
        <f t="shared" si="110"/>
        <v>124.46070213803672</v>
      </c>
      <c r="I138" s="65">
        <f t="shared" si="110"/>
        <v>124.63898089585808</v>
      </c>
      <c r="J138" s="65">
        <f t="shared" si="110"/>
        <v>141.36670003905968</v>
      </c>
      <c r="K138" s="65">
        <f t="shared" si="110"/>
        <v>136.10992969350622</v>
      </c>
      <c r="L138" s="65">
        <f t="shared" si="110"/>
        <v>138.46716979884229</v>
      </c>
      <c r="M138" s="65">
        <f t="shared" si="110"/>
        <v>119.32276383283352</v>
      </c>
      <c r="N138" s="65">
        <f t="shared" si="110"/>
        <v>129.80739763084699</v>
      </c>
      <c r="O138" s="65">
        <f t="shared" si="110"/>
        <v>124.77560821496981</v>
      </c>
      <c r="P138" s="65">
        <f t="shared" si="110"/>
        <v>141.58741392724625</v>
      </c>
      <c r="Q138" s="65">
        <f t="shared" si="110"/>
        <v>140.59948843394469</v>
      </c>
      <c r="R138" s="65">
        <f t="shared" si="110"/>
        <v>156.89975966378219</v>
      </c>
      <c r="S138" s="65">
        <f t="shared" si="110"/>
        <v>139.49766947133676</v>
      </c>
      <c r="T138" s="65">
        <f t="shared" si="110"/>
        <v>150.29290075988334</v>
      </c>
      <c r="U138" s="65">
        <f t="shared" si="110"/>
        <v>135.17497535281927</v>
      </c>
      <c r="V138" s="65">
        <f t="shared" si="110"/>
        <v>140.12734295815736</v>
      </c>
      <c r="W138" s="65">
        <f t="shared" si="110"/>
        <v>150.89364731052399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0.72444733471195288</v>
      </c>
      <c r="C139" s="65">
        <f t="shared" ref="C139:W139" si="112">IF(C109=0,0,C109/C$26)</f>
        <v>0.77985856740006332</v>
      </c>
      <c r="D139" s="65">
        <f t="shared" si="112"/>
        <v>0.83840970553044381</v>
      </c>
      <c r="E139" s="65">
        <f t="shared" si="112"/>
        <v>0.92387527352922116</v>
      </c>
      <c r="F139" s="65">
        <f t="shared" si="112"/>
        <v>0.91761276701582184</v>
      </c>
      <c r="G139" s="65">
        <f t="shared" si="112"/>
        <v>0.99300185534758767</v>
      </c>
      <c r="H139" s="65">
        <f t="shared" si="112"/>
        <v>1.1098594151351688</v>
      </c>
      <c r="I139" s="65">
        <f t="shared" si="112"/>
        <v>1.1623497640971261</v>
      </c>
      <c r="J139" s="65">
        <f t="shared" si="112"/>
        <v>1.2571524944986308</v>
      </c>
      <c r="K139" s="65">
        <f t="shared" si="112"/>
        <v>1.3120572758997833</v>
      </c>
      <c r="L139" s="65">
        <f t="shared" si="112"/>
        <v>1.5896069097841379</v>
      </c>
      <c r="M139" s="65">
        <f t="shared" si="112"/>
        <v>1.5075580271410558</v>
      </c>
      <c r="N139" s="65">
        <f t="shared" si="112"/>
        <v>1.4884048773276322</v>
      </c>
      <c r="O139" s="65">
        <f t="shared" si="112"/>
        <v>1.529067408738634</v>
      </c>
      <c r="P139" s="65">
        <f t="shared" si="112"/>
        <v>1.6069118622187148</v>
      </c>
      <c r="Q139" s="65">
        <f t="shared" si="112"/>
        <v>1.6251829848471324</v>
      </c>
      <c r="R139" s="65">
        <f t="shared" si="112"/>
        <v>1.6802324254541956</v>
      </c>
      <c r="S139" s="65">
        <f t="shared" si="112"/>
        <v>1.7253669591342615</v>
      </c>
      <c r="T139" s="65">
        <f t="shared" si="112"/>
        <v>1.931999852762728</v>
      </c>
      <c r="U139" s="65">
        <f t="shared" si="112"/>
        <v>1.8641682800052808</v>
      </c>
      <c r="V139" s="65">
        <f t="shared" si="112"/>
        <v>1.8216351862782942</v>
      </c>
      <c r="W139" s="65">
        <f t="shared" si="112"/>
        <v>2.0873195486369522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19.075341578912074</v>
      </c>
      <c r="C140" s="65">
        <f t="shared" ref="C140:W140" si="114">IF(C110=0,0,C110/C$26)</f>
        <v>18.712051919842178</v>
      </c>
      <c r="D140" s="65">
        <f t="shared" si="114"/>
        <v>18.086530388775675</v>
      </c>
      <c r="E140" s="65">
        <f t="shared" si="114"/>
        <v>17.787426086865494</v>
      </c>
      <c r="F140" s="65">
        <f t="shared" si="114"/>
        <v>17.218449206467049</v>
      </c>
      <c r="G140" s="65">
        <f t="shared" si="114"/>
        <v>17.182611384868615</v>
      </c>
      <c r="H140" s="65">
        <f t="shared" si="114"/>
        <v>16.675688702697343</v>
      </c>
      <c r="I140" s="65">
        <f t="shared" si="114"/>
        <v>16.044523251726805</v>
      </c>
      <c r="J140" s="65">
        <f t="shared" si="114"/>
        <v>16.317329036511133</v>
      </c>
      <c r="K140" s="65">
        <f t="shared" si="114"/>
        <v>16.311134517930405</v>
      </c>
      <c r="L140" s="65">
        <f t="shared" si="114"/>
        <v>16.253509000275624</v>
      </c>
      <c r="M140" s="65">
        <f t="shared" si="114"/>
        <v>16.515478024512653</v>
      </c>
      <c r="N140" s="65">
        <f t="shared" si="114"/>
        <v>16.613446238674008</v>
      </c>
      <c r="O140" s="65">
        <f t="shared" si="114"/>
        <v>16.665435577240391</v>
      </c>
      <c r="P140" s="65">
        <f t="shared" si="114"/>
        <v>16.790962599855376</v>
      </c>
      <c r="Q140" s="65">
        <f t="shared" si="114"/>
        <v>16.970070725309469</v>
      </c>
      <c r="R140" s="65">
        <f t="shared" si="114"/>
        <v>16.813144306769754</v>
      </c>
      <c r="S140" s="65">
        <f t="shared" si="114"/>
        <v>16.706032181325796</v>
      </c>
      <c r="T140" s="65">
        <f t="shared" si="114"/>
        <v>16.90447013348237</v>
      </c>
      <c r="U140" s="65">
        <f t="shared" si="114"/>
        <v>17.105282508492497</v>
      </c>
      <c r="V140" s="65">
        <f t="shared" si="114"/>
        <v>16.223262480280734</v>
      </c>
      <c r="W140" s="65">
        <f t="shared" si="114"/>
        <v>17.051778507603117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19.025030240890235</v>
      </c>
      <c r="C141" s="68">
        <f t="shared" ref="C141:W141" si="116">IF(C111=0,0,C111/C$26)</f>
        <v>18.916816615201135</v>
      </c>
      <c r="D141" s="68">
        <f t="shared" si="116"/>
        <v>18.473959641142464</v>
      </c>
      <c r="E141" s="68">
        <f t="shared" si="116"/>
        <v>18.507154891976043</v>
      </c>
      <c r="F141" s="68">
        <f t="shared" si="116"/>
        <v>18.176586633836212</v>
      </c>
      <c r="G141" s="68">
        <f t="shared" si="116"/>
        <v>18.395644309040946</v>
      </c>
      <c r="H141" s="68">
        <f t="shared" si="116"/>
        <v>17.804794716973966</v>
      </c>
      <c r="I141" s="68">
        <f t="shared" si="116"/>
        <v>17.674443264914895</v>
      </c>
      <c r="J141" s="68">
        <f t="shared" si="116"/>
        <v>18.243483190646693</v>
      </c>
      <c r="K141" s="68">
        <f t="shared" si="116"/>
        <v>18.880475369775866</v>
      </c>
      <c r="L141" s="68">
        <f t="shared" si="116"/>
        <v>19.035192233493273</v>
      </c>
      <c r="M141" s="68">
        <f t="shared" si="116"/>
        <v>18.914610668408631</v>
      </c>
      <c r="N141" s="68">
        <f t="shared" si="116"/>
        <v>18.800007506441208</v>
      </c>
      <c r="O141" s="68">
        <f t="shared" si="116"/>
        <v>18.991365517052564</v>
      </c>
      <c r="P141" s="68">
        <f t="shared" si="116"/>
        <v>18.776542022968137</v>
      </c>
      <c r="Q141" s="68">
        <f t="shared" si="116"/>
        <v>18.47268232359303</v>
      </c>
      <c r="R141" s="68">
        <f t="shared" si="116"/>
        <v>18.543622498648592</v>
      </c>
      <c r="S141" s="68">
        <f t="shared" si="116"/>
        <v>18.351871625686574</v>
      </c>
      <c r="T141" s="68">
        <f t="shared" si="116"/>
        <v>18.184461193450279</v>
      </c>
      <c r="U141" s="68">
        <f t="shared" si="116"/>
        <v>18.087272504027986</v>
      </c>
      <c r="V141" s="68">
        <f t="shared" si="116"/>
        <v>16.566594881396824</v>
      </c>
      <c r="W141" s="68">
        <f t="shared" si="116"/>
        <v>17.660790386234396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18.772520363046421</v>
      </c>
      <c r="C143" s="82">
        <f t="shared" ref="C143:W143" si="118">IF(C113=0,0,C113/C$26)</f>
        <v>23.933448747143167</v>
      </c>
      <c r="D143" s="82">
        <f t="shared" si="118"/>
        <v>18.574433822020797</v>
      </c>
      <c r="E143" s="82">
        <f t="shared" si="118"/>
        <v>23.538908685135009</v>
      </c>
      <c r="F143" s="82">
        <f t="shared" si="118"/>
        <v>22.130598759105478</v>
      </c>
      <c r="G143" s="82">
        <f t="shared" si="118"/>
        <v>20.373901032441299</v>
      </c>
      <c r="H143" s="82">
        <f t="shared" si="118"/>
        <v>16.829705373635537</v>
      </c>
      <c r="I143" s="82">
        <f t="shared" si="118"/>
        <v>16.023018460641701</v>
      </c>
      <c r="J143" s="82">
        <f t="shared" si="118"/>
        <v>14.168453862122924</v>
      </c>
      <c r="K143" s="82">
        <f t="shared" si="118"/>
        <v>12.500979029713189</v>
      </c>
      <c r="L143" s="82">
        <f t="shared" si="118"/>
        <v>11.662202153279146</v>
      </c>
      <c r="M143" s="82">
        <f t="shared" si="118"/>
        <v>14.113320301361719</v>
      </c>
      <c r="N143" s="82">
        <f t="shared" si="118"/>
        <v>14.747947696999381</v>
      </c>
      <c r="O143" s="82">
        <f t="shared" si="118"/>
        <v>15.554814359039455</v>
      </c>
      <c r="P143" s="82">
        <f t="shared" si="118"/>
        <v>16.760461218731297</v>
      </c>
      <c r="Q143" s="82">
        <f t="shared" si="118"/>
        <v>17.37847657222747</v>
      </c>
      <c r="R143" s="82">
        <f t="shared" si="118"/>
        <v>17.281482895000813</v>
      </c>
      <c r="S143" s="82">
        <f t="shared" si="118"/>
        <v>16.13602682228958</v>
      </c>
      <c r="T143" s="82">
        <f t="shared" si="118"/>
        <v>16.305773619569653</v>
      </c>
      <c r="U143" s="82">
        <f t="shared" si="118"/>
        <v>14.417322980492191</v>
      </c>
      <c r="V143" s="82">
        <f t="shared" si="118"/>
        <v>14.605726518630691</v>
      </c>
      <c r="W143" s="82">
        <f t="shared" si="118"/>
        <v>15.217554756805152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18.772520363046421</v>
      </c>
      <c r="C144" s="64">
        <f t="shared" ref="C144:W144" si="120">IF(C114=0,0,C114/C$26)</f>
        <v>23.933448747143167</v>
      </c>
      <c r="D144" s="64">
        <f t="shared" si="120"/>
        <v>18.574433822020797</v>
      </c>
      <c r="E144" s="64">
        <f t="shared" si="120"/>
        <v>23.538908685135009</v>
      </c>
      <c r="F144" s="64">
        <f t="shared" si="120"/>
        <v>22.130598759105478</v>
      </c>
      <c r="G144" s="64">
        <f t="shared" si="120"/>
        <v>20.373901032441299</v>
      </c>
      <c r="H144" s="64">
        <f t="shared" si="120"/>
        <v>16.829705373635537</v>
      </c>
      <c r="I144" s="64">
        <f t="shared" si="120"/>
        <v>16.023018460641701</v>
      </c>
      <c r="J144" s="64">
        <f t="shared" si="120"/>
        <v>14.168453862122924</v>
      </c>
      <c r="K144" s="64">
        <f t="shared" si="120"/>
        <v>12.500979029713189</v>
      </c>
      <c r="L144" s="64">
        <f t="shared" si="120"/>
        <v>11.662202153279146</v>
      </c>
      <c r="M144" s="64">
        <f t="shared" si="120"/>
        <v>14.113320301361719</v>
      </c>
      <c r="N144" s="64">
        <f t="shared" si="120"/>
        <v>14.747947696999381</v>
      </c>
      <c r="O144" s="64">
        <f t="shared" si="120"/>
        <v>15.554814359039455</v>
      </c>
      <c r="P144" s="64">
        <f t="shared" si="120"/>
        <v>16.760461218731297</v>
      </c>
      <c r="Q144" s="64">
        <f t="shared" si="120"/>
        <v>17.37847657222747</v>
      </c>
      <c r="R144" s="64">
        <f t="shared" si="120"/>
        <v>17.281482895000813</v>
      </c>
      <c r="S144" s="64">
        <f t="shared" si="120"/>
        <v>16.13602682228958</v>
      </c>
      <c r="T144" s="64">
        <f t="shared" si="120"/>
        <v>16.305773619569653</v>
      </c>
      <c r="U144" s="64">
        <f t="shared" si="120"/>
        <v>14.417322980492191</v>
      </c>
      <c r="V144" s="64">
        <f t="shared" si="120"/>
        <v>14.605726518630691</v>
      </c>
      <c r="W144" s="64">
        <f t="shared" si="120"/>
        <v>15.217554756805152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16.409226091512028</v>
      </c>
      <c r="C145" s="65">
        <f t="shared" ref="C145:W145" si="122">IF(C115=0,0,C115/C$26)</f>
        <v>20.993478775686302</v>
      </c>
      <c r="D145" s="65">
        <f t="shared" si="122"/>
        <v>15.673054085182866</v>
      </c>
      <c r="E145" s="65">
        <f t="shared" si="122"/>
        <v>21.113698916901917</v>
      </c>
      <c r="F145" s="65">
        <f t="shared" si="122"/>
        <v>19.73991433772029</v>
      </c>
      <c r="G145" s="65">
        <f t="shared" si="122"/>
        <v>18.165905383079675</v>
      </c>
      <c r="H145" s="65">
        <f t="shared" si="122"/>
        <v>14.805292101535468</v>
      </c>
      <c r="I145" s="65">
        <f t="shared" si="122"/>
        <v>14.112693985162826</v>
      </c>
      <c r="J145" s="65">
        <f t="shared" si="122"/>
        <v>12.23629598054465</v>
      </c>
      <c r="K145" s="65">
        <f t="shared" si="122"/>
        <v>10.636594807067087</v>
      </c>
      <c r="L145" s="65">
        <f t="shared" si="122"/>
        <v>9.7928974760228797</v>
      </c>
      <c r="M145" s="65">
        <f t="shared" si="122"/>
        <v>12.217350894601632</v>
      </c>
      <c r="N145" s="65">
        <f t="shared" si="122"/>
        <v>12.825106537068677</v>
      </c>
      <c r="O145" s="65">
        <f t="shared" si="122"/>
        <v>13.5169187620718</v>
      </c>
      <c r="P145" s="65">
        <f t="shared" si="122"/>
        <v>14.498439040318329</v>
      </c>
      <c r="Q145" s="65">
        <f t="shared" si="122"/>
        <v>15.136528578345276</v>
      </c>
      <c r="R145" s="65">
        <f t="shared" si="122"/>
        <v>14.716498477222473</v>
      </c>
      <c r="S145" s="65">
        <f t="shared" si="122"/>
        <v>13.368083935646569</v>
      </c>
      <c r="T145" s="65">
        <f t="shared" si="122"/>
        <v>13.716483071369543</v>
      </c>
      <c r="U145" s="65">
        <f t="shared" si="122"/>
        <v>11.570760627259784</v>
      </c>
      <c r="V145" s="65">
        <f t="shared" si="122"/>
        <v>11.790195440694383</v>
      </c>
      <c r="W145" s="65">
        <f t="shared" si="122"/>
        <v>12.621989921036315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2.1503115698843196</v>
      </c>
      <c r="C147" s="65">
        <f t="shared" ref="C147:W147" si="126">IF(C117=0,0,C117/C$26)</f>
        <v>2.2664782244508741</v>
      </c>
      <c r="D147" s="65">
        <f t="shared" si="126"/>
        <v>1.9754937431075965</v>
      </c>
      <c r="E147" s="65">
        <f t="shared" si="126"/>
        <v>1.5238487607943223</v>
      </c>
      <c r="F147" s="65">
        <f t="shared" si="126"/>
        <v>1.3092722486859916</v>
      </c>
      <c r="G147" s="65">
        <f t="shared" si="126"/>
        <v>1.1998743332579771</v>
      </c>
      <c r="H147" s="65">
        <f t="shared" si="126"/>
        <v>1.093389914745369</v>
      </c>
      <c r="I147" s="65">
        <f t="shared" si="126"/>
        <v>1.0298873761047806</v>
      </c>
      <c r="J147" s="65">
        <f t="shared" si="126"/>
        <v>1.0551895883969746</v>
      </c>
      <c r="K147" s="65">
        <f t="shared" si="126"/>
        <v>1.044362007395282</v>
      </c>
      <c r="L147" s="65">
        <f t="shared" si="126"/>
        <v>1.0207361181755461</v>
      </c>
      <c r="M147" s="65">
        <f t="shared" si="126"/>
        <v>1.0566897624636333</v>
      </c>
      <c r="N147" s="65">
        <f t="shared" si="126"/>
        <v>1.0470883595740135</v>
      </c>
      <c r="O147" s="65">
        <f t="shared" si="126"/>
        <v>1.1809878866012946</v>
      </c>
      <c r="P147" s="65">
        <f t="shared" si="126"/>
        <v>1.3951391915682361</v>
      </c>
      <c r="Q147" s="65">
        <f t="shared" si="126"/>
        <v>1.3802456820195508</v>
      </c>
      <c r="R147" s="65">
        <f t="shared" si="126"/>
        <v>1.3116189216437026</v>
      </c>
      <c r="S147" s="65">
        <f t="shared" si="126"/>
        <v>1.3584303776161668</v>
      </c>
      <c r="T147" s="65">
        <f t="shared" si="126"/>
        <v>1.4361083343509653</v>
      </c>
      <c r="U147" s="65">
        <f t="shared" si="126"/>
        <v>1.3621861729138929</v>
      </c>
      <c r="V147" s="65">
        <f t="shared" si="126"/>
        <v>1.3588766403904549</v>
      </c>
      <c r="W147" s="65">
        <f t="shared" si="126"/>
        <v>1.2788830781839267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0.21298270165007216</v>
      </c>
      <c r="C148" s="67">
        <f t="shared" ref="C148:W148" si="128">IF(C118=0,0,C118/C$26)</f>
        <v>0.67349174700598802</v>
      </c>
      <c r="D148" s="67">
        <f t="shared" si="128"/>
        <v>0.92588599373033431</v>
      </c>
      <c r="E148" s="67">
        <f t="shared" si="128"/>
        <v>0.90136100743877035</v>
      </c>
      <c r="F148" s="67">
        <f t="shared" si="128"/>
        <v>1.0814121726991928</v>
      </c>
      <c r="G148" s="67">
        <f t="shared" si="128"/>
        <v>1.0081213161036475</v>
      </c>
      <c r="H148" s="67">
        <f t="shared" si="128"/>
        <v>0.93102335735469932</v>
      </c>
      <c r="I148" s="67">
        <f t="shared" si="128"/>
        <v>0.88043709937409542</v>
      </c>
      <c r="J148" s="67">
        <f t="shared" si="128"/>
        <v>0.87696829318130121</v>
      </c>
      <c r="K148" s="67">
        <f t="shared" si="128"/>
        <v>0.82002221525081975</v>
      </c>
      <c r="L148" s="67">
        <f t="shared" si="128"/>
        <v>0.84856855908072093</v>
      </c>
      <c r="M148" s="67">
        <f t="shared" si="128"/>
        <v>0.83927964429645519</v>
      </c>
      <c r="N148" s="67">
        <f t="shared" si="128"/>
        <v>0.87575280035669001</v>
      </c>
      <c r="O148" s="67">
        <f t="shared" si="128"/>
        <v>0.85690771036635904</v>
      </c>
      <c r="P148" s="67">
        <f t="shared" si="128"/>
        <v>0.86688298684473242</v>
      </c>
      <c r="Q148" s="67">
        <f t="shared" si="128"/>
        <v>0.8617023118626429</v>
      </c>
      <c r="R148" s="67">
        <f t="shared" si="128"/>
        <v>1.253365496134637</v>
      </c>
      <c r="S148" s="67">
        <f t="shared" si="128"/>
        <v>1.4095125090268437</v>
      </c>
      <c r="T148" s="67">
        <f t="shared" si="128"/>
        <v>1.1531822138491439</v>
      </c>
      <c r="U148" s="67">
        <f t="shared" si="128"/>
        <v>1.4843761803185143</v>
      </c>
      <c r="V148" s="67">
        <f t="shared" si="128"/>
        <v>1.4566544375458517</v>
      </c>
      <c r="W148" s="67">
        <f t="shared" si="128"/>
        <v>1.3166817575849086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9376.5188699825449</v>
      </c>
      <c r="C153" s="82">
        <f t="shared" ref="C153:W153" si="132">IF(C99=0,0,C99/C$23)</f>
        <v>9471.2562652443103</v>
      </c>
      <c r="D153" s="82">
        <f t="shared" si="132"/>
        <v>9438.6858804865151</v>
      </c>
      <c r="E153" s="82">
        <f t="shared" si="132"/>
        <v>10697.028680384527</v>
      </c>
      <c r="F153" s="82">
        <f t="shared" si="132"/>
        <v>11863.297523049037</v>
      </c>
      <c r="G153" s="82">
        <f t="shared" si="132"/>
        <v>11904.762026940341</v>
      </c>
      <c r="H153" s="82">
        <f t="shared" si="132"/>
        <v>11809.062845095874</v>
      </c>
      <c r="I153" s="82">
        <f t="shared" si="132"/>
        <v>11991.095164737915</v>
      </c>
      <c r="J153" s="82">
        <f t="shared" si="132"/>
        <v>12943.118116982929</v>
      </c>
      <c r="K153" s="82">
        <f t="shared" si="132"/>
        <v>12756.32883162767</v>
      </c>
      <c r="L153" s="82">
        <f t="shared" si="132"/>
        <v>13060.315794461651</v>
      </c>
      <c r="M153" s="82">
        <f t="shared" si="132"/>
        <v>12252.366485690094</v>
      </c>
      <c r="N153" s="82">
        <f t="shared" si="132"/>
        <v>12530.071473611308</v>
      </c>
      <c r="O153" s="82">
        <f t="shared" si="132"/>
        <v>12046.131051590346</v>
      </c>
      <c r="P153" s="82">
        <f t="shared" si="132"/>
        <v>12882.572102691774</v>
      </c>
      <c r="Q153" s="82">
        <f t="shared" si="132"/>
        <v>12881.052125970009</v>
      </c>
      <c r="R153" s="82">
        <f t="shared" si="132"/>
        <v>13486.89795419349</v>
      </c>
      <c r="S153" s="82">
        <f t="shared" si="132"/>
        <v>12353.040645359293</v>
      </c>
      <c r="T153" s="82">
        <f t="shared" si="132"/>
        <v>12650.201744675342</v>
      </c>
      <c r="U153" s="82">
        <f t="shared" si="132"/>
        <v>12032.945121874531</v>
      </c>
      <c r="V153" s="82">
        <f t="shared" si="132"/>
        <v>12153.622844641915</v>
      </c>
      <c r="W153" s="82">
        <f t="shared" si="132"/>
        <v>13079.612963573118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7531.2590183385237</v>
      </c>
      <c r="C154" s="64">
        <f t="shared" ref="C154:W154" si="134">IF(C100=0,0,C100/C$23)</f>
        <v>7509.6574348881131</v>
      </c>
      <c r="D154" s="64">
        <f t="shared" si="134"/>
        <v>7349.4144861913355</v>
      </c>
      <c r="E154" s="64">
        <f t="shared" si="134"/>
        <v>8413.2151333580296</v>
      </c>
      <c r="F154" s="64">
        <f t="shared" si="134"/>
        <v>9412.3773511420368</v>
      </c>
      <c r="G154" s="64">
        <f t="shared" si="134"/>
        <v>9311.086953287002</v>
      </c>
      <c r="H154" s="64">
        <f t="shared" si="134"/>
        <v>9054.1759440830101</v>
      </c>
      <c r="I154" s="64">
        <f t="shared" si="134"/>
        <v>9116.9762672426641</v>
      </c>
      <c r="J154" s="64">
        <f t="shared" si="134"/>
        <v>9888.2692458686615</v>
      </c>
      <c r="K154" s="64">
        <f t="shared" si="134"/>
        <v>9546.1260252200937</v>
      </c>
      <c r="L154" s="64">
        <f t="shared" si="134"/>
        <v>9753.0165845574902</v>
      </c>
      <c r="M154" s="64">
        <f t="shared" si="134"/>
        <v>8951.0382384963832</v>
      </c>
      <c r="N154" s="64">
        <f t="shared" si="134"/>
        <v>9237.1808140405283</v>
      </c>
      <c r="O154" s="64">
        <f t="shared" si="134"/>
        <v>8748.9857161405089</v>
      </c>
      <c r="P154" s="64">
        <f t="shared" si="134"/>
        <v>9483.2222671084219</v>
      </c>
      <c r="Q154" s="64">
        <f t="shared" si="134"/>
        <v>9417.9160262926962</v>
      </c>
      <c r="R154" s="64">
        <f t="shared" si="134"/>
        <v>10011.252285704652</v>
      </c>
      <c r="S154" s="64">
        <f t="shared" si="134"/>
        <v>8964.997262460718</v>
      </c>
      <c r="T154" s="64">
        <f t="shared" si="134"/>
        <v>9269.3247431249438</v>
      </c>
      <c r="U154" s="64">
        <f t="shared" si="134"/>
        <v>8579.1992764506631</v>
      </c>
      <c r="V154" s="64">
        <f t="shared" si="134"/>
        <v>8684.7045172284434</v>
      </c>
      <c r="W154" s="64">
        <f t="shared" si="134"/>
        <v>9164.3796623664857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5687.3127675002152</v>
      </c>
      <c r="C155" s="65">
        <f t="shared" ref="C155:W155" si="136">IF(C101=0,0,C101/C$23)</f>
        <v>5645.0230958221509</v>
      </c>
      <c r="D155" s="65">
        <f t="shared" si="136"/>
        <v>5499.6324000786281</v>
      </c>
      <c r="E155" s="65">
        <f t="shared" si="136"/>
        <v>6522.3560069014356</v>
      </c>
      <c r="F155" s="65">
        <f t="shared" si="136"/>
        <v>7543.846140873914</v>
      </c>
      <c r="G155" s="65">
        <f t="shared" si="136"/>
        <v>7399.5214956140735</v>
      </c>
      <c r="H155" s="65">
        <f t="shared" si="136"/>
        <v>7147.2669305315276</v>
      </c>
      <c r="I155" s="65">
        <f t="shared" si="136"/>
        <v>7232.245875154159</v>
      </c>
      <c r="J155" s="65">
        <f t="shared" si="136"/>
        <v>7965.7568183661188</v>
      </c>
      <c r="K155" s="65">
        <f t="shared" si="136"/>
        <v>7586.2751136572515</v>
      </c>
      <c r="L155" s="65">
        <f t="shared" si="136"/>
        <v>7758.3032223627069</v>
      </c>
      <c r="M155" s="65">
        <f t="shared" si="136"/>
        <v>6926.2805303728364</v>
      </c>
      <c r="N155" s="65">
        <f t="shared" si="136"/>
        <v>7248.6783692937524</v>
      </c>
      <c r="O155" s="65">
        <f t="shared" si="136"/>
        <v>6797.5461759429045</v>
      </c>
      <c r="P155" s="65">
        <f t="shared" si="136"/>
        <v>7560.9163229702308</v>
      </c>
      <c r="Q155" s="65">
        <f t="shared" si="136"/>
        <v>7509.6396482128303</v>
      </c>
      <c r="R155" s="65">
        <f t="shared" si="136"/>
        <v>8129.6108154820349</v>
      </c>
      <c r="S155" s="65">
        <f t="shared" si="136"/>
        <v>7127.5749723220697</v>
      </c>
      <c r="T155" s="65">
        <f t="shared" si="136"/>
        <v>7479.7436767864156</v>
      </c>
      <c r="U155" s="65">
        <f t="shared" si="136"/>
        <v>6767.5956175185866</v>
      </c>
      <c r="V155" s="65">
        <f t="shared" si="136"/>
        <v>7000.8122211187465</v>
      </c>
      <c r="W155" s="65">
        <f t="shared" si="136"/>
        <v>7424.1423721395713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11.22412677702291</v>
      </c>
      <c r="C156" s="65">
        <f t="shared" ref="C156:W156" si="138">IF(C102=0,0,C102/C$23)</f>
        <v>11.653298923123238</v>
      </c>
      <c r="D156" s="65">
        <f t="shared" si="138"/>
        <v>12.098826593145144</v>
      </c>
      <c r="E156" s="65">
        <f t="shared" si="138"/>
        <v>13.165568289925314</v>
      </c>
      <c r="F156" s="65">
        <f t="shared" si="138"/>
        <v>12.679011778944625</v>
      </c>
      <c r="G156" s="65">
        <f t="shared" si="138"/>
        <v>13.266212912400633</v>
      </c>
      <c r="H156" s="65">
        <f t="shared" si="138"/>
        <v>14.44878329123476</v>
      </c>
      <c r="I156" s="65">
        <f t="shared" si="138"/>
        <v>14.622060211610128</v>
      </c>
      <c r="J156" s="65">
        <f t="shared" si="138"/>
        <v>15.027284712847425</v>
      </c>
      <c r="K156" s="65">
        <f t="shared" si="138"/>
        <v>15.599184657293156</v>
      </c>
      <c r="L156" s="65">
        <f t="shared" si="138"/>
        <v>18.811505040139568</v>
      </c>
      <c r="M156" s="65">
        <f t="shared" si="138"/>
        <v>17.496285077235594</v>
      </c>
      <c r="N156" s="65">
        <f t="shared" si="138"/>
        <v>16.502635129699144</v>
      </c>
      <c r="O156" s="65">
        <f t="shared" si="138"/>
        <v>16.066798234319226</v>
      </c>
      <c r="P156" s="65">
        <f t="shared" si="138"/>
        <v>16.109398768864207</v>
      </c>
      <c r="Q156" s="65">
        <f t="shared" si="138"/>
        <v>15.643001050063445</v>
      </c>
      <c r="R156" s="65">
        <f t="shared" si="138"/>
        <v>15.369076623964665</v>
      </c>
      <c r="S156" s="65">
        <f t="shared" si="138"/>
        <v>15.155619611200223</v>
      </c>
      <c r="T156" s="65">
        <f t="shared" si="138"/>
        <v>16.262310224805724</v>
      </c>
      <c r="U156" s="65">
        <f t="shared" si="138"/>
        <v>15.554451752725477</v>
      </c>
      <c r="V156" s="65">
        <f t="shared" si="138"/>
        <v>14.948776814824772</v>
      </c>
      <c r="W156" s="65">
        <f t="shared" si="138"/>
        <v>16.628099214677658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978.69551876186779</v>
      </c>
      <c r="C157" s="65">
        <f t="shared" ref="C157:W157" si="140">IF(C103=0,0,C103/C$23)</f>
        <v>974.3129946456271</v>
      </c>
      <c r="D157" s="65">
        <f t="shared" si="140"/>
        <v>952.91186378292809</v>
      </c>
      <c r="E157" s="65">
        <f t="shared" si="140"/>
        <v>959.60981995015698</v>
      </c>
      <c r="F157" s="65">
        <f t="shared" si="140"/>
        <v>935.02214136512328</v>
      </c>
      <c r="G157" s="65">
        <f t="shared" si="140"/>
        <v>948.61260218813788</v>
      </c>
      <c r="H157" s="65">
        <f t="shared" si="140"/>
        <v>945.72080799903233</v>
      </c>
      <c r="I157" s="65">
        <f t="shared" si="140"/>
        <v>918.18331135989604</v>
      </c>
      <c r="J157" s="65">
        <f t="shared" si="140"/>
        <v>929.28161482393784</v>
      </c>
      <c r="K157" s="65">
        <f t="shared" si="140"/>
        <v>929.41109670872322</v>
      </c>
      <c r="L157" s="65">
        <f t="shared" si="140"/>
        <v>935.93544612251446</v>
      </c>
      <c r="M157" s="65">
        <f t="shared" si="140"/>
        <v>959.24097173104292</v>
      </c>
      <c r="N157" s="65">
        <f t="shared" si="140"/>
        <v>943.6539447584795</v>
      </c>
      <c r="O157" s="65">
        <f t="shared" si="140"/>
        <v>919.84806325868021</v>
      </c>
      <c r="P157" s="65">
        <f t="shared" si="140"/>
        <v>914.76465616016844</v>
      </c>
      <c r="Q157" s="65">
        <f t="shared" si="140"/>
        <v>918.24196095216553</v>
      </c>
      <c r="R157" s="65">
        <f t="shared" si="140"/>
        <v>886.51883239987183</v>
      </c>
      <c r="S157" s="65">
        <f t="shared" si="140"/>
        <v>860.98822576640839</v>
      </c>
      <c r="T157" s="65">
        <f t="shared" si="140"/>
        <v>847.52507646728588</v>
      </c>
      <c r="U157" s="65">
        <f t="shared" si="140"/>
        <v>853.41945854865389</v>
      </c>
      <c r="V157" s="65">
        <f t="shared" si="140"/>
        <v>803.92572219418071</v>
      </c>
      <c r="W157" s="65">
        <f t="shared" si="140"/>
        <v>825.20354001133649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854.02660529941681</v>
      </c>
      <c r="C158" s="67">
        <f t="shared" ref="C158:W158" si="142">IF(C104=0,0,C104/C$23)</f>
        <v>878.6680454972128</v>
      </c>
      <c r="D158" s="67">
        <f t="shared" si="142"/>
        <v>884.77139573663396</v>
      </c>
      <c r="E158" s="67">
        <f t="shared" si="142"/>
        <v>918.0837382165123</v>
      </c>
      <c r="F158" s="67">
        <f t="shared" si="142"/>
        <v>920.83005712405293</v>
      </c>
      <c r="G158" s="67">
        <f t="shared" si="142"/>
        <v>949.68664257239027</v>
      </c>
      <c r="H158" s="67">
        <f t="shared" si="142"/>
        <v>946.73942226121687</v>
      </c>
      <c r="I158" s="67">
        <f t="shared" si="142"/>
        <v>951.92502051699876</v>
      </c>
      <c r="J158" s="67">
        <f t="shared" si="142"/>
        <v>978.20352796575423</v>
      </c>
      <c r="K158" s="67">
        <f t="shared" si="142"/>
        <v>1014.8406301968246</v>
      </c>
      <c r="L158" s="67">
        <f t="shared" si="142"/>
        <v>1039.9664110321285</v>
      </c>
      <c r="M158" s="67">
        <f t="shared" si="142"/>
        <v>1048.0204513152676</v>
      </c>
      <c r="N158" s="67">
        <f t="shared" si="142"/>
        <v>1028.3458648585963</v>
      </c>
      <c r="O158" s="67">
        <f t="shared" si="142"/>
        <v>1015.5246787046042</v>
      </c>
      <c r="P158" s="67">
        <f t="shared" si="142"/>
        <v>991.43188920915691</v>
      </c>
      <c r="Q158" s="67">
        <f t="shared" si="142"/>
        <v>974.3914160776385</v>
      </c>
      <c r="R158" s="67">
        <f t="shared" si="142"/>
        <v>979.7535611987804</v>
      </c>
      <c r="S158" s="67">
        <f t="shared" si="142"/>
        <v>961.27844476104065</v>
      </c>
      <c r="T158" s="67">
        <f t="shared" si="142"/>
        <v>925.79367964643723</v>
      </c>
      <c r="U158" s="67">
        <f t="shared" si="142"/>
        <v>942.62974863069655</v>
      </c>
      <c r="V158" s="67">
        <f t="shared" si="142"/>
        <v>865.01779710069275</v>
      </c>
      <c r="W158" s="67">
        <f t="shared" si="142"/>
        <v>898.40565100089873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1845.2598516440219</v>
      </c>
      <c r="C159" s="68">
        <f t="shared" ref="C159:W159" si="144">IF(C105=0,0,C105/C$23)</f>
        <v>1961.5988303561958</v>
      </c>
      <c r="D159" s="68">
        <f t="shared" si="144"/>
        <v>2089.2713942951823</v>
      </c>
      <c r="E159" s="68">
        <f t="shared" si="144"/>
        <v>2283.8135470264974</v>
      </c>
      <c r="F159" s="68">
        <f t="shared" si="144"/>
        <v>2450.9201719070011</v>
      </c>
      <c r="G159" s="68">
        <f t="shared" si="144"/>
        <v>2593.6750736533413</v>
      </c>
      <c r="H159" s="68">
        <f t="shared" si="144"/>
        <v>2754.886901012861</v>
      </c>
      <c r="I159" s="68">
        <f t="shared" si="144"/>
        <v>2874.118897495252</v>
      </c>
      <c r="J159" s="68">
        <f t="shared" si="144"/>
        <v>3054.8488711142709</v>
      </c>
      <c r="K159" s="68">
        <f t="shared" si="144"/>
        <v>3210.2028064075785</v>
      </c>
      <c r="L159" s="68">
        <f t="shared" si="144"/>
        <v>3307.2992099041599</v>
      </c>
      <c r="M159" s="68">
        <f t="shared" si="144"/>
        <v>3301.3282471937118</v>
      </c>
      <c r="N159" s="68">
        <f t="shared" si="144"/>
        <v>3292.8906595707795</v>
      </c>
      <c r="O159" s="68">
        <f t="shared" si="144"/>
        <v>3297.1453354498394</v>
      </c>
      <c r="P159" s="68">
        <f t="shared" si="144"/>
        <v>3399.3498355833535</v>
      </c>
      <c r="Q159" s="68">
        <f t="shared" si="144"/>
        <v>3463.1360996773119</v>
      </c>
      <c r="R159" s="68">
        <f t="shared" si="144"/>
        <v>3475.6456684888362</v>
      </c>
      <c r="S159" s="68">
        <f t="shared" si="144"/>
        <v>3388.0433828985729</v>
      </c>
      <c r="T159" s="68">
        <f t="shared" si="144"/>
        <v>3380.877001550396</v>
      </c>
      <c r="U159" s="68">
        <f t="shared" si="144"/>
        <v>3453.7458454238667</v>
      </c>
      <c r="V159" s="68">
        <f t="shared" si="144"/>
        <v>3468.9183274134698</v>
      </c>
      <c r="W159" s="68">
        <f t="shared" si="144"/>
        <v>3915.233301206631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4737.6266759314794</v>
      </c>
      <c r="C161" s="85">
        <f t="shared" ref="C161:W161" si="146">IF(C107=0,0,C107/C$23)</f>
        <v>4525.598087206924</v>
      </c>
      <c r="D161" s="85">
        <f t="shared" si="146"/>
        <v>4611.2853721593265</v>
      </c>
      <c r="E161" s="85">
        <f t="shared" si="146"/>
        <v>5244.2513363156531</v>
      </c>
      <c r="F161" s="85">
        <f t="shared" si="146"/>
        <v>5942.4760851580222</v>
      </c>
      <c r="G161" s="85">
        <f t="shared" si="146"/>
        <v>6004.4123637061284</v>
      </c>
      <c r="H161" s="85">
        <f t="shared" si="146"/>
        <v>5914.9648248645717</v>
      </c>
      <c r="I161" s="85">
        <f t="shared" si="146"/>
        <v>5999.7556038061548</v>
      </c>
      <c r="J161" s="85">
        <f t="shared" si="146"/>
        <v>6662.9486386830849</v>
      </c>
      <c r="K161" s="85">
        <f t="shared" si="146"/>
        <v>6553.6183509925731</v>
      </c>
      <c r="L161" s="85">
        <f t="shared" si="146"/>
        <v>6778.9092804486618</v>
      </c>
      <c r="M161" s="85">
        <f t="shared" si="146"/>
        <v>6137.0606041376077</v>
      </c>
      <c r="N161" s="85">
        <f t="shared" si="146"/>
        <v>6468.0647783347586</v>
      </c>
      <c r="O161" s="85">
        <f t="shared" si="146"/>
        <v>6164.6425827216099</v>
      </c>
      <c r="P161" s="85">
        <f t="shared" si="146"/>
        <v>6743.5202616708693</v>
      </c>
      <c r="Q161" s="85">
        <f t="shared" si="146"/>
        <v>6724.970119890756</v>
      </c>
      <c r="R161" s="85">
        <f t="shared" si="146"/>
        <v>7254.0160897952774</v>
      </c>
      <c r="S161" s="85">
        <f t="shared" si="146"/>
        <v>6556.6638224564049</v>
      </c>
      <c r="T161" s="85">
        <f t="shared" si="146"/>
        <v>6891.081521776392</v>
      </c>
      <c r="U161" s="85">
        <f t="shared" si="146"/>
        <v>6444.1628918840606</v>
      </c>
      <c r="V161" s="85">
        <f t="shared" si="146"/>
        <v>6579.8952391099601</v>
      </c>
      <c r="W161" s="85">
        <f t="shared" si="146"/>
        <v>7045.411398434876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3508.5747609081236</v>
      </c>
      <c r="C162" s="65">
        <f t="shared" ref="C162:W162" si="148">IF(C108=0,0,C108/C$23)</f>
        <v>3289.2837604220872</v>
      </c>
      <c r="D162" s="65">
        <f t="shared" si="148"/>
        <v>3381.2950697185647</v>
      </c>
      <c r="E162" s="65">
        <f t="shared" si="148"/>
        <v>3971.6415249053548</v>
      </c>
      <c r="F162" s="65">
        <f t="shared" si="148"/>
        <v>4678.5900987567966</v>
      </c>
      <c r="G162" s="65">
        <f t="shared" si="148"/>
        <v>4699.0962144934292</v>
      </c>
      <c r="H162" s="65">
        <f t="shared" si="148"/>
        <v>4599.6617850845396</v>
      </c>
      <c r="I162" s="65">
        <f t="shared" si="148"/>
        <v>4687.8261720811433</v>
      </c>
      <c r="J162" s="65">
        <f t="shared" si="148"/>
        <v>5316.0303847537425</v>
      </c>
      <c r="K162" s="65">
        <f t="shared" si="148"/>
        <v>5167.6840598488316</v>
      </c>
      <c r="L162" s="65">
        <f t="shared" si="148"/>
        <v>5353.1827190616286</v>
      </c>
      <c r="M162" s="65">
        <f t="shared" si="148"/>
        <v>4686.350371819929</v>
      </c>
      <c r="N162" s="65">
        <f t="shared" si="148"/>
        <v>5036.3289684870615</v>
      </c>
      <c r="O162" s="65">
        <f t="shared" si="148"/>
        <v>4749.2591650437698</v>
      </c>
      <c r="P162" s="65">
        <f t="shared" si="148"/>
        <v>5341.1715040837407</v>
      </c>
      <c r="Q162" s="65">
        <f t="shared" si="148"/>
        <v>5321.8948911038633</v>
      </c>
      <c r="R162" s="65">
        <f t="shared" si="148"/>
        <v>5868.6831087257988</v>
      </c>
      <c r="S162" s="65">
        <f t="shared" si="148"/>
        <v>5188.5321323309536</v>
      </c>
      <c r="T162" s="65">
        <f t="shared" si="148"/>
        <v>5529.1198762869881</v>
      </c>
      <c r="U162" s="65">
        <f t="shared" si="148"/>
        <v>5057.6610863816941</v>
      </c>
      <c r="V162" s="65">
        <f t="shared" si="148"/>
        <v>5276.5788104800049</v>
      </c>
      <c r="W162" s="65">
        <f t="shared" si="148"/>
        <v>5664.0619957844992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22.933355607343888</v>
      </c>
      <c r="C163" s="65">
        <f t="shared" ref="C163:W163" si="150">IF(C109=0,0,C109/C$23)</f>
        <v>25.102376269096972</v>
      </c>
      <c r="D163" s="65">
        <f t="shared" si="150"/>
        <v>27.573961121032742</v>
      </c>
      <c r="E163" s="65">
        <f t="shared" si="150"/>
        <v>31.590045799864885</v>
      </c>
      <c r="F163" s="65">
        <f t="shared" si="150"/>
        <v>31.938125189259608</v>
      </c>
      <c r="G163" s="65">
        <f t="shared" si="150"/>
        <v>35.442624750805336</v>
      </c>
      <c r="H163" s="65">
        <f t="shared" si="150"/>
        <v>41.016785627255196</v>
      </c>
      <c r="I163" s="65">
        <f t="shared" si="150"/>
        <v>43.717411728515863</v>
      </c>
      <c r="J163" s="65">
        <f t="shared" si="150"/>
        <v>47.274647121119408</v>
      </c>
      <c r="K163" s="65">
        <f t="shared" si="150"/>
        <v>49.814862777050394</v>
      </c>
      <c r="L163" s="65">
        <f t="shared" si="150"/>
        <v>61.454684543054412</v>
      </c>
      <c r="M163" s="65">
        <f t="shared" si="150"/>
        <v>59.208694922037814</v>
      </c>
      <c r="N163" s="65">
        <f t="shared" si="150"/>
        <v>57.747838238313442</v>
      </c>
      <c r="O163" s="65">
        <f t="shared" si="150"/>
        <v>58.199976011420823</v>
      </c>
      <c r="P163" s="65">
        <f t="shared" si="150"/>
        <v>60.61832482134993</v>
      </c>
      <c r="Q163" s="65">
        <f t="shared" si="150"/>
        <v>61.515536937606356</v>
      </c>
      <c r="R163" s="65">
        <f t="shared" si="150"/>
        <v>62.847461813369584</v>
      </c>
      <c r="S163" s="65">
        <f t="shared" si="150"/>
        <v>64.173989009685187</v>
      </c>
      <c r="T163" s="65">
        <f t="shared" si="150"/>
        <v>71.076269956094137</v>
      </c>
      <c r="U163" s="65">
        <f t="shared" si="150"/>
        <v>69.749088865309432</v>
      </c>
      <c r="V163" s="65">
        <f t="shared" si="150"/>
        <v>68.594761175276332</v>
      </c>
      <c r="W163" s="65">
        <f t="shared" si="150"/>
        <v>78.35125957398769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603.85561627427626</v>
      </c>
      <c r="C164" s="65">
        <f t="shared" ref="C164:W164" si="152">IF(C110=0,0,C110/C$23)</f>
        <v>602.31045434908242</v>
      </c>
      <c r="D164" s="65">
        <f t="shared" si="152"/>
        <v>594.8372048471814</v>
      </c>
      <c r="E164" s="65">
        <f t="shared" si="152"/>
        <v>608.20504763516635</v>
      </c>
      <c r="F164" s="65">
        <f t="shared" si="152"/>
        <v>599.29962407723394</v>
      </c>
      <c r="G164" s="65">
        <f t="shared" si="152"/>
        <v>613.28873080467952</v>
      </c>
      <c r="H164" s="65">
        <f t="shared" si="152"/>
        <v>616.27908848444235</v>
      </c>
      <c r="I164" s="65">
        <f t="shared" si="152"/>
        <v>603.45435655362314</v>
      </c>
      <c r="J164" s="65">
        <f t="shared" si="152"/>
        <v>613.6057284505506</v>
      </c>
      <c r="K164" s="65">
        <f t="shared" si="152"/>
        <v>619.28464760922213</v>
      </c>
      <c r="L164" s="65">
        <f t="shared" si="152"/>
        <v>628.3655803089548</v>
      </c>
      <c r="M164" s="65">
        <f t="shared" si="152"/>
        <v>648.63831589912991</v>
      </c>
      <c r="N164" s="65">
        <f t="shared" si="152"/>
        <v>644.576365333073</v>
      </c>
      <c r="O164" s="65">
        <f t="shared" si="152"/>
        <v>634.32648245075586</v>
      </c>
      <c r="P164" s="65">
        <f t="shared" si="152"/>
        <v>633.41372285086447</v>
      </c>
      <c r="Q164" s="65">
        <f t="shared" si="152"/>
        <v>642.34182997846256</v>
      </c>
      <c r="R164" s="65">
        <f t="shared" si="152"/>
        <v>628.87933167743154</v>
      </c>
      <c r="S164" s="65">
        <f t="shared" si="152"/>
        <v>621.37084515504648</v>
      </c>
      <c r="T164" s="65">
        <f t="shared" si="152"/>
        <v>621.89791627260672</v>
      </c>
      <c r="U164" s="65">
        <f t="shared" si="152"/>
        <v>640.00545580986204</v>
      </c>
      <c r="V164" s="65">
        <f t="shared" si="152"/>
        <v>610.89664039277579</v>
      </c>
      <c r="W164" s="65">
        <f t="shared" si="152"/>
        <v>640.06889837246092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602.26294314173617</v>
      </c>
      <c r="C165" s="68">
        <f t="shared" ref="C165:W165" si="154">IF(C111=0,0,C111/C$23)</f>
        <v>608.90149616665701</v>
      </c>
      <c r="D165" s="68">
        <f t="shared" si="154"/>
        <v>607.57913647254804</v>
      </c>
      <c r="E165" s="68">
        <f t="shared" si="154"/>
        <v>632.81471797526694</v>
      </c>
      <c r="F165" s="68">
        <f t="shared" si="154"/>
        <v>632.64823713473277</v>
      </c>
      <c r="G165" s="68">
        <f t="shared" si="154"/>
        <v>656.58479365721359</v>
      </c>
      <c r="H165" s="68">
        <f t="shared" si="154"/>
        <v>658.00716566833364</v>
      </c>
      <c r="I165" s="68">
        <f t="shared" si="154"/>
        <v>664.75766344287172</v>
      </c>
      <c r="J165" s="68">
        <f t="shared" si="154"/>
        <v>686.0378783576723</v>
      </c>
      <c r="K165" s="68">
        <f t="shared" si="154"/>
        <v>716.83478075747018</v>
      </c>
      <c r="L165" s="68">
        <f t="shared" si="154"/>
        <v>735.90629653502367</v>
      </c>
      <c r="M165" s="68">
        <f t="shared" si="154"/>
        <v>742.86322149651028</v>
      </c>
      <c r="N165" s="68">
        <f t="shared" si="154"/>
        <v>729.411606276312</v>
      </c>
      <c r="O165" s="68">
        <f t="shared" si="154"/>
        <v>722.85695921566401</v>
      </c>
      <c r="P165" s="68">
        <f t="shared" si="154"/>
        <v>708.31670991491512</v>
      </c>
      <c r="Q165" s="68">
        <f t="shared" si="154"/>
        <v>699.21786187082364</v>
      </c>
      <c r="R165" s="68">
        <f t="shared" si="154"/>
        <v>693.60618757867724</v>
      </c>
      <c r="S165" s="68">
        <f t="shared" si="154"/>
        <v>682.58685596072007</v>
      </c>
      <c r="T165" s="68">
        <f t="shared" si="154"/>
        <v>668.98745926070296</v>
      </c>
      <c r="U165" s="68">
        <f t="shared" si="154"/>
        <v>676.74726082719417</v>
      </c>
      <c r="V165" s="68">
        <f t="shared" si="154"/>
        <v>623.82502706190246</v>
      </c>
      <c r="W165" s="68">
        <f t="shared" si="154"/>
        <v>662.92924470392745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594.2694030381457</v>
      </c>
      <c r="C167" s="82">
        <f t="shared" ref="C167:W167" si="156">IF(C113=0,0,C113/C$23)</f>
        <v>770.37870837384162</v>
      </c>
      <c r="D167" s="82">
        <f t="shared" si="156"/>
        <v>610.88357240516154</v>
      </c>
      <c r="E167" s="82">
        <f t="shared" si="156"/>
        <v>804.86535872066838</v>
      </c>
      <c r="F167" s="82">
        <f t="shared" si="156"/>
        <v>770.27026986580381</v>
      </c>
      <c r="G167" s="82">
        <f t="shared" si="156"/>
        <v>727.19353454792792</v>
      </c>
      <c r="H167" s="82">
        <f t="shared" si="156"/>
        <v>621.97104251821156</v>
      </c>
      <c r="I167" s="82">
        <f t="shared" si="156"/>
        <v>602.64553477291463</v>
      </c>
      <c r="J167" s="82">
        <f t="shared" si="156"/>
        <v>532.79825599109301</v>
      </c>
      <c r="K167" s="82">
        <f t="shared" si="156"/>
        <v>474.62452012004422</v>
      </c>
      <c r="L167" s="82">
        <f t="shared" si="156"/>
        <v>450.86426713156669</v>
      </c>
      <c r="M167" s="82">
        <f t="shared" si="156"/>
        <v>554.29460161147233</v>
      </c>
      <c r="N167" s="82">
        <f t="shared" si="156"/>
        <v>572.19786828604776</v>
      </c>
      <c r="O167" s="82">
        <f t="shared" si="156"/>
        <v>592.05357290624397</v>
      </c>
      <c r="P167" s="82">
        <f t="shared" si="156"/>
        <v>632.26310428120235</v>
      </c>
      <c r="Q167" s="82">
        <f t="shared" si="156"/>
        <v>657.8005845900127</v>
      </c>
      <c r="R167" s="82">
        <f t="shared" si="156"/>
        <v>646.39708165873094</v>
      </c>
      <c r="S167" s="82">
        <f t="shared" si="156"/>
        <v>600.16983776783752</v>
      </c>
      <c r="T167" s="82">
        <f t="shared" si="156"/>
        <v>599.8724927283024</v>
      </c>
      <c r="U167" s="82">
        <f t="shared" si="156"/>
        <v>539.43367267431938</v>
      </c>
      <c r="V167" s="82">
        <f t="shared" si="156"/>
        <v>549.9873574487566</v>
      </c>
      <c r="W167" s="82">
        <f t="shared" si="156"/>
        <v>571.21804067346045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594.2694030381457</v>
      </c>
      <c r="C168" s="64">
        <f t="shared" ref="C168:W168" si="158">IF(C114=0,0,C114/C$23)</f>
        <v>770.37870837384162</v>
      </c>
      <c r="D168" s="64">
        <f t="shared" si="158"/>
        <v>610.88357240516154</v>
      </c>
      <c r="E168" s="64">
        <f t="shared" si="158"/>
        <v>804.86535872066838</v>
      </c>
      <c r="F168" s="64">
        <f t="shared" si="158"/>
        <v>770.27026986580381</v>
      </c>
      <c r="G168" s="64">
        <f t="shared" si="158"/>
        <v>727.19353454792792</v>
      </c>
      <c r="H168" s="64">
        <f t="shared" si="158"/>
        <v>621.97104251821156</v>
      </c>
      <c r="I168" s="64">
        <f t="shared" si="158"/>
        <v>602.64553477291463</v>
      </c>
      <c r="J168" s="64">
        <f t="shared" si="158"/>
        <v>532.79825599109301</v>
      </c>
      <c r="K168" s="64">
        <f t="shared" si="158"/>
        <v>474.62452012004422</v>
      </c>
      <c r="L168" s="64">
        <f t="shared" si="158"/>
        <v>450.86426713156669</v>
      </c>
      <c r="M168" s="64">
        <f t="shared" si="158"/>
        <v>554.29460161147233</v>
      </c>
      <c r="N168" s="64">
        <f t="shared" si="158"/>
        <v>572.19786828604776</v>
      </c>
      <c r="O168" s="64">
        <f t="shared" si="158"/>
        <v>592.05357290624397</v>
      </c>
      <c r="P168" s="64">
        <f t="shared" si="158"/>
        <v>632.26310428120235</v>
      </c>
      <c r="Q168" s="64">
        <f t="shared" si="158"/>
        <v>657.8005845900127</v>
      </c>
      <c r="R168" s="64">
        <f t="shared" si="158"/>
        <v>646.39708165873094</v>
      </c>
      <c r="S168" s="64">
        <f t="shared" si="158"/>
        <v>600.16983776783752</v>
      </c>
      <c r="T168" s="64">
        <f t="shared" si="158"/>
        <v>599.8724927283024</v>
      </c>
      <c r="U168" s="64">
        <f t="shared" si="158"/>
        <v>539.43367267431938</v>
      </c>
      <c r="V168" s="64">
        <f t="shared" si="158"/>
        <v>549.9873574487566</v>
      </c>
      <c r="W168" s="64">
        <f t="shared" si="158"/>
        <v>571.21804067346045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519.45614148415473</v>
      </c>
      <c r="C169" s="65">
        <f t="shared" ref="C169:W169" si="160">IF(C115=0,0,C115/C$23)</f>
        <v>675.74586656331189</v>
      </c>
      <c r="D169" s="65">
        <f t="shared" si="160"/>
        <v>515.46180959254548</v>
      </c>
      <c r="E169" s="65">
        <f t="shared" si="160"/>
        <v>721.94021736462594</v>
      </c>
      <c r="F169" s="65">
        <f t="shared" si="160"/>
        <v>687.06090194634442</v>
      </c>
      <c r="G169" s="65">
        <f t="shared" si="160"/>
        <v>648.38485878332745</v>
      </c>
      <c r="H169" s="65">
        <f t="shared" si="160"/>
        <v>547.15532795981767</v>
      </c>
      <c r="I169" s="65">
        <f t="shared" si="160"/>
        <v>530.79586937168972</v>
      </c>
      <c r="J169" s="65">
        <f t="shared" si="160"/>
        <v>460.14033864723814</v>
      </c>
      <c r="K169" s="65">
        <f t="shared" si="160"/>
        <v>403.83946681425613</v>
      </c>
      <c r="L169" s="65">
        <f t="shared" si="160"/>
        <v>378.59638219186184</v>
      </c>
      <c r="M169" s="65">
        <f t="shared" si="160"/>
        <v>479.83121634512759</v>
      </c>
      <c r="N169" s="65">
        <f t="shared" si="160"/>
        <v>497.59456514381623</v>
      </c>
      <c r="O169" s="65">
        <f t="shared" si="160"/>
        <v>514.48637463920466</v>
      </c>
      <c r="P169" s="65">
        <f t="shared" si="160"/>
        <v>546.93173148592723</v>
      </c>
      <c r="Q169" s="65">
        <f t="shared" si="160"/>
        <v>572.93959606395765</v>
      </c>
      <c r="R169" s="65">
        <f t="shared" si="160"/>
        <v>550.45633095893629</v>
      </c>
      <c r="S169" s="65">
        <f t="shared" si="160"/>
        <v>497.2178625683157</v>
      </c>
      <c r="T169" s="65">
        <f t="shared" si="160"/>
        <v>504.61518008644902</v>
      </c>
      <c r="U169" s="65">
        <f t="shared" si="160"/>
        <v>432.92765995765143</v>
      </c>
      <c r="V169" s="65">
        <f t="shared" si="160"/>
        <v>443.96685272454425</v>
      </c>
      <c r="W169" s="65">
        <f t="shared" si="160"/>
        <v>473.7888883803966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68.071007422990462</v>
      </c>
      <c r="C171" s="65">
        <f t="shared" ref="C171:W171" si="164">IF(C117=0,0,C117/C$23)</f>
        <v>72.954240132998805</v>
      </c>
      <c r="D171" s="65">
        <f t="shared" si="164"/>
        <v>64.970845766663601</v>
      </c>
      <c r="E171" s="65">
        <f t="shared" si="164"/>
        <v>52.104925334423321</v>
      </c>
      <c r="F171" s="65">
        <f t="shared" si="164"/>
        <v>45.57009502095957</v>
      </c>
      <c r="G171" s="65">
        <f t="shared" si="164"/>
        <v>42.82640109156624</v>
      </c>
      <c r="H171" s="65">
        <f t="shared" si="164"/>
        <v>40.408126586601703</v>
      </c>
      <c r="I171" s="65">
        <f t="shared" si="164"/>
        <v>38.735337542866617</v>
      </c>
      <c r="J171" s="65">
        <f t="shared" si="164"/>
        <v>39.679923999387604</v>
      </c>
      <c r="K171" s="65">
        <f t="shared" si="164"/>
        <v>39.651279744844452</v>
      </c>
      <c r="L171" s="65">
        <f t="shared" si="164"/>
        <v>39.461967457538563</v>
      </c>
      <c r="M171" s="65">
        <f t="shared" si="164"/>
        <v>41.501037204915434</v>
      </c>
      <c r="N171" s="65">
        <f t="shared" si="164"/>
        <v>40.625430708388436</v>
      </c>
      <c r="O171" s="65">
        <f t="shared" si="164"/>
        <v>44.95123385480688</v>
      </c>
      <c r="P171" s="65">
        <f t="shared" si="164"/>
        <v>52.629520432258794</v>
      </c>
      <c r="Q171" s="65">
        <f t="shared" si="164"/>
        <v>52.244304196448269</v>
      </c>
      <c r="R171" s="65">
        <f t="shared" si="164"/>
        <v>49.059831748820606</v>
      </c>
      <c r="S171" s="65">
        <f t="shared" si="164"/>
        <v>50.52600298275371</v>
      </c>
      <c r="T171" s="65">
        <f t="shared" si="164"/>
        <v>52.832935526657977</v>
      </c>
      <c r="U171" s="65">
        <f t="shared" si="164"/>
        <v>50.967096396146019</v>
      </c>
      <c r="V171" s="65">
        <f t="shared" si="164"/>
        <v>51.169311680173593</v>
      </c>
      <c r="W171" s="65">
        <f t="shared" si="164"/>
        <v>48.005155745799705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6.742254131000454</v>
      </c>
      <c r="C172" s="67">
        <f t="shared" ref="C172:W172" si="166">IF(C118=0,0,C118/C$23)</f>
        <v>21.678601677530793</v>
      </c>
      <c r="D172" s="67">
        <f t="shared" si="166"/>
        <v>30.450917045952494</v>
      </c>
      <c r="E172" s="67">
        <f t="shared" si="166"/>
        <v>30.820216021619185</v>
      </c>
      <c r="F172" s="67">
        <f t="shared" si="166"/>
        <v>37.639272898499819</v>
      </c>
      <c r="G172" s="67">
        <f t="shared" si="166"/>
        <v>35.982274673034325</v>
      </c>
      <c r="H172" s="67">
        <f t="shared" si="166"/>
        <v>34.407587971792147</v>
      </c>
      <c r="I172" s="67">
        <f t="shared" si="166"/>
        <v>33.114327858358216</v>
      </c>
      <c r="J172" s="67">
        <f t="shared" si="166"/>
        <v>32.977993344467379</v>
      </c>
      <c r="K172" s="67">
        <f t="shared" si="166"/>
        <v>31.133773560943688</v>
      </c>
      <c r="L172" s="67">
        <f t="shared" si="166"/>
        <v>32.805917482166386</v>
      </c>
      <c r="M172" s="67">
        <f t="shared" si="166"/>
        <v>32.962348061429338</v>
      </c>
      <c r="N172" s="67">
        <f t="shared" si="166"/>
        <v>33.977872433843075</v>
      </c>
      <c r="O172" s="67">
        <f t="shared" si="166"/>
        <v>32.615964412232358</v>
      </c>
      <c r="P172" s="67">
        <f t="shared" si="166"/>
        <v>32.7018523630163</v>
      </c>
      <c r="Q172" s="67">
        <f t="shared" si="166"/>
        <v>32.616684329606883</v>
      </c>
      <c r="R172" s="67">
        <f t="shared" si="166"/>
        <v>46.880918950974007</v>
      </c>
      <c r="S172" s="67">
        <f t="shared" si="166"/>
        <v>52.425972216768109</v>
      </c>
      <c r="T172" s="67">
        <f t="shared" si="166"/>
        <v>42.424377115195441</v>
      </c>
      <c r="U172" s="67">
        <f t="shared" si="166"/>
        <v>55.538916320521949</v>
      </c>
      <c r="V172" s="67">
        <f t="shared" si="166"/>
        <v>54.851193044038737</v>
      </c>
      <c r="W172" s="67">
        <f t="shared" si="166"/>
        <v>49.423996547264068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12898.905851480862</v>
      </c>
      <c r="C3" s="125">
        <f t="shared" si="0"/>
        <v>13343.51004105846</v>
      </c>
      <c r="D3" s="125">
        <f t="shared" si="0"/>
        <v>13820.440223099002</v>
      </c>
      <c r="E3" s="125">
        <f t="shared" si="0"/>
        <v>14346.233302105395</v>
      </c>
      <c r="F3" s="125">
        <f t="shared" si="0"/>
        <v>14723.184232768557</v>
      </c>
      <c r="G3" s="125">
        <f t="shared" si="0"/>
        <v>15456.794435126714</v>
      </c>
      <c r="H3" s="125">
        <f t="shared" si="0"/>
        <v>16361.159342903691</v>
      </c>
      <c r="I3" s="125">
        <f t="shared" si="0"/>
        <v>16906.668653433822</v>
      </c>
      <c r="J3" s="125">
        <f t="shared" si="0"/>
        <v>16586.946820310011</v>
      </c>
      <c r="K3" s="125">
        <f t="shared" si="0"/>
        <v>16397.520237962599</v>
      </c>
      <c r="L3" s="125">
        <f t="shared" si="0"/>
        <v>16445.233714106551</v>
      </c>
      <c r="M3" s="125">
        <f t="shared" si="0"/>
        <v>16877.155969264106</v>
      </c>
      <c r="N3" s="125">
        <f t="shared" si="0"/>
        <v>17145.476844967627</v>
      </c>
      <c r="O3" s="125">
        <f t="shared" si="0"/>
        <v>17225.773692538958</v>
      </c>
      <c r="P3" s="125">
        <f t="shared" si="0"/>
        <v>17418.193143585755</v>
      </c>
      <c r="Q3" s="125">
        <f t="shared" si="0"/>
        <v>17806.585081906942</v>
      </c>
      <c r="R3" s="125">
        <f t="shared" si="0"/>
        <v>17982.194583095032</v>
      </c>
      <c r="S3" s="125">
        <f t="shared" si="0"/>
        <v>18286.833448233239</v>
      </c>
      <c r="T3" s="125">
        <f t="shared" si="0"/>
        <v>18523.242572569932</v>
      </c>
      <c r="U3" s="125">
        <f t="shared" si="0"/>
        <v>18712.403646947052</v>
      </c>
      <c r="V3" s="125">
        <f t="shared" si="0"/>
        <v>18888.884444444448</v>
      </c>
      <c r="W3" s="125">
        <f t="shared" si="0"/>
        <v>19049.917038224783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12898.905851480862</v>
      </c>
      <c r="C4" s="140">
        <f t="shared" si="1"/>
        <v>13343.51004105846</v>
      </c>
      <c r="D4" s="140">
        <f t="shared" si="1"/>
        <v>13820.440223099002</v>
      </c>
      <c r="E4" s="140">
        <f t="shared" si="1"/>
        <v>14346.233302105395</v>
      </c>
      <c r="F4" s="140">
        <f t="shared" si="1"/>
        <v>14723.184232768557</v>
      </c>
      <c r="G4" s="140">
        <f t="shared" si="1"/>
        <v>15456.794435126714</v>
      </c>
      <c r="H4" s="140">
        <f t="shared" si="1"/>
        <v>16361.159342903691</v>
      </c>
      <c r="I4" s="140">
        <f t="shared" si="1"/>
        <v>16906.668653433822</v>
      </c>
      <c r="J4" s="140">
        <f t="shared" si="1"/>
        <v>16586.946820310011</v>
      </c>
      <c r="K4" s="140">
        <f t="shared" si="1"/>
        <v>16397.520237962599</v>
      </c>
      <c r="L4" s="140">
        <f t="shared" si="1"/>
        <v>16445.233714106551</v>
      </c>
      <c r="M4" s="140">
        <f t="shared" si="1"/>
        <v>16877.155969264106</v>
      </c>
      <c r="N4" s="140">
        <f t="shared" si="1"/>
        <v>17145.476844967627</v>
      </c>
      <c r="O4" s="140">
        <f t="shared" si="1"/>
        <v>17225.773692538958</v>
      </c>
      <c r="P4" s="140">
        <f t="shared" si="1"/>
        <v>17418.193143585755</v>
      </c>
      <c r="Q4" s="140">
        <f t="shared" si="1"/>
        <v>17806.585081906942</v>
      </c>
      <c r="R4" s="140">
        <f t="shared" ref="R4:W4" si="2">SUM(R5:R14)</f>
        <v>17982.194583095032</v>
      </c>
      <c r="S4" s="140">
        <f t="shared" si="2"/>
        <v>18286.833448233239</v>
      </c>
      <c r="T4" s="140">
        <f t="shared" si="2"/>
        <v>18523.242572569932</v>
      </c>
      <c r="U4" s="140">
        <f t="shared" si="2"/>
        <v>18712.403646947052</v>
      </c>
      <c r="V4" s="140">
        <f t="shared" si="2"/>
        <v>18888.884444444448</v>
      </c>
      <c r="W4" s="140">
        <f t="shared" si="2"/>
        <v>19049.917038224783</v>
      </c>
      <c r="DA4" s="170" t="s">
        <v>245</v>
      </c>
    </row>
    <row r="5" spans="1:105" ht="12" customHeight="1" x14ac:dyDescent="0.25">
      <c r="A5" s="132" t="s">
        <v>29</v>
      </c>
      <c r="B5" s="141">
        <v>377.6714394155133</v>
      </c>
      <c r="C5" s="141">
        <v>383.32100302914972</v>
      </c>
      <c r="D5" s="141">
        <v>384.12311561382279</v>
      </c>
      <c r="E5" s="141">
        <v>372.04099006231456</v>
      </c>
      <c r="F5" s="141">
        <v>339.65457713234883</v>
      </c>
      <c r="G5" s="141">
        <v>328.75788975823872</v>
      </c>
      <c r="H5" s="141">
        <v>277.51989493559273</v>
      </c>
      <c r="I5" s="141">
        <v>243.18063968752386</v>
      </c>
      <c r="J5" s="141">
        <v>184.28176524608051</v>
      </c>
      <c r="K5" s="141">
        <v>148.85603285702982</v>
      </c>
      <c r="L5" s="141">
        <v>123.33542363702526</v>
      </c>
      <c r="M5" s="141">
        <v>124.12532378976333</v>
      </c>
      <c r="N5" s="141">
        <v>136.10689311972814</v>
      </c>
      <c r="O5" s="141">
        <v>145.50435125147851</v>
      </c>
      <c r="P5" s="141">
        <v>134.75306400313045</v>
      </c>
      <c r="Q5" s="141">
        <v>115.20957451789036</v>
      </c>
      <c r="R5" s="141">
        <v>96.680568975938641</v>
      </c>
      <c r="S5" s="141">
        <v>75.402480229718236</v>
      </c>
      <c r="T5" s="141">
        <v>65.733416131831618</v>
      </c>
      <c r="U5" s="141">
        <v>60.336800581402791</v>
      </c>
      <c r="V5" s="141">
        <v>60.997399765582649</v>
      </c>
      <c r="W5" s="141">
        <v>59.511591463338689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2796.6574905495595</v>
      </c>
      <c r="C7" s="141">
        <v>2685.0064633830384</v>
      </c>
      <c r="D7" s="141">
        <v>2279.3568546702204</v>
      </c>
      <c r="E7" s="141">
        <v>1973.0710697064626</v>
      </c>
      <c r="F7" s="141">
        <v>1718.0534578928127</v>
      </c>
      <c r="G7" s="141">
        <v>1691.568208985625</v>
      </c>
      <c r="H7" s="141">
        <v>1596.0325925406</v>
      </c>
      <c r="I7" s="141">
        <v>1571.6862242042923</v>
      </c>
      <c r="J7" s="141">
        <v>1461.6733336361228</v>
      </c>
      <c r="K7" s="141">
        <v>1498.4135286318558</v>
      </c>
      <c r="L7" s="141">
        <v>1604.5157633563549</v>
      </c>
      <c r="M7" s="141">
        <v>1976.8317871395486</v>
      </c>
      <c r="N7" s="141">
        <v>2070.3163428854164</v>
      </c>
      <c r="O7" s="141">
        <v>2020.2220046819868</v>
      </c>
      <c r="P7" s="141">
        <v>1691.1609691711897</v>
      </c>
      <c r="Q7" s="141">
        <v>1527.5787018058418</v>
      </c>
      <c r="R7" s="141">
        <v>1314.0232831420115</v>
      </c>
      <c r="S7" s="141">
        <v>1286.0111974184622</v>
      </c>
      <c r="T7" s="141">
        <v>1185.7406904989882</v>
      </c>
      <c r="U7" s="141">
        <v>1079.8782617432048</v>
      </c>
      <c r="V7" s="141">
        <v>980.11611736924874</v>
      </c>
      <c r="W7" s="141">
        <v>976.36196527006928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701.76888388121449</v>
      </c>
      <c r="C9" s="141">
        <v>1034.5334939933459</v>
      </c>
      <c r="D9" s="141">
        <v>1834.6784958378053</v>
      </c>
      <c r="E9" s="141">
        <v>2608.5302783998113</v>
      </c>
      <c r="F9" s="141">
        <v>2676.4835134530695</v>
      </c>
      <c r="G9" s="141">
        <v>2539.2749492181356</v>
      </c>
      <c r="H9" s="141">
        <v>2337.8704320447819</v>
      </c>
      <c r="I9" s="141">
        <v>2043.4614200551673</v>
      </c>
      <c r="J9" s="141">
        <v>1655.5819620507827</v>
      </c>
      <c r="K9" s="141">
        <v>1405.2576443197677</v>
      </c>
      <c r="L9" s="141">
        <v>1381.0847580624859</v>
      </c>
      <c r="M9" s="141">
        <v>1581.4155430970322</v>
      </c>
      <c r="N9" s="141">
        <v>1934.204855947406</v>
      </c>
      <c r="O9" s="141">
        <v>2494.6424643192549</v>
      </c>
      <c r="P9" s="141">
        <v>3143.6600834581259</v>
      </c>
      <c r="Q9" s="141">
        <v>3580.60084909327</v>
      </c>
      <c r="R9" s="141">
        <v>3838.1663862193718</v>
      </c>
      <c r="S9" s="141">
        <v>3888.8451092746168</v>
      </c>
      <c r="T9" s="141">
        <v>3922.5540346492849</v>
      </c>
      <c r="U9" s="141">
        <v>3973.5930957186965</v>
      </c>
      <c r="V9" s="141">
        <v>4016.4745545375854</v>
      </c>
      <c r="W9" s="141">
        <v>4020.3950036857823</v>
      </c>
      <c r="DA9" s="171" t="s">
        <v>250</v>
      </c>
    </row>
    <row r="10" spans="1:105" ht="12" customHeight="1" x14ac:dyDescent="0.25">
      <c r="A10" s="132" t="s">
        <v>128</v>
      </c>
      <c r="B10" s="141">
        <v>535.71271968540862</v>
      </c>
      <c r="C10" s="141">
        <v>652.25944668220438</v>
      </c>
      <c r="D10" s="141">
        <v>731.38068781969457</v>
      </c>
      <c r="E10" s="141">
        <v>803.65126299067504</v>
      </c>
      <c r="F10" s="141">
        <v>887.10065035669493</v>
      </c>
      <c r="G10" s="141">
        <v>933.01175002005016</v>
      </c>
      <c r="H10" s="141">
        <v>1002.1750645857873</v>
      </c>
      <c r="I10" s="141">
        <v>984.83530105313673</v>
      </c>
      <c r="J10" s="141">
        <v>932.97778833195616</v>
      </c>
      <c r="K10" s="141">
        <v>851.4416781969403</v>
      </c>
      <c r="L10" s="141">
        <v>834.19838848754591</v>
      </c>
      <c r="M10" s="141">
        <v>823.49791606609608</v>
      </c>
      <c r="N10" s="141">
        <v>677.48863107575312</v>
      </c>
      <c r="O10" s="141">
        <v>574.13576457897261</v>
      </c>
      <c r="P10" s="141">
        <v>470.80841555941942</v>
      </c>
      <c r="Q10" s="141">
        <v>451.61047012991349</v>
      </c>
      <c r="R10" s="141">
        <v>427.99101301720179</v>
      </c>
      <c r="S10" s="141">
        <v>457.31422926608974</v>
      </c>
      <c r="T10" s="141">
        <v>478.30272945297247</v>
      </c>
      <c r="U10" s="141">
        <v>540.03614691808605</v>
      </c>
      <c r="V10" s="141">
        <v>554.10259937383296</v>
      </c>
      <c r="W10" s="141">
        <v>586.39989918890774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6228.6044631385057</v>
      </c>
      <c r="C12" s="141">
        <v>6039.2354684744987</v>
      </c>
      <c r="D12" s="141">
        <v>5903.9801783282446</v>
      </c>
      <c r="E12" s="141">
        <v>5886.6380121827506</v>
      </c>
      <c r="F12" s="141">
        <v>6223.7235865708308</v>
      </c>
      <c r="G12" s="141">
        <v>6776.5036099996796</v>
      </c>
      <c r="H12" s="141">
        <v>7349.1405125422625</v>
      </c>
      <c r="I12" s="141">
        <v>7696.8257042521209</v>
      </c>
      <c r="J12" s="141">
        <v>7652.4593401312395</v>
      </c>
      <c r="K12" s="141">
        <v>7761.2366863789339</v>
      </c>
      <c r="L12" s="141">
        <v>7973.4168922429571</v>
      </c>
      <c r="M12" s="141">
        <v>8006.9785946243746</v>
      </c>
      <c r="N12" s="141">
        <v>7873.4935696927005</v>
      </c>
      <c r="O12" s="141">
        <v>7415.702468473688</v>
      </c>
      <c r="P12" s="141">
        <v>7142.4812531339285</v>
      </c>
      <c r="Q12" s="141">
        <v>7269.4026175342242</v>
      </c>
      <c r="R12" s="141">
        <v>7356.7504695477492</v>
      </c>
      <c r="S12" s="141">
        <v>7648.09416800495</v>
      </c>
      <c r="T12" s="141">
        <v>7639.2479378555417</v>
      </c>
      <c r="U12" s="141">
        <v>7500.3451222934282</v>
      </c>
      <c r="V12" s="141">
        <v>7527.3767976591653</v>
      </c>
      <c r="W12" s="141">
        <v>7591.7271978324925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2258.4908548106596</v>
      </c>
      <c r="C14" s="142">
        <v>2549.1541654962211</v>
      </c>
      <c r="D14" s="142">
        <v>2686.9208908292139</v>
      </c>
      <c r="E14" s="142">
        <v>2702.3016887633808</v>
      </c>
      <c r="F14" s="142">
        <v>2878.1684473627997</v>
      </c>
      <c r="G14" s="142">
        <v>3187.6780271449852</v>
      </c>
      <c r="H14" s="142">
        <v>3798.4208462546671</v>
      </c>
      <c r="I14" s="142">
        <v>4366.6793641815811</v>
      </c>
      <c r="J14" s="142">
        <v>4699.9726309138296</v>
      </c>
      <c r="K14" s="142">
        <v>4732.3146675780708</v>
      </c>
      <c r="L14" s="142">
        <v>4528.6824883201816</v>
      </c>
      <c r="M14" s="142">
        <v>4364.3068045472901</v>
      </c>
      <c r="N14" s="142">
        <v>4453.8665522466217</v>
      </c>
      <c r="O14" s="142">
        <v>4575.5666392335761</v>
      </c>
      <c r="P14" s="142">
        <v>4835.3293582599626</v>
      </c>
      <c r="Q14" s="142">
        <v>4862.1828688258029</v>
      </c>
      <c r="R14" s="142">
        <v>4948.5828621927567</v>
      </c>
      <c r="S14" s="142">
        <v>4931.1662640394034</v>
      </c>
      <c r="T14" s="142">
        <v>5231.6637639813125</v>
      </c>
      <c r="U14" s="142">
        <v>5558.2142196922341</v>
      </c>
      <c r="V14" s="142">
        <v>5749.8169757390333</v>
      </c>
      <c r="W14" s="142">
        <v>5815.5213807841956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10640.414996670203</v>
      </c>
      <c r="C15" s="144">
        <f t="shared" si="3"/>
        <v>10794.355875562238</v>
      </c>
      <c r="D15" s="144">
        <f t="shared" si="3"/>
        <v>11133.519332269789</v>
      </c>
      <c r="E15" s="144">
        <f t="shared" si="3"/>
        <v>11643.931613342014</v>
      </c>
      <c r="F15" s="144">
        <f t="shared" si="3"/>
        <v>11845.015785405758</v>
      </c>
      <c r="G15" s="144">
        <f t="shared" si="3"/>
        <v>12269.116407981728</v>
      </c>
      <c r="H15" s="144">
        <f t="shared" si="3"/>
        <v>12562.738496649024</v>
      </c>
      <c r="I15" s="144">
        <f t="shared" si="3"/>
        <v>12539.98928925224</v>
      </c>
      <c r="J15" s="144">
        <f t="shared" si="3"/>
        <v>11886.974189396182</v>
      </c>
      <c r="K15" s="144">
        <f t="shared" si="3"/>
        <v>11665.205570384527</v>
      </c>
      <c r="L15" s="144">
        <f t="shared" si="3"/>
        <v>11916.551225786368</v>
      </c>
      <c r="M15" s="144">
        <f t="shared" si="3"/>
        <v>12512.849164716816</v>
      </c>
      <c r="N15" s="144">
        <f t="shared" si="3"/>
        <v>12691.610292721005</v>
      </c>
      <c r="O15" s="144">
        <f t="shared" si="3"/>
        <v>12650.207053305381</v>
      </c>
      <c r="P15" s="144">
        <f t="shared" si="3"/>
        <v>12582.863785325793</v>
      </c>
      <c r="Q15" s="144">
        <f t="shared" si="3"/>
        <v>12944.402213081139</v>
      </c>
      <c r="R15" s="144">
        <f t="shared" ref="R15:W15" si="4">SUM(R5:R12)</f>
        <v>13033.611720902274</v>
      </c>
      <c r="S15" s="144">
        <f t="shared" si="4"/>
        <v>13355.667184193837</v>
      </c>
      <c r="T15" s="144">
        <f t="shared" si="4"/>
        <v>13291.57880858862</v>
      </c>
      <c r="U15" s="144">
        <f t="shared" si="4"/>
        <v>13154.18942725482</v>
      </c>
      <c r="V15" s="144">
        <f t="shared" si="4"/>
        <v>13139.067468705416</v>
      </c>
      <c r="W15" s="144">
        <f t="shared" si="4"/>
        <v>13234.395657440589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421.33823331404005</v>
      </c>
      <c r="C16" s="140">
        <f t="shared" si="5"/>
        <v>463.10673697029875</v>
      </c>
      <c r="D16" s="140">
        <f t="shared" si="5"/>
        <v>517.11503898488513</v>
      </c>
      <c r="E16" s="140">
        <f t="shared" si="5"/>
        <v>564.24258216542921</v>
      </c>
      <c r="F16" s="140">
        <f t="shared" si="5"/>
        <v>603.87621664601568</v>
      </c>
      <c r="G16" s="140">
        <f t="shared" si="5"/>
        <v>684.33727711986535</v>
      </c>
      <c r="H16" s="140">
        <f t="shared" si="5"/>
        <v>796.27673867072133</v>
      </c>
      <c r="I16" s="140">
        <f t="shared" si="5"/>
        <v>873.39023454139112</v>
      </c>
      <c r="J16" s="140">
        <f t="shared" si="5"/>
        <v>924.85388705861578</v>
      </c>
      <c r="K16" s="140">
        <f t="shared" si="5"/>
        <v>953.06931098255347</v>
      </c>
      <c r="L16" s="140">
        <f t="shared" si="5"/>
        <v>992.13172886845814</v>
      </c>
      <c r="M16" s="140">
        <f t="shared" si="5"/>
        <v>1061.9331040190809</v>
      </c>
      <c r="N16" s="140">
        <f t="shared" si="5"/>
        <v>1108.5581736579397</v>
      </c>
      <c r="O16" s="140">
        <f t="shared" si="5"/>
        <v>1151.3414959712152</v>
      </c>
      <c r="P16" s="140">
        <f t="shared" si="5"/>
        <v>1197.7074842111933</v>
      </c>
      <c r="Q16" s="140">
        <f t="shared" si="5"/>
        <v>1263.6479299086582</v>
      </c>
      <c r="R16" s="140">
        <f t="shared" ref="R16:W16" si="6">SUM(R17:R18)</f>
        <v>1298.1168176486735</v>
      </c>
      <c r="S16" s="140">
        <f t="shared" si="6"/>
        <v>1350.7972394151911</v>
      </c>
      <c r="T16" s="140">
        <f t="shared" si="6"/>
        <v>1429.5731103601636</v>
      </c>
      <c r="U16" s="140">
        <f t="shared" si="6"/>
        <v>1486.1079092723212</v>
      </c>
      <c r="V16" s="140">
        <f t="shared" si="6"/>
        <v>1462.5821580979243</v>
      </c>
      <c r="W16" s="140">
        <f t="shared" si="6"/>
        <v>1520.1295671251719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421.33823331404005</v>
      </c>
      <c r="C18" s="141">
        <v>463.10673697029875</v>
      </c>
      <c r="D18" s="141">
        <v>517.11503898488513</v>
      </c>
      <c r="E18" s="141">
        <v>564.24258216542921</v>
      </c>
      <c r="F18" s="141">
        <v>603.87621664601568</v>
      </c>
      <c r="G18" s="141">
        <v>684.33727711986535</v>
      </c>
      <c r="H18" s="141">
        <v>796.27673867072133</v>
      </c>
      <c r="I18" s="141">
        <v>873.39023454139112</v>
      </c>
      <c r="J18" s="141">
        <v>924.85388705861578</v>
      </c>
      <c r="K18" s="141">
        <v>953.06931098255347</v>
      </c>
      <c r="L18" s="141">
        <v>992.13172886845814</v>
      </c>
      <c r="M18" s="141">
        <v>1061.9331040190809</v>
      </c>
      <c r="N18" s="141">
        <v>1108.5581736579397</v>
      </c>
      <c r="O18" s="141">
        <v>1151.3414959712152</v>
      </c>
      <c r="P18" s="141">
        <v>1197.7074842111933</v>
      </c>
      <c r="Q18" s="141">
        <v>1263.6479299086582</v>
      </c>
      <c r="R18" s="141">
        <v>1298.1168176486735</v>
      </c>
      <c r="S18" s="141">
        <v>1350.7972394151911</v>
      </c>
      <c r="T18" s="141">
        <v>1429.5731103601636</v>
      </c>
      <c r="U18" s="141">
        <v>1486.1079092723212</v>
      </c>
      <c r="V18" s="141">
        <v>1462.5821580979243</v>
      </c>
      <c r="W18" s="141">
        <v>1520.1295671251719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12898.90585148086</v>
      </c>
      <c r="C19" s="140">
        <f t="shared" si="7"/>
        <v>13343.51004105846</v>
      </c>
      <c r="D19" s="140">
        <f t="shared" si="7"/>
        <v>13820.440223099002</v>
      </c>
      <c r="E19" s="140">
        <f t="shared" si="7"/>
        <v>14346.233302105393</v>
      </c>
      <c r="F19" s="140">
        <f t="shared" si="7"/>
        <v>14723.184232768555</v>
      </c>
      <c r="G19" s="140">
        <f t="shared" si="7"/>
        <v>15456.794435126711</v>
      </c>
      <c r="H19" s="140">
        <f t="shared" si="7"/>
        <v>16361.159342903691</v>
      </c>
      <c r="I19" s="140">
        <f t="shared" si="7"/>
        <v>16906.668653433822</v>
      </c>
      <c r="J19" s="140">
        <f t="shared" si="7"/>
        <v>16586.946820310015</v>
      </c>
      <c r="K19" s="140">
        <f t="shared" si="7"/>
        <v>16397.520237962592</v>
      </c>
      <c r="L19" s="140">
        <f t="shared" si="7"/>
        <v>16445.233714106555</v>
      </c>
      <c r="M19" s="140">
        <f t="shared" si="7"/>
        <v>16877.155969264109</v>
      </c>
      <c r="N19" s="140">
        <f t="shared" si="7"/>
        <v>17145.476844967627</v>
      </c>
      <c r="O19" s="140">
        <f t="shared" si="7"/>
        <v>17225.773692538954</v>
      </c>
      <c r="P19" s="140">
        <f t="shared" si="7"/>
        <v>17418.193143585759</v>
      </c>
      <c r="Q19" s="140">
        <f t="shared" si="7"/>
        <v>17806.585081906946</v>
      </c>
      <c r="R19" s="140">
        <f t="shared" ref="R19:W19" si="8">SUM(R20:R26)</f>
        <v>17982.194583095043</v>
      </c>
      <c r="S19" s="140">
        <f t="shared" si="8"/>
        <v>18286.833448233239</v>
      </c>
      <c r="T19" s="140">
        <f t="shared" si="8"/>
        <v>18523.242572569929</v>
      </c>
      <c r="U19" s="140">
        <f t="shared" si="8"/>
        <v>18712.403646947045</v>
      </c>
      <c r="V19" s="140">
        <f t="shared" si="8"/>
        <v>18888.884444444444</v>
      </c>
      <c r="W19" s="140">
        <f t="shared" si="8"/>
        <v>19049.917038224794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2386.940820943913</v>
      </c>
      <c r="C22" s="141">
        <v>2338.7966570263725</v>
      </c>
      <c r="D22" s="141">
        <v>2061.2051237487067</v>
      </c>
      <c r="E22" s="141">
        <v>1757.0415653287098</v>
      </c>
      <c r="F22" s="141">
        <v>1520.2784220372432</v>
      </c>
      <c r="G22" s="141">
        <v>1386.7004774334771</v>
      </c>
      <c r="H22" s="141">
        <v>1331.5256026519316</v>
      </c>
      <c r="I22" s="141">
        <v>1314.1818705994251</v>
      </c>
      <c r="J22" s="141">
        <v>1300.6197424748441</v>
      </c>
      <c r="K22" s="141">
        <v>1279.6586519501898</v>
      </c>
      <c r="L22" s="141">
        <v>1256.3248161666138</v>
      </c>
      <c r="M22" s="141">
        <v>1231.9312745791217</v>
      </c>
      <c r="N22" s="141">
        <v>1211.044454170913</v>
      </c>
      <c r="O22" s="141">
        <v>1191.5633805835498</v>
      </c>
      <c r="P22" s="141">
        <v>1161.196308951128</v>
      </c>
      <c r="Q22" s="141">
        <v>1118.9991971274753</v>
      </c>
      <c r="R22" s="141">
        <v>1063.9521238453267</v>
      </c>
      <c r="S22" s="141">
        <v>999.34712492174799</v>
      </c>
      <c r="T22" s="141">
        <v>927.67308685321655</v>
      </c>
      <c r="U22" s="141">
        <v>813.36384239941242</v>
      </c>
      <c r="V22" s="141">
        <v>743.80157061778391</v>
      </c>
      <c r="W22" s="141">
        <v>743.27495700942438</v>
      </c>
      <c r="DA22" s="171" t="s">
        <v>262</v>
      </c>
    </row>
    <row r="23" spans="1:105" ht="12" customHeight="1" x14ac:dyDescent="0.25">
      <c r="A23" s="132" t="s">
        <v>153</v>
      </c>
      <c r="B23" s="141">
        <v>436.52215390802047</v>
      </c>
      <c r="C23" s="141">
        <v>624.80572574829125</v>
      </c>
      <c r="D23" s="141">
        <v>739.62939138204024</v>
      </c>
      <c r="E23" s="141">
        <v>828.32829839653971</v>
      </c>
      <c r="F23" s="141">
        <v>876.14429508789578</v>
      </c>
      <c r="G23" s="141">
        <v>924.10041697113911</v>
      </c>
      <c r="H23" s="141">
        <v>975.57407865282289</v>
      </c>
      <c r="I23" s="141">
        <v>1021.7357065100123</v>
      </c>
      <c r="J23" s="141">
        <v>1049.5035744396791</v>
      </c>
      <c r="K23" s="141">
        <v>1098.0500886370298</v>
      </c>
      <c r="L23" s="141">
        <v>1172.1396756969436</v>
      </c>
      <c r="M23" s="141">
        <v>1362.1550383902122</v>
      </c>
      <c r="N23" s="141">
        <v>1660.3497309004729</v>
      </c>
      <c r="O23" s="141">
        <v>2129.5656221271111</v>
      </c>
      <c r="P23" s="141">
        <v>2636.9458972318102</v>
      </c>
      <c r="Q23" s="141">
        <v>2996.2578893764639</v>
      </c>
      <c r="R23" s="141">
        <v>3300.3317095256962</v>
      </c>
      <c r="S23" s="141">
        <v>3592.2040018049588</v>
      </c>
      <c r="T23" s="141">
        <v>3907.8504947009615</v>
      </c>
      <c r="U23" s="141">
        <v>4134.691317313469</v>
      </c>
      <c r="V23" s="141">
        <v>4311.8129418147901</v>
      </c>
      <c r="W23" s="141">
        <v>4391.4262964209129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4326.7774869483528</v>
      </c>
      <c r="C25" s="141">
        <v>4493.5178679953315</v>
      </c>
      <c r="D25" s="141">
        <v>4659.798102803572</v>
      </c>
      <c r="E25" s="141">
        <v>4847.915781713833</v>
      </c>
      <c r="F25" s="141">
        <v>5096.7691444106276</v>
      </c>
      <c r="G25" s="141">
        <v>5419.87602827717</v>
      </c>
      <c r="H25" s="141">
        <v>5756.3996754794352</v>
      </c>
      <c r="I25" s="141">
        <v>6084.5724908172124</v>
      </c>
      <c r="J25" s="141">
        <v>6283.7724008923333</v>
      </c>
      <c r="K25" s="141">
        <v>6472.1832744738513</v>
      </c>
      <c r="L25" s="141">
        <v>6566.2020712366266</v>
      </c>
      <c r="M25" s="141">
        <v>6613.2103540178168</v>
      </c>
      <c r="N25" s="141">
        <v>6597.5031458355752</v>
      </c>
      <c r="O25" s="141">
        <v>6552.4350515558253</v>
      </c>
      <c r="P25" s="141">
        <v>6471.6754780554593</v>
      </c>
      <c r="Q25" s="141">
        <v>6405.1089078615523</v>
      </c>
      <c r="R25" s="141">
        <v>6375.5782839943304</v>
      </c>
      <c r="S25" s="141">
        <v>6339.6730202591853</v>
      </c>
      <c r="T25" s="141">
        <v>6226.7366409267934</v>
      </c>
      <c r="U25" s="141">
        <v>6109.754829984945</v>
      </c>
      <c r="V25" s="141">
        <v>6095.2318878381839</v>
      </c>
      <c r="W25" s="141">
        <v>6072.7348810746789</v>
      </c>
      <c r="DA25" s="171" t="s">
        <v>265</v>
      </c>
    </row>
    <row r="26" spans="1:105" ht="12" customHeight="1" x14ac:dyDescent="0.25">
      <c r="A26" s="132" t="s">
        <v>24</v>
      </c>
      <c r="B26" s="142">
        <v>5748.6653896805756</v>
      </c>
      <c r="C26" s="142">
        <v>5886.3897902884637</v>
      </c>
      <c r="D26" s="142">
        <v>6359.807605164684</v>
      </c>
      <c r="E26" s="142">
        <v>6912.9476566663106</v>
      </c>
      <c r="F26" s="142">
        <v>7229.99237123279</v>
      </c>
      <c r="G26" s="142">
        <v>7726.1175124449255</v>
      </c>
      <c r="H26" s="142">
        <v>8297.6599861195009</v>
      </c>
      <c r="I26" s="142">
        <v>8486.1785855071703</v>
      </c>
      <c r="J26" s="142">
        <v>7953.0511025031583</v>
      </c>
      <c r="K26" s="142">
        <v>7547.6282229015205</v>
      </c>
      <c r="L26" s="142">
        <v>7450.5671510063703</v>
      </c>
      <c r="M26" s="142">
        <v>7669.8593022769583</v>
      </c>
      <c r="N26" s="142">
        <v>7676.5795140606642</v>
      </c>
      <c r="O26" s="142">
        <v>7352.2096382724667</v>
      </c>
      <c r="P26" s="142">
        <v>7148.3754593473604</v>
      </c>
      <c r="Q26" s="142">
        <v>7286.2190875414535</v>
      </c>
      <c r="R26" s="142">
        <v>7242.3324657296907</v>
      </c>
      <c r="S26" s="142">
        <v>7355.6093012473457</v>
      </c>
      <c r="T26" s="142">
        <v>7460.9823500889561</v>
      </c>
      <c r="U26" s="142">
        <v>7654.5936572492192</v>
      </c>
      <c r="V26" s="142">
        <v>7738.0380441736843</v>
      </c>
      <c r="W26" s="142">
        <v>7842.4809037197783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12898.90585148086</v>
      </c>
      <c r="C29" s="140">
        <f t="shared" si="9"/>
        <v>13343.510041058456</v>
      </c>
      <c r="D29" s="140">
        <f t="shared" si="9"/>
        <v>13820.440223099004</v>
      </c>
      <c r="E29" s="140">
        <f t="shared" si="9"/>
        <v>14346.233302105393</v>
      </c>
      <c r="F29" s="140">
        <f t="shared" si="9"/>
        <v>14723.184232768557</v>
      </c>
      <c r="G29" s="140">
        <f t="shared" si="9"/>
        <v>15456.794435126705</v>
      </c>
      <c r="H29" s="140">
        <f t="shared" si="9"/>
        <v>16361.159342903688</v>
      </c>
      <c r="I29" s="140">
        <f t="shared" si="9"/>
        <v>16906.668653433822</v>
      </c>
      <c r="J29" s="140">
        <f t="shared" si="9"/>
        <v>16586.946820310011</v>
      </c>
      <c r="K29" s="140">
        <f t="shared" si="9"/>
        <v>16397.520237962592</v>
      </c>
      <c r="L29" s="140">
        <f t="shared" si="9"/>
        <v>16445.233714106551</v>
      </c>
      <c r="M29" s="140">
        <f t="shared" si="9"/>
        <v>16877.155969264117</v>
      </c>
      <c r="N29" s="140">
        <f t="shared" si="9"/>
        <v>17145.476844967619</v>
      </c>
      <c r="O29" s="140">
        <f t="shared" si="9"/>
        <v>17225.773692538965</v>
      </c>
      <c r="P29" s="140">
        <f t="shared" si="9"/>
        <v>17418.193143585751</v>
      </c>
      <c r="Q29" s="140">
        <f t="shared" si="9"/>
        <v>17806.585081906956</v>
      </c>
      <c r="R29" s="140">
        <f t="shared" ref="R29:W29" si="10">SUM(R30:R33)</f>
        <v>17982.194583095035</v>
      </c>
      <c r="S29" s="140">
        <f t="shared" si="10"/>
        <v>18286.833448233239</v>
      </c>
      <c r="T29" s="140">
        <f t="shared" si="10"/>
        <v>18523.242572569918</v>
      </c>
      <c r="U29" s="140">
        <f t="shared" si="10"/>
        <v>18712.40364694703</v>
      </c>
      <c r="V29" s="140">
        <f t="shared" si="10"/>
        <v>18888.88444444444</v>
      </c>
      <c r="W29" s="140">
        <f t="shared" si="10"/>
        <v>19049.917038224787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318.73734373097062</v>
      </c>
      <c r="G30" s="141">
        <v>411.03575181976231</v>
      </c>
      <c r="H30" s="141">
        <v>460.7382819081688</v>
      </c>
      <c r="I30" s="141">
        <v>460.12373479190995</v>
      </c>
      <c r="J30" s="141">
        <v>452.62699843849003</v>
      </c>
      <c r="K30" s="141">
        <v>442.65653272665946</v>
      </c>
      <c r="L30" s="141">
        <v>436.3069235277743</v>
      </c>
      <c r="M30" s="141">
        <v>435.36622510338071</v>
      </c>
      <c r="N30" s="141">
        <v>437.69820222790821</v>
      </c>
      <c r="O30" s="141">
        <v>439.54839199049258</v>
      </c>
      <c r="P30" s="141">
        <v>487.81716532869319</v>
      </c>
      <c r="Q30" s="141">
        <v>627.33346556135689</v>
      </c>
      <c r="R30" s="141">
        <v>810.77046994535226</v>
      </c>
      <c r="S30" s="141">
        <v>852.1569925548207</v>
      </c>
      <c r="T30" s="141">
        <v>883.22862146417185</v>
      </c>
      <c r="U30" s="141">
        <v>875.08124276699357</v>
      </c>
      <c r="V30" s="141">
        <v>878.01111745331991</v>
      </c>
      <c r="W30" s="141">
        <v>869.42641458382752</v>
      </c>
      <c r="DA30" s="171" t="s">
        <v>269</v>
      </c>
    </row>
    <row r="31" spans="1:105" ht="12" customHeight="1" x14ac:dyDescent="0.25">
      <c r="A31" s="132" t="s">
        <v>153</v>
      </c>
      <c r="B31" s="141">
        <v>690.33239909649717</v>
      </c>
      <c r="C31" s="141">
        <v>1214.8223860099395</v>
      </c>
      <c r="D31" s="141">
        <v>1624.8864819644675</v>
      </c>
      <c r="E31" s="141">
        <v>1838.3147007264095</v>
      </c>
      <c r="F31" s="141">
        <v>1895.7008892010767</v>
      </c>
      <c r="G31" s="141">
        <v>1879.8309087439059</v>
      </c>
      <c r="H31" s="141">
        <v>1861.7472354125375</v>
      </c>
      <c r="I31" s="141">
        <v>1810.4666070773189</v>
      </c>
      <c r="J31" s="141">
        <v>1730.0985110377158</v>
      </c>
      <c r="K31" s="141">
        <v>1641.6703416654047</v>
      </c>
      <c r="L31" s="141">
        <v>1638.1361539798206</v>
      </c>
      <c r="M31" s="141">
        <v>1673.7768615223549</v>
      </c>
      <c r="N31" s="141">
        <v>1740.3209923529646</v>
      </c>
      <c r="O31" s="141">
        <v>1782.4330549963254</v>
      </c>
      <c r="P31" s="141">
        <v>1896.3050591962358</v>
      </c>
      <c r="Q31" s="141">
        <v>2076.3041919392185</v>
      </c>
      <c r="R31" s="141">
        <v>2413.3038556722913</v>
      </c>
      <c r="S31" s="141">
        <v>2670.8675946679405</v>
      </c>
      <c r="T31" s="141">
        <v>2996.8691099910661</v>
      </c>
      <c r="U31" s="141">
        <v>3289.3086676150147</v>
      </c>
      <c r="V31" s="141">
        <v>3538.2893283146441</v>
      </c>
      <c r="W31" s="141">
        <v>3658.7198638602727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12208.573452384364</v>
      </c>
      <c r="C33" s="153">
        <v>12128.687655048518</v>
      </c>
      <c r="D33" s="153">
        <v>12195.553741134536</v>
      </c>
      <c r="E33" s="153">
        <v>12507.918601378984</v>
      </c>
      <c r="F33" s="153">
        <v>12508.74599983651</v>
      </c>
      <c r="G33" s="153">
        <v>13165.927774563037</v>
      </c>
      <c r="H33" s="153">
        <v>14038.673825582982</v>
      </c>
      <c r="I33" s="153">
        <v>14636.078311564594</v>
      </c>
      <c r="J33" s="153">
        <v>14404.221310833804</v>
      </c>
      <c r="K33" s="153">
        <v>14313.193363570528</v>
      </c>
      <c r="L33" s="153">
        <v>14370.790636598957</v>
      </c>
      <c r="M33" s="153">
        <v>14768.012882638383</v>
      </c>
      <c r="N33" s="153">
        <v>14967.457650386748</v>
      </c>
      <c r="O33" s="153">
        <v>15003.792245552148</v>
      </c>
      <c r="P33" s="153">
        <v>15034.070919060821</v>
      </c>
      <c r="Q33" s="153">
        <v>15102.94742440638</v>
      </c>
      <c r="R33" s="153">
        <v>14758.120257477391</v>
      </c>
      <c r="S33" s="153">
        <v>14763.808861010479</v>
      </c>
      <c r="T33" s="153">
        <v>14643.144841114681</v>
      </c>
      <c r="U33" s="153">
        <v>14548.013736565023</v>
      </c>
      <c r="V33" s="153">
        <v>14472.583998676477</v>
      </c>
      <c r="W33" s="153">
        <v>14521.770759780688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237.47749846991434</v>
      </c>
      <c r="C3" s="126">
        <f t="shared" si="0"/>
        <v>240.90955222548635</v>
      </c>
      <c r="D3" s="126">
        <f t="shared" si="0"/>
        <v>238.99815637812233</v>
      </c>
      <c r="E3" s="126">
        <f t="shared" si="0"/>
        <v>273.16544853889297</v>
      </c>
      <c r="F3" s="126">
        <f t="shared" si="0"/>
        <v>308.11575076124558</v>
      </c>
      <c r="G3" s="126">
        <f t="shared" si="0"/>
        <v>312.03750129351755</v>
      </c>
      <c r="H3" s="126">
        <f t="shared" si="0"/>
        <v>310.19310947209237</v>
      </c>
      <c r="I3" s="126">
        <f t="shared" si="0"/>
        <v>317.14221140805603</v>
      </c>
      <c r="J3" s="126">
        <f t="shared" si="0"/>
        <v>337.52752581469827</v>
      </c>
      <c r="K3" s="126">
        <f t="shared" si="0"/>
        <v>319.05238056776017</v>
      </c>
      <c r="L3" s="126">
        <f t="shared" si="0"/>
        <v>321.05286923748838</v>
      </c>
      <c r="M3" s="126">
        <f t="shared" si="0"/>
        <v>297.66242809445197</v>
      </c>
      <c r="N3" s="126">
        <f t="shared" si="0"/>
        <v>315.89093322099728</v>
      </c>
      <c r="O3" s="126">
        <f t="shared" si="0"/>
        <v>306.41009217895015</v>
      </c>
      <c r="P3" s="126">
        <f t="shared" si="0"/>
        <v>338.85192135164021</v>
      </c>
      <c r="Q3" s="126">
        <f t="shared" si="0"/>
        <v>342.85911146793347</v>
      </c>
      <c r="R3" s="126">
        <f t="shared" ref="R3:W3" si="1">SUM(R4,R16,R19,R29)</f>
        <v>372.45646078922522</v>
      </c>
      <c r="S3" s="126">
        <f t="shared" si="1"/>
        <v>341.09386402977157</v>
      </c>
      <c r="T3" s="126">
        <f t="shared" si="1"/>
        <v>361.168917226747</v>
      </c>
      <c r="U3" s="126">
        <f t="shared" si="1"/>
        <v>332.03640467095511</v>
      </c>
      <c r="V3" s="126">
        <f t="shared" si="1"/>
        <v>337.1278333059289</v>
      </c>
      <c r="W3" s="126">
        <f t="shared" si="1"/>
        <v>359.91663033412652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179.33373500409971</v>
      </c>
      <c r="C4" s="131">
        <f t="shared" si="2"/>
        <v>181.0921467601278</v>
      </c>
      <c r="D4" s="131">
        <f t="shared" si="2"/>
        <v>178.8444517377246</v>
      </c>
      <c r="E4" s="131">
        <f t="shared" si="2"/>
        <v>211.77187031522359</v>
      </c>
      <c r="F4" s="131">
        <f t="shared" si="2"/>
        <v>246.94906829682796</v>
      </c>
      <c r="G4" s="131">
        <f t="shared" si="2"/>
        <v>247.97622553014492</v>
      </c>
      <c r="H4" s="131">
        <f t="shared" si="2"/>
        <v>244.86302973353236</v>
      </c>
      <c r="I4" s="131">
        <f t="shared" si="2"/>
        <v>251.58017121688442</v>
      </c>
      <c r="J4" s="131">
        <f t="shared" si="2"/>
        <v>271.904225430351</v>
      </c>
      <c r="K4" s="131">
        <f t="shared" si="2"/>
        <v>253.54988277545783</v>
      </c>
      <c r="L4" s="131">
        <f t="shared" si="2"/>
        <v>255.39026703777637</v>
      </c>
      <c r="M4" s="131">
        <f t="shared" si="2"/>
        <v>230.33009416351632</v>
      </c>
      <c r="N4" s="131">
        <f t="shared" si="2"/>
        <v>247.88859510193561</v>
      </c>
      <c r="O4" s="131">
        <f t="shared" si="2"/>
        <v>238.06608193665556</v>
      </c>
      <c r="P4" s="131">
        <f t="shared" si="2"/>
        <v>270.16460766754165</v>
      </c>
      <c r="Q4" s="131">
        <f t="shared" si="2"/>
        <v>273.38833453627097</v>
      </c>
      <c r="R4" s="131">
        <f t="shared" ref="R4:W4" si="3">SUM(R5:R15)</f>
        <v>302.45227924701356</v>
      </c>
      <c r="S4" s="131">
        <f t="shared" si="3"/>
        <v>271.18492257117737</v>
      </c>
      <c r="T4" s="131">
        <f t="shared" si="3"/>
        <v>291.43988367461424</v>
      </c>
      <c r="U4" s="131">
        <f t="shared" si="3"/>
        <v>261.92282574387713</v>
      </c>
      <c r="V4" s="131">
        <f t="shared" si="3"/>
        <v>271.76153786296379</v>
      </c>
      <c r="W4" s="131">
        <f t="shared" si="3"/>
        <v>291.57154157134556</v>
      </c>
      <c r="DA4" s="156" t="s">
        <v>213</v>
      </c>
    </row>
    <row r="5" spans="1:105" ht="12" customHeight="1" x14ac:dyDescent="0.25">
      <c r="A5" s="132" t="s">
        <v>29</v>
      </c>
      <c r="B5" s="133">
        <v>5.5365434221840077</v>
      </c>
      <c r="C5" s="133">
        <v>6.8846947549441113</v>
      </c>
      <c r="D5" s="133">
        <v>5.985640584694754</v>
      </c>
      <c r="E5" s="133">
        <v>6.3698194325021493</v>
      </c>
      <c r="F5" s="133">
        <v>6.2254514187446244</v>
      </c>
      <c r="G5" s="133">
        <v>7.3104901117798819</v>
      </c>
      <c r="H5" s="133">
        <v>4.491315563198623</v>
      </c>
      <c r="I5" s="133">
        <v>4.9223559759243312</v>
      </c>
      <c r="J5" s="133">
        <v>3.3587274290627689</v>
      </c>
      <c r="K5" s="133">
        <v>2.7104041272570916</v>
      </c>
      <c r="L5" s="133">
        <v>2.3282029234737736</v>
      </c>
      <c r="M5" s="133">
        <v>1.6836629406706785</v>
      </c>
      <c r="N5" s="133">
        <v>2.0276010318142732</v>
      </c>
      <c r="O5" s="133">
        <v>3.3198624247635418</v>
      </c>
      <c r="P5" s="133">
        <v>2.0232158211521916</v>
      </c>
      <c r="Q5" s="133">
        <v>1.7260533104041282</v>
      </c>
      <c r="R5" s="133">
        <v>2.2128976784178849</v>
      </c>
      <c r="S5" s="133">
        <v>1</v>
      </c>
      <c r="T5" s="133">
        <v>1.0509028374892524</v>
      </c>
      <c r="U5" s="133">
        <v>0.95907136715391228</v>
      </c>
      <c r="V5" s="133">
        <v>1.0305245055889936</v>
      </c>
      <c r="W5" s="133">
        <v>1.0126397248495282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46.461764139587508</v>
      </c>
      <c r="C7" s="133">
        <v>58.153982144325646</v>
      </c>
      <c r="D7" s="133">
        <v>38.776434022536954</v>
      </c>
      <c r="E7" s="133">
        <v>35.916925336603825</v>
      </c>
      <c r="F7" s="133">
        <v>36.541676608578015</v>
      </c>
      <c r="G7" s="133">
        <v>42.072604850473439</v>
      </c>
      <c r="H7" s="133">
        <v>32.216395637839518</v>
      </c>
      <c r="I7" s="133">
        <v>34.668062574379078</v>
      </c>
      <c r="J7" s="133">
        <v>33.689436366232748</v>
      </c>
      <c r="K7" s="133">
        <v>31.113717895436611</v>
      </c>
      <c r="L7" s="133">
        <v>25.996765113086607</v>
      </c>
      <c r="M7" s="133">
        <v>39.45350748612077</v>
      </c>
      <c r="N7" s="133">
        <v>40.413007595276248</v>
      </c>
      <c r="O7" s="133">
        <v>36.794904183548553</v>
      </c>
      <c r="P7" s="133">
        <v>27.717558644905356</v>
      </c>
      <c r="Q7" s="133">
        <v>30.809721940750752</v>
      </c>
      <c r="R7" s="133">
        <v>22.810395280704476</v>
      </c>
      <c r="S7" s="133">
        <v>25.58272651616484</v>
      </c>
      <c r="T7" s="133">
        <v>25.205864950757906</v>
      </c>
      <c r="U7" s="133">
        <v>17.817333858065222</v>
      </c>
      <c r="V7" s="133">
        <v>18.165059763768962</v>
      </c>
      <c r="W7" s="133">
        <v>19.453574540416721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8.7179501431803175</v>
      </c>
      <c r="C9" s="133">
        <v>16.990608904213818</v>
      </c>
      <c r="D9" s="133">
        <v>20.52531403166099</v>
      </c>
      <c r="E9" s="133">
        <v>57.087221513152464</v>
      </c>
      <c r="F9" s="133">
        <v>51.483569295176714</v>
      </c>
      <c r="G9" s="133">
        <v>39.724568265194463</v>
      </c>
      <c r="H9" s="133">
        <v>42.926505597389948</v>
      </c>
      <c r="I9" s="133">
        <v>38.119678238579773</v>
      </c>
      <c r="J9" s="133">
        <v>28.002801165519831</v>
      </c>
      <c r="K9" s="133">
        <v>21.694825151501977</v>
      </c>
      <c r="L9" s="133">
        <v>24.012668129792342</v>
      </c>
      <c r="M9" s="133">
        <v>24.759980053807567</v>
      </c>
      <c r="N9" s="133">
        <v>27.875287161655109</v>
      </c>
      <c r="O9" s="133">
        <v>36.546836582920513</v>
      </c>
      <c r="P9" s="133">
        <v>58.096005202531913</v>
      </c>
      <c r="Q9" s="133">
        <v>61.229227894952444</v>
      </c>
      <c r="R9" s="133">
        <v>72.633142779221046</v>
      </c>
      <c r="S9" s="133">
        <v>60.932915667200824</v>
      </c>
      <c r="T9" s="133">
        <v>64.314790360972594</v>
      </c>
      <c r="U9" s="133">
        <v>59.685208927541808</v>
      </c>
      <c r="V9" s="133">
        <v>61.229075859852891</v>
      </c>
      <c r="W9" s="133">
        <v>66.212219468564626</v>
      </c>
      <c r="DA9" s="157" t="s">
        <v>278</v>
      </c>
    </row>
    <row r="10" spans="1:105" ht="12" customHeight="1" x14ac:dyDescent="0.25">
      <c r="A10" s="132" t="s">
        <v>128</v>
      </c>
      <c r="B10" s="133">
        <v>8.7417884780739463</v>
      </c>
      <c r="C10" s="133">
        <v>12.611092003439381</v>
      </c>
      <c r="D10" s="133">
        <v>12.348323301805673</v>
      </c>
      <c r="E10" s="133">
        <v>13.017110920034389</v>
      </c>
      <c r="F10" s="133">
        <v>24.983319002579528</v>
      </c>
      <c r="G10" s="133">
        <v>16.456491831470334</v>
      </c>
      <c r="H10" s="133">
        <v>20.015305245055899</v>
      </c>
      <c r="I10" s="133">
        <v>20.97067927773</v>
      </c>
      <c r="J10" s="133">
        <v>21.257265692175398</v>
      </c>
      <c r="K10" s="133">
        <v>14.42631126397249</v>
      </c>
      <c r="L10" s="133">
        <v>17.364058469475495</v>
      </c>
      <c r="M10" s="133">
        <v>18.630008598452278</v>
      </c>
      <c r="N10" s="133">
        <v>11.201891659501284</v>
      </c>
      <c r="O10" s="133">
        <v>10.174806534823729</v>
      </c>
      <c r="P10" s="133">
        <v>8.8850386930352503</v>
      </c>
      <c r="Q10" s="133">
        <v>9.5538263112639719</v>
      </c>
      <c r="R10" s="133">
        <v>8.8373172828890834</v>
      </c>
      <c r="S10" s="133">
        <v>10.031556319862423</v>
      </c>
      <c r="T10" s="133">
        <v>9.1000000000000068</v>
      </c>
      <c r="U10" s="133">
        <v>10.986930352536548</v>
      </c>
      <c r="V10" s="133">
        <v>13.397850386930347</v>
      </c>
      <c r="W10" s="133">
        <v>12.181169389509899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81.785211763901188</v>
      </c>
      <c r="C12" s="133">
        <v>54.942291260471123</v>
      </c>
      <c r="D12" s="133">
        <v>65.499110275133262</v>
      </c>
      <c r="E12" s="133">
        <v>64.5660176163979</v>
      </c>
      <c r="F12" s="133">
        <v>83.550796568201889</v>
      </c>
      <c r="G12" s="133">
        <v>98.630662952858273</v>
      </c>
      <c r="H12" s="133">
        <v>90.648160731567117</v>
      </c>
      <c r="I12" s="133">
        <v>88.753633072198639</v>
      </c>
      <c r="J12" s="133">
        <v>108.77249083871516</v>
      </c>
      <c r="K12" s="133">
        <v>108.24152696345733</v>
      </c>
      <c r="L12" s="133">
        <v>118.0047063979351</v>
      </c>
      <c r="M12" s="133">
        <v>92.062341621633934</v>
      </c>
      <c r="N12" s="133">
        <v>102.42163688412718</v>
      </c>
      <c r="O12" s="133">
        <v>91.188384288946352</v>
      </c>
      <c r="P12" s="133">
        <v>96.957274811269869</v>
      </c>
      <c r="Q12" s="133">
        <v>97.506571400733662</v>
      </c>
      <c r="R12" s="133">
        <v>110.4381376187994</v>
      </c>
      <c r="S12" s="133">
        <v>108.62870599836738</v>
      </c>
      <c r="T12" s="133">
        <v>111.62359178020793</v>
      </c>
      <c r="U12" s="133">
        <v>92.752183614603538</v>
      </c>
      <c r="V12" s="133">
        <v>101.1341860893465</v>
      </c>
      <c r="W12" s="133">
        <v>106.48145711941058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27.233025881679701</v>
      </c>
      <c r="C14" s="65">
        <v>30.551877395321068</v>
      </c>
      <c r="D14" s="65">
        <v>34.852812916026153</v>
      </c>
      <c r="E14" s="65">
        <v>33.607464977969428</v>
      </c>
      <c r="F14" s="65">
        <v>42.90644087637834</v>
      </c>
      <c r="G14" s="65">
        <v>42.596033142976943</v>
      </c>
      <c r="H14" s="65">
        <v>53.463698807258339</v>
      </c>
      <c r="I14" s="65">
        <v>63.079901605186514</v>
      </c>
      <c r="J14" s="65">
        <v>75.811192236224272</v>
      </c>
      <c r="K14" s="65">
        <v>74.46739179931356</v>
      </c>
      <c r="L14" s="65">
        <v>66.762459652388543</v>
      </c>
      <c r="M14" s="65">
        <v>52.763072599942582</v>
      </c>
      <c r="N14" s="65">
        <v>62.912991639084275</v>
      </c>
      <c r="O14" s="65">
        <v>58.970206984099505</v>
      </c>
      <c r="P14" s="65">
        <v>75.269443684409339</v>
      </c>
      <c r="Q14" s="65">
        <v>71.277589249972067</v>
      </c>
      <c r="R14" s="65">
        <v>84.138847931389734</v>
      </c>
      <c r="S14" s="65">
        <v>63.722614987547189</v>
      </c>
      <c r="T14" s="65">
        <v>78.808412078722512</v>
      </c>
      <c r="U14" s="65">
        <v>78.550418250723524</v>
      </c>
      <c r="V14" s="65">
        <v>75.572689188633589</v>
      </c>
      <c r="W14" s="65">
        <v>84.914801060431557</v>
      </c>
      <c r="DA14" s="109" t="s">
        <v>283</v>
      </c>
    </row>
    <row r="15" spans="1:105" ht="12" customHeight="1" x14ac:dyDescent="0.25">
      <c r="A15" s="134" t="s">
        <v>80</v>
      </c>
      <c r="B15" s="135">
        <v>0.85745117549302163</v>
      </c>
      <c r="C15" s="135">
        <v>0.95760029741265495</v>
      </c>
      <c r="D15" s="135">
        <v>0.85681660586677022</v>
      </c>
      <c r="E15" s="135">
        <v>1.2073105185634498</v>
      </c>
      <c r="F15" s="135">
        <v>1.2578145271688594</v>
      </c>
      <c r="G15" s="135">
        <v>1.1853743753915738</v>
      </c>
      <c r="H15" s="135">
        <v>1.1016481512229233</v>
      </c>
      <c r="I15" s="135">
        <v>1.0658604728860976</v>
      </c>
      <c r="J15" s="135">
        <v>1.0123117024208363</v>
      </c>
      <c r="K15" s="135">
        <v>0.89570557451874844</v>
      </c>
      <c r="L15" s="135">
        <v>0.92140635162449835</v>
      </c>
      <c r="M15" s="135">
        <v>0.97752086288852635</v>
      </c>
      <c r="N15" s="135">
        <v>1.0361791304772483</v>
      </c>
      <c r="O15" s="135">
        <v>1.0710809375533394</v>
      </c>
      <c r="P15" s="135">
        <v>1.2160708102377169</v>
      </c>
      <c r="Q15" s="135">
        <v>1.2853444281939321</v>
      </c>
      <c r="R15" s="135">
        <v>1.3815406755919049</v>
      </c>
      <c r="S15" s="135">
        <v>1.2864030820347416</v>
      </c>
      <c r="T15" s="135">
        <v>1.3363216664640274</v>
      </c>
      <c r="U15" s="135">
        <v>1.1716793732525774</v>
      </c>
      <c r="V15" s="135">
        <v>1.232152068842479</v>
      </c>
      <c r="W15" s="135">
        <v>1.3156802681626738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0.35392190642045068</v>
      </c>
      <c r="C16" s="131">
        <f t="shared" si="4"/>
        <v>0.37383742865245484</v>
      </c>
      <c r="D16" s="131">
        <f t="shared" si="4"/>
        <v>0.39344593443916531</v>
      </c>
      <c r="E16" s="131">
        <f t="shared" si="4"/>
        <v>0.42746777660865842</v>
      </c>
      <c r="F16" s="131">
        <f t="shared" si="4"/>
        <v>0.41504957647136798</v>
      </c>
      <c r="G16" s="131">
        <f t="shared" si="4"/>
        <v>0.44458353246845633</v>
      </c>
      <c r="H16" s="131">
        <f t="shared" si="4"/>
        <v>0.49501059454510543</v>
      </c>
      <c r="I16" s="131">
        <f t="shared" si="4"/>
        <v>0.50864150294144383</v>
      </c>
      <c r="J16" s="131">
        <f t="shared" si="4"/>
        <v>0.51294337792830358</v>
      </c>
      <c r="K16" s="131">
        <f t="shared" si="4"/>
        <v>0.52135881997333189</v>
      </c>
      <c r="L16" s="131">
        <f t="shared" si="4"/>
        <v>0.61924304295503296</v>
      </c>
      <c r="M16" s="131">
        <f t="shared" si="4"/>
        <v>0.58183046032853536</v>
      </c>
      <c r="N16" s="131">
        <f t="shared" si="4"/>
        <v>0.56435322818434586</v>
      </c>
      <c r="O16" s="131">
        <f t="shared" si="4"/>
        <v>0.56269712715568054</v>
      </c>
      <c r="P16" s="131">
        <f t="shared" si="4"/>
        <v>0.57561665970672482</v>
      </c>
      <c r="Q16" s="131">
        <f t="shared" si="4"/>
        <v>0.56948325146916279</v>
      </c>
      <c r="R16" s="131">
        <f t="shared" ref="R16:W16" si="5">SUM(R17:R18)</f>
        <v>0.5717877965311291</v>
      </c>
      <c r="S16" s="131">
        <f t="shared" si="5"/>
        <v>0.57663027702149494</v>
      </c>
      <c r="T16" s="131">
        <f t="shared" si="5"/>
        <v>0.63364280983411136</v>
      </c>
      <c r="U16" s="131">
        <f t="shared" si="5"/>
        <v>0.60199606865169941</v>
      </c>
      <c r="V16" s="131">
        <f t="shared" si="5"/>
        <v>0.58029017891838275</v>
      </c>
      <c r="W16" s="131">
        <f t="shared" si="5"/>
        <v>0.65304250355150639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0.35392190642045068</v>
      </c>
      <c r="C18" s="133">
        <v>0.37383742865245484</v>
      </c>
      <c r="D18" s="133">
        <v>0.39344593443916531</v>
      </c>
      <c r="E18" s="133">
        <v>0.42746777660865842</v>
      </c>
      <c r="F18" s="133">
        <v>0.41504957647136798</v>
      </c>
      <c r="G18" s="133">
        <v>0.44458353246845633</v>
      </c>
      <c r="H18" s="133">
        <v>0.49501059454510543</v>
      </c>
      <c r="I18" s="133">
        <v>0.50864150294144383</v>
      </c>
      <c r="J18" s="133">
        <v>0.51294337792830358</v>
      </c>
      <c r="K18" s="133">
        <v>0.52135881997333189</v>
      </c>
      <c r="L18" s="133">
        <v>0.61924304295503296</v>
      </c>
      <c r="M18" s="133">
        <v>0.58183046032853536</v>
      </c>
      <c r="N18" s="133">
        <v>0.56435322818434586</v>
      </c>
      <c r="O18" s="133">
        <v>0.56269712715568054</v>
      </c>
      <c r="P18" s="133">
        <v>0.57561665970672482</v>
      </c>
      <c r="Q18" s="133">
        <v>0.56948325146916279</v>
      </c>
      <c r="R18" s="133">
        <v>0.5717877965311291</v>
      </c>
      <c r="S18" s="133">
        <v>0.57663027702149494</v>
      </c>
      <c r="T18" s="133">
        <v>0.63364280983411136</v>
      </c>
      <c r="U18" s="133">
        <v>0.60199606865169941</v>
      </c>
      <c r="V18" s="133">
        <v>0.58029017891838275</v>
      </c>
      <c r="W18" s="133">
        <v>0.65304250355150639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30.860466091173869</v>
      </c>
      <c r="C19" s="131">
        <f t="shared" si="6"/>
        <v>31.25592735789656</v>
      </c>
      <c r="D19" s="131">
        <f t="shared" si="6"/>
        <v>30.988071099114645</v>
      </c>
      <c r="E19" s="131">
        <f t="shared" si="6"/>
        <v>31.157202417143488</v>
      </c>
      <c r="F19" s="131">
        <f t="shared" si="6"/>
        <v>30.608106572580922</v>
      </c>
      <c r="G19" s="131">
        <f t="shared" si="6"/>
        <v>31.790349243579257</v>
      </c>
      <c r="H19" s="131">
        <f t="shared" si="6"/>
        <v>32.400085876107852</v>
      </c>
      <c r="I19" s="131">
        <f t="shared" si="6"/>
        <v>31.939831508491789</v>
      </c>
      <c r="J19" s="131">
        <f t="shared" si="6"/>
        <v>31.720224888461466</v>
      </c>
      <c r="K19" s="131">
        <f t="shared" si="6"/>
        <v>31.062948692233945</v>
      </c>
      <c r="L19" s="131">
        <f t="shared" si="6"/>
        <v>30.809417557484394</v>
      </c>
      <c r="M19" s="131">
        <f t="shared" si="6"/>
        <v>31.899092503609708</v>
      </c>
      <c r="N19" s="131">
        <f t="shared" si="6"/>
        <v>32.270855280253002</v>
      </c>
      <c r="O19" s="131">
        <f t="shared" si="6"/>
        <v>32.215246315210067</v>
      </c>
      <c r="P19" s="131">
        <f t="shared" si="6"/>
        <v>32.686122142211488</v>
      </c>
      <c r="Q19" s="131">
        <f t="shared" si="6"/>
        <v>33.428586745274067</v>
      </c>
      <c r="R19" s="131">
        <f t="shared" ref="R19:W19" si="7">SUM(R20:R27)</f>
        <v>32.981854548819996</v>
      </c>
      <c r="S19" s="131">
        <f t="shared" si="7"/>
        <v>32.758269993067763</v>
      </c>
      <c r="T19" s="131">
        <f t="shared" si="7"/>
        <v>33.022870885739515</v>
      </c>
      <c r="U19" s="131">
        <f t="shared" si="7"/>
        <v>33.02946109091441</v>
      </c>
      <c r="V19" s="131">
        <f t="shared" si="7"/>
        <v>31.2072490577631</v>
      </c>
      <c r="W19" s="131">
        <f t="shared" si="7"/>
        <v>32.408574110075484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7.2069374941184181</v>
      </c>
      <c r="C22" s="133">
        <v>7.1111941239460617</v>
      </c>
      <c r="D22" s="133">
        <v>6.2305307238087071</v>
      </c>
      <c r="E22" s="133">
        <v>4.655989538718619</v>
      </c>
      <c r="F22" s="133">
        <v>3.8821411042336793</v>
      </c>
      <c r="G22" s="133">
        <v>3.6973005665514895</v>
      </c>
      <c r="H22" s="133">
        <v>3.4501563827967643</v>
      </c>
      <c r="I22" s="133">
        <v>3.3190397472030582</v>
      </c>
      <c r="J22" s="133">
        <v>3.3356711144207289</v>
      </c>
      <c r="K22" s="133">
        <v>3.2041668853028504</v>
      </c>
      <c r="L22" s="133">
        <v>3.1016011809804476</v>
      </c>
      <c r="M22" s="133">
        <v>3.0287797021853207</v>
      </c>
      <c r="N22" s="133">
        <v>2.9213862138381086</v>
      </c>
      <c r="O22" s="133">
        <v>2.8259040709656094</v>
      </c>
      <c r="P22" s="133">
        <v>2.7897500395314205</v>
      </c>
      <c r="Q22" s="133">
        <v>2.7288851099801259</v>
      </c>
      <c r="R22" s="133">
        <v>2.4614877803445232</v>
      </c>
      <c r="S22" s="133">
        <v>2.3795262783321784</v>
      </c>
      <c r="T22" s="133">
        <v>2.3849347053040013</v>
      </c>
      <c r="U22" s="133">
        <v>1.7047641642907554</v>
      </c>
      <c r="V22" s="133">
        <v>1.7395834004614896</v>
      </c>
      <c r="W22" s="133">
        <v>1.7159869385170772</v>
      </c>
      <c r="DA22" s="157" t="s">
        <v>289</v>
      </c>
    </row>
    <row r="23" spans="1:105" ht="12" customHeight="1" x14ac:dyDescent="0.25">
      <c r="A23" s="132" t="s">
        <v>153</v>
      </c>
      <c r="B23" s="133">
        <v>0.89145488661603534</v>
      </c>
      <c r="C23" s="133">
        <v>1.986357708676344</v>
      </c>
      <c r="D23" s="133">
        <v>2.0865646957701025</v>
      </c>
      <c r="E23" s="133">
        <v>2.1668300660133308</v>
      </c>
      <c r="F23" s="133">
        <v>2.1719044204548572</v>
      </c>
      <c r="G23" s="133">
        <v>2.2366997783712455</v>
      </c>
      <c r="H23" s="133">
        <v>2.3128511269638365</v>
      </c>
      <c r="I23" s="133">
        <v>2.344973777013418</v>
      </c>
      <c r="J23" s="133">
        <v>2.3586493784101958</v>
      </c>
      <c r="K23" s="133">
        <v>2.4091154728739639</v>
      </c>
      <c r="L23" s="133">
        <v>2.402107806554393</v>
      </c>
      <c r="M23" s="133">
        <v>2.9281928511850408</v>
      </c>
      <c r="N23" s="133">
        <v>3.0837406920184338</v>
      </c>
      <c r="O23" s="133">
        <v>4.2637979575597331</v>
      </c>
      <c r="P23" s="133">
        <v>5.7743242016097645</v>
      </c>
      <c r="Q23" s="133">
        <v>5.9778869736869344</v>
      </c>
      <c r="R23" s="133">
        <v>6.2434899600285787</v>
      </c>
      <c r="S23" s="133">
        <v>6.6731778806293187</v>
      </c>
      <c r="T23" s="133">
        <v>7.2727387043422365</v>
      </c>
      <c r="U23" s="133">
        <v>7.7617777000530603</v>
      </c>
      <c r="V23" s="133">
        <v>7.7406189384363273</v>
      </c>
      <c r="W23" s="133">
        <v>7.2286020317275437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8.3552009618081797</v>
      </c>
      <c r="C25" s="133">
        <v>8.7817844059089225</v>
      </c>
      <c r="D25" s="133">
        <v>8.7103480223731626</v>
      </c>
      <c r="E25" s="133">
        <v>8.711884361246149</v>
      </c>
      <c r="F25" s="133">
        <v>8.8825654266390668</v>
      </c>
      <c r="G25" s="133">
        <v>9.4232493429284077</v>
      </c>
      <c r="H25" s="133">
        <v>9.7148659236348553</v>
      </c>
      <c r="I25" s="133">
        <v>10.08076073691567</v>
      </c>
      <c r="J25" s="133">
        <v>10.196640717604739</v>
      </c>
      <c r="K25" s="133">
        <v>10.655979485381868</v>
      </c>
      <c r="L25" s="133">
        <v>10.709309079279073</v>
      </c>
      <c r="M25" s="133">
        <v>10.856317019810492</v>
      </c>
      <c r="N25" s="133">
        <v>10.815164491625119</v>
      </c>
      <c r="O25" s="133">
        <v>10.798804017158611</v>
      </c>
      <c r="P25" s="133">
        <v>10.618907475918309</v>
      </c>
      <c r="Q25" s="133">
        <v>10.499533500384224</v>
      </c>
      <c r="R25" s="133">
        <v>10.417924290057039</v>
      </c>
      <c r="S25" s="133">
        <v>10.316521860617964</v>
      </c>
      <c r="T25" s="133">
        <v>10.187844161322586</v>
      </c>
      <c r="U25" s="133">
        <v>9.9515137198762709</v>
      </c>
      <c r="V25" s="133">
        <v>8.7349454669734978</v>
      </c>
      <c r="W25" s="133">
        <v>9.9797638608130672</v>
      </c>
      <c r="DA25" s="157" t="s">
        <v>292</v>
      </c>
    </row>
    <row r="26" spans="1:105" ht="12" customHeight="1" x14ac:dyDescent="0.25">
      <c r="A26" s="132" t="s">
        <v>24</v>
      </c>
      <c r="B26" s="65">
        <v>14.406872748631239</v>
      </c>
      <c r="C26" s="65">
        <v>13.376591119365232</v>
      </c>
      <c r="D26" s="65">
        <v>13.960627657162672</v>
      </c>
      <c r="E26" s="65">
        <v>15.622498451165386</v>
      </c>
      <c r="F26" s="65">
        <v>15.671495621253317</v>
      </c>
      <c r="G26" s="65">
        <v>16.433099555728116</v>
      </c>
      <c r="H26" s="65">
        <v>16.9222124427124</v>
      </c>
      <c r="I26" s="65">
        <v>16.195057247359642</v>
      </c>
      <c r="J26" s="65">
        <v>15.829263678025802</v>
      </c>
      <c r="K26" s="65">
        <v>14.793686848675266</v>
      </c>
      <c r="L26" s="65">
        <v>14.59639949067048</v>
      </c>
      <c r="M26" s="65">
        <v>15.085802930428853</v>
      </c>
      <c r="N26" s="65">
        <v>15.450563882771341</v>
      </c>
      <c r="O26" s="65">
        <v>14.326740269526111</v>
      </c>
      <c r="P26" s="65">
        <v>13.503140425151996</v>
      </c>
      <c r="Q26" s="65">
        <v>14.222281161222783</v>
      </c>
      <c r="R26" s="65">
        <v>13.858952518389856</v>
      </c>
      <c r="S26" s="65">
        <v>13.389043973488304</v>
      </c>
      <c r="T26" s="65">
        <v>13.177353314770693</v>
      </c>
      <c r="U26" s="65">
        <v>13.611405506694327</v>
      </c>
      <c r="V26" s="65">
        <v>12.992101251891784</v>
      </c>
      <c r="W26" s="65">
        <v>13.484221279017797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26.929375468220307</v>
      </c>
      <c r="C29" s="131">
        <f t="shared" si="8"/>
        <v>28.187640678809554</v>
      </c>
      <c r="D29" s="131">
        <f t="shared" si="8"/>
        <v>28.772187606843925</v>
      </c>
      <c r="E29" s="131">
        <f t="shared" si="8"/>
        <v>29.808908029917216</v>
      </c>
      <c r="F29" s="131">
        <f t="shared" si="8"/>
        <v>30.143526315365285</v>
      </c>
      <c r="G29" s="131">
        <f t="shared" si="8"/>
        <v>31.826342987324942</v>
      </c>
      <c r="H29" s="131">
        <f t="shared" si="8"/>
        <v>32.434983267907072</v>
      </c>
      <c r="I29" s="131">
        <f t="shared" si="8"/>
        <v>33.113567179738347</v>
      </c>
      <c r="J29" s="131">
        <f t="shared" si="8"/>
        <v>33.39013211795745</v>
      </c>
      <c r="K29" s="131">
        <f t="shared" si="8"/>
        <v>33.918190280095075</v>
      </c>
      <c r="L29" s="131">
        <f t="shared" si="8"/>
        <v>34.233941599272583</v>
      </c>
      <c r="M29" s="131">
        <f t="shared" si="8"/>
        <v>34.851410966997392</v>
      </c>
      <c r="N29" s="131">
        <f t="shared" si="8"/>
        <v>35.167129610624322</v>
      </c>
      <c r="O29" s="131">
        <f t="shared" si="8"/>
        <v>35.566066799928834</v>
      </c>
      <c r="P29" s="131">
        <f t="shared" si="8"/>
        <v>35.425574882180328</v>
      </c>
      <c r="Q29" s="131">
        <f t="shared" si="8"/>
        <v>35.472706934919294</v>
      </c>
      <c r="R29" s="131">
        <f t="shared" ref="R29:W29" si="9">SUM(R30:R33)</f>
        <v>36.450539196860561</v>
      </c>
      <c r="S29" s="131">
        <f t="shared" si="9"/>
        <v>36.574041188504978</v>
      </c>
      <c r="T29" s="131">
        <f t="shared" si="9"/>
        <v>36.072519856559161</v>
      </c>
      <c r="U29" s="131">
        <f t="shared" si="9"/>
        <v>36.482121767511849</v>
      </c>
      <c r="V29" s="131">
        <f t="shared" si="9"/>
        <v>33.578756206283643</v>
      </c>
      <c r="W29" s="131">
        <f t="shared" si="9"/>
        <v>35.283472149153951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1.086758383490972</v>
      </c>
      <c r="G30" s="133">
        <v>1.0867583834909718</v>
      </c>
      <c r="H30" s="133">
        <v>1.086758383490972</v>
      </c>
      <c r="I30" s="133">
        <v>1.0867583834909718</v>
      </c>
      <c r="J30" s="133">
        <v>1.0867583834909722</v>
      </c>
      <c r="K30" s="133">
        <v>1.086758383490972</v>
      </c>
      <c r="L30" s="133">
        <v>1.0760963026655193</v>
      </c>
      <c r="M30" s="133">
        <v>1.0760963026655199</v>
      </c>
      <c r="N30" s="133">
        <v>1.0867583834909726</v>
      </c>
      <c r="O30" s="133">
        <v>1.0867583834909718</v>
      </c>
      <c r="P30" s="133">
        <v>1.0867583834909726</v>
      </c>
      <c r="Q30" s="133">
        <v>1.0867583834909713</v>
      </c>
      <c r="R30" s="133">
        <v>2.173516766981944</v>
      </c>
      <c r="S30" s="133">
        <v>3.2602751504729177</v>
      </c>
      <c r="T30" s="133">
        <v>1.0867583834909718</v>
      </c>
      <c r="U30" s="133">
        <v>2.1735167669819444</v>
      </c>
      <c r="V30" s="133">
        <v>2.2496130696474634</v>
      </c>
      <c r="W30" s="133">
        <v>1.6300945829750644</v>
      </c>
      <c r="DA30" s="157" t="s">
        <v>295</v>
      </c>
    </row>
    <row r="31" spans="1:105" ht="12" customHeight="1" x14ac:dyDescent="0.25">
      <c r="A31" s="132" t="s">
        <v>153</v>
      </c>
      <c r="B31" s="133">
        <v>1.0526757956550679</v>
      </c>
      <c r="C31" s="133">
        <v>3.4434977035328762</v>
      </c>
      <c r="D31" s="133">
        <v>4.9031685640564389</v>
      </c>
      <c r="E31" s="133">
        <v>4.9548908112039491</v>
      </c>
      <c r="F31" s="133">
        <v>4.87849017086885</v>
      </c>
      <c r="G31" s="133">
        <v>4.8023605032958541</v>
      </c>
      <c r="H31" s="133">
        <v>4.67706631949833</v>
      </c>
      <c r="I31" s="133">
        <v>4.6007822062468655</v>
      </c>
      <c r="J31" s="133">
        <v>4.4646887509969009</v>
      </c>
      <c r="K31" s="133">
        <v>4.0608057212818354</v>
      </c>
      <c r="L31" s="133">
        <v>4.2697468495518009</v>
      </c>
      <c r="M31" s="133">
        <v>4.3601503968130642</v>
      </c>
      <c r="N31" s="133">
        <v>4.6242051643832021</v>
      </c>
      <c r="O31" s="133">
        <v>4.6536818825636139</v>
      </c>
      <c r="P31" s="133">
        <v>4.6808313869159006</v>
      </c>
      <c r="Q31" s="133">
        <v>4.7905635492453937</v>
      </c>
      <c r="R31" s="133">
        <v>6.6779674327194547</v>
      </c>
      <c r="S31" s="133">
        <v>6.4897791950761992</v>
      </c>
      <c r="T31" s="133">
        <v>7.1981975039027724</v>
      </c>
      <c r="U31" s="133">
        <v>8.4779488840130135</v>
      </c>
      <c r="V31" s="133">
        <v>8.221448795863882</v>
      </c>
      <c r="W31" s="133">
        <v>7.9473126355633328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25.876699672565238</v>
      </c>
      <c r="C33" s="68">
        <v>24.744142975276677</v>
      </c>
      <c r="D33" s="68">
        <v>23.869019042787485</v>
      </c>
      <c r="E33" s="68">
        <v>24.854017218713267</v>
      </c>
      <c r="F33" s="68">
        <v>24.178277761005464</v>
      </c>
      <c r="G33" s="68">
        <v>25.937224100538117</v>
      </c>
      <c r="H33" s="68">
        <v>26.671158564917768</v>
      </c>
      <c r="I33" s="68">
        <v>27.426026590000507</v>
      </c>
      <c r="J33" s="68">
        <v>27.838684983469573</v>
      </c>
      <c r="K33" s="68">
        <v>28.770626175322271</v>
      </c>
      <c r="L33" s="68">
        <v>28.888098447055267</v>
      </c>
      <c r="M33" s="68">
        <v>29.415164267518804</v>
      </c>
      <c r="N33" s="68">
        <v>29.456166062750146</v>
      </c>
      <c r="O33" s="68">
        <v>29.825626533874249</v>
      </c>
      <c r="P33" s="68">
        <v>29.657985111773453</v>
      </c>
      <c r="Q33" s="68">
        <v>29.59538500218293</v>
      </c>
      <c r="R33" s="68">
        <v>27.599054997159165</v>
      </c>
      <c r="S33" s="68">
        <v>26.823986842955865</v>
      </c>
      <c r="T33" s="68">
        <v>27.787563969165415</v>
      </c>
      <c r="U33" s="68">
        <v>25.830656116516892</v>
      </c>
      <c r="V33" s="68">
        <v>23.107694340772298</v>
      </c>
      <c r="W33" s="68">
        <v>25.70606493061555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149.38800125516698</v>
      </c>
      <c r="C3" s="126">
        <f t="shared" si="0"/>
        <v>145.18103098504139</v>
      </c>
      <c r="D3" s="126">
        <f t="shared" si="0"/>
        <v>149.95598690891291</v>
      </c>
      <c r="E3" s="126">
        <f t="shared" si="0"/>
        <v>170.27358100654806</v>
      </c>
      <c r="F3" s="126">
        <f t="shared" si="0"/>
        <v>194.5279510215401</v>
      </c>
      <c r="G3" s="126">
        <f t="shared" si="0"/>
        <v>201.22267573125228</v>
      </c>
      <c r="H3" s="126">
        <f t="shared" si="0"/>
        <v>202.64476223723469</v>
      </c>
      <c r="I3" s="126">
        <f t="shared" si="0"/>
        <v>208.70688968837635</v>
      </c>
      <c r="J3" s="126">
        <f t="shared" si="0"/>
        <v>227.43399403133361</v>
      </c>
      <c r="K3" s="126">
        <f t="shared" si="0"/>
        <v>219.03623843773121</v>
      </c>
      <c r="L3" s="126">
        <f t="shared" si="0"/>
        <v>223.15026903929197</v>
      </c>
      <c r="M3" s="126">
        <f t="shared" si="0"/>
        <v>204.0849689295116</v>
      </c>
      <c r="N3" s="126">
        <f t="shared" si="0"/>
        <v>221.19335542900257</v>
      </c>
      <c r="O3" s="126">
        <f t="shared" si="0"/>
        <v>215.90030699641775</v>
      </c>
      <c r="P3" s="126">
        <f t="shared" si="0"/>
        <v>240.95763370076924</v>
      </c>
      <c r="Q3" s="126">
        <f t="shared" si="0"/>
        <v>244.82245047812091</v>
      </c>
      <c r="R3" s="126">
        <f t="shared" ref="R3:W3" si="1">SUM(R4,R16,R19,R29)</f>
        <v>269.87684279730189</v>
      </c>
      <c r="S3" s="126">
        <f t="shared" si="1"/>
        <v>249.46329963875618</v>
      </c>
      <c r="T3" s="126">
        <f t="shared" si="1"/>
        <v>268.50331827970524</v>
      </c>
      <c r="U3" s="126">
        <f t="shared" si="1"/>
        <v>249.40517276577262</v>
      </c>
      <c r="V3" s="126">
        <f t="shared" si="1"/>
        <v>255.42214141432362</v>
      </c>
      <c r="W3" s="126">
        <f t="shared" si="1"/>
        <v>276.69747689038081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110.63323614103413</v>
      </c>
      <c r="C4" s="131">
        <f t="shared" si="2"/>
        <v>105.52010990334279</v>
      </c>
      <c r="D4" s="131">
        <f t="shared" si="2"/>
        <v>109.95750605052115</v>
      </c>
      <c r="E4" s="131">
        <f t="shared" si="2"/>
        <v>128.95370216848764</v>
      </c>
      <c r="F4" s="131">
        <f t="shared" si="2"/>
        <v>153.15443134116083</v>
      </c>
      <c r="G4" s="131">
        <f t="shared" si="2"/>
        <v>157.47831036963152</v>
      </c>
      <c r="H4" s="131">
        <f t="shared" si="2"/>
        <v>157.58290985804678</v>
      </c>
      <c r="I4" s="131">
        <f t="shared" si="2"/>
        <v>163.07024558702895</v>
      </c>
      <c r="J4" s="131">
        <f t="shared" si="2"/>
        <v>181.45810336539466</v>
      </c>
      <c r="K4" s="131">
        <f t="shared" si="2"/>
        <v>172.71528753768197</v>
      </c>
      <c r="L4" s="131">
        <f t="shared" si="2"/>
        <v>176.21775341062374</v>
      </c>
      <c r="M4" s="131">
        <f t="shared" si="2"/>
        <v>155.84230492702989</v>
      </c>
      <c r="N4" s="131">
        <f t="shared" si="2"/>
        <v>172.23119151734079</v>
      </c>
      <c r="O4" s="131">
        <f t="shared" si="2"/>
        <v>166.33024510008403</v>
      </c>
      <c r="P4" s="131">
        <f t="shared" si="2"/>
        <v>190.84928892837823</v>
      </c>
      <c r="Q4" s="131">
        <f t="shared" si="2"/>
        <v>193.74351487054719</v>
      </c>
      <c r="R4" s="131">
        <f t="shared" ref="R4:W4" si="3">SUM(R5:R15)</f>
        <v>218.33721474492512</v>
      </c>
      <c r="S4" s="131">
        <f t="shared" si="3"/>
        <v>197.40959443122298</v>
      </c>
      <c r="T4" s="131">
        <f t="shared" si="3"/>
        <v>215.43599930691735</v>
      </c>
      <c r="U4" s="131">
        <f t="shared" si="3"/>
        <v>195.74409557964452</v>
      </c>
      <c r="V4" s="131">
        <f t="shared" si="3"/>
        <v>204.82925793459194</v>
      </c>
      <c r="W4" s="131">
        <f t="shared" si="3"/>
        <v>222.44714673899992</v>
      </c>
      <c r="DA4" s="156" t="s">
        <v>301</v>
      </c>
    </row>
    <row r="5" spans="1:105" ht="12" customHeight="1" x14ac:dyDescent="0.25">
      <c r="A5" s="132" t="s">
        <v>29</v>
      </c>
      <c r="B5" s="133">
        <v>2.7839341386721981</v>
      </c>
      <c r="C5" s="133">
        <v>3.5029768719427352</v>
      </c>
      <c r="D5" s="133">
        <v>3.0795885216297885</v>
      </c>
      <c r="E5" s="133">
        <v>3.3033374516152336</v>
      </c>
      <c r="F5" s="133">
        <v>3.2370142141758409</v>
      </c>
      <c r="G5" s="133">
        <v>3.839087946888065</v>
      </c>
      <c r="H5" s="133">
        <v>2.3685102810890655</v>
      </c>
      <c r="I5" s="133">
        <v>2.603295656095018</v>
      </c>
      <c r="J5" s="133">
        <v>1.7833619777966829</v>
      </c>
      <c r="K5" s="133">
        <v>1.4406171634553131</v>
      </c>
      <c r="L5" s="133">
        <v>1.2423903980612956</v>
      </c>
      <c r="M5" s="133">
        <v>0.93471853212176437</v>
      </c>
      <c r="N5" s="133">
        <v>1.2094348258907932</v>
      </c>
      <c r="O5" s="133">
        <v>2.0928386788026279</v>
      </c>
      <c r="P5" s="133">
        <v>1.2763611036821152</v>
      </c>
      <c r="Q5" s="133">
        <v>1.0919722613353684</v>
      </c>
      <c r="R5" s="133">
        <v>1.4077672813053708</v>
      </c>
      <c r="S5" s="133">
        <v>0.64331953268419895</v>
      </c>
      <c r="T5" s="133">
        <v>0.68258630164530298</v>
      </c>
      <c r="U5" s="133">
        <v>0.62589208563392917</v>
      </c>
      <c r="V5" s="133">
        <v>0.67712973971883905</v>
      </c>
      <c r="W5" s="133">
        <v>0.66975507348111418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20.221113784496911</v>
      </c>
      <c r="C7" s="133">
        <v>25.435916785424752</v>
      </c>
      <c r="D7" s="133">
        <v>16.967857569261906</v>
      </c>
      <c r="E7" s="133">
        <v>15.718091333270364</v>
      </c>
      <c r="F7" s="133">
        <v>15.991497184730024</v>
      </c>
      <c r="G7" s="133">
        <v>18.411961476958247</v>
      </c>
      <c r="H7" s="133">
        <v>14.158955549308354</v>
      </c>
      <c r="I7" s="133">
        <v>15.602580341565304</v>
      </c>
      <c r="J7" s="133">
        <v>15.442706030612218</v>
      </c>
      <c r="K7" s="133">
        <v>14.815233179675118</v>
      </c>
      <c r="L7" s="133">
        <v>12.951427838968367</v>
      </c>
      <c r="M7" s="133">
        <v>20.83284691648873</v>
      </c>
      <c r="N7" s="133">
        <v>22.261536513192787</v>
      </c>
      <c r="O7" s="133">
        <v>20.969168526167227</v>
      </c>
      <c r="P7" s="133">
        <v>15.81574290831108</v>
      </c>
      <c r="Q7" s="133">
        <v>17.59106518472824</v>
      </c>
      <c r="R7" s="133">
        <v>13.041141295441685</v>
      </c>
      <c r="S7" s="133">
        <v>14.654626998025119</v>
      </c>
      <c r="T7" s="133">
        <v>14.438822233287199</v>
      </c>
      <c r="U7" s="133">
        <v>10.208073062529998</v>
      </c>
      <c r="V7" s="133">
        <v>10.415606848239044</v>
      </c>
      <c r="W7" s="133">
        <v>11.222586334066154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4.1706654641538101</v>
      </c>
      <c r="C9" s="133">
        <v>8.6360578112329005</v>
      </c>
      <c r="D9" s="133">
        <v>11.050274525390053</v>
      </c>
      <c r="E9" s="133">
        <v>31.575536172192795</v>
      </c>
      <c r="F9" s="133">
        <v>28.651028165499362</v>
      </c>
      <c r="G9" s="133">
        <v>22.181368629825421</v>
      </c>
      <c r="H9" s="133">
        <v>24.038677251390318</v>
      </c>
      <c r="I9" s="133">
        <v>21.39651057834736</v>
      </c>
      <c r="J9" s="133">
        <v>15.743083240905049</v>
      </c>
      <c r="K9" s="133">
        <v>12.205677216585819</v>
      </c>
      <c r="L9" s="133">
        <v>13.551583718394816</v>
      </c>
      <c r="M9" s="133">
        <v>14.341017491100493</v>
      </c>
      <c r="N9" s="133">
        <v>16.656609967908054</v>
      </c>
      <c r="O9" s="133">
        <v>22.554476519480257</v>
      </c>
      <c r="P9" s="133">
        <v>36.714651849799047</v>
      </c>
      <c r="Q9" s="133">
        <v>39.478587047815914</v>
      </c>
      <c r="R9" s="133">
        <v>47.861068347011354</v>
      </c>
      <c r="S9" s="133">
        <v>41.017718062723745</v>
      </c>
      <c r="T9" s="133">
        <v>44.172124207081993</v>
      </c>
      <c r="U9" s="133">
        <v>41.503239705902445</v>
      </c>
      <c r="V9" s="133">
        <v>42.729318332356364</v>
      </c>
      <c r="W9" s="133">
        <v>46.313944674312943</v>
      </c>
      <c r="DA9" s="157" t="s">
        <v>306</v>
      </c>
    </row>
    <row r="10" spans="1:105" ht="12" customHeight="1" x14ac:dyDescent="0.25">
      <c r="A10" s="132" t="s">
        <v>128</v>
      </c>
      <c r="B10" s="133">
        <v>3.7558351198231112</v>
      </c>
      <c r="C10" s="133">
        <v>5.6595843963123205</v>
      </c>
      <c r="D10" s="133">
        <v>5.6870193358320416</v>
      </c>
      <c r="E10" s="133">
        <v>6.1193823760062047</v>
      </c>
      <c r="F10" s="133">
        <v>11.965277326526467</v>
      </c>
      <c r="G10" s="133">
        <v>7.9840887279742301</v>
      </c>
      <c r="H10" s="133">
        <v>9.84067259311567</v>
      </c>
      <c r="I10" s="133">
        <v>10.390219804333867</v>
      </c>
      <c r="J10" s="133">
        <v>10.600359059012309</v>
      </c>
      <c r="K10" s="133">
        <v>7.2445200150857696</v>
      </c>
      <c r="L10" s="133">
        <v>8.7968330310963871</v>
      </c>
      <c r="M10" s="133">
        <v>9.5391168094115208</v>
      </c>
      <c r="N10" s="133">
        <v>5.7939860863714276</v>
      </c>
      <c r="O10" s="133">
        <v>5.3150112717777773</v>
      </c>
      <c r="P10" s="133">
        <v>4.6414429576350198</v>
      </c>
      <c r="Q10" s="133">
        <v>4.9910327018109939</v>
      </c>
      <c r="R10" s="133">
        <v>4.6189476937145271</v>
      </c>
      <c r="S10" s="133">
        <v>5.2509397458331009</v>
      </c>
      <c r="T10" s="133">
        <v>4.769216728090008</v>
      </c>
      <c r="U10" s="133">
        <v>5.7656040005366682</v>
      </c>
      <c r="V10" s="133">
        <v>7.0364518137708281</v>
      </c>
      <c r="W10" s="133">
        <v>6.4013687071253731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60.843579587010829</v>
      </c>
      <c r="C12" s="133">
        <v>40.939087976574747</v>
      </c>
      <c r="D12" s="133">
        <v>48.908762630651943</v>
      </c>
      <c r="E12" s="133">
        <v>48.357487762974387</v>
      </c>
      <c r="F12" s="133">
        <v>62.890051997101267</v>
      </c>
      <c r="G12" s="133">
        <v>74.663165373099773</v>
      </c>
      <c r="H12" s="133">
        <v>68.986903507669297</v>
      </c>
      <c r="I12" s="133">
        <v>67.843315970214192</v>
      </c>
      <c r="J12" s="133">
        <v>83.425801046709012</v>
      </c>
      <c r="K12" s="133">
        <v>83.360628343102789</v>
      </c>
      <c r="L12" s="133">
        <v>91.302114860183224</v>
      </c>
      <c r="M12" s="133">
        <v>71.548857216430278</v>
      </c>
      <c r="N12" s="133">
        <v>79.97606646786754</v>
      </c>
      <c r="O12" s="133">
        <v>71.462724162923479</v>
      </c>
      <c r="P12" s="133">
        <v>76.031102002276782</v>
      </c>
      <c r="Q12" s="133">
        <v>76.730201387326233</v>
      </c>
      <c r="R12" s="133">
        <v>87.300047411962694</v>
      </c>
      <c r="S12" s="133">
        <v>86.464435626521805</v>
      </c>
      <c r="T12" s="133">
        <v>89.388984654814891</v>
      </c>
      <c r="U12" s="133">
        <v>74.752391454219065</v>
      </c>
      <c r="V12" s="133">
        <v>82.184591771470892</v>
      </c>
      <c r="W12" s="133">
        <v>87.262475385279117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18.000656871384244</v>
      </c>
      <c r="C14" s="65">
        <v>20.388885764442673</v>
      </c>
      <c r="D14" s="65">
        <v>23.407186861888647</v>
      </c>
      <c r="E14" s="65">
        <v>22.672556553865199</v>
      </c>
      <c r="F14" s="65">
        <v>29.161747925959016</v>
      </c>
      <c r="G14" s="65">
        <v>29.213263839494207</v>
      </c>
      <c r="H14" s="65">
        <v>37.087542524251155</v>
      </c>
      <c r="I14" s="65">
        <v>44.168462763587129</v>
      </c>
      <c r="J14" s="65">
        <v>53.450480307938555</v>
      </c>
      <c r="K14" s="65">
        <v>52.752906045258406</v>
      </c>
      <c r="L14" s="65">
        <v>47.451997212295147</v>
      </c>
      <c r="M14" s="65">
        <v>37.668227098588581</v>
      </c>
      <c r="N14" s="65">
        <v>45.297378525632936</v>
      </c>
      <c r="O14" s="65">
        <v>42.864945003379319</v>
      </c>
      <c r="P14" s="65">
        <v>55.153917296436489</v>
      </c>
      <c r="Q14" s="65">
        <v>52.575311859336537</v>
      </c>
      <c r="R14" s="65">
        <v>62.726702039897582</v>
      </c>
      <c r="S14" s="65">
        <v>48.092151383400278</v>
      </c>
      <c r="T14" s="65">
        <v>60.647943515533932</v>
      </c>
      <c r="U14" s="65">
        <v>61.71721589756983</v>
      </c>
      <c r="V14" s="65">
        <v>60.554007360193488</v>
      </c>
      <c r="W14" s="65">
        <v>69.261336296572523</v>
      </c>
      <c r="DA14" s="109" t="s">
        <v>311</v>
      </c>
    </row>
    <row r="15" spans="1:105" ht="12" customHeight="1" x14ac:dyDescent="0.25">
      <c r="A15" s="134" t="s">
        <v>80</v>
      </c>
      <c r="B15" s="135">
        <v>0.85745117549302163</v>
      </c>
      <c r="C15" s="135">
        <v>0.95760029741265495</v>
      </c>
      <c r="D15" s="135">
        <v>0.85681660586677022</v>
      </c>
      <c r="E15" s="135">
        <v>1.2073105185634498</v>
      </c>
      <c r="F15" s="135">
        <v>1.2578145271688594</v>
      </c>
      <c r="G15" s="135">
        <v>1.1853743753915738</v>
      </c>
      <c r="H15" s="135">
        <v>1.1016481512229233</v>
      </c>
      <c r="I15" s="135">
        <v>1.0658604728860976</v>
      </c>
      <c r="J15" s="135">
        <v>1.0123117024208363</v>
      </c>
      <c r="K15" s="135">
        <v>0.89570557451874844</v>
      </c>
      <c r="L15" s="135">
        <v>0.92140635162449835</v>
      </c>
      <c r="M15" s="135">
        <v>0.97752086288852635</v>
      </c>
      <c r="N15" s="135">
        <v>1.0361791304772483</v>
      </c>
      <c r="O15" s="135">
        <v>1.0710809375533394</v>
      </c>
      <c r="P15" s="135">
        <v>1.2160708102377169</v>
      </c>
      <c r="Q15" s="135">
        <v>1.2853444281939321</v>
      </c>
      <c r="R15" s="135">
        <v>1.3815406755919049</v>
      </c>
      <c r="S15" s="135">
        <v>1.2864030820347416</v>
      </c>
      <c r="T15" s="135">
        <v>1.3363216664640274</v>
      </c>
      <c r="U15" s="135">
        <v>1.1716793732525774</v>
      </c>
      <c r="V15" s="135">
        <v>1.232152068842479</v>
      </c>
      <c r="W15" s="135">
        <v>1.3156802681626738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0.72314016924549884</v>
      </c>
      <c r="C16" s="131">
        <f t="shared" si="4"/>
        <v>0.80528336734629302</v>
      </c>
      <c r="D16" s="131">
        <f t="shared" si="4"/>
        <v>0.89668719655843365</v>
      </c>
      <c r="E16" s="131">
        <f t="shared" si="4"/>
        <v>1.0256850554159054</v>
      </c>
      <c r="F16" s="131">
        <f t="shared" si="4"/>
        <v>1.045499883130097</v>
      </c>
      <c r="G16" s="131">
        <f t="shared" si="4"/>
        <v>1.1877698191424233</v>
      </c>
      <c r="H16" s="131">
        <f t="shared" si="4"/>
        <v>1.405221673716557</v>
      </c>
      <c r="I16" s="131">
        <f t="shared" si="4"/>
        <v>1.5207494487436262</v>
      </c>
      <c r="J16" s="131">
        <f t="shared" si="4"/>
        <v>1.6136792273552862</v>
      </c>
      <c r="K16" s="131">
        <f t="shared" si="4"/>
        <v>1.6649215100119945</v>
      </c>
      <c r="L16" s="131">
        <f t="shared" si="4"/>
        <v>2.0229846457835725</v>
      </c>
      <c r="M16" s="131">
        <f t="shared" si="4"/>
        <v>1.9689563853050838</v>
      </c>
      <c r="N16" s="131">
        <f t="shared" si="4"/>
        <v>1.9748469668221855</v>
      </c>
      <c r="O16" s="131">
        <f t="shared" si="4"/>
        <v>2.0383002776622363</v>
      </c>
      <c r="P16" s="131">
        <f t="shared" si="4"/>
        <v>2.1659975118452426</v>
      </c>
      <c r="Q16" s="131">
        <f t="shared" si="4"/>
        <v>2.2394723288059462</v>
      </c>
      <c r="R16" s="131">
        <f t="shared" ref="R16:W16" si="5">SUM(R17:R18)</f>
        <v>2.3381633514538915</v>
      </c>
      <c r="S16" s="131">
        <f t="shared" si="5"/>
        <v>2.4416464657691823</v>
      </c>
      <c r="T16" s="131">
        <f t="shared" si="5"/>
        <v>2.7694077154431693</v>
      </c>
      <c r="U16" s="131">
        <f t="shared" si="5"/>
        <v>2.6994636620089807</v>
      </c>
      <c r="V16" s="131">
        <f t="shared" si="5"/>
        <v>2.6627507205666605</v>
      </c>
      <c r="W16" s="131">
        <f t="shared" si="5"/>
        <v>3.0771227695974948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0.72314016924549884</v>
      </c>
      <c r="C18" s="133">
        <v>0.80528336734629302</v>
      </c>
      <c r="D18" s="133">
        <v>0.89668719655843365</v>
      </c>
      <c r="E18" s="133">
        <v>1.0256850554159054</v>
      </c>
      <c r="F18" s="133">
        <v>1.045499883130097</v>
      </c>
      <c r="G18" s="133">
        <v>1.1877698191424233</v>
      </c>
      <c r="H18" s="133">
        <v>1.405221673716557</v>
      </c>
      <c r="I18" s="133">
        <v>1.5207494487436262</v>
      </c>
      <c r="J18" s="133">
        <v>1.6136792273552862</v>
      </c>
      <c r="K18" s="133">
        <v>1.6649215100119945</v>
      </c>
      <c r="L18" s="133">
        <v>2.0229846457835725</v>
      </c>
      <c r="M18" s="133">
        <v>1.9689563853050838</v>
      </c>
      <c r="N18" s="133">
        <v>1.9748469668221855</v>
      </c>
      <c r="O18" s="133">
        <v>2.0383002776622363</v>
      </c>
      <c r="P18" s="133">
        <v>2.1659975118452426</v>
      </c>
      <c r="Q18" s="133">
        <v>2.2394723288059462</v>
      </c>
      <c r="R18" s="133">
        <v>2.3381633514538915</v>
      </c>
      <c r="S18" s="133">
        <v>2.4416464657691823</v>
      </c>
      <c r="T18" s="133">
        <v>2.7694077154431693</v>
      </c>
      <c r="U18" s="133">
        <v>2.6994636620089807</v>
      </c>
      <c r="V18" s="133">
        <v>2.6627507205666605</v>
      </c>
      <c r="W18" s="133">
        <v>3.0771227695974948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19.040922751513552</v>
      </c>
      <c r="C19" s="131">
        <f t="shared" si="6"/>
        <v>19.322098659767768</v>
      </c>
      <c r="D19" s="131">
        <f t="shared" si="6"/>
        <v>19.34371718600206</v>
      </c>
      <c r="E19" s="131">
        <f t="shared" si="6"/>
        <v>19.747575927559343</v>
      </c>
      <c r="F19" s="131">
        <f t="shared" si="6"/>
        <v>19.618173678628011</v>
      </c>
      <c r="G19" s="131">
        <f t="shared" si="6"/>
        <v>20.552818816089754</v>
      </c>
      <c r="H19" s="131">
        <f t="shared" si="6"/>
        <v>21.113520207716348</v>
      </c>
      <c r="I19" s="131">
        <f t="shared" si="6"/>
        <v>20.99170201954718</v>
      </c>
      <c r="J19" s="131">
        <f t="shared" si="6"/>
        <v>20.944901296672363</v>
      </c>
      <c r="K19" s="131">
        <f t="shared" si="6"/>
        <v>20.697845445030495</v>
      </c>
      <c r="L19" s="131">
        <f t="shared" si="6"/>
        <v>20.684735921365458</v>
      </c>
      <c r="M19" s="131">
        <f t="shared" si="6"/>
        <v>21.570152078588869</v>
      </c>
      <c r="N19" s="131">
        <f t="shared" si="6"/>
        <v>22.043070681020609</v>
      </c>
      <c r="O19" s="131">
        <f t="shared" si="6"/>
        <v>22.215607873346279</v>
      </c>
      <c r="P19" s="131">
        <f t="shared" si="6"/>
        <v>22.632967039372762</v>
      </c>
      <c r="Q19" s="131">
        <f t="shared" si="6"/>
        <v>23.384446035647571</v>
      </c>
      <c r="R19" s="131">
        <f t="shared" ref="R19:W19" si="7">SUM(R20:R27)</f>
        <v>23.396690389526341</v>
      </c>
      <c r="S19" s="131">
        <f t="shared" si="7"/>
        <v>23.641477667468312</v>
      </c>
      <c r="T19" s="131">
        <f t="shared" si="7"/>
        <v>24.231559824499719</v>
      </c>
      <c r="U19" s="131">
        <f t="shared" si="7"/>
        <v>24.769807026188914</v>
      </c>
      <c r="V19" s="131">
        <f t="shared" si="7"/>
        <v>23.71413562095637</v>
      </c>
      <c r="W19" s="131">
        <f t="shared" si="7"/>
        <v>25.137701576235735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3.5142232878314146</v>
      </c>
      <c r="C22" s="133">
        <v>3.4746535197899289</v>
      </c>
      <c r="D22" s="133">
        <v>3.0448859039822977</v>
      </c>
      <c r="E22" s="133">
        <v>2.2756633498738474</v>
      </c>
      <c r="F22" s="133">
        <v>1.8974368727586768</v>
      </c>
      <c r="G22" s="133">
        <v>1.8070941360157375</v>
      </c>
      <c r="H22" s="133">
        <v>1.6863722507889729</v>
      </c>
      <c r="I22" s="133">
        <v>1.6340602817677137</v>
      </c>
      <c r="J22" s="133">
        <v>1.6590865642353936</v>
      </c>
      <c r="K22" s="133">
        <v>1.6121054925879172</v>
      </c>
      <c r="L22" s="133">
        <v>1.5815636673982552</v>
      </c>
      <c r="M22" s="133">
        <v>1.5711122751189115</v>
      </c>
      <c r="N22" s="133">
        <v>1.5515701803288877</v>
      </c>
      <c r="O22" s="133">
        <v>1.5431190581850331</v>
      </c>
      <c r="P22" s="133">
        <v>1.5255836921763459</v>
      </c>
      <c r="Q22" s="133">
        <v>1.495045677482691</v>
      </c>
      <c r="R22" s="133">
        <v>1.3517057924739606</v>
      </c>
      <c r="S22" s="133">
        <v>1.3106245255338609</v>
      </c>
      <c r="T22" s="133">
        <v>1.315281055020556</v>
      </c>
      <c r="U22" s="133">
        <v>0.94151435037001385</v>
      </c>
      <c r="V22" s="133">
        <v>0.96173202786152467</v>
      </c>
      <c r="W22" s="133">
        <v>0.96585142872397678</v>
      </c>
      <c r="DA22" s="157" t="s">
        <v>319</v>
      </c>
    </row>
    <row r="23" spans="1:105" ht="12" customHeight="1" x14ac:dyDescent="0.25">
      <c r="A23" s="132" t="s">
        <v>153</v>
      </c>
      <c r="B23" s="133">
        <v>0.44408804947004205</v>
      </c>
      <c r="C23" s="133">
        <v>1.025059421555468</v>
      </c>
      <c r="D23" s="133">
        <v>1.0953718842070355</v>
      </c>
      <c r="E23" s="133">
        <v>1.152316171620922</v>
      </c>
      <c r="F23" s="133">
        <v>1.1658836384498568</v>
      </c>
      <c r="G23" s="133">
        <v>1.2122547761924789</v>
      </c>
      <c r="H23" s="133">
        <v>1.2663174226188554</v>
      </c>
      <c r="I23" s="133">
        <v>1.2970237231495201</v>
      </c>
      <c r="J23" s="133">
        <v>1.317053198100441</v>
      </c>
      <c r="K23" s="133">
        <v>1.3614589596136626</v>
      </c>
      <c r="L23" s="133">
        <v>1.3776107648928151</v>
      </c>
      <c r="M23" s="133">
        <v>1.7189572221437381</v>
      </c>
      <c r="N23" s="133">
        <v>1.8645014010267638</v>
      </c>
      <c r="O23" s="133">
        <v>2.6723466238677163</v>
      </c>
      <c r="P23" s="133">
        <v>3.7333126641118364</v>
      </c>
      <c r="Q23" s="133">
        <v>3.9601004695286779</v>
      </c>
      <c r="R23" s="133">
        <v>4.2304831539655909</v>
      </c>
      <c r="S23" s="133">
        <v>4.6273349034843259</v>
      </c>
      <c r="T23" s="133">
        <v>5.1474525790239758</v>
      </c>
      <c r="U23" s="133">
        <v>5.5824647376856138</v>
      </c>
      <c r="V23" s="133">
        <v>5.64492936730763</v>
      </c>
      <c r="W23" s="133">
        <v>5.3322569147367522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6.2303949609304468</v>
      </c>
      <c r="C25" s="133">
        <v>6.5727225584637994</v>
      </c>
      <c r="D25" s="133">
        <v>6.5438862177664463</v>
      </c>
      <c r="E25" s="133">
        <v>6.5711417278925683</v>
      </c>
      <c r="F25" s="133">
        <v>6.7291289891994319</v>
      </c>
      <c r="G25" s="133">
        <v>7.1722204007346093</v>
      </c>
      <c r="H25" s="133">
        <v>7.4284617966733704</v>
      </c>
      <c r="I25" s="133">
        <v>7.7431673299407953</v>
      </c>
      <c r="J25" s="133">
        <v>7.8640263034730751</v>
      </c>
      <c r="K25" s="133">
        <v>8.2527989865799523</v>
      </c>
      <c r="L25" s="133">
        <v>8.3281995492594643</v>
      </c>
      <c r="M25" s="133">
        <v>8.4798085692934535</v>
      </c>
      <c r="N25" s="133">
        <v>8.4893718896233672</v>
      </c>
      <c r="O25" s="133">
        <v>8.5190978008095275</v>
      </c>
      <c r="P25" s="133">
        <v>8.3941349821847524</v>
      </c>
      <c r="Q25" s="133">
        <v>8.3265906744190961</v>
      </c>
      <c r="R25" s="133">
        <v>8.3024229841710362</v>
      </c>
      <c r="S25" s="133">
        <v>8.2756491038880693</v>
      </c>
      <c r="T25" s="133">
        <v>8.2257432607685637</v>
      </c>
      <c r="U25" s="133">
        <v>8.0922917978802733</v>
      </c>
      <c r="V25" s="133">
        <v>7.1638019995171893</v>
      </c>
      <c r="W25" s="133">
        <v>8.2558775539510485</v>
      </c>
      <c r="DA25" s="157" t="s">
        <v>322</v>
      </c>
    </row>
    <row r="26" spans="1:105" ht="12" customHeight="1" x14ac:dyDescent="0.25">
      <c r="A26" s="132" t="s">
        <v>24</v>
      </c>
      <c r="B26" s="65">
        <v>8.852216453281649</v>
      </c>
      <c r="C26" s="65">
        <v>8.2496631599585708</v>
      </c>
      <c r="D26" s="65">
        <v>8.6595731800462783</v>
      </c>
      <c r="E26" s="65">
        <v>9.7484546781720045</v>
      </c>
      <c r="F26" s="65">
        <v>9.825724178220046</v>
      </c>
      <c r="G26" s="65">
        <v>10.361249503146931</v>
      </c>
      <c r="H26" s="65">
        <v>10.732368737635147</v>
      </c>
      <c r="I26" s="65">
        <v>10.317450684689151</v>
      </c>
      <c r="J26" s="65">
        <v>10.104735230863453</v>
      </c>
      <c r="K26" s="65">
        <v>9.4714820062489604</v>
      </c>
      <c r="L26" s="65">
        <v>9.3973619398149246</v>
      </c>
      <c r="M26" s="65">
        <v>9.800274012032764</v>
      </c>
      <c r="N26" s="65">
        <v>10.13762721004159</v>
      </c>
      <c r="O26" s="65">
        <v>9.4810443904840032</v>
      </c>
      <c r="P26" s="65">
        <v>8.9799357008998264</v>
      </c>
      <c r="Q26" s="65">
        <v>9.6027092142171053</v>
      </c>
      <c r="R26" s="65">
        <v>9.5120784589157559</v>
      </c>
      <c r="S26" s="65">
        <v>9.4278691345620551</v>
      </c>
      <c r="T26" s="65">
        <v>9.5430829296866246</v>
      </c>
      <c r="U26" s="65">
        <v>10.153536140253012</v>
      </c>
      <c r="V26" s="65">
        <v>9.9436722262700226</v>
      </c>
      <c r="W26" s="65">
        <v>10.583715678823957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18.990702193373817</v>
      </c>
      <c r="C29" s="131">
        <f t="shared" si="8"/>
        <v>19.53353905458453</v>
      </c>
      <c r="D29" s="131">
        <f t="shared" si="8"/>
        <v>19.758076475831267</v>
      </c>
      <c r="E29" s="131">
        <f t="shared" si="8"/>
        <v>20.546617855085167</v>
      </c>
      <c r="F29" s="131">
        <f t="shared" si="8"/>
        <v>20.709846118621165</v>
      </c>
      <c r="G29" s="131">
        <f t="shared" si="8"/>
        <v>22.003776726388558</v>
      </c>
      <c r="H29" s="131">
        <f t="shared" si="8"/>
        <v>22.543110497755009</v>
      </c>
      <c r="I29" s="131">
        <f t="shared" si="8"/>
        <v>23.124192633056587</v>
      </c>
      <c r="J29" s="131">
        <f t="shared" si="8"/>
        <v>23.417310141911322</v>
      </c>
      <c r="K29" s="131">
        <f t="shared" si="8"/>
        <v>23.958183945006759</v>
      </c>
      <c r="L29" s="131">
        <f t="shared" si="8"/>
        <v>24.224795061519213</v>
      </c>
      <c r="M29" s="131">
        <f t="shared" si="8"/>
        <v>24.70355553858775</v>
      </c>
      <c r="N29" s="131">
        <f t="shared" si="8"/>
        <v>24.944246263818975</v>
      </c>
      <c r="O29" s="131">
        <f t="shared" si="8"/>
        <v>25.316153745325209</v>
      </c>
      <c r="P29" s="131">
        <f t="shared" si="8"/>
        <v>25.309380221173001</v>
      </c>
      <c r="Q29" s="131">
        <f t="shared" si="8"/>
        <v>25.455017243120224</v>
      </c>
      <c r="R29" s="131">
        <f t="shared" ref="R29:W29" si="9">SUM(R30:R33)</f>
        <v>25.804774311396574</v>
      </c>
      <c r="S29" s="131">
        <f t="shared" si="9"/>
        <v>25.970581074295694</v>
      </c>
      <c r="T29" s="131">
        <f t="shared" si="9"/>
        <v>26.066351432845003</v>
      </c>
      <c r="U29" s="131">
        <f t="shared" si="9"/>
        <v>26.191806497930202</v>
      </c>
      <c r="V29" s="131">
        <f t="shared" si="9"/>
        <v>24.215997138208635</v>
      </c>
      <c r="W29" s="131">
        <f t="shared" si="9"/>
        <v>26.035505805547619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0.64070306817266998</v>
      </c>
      <c r="G30" s="133">
        <v>0.64079694718340807</v>
      </c>
      <c r="H30" s="133">
        <v>0.64087863677332479</v>
      </c>
      <c r="I30" s="133">
        <v>0.6408873165929807</v>
      </c>
      <c r="J30" s="133">
        <v>0.64089103899971822</v>
      </c>
      <c r="K30" s="133">
        <v>0.64090970830815031</v>
      </c>
      <c r="L30" s="133">
        <v>0.63469926309463798</v>
      </c>
      <c r="M30" s="133">
        <v>0.63486215321710626</v>
      </c>
      <c r="N30" s="133">
        <v>0.64139093987885787</v>
      </c>
      <c r="O30" s="133">
        <v>0.64169252634837515</v>
      </c>
      <c r="P30" s="133">
        <v>0.64218236025009912</v>
      </c>
      <c r="Q30" s="133">
        <v>0.64274451864341475</v>
      </c>
      <c r="R30" s="133">
        <v>1.2872011853788725</v>
      </c>
      <c r="S30" s="133">
        <v>1.9319075400815144</v>
      </c>
      <c r="T30" s="133">
        <v>0.64433483630584754</v>
      </c>
      <c r="U30" s="133">
        <v>1.2889841568781499</v>
      </c>
      <c r="V30" s="133">
        <v>1.3350279274389381</v>
      </c>
      <c r="W30" s="133">
        <v>0.96828578766244444</v>
      </c>
      <c r="DA30" s="157" t="s">
        <v>326</v>
      </c>
    </row>
    <row r="31" spans="1:105" ht="12" customHeight="1" x14ac:dyDescent="0.25">
      <c r="A31" s="132" t="s">
        <v>153</v>
      </c>
      <c r="B31" s="133">
        <v>0.57424522876967765</v>
      </c>
      <c r="C31" s="133">
        <v>1.8897708369757051</v>
      </c>
      <c r="D31" s="133">
        <v>2.6983002551827386</v>
      </c>
      <c r="E31" s="133">
        <v>2.731045099698854</v>
      </c>
      <c r="F31" s="133">
        <v>2.691616550164404</v>
      </c>
      <c r="G31" s="133">
        <v>2.6517362090671677</v>
      </c>
      <c r="H31" s="133">
        <v>2.5850484034408541</v>
      </c>
      <c r="I31" s="133">
        <v>2.5454700927839746</v>
      </c>
      <c r="J31" s="133">
        <v>2.4730556649087543</v>
      </c>
      <c r="K31" s="133">
        <v>2.2529402094777371</v>
      </c>
      <c r="L31" s="133">
        <v>2.3744772296973302</v>
      </c>
      <c r="M31" s="133">
        <v>2.4305146418025019</v>
      </c>
      <c r="N31" s="133">
        <v>2.5852614644274063</v>
      </c>
      <c r="O31" s="133">
        <v>2.6100979973727494</v>
      </c>
      <c r="P31" s="133">
        <v>2.6305671508720723</v>
      </c>
      <c r="Q31" s="133">
        <v>2.6949150946064133</v>
      </c>
      <c r="R31" s="133">
        <v>3.7629168166463556</v>
      </c>
      <c r="S31" s="133">
        <v>3.6657044948202988</v>
      </c>
      <c r="T31" s="133">
        <v>4.0825639104757725</v>
      </c>
      <c r="U31" s="133">
        <v>4.8320551792763942</v>
      </c>
      <c r="V31" s="133">
        <v>4.7118910469685105</v>
      </c>
      <c r="W31" s="133">
        <v>4.5793502915120685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18.416456964604141</v>
      </c>
      <c r="C33" s="68">
        <v>17.643768217608823</v>
      </c>
      <c r="D33" s="68">
        <v>17.05977622064853</v>
      </c>
      <c r="E33" s="68">
        <v>17.815572755386313</v>
      </c>
      <c r="F33" s="68">
        <v>17.377526500284091</v>
      </c>
      <c r="G33" s="68">
        <v>18.711243570137981</v>
      </c>
      <c r="H33" s="68">
        <v>19.317183457540832</v>
      </c>
      <c r="I33" s="68">
        <v>19.937835223679631</v>
      </c>
      <c r="J33" s="68">
        <v>20.303363438002851</v>
      </c>
      <c r="K33" s="68">
        <v>21.064334027220873</v>
      </c>
      <c r="L33" s="68">
        <v>21.215618568727244</v>
      </c>
      <c r="M33" s="68">
        <v>21.63817874356814</v>
      </c>
      <c r="N33" s="68">
        <v>21.717593859512711</v>
      </c>
      <c r="O33" s="68">
        <v>22.064363221604086</v>
      </c>
      <c r="P33" s="68">
        <v>22.036630710050829</v>
      </c>
      <c r="Q33" s="68">
        <v>22.117357629870398</v>
      </c>
      <c r="R33" s="68">
        <v>20.754656309371345</v>
      </c>
      <c r="S33" s="68">
        <v>20.372969039393883</v>
      </c>
      <c r="T33" s="68">
        <v>21.339452686063382</v>
      </c>
      <c r="U33" s="68">
        <v>20.070767161775656</v>
      </c>
      <c r="V33" s="68">
        <v>18.169078163801185</v>
      </c>
      <c r="W33" s="68">
        <v>20.487869726373106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0.62906170992066734</v>
      </c>
      <c r="C3" s="127">
        <f>IF(SER_hh_tes!C3=0,"",SER_hh_tes!C3/SER_hh_fec!C3)</f>
        <v>0.60263708783599812</v>
      </c>
      <c r="D3" s="127">
        <f>IF(SER_hh_tes!D3=0,"",SER_hh_tes!D3/SER_hh_fec!D3)</f>
        <v>0.62743574754470255</v>
      </c>
      <c r="E3" s="127">
        <f>IF(SER_hh_tes!E3=0,"",SER_hh_tes!E3/SER_hh_fec!E3)</f>
        <v>0.62333498587507019</v>
      </c>
      <c r="F3" s="127">
        <f>IF(SER_hh_tes!F3=0,"",SER_hh_tes!F3/SER_hh_fec!F3)</f>
        <v>0.63134698742576456</v>
      </c>
      <c r="G3" s="127">
        <f>IF(SER_hh_tes!G3=0,"",SER_hh_tes!G3/SER_hh_fec!G3)</f>
        <v>0.6448669627756457</v>
      </c>
      <c r="H3" s="127">
        <f>IF(SER_hh_tes!H3=0,"",SER_hh_tes!H3/SER_hh_fec!H3)</f>
        <v>0.65328582759981113</v>
      </c>
      <c r="I3" s="127">
        <f>IF(SER_hh_tes!I3=0,"",SER_hh_tes!I3/SER_hh_fec!I3)</f>
        <v>0.65808612723533144</v>
      </c>
      <c r="J3" s="127">
        <f>IF(SER_hh_tes!J3=0,"",SER_hh_tes!J3/SER_hh_fec!J3)</f>
        <v>0.673823545153453</v>
      </c>
      <c r="K3" s="127">
        <f>IF(SER_hh_tes!K3=0,"",SER_hh_tes!K3/SER_hh_fec!K3)</f>
        <v>0.68652124785263091</v>
      </c>
      <c r="L3" s="127">
        <f>IF(SER_hh_tes!L3=0,"",SER_hh_tes!L3/SER_hh_fec!L3)</f>
        <v>0.69505770052540428</v>
      </c>
      <c r="M3" s="127">
        <f>IF(SER_hh_tes!M3=0,"",SER_hh_tes!M3/SER_hh_fec!M3)</f>
        <v>0.6856255599203569</v>
      </c>
      <c r="N3" s="127">
        <f>IF(SER_hh_tes!N3=0,"",SER_hh_tes!N3/SER_hh_fec!N3)</f>
        <v>0.70022065265879507</v>
      </c>
      <c r="O3" s="127">
        <f>IF(SER_hh_tes!O3=0,"",SER_hh_tes!O3/SER_hh_fec!O3)</f>
        <v>0.70461225823569573</v>
      </c>
      <c r="P3" s="127">
        <f>IF(SER_hh_tes!P3=0,"",SER_hh_tes!P3/SER_hh_fec!P3)</f>
        <v>0.71110009569849197</v>
      </c>
      <c r="Q3" s="127">
        <f>IF(SER_hh_tes!Q3=0,"",SER_hh_tes!Q3/SER_hh_fec!Q3)</f>
        <v>0.7140613805767807</v>
      </c>
      <c r="R3" s="127">
        <f>IF(SER_hh_tes!R3=0,"",SER_hh_tes!R3/SER_hh_fec!R3)</f>
        <v>0.72458628379123868</v>
      </c>
      <c r="S3" s="127">
        <f>IF(SER_hh_tes!S3=0,"",SER_hh_tes!S3/SER_hh_fec!S3)</f>
        <v>0.73136261289350657</v>
      </c>
      <c r="T3" s="127">
        <f>IF(SER_hh_tes!T3=0,"",SER_hh_tes!T3/SER_hh_fec!T3)</f>
        <v>0.7434286436978601</v>
      </c>
      <c r="U3" s="127">
        <f>IF(SER_hh_tes!U3=0,"",SER_hh_tes!U3/SER_hh_fec!U3)</f>
        <v>0.75113803564079296</v>
      </c>
      <c r="V3" s="127">
        <f>IF(SER_hh_tes!V3=0,"",SER_hh_tes!V3/SER_hh_fec!V3)</f>
        <v>0.75764180877506815</v>
      </c>
      <c r="W3" s="127">
        <f>IF(SER_hh_tes!W3=0,"",SER_hh_tes!W3/SER_hh_fec!W3)</f>
        <v>0.76878213889008218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0.6169125744161017</v>
      </c>
      <c r="C4" s="136">
        <f>IF(SER_hh_tes!C4=0,"",SER_hh_tes!C4/SER_hh_fec!C4)</f>
        <v>0.58268738756028604</v>
      </c>
      <c r="D4" s="136">
        <f>IF(SER_hh_tes!D4=0,"",SER_hh_tes!D4/SER_hh_fec!D4)</f>
        <v>0.61482201422593663</v>
      </c>
      <c r="E4" s="136">
        <f>IF(SER_hh_tes!E4=0,"",SER_hh_tes!E4/SER_hh_fec!E4)</f>
        <v>0.60892743675795724</v>
      </c>
      <c r="F4" s="136">
        <f>IF(SER_hh_tes!F4=0,"",SER_hh_tes!F4/SER_hh_fec!F4)</f>
        <v>0.62018630966071187</v>
      </c>
      <c r="G4" s="136">
        <f>IF(SER_hh_tes!G4=0,"",SER_hh_tes!G4/SER_hh_fec!G4)</f>
        <v>0.63505406630398065</v>
      </c>
      <c r="H4" s="136">
        <f>IF(SER_hh_tes!H4=0,"",SER_hh_tes!H4/SER_hh_fec!H4)</f>
        <v>0.64355533797622877</v>
      </c>
      <c r="I4" s="136">
        <f>IF(SER_hh_tes!I4=0,"",SER_hh_tes!I4/SER_hh_fec!I4)</f>
        <v>0.64818401545027937</v>
      </c>
      <c r="J4" s="136">
        <f>IF(SER_hh_tes!J4=0,"",SER_hh_tes!J4/SER_hh_fec!J4)</f>
        <v>0.66736036587219438</v>
      </c>
      <c r="K4" s="136">
        <f>IF(SER_hh_tes!K4=0,"",SER_hh_tes!K4/SER_hh_fec!K4)</f>
        <v>0.68118859155867773</v>
      </c>
      <c r="L4" s="136">
        <f>IF(SER_hh_tes!L4=0,"",SER_hh_tes!L4/SER_hh_fec!L4)</f>
        <v>0.68999400585832926</v>
      </c>
      <c r="M4" s="136">
        <f>IF(SER_hh_tes!M4=0,"",SER_hh_tes!M4/SER_hh_fec!M4)</f>
        <v>0.67660418189380866</v>
      </c>
      <c r="N4" s="136">
        <f>IF(SER_hh_tes!N4=0,"",SER_hh_tes!N4/SER_hh_fec!N4)</f>
        <v>0.69479272108713463</v>
      </c>
      <c r="O4" s="136">
        <f>IF(SER_hh_tes!O4=0,"",SER_hh_tes!O4/SER_hh_fec!O4)</f>
        <v>0.69867258597695181</v>
      </c>
      <c r="P4" s="136">
        <f>IF(SER_hh_tes!P4=0,"",SER_hh_tes!P4/SER_hh_fec!P4)</f>
        <v>0.70641854451650821</v>
      </c>
      <c r="Q4" s="136">
        <f>IF(SER_hh_tes!Q4=0,"",SER_hh_tes!Q4/SER_hh_fec!Q4)</f>
        <v>0.70867513494743806</v>
      </c>
      <c r="R4" s="136">
        <f>IF(SER_hh_tes!R4=0,"",SER_hh_tes!R4/SER_hh_fec!R4)</f>
        <v>0.72188979791621455</v>
      </c>
      <c r="S4" s="136">
        <f>IF(SER_hh_tes!S4=0,"",SER_hh_tes!S4/SER_hh_fec!S4)</f>
        <v>0.72795195455384976</v>
      </c>
      <c r="T4" s="136">
        <f>IF(SER_hh_tes!T4=0,"",SER_hh_tes!T4/SER_hh_fec!T4)</f>
        <v>0.73921248042854204</v>
      </c>
      <c r="U4" s="136">
        <f>IF(SER_hh_tes!U4=0,"",SER_hh_tes!U4/SER_hh_fec!U4)</f>
        <v>0.74733500229970073</v>
      </c>
      <c r="V4" s="136">
        <f>IF(SER_hh_tes!V4=0,"",SER_hh_tes!V4/SER_hh_fec!V4)</f>
        <v>0.75370951881306114</v>
      </c>
      <c r="W4" s="136">
        <f>IF(SER_hh_tes!W4=0,"",SER_hh_tes!W4/SER_hh_fec!W4)</f>
        <v>0.76292475438508678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0.50282891804251684</v>
      </c>
      <c r="C5" s="137">
        <f>IF(SER_hh_tes!C5=0,"",SER_hh_tes!C5/SER_hh_fec!C5)</f>
        <v>0.50880641722381947</v>
      </c>
      <c r="D5" s="137">
        <f>IF(SER_hh_tes!D5=0,"",SER_hh_tes!D5/SER_hh_fec!D5)</f>
        <v>0.51449606404772741</v>
      </c>
      <c r="E5" s="137">
        <f>IF(SER_hh_tes!E5=0,"",SER_hh_tes!E5/SER_hh_fec!E5)</f>
        <v>0.51859200823807949</v>
      </c>
      <c r="F5" s="137">
        <f>IF(SER_hh_tes!F5=0,"",SER_hh_tes!F5/SER_hh_fec!F5)</f>
        <v>0.51996457709545374</v>
      </c>
      <c r="G5" s="137">
        <f>IF(SER_hh_tes!G5=0,"",SER_hh_tes!G5/SER_hh_fec!G5)</f>
        <v>0.52514782021274953</v>
      </c>
      <c r="H5" s="137">
        <f>IF(SER_hh_tes!H5=0,"",SER_hh_tes!H5/SER_hh_fec!H5)</f>
        <v>0.52735334397262013</v>
      </c>
      <c r="I5" s="137">
        <f>IF(SER_hh_tes!I5=0,"",SER_hh_tes!I5/SER_hh_fec!I5)</f>
        <v>0.52887187940652047</v>
      </c>
      <c r="J5" s="137">
        <f>IF(SER_hh_tes!J5=0,"",SER_hh_tes!J5/SER_hh_fec!J5)</f>
        <v>0.53096359125941894</v>
      </c>
      <c r="K5" s="137">
        <f>IF(SER_hh_tes!K5=0,"",SER_hh_tes!K5/SER_hh_fec!K5)</f>
        <v>0.53151378754474032</v>
      </c>
      <c r="L5" s="137">
        <f>IF(SER_hh_tes!L5=0,"",SER_hh_tes!L5/SER_hh_fec!L5)</f>
        <v>0.53362633709247242</v>
      </c>
      <c r="M5" s="137">
        <f>IF(SER_hh_tes!M5=0,"",SER_hh_tes!M5/SER_hh_fec!M5)</f>
        <v>0.55516963018110033</v>
      </c>
      <c r="N5" s="137">
        <f>IF(SER_hh_tes!N5=0,"",SER_hh_tes!N5/SER_hh_fec!N5)</f>
        <v>0.59648560388066352</v>
      </c>
      <c r="O5" s="137">
        <f>IF(SER_hh_tes!O5=0,"",SER_hh_tes!O5/SER_hh_fec!O5)</f>
        <v>0.63039921871211002</v>
      </c>
      <c r="P5" s="137">
        <f>IF(SER_hh_tes!P5=0,"",SER_hh_tes!P5/SER_hh_fec!P5)</f>
        <v>0.63085761308215071</v>
      </c>
      <c r="Q5" s="137">
        <f>IF(SER_hh_tes!Q5=0,"",SER_hh_tes!Q5/SER_hh_fec!Q5)</f>
        <v>0.63264109790427059</v>
      </c>
      <c r="R5" s="137">
        <f>IF(SER_hh_tes!R5=0,"",SER_hh_tes!R5/SER_hh_fec!R5)</f>
        <v>0.63616465191099869</v>
      </c>
      <c r="S5" s="137">
        <f>IF(SER_hh_tes!S5=0,"",SER_hh_tes!S5/SER_hh_fec!S5)</f>
        <v>0.64331953268419895</v>
      </c>
      <c r="T5" s="137">
        <f>IF(SER_hh_tes!T5=0,"",SER_hh_tes!T5/SER_hh_fec!T5)</f>
        <v>0.64952370218743827</v>
      </c>
      <c r="U5" s="137">
        <f>IF(SER_hh_tes!U5=0,"",SER_hh_tes!U5/SER_hh_fec!U5)</f>
        <v>0.65260220153510817</v>
      </c>
      <c r="V5" s="137">
        <f>IF(SER_hh_tes!V5=0,"",SER_hh_tes!V5/SER_hh_fec!V5)</f>
        <v>0.65707291388653333</v>
      </c>
      <c r="W5" s="137">
        <f>IF(SER_hh_tes!W5=0,"",SER_hh_tes!W5/SER_hh_fec!W5)</f>
        <v>0.66139521988497485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0.43522053367895291</v>
      </c>
      <c r="C7" s="137">
        <f>IF(SER_hh_tes!C7=0,"",SER_hh_tes!C7/SER_hh_fec!C7)</f>
        <v>0.43738908063592774</v>
      </c>
      <c r="D7" s="137">
        <f>IF(SER_hh_tes!D7=0,"",SER_hh_tes!D7/SER_hh_fec!D7)</f>
        <v>0.43758169096725469</v>
      </c>
      <c r="E7" s="137">
        <f>IF(SER_hh_tes!E7=0,"",SER_hh_tes!E7/SER_hh_fec!E7)</f>
        <v>0.43762352111057984</v>
      </c>
      <c r="F7" s="137">
        <f>IF(SER_hh_tes!F7=0,"",SER_hh_tes!F7/SER_hh_fec!F7)</f>
        <v>0.43762352111057989</v>
      </c>
      <c r="G7" s="137">
        <f>IF(SER_hh_tes!G7=0,"",SER_hh_tes!G7/SER_hh_fec!G7)</f>
        <v>0.43762352111057984</v>
      </c>
      <c r="H7" s="137">
        <f>IF(SER_hh_tes!H7=0,"",SER_hh_tes!H7/SER_hh_fec!H7)</f>
        <v>0.43949533363310395</v>
      </c>
      <c r="I7" s="137">
        <f>IF(SER_hh_tes!I7=0,"",SER_hh_tes!I7/SER_hh_fec!I7)</f>
        <v>0.45005631070644719</v>
      </c>
      <c r="J7" s="137">
        <f>IF(SER_hh_tes!J7=0,"",SER_hh_tes!J7/SER_hh_fec!J7)</f>
        <v>0.45838422058288258</v>
      </c>
      <c r="K7" s="137">
        <f>IF(SER_hh_tes!K7=0,"",SER_hh_tes!K7/SER_hh_fec!K7)</f>
        <v>0.47616402608857106</v>
      </c>
      <c r="L7" s="137">
        <f>IF(SER_hh_tes!L7=0,"",SER_hh_tes!L7/SER_hh_fec!L7)</f>
        <v>0.4981938246019964</v>
      </c>
      <c r="M7" s="137">
        <f>IF(SER_hh_tes!M7=0,"",SER_hh_tes!M7/SER_hh_fec!M7)</f>
        <v>0.52803535715595007</v>
      </c>
      <c r="N7" s="137">
        <f>IF(SER_hh_tes!N7=0,"",SER_hh_tes!N7/SER_hh_fec!N7)</f>
        <v>0.55085077399175975</v>
      </c>
      <c r="O7" s="137">
        <f>IF(SER_hh_tes!O7=0,"",SER_hh_tes!O7/SER_hh_fec!O7)</f>
        <v>0.56989327711152993</v>
      </c>
      <c r="P7" s="137">
        <f>IF(SER_hh_tes!P7=0,"",SER_hh_tes!P7/SER_hh_fec!P7)</f>
        <v>0.57060375016896026</v>
      </c>
      <c r="Q7" s="137">
        <f>IF(SER_hh_tes!Q7=0,"",SER_hh_tes!Q7/SER_hh_fec!Q7)</f>
        <v>0.57095825851843418</v>
      </c>
      <c r="R7" s="137">
        <f>IF(SER_hh_tes!R7=0,"",SER_hh_tes!R7/SER_hh_fec!R7)</f>
        <v>0.57171921551369631</v>
      </c>
      <c r="S7" s="137">
        <f>IF(SER_hh_tes!S7=0,"",SER_hh_tes!S7/SER_hh_fec!S7)</f>
        <v>0.57283288349915973</v>
      </c>
      <c r="T7" s="137">
        <f>IF(SER_hh_tes!T7=0,"",SER_hh_tes!T7/SER_hh_fec!T7)</f>
        <v>0.57283581664405625</v>
      </c>
      <c r="U7" s="137">
        <f>IF(SER_hh_tes!U7=0,"",SER_hh_tes!U7/SER_hh_fec!U7)</f>
        <v>0.57292932510826788</v>
      </c>
      <c r="V7" s="137">
        <f>IF(SER_hh_tes!V7=0,"",SER_hh_tes!V7/SER_hh_fec!V7)</f>
        <v>0.57338687478548489</v>
      </c>
      <c r="W7" s="137">
        <f>IF(SER_hh_tes!W7=0,"",SER_hh_tes!W7/SER_hh_fec!W7)</f>
        <v>0.57689070513751206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0.47839978385473386</v>
      </c>
      <c r="C9" s="137">
        <f>IF(SER_hh_tes!C9=0,"",SER_hh_tes!C9/SER_hh_fec!C9)</f>
        <v>0.50828418568866496</v>
      </c>
      <c r="D9" s="137">
        <f>IF(SER_hh_tes!D9=0,"",SER_hh_tes!D9/SER_hh_fec!D9)</f>
        <v>0.53837298217920715</v>
      </c>
      <c r="E9" s="137">
        <f>IF(SER_hh_tes!E9=0,"",SER_hh_tes!E9/SER_hh_fec!E9)</f>
        <v>0.55311040431207581</v>
      </c>
      <c r="F9" s="137">
        <f>IF(SER_hh_tes!F9=0,"",SER_hh_tes!F9/SER_hh_fec!F9)</f>
        <v>0.5565081939294283</v>
      </c>
      <c r="G9" s="137">
        <f>IF(SER_hh_tes!G9=0,"",SER_hh_tes!G9/SER_hh_fec!G9)</f>
        <v>0.55837909884246884</v>
      </c>
      <c r="H9" s="137">
        <f>IF(SER_hh_tes!H9=0,"",SER_hh_tes!H9/SER_hh_fec!H9)</f>
        <v>0.55999613564752726</v>
      </c>
      <c r="I9" s="137">
        <f>IF(SER_hh_tes!I9=0,"",SER_hh_tes!I9/SER_hh_fec!I9)</f>
        <v>0.56129829964547284</v>
      </c>
      <c r="J9" s="137">
        <f>IF(SER_hh_tes!J9=0,"",SER_hh_tes!J9/SER_hh_fec!J9)</f>
        <v>0.56219672981464752</v>
      </c>
      <c r="K9" s="137">
        <f>IF(SER_hh_tes!K9=0,"",SER_hh_tes!K9/SER_hh_fec!K9)</f>
        <v>0.56260777080938107</v>
      </c>
      <c r="L9" s="137">
        <f>IF(SER_hh_tes!L9=0,"",SER_hh_tes!L9/SER_hh_fec!L9)</f>
        <v>0.56435143504863028</v>
      </c>
      <c r="M9" s="137">
        <f>IF(SER_hh_tes!M9=0,"",SER_hh_tes!M9/SER_hh_fec!M9)</f>
        <v>0.57920149612136473</v>
      </c>
      <c r="N9" s="137">
        <f>IF(SER_hh_tes!N9=0,"",SER_hh_tes!N9/SER_hh_fec!N9)</f>
        <v>0.59754039021419214</v>
      </c>
      <c r="O9" s="137">
        <f>IF(SER_hh_tes!O9=0,"",SER_hh_tes!O9/SER_hh_fec!O9)</f>
        <v>0.61713895451133727</v>
      </c>
      <c r="P9" s="137">
        <f>IF(SER_hh_tes!P9=0,"",SER_hh_tes!P9/SER_hh_fec!P9)</f>
        <v>0.63196517078594183</v>
      </c>
      <c r="Q9" s="137">
        <f>IF(SER_hh_tes!Q9=0,"",SER_hh_tes!Q9/SER_hh_fec!Q9)</f>
        <v>0.64476702393744234</v>
      </c>
      <c r="R9" s="137">
        <f>IF(SER_hh_tes!R9=0,"",SER_hh_tes!R9/SER_hh_fec!R9)</f>
        <v>0.65894255040694028</v>
      </c>
      <c r="S9" s="137">
        <f>IF(SER_hh_tes!S9=0,"",SER_hh_tes!S9/SER_hh_fec!S9)</f>
        <v>0.67316191279523652</v>
      </c>
      <c r="T9" s="137">
        <f>IF(SER_hh_tes!T9=0,"",SER_hh_tes!T9/SER_hh_fec!T9)</f>
        <v>0.68681129113788508</v>
      </c>
      <c r="U9" s="137">
        <f>IF(SER_hh_tes!U9=0,"",SER_hh_tes!U9/SER_hh_fec!U9)</f>
        <v>0.69536892727120414</v>
      </c>
      <c r="V9" s="137">
        <f>IF(SER_hh_tes!V9=0,"",SER_hh_tes!V9/SER_hh_fec!V9)</f>
        <v>0.69785992573462019</v>
      </c>
      <c r="W9" s="137">
        <f>IF(SER_hh_tes!W9=0,"",SER_hh_tes!W9/SER_hh_fec!W9)</f>
        <v>0.69947730261936425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0.42964150062009093</v>
      </c>
      <c r="C10" s="137">
        <f>IF(SER_hh_tes!C10=0,"",SER_hh_tes!C10/SER_hh_fec!C10)</f>
        <v>0.44877829729327173</v>
      </c>
      <c r="D10" s="137">
        <f>IF(SER_hh_tes!D10=0,"",SER_hh_tes!D10/SER_hh_fec!D10)</f>
        <v>0.46054992219068636</v>
      </c>
      <c r="E10" s="137">
        <f>IF(SER_hh_tes!E10=0,"",SER_hh_tes!E10/SER_hh_fec!E10)</f>
        <v>0.47010296014209874</v>
      </c>
      <c r="F10" s="137">
        <f>IF(SER_hh_tes!F10=0,"",SER_hh_tes!F10/SER_hh_fec!F10)</f>
        <v>0.47893065470168522</v>
      </c>
      <c r="G10" s="137">
        <f>IF(SER_hh_tes!G10=0,"",SER_hh_tes!G10/SER_hh_fec!G10)</f>
        <v>0.48516347285549483</v>
      </c>
      <c r="H10" s="137">
        <f>IF(SER_hh_tes!H10=0,"",SER_hh_tes!H10/SER_hh_fec!H10)</f>
        <v>0.49165738281940385</v>
      </c>
      <c r="I10" s="137">
        <f>IF(SER_hh_tes!I10=0,"",SER_hh_tes!I10/SER_hh_fec!I10)</f>
        <v>0.49546415100477237</v>
      </c>
      <c r="J10" s="137">
        <f>IF(SER_hh_tes!J10=0,"",SER_hh_tes!J10/SER_hh_fec!J10)</f>
        <v>0.49866992361647916</v>
      </c>
      <c r="K10" s="137">
        <f>IF(SER_hh_tes!K10=0,"",SER_hh_tes!K10/SER_hh_fec!K10)</f>
        <v>0.50217410968927667</v>
      </c>
      <c r="L10" s="137">
        <f>IF(SER_hh_tes!L10=0,"",SER_hh_tes!L10/SER_hh_fec!L10)</f>
        <v>0.50661157623722908</v>
      </c>
      <c r="M10" s="137">
        <f>IF(SER_hh_tes!M10=0,"",SER_hh_tes!M10/SER_hh_fec!M10)</f>
        <v>0.51202965146264079</v>
      </c>
      <c r="N10" s="137">
        <f>IF(SER_hh_tes!N10=0,"",SER_hh_tes!N10/SER_hh_fec!N10)</f>
        <v>0.51723282660541103</v>
      </c>
      <c r="O10" s="137">
        <f>IF(SER_hh_tes!O10=0,"",SER_hh_tes!O10/SER_hh_fec!O10)</f>
        <v>0.52236976237208188</v>
      </c>
      <c r="P10" s="137">
        <f>IF(SER_hh_tes!P10=0,"",SER_hh_tes!P10/SER_hh_fec!P10)</f>
        <v>0.52238860380803132</v>
      </c>
      <c r="Q10" s="137">
        <f>IF(SER_hh_tes!Q10=0,"",SER_hh_tes!Q10/SER_hh_fec!Q10)</f>
        <v>0.52241191531047204</v>
      </c>
      <c r="R10" s="137">
        <f>IF(SER_hh_tes!R10=0,"",SER_hh_tes!R10/SER_hh_fec!R10)</f>
        <v>0.52266401056548994</v>
      </c>
      <c r="S10" s="137">
        <f>IF(SER_hh_tes!S10=0,"",SER_hh_tes!S10/SER_hh_fec!S10)</f>
        <v>0.52344218368552353</v>
      </c>
      <c r="T10" s="137">
        <f>IF(SER_hh_tes!T10=0,"",SER_hh_tes!T10/SER_hh_fec!T10)</f>
        <v>0.52408975033956096</v>
      </c>
      <c r="U10" s="137">
        <f>IF(SER_hh_tes!U10=0,"",SER_hh_tes!U10/SER_hh_fec!U10)</f>
        <v>0.5247693227804584</v>
      </c>
      <c r="V10" s="137">
        <f>IF(SER_hh_tes!V10=0,"",SER_hh_tes!V10/SER_hh_fec!V10)</f>
        <v>0.52519259512219307</v>
      </c>
      <c r="W10" s="137">
        <f>IF(SER_hh_tes!W10=0,"",SER_hh_tes!W10/SER_hh_fec!W10)</f>
        <v>0.52551347924264669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0.7439435354481323</v>
      </c>
      <c r="C12" s="137">
        <f>IF(SER_hh_tes!C12=0,"",SER_hh_tes!C12/SER_hh_fec!C12)</f>
        <v>0.74512888045549808</v>
      </c>
      <c r="D12" s="137">
        <f>IF(SER_hh_tes!D12=0,"",SER_hh_tes!D12/SER_hh_fec!D12)</f>
        <v>0.74670880909996351</v>
      </c>
      <c r="E12" s="137">
        <f>IF(SER_hh_tes!E12=0,"",SER_hh_tes!E12/SER_hh_fec!E12)</f>
        <v>0.74896190826384468</v>
      </c>
      <c r="F12" s="137">
        <f>IF(SER_hh_tes!F12=0,"",SER_hh_tes!F12/SER_hh_fec!F12)</f>
        <v>0.75271636633367811</v>
      </c>
      <c r="G12" s="137">
        <f>IF(SER_hh_tes!G12=0,"",SER_hh_tes!G12/SER_hh_fec!G12)</f>
        <v>0.75699750095754648</v>
      </c>
      <c r="H12" s="137">
        <f>IF(SER_hh_tes!H12=0,"",SER_hh_tes!H12/SER_hh_fec!H12)</f>
        <v>0.76104030077298024</v>
      </c>
      <c r="I12" s="137">
        <f>IF(SER_hh_tes!I12=0,"",SER_hh_tes!I12/SER_hh_fec!I12)</f>
        <v>0.76440043772659449</v>
      </c>
      <c r="J12" s="137">
        <f>IF(SER_hh_tes!J12=0,"",SER_hh_tes!J12/SER_hh_fec!J12)</f>
        <v>0.76697518281906851</v>
      </c>
      <c r="K12" s="137">
        <f>IF(SER_hh_tes!K12=0,"",SER_hh_tes!K12/SER_hh_fec!K12)</f>
        <v>0.77013536931390103</v>
      </c>
      <c r="L12" s="137">
        <f>IF(SER_hh_tes!L12=0,"",SER_hh_tes!L12/SER_hh_fec!L12)</f>
        <v>0.77371587665575403</v>
      </c>
      <c r="M12" s="137">
        <f>IF(SER_hh_tes!M12=0,"",SER_hh_tes!M12/SER_hh_fec!M12)</f>
        <v>0.77717833324822638</v>
      </c>
      <c r="N12" s="137">
        <f>IF(SER_hh_tes!N12=0,"",SER_hh_tes!N12/SER_hh_fec!N12)</f>
        <v>0.78085128202302589</v>
      </c>
      <c r="O12" s="137">
        <f>IF(SER_hh_tes!O12=0,"",SER_hh_tes!O12/SER_hh_fec!O12)</f>
        <v>0.78368231568267877</v>
      </c>
      <c r="P12" s="137">
        <f>IF(SER_hh_tes!P12=0,"",SER_hh_tes!P12/SER_hh_fec!P12)</f>
        <v>0.78417119447997596</v>
      </c>
      <c r="Q12" s="137">
        <f>IF(SER_hh_tes!Q12=0,"",SER_hh_tes!Q12/SER_hh_fec!Q12)</f>
        <v>0.78692338665031658</v>
      </c>
      <c r="R12" s="137">
        <f>IF(SER_hh_tes!R12=0,"",SER_hh_tes!R12/SER_hh_fec!R12)</f>
        <v>0.79048822530218033</v>
      </c>
      <c r="S12" s="137">
        <f>IF(SER_hh_tes!S12=0,"",SER_hh_tes!S12/SER_hh_fec!S12)</f>
        <v>0.79596304523613959</v>
      </c>
      <c r="T12" s="137">
        <f>IF(SER_hh_tes!T12=0,"",SER_hh_tes!T12/SER_hh_fec!T12)</f>
        <v>0.80080727764813353</v>
      </c>
      <c r="U12" s="137">
        <f>IF(SER_hh_tes!U12=0,"",SER_hh_tes!U12/SER_hh_fec!U12)</f>
        <v>0.80593672883027989</v>
      </c>
      <c r="V12" s="137">
        <f>IF(SER_hh_tes!V12=0,"",SER_hh_tes!V12/SER_hh_fec!V12)</f>
        <v>0.8126291904783346</v>
      </c>
      <c r="W12" s="137">
        <f>IF(SER_hh_tes!W12=0,"",SER_hh_tes!W12/SER_hh_fec!W12)</f>
        <v>0.81950865198455269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0.66098629471408499</v>
      </c>
      <c r="C14" s="138">
        <f>IF(SER_hh_tes!C14=0,"",SER_hh_tes!C14/SER_hh_fec!C14)</f>
        <v>0.66735295840003506</v>
      </c>
      <c r="D14" s="138">
        <f>IF(SER_hh_tes!D14=0,"",SER_hh_tes!D14/SER_hh_fec!D14)</f>
        <v>0.67160108190651857</v>
      </c>
      <c r="E14" s="138">
        <f>IF(SER_hh_tes!E14=0,"",SER_hh_tes!E14/SER_hh_fec!E14)</f>
        <v>0.67462858530768843</v>
      </c>
      <c r="F14" s="138">
        <f>IF(SER_hh_tes!F14=0,"",SER_hh_tes!F14/SER_hh_fec!F14)</f>
        <v>0.67965898196915442</v>
      </c>
      <c r="G14" s="138">
        <f>IF(SER_hh_tes!G14=0,"",SER_hh_tes!G14/SER_hh_fec!G14)</f>
        <v>0.68582122991212779</v>
      </c>
      <c r="H14" s="138">
        <f>IF(SER_hh_tes!H14=0,"",SER_hh_tes!H14/SER_hh_fec!H14)</f>
        <v>0.69369578520848763</v>
      </c>
      <c r="I14" s="138">
        <f>IF(SER_hh_tes!I14=0,"",SER_hh_tes!I14/SER_hh_fec!I14)</f>
        <v>0.70019866295979671</v>
      </c>
      <c r="J14" s="138">
        <f>IF(SER_hh_tes!J14=0,"",SER_hh_tes!J14/SER_hh_fec!J14)</f>
        <v>0.70504735160198062</v>
      </c>
      <c r="K14" s="138">
        <f>IF(SER_hh_tes!K14=0,"",SER_hh_tes!K14/SER_hh_fec!K14)</f>
        <v>0.70840276221067655</v>
      </c>
      <c r="L14" s="138">
        <f>IF(SER_hh_tes!L14=0,"",SER_hh_tes!L14/SER_hh_fec!L14)</f>
        <v>0.71075867275356552</v>
      </c>
      <c r="M14" s="138">
        <f>IF(SER_hh_tes!M14=0,"",SER_hh_tes!M14/SER_hh_fec!M14)</f>
        <v>0.71391269011557856</v>
      </c>
      <c r="N14" s="138">
        <f>IF(SER_hh_tes!N14=0,"",SER_hh_tes!N14/SER_hh_fec!N14)</f>
        <v>0.72000039014981831</v>
      </c>
      <c r="O14" s="138">
        <f>IF(SER_hh_tes!O14=0,"",SER_hh_tes!O14/SER_hh_fec!O14)</f>
        <v>0.7268915473696278</v>
      </c>
      <c r="P14" s="138">
        <f>IF(SER_hh_tes!P14=0,"",SER_hh_tes!P14/SER_hh_fec!P14)</f>
        <v>0.73275308806169104</v>
      </c>
      <c r="Q14" s="138">
        <f>IF(SER_hh_tes!Q14=0,"",SER_hh_tes!Q14/SER_hh_fec!Q14)</f>
        <v>0.73761349692894029</v>
      </c>
      <c r="R14" s="138">
        <f>IF(SER_hh_tes!R14=0,"",SER_hh_tes!R14/SER_hh_fec!R14)</f>
        <v>0.74551415406884947</v>
      </c>
      <c r="S14" s="138">
        <f>IF(SER_hh_tes!S14=0,"",SER_hh_tes!S14/SER_hh_fec!S14)</f>
        <v>0.75471088863504032</v>
      </c>
      <c r="T14" s="138">
        <f>IF(SER_hh_tes!T14=0,"",SER_hh_tes!T14/SER_hh_fec!T14)</f>
        <v>0.76956180077517733</v>
      </c>
      <c r="U14" s="138">
        <f>IF(SER_hh_tes!U14=0,"",SER_hh_tes!U14/SER_hh_fec!U14)</f>
        <v>0.78570193860172544</v>
      </c>
      <c r="V14" s="138">
        <f>IF(SER_hh_tes!V14=0,"",SER_hh_tes!V14/SER_hh_fec!V14)</f>
        <v>0.80126839484363666</v>
      </c>
      <c r="W14" s="138">
        <f>IF(SER_hh_tes!W14=0,"",SER_hh_tes!W14/SER_hh_fec!W14)</f>
        <v>0.81565681638094056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2.0432195807241889</v>
      </c>
      <c r="C16" s="136">
        <f>IF(SER_hh_tes!C16=0,"",SER_hh_tes!C16/SER_hh_fec!C16)</f>
        <v>2.1541004341085928</v>
      </c>
      <c r="D16" s="136">
        <f>IF(SER_hh_tes!D16=0,"",SER_hh_tes!D16/SER_hh_fec!D16)</f>
        <v>2.2790607757495573</v>
      </c>
      <c r="E16" s="136">
        <f>IF(SER_hh_tes!E16=0,"",SER_hh_tes!E16/SER_hh_fec!E16)</f>
        <v>2.3994441488741916</v>
      </c>
      <c r="F16" s="136">
        <f>IF(SER_hh_tes!F16=0,"",SER_hh_tes!F16/SER_hh_fec!F16)</f>
        <v>2.51897590648962</v>
      </c>
      <c r="G16" s="136">
        <f>IF(SER_hh_tes!G16=0,"",SER_hh_tes!G16/SER_hh_fec!G16)</f>
        <v>2.6716460066516223</v>
      </c>
      <c r="H16" s="136">
        <f>IF(SER_hh_tes!H16=0,"",SER_hh_tes!H16/SER_hh_fec!H16)</f>
        <v>2.8387709055154637</v>
      </c>
      <c r="I16" s="136">
        <f>IF(SER_hh_tes!I16=0,"",SER_hh_tes!I16/SER_hh_fec!I16)</f>
        <v>2.9898257219460498</v>
      </c>
      <c r="J16" s="136">
        <f>IF(SER_hh_tes!J16=0,"",SER_hh_tes!J16/SER_hh_fec!J16)</f>
        <v>3.1459207717481004</v>
      </c>
      <c r="K16" s="136">
        <f>IF(SER_hh_tes!K16=0,"",SER_hh_tes!K16/SER_hh_fec!K16)</f>
        <v>3.1934273406886207</v>
      </c>
      <c r="L16" s="136">
        <f>IF(SER_hh_tes!L16=0,"",SER_hh_tes!L16/SER_hh_fec!L16)</f>
        <v>3.2668669737973524</v>
      </c>
      <c r="M16" s="136">
        <f>IF(SER_hh_tes!M16=0,"",SER_hh_tes!M16/SER_hh_fec!M16)</f>
        <v>3.3840723708299776</v>
      </c>
      <c r="N16" s="136">
        <f>IF(SER_hh_tes!N16=0,"",SER_hh_tes!N16/SER_hh_fec!N16)</f>
        <v>3.4993101274103142</v>
      </c>
      <c r="O16" s="136">
        <f>IF(SER_hh_tes!O16=0,"",SER_hh_tes!O16/SER_hh_fec!O16)</f>
        <v>3.6223754828204462</v>
      </c>
      <c r="P16" s="136">
        <f>IF(SER_hh_tes!P16=0,"",SER_hh_tes!P16/SER_hh_fec!P16)</f>
        <v>3.7629166482930021</v>
      </c>
      <c r="Q16" s="136">
        <f>IF(SER_hh_tes!Q16=0,"",SER_hh_tes!Q16/SER_hh_fec!Q16)</f>
        <v>3.9324639013149492</v>
      </c>
      <c r="R16" s="136">
        <f>IF(SER_hh_tes!R16=0,"",SER_hh_tes!R16/SER_hh_fec!R16)</f>
        <v>4.0892152047295367</v>
      </c>
      <c r="S16" s="136">
        <f>IF(SER_hh_tes!S16=0,"",SER_hh_tes!S16/SER_hh_fec!S16)</f>
        <v>4.2343362169277237</v>
      </c>
      <c r="T16" s="136">
        <f>IF(SER_hh_tes!T16=0,"",SER_hh_tes!T16/SER_hh_fec!T16)</f>
        <v>4.3706133368233191</v>
      </c>
      <c r="U16" s="136">
        <f>IF(SER_hh_tes!U16=0,"",SER_hh_tes!U16/SER_hh_fec!U16)</f>
        <v>4.4841881908880472</v>
      </c>
      <c r="V16" s="136">
        <f>IF(SER_hh_tes!V16=0,"",SER_hh_tes!V16/SER_hh_fec!V16)</f>
        <v>4.5886537758226886</v>
      </c>
      <c r="W16" s="136">
        <f>IF(SER_hh_tes!W16=0,"",SER_hh_tes!W16/SER_hh_fec!W16)</f>
        <v>4.7119793166032382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2.0432195807241889</v>
      </c>
      <c r="C18" s="137">
        <f>IF(SER_hh_tes!C18=0,"",SER_hh_tes!C18/SER_hh_fec!C18)</f>
        <v>2.1541004341085928</v>
      </c>
      <c r="D18" s="137">
        <f>IF(SER_hh_tes!D18=0,"",SER_hh_tes!D18/SER_hh_fec!D18)</f>
        <v>2.2790607757495573</v>
      </c>
      <c r="E18" s="137">
        <f>IF(SER_hh_tes!E18=0,"",SER_hh_tes!E18/SER_hh_fec!E18)</f>
        <v>2.3994441488741916</v>
      </c>
      <c r="F18" s="137">
        <f>IF(SER_hh_tes!F18=0,"",SER_hh_tes!F18/SER_hh_fec!F18)</f>
        <v>2.51897590648962</v>
      </c>
      <c r="G18" s="137">
        <f>IF(SER_hh_tes!G18=0,"",SER_hh_tes!G18/SER_hh_fec!G18)</f>
        <v>2.6716460066516223</v>
      </c>
      <c r="H18" s="137">
        <f>IF(SER_hh_tes!H18=0,"",SER_hh_tes!H18/SER_hh_fec!H18)</f>
        <v>2.8387709055154637</v>
      </c>
      <c r="I18" s="137">
        <f>IF(SER_hh_tes!I18=0,"",SER_hh_tes!I18/SER_hh_fec!I18)</f>
        <v>2.9898257219460498</v>
      </c>
      <c r="J18" s="137">
        <f>IF(SER_hh_tes!J18=0,"",SER_hh_tes!J18/SER_hh_fec!J18)</f>
        <v>3.1459207717481004</v>
      </c>
      <c r="K18" s="137">
        <f>IF(SER_hh_tes!K18=0,"",SER_hh_tes!K18/SER_hh_fec!K18)</f>
        <v>3.1934273406886207</v>
      </c>
      <c r="L18" s="137">
        <f>IF(SER_hh_tes!L18=0,"",SER_hh_tes!L18/SER_hh_fec!L18)</f>
        <v>3.2668669737973524</v>
      </c>
      <c r="M18" s="137">
        <f>IF(SER_hh_tes!M18=0,"",SER_hh_tes!M18/SER_hh_fec!M18)</f>
        <v>3.3840723708299776</v>
      </c>
      <c r="N18" s="137">
        <f>IF(SER_hh_tes!N18=0,"",SER_hh_tes!N18/SER_hh_fec!N18)</f>
        <v>3.4993101274103142</v>
      </c>
      <c r="O18" s="137">
        <f>IF(SER_hh_tes!O18=0,"",SER_hh_tes!O18/SER_hh_fec!O18)</f>
        <v>3.6223754828204462</v>
      </c>
      <c r="P18" s="137">
        <f>IF(SER_hh_tes!P18=0,"",SER_hh_tes!P18/SER_hh_fec!P18)</f>
        <v>3.7629166482930021</v>
      </c>
      <c r="Q18" s="137">
        <f>IF(SER_hh_tes!Q18=0,"",SER_hh_tes!Q18/SER_hh_fec!Q18)</f>
        <v>3.9324639013149492</v>
      </c>
      <c r="R18" s="137">
        <f>IF(SER_hh_tes!R18=0,"",SER_hh_tes!R18/SER_hh_fec!R18)</f>
        <v>4.0892152047295367</v>
      </c>
      <c r="S18" s="137">
        <f>IF(SER_hh_tes!S18=0,"",SER_hh_tes!S18/SER_hh_fec!S18)</f>
        <v>4.2343362169277237</v>
      </c>
      <c r="T18" s="137">
        <f>IF(SER_hh_tes!T18=0,"",SER_hh_tes!T18/SER_hh_fec!T18)</f>
        <v>4.3706133368233191</v>
      </c>
      <c r="U18" s="137">
        <f>IF(SER_hh_tes!U18=0,"",SER_hh_tes!U18/SER_hh_fec!U18)</f>
        <v>4.4841881908880472</v>
      </c>
      <c r="V18" s="137">
        <f>IF(SER_hh_tes!V18=0,"",SER_hh_tes!V18/SER_hh_fec!V18)</f>
        <v>4.5886537758226886</v>
      </c>
      <c r="W18" s="137">
        <f>IF(SER_hh_tes!W18=0,"",SER_hh_tes!W18/SER_hh_fec!W18)</f>
        <v>4.7119793166032382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0.61700049167304316</v>
      </c>
      <c r="C19" s="136">
        <f>IF(SER_hh_tes!C19=0,"",SER_hh_tes!C19/SER_hh_fec!C19)</f>
        <v>0.61818990166312227</v>
      </c>
      <c r="D19" s="136">
        <f>IF(SER_hh_tes!D19=0,"",SER_hh_tes!D19/SER_hh_fec!D19)</f>
        <v>0.62423108312006959</v>
      </c>
      <c r="E19" s="136">
        <f>IF(SER_hh_tes!E19=0,"",SER_hh_tes!E19/SER_hh_fec!E19)</f>
        <v>0.63380452658014386</v>
      </c>
      <c r="F19" s="136">
        <f>IF(SER_hh_tes!F19=0,"",SER_hh_tes!F19/SER_hh_fec!F19)</f>
        <v>0.64094698677644391</v>
      </c>
      <c r="G19" s="136">
        <f>IF(SER_hh_tes!G19=0,"",SER_hh_tes!G19/SER_hh_fec!G19)</f>
        <v>0.64651126222656508</v>
      </c>
      <c r="H19" s="136">
        <f>IF(SER_hh_tes!H19=0,"",SER_hh_tes!H19/SER_hh_fec!H19)</f>
        <v>0.6516501310660312</v>
      </c>
      <c r="I19" s="136">
        <f>IF(SER_hh_tes!I19=0,"",SER_hh_tes!I19/SER_hh_fec!I19)</f>
        <v>0.65722644823489917</v>
      </c>
      <c r="J19" s="136">
        <f>IF(SER_hh_tes!J19=0,"",SER_hh_tes!J19/SER_hh_fec!J19)</f>
        <v>0.66030116023204077</v>
      </c>
      <c r="K19" s="136">
        <f>IF(SER_hh_tes!K19=0,"",SER_hh_tes!K19/SER_hh_fec!K19)</f>
        <v>0.66631940354732544</v>
      </c>
      <c r="L19" s="136">
        <f>IF(SER_hh_tes!L19=0,"",SER_hh_tes!L19/SER_hh_fec!L19)</f>
        <v>0.67137705160351557</v>
      </c>
      <c r="M19" s="136">
        <f>IF(SER_hh_tes!M19=0,"",SER_hh_tes!M19/SER_hh_fec!M19)</f>
        <v>0.67619955257811759</v>
      </c>
      <c r="N19" s="136">
        <f>IF(SER_hh_tes!N19=0,"",SER_hh_tes!N19/SER_hh_fec!N19)</f>
        <v>0.68306434674847549</v>
      </c>
      <c r="O19" s="136">
        <f>IF(SER_hh_tes!O19=0,"",SER_hh_tes!O19/SER_hh_fec!O19)</f>
        <v>0.68959919337501474</v>
      </c>
      <c r="P19" s="136">
        <f>IF(SER_hh_tes!P19=0,"",SER_hh_tes!P19/SER_hh_fec!P19)</f>
        <v>0.69243353313374889</v>
      </c>
      <c r="Q19" s="136">
        <f>IF(SER_hh_tes!Q19=0,"",SER_hh_tes!Q19/SER_hh_fec!Q19)</f>
        <v>0.69953438994705697</v>
      </c>
      <c r="R19" s="136">
        <f>IF(SER_hh_tes!R19=0,"",SER_hh_tes!R19/SER_hh_fec!R19)</f>
        <v>0.70938067945495242</v>
      </c>
      <c r="S19" s="136">
        <f>IF(SER_hh_tes!S19=0,"",SER_hh_tes!S19/SER_hh_fec!S19)</f>
        <v>0.72169493909389204</v>
      </c>
      <c r="T19" s="136">
        <f>IF(SER_hh_tes!T19=0,"",SER_hh_tes!T19/SER_hh_fec!T19)</f>
        <v>0.73378113939099687</v>
      </c>
      <c r="U19" s="136">
        <f>IF(SER_hh_tes!U19=0,"",SER_hh_tes!U19/SER_hh_fec!U19)</f>
        <v>0.74993070453100663</v>
      </c>
      <c r="V19" s="136">
        <f>IF(SER_hh_tes!V19=0,"",SER_hh_tes!V19/SER_hh_fec!V19)</f>
        <v>0.75989189489476172</v>
      </c>
      <c r="W19" s="136">
        <f>IF(SER_hh_tes!W19=0,"",SER_hh_tes!W19/SER_hh_fec!W19)</f>
        <v>0.77564972438638358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0.4876167291168228</v>
      </c>
      <c r="C22" s="137">
        <f>IF(SER_hh_tes!C22=0,"",SER_hh_tes!C22/SER_hh_fec!C22)</f>
        <v>0.48861744725677864</v>
      </c>
      <c r="D22" s="137">
        <f>IF(SER_hh_tes!D22=0,"",SER_hh_tes!D22/SER_hh_fec!D22)</f>
        <v>0.48870409905000306</v>
      </c>
      <c r="E22" s="137">
        <f>IF(SER_hh_tes!E22=0,"",SER_hh_tes!E22/SER_hh_fec!E22)</f>
        <v>0.48876040870575832</v>
      </c>
      <c r="F22" s="137">
        <f>IF(SER_hh_tes!F22=0,"",SER_hh_tes!F22/SER_hh_fec!F22)</f>
        <v>0.48876040870575826</v>
      </c>
      <c r="G22" s="137">
        <f>IF(SER_hh_tes!G22=0,"",SER_hh_tes!G22/SER_hh_fec!G22)</f>
        <v>0.48876040870575826</v>
      </c>
      <c r="H22" s="137">
        <f>IF(SER_hh_tes!H22=0,"",SER_hh_tes!H22/SER_hh_fec!H22)</f>
        <v>0.48878139530068682</v>
      </c>
      <c r="I22" s="137">
        <f>IF(SER_hh_tes!I22=0,"",SER_hh_tes!I22/SER_hh_fec!I22)</f>
        <v>0.49232922960465597</v>
      </c>
      <c r="J22" s="137">
        <f>IF(SER_hh_tes!J22=0,"",SER_hh_tes!J22/SER_hh_fec!J22)</f>
        <v>0.49737714160813173</v>
      </c>
      <c r="K22" s="137">
        <f>IF(SER_hh_tes!K22=0,"",SER_hh_tes!K22/SER_hh_fec!K22)</f>
        <v>0.50312781771213666</v>
      </c>
      <c r="L22" s="137">
        <f>IF(SER_hh_tes!L22=0,"",SER_hh_tes!L22/SER_hh_fec!L22)</f>
        <v>0.50991845021747984</v>
      </c>
      <c r="M22" s="137">
        <f>IF(SER_hh_tes!M22=0,"",SER_hh_tes!M22/SER_hh_fec!M22)</f>
        <v>0.51872781436871251</v>
      </c>
      <c r="N22" s="137">
        <f>IF(SER_hh_tes!N22=0,"",SER_hh_tes!N22/SER_hh_fec!N22)</f>
        <v>0.53110751771859677</v>
      </c>
      <c r="O22" s="137">
        <f>IF(SER_hh_tes!O22=0,"",SER_hh_tes!O22/SER_hh_fec!O22)</f>
        <v>0.54606208117239818</v>
      </c>
      <c r="P22" s="137">
        <f>IF(SER_hh_tes!P22=0,"",SER_hh_tes!P22/SER_hh_fec!P22)</f>
        <v>0.54685318417724271</v>
      </c>
      <c r="Q22" s="137">
        <f>IF(SER_hh_tes!Q22=0,"",SER_hh_tes!Q22/SER_hh_fec!Q22)</f>
        <v>0.54785951669968957</v>
      </c>
      <c r="R22" s="137">
        <f>IF(SER_hh_tes!R22=0,"",SER_hh_tes!R22/SER_hh_fec!R22)</f>
        <v>0.54914178460181851</v>
      </c>
      <c r="S22" s="137">
        <f>IF(SER_hh_tes!S22=0,"",SER_hh_tes!S22/SER_hh_fec!S22)</f>
        <v>0.55079220493101</v>
      </c>
      <c r="T22" s="137">
        <f>IF(SER_hh_tes!T22=0,"",SER_hh_tes!T22/SER_hh_fec!T22)</f>
        <v>0.55149562463719548</v>
      </c>
      <c r="U22" s="137">
        <f>IF(SER_hh_tes!U22=0,"",SER_hh_tes!U22/SER_hh_fec!U22)</f>
        <v>0.5522842221180303</v>
      </c>
      <c r="V22" s="137">
        <f>IF(SER_hh_tes!V22=0,"",SER_hh_tes!V22/SER_hh_fec!V22)</f>
        <v>0.55285192282611417</v>
      </c>
      <c r="W22" s="137">
        <f>IF(SER_hh_tes!W22=0,"",SER_hh_tes!W22/SER_hh_fec!W22)</f>
        <v>0.56285476715728788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0.49816099068770742</v>
      </c>
      <c r="C23" s="137">
        <f>IF(SER_hh_tes!C23=0,"",SER_hh_tes!C23/SER_hh_fec!C23)</f>
        <v>0.51604976136878211</v>
      </c>
      <c r="D23" s="137">
        <f>IF(SER_hh_tes!D23=0,"",SER_hh_tes!D23/SER_hh_fec!D23)</f>
        <v>0.52496425652536938</v>
      </c>
      <c r="E23" s="137">
        <f>IF(SER_hh_tes!E23=0,"",SER_hh_tes!E23/SER_hh_fec!E23)</f>
        <v>0.53179812745584853</v>
      </c>
      <c r="F23" s="137">
        <f>IF(SER_hh_tes!F23=0,"",SER_hh_tes!F23/SER_hh_fec!F23)</f>
        <v>0.53680246122694864</v>
      </c>
      <c r="G23" s="137">
        <f>IF(SER_hh_tes!G23=0,"",SER_hh_tes!G23/SER_hh_fec!G23)</f>
        <v>0.54198367966720917</v>
      </c>
      <c r="H23" s="137">
        <f>IF(SER_hh_tes!H23=0,"",SER_hh_tes!H23/SER_hh_fec!H23)</f>
        <v>0.54751358955005291</v>
      </c>
      <c r="I23" s="137">
        <f>IF(SER_hh_tes!I23=0,"",SER_hh_tes!I23/SER_hh_fec!I23)</f>
        <v>0.55310798605237388</v>
      </c>
      <c r="J23" s="137">
        <f>IF(SER_hh_tes!J23=0,"",SER_hh_tes!J23/SER_hh_fec!J23)</f>
        <v>0.55839295579751513</v>
      </c>
      <c r="K23" s="137">
        <f>IF(SER_hh_tes!K23=0,"",SER_hh_tes!K23/SER_hh_fec!K23)</f>
        <v>0.56512814555522517</v>
      </c>
      <c r="L23" s="137">
        <f>IF(SER_hh_tes!L23=0,"",SER_hh_tes!L23/SER_hh_fec!L23)</f>
        <v>0.57350080672227344</v>
      </c>
      <c r="M23" s="137">
        <f>IF(SER_hh_tes!M23=0,"",SER_hh_tes!M23/SER_hh_fec!M23)</f>
        <v>0.58703688913388186</v>
      </c>
      <c r="N23" s="137">
        <f>IF(SER_hh_tes!N23=0,"",SER_hh_tes!N23/SER_hh_fec!N23)</f>
        <v>0.6046232764812568</v>
      </c>
      <c r="O23" s="137">
        <f>IF(SER_hh_tes!O23=0,"",SER_hh_tes!O23/SER_hh_fec!O23)</f>
        <v>0.62675263942317749</v>
      </c>
      <c r="P23" s="137">
        <f>IF(SER_hh_tes!P23=0,"",SER_hh_tes!P23/SER_hh_fec!P23)</f>
        <v>0.64653672598969492</v>
      </c>
      <c r="Q23" s="137">
        <f>IF(SER_hh_tes!Q23=0,"",SER_hh_tes!Q23/SER_hh_fec!Q23)</f>
        <v>0.66245823766156586</v>
      </c>
      <c r="R23" s="137">
        <f>IF(SER_hh_tes!R23=0,"",SER_hh_tes!R23/SER_hh_fec!R23)</f>
        <v>0.6775830795035388</v>
      </c>
      <c r="S23" s="137">
        <f>IF(SER_hh_tes!S23=0,"",SER_hh_tes!S23/SER_hh_fec!S23)</f>
        <v>0.69342298171256622</v>
      </c>
      <c r="T23" s="137">
        <f>IF(SER_hh_tes!T23=0,"",SER_hh_tes!T23/SER_hh_fec!T23)</f>
        <v>0.70777361710391928</v>
      </c>
      <c r="U23" s="137">
        <f>IF(SER_hh_tes!U23=0,"",SER_hh_tes!U23/SER_hh_fec!U23)</f>
        <v>0.7192250220780545</v>
      </c>
      <c r="V23" s="137">
        <f>IF(SER_hh_tes!V23=0,"",SER_hh_tes!V23/SER_hh_fec!V23)</f>
        <v>0.72926072349040805</v>
      </c>
      <c r="W23" s="137">
        <f>IF(SER_hh_tes!W23=0,"",SER_hh_tes!W23/SER_hh_fec!W23)</f>
        <v>0.73766087707313044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0.74569061706710926</v>
      </c>
      <c r="C25" s="137">
        <f>IF(SER_hh_tes!C25=0,"",SER_hh_tes!C25/SER_hh_fec!C25)</f>
        <v>0.74844954677334929</v>
      </c>
      <c r="D25" s="137">
        <f>IF(SER_hh_tes!D25=0,"",SER_hh_tes!D25/SER_hh_fec!D25)</f>
        <v>0.75127723954978587</v>
      </c>
      <c r="E25" s="137">
        <f>IF(SER_hh_tes!E25=0,"",SER_hh_tes!E25/SER_hh_fec!E25)</f>
        <v>0.75427329558270573</v>
      </c>
      <c r="F25" s="137">
        <f>IF(SER_hh_tes!F25=0,"",SER_hh_tes!F25/SER_hh_fec!F25)</f>
        <v>0.75756593573953113</v>
      </c>
      <c r="G25" s="137">
        <f>IF(SER_hh_tes!G25=0,"",SER_hh_tes!G25/SER_hh_fec!G25)</f>
        <v>0.76111966687127275</v>
      </c>
      <c r="H25" s="137">
        <f>IF(SER_hh_tes!H25=0,"",SER_hh_tes!H25/SER_hh_fec!H25)</f>
        <v>0.76464892619886848</v>
      </c>
      <c r="I25" s="137">
        <f>IF(SER_hh_tes!I25=0,"",SER_hh_tes!I25/SER_hh_fec!I25)</f>
        <v>0.76811339263170642</v>
      </c>
      <c r="J25" s="137">
        <f>IF(SER_hh_tes!J25=0,"",SER_hh_tes!J25/SER_hh_fec!J25)</f>
        <v>0.7712369712012751</v>
      </c>
      <c r="K25" s="137">
        <f>IF(SER_hh_tes!K25=0,"",SER_hh_tes!K25/SER_hh_fec!K25)</f>
        <v>0.77447587036943366</v>
      </c>
      <c r="L25" s="137">
        <f>IF(SER_hh_tes!L25=0,"",SER_hh_tes!L25/SER_hh_fec!L25)</f>
        <v>0.7776598366530757</v>
      </c>
      <c r="M25" s="137">
        <f>IF(SER_hh_tes!M25=0,"",SER_hh_tes!M25/SER_hh_fec!M25)</f>
        <v>0.78109441294129389</v>
      </c>
      <c r="N25" s="137">
        <f>IF(SER_hh_tes!N25=0,"",SER_hh_tes!N25/SER_hh_fec!N25)</f>
        <v>0.78495078796048245</v>
      </c>
      <c r="O25" s="137">
        <f>IF(SER_hh_tes!O25=0,"",SER_hh_tes!O25/SER_hh_fec!O25)</f>
        <v>0.78889271323687549</v>
      </c>
      <c r="P25" s="137">
        <f>IF(SER_hh_tes!P25=0,"",SER_hh_tes!P25/SER_hh_fec!P25)</f>
        <v>0.79048951139475288</v>
      </c>
      <c r="Q25" s="137">
        <f>IF(SER_hh_tes!Q25=0,"",SER_hh_tes!Q25/SER_hh_fec!Q25)</f>
        <v>0.79304386943614102</v>
      </c>
      <c r="R25" s="137">
        <f>IF(SER_hh_tes!R25=0,"",SER_hh_tes!R25/SER_hh_fec!R25)</f>
        <v>0.79693639087922186</v>
      </c>
      <c r="S25" s="137">
        <f>IF(SER_hh_tes!S25=0,"",SER_hh_tes!S25/SER_hh_fec!S25)</f>
        <v>0.80217433895810641</v>
      </c>
      <c r="T25" s="137">
        <f>IF(SER_hh_tes!T25=0,"",SER_hh_tes!T25/SER_hh_fec!T25)</f>
        <v>0.8074076448869334</v>
      </c>
      <c r="U25" s="137">
        <f>IF(SER_hh_tes!U25=0,"",SER_hh_tes!U25/SER_hh_fec!U25)</f>
        <v>0.81317194807433646</v>
      </c>
      <c r="V25" s="137">
        <f>IF(SER_hh_tes!V25=0,"",SER_hh_tes!V25/SER_hh_fec!V25)</f>
        <v>0.8201312791938149</v>
      </c>
      <c r="W25" s="137">
        <f>IF(SER_hh_tes!W25=0,"",SER_hh_tes!W25/SER_hh_fec!W25)</f>
        <v>0.82726181391614906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0.61444399542729888</v>
      </c>
      <c r="C26" s="138">
        <f>IF(SER_hh_tes!C26=0,"",SER_hh_tes!C26/SER_hh_fec!C26)</f>
        <v>0.61672387877772317</v>
      </c>
      <c r="D26" s="138">
        <f>IF(SER_hh_tes!D26=0,"",SER_hh_tes!D26/SER_hh_fec!D26)</f>
        <v>0.62028537632427849</v>
      </c>
      <c r="E26" s="138">
        <f>IF(SER_hh_tes!E26=0,"",SER_hh_tes!E26/SER_hh_fec!E26)</f>
        <v>0.62400100141759351</v>
      </c>
      <c r="F26" s="138">
        <f>IF(SER_hh_tes!F26=0,"",SER_hh_tes!F26/SER_hh_fec!F26)</f>
        <v>0.62698062875981198</v>
      </c>
      <c r="G26" s="138">
        <f>IF(SER_hh_tes!G26=0,"",SER_hh_tes!G26/SER_hh_fec!G26)</f>
        <v>0.63051096769722248</v>
      </c>
      <c r="H26" s="138">
        <f>IF(SER_hh_tes!H26=0,"",SER_hh_tes!H26/SER_hh_fec!H26)</f>
        <v>0.63421782311077612</v>
      </c>
      <c r="I26" s="138">
        <f>IF(SER_hh_tes!I26=0,"",SER_hh_tes!I26/SER_hh_fec!I26)</f>
        <v>0.63707404840271586</v>
      </c>
      <c r="J26" s="138">
        <f>IF(SER_hh_tes!J26=0,"",SER_hh_tes!J26/SER_hh_fec!J26)</f>
        <v>0.63835788173083852</v>
      </c>
      <c r="K26" s="138">
        <f>IF(SER_hh_tes!K26=0,"",SER_hh_tes!K26/SER_hh_fec!K26)</f>
        <v>0.64023810312688245</v>
      </c>
      <c r="L26" s="138">
        <f>IF(SER_hh_tes!L26=0,"",SER_hh_tes!L26/SER_hh_fec!L26)</f>
        <v>0.64381369842757441</v>
      </c>
      <c r="M26" s="138">
        <f>IF(SER_hh_tes!M26=0,"",SER_hh_tes!M26/SER_hh_fec!M26)</f>
        <v>0.64963555849354881</v>
      </c>
      <c r="N26" s="138">
        <f>IF(SER_hh_tes!N26=0,"",SER_hh_tes!N26/SER_hh_fec!N26)</f>
        <v>0.6561331539068217</v>
      </c>
      <c r="O26" s="138">
        <f>IF(SER_hh_tes!O26=0,"",SER_hh_tes!O26/SER_hh_fec!O26)</f>
        <v>0.66177261624898642</v>
      </c>
      <c r="P26" s="138">
        <f>IF(SER_hh_tes!P26=0,"",SER_hh_tes!P26/SER_hh_fec!P26)</f>
        <v>0.66502572128873827</v>
      </c>
      <c r="Q26" s="138">
        <f>IF(SER_hh_tes!Q26=0,"",SER_hh_tes!Q26/SER_hh_fec!Q26)</f>
        <v>0.67518769354658836</v>
      </c>
      <c r="R26" s="138">
        <f>IF(SER_hh_tes!R26=0,"",SER_hh_tes!R26/SER_hh_fec!R26)</f>
        <v>0.68634901853469055</v>
      </c>
      <c r="S26" s="138">
        <f>IF(SER_hh_tes!S26=0,"",SER_hh_tes!S26/SER_hh_fec!S26)</f>
        <v>0.70414804471702486</v>
      </c>
      <c r="T26" s="138">
        <f>IF(SER_hh_tes!T26=0,"",SER_hh_tes!T26/SER_hh_fec!T26)</f>
        <v>0.72420331319413278</v>
      </c>
      <c r="U26" s="138">
        <f>IF(SER_hh_tes!U26=0,"",SER_hh_tes!U26/SER_hh_fec!U26)</f>
        <v>0.74595794940201621</v>
      </c>
      <c r="V26" s="138">
        <f>IF(SER_hh_tes!V26=0,"",SER_hh_tes!V26/SER_hh_fec!V26)</f>
        <v>0.76536289499915355</v>
      </c>
      <c r="W26" s="138">
        <f>IF(SER_hh_tes!W26=0,"",SER_hh_tes!W26/SER_hh_fec!W26)</f>
        <v>0.78489632139846377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0.70520395899210442</v>
      </c>
      <c r="C29" s="136">
        <f>IF(SER_hh_tes!C29=0,"",SER_hh_tes!C29/SER_hh_fec!C29)</f>
        <v>0.69298240591200444</v>
      </c>
      <c r="D29" s="136">
        <f>IF(SER_hh_tes!D29=0,"",SER_hh_tes!D29/SER_hh_fec!D29)</f>
        <v>0.68670748105130153</v>
      </c>
      <c r="E29" s="136">
        <f>IF(SER_hh_tes!E29=0,"",SER_hh_tes!E29/SER_hh_fec!E29)</f>
        <v>0.68927777677947455</v>
      </c>
      <c r="F29" s="136">
        <f>IF(SER_hh_tes!F29=0,"",SER_hh_tes!F29/SER_hh_fec!F29)</f>
        <v>0.68704125396452309</v>
      </c>
      <c r="G29" s="136">
        <f>IF(SER_hh_tes!G29=0,"",SER_hh_tes!G29/SER_hh_fec!G29)</f>
        <v>0.69136993638105748</v>
      </c>
      <c r="H29" s="136">
        <f>IF(SER_hh_tes!H29=0,"",SER_hh_tes!H29/SER_hh_fec!H29)</f>
        <v>0.695024576135989</v>
      </c>
      <c r="I29" s="136">
        <f>IF(SER_hh_tes!I29=0,"",SER_hh_tes!I29/SER_hh_fec!I29)</f>
        <v>0.69832985699003469</v>
      </c>
      <c r="J29" s="136">
        <f>IF(SER_hh_tes!J29=0,"",SER_hh_tes!J29/SER_hh_fec!J29)</f>
        <v>0.70132427326687119</v>
      </c>
      <c r="K29" s="136">
        <f>IF(SER_hh_tes!K29=0,"",SER_hh_tes!K29/SER_hh_fec!K29)</f>
        <v>0.70635207088470886</v>
      </c>
      <c r="L29" s="136">
        <f>IF(SER_hh_tes!L29=0,"",SER_hh_tes!L29/SER_hh_fec!L29)</f>
        <v>0.70762506243318335</v>
      </c>
      <c r="M29" s="136">
        <f>IF(SER_hh_tes!M29=0,"",SER_hh_tes!M29/SER_hh_fec!M29)</f>
        <v>0.70882511936118819</v>
      </c>
      <c r="N29" s="136">
        <f>IF(SER_hh_tes!N29=0,"",SER_hh_tes!N29/SER_hh_fec!N29)</f>
        <v>0.70930572213329246</v>
      </c>
      <c r="O29" s="136">
        <f>IF(SER_hh_tes!O29=0,"",SER_hh_tes!O29/SER_hh_fec!O29)</f>
        <v>0.71180639365429821</v>
      </c>
      <c r="P29" s="136">
        <f>IF(SER_hh_tes!P29=0,"",SER_hh_tes!P29/SER_hh_fec!P29)</f>
        <v>0.71443809466318786</v>
      </c>
      <c r="Q29" s="136">
        <f>IF(SER_hh_tes!Q29=0,"",SER_hh_tes!Q29/SER_hh_fec!Q29)</f>
        <v>0.71759443929164402</v>
      </c>
      <c r="R29" s="136">
        <f>IF(SER_hh_tes!R29=0,"",SER_hh_tes!R29/SER_hh_fec!R29)</f>
        <v>0.70793944012820276</v>
      </c>
      <c r="S29" s="136">
        <f>IF(SER_hh_tes!S29=0,"",SER_hh_tes!S29/SER_hh_fec!S29)</f>
        <v>0.71008234885616373</v>
      </c>
      <c r="T29" s="136">
        <f>IF(SER_hh_tes!T29=0,"",SER_hh_tes!T29/SER_hh_fec!T29)</f>
        <v>0.72260966343623179</v>
      </c>
      <c r="U29" s="136">
        <f>IF(SER_hh_tes!U29=0,"",SER_hh_tes!U29/SER_hh_fec!U29)</f>
        <v>0.71793539489949831</v>
      </c>
      <c r="V29" s="136">
        <f>IF(SER_hh_tes!V29=0,"",SER_hh_tes!V29/SER_hh_fec!V29)</f>
        <v>0.72117016453626293</v>
      </c>
      <c r="W29" s="136">
        <f>IF(SER_hh_tes!W29=0,"",SER_hh_tes!W29/SER_hh_fec!W29)</f>
        <v>0.73789523025079928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>
        <f>IF(SER_hh_tes!F30=0,"",SER_hh_tes!F30/SER_hh_fec!F30)</f>
        <v>0.58955429091290046</v>
      </c>
      <c r="G30" s="137">
        <f>IF(SER_hh_tes!G30=0,"",SER_hh_tes!G30/SER_hh_fec!G30)</f>
        <v>0.58964067534955578</v>
      </c>
      <c r="H30" s="137">
        <f>IF(SER_hh_tes!H30=0,"",SER_hh_tes!H30/SER_hh_fec!H30)</f>
        <v>0.58971584347446515</v>
      </c>
      <c r="I30" s="137">
        <f>IF(SER_hh_tes!I30=0,"",SER_hh_tes!I30/SER_hh_fec!I30)</f>
        <v>0.58972383036445641</v>
      </c>
      <c r="J30" s="137">
        <f>IF(SER_hh_tes!J30=0,"",SER_hh_tes!J30/SER_hh_fec!J30)</f>
        <v>0.58972725560303185</v>
      </c>
      <c r="K30" s="137">
        <f>IF(SER_hh_tes!K30=0,"",SER_hh_tes!K30/SER_hh_fec!K30)</f>
        <v>0.58974443449828196</v>
      </c>
      <c r="L30" s="137">
        <f>IF(SER_hh_tes!L30=0,"",SER_hh_tes!L30/SER_hh_fec!L30)</f>
        <v>0.58981641468562895</v>
      </c>
      <c r="M30" s="137">
        <f>IF(SER_hh_tes!M30=0,"",SER_hh_tes!M30/SER_hh_fec!M30)</f>
        <v>0.5899677860099839</v>
      </c>
      <c r="N30" s="137">
        <f>IF(SER_hh_tes!N30=0,"",SER_hh_tes!N30/SER_hh_fec!N30)</f>
        <v>0.5901872482626086</v>
      </c>
      <c r="O30" s="137">
        <f>IF(SER_hh_tes!O30=0,"",SER_hh_tes!O30/SER_hh_fec!O30)</f>
        <v>0.59046475840110779</v>
      </c>
      <c r="P30" s="137">
        <f>IF(SER_hh_tes!P30=0,"",SER_hh_tes!P30/SER_hh_fec!P30)</f>
        <v>0.59091548775287961</v>
      </c>
      <c r="Q30" s="137">
        <f>IF(SER_hh_tes!Q30=0,"",SER_hh_tes!Q30/SER_hh_fec!Q30)</f>
        <v>0.59143276776825027</v>
      </c>
      <c r="R30" s="137">
        <f>IF(SER_hh_tes!R30=0,"",SER_hh_tes!R30/SER_hh_fec!R30)</f>
        <v>0.59222049948398936</v>
      </c>
      <c r="S30" s="137">
        <f>IF(SER_hh_tes!S30=0,"",SER_hh_tes!S30/SER_hh_fec!S30)</f>
        <v>0.59255966165962481</v>
      </c>
      <c r="T30" s="137">
        <f>IF(SER_hh_tes!T30=0,"",SER_hh_tes!T30/SER_hh_fec!T30)</f>
        <v>0.59289612676928605</v>
      </c>
      <c r="U30" s="137">
        <f>IF(SER_hh_tes!U30=0,"",SER_hh_tes!U30/SER_hh_fec!U30)</f>
        <v>0.59304081590683111</v>
      </c>
      <c r="V30" s="137">
        <f>IF(SER_hh_tes!V30=0,"",SER_hh_tes!V30/SER_hh_fec!V30)</f>
        <v>0.59344780018021059</v>
      </c>
      <c r="W30" s="137">
        <f>IF(SER_hh_tes!W30=0,"",SER_hh_tes!W30/SER_hh_fec!W30)</f>
        <v>0.5940058925263334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0.54551005270557351</v>
      </c>
      <c r="C31" s="137">
        <f>IF(SER_hh_tes!C31=0,"",SER_hh_tes!C31/SER_hh_fec!C31)</f>
        <v>0.5487939878794994</v>
      </c>
      <c r="D31" s="137">
        <f>IF(SER_hh_tes!D31=0,"",SER_hh_tes!D31/SER_hh_fec!D31)</f>
        <v>0.55031766090260803</v>
      </c>
      <c r="E31" s="137">
        <f>IF(SER_hh_tes!E31=0,"",SER_hh_tes!E31/SER_hh_fec!E31)</f>
        <v>0.55118169173848242</v>
      </c>
      <c r="F31" s="137">
        <f>IF(SER_hh_tes!F31=0,"",SER_hh_tes!F31/SER_hh_fec!F31)</f>
        <v>0.55173146934618755</v>
      </c>
      <c r="G31" s="137">
        <f>IF(SER_hh_tes!G31=0,"",SER_hh_tes!G31/SER_hh_fec!G31)</f>
        <v>0.55217350035410384</v>
      </c>
      <c r="H31" s="137">
        <f>IF(SER_hh_tes!H31=0,"",SER_hh_tes!H31/SER_hh_fec!H31)</f>
        <v>0.55270723715504866</v>
      </c>
      <c r="I31" s="137">
        <f>IF(SER_hh_tes!I31=0,"",SER_hh_tes!I31/SER_hh_fec!I31)</f>
        <v>0.55326898311504025</v>
      </c>
      <c r="J31" s="137">
        <f>IF(SER_hh_tes!J31=0,"",SER_hh_tes!J31/SER_hh_fec!J31)</f>
        <v>0.55391446141829181</v>
      </c>
      <c r="K31" s="137">
        <f>IF(SER_hh_tes!K31=0,"",SER_hh_tes!K31/SER_hh_fec!K31)</f>
        <v>0.55480127937924917</v>
      </c>
      <c r="L31" s="137">
        <f>IF(SER_hh_tes!L31=0,"",SER_hh_tes!L31/SER_hh_fec!L31)</f>
        <v>0.5561166301806818</v>
      </c>
      <c r="M31" s="137">
        <f>IF(SER_hh_tes!M31=0,"",SER_hh_tes!M31/SER_hh_fec!M31)</f>
        <v>0.55743825799656399</v>
      </c>
      <c r="N31" s="137">
        <f>IF(SER_hh_tes!N31=0,"",SER_hh_tes!N31/SER_hh_fec!N31)</f>
        <v>0.55907153176068924</v>
      </c>
      <c r="O31" s="137">
        <f>IF(SER_hh_tes!O31=0,"",SER_hh_tes!O31/SER_hh_fec!O31)</f>
        <v>0.56086730104011795</v>
      </c>
      <c r="P31" s="137">
        <f>IF(SER_hh_tes!P31=0,"",SER_hh_tes!P31/SER_hh_fec!P31)</f>
        <v>0.56198716284144912</v>
      </c>
      <c r="Q31" s="137">
        <f>IF(SER_hh_tes!Q31=0,"",SER_hh_tes!Q31/SER_hh_fec!Q31)</f>
        <v>0.56254657033636768</v>
      </c>
      <c r="R31" s="137">
        <f>IF(SER_hh_tes!R31=0,"",SER_hh_tes!R31/SER_hh_fec!R31)</f>
        <v>0.5634823551563789</v>
      </c>
      <c r="S31" s="137">
        <f>IF(SER_hh_tes!S31=0,"",SER_hh_tes!S31/SER_hh_fec!S31)</f>
        <v>0.56484271415604892</v>
      </c>
      <c r="T31" s="137">
        <f>IF(SER_hh_tes!T31=0,"",SER_hh_tes!T31/SER_hh_fec!T31)</f>
        <v>0.56716475315691983</v>
      </c>
      <c r="U31" s="137">
        <f>IF(SER_hh_tes!U31=0,"",SER_hh_tes!U31/SER_hh_fec!U31)</f>
        <v>0.5699556868511283</v>
      </c>
      <c r="V31" s="137">
        <f>IF(SER_hh_tes!V31=0,"",SER_hh_tes!V31/SER_hh_fec!V31)</f>
        <v>0.57312174094412771</v>
      </c>
      <c r="W31" s="137">
        <f>IF(SER_hh_tes!W31=0,"",SER_hh_tes!W31/SER_hh_fec!W31)</f>
        <v>0.57621368398419226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0.7117003790143096</v>
      </c>
      <c r="C33" s="150">
        <f>IF(SER_hh_tes!C33=0,"",SER_hh_tes!C33/SER_hh_fec!C33)</f>
        <v>0.71304826500710672</v>
      </c>
      <c r="D33" s="150">
        <f>IF(SER_hh_tes!D33=0,"",SER_hh_tes!D33/SER_hh_fec!D33)</f>
        <v>0.7147246474631932</v>
      </c>
      <c r="E33" s="150">
        <f>IF(SER_hh_tes!E33=0,"",SER_hh_tes!E33/SER_hh_fec!E33)</f>
        <v>0.71680857861370129</v>
      </c>
      <c r="F33" s="150">
        <f>IF(SER_hh_tes!F33=0,"",SER_hh_tes!F33/SER_hh_fec!F33)</f>
        <v>0.71872474425413491</v>
      </c>
      <c r="G33" s="150">
        <f>IF(SER_hh_tes!G33=0,"",SER_hh_tes!G33/SER_hh_fec!G33)</f>
        <v>0.72140501611156538</v>
      </c>
      <c r="H33" s="150">
        <f>IF(SER_hh_tes!H33=0,"",SER_hh_tes!H33/SER_hh_fec!H33)</f>
        <v>0.72427237873910444</v>
      </c>
      <c r="I33" s="150">
        <f>IF(SER_hh_tes!I33=0,"",SER_hh_tes!I33/SER_hh_fec!I33)</f>
        <v>0.72696769100883685</v>
      </c>
      <c r="J33" s="150">
        <f>IF(SER_hh_tes!J33=0,"",SER_hh_tes!J33/SER_hh_fec!J33)</f>
        <v>0.72932192918088101</v>
      </c>
      <c r="K33" s="150">
        <f>IF(SER_hh_tes!K33=0,"",SER_hh_tes!K33/SER_hh_fec!K33)</f>
        <v>0.73214722192207982</v>
      </c>
      <c r="L33" s="150">
        <f>IF(SER_hh_tes!L33=0,"",SER_hh_tes!L33/SER_hh_fec!L33)</f>
        <v>0.73440689104581325</v>
      </c>
      <c r="M33" s="150">
        <f>IF(SER_hh_tes!M33=0,"",SER_hh_tes!M33/SER_hh_fec!M33)</f>
        <v>0.73561305137641986</v>
      </c>
      <c r="N33" s="150">
        <f>IF(SER_hh_tes!N33=0,"",SER_hh_tes!N33/SER_hh_fec!N33)</f>
        <v>0.73728515154511143</v>
      </c>
      <c r="O33" s="150">
        <f>IF(SER_hh_tes!O33=0,"",SER_hh_tes!O33/SER_hh_fec!O33)</f>
        <v>0.73977869992251921</v>
      </c>
      <c r="P33" s="150">
        <f>IF(SER_hh_tes!P33=0,"",SER_hh_tes!P33/SER_hh_fec!P33)</f>
        <v>0.74302521317615933</v>
      </c>
      <c r="Q33" s="150">
        <f>IF(SER_hh_tes!Q33=0,"",SER_hh_tes!Q33/SER_hh_fec!Q33)</f>
        <v>0.74732454496669132</v>
      </c>
      <c r="R33" s="150">
        <f>IF(SER_hh_tes!R33=0,"",SER_hh_tes!R33/SER_hh_fec!R33)</f>
        <v>0.75200604917478775</v>
      </c>
      <c r="S33" s="150">
        <f>IF(SER_hh_tes!S33=0,"",SER_hh_tes!S33/SER_hh_fec!S33)</f>
        <v>0.75950563048922548</v>
      </c>
      <c r="T33" s="150">
        <f>IF(SER_hh_tes!T33=0,"",SER_hh_tes!T33/SER_hh_fec!T33)</f>
        <v>0.76794974578350206</v>
      </c>
      <c r="U33" s="150">
        <f>IF(SER_hh_tes!U33=0,"",SER_hh_tes!U33/SER_hh_fec!U33)</f>
        <v>0.77701344755783452</v>
      </c>
      <c r="V33" s="150">
        <f>IF(SER_hh_tes!V33=0,"",SER_hh_tes!V33/SER_hh_fec!V33)</f>
        <v>0.78627828012000367</v>
      </c>
      <c r="W33" s="150">
        <f>IF(SER_hh_tes!W33=0,"",SER_hh_tes!W33/SER_hh_fec!W33)</f>
        <v>0.79700528967280204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217.93047548214881</v>
      </c>
      <c r="C3" s="126">
        <f t="shared" si="0"/>
        <v>287.42059230719656</v>
      </c>
      <c r="D3" s="126">
        <f t="shared" si="0"/>
        <v>231.03616708363208</v>
      </c>
      <c r="E3" s="126">
        <f t="shared" si="0"/>
        <v>303.92520810651155</v>
      </c>
      <c r="F3" s="126">
        <f t="shared" si="0"/>
        <v>293.24959444061022</v>
      </c>
      <c r="G3" s="126">
        <f t="shared" si="0"/>
        <v>283.42368009005492</v>
      </c>
      <c r="H3" s="126">
        <f t="shared" si="0"/>
        <v>247.81814218095619</v>
      </c>
      <c r="I3" s="126">
        <f t="shared" si="0"/>
        <v>243.8062775477303</v>
      </c>
      <c r="J3" s="126">
        <f t="shared" si="0"/>
        <v>211.51025166334412</v>
      </c>
      <c r="K3" s="126">
        <f t="shared" si="0"/>
        <v>184.48655097066123</v>
      </c>
      <c r="L3" s="126">
        <f t="shared" si="0"/>
        <v>172.60887602864904</v>
      </c>
      <c r="M3" s="126">
        <f t="shared" si="0"/>
        <v>214.37343717323694</v>
      </c>
      <c r="N3" s="126">
        <f t="shared" si="0"/>
        <v>227.57453617472689</v>
      </c>
      <c r="O3" s="126">
        <f t="shared" si="0"/>
        <v>241.1493407804422</v>
      </c>
      <c r="P3" s="126">
        <f t="shared" si="0"/>
        <v>262.74325561509647</v>
      </c>
      <c r="Q3" s="126">
        <f t="shared" si="0"/>
        <v>278.50618950956556</v>
      </c>
      <c r="R3" s="126">
        <f t="shared" ref="R3:W3" si="1">SUM(R4,R16,R19,R29)</f>
        <v>279.68308929209974</v>
      </c>
      <c r="S3" s="126">
        <f t="shared" si="1"/>
        <v>265.5691515138904</v>
      </c>
      <c r="T3" s="126">
        <f t="shared" si="1"/>
        <v>271.83222007983022</v>
      </c>
      <c r="U3" s="126">
        <f t="shared" si="1"/>
        <v>242.8044904074379</v>
      </c>
      <c r="V3" s="126">
        <f t="shared" si="1"/>
        <v>248.29729239381567</v>
      </c>
      <c r="W3" s="126">
        <f t="shared" si="1"/>
        <v>260.90384007760304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190.49495620506926</v>
      </c>
      <c r="C4" s="131">
        <f t="shared" si="2"/>
        <v>252.11402535610605</v>
      </c>
      <c r="D4" s="131">
        <f t="shared" si="2"/>
        <v>194.94765638790068</v>
      </c>
      <c r="E4" s="131">
        <f t="shared" si="2"/>
        <v>272.61184547905634</v>
      </c>
      <c r="F4" s="131">
        <f t="shared" si="2"/>
        <v>261.57095597999285</v>
      </c>
      <c r="G4" s="131">
        <f t="shared" si="2"/>
        <v>252.70799871080186</v>
      </c>
      <c r="H4" s="131">
        <f t="shared" si="2"/>
        <v>218.00856887230975</v>
      </c>
      <c r="I4" s="131">
        <f t="shared" si="2"/>
        <v>214.73877691301078</v>
      </c>
      <c r="J4" s="131">
        <f t="shared" si="2"/>
        <v>182.66651163618059</v>
      </c>
      <c r="K4" s="131">
        <f t="shared" si="2"/>
        <v>156.97240075070138</v>
      </c>
      <c r="L4" s="131">
        <f t="shared" si="2"/>
        <v>144.9418389583324</v>
      </c>
      <c r="M4" s="131">
        <f t="shared" si="2"/>
        <v>185.5747229214781</v>
      </c>
      <c r="N4" s="131">
        <f t="shared" si="2"/>
        <v>197.90331044899858</v>
      </c>
      <c r="O4" s="131">
        <f t="shared" si="2"/>
        <v>209.55544525429445</v>
      </c>
      <c r="P4" s="131">
        <f t="shared" si="2"/>
        <v>227.28295033629195</v>
      </c>
      <c r="Q4" s="131">
        <f t="shared" si="2"/>
        <v>242.57689557751908</v>
      </c>
      <c r="R4" s="131">
        <f t="shared" ref="R4:W4" si="3">SUM(R5:R15)</f>
        <v>238.17144527931262</v>
      </c>
      <c r="S4" s="131">
        <f t="shared" si="3"/>
        <v>220.01393200785401</v>
      </c>
      <c r="T4" s="131">
        <f t="shared" si="3"/>
        <v>228.66636885617439</v>
      </c>
      <c r="U4" s="131">
        <f t="shared" si="3"/>
        <v>194.8650690235385</v>
      </c>
      <c r="V4" s="131">
        <f t="shared" si="3"/>
        <v>200.43327533102277</v>
      </c>
      <c r="W4" s="131">
        <f t="shared" si="3"/>
        <v>216.40307476774615</v>
      </c>
      <c r="DA4" s="156" t="s">
        <v>233</v>
      </c>
    </row>
    <row r="5" spans="1:105" ht="12" customHeight="1" x14ac:dyDescent="0.25">
      <c r="A5" s="132" t="s">
        <v>29</v>
      </c>
      <c r="B5" s="133">
        <v>22.585157962148777</v>
      </c>
      <c r="C5" s="133">
        <v>27.772863907196523</v>
      </c>
      <c r="D5" s="133">
        <v>24.31276156363203</v>
      </c>
      <c r="E5" s="133">
        <v>26.008082346511472</v>
      </c>
      <c r="F5" s="133">
        <v>25.362541000610257</v>
      </c>
      <c r="G5" s="133">
        <v>29.623188330054965</v>
      </c>
      <c r="H5" s="133">
        <v>18.24192946095615</v>
      </c>
      <c r="I5" s="133">
        <v>19.880949907730226</v>
      </c>
      <c r="J5" s="133">
        <v>14.002714383344077</v>
      </c>
      <c r="K5" s="133">
        <v>11.172600570661251</v>
      </c>
      <c r="L5" s="133">
        <v>9.4869500686490564</v>
      </c>
      <c r="M5" s="133">
        <v>6.9010286132370018</v>
      </c>
      <c r="N5" s="133">
        <v>8.4123922947268586</v>
      </c>
      <c r="O5" s="133">
        <v>13.6111107404422</v>
      </c>
      <c r="P5" s="133">
        <v>8.3257540950965865</v>
      </c>
      <c r="Q5" s="133">
        <v>7.139691429565544</v>
      </c>
      <c r="R5" s="133">
        <v>9.2853724520997147</v>
      </c>
      <c r="S5" s="133">
        <v>3.944458993890164</v>
      </c>
      <c r="T5" s="133">
        <v>4.1469743598300743</v>
      </c>
      <c r="U5" s="133">
        <v>3.7904892474379386</v>
      </c>
      <c r="V5" s="133">
        <v>4.0760449538154848</v>
      </c>
      <c r="W5" s="133">
        <v>4.0025660776030456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147.43312227995929</v>
      </c>
      <c r="C7" s="133">
        <v>184.43370760585842</v>
      </c>
      <c r="D7" s="133">
        <v>122.42514395833625</v>
      </c>
      <c r="E7" s="133">
        <v>112.51759409600419</v>
      </c>
      <c r="F7" s="133">
        <v>115.28407513343186</v>
      </c>
      <c r="G7" s="133">
        <v>130.82835491121003</v>
      </c>
      <c r="H7" s="133">
        <v>100.29196195424856</v>
      </c>
      <c r="I7" s="133">
        <v>107.64772898504937</v>
      </c>
      <c r="J7" s="133">
        <v>104.5600164575656</v>
      </c>
      <c r="K7" s="133">
        <v>96.485266105335398</v>
      </c>
      <c r="L7" s="133">
        <v>80.810119678632475</v>
      </c>
      <c r="M7" s="133">
        <v>122.42459036574631</v>
      </c>
      <c r="N7" s="133">
        <v>125.33596887290258</v>
      </c>
      <c r="O7" s="133">
        <v>114.16199184687201</v>
      </c>
      <c r="P7" s="133">
        <v>85.924758295829392</v>
      </c>
      <c r="Q7" s="133">
        <v>95.629836996090518</v>
      </c>
      <c r="R7" s="133">
        <v>70.716403387754298</v>
      </c>
      <c r="S7" s="133">
        <v>79.132472254758326</v>
      </c>
      <c r="T7" s="133">
        <v>78.403101713452628</v>
      </c>
      <c r="U7" s="133">
        <v>55.508003565007257</v>
      </c>
      <c r="V7" s="133">
        <v>56.196158372702207</v>
      </c>
      <c r="W7" s="133">
        <v>60.203282118552863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20.476675962961188</v>
      </c>
      <c r="C9" s="133">
        <v>39.907453843051123</v>
      </c>
      <c r="D9" s="133">
        <v>48.209750865932378</v>
      </c>
      <c r="E9" s="133">
        <v>134.08616903654067</v>
      </c>
      <c r="F9" s="133">
        <v>120.92433984595074</v>
      </c>
      <c r="G9" s="133">
        <v>92.256455469536874</v>
      </c>
      <c r="H9" s="133">
        <v>99.474677457105017</v>
      </c>
      <c r="I9" s="133">
        <v>87.210098020231186</v>
      </c>
      <c r="J9" s="133">
        <v>64.103780795270907</v>
      </c>
      <c r="K9" s="133">
        <v>49.314534074704746</v>
      </c>
      <c r="L9" s="133">
        <v>54.644769211050871</v>
      </c>
      <c r="M9" s="133">
        <v>56.249103942494784</v>
      </c>
      <c r="N9" s="133">
        <v>64.154949281369127</v>
      </c>
      <c r="O9" s="133">
        <v>81.782342666980227</v>
      </c>
      <c r="P9" s="133">
        <v>133.03243794536598</v>
      </c>
      <c r="Q9" s="133">
        <v>139.80736715186302</v>
      </c>
      <c r="R9" s="133">
        <v>158.1696694394586</v>
      </c>
      <c r="S9" s="133">
        <v>136.93700075920552</v>
      </c>
      <c r="T9" s="133">
        <v>146.11629278289169</v>
      </c>
      <c r="U9" s="133">
        <v>135.56657621109329</v>
      </c>
      <c r="V9" s="133">
        <v>140.16107200450509</v>
      </c>
      <c r="W9" s="133">
        <v>152.19722657159022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24.962999842159064</v>
      </c>
      <c r="C19" s="131">
        <f t="shared" si="6"/>
        <v>27.218497451220529</v>
      </c>
      <c r="D19" s="131">
        <f t="shared" si="6"/>
        <v>24.571973868952171</v>
      </c>
      <c r="E19" s="131">
        <f t="shared" si="6"/>
        <v>19.675340855531587</v>
      </c>
      <c r="F19" s="131">
        <f t="shared" si="6"/>
        <v>17.348990875429521</v>
      </c>
      <c r="G19" s="131">
        <f t="shared" si="6"/>
        <v>16.691589825437944</v>
      </c>
      <c r="H19" s="131">
        <f t="shared" si="6"/>
        <v>16.100213957165579</v>
      </c>
      <c r="I19" s="131">
        <f t="shared" si="6"/>
        <v>15.670768156342115</v>
      </c>
      <c r="J19" s="131">
        <f t="shared" si="6"/>
        <v>15.752136229276893</v>
      </c>
      <c r="K19" s="131">
        <f t="shared" si="6"/>
        <v>15.412452436821042</v>
      </c>
      <c r="L19" s="131">
        <f t="shared" si="6"/>
        <v>15.107619621444067</v>
      </c>
      <c r="M19" s="131">
        <f t="shared" si="6"/>
        <v>16.050526139001043</v>
      </c>
      <c r="N19" s="131">
        <f t="shared" si="6"/>
        <v>16.157546301340247</v>
      </c>
      <c r="O19" s="131">
        <f t="shared" si="6"/>
        <v>18.309087061401389</v>
      </c>
      <c r="P19" s="131">
        <f t="shared" si="6"/>
        <v>21.870723510829464</v>
      </c>
      <c r="Q19" s="131">
        <f t="shared" si="6"/>
        <v>22.119715953734236</v>
      </c>
      <c r="R19" s="131">
        <f t="shared" ref="R19:W19" si="7">SUM(R20:R27)</f>
        <v>21.227208001079703</v>
      </c>
      <c r="S19" s="131">
        <f t="shared" si="7"/>
        <v>22.357251059838688</v>
      </c>
      <c r="T19" s="131">
        <f t="shared" si="7"/>
        <v>23.941244733905062</v>
      </c>
      <c r="U19" s="131">
        <f t="shared" si="7"/>
        <v>22.940799758869286</v>
      </c>
      <c r="V19" s="131">
        <f t="shared" si="7"/>
        <v>23.100897451131168</v>
      </c>
      <c r="W19" s="131">
        <f t="shared" si="7"/>
        <v>21.926354886894014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22.86915524004073</v>
      </c>
      <c r="C22" s="133">
        <v>22.552950794141616</v>
      </c>
      <c r="D22" s="133">
        <v>19.67106156166377</v>
      </c>
      <c r="E22" s="133">
        <v>14.58590166399582</v>
      </c>
      <c r="F22" s="133">
        <v>12.24763306656814</v>
      </c>
      <c r="G22" s="133">
        <v>11.497071608789943</v>
      </c>
      <c r="H22" s="133">
        <v>10.740585525751438</v>
      </c>
      <c r="I22" s="133">
        <v>10.30594341495072</v>
      </c>
      <c r="J22" s="133">
        <v>10.352735582434411</v>
      </c>
      <c r="K22" s="133">
        <v>9.9362890546646092</v>
      </c>
      <c r="L22" s="133">
        <v>9.6412288813675051</v>
      </c>
      <c r="M22" s="133">
        <v>9.3983307942536314</v>
      </c>
      <c r="N22" s="133">
        <v>9.0603197670974289</v>
      </c>
      <c r="O22" s="133">
        <v>8.7678129531279367</v>
      </c>
      <c r="P22" s="133">
        <v>8.6482579841705363</v>
      </c>
      <c r="Q22" s="133">
        <v>8.4701458439095223</v>
      </c>
      <c r="R22" s="133">
        <v>7.6310629722456671</v>
      </c>
      <c r="S22" s="133">
        <v>7.3603490652417589</v>
      </c>
      <c r="T22" s="133">
        <v>7.4183638865473789</v>
      </c>
      <c r="U22" s="133">
        <v>5.3110109549927635</v>
      </c>
      <c r="V22" s="133">
        <v>5.3816450672978409</v>
      </c>
      <c r="W22" s="133">
        <v>5.3104916814471688</v>
      </c>
      <c r="DA22" s="157" t="s">
        <v>372</v>
      </c>
    </row>
    <row r="23" spans="1:105" ht="12" customHeight="1" x14ac:dyDescent="0.25">
      <c r="A23" s="132" t="s">
        <v>153</v>
      </c>
      <c r="B23" s="133">
        <v>2.0938446021183337</v>
      </c>
      <c r="C23" s="133">
        <v>4.6655466570789121</v>
      </c>
      <c r="D23" s="133">
        <v>4.9009123072883991</v>
      </c>
      <c r="E23" s="133">
        <v>5.0894391915357691</v>
      </c>
      <c r="F23" s="133">
        <v>5.1013578088613825</v>
      </c>
      <c r="G23" s="133">
        <v>5.1945182166480031</v>
      </c>
      <c r="H23" s="133">
        <v>5.3596284314141425</v>
      </c>
      <c r="I23" s="133">
        <v>5.364824741391395</v>
      </c>
      <c r="J23" s="133">
        <v>5.3994006468424827</v>
      </c>
      <c r="K23" s="133">
        <v>5.4761633821564333</v>
      </c>
      <c r="L23" s="133">
        <v>5.4663907400765623</v>
      </c>
      <c r="M23" s="133">
        <v>6.6521953447474136</v>
      </c>
      <c r="N23" s="133">
        <v>7.0972265342428162</v>
      </c>
      <c r="O23" s="133">
        <v>9.541274108273452</v>
      </c>
      <c r="P23" s="133">
        <v>13.222465526658928</v>
      </c>
      <c r="Q23" s="133">
        <v>13.649570109824715</v>
      </c>
      <c r="R23" s="133">
        <v>13.596145028834036</v>
      </c>
      <c r="S23" s="133">
        <v>14.996901994596929</v>
      </c>
      <c r="T23" s="133">
        <v>16.522880847357683</v>
      </c>
      <c r="U23" s="133">
        <v>17.629788803876522</v>
      </c>
      <c r="V23" s="133">
        <v>17.719252383833325</v>
      </c>
      <c r="W23" s="133">
        <v>16.615863205446846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2.4725194349204864</v>
      </c>
      <c r="C29" s="131">
        <f t="shared" si="8"/>
        <v>8.0880694998699632</v>
      </c>
      <c r="D29" s="131">
        <f t="shared" si="8"/>
        <v>11.516536826779232</v>
      </c>
      <c r="E29" s="131">
        <f t="shared" si="8"/>
        <v>11.638021771923619</v>
      </c>
      <c r="F29" s="131">
        <f t="shared" si="8"/>
        <v>14.329647585187869</v>
      </c>
      <c r="G29" s="131">
        <f t="shared" si="8"/>
        <v>14.024091553815129</v>
      </c>
      <c r="H29" s="131">
        <f t="shared" si="8"/>
        <v>13.709359351480861</v>
      </c>
      <c r="I29" s="131">
        <f t="shared" si="8"/>
        <v>13.396732478377398</v>
      </c>
      <c r="J29" s="131">
        <f t="shared" si="8"/>
        <v>13.091603797886659</v>
      </c>
      <c r="K29" s="131">
        <f t="shared" si="8"/>
        <v>12.101697783138814</v>
      </c>
      <c r="L29" s="131">
        <f t="shared" si="8"/>
        <v>12.559417448872582</v>
      </c>
      <c r="M29" s="131">
        <f t="shared" si="8"/>
        <v>12.748188112757799</v>
      </c>
      <c r="N29" s="131">
        <f t="shared" si="8"/>
        <v>13.513679424388066</v>
      </c>
      <c r="O29" s="131">
        <f t="shared" si="8"/>
        <v>13.284808464746362</v>
      </c>
      <c r="P29" s="131">
        <f t="shared" si="8"/>
        <v>13.589581767975055</v>
      </c>
      <c r="Q29" s="131">
        <f t="shared" si="8"/>
        <v>13.809577978312261</v>
      </c>
      <c r="R29" s="131">
        <f t="shared" ref="R29:W29" si="9">SUM(R30:R33)</f>
        <v>20.284436011707434</v>
      </c>
      <c r="S29" s="131">
        <f t="shared" si="9"/>
        <v>23.19796844619772</v>
      </c>
      <c r="T29" s="131">
        <f t="shared" si="9"/>
        <v>19.224606489750812</v>
      </c>
      <c r="U29" s="131">
        <f t="shared" si="9"/>
        <v>24.998621625030133</v>
      </c>
      <c r="V29" s="131">
        <f t="shared" si="9"/>
        <v>24.763119611661729</v>
      </c>
      <c r="W29" s="131">
        <f t="shared" si="9"/>
        <v>22.574410422962863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2.8710752400000015</v>
      </c>
      <c r="G30" s="133">
        <v>2.8710752400000006</v>
      </c>
      <c r="H30" s="133">
        <v>2.8710752400000015</v>
      </c>
      <c r="I30" s="133">
        <v>2.8710752400000006</v>
      </c>
      <c r="J30" s="133">
        <v>2.8710752400000019</v>
      </c>
      <c r="K30" s="133">
        <v>2.8710752400000015</v>
      </c>
      <c r="L30" s="133">
        <v>2.8429073999999979</v>
      </c>
      <c r="M30" s="133">
        <v>2.8429073999999996</v>
      </c>
      <c r="N30" s="133">
        <v>2.8710752400000032</v>
      </c>
      <c r="O30" s="133">
        <v>2.8710752400000006</v>
      </c>
      <c r="P30" s="133">
        <v>2.8710752400000032</v>
      </c>
      <c r="Q30" s="133">
        <v>2.8710752399999997</v>
      </c>
      <c r="R30" s="133">
        <v>5.7421504800000029</v>
      </c>
      <c r="S30" s="133">
        <v>8.6132257200000097</v>
      </c>
      <c r="T30" s="133">
        <v>2.8710752400000006</v>
      </c>
      <c r="U30" s="133">
        <v>5.7421504800000038</v>
      </c>
      <c r="V30" s="133">
        <v>5.9431870800000013</v>
      </c>
      <c r="W30" s="133">
        <v>4.3064992799999997</v>
      </c>
      <c r="DA30" s="157" t="s">
        <v>378</v>
      </c>
    </row>
    <row r="31" spans="1:105" ht="12" customHeight="1" x14ac:dyDescent="0.25">
      <c r="A31" s="132" t="s">
        <v>153</v>
      </c>
      <c r="B31" s="133">
        <v>2.4725194349204864</v>
      </c>
      <c r="C31" s="133">
        <v>8.0880694998699632</v>
      </c>
      <c r="D31" s="133">
        <v>11.516536826779232</v>
      </c>
      <c r="E31" s="133">
        <v>11.638021771923619</v>
      </c>
      <c r="F31" s="133">
        <v>11.458572345187868</v>
      </c>
      <c r="G31" s="133">
        <v>11.153016313815129</v>
      </c>
      <c r="H31" s="133">
        <v>10.83828411148086</v>
      </c>
      <c r="I31" s="133">
        <v>10.525657238377399</v>
      </c>
      <c r="J31" s="133">
        <v>10.220528557886658</v>
      </c>
      <c r="K31" s="133">
        <v>9.2306225431388125</v>
      </c>
      <c r="L31" s="133">
        <v>9.7165100488725837</v>
      </c>
      <c r="M31" s="133">
        <v>9.9052807127577989</v>
      </c>
      <c r="N31" s="133">
        <v>10.642604184388063</v>
      </c>
      <c r="O31" s="133">
        <v>10.413733224746361</v>
      </c>
      <c r="P31" s="133">
        <v>10.718506527975052</v>
      </c>
      <c r="Q31" s="133">
        <v>10.938502738312261</v>
      </c>
      <c r="R31" s="133">
        <v>14.54228553170743</v>
      </c>
      <c r="S31" s="133">
        <v>14.58474272619771</v>
      </c>
      <c r="T31" s="133">
        <v>16.353531249750812</v>
      </c>
      <c r="U31" s="133">
        <v>19.25647114503013</v>
      </c>
      <c r="V31" s="133">
        <v>18.819932531661728</v>
      </c>
      <c r="W31" s="133">
        <v>18.267911142962863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214116.0916286576</v>
      </c>
      <c r="C3" s="126">
        <f>IF(SER_hh_fec!C3=0,0,11630*1000*SER_hh_fec!C3/SER_hh_num!C3)</f>
        <v>209973.09431785447</v>
      </c>
      <c r="D3" s="126">
        <f>IF(SER_hh_fec!D3=0,0,11630*1000*SER_hh_fec!D3/SER_hh_num!D3)</f>
        <v>201118.67015870611</v>
      </c>
      <c r="E3" s="126">
        <f>IF(SER_hh_fec!E3=0,0,11630*1000*SER_hh_fec!E3/SER_hh_num!E3)</f>
        <v>221445.87360370712</v>
      </c>
      <c r="F3" s="126">
        <f>IF(SER_hh_fec!F3=0,0,11630*1000*SER_hh_fec!F3/SER_hh_num!F3)</f>
        <v>243383.9123861499</v>
      </c>
      <c r="G3" s="126">
        <f>IF(SER_hh_fec!G3=0,0,11630*1000*SER_hh_fec!G3/SER_hh_num!G3)</f>
        <v>234783.23110750865</v>
      </c>
      <c r="H3" s="126">
        <f>IF(SER_hh_fec!H3=0,0,11630*1000*SER_hh_fec!H3/SER_hh_num!H3)</f>
        <v>220494.51310582898</v>
      </c>
      <c r="I3" s="126">
        <f>IF(SER_hh_fec!I3=0,0,11630*1000*SER_hh_fec!I3/SER_hh_num!I3)</f>
        <v>218160.30078323963</v>
      </c>
      <c r="J3" s="126">
        <f>IF(SER_hh_fec!J3=0,0,11630*1000*SER_hh_fec!J3/SER_hh_num!J3)</f>
        <v>236658.6911835034</v>
      </c>
      <c r="K3" s="126">
        <f>IF(SER_hh_fec!K3=0,0,11630*1000*SER_hh_fec!K3/SER_hh_num!K3)</f>
        <v>226289.04445030235</v>
      </c>
      <c r="L3" s="126">
        <f>IF(SER_hh_fec!L3=0,0,11630*1000*SER_hh_fec!L3/SER_hh_num!L3)</f>
        <v>227047.23655153264</v>
      </c>
      <c r="M3" s="126">
        <f>IF(SER_hh_fec!M3=0,0,11630*1000*SER_hh_fec!M3/SER_hh_num!M3)</f>
        <v>205118.32947701446</v>
      </c>
      <c r="N3" s="126">
        <f>IF(SER_hh_fec!N3=0,0,11630*1000*SER_hh_fec!N3/SER_hh_num!N3)</f>
        <v>214272.92962333094</v>
      </c>
      <c r="O3" s="126">
        <f>IF(SER_hh_fec!O3=0,0,11630*1000*SER_hh_fec!O3/SER_hh_num!O3)</f>
        <v>206873.10977414495</v>
      </c>
      <c r="P3" s="126">
        <f>IF(SER_hh_fec!P3=0,0,11630*1000*SER_hh_fec!P3/SER_hh_num!P3)</f>
        <v>226248.94630765947</v>
      </c>
      <c r="Q3" s="126">
        <f>IF(SER_hh_fec!Q3=0,0,11630*1000*SER_hh_fec!Q3/SER_hh_num!Q3)</f>
        <v>223931.28429906911</v>
      </c>
      <c r="R3" s="126">
        <f>IF(SER_hh_fec!R3=0,0,11630*1000*SER_hh_fec!R3/SER_hh_num!R3)</f>
        <v>240886.54023635515</v>
      </c>
      <c r="S3" s="126">
        <f>IF(SER_hh_fec!S3=0,0,11630*1000*SER_hh_fec!S3/SER_hh_num!S3)</f>
        <v>216927.7502250945</v>
      </c>
      <c r="T3" s="126">
        <f>IF(SER_hh_fec!T3=0,0,11630*1000*SER_hh_fec!T3/SER_hh_num!T3)</f>
        <v>226763.45628422554</v>
      </c>
      <c r="U3" s="126">
        <f>IF(SER_hh_fec!U3=0,0,11630*1000*SER_hh_fec!U3/SER_hh_num!U3)</f>
        <v>206364.90421973285</v>
      </c>
      <c r="V3" s="126">
        <f>IF(SER_hh_fec!V3=0,0,11630*1000*SER_hh_fec!V3/SER_hh_num!V3)</f>
        <v>207571.63891174784</v>
      </c>
      <c r="W3" s="126">
        <f>IF(SER_hh_fec!W3=0,0,11630*1000*SER_hh_fec!W3/SER_hh_num!W3)</f>
        <v>219729.58739855798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161692.11265762016</v>
      </c>
      <c r="C4" s="131">
        <f>IF(SER_hh_fec!C4=0,0,11630*1000*SER_hh_fec!C4/SER_hh_num!C4)</f>
        <v>157837.15531668472</v>
      </c>
      <c r="D4" s="131">
        <f>IF(SER_hh_fec!D4=0,0,11630*1000*SER_hh_fec!D4/SER_hh_num!D4)</f>
        <v>150498.89440087174</v>
      </c>
      <c r="E4" s="131">
        <f>IF(SER_hh_fec!E4=0,0,11630*1000*SER_hh_fec!E4/SER_hh_num!E4)</f>
        <v>171676.20238021671</v>
      </c>
      <c r="F4" s="131">
        <f>IF(SER_hh_fec!F4=0,0,11630*1000*SER_hh_fec!F4/SER_hh_num!F4)</f>
        <v>195067.69859607014</v>
      </c>
      <c r="G4" s="131">
        <f>IF(SER_hh_fec!G4=0,0,11630*1000*SER_hh_fec!G4/SER_hh_num!G4)</f>
        <v>186582.25125654542</v>
      </c>
      <c r="H4" s="131">
        <f>IF(SER_hh_fec!H4=0,0,11630*1000*SER_hh_fec!H4/SER_hh_num!H4)</f>
        <v>174055.94408785808</v>
      </c>
      <c r="I4" s="131">
        <f>IF(SER_hh_fec!I4=0,0,11630*1000*SER_hh_fec!I4/SER_hh_num!I4)</f>
        <v>173060.55091214596</v>
      </c>
      <c r="J4" s="131">
        <f>IF(SER_hh_fec!J4=0,0,11630*1000*SER_hh_fec!J4/SER_hh_num!J4)</f>
        <v>190646.66788965321</v>
      </c>
      <c r="K4" s="131">
        <f>IF(SER_hh_fec!K4=0,0,11630*1000*SER_hh_fec!K4/SER_hh_num!K4)</f>
        <v>179831.16312012327</v>
      </c>
      <c r="L4" s="131">
        <f>IF(SER_hh_fec!L4=0,0,11630*1000*SER_hh_fec!L4/SER_hh_num!L4)</f>
        <v>180610.92090783373</v>
      </c>
      <c r="M4" s="131">
        <f>IF(SER_hh_fec!M4=0,0,11630*1000*SER_hh_fec!M4/SER_hh_num!M4)</f>
        <v>158719.81037563973</v>
      </c>
      <c r="N4" s="131">
        <f>IF(SER_hh_fec!N4=0,0,11630*1000*SER_hh_fec!N4/SER_hh_num!N4)</f>
        <v>168146.05899291069</v>
      </c>
      <c r="O4" s="131">
        <f>IF(SER_hh_fec!O4=0,0,11630*1000*SER_hh_fec!O4/SER_hh_num!O4)</f>
        <v>160730.57630627771</v>
      </c>
      <c r="P4" s="131">
        <f>IF(SER_hh_fec!P4=0,0,11630*1000*SER_hh_fec!P4/SER_hh_num!P4)</f>
        <v>180386.92999167685</v>
      </c>
      <c r="Q4" s="131">
        <f>IF(SER_hh_fec!Q4=0,0,11630*1000*SER_hh_fec!Q4/SER_hh_num!Q4)</f>
        <v>178557.89394944062</v>
      </c>
      <c r="R4" s="131">
        <f>IF(SER_hh_fec!R4=0,0,11630*1000*SER_hh_fec!R4/SER_hh_num!R4)</f>
        <v>195611.2748857456</v>
      </c>
      <c r="S4" s="131">
        <f>IF(SER_hh_fec!S4=0,0,11630*1000*SER_hh_fec!S4/SER_hh_num!S4)</f>
        <v>172467.29229698874</v>
      </c>
      <c r="T4" s="131">
        <f>IF(SER_hh_fec!T4=0,0,11630*1000*SER_hh_fec!T4/SER_hh_num!T4)</f>
        <v>182983.39687863347</v>
      </c>
      <c r="U4" s="131">
        <f>IF(SER_hh_fec!U4=0,0,11630*1000*SER_hh_fec!U4/SER_hh_num!U4)</f>
        <v>162788.41141278369</v>
      </c>
      <c r="V4" s="131">
        <f>IF(SER_hh_fec!V4=0,0,11630*1000*SER_hh_fec!V4/SER_hh_num!V4)</f>
        <v>167325.2168301476</v>
      </c>
      <c r="W4" s="131">
        <f>IF(SER_hh_fec!W4=0,0,11630*1000*SER_hh_fec!W4/SER_hh_num!W4)</f>
        <v>178004.8186913651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170492.1084306782</v>
      </c>
      <c r="C5" s="133">
        <f>IF(SER_hh_fec!C5=0,0,11630*1000*SER_hh_fec!C5/SER_hh_num!C5)</f>
        <v>208882.37108654116</v>
      </c>
      <c r="D5" s="133">
        <f>IF(SER_hh_fec!D5=0,0,11630*1000*SER_hh_fec!D5/SER_hh_num!D5)</f>
        <v>181225.75073036022</v>
      </c>
      <c r="E5" s="133">
        <f>IF(SER_hh_fec!E5=0,0,11630*1000*SER_hh_fec!E5/SER_hh_num!E5)</f>
        <v>199120.53235744775</v>
      </c>
      <c r="F5" s="133">
        <f>IF(SER_hh_fec!F5=0,0,11630*1000*SER_hh_fec!F5/SER_hh_num!F5)</f>
        <v>213163.62232265173</v>
      </c>
      <c r="G5" s="133">
        <f>IF(SER_hh_fec!G5=0,0,11630*1000*SER_hh_fec!G5/SER_hh_num!G5)</f>
        <v>258612.80488970954</v>
      </c>
      <c r="H5" s="133">
        <f>IF(SER_hh_fec!H5=0,0,11630*1000*SER_hh_fec!H5/SER_hh_num!H5)</f>
        <v>188217.1366925695</v>
      </c>
      <c r="I5" s="133">
        <f>IF(SER_hh_fec!I5=0,0,11630*1000*SER_hh_fec!I5/SER_hh_num!I5)</f>
        <v>235409.36512692695</v>
      </c>
      <c r="J5" s="133">
        <f>IF(SER_hh_fec!J5=0,0,11630*1000*SER_hh_fec!J5/SER_hh_num!J5)</f>
        <v>211968.88334469005</v>
      </c>
      <c r="K5" s="133">
        <f>IF(SER_hh_fec!K5=0,0,11630*1000*SER_hh_fec!K5/SER_hh_num!K5)</f>
        <v>211761.65584283424</v>
      </c>
      <c r="L5" s="133">
        <f>IF(SER_hh_fec!L5=0,0,11630*1000*SER_hh_fec!L5/SER_hh_num!L5)</f>
        <v>219539.52239777672</v>
      </c>
      <c r="M5" s="133">
        <f>IF(SER_hh_fec!M5=0,0,11630*1000*SER_hh_fec!M5/SER_hh_num!M5)</f>
        <v>157751.85435298612</v>
      </c>
      <c r="N5" s="133">
        <f>IF(SER_hh_fec!N5=0,0,11630*1000*SER_hh_fec!N5/SER_hh_num!N5)</f>
        <v>173253.53227522923</v>
      </c>
      <c r="O5" s="133">
        <f>IF(SER_hh_fec!O5=0,0,11630*1000*SER_hh_fec!O5/SER_hh_num!O5)</f>
        <v>265352.88922919868</v>
      </c>
      <c r="P5" s="133">
        <f>IF(SER_hh_fec!P5=0,0,11630*1000*SER_hh_fec!P5/SER_hh_num!P5)</f>
        <v>174615.69556187134</v>
      </c>
      <c r="Q5" s="133">
        <f>IF(SER_hh_fec!Q5=0,0,11630*1000*SER_hh_fec!Q5/SER_hh_num!Q5)</f>
        <v>174238.99084778596</v>
      </c>
      <c r="R5" s="133">
        <f>IF(SER_hh_fec!R5=0,0,11630*1000*SER_hh_fec!R5/SER_hh_num!R5)</f>
        <v>266196.19922184199</v>
      </c>
      <c r="S5" s="133">
        <f>IF(SER_hh_fec!S5=0,0,11630*1000*SER_hh_fec!S5/SER_hh_num!S5)</f>
        <v>154238.95824870083</v>
      </c>
      <c r="T5" s="133">
        <f>IF(SER_hh_fec!T5=0,0,11630*1000*SER_hh_fec!T5/SER_hh_num!T5)</f>
        <v>185932.82867709445</v>
      </c>
      <c r="U5" s="133">
        <f>IF(SER_hh_fec!U5=0,0,11630*1000*SER_hh_fec!U5/SER_hh_num!U5)</f>
        <v>184862.30447290113</v>
      </c>
      <c r="V5" s="133">
        <f>IF(SER_hh_fec!V5=0,0,11630*1000*SER_hh_fec!V5/SER_hh_num!V5)</f>
        <v>196483.7853098526</v>
      </c>
      <c r="W5" s="133">
        <f>IF(SER_hh_fec!W5=0,0,11630*1000*SER_hh_fec!W5/SER_hh_num!W5)</f>
        <v>197894.22044367733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193212.90460821529</v>
      </c>
      <c r="C7" s="133">
        <f>IF(SER_hh_fec!C7=0,0,11630*1000*SER_hh_fec!C7/SER_hh_num!C7)</f>
        <v>251891.68873967926</v>
      </c>
      <c r="D7" s="133">
        <f>IF(SER_hh_fec!D7=0,0,11630*1000*SER_hh_fec!D7/SER_hh_num!D7)</f>
        <v>197849.63761075996</v>
      </c>
      <c r="E7" s="133">
        <f>IF(SER_hh_fec!E7=0,0,11630*1000*SER_hh_fec!E7/SER_hh_num!E7)</f>
        <v>211707.44839254397</v>
      </c>
      <c r="F7" s="133">
        <f>IF(SER_hh_fec!F7=0,0,11630*1000*SER_hh_fec!F7/SER_hh_num!F7)</f>
        <v>247361.16155489048</v>
      </c>
      <c r="G7" s="133">
        <f>IF(SER_hh_fec!G7=0,0,11630*1000*SER_hh_fec!G7/SER_hh_num!G7)</f>
        <v>289260.81242944679</v>
      </c>
      <c r="H7" s="133">
        <f>IF(SER_hh_fec!H7=0,0,11630*1000*SER_hh_fec!H7/SER_hh_num!H7)</f>
        <v>234755.03133156884</v>
      </c>
      <c r="I7" s="133">
        <f>IF(SER_hh_fec!I7=0,0,11630*1000*SER_hh_fec!I7/SER_hh_num!I7)</f>
        <v>256533.11808096687</v>
      </c>
      <c r="J7" s="133">
        <f>IF(SER_hh_fec!J7=0,0,11630*1000*SER_hh_fec!J7/SER_hh_num!J7)</f>
        <v>268054.52074890607</v>
      </c>
      <c r="K7" s="133">
        <f>IF(SER_hh_fec!K7=0,0,11630*1000*SER_hh_fec!K7/SER_hh_num!K7)</f>
        <v>241490.43785951499</v>
      </c>
      <c r="L7" s="133">
        <f>IF(SER_hh_fec!L7=0,0,11630*1000*SER_hh_fec!L7/SER_hh_num!L7)</f>
        <v>188432.16450099062</v>
      </c>
      <c r="M7" s="133">
        <f>IF(SER_hh_fec!M7=0,0,11630*1000*SER_hh_fec!M7/SER_hh_num!M7)</f>
        <v>232110.94390966196</v>
      </c>
      <c r="N7" s="133">
        <f>IF(SER_hh_fec!N7=0,0,11630*1000*SER_hh_fec!N7/SER_hh_num!N7)</f>
        <v>227020.0300298144</v>
      </c>
      <c r="O7" s="133">
        <f>IF(SER_hh_fec!O7=0,0,11630*1000*SER_hh_fec!O7/SER_hh_num!O7)</f>
        <v>211820.6487519333</v>
      </c>
      <c r="P7" s="133">
        <f>IF(SER_hh_fec!P7=0,0,11630*1000*SER_hh_fec!P7/SER_hh_num!P7)</f>
        <v>190611.78262541755</v>
      </c>
      <c r="Q7" s="133">
        <f>IF(SER_hh_fec!Q7=0,0,11630*1000*SER_hh_fec!Q7/SER_hh_num!Q7)</f>
        <v>234565.37181838375</v>
      </c>
      <c r="R7" s="133">
        <f>IF(SER_hh_fec!R7=0,0,11630*1000*SER_hh_fec!R7/SER_hh_num!R7)</f>
        <v>201887.51639184062</v>
      </c>
      <c r="S7" s="133">
        <f>IF(SER_hh_fec!S7=0,0,11630*1000*SER_hh_fec!S7/SER_hh_num!S7)</f>
        <v>231356.54649061593</v>
      </c>
      <c r="T7" s="133">
        <f>IF(SER_hh_fec!T7=0,0,11630*1000*SER_hh_fec!T7/SER_hh_num!T7)</f>
        <v>247224.55063421355</v>
      </c>
      <c r="U7" s="133">
        <f>IF(SER_hh_fec!U7=0,0,11630*1000*SER_hh_fec!U7/SER_hh_num!U7)</f>
        <v>191887.91932416399</v>
      </c>
      <c r="V7" s="133">
        <f>IF(SER_hh_fec!V7=0,0,11630*1000*SER_hh_fec!V7/SER_hh_num!V7)</f>
        <v>215545.5270133499</v>
      </c>
      <c r="W7" s="133">
        <f>IF(SER_hh_fec!W7=0,0,11630*1000*SER_hh_fec!W7/SER_hh_num!W7)</f>
        <v>231722.53728919616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144477.42339962299</v>
      </c>
      <c r="C9" s="133">
        <f>IF(SER_hh_fec!C9=0,0,11630*1000*SER_hh_fec!C9/SER_hh_num!C9)</f>
        <v>191004.72116495599</v>
      </c>
      <c r="D9" s="133">
        <f>IF(SER_hh_fec!D9=0,0,11630*1000*SER_hh_fec!D9/SER_hh_num!D9)</f>
        <v>130109.66375294585</v>
      </c>
      <c r="E9" s="133">
        <f>IF(SER_hh_fec!E9=0,0,11630*1000*SER_hh_fec!E9/SER_hh_num!E9)</f>
        <v>254520.48293081109</v>
      </c>
      <c r="F9" s="133">
        <f>IF(SER_hh_fec!F9=0,0,11630*1000*SER_hh_fec!F9/SER_hh_num!F9)</f>
        <v>223709.17208842505</v>
      </c>
      <c r="G9" s="133">
        <f>IF(SER_hh_fec!G9=0,0,11630*1000*SER_hh_fec!G9/SER_hh_num!G9)</f>
        <v>181940.41140226441</v>
      </c>
      <c r="H9" s="133">
        <f>IF(SER_hh_fec!H9=0,0,11630*1000*SER_hh_fec!H9/SER_hh_num!H9)</f>
        <v>213542.74097260248</v>
      </c>
      <c r="I9" s="133">
        <f>IF(SER_hh_fec!I9=0,0,11630*1000*SER_hh_fec!I9/SER_hh_num!I9)</f>
        <v>216951.42054735447</v>
      </c>
      <c r="J9" s="133">
        <f>IF(SER_hh_fec!J9=0,0,11630*1000*SER_hh_fec!J9/SER_hh_num!J9)</f>
        <v>196711.84213168305</v>
      </c>
      <c r="K9" s="133">
        <f>IF(SER_hh_fec!K9=0,0,11630*1000*SER_hh_fec!K9/SER_hh_num!K9)</f>
        <v>179547.72744474353</v>
      </c>
      <c r="L9" s="133">
        <f>IF(SER_hh_fec!L9=0,0,11630*1000*SER_hh_fec!L9/SER_hh_num!L9)</f>
        <v>202208.68322467557</v>
      </c>
      <c r="M9" s="133">
        <f>IF(SER_hh_fec!M9=0,0,11630*1000*SER_hh_fec!M9/SER_hh_num!M9)</f>
        <v>182089.1221682608</v>
      </c>
      <c r="N9" s="133">
        <f>IF(SER_hh_fec!N9=0,0,11630*1000*SER_hh_fec!N9/SER_hh_num!N9)</f>
        <v>167608.71460601076</v>
      </c>
      <c r="O9" s="133">
        <f>IF(SER_hh_fec!O9=0,0,11630*1000*SER_hh_fec!O9/SER_hh_num!O9)</f>
        <v>170381.01272574608</v>
      </c>
      <c r="P9" s="133">
        <f>IF(SER_hh_fec!P9=0,0,11630*1000*SER_hh_fec!P9/SER_hh_num!P9)</f>
        <v>214926.71681036282</v>
      </c>
      <c r="Q9" s="133">
        <f>IF(SER_hh_fec!Q9=0,0,11630*1000*SER_hh_fec!Q9/SER_hh_num!Q9)</f>
        <v>198876.09661898614</v>
      </c>
      <c r="R9" s="133">
        <f>IF(SER_hh_fec!R9=0,0,11630*1000*SER_hh_fec!R9/SER_hh_num!R9)</f>
        <v>220085.15669233425</v>
      </c>
      <c r="S9" s="133">
        <f>IF(SER_hh_fec!S9=0,0,11630*1000*SER_hh_fec!S9/SER_hh_num!S9)</f>
        <v>182226.28808729528</v>
      </c>
      <c r="T9" s="133">
        <f>IF(SER_hh_fec!T9=0,0,11630*1000*SER_hh_fec!T9/SER_hh_num!T9)</f>
        <v>190687.24236579909</v>
      </c>
      <c r="U9" s="133">
        <f>IF(SER_hh_fec!U9=0,0,11630*1000*SER_hh_fec!U9/SER_hh_num!U9)</f>
        <v>174687.98719607288</v>
      </c>
      <c r="V9" s="133">
        <f>IF(SER_hh_fec!V9=0,0,11630*1000*SER_hh_fec!V9/SER_hh_num!V9)</f>
        <v>177293.33090025568</v>
      </c>
      <c r="W9" s="133">
        <f>IF(SER_hh_fec!W9=0,0,11630*1000*SER_hh_fec!W9/SER_hh_num!W9)</f>
        <v>191535.43662089141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189778.95477207043</v>
      </c>
      <c r="C10" s="133">
        <f>IF(SER_hh_fec!C10=0,0,11630*1000*SER_hh_fec!C10/SER_hh_num!C10)</f>
        <v>224859.90926776029</v>
      </c>
      <c r="D10" s="133">
        <f>IF(SER_hh_fec!D10=0,0,11630*1000*SER_hh_fec!D10/SER_hh_num!D10)</f>
        <v>196356.01868038936</v>
      </c>
      <c r="E10" s="133">
        <f>IF(SER_hh_fec!E10=0,0,11630*1000*SER_hh_fec!E10/SER_hh_num!E10)</f>
        <v>188376.48489050721</v>
      </c>
      <c r="F10" s="133">
        <f>IF(SER_hh_fec!F10=0,0,11630*1000*SER_hh_fec!F10/SER_hh_num!F10)</f>
        <v>327534.42338608368</v>
      </c>
      <c r="G10" s="133">
        <f>IF(SER_hh_fec!G10=0,0,11630*1000*SER_hh_fec!G10/SER_hh_num!G10)</f>
        <v>205130.32123752686</v>
      </c>
      <c r="H10" s="133">
        <f>IF(SER_hh_fec!H10=0,0,11630*1000*SER_hh_fec!H10/SER_hh_num!H10)</f>
        <v>232272.79167658242</v>
      </c>
      <c r="I10" s="133">
        <f>IF(SER_hh_fec!I10=0,0,11630*1000*SER_hh_fec!I10/SER_hh_num!I10)</f>
        <v>247644.45358446881</v>
      </c>
      <c r="J10" s="133">
        <f>IF(SER_hh_fec!J10=0,0,11630*1000*SER_hh_fec!J10/SER_hh_num!J10)</f>
        <v>264981.65668231063</v>
      </c>
      <c r="K10" s="133">
        <f>IF(SER_hh_fec!K10=0,0,11630*1000*SER_hh_fec!K10/SER_hh_num!K10)</f>
        <v>197051.66460173289</v>
      </c>
      <c r="L10" s="133">
        <f>IF(SER_hh_fec!L10=0,0,11630*1000*SER_hh_fec!L10/SER_hh_num!L10)</f>
        <v>242081.50337731669</v>
      </c>
      <c r="M10" s="133">
        <f>IF(SER_hh_fec!M10=0,0,11630*1000*SER_hh_fec!M10/SER_hh_num!M10)</f>
        <v>263105.70527613786</v>
      </c>
      <c r="N10" s="133">
        <f>IF(SER_hh_fec!N10=0,0,11630*1000*SER_hh_fec!N10/SER_hh_num!N10)</f>
        <v>192295.47777523214</v>
      </c>
      <c r="O10" s="133">
        <f>IF(SER_hh_fec!O10=0,0,11630*1000*SER_hh_fec!O10/SER_hh_num!O10)</f>
        <v>206106.30324828549</v>
      </c>
      <c r="P10" s="133">
        <f>IF(SER_hh_fec!P10=0,0,11630*1000*SER_hh_fec!P10/SER_hh_num!P10)</f>
        <v>219479.93405601857</v>
      </c>
      <c r="Q10" s="133">
        <f>IF(SER_hh_fec!Q10=0,0,11630*1000*SER_hh_fec!Q10/SER_hh_num!Q10)</f>
        <v>246032.82551894116</v>
      </c>
      <c r="R10" s="133">
        <f>IF(SER_hh_fec!R10=0,0,11630*1000*SER_hh_fec!R10/SER_hh_num!R10)</f>
        <v>240140.55639964851</v>
      </c>
      <c r="S10" s="133">
        <f>IF(SER_hh_fec!S10=0,0,11630*1000*SER_hh_fec!S10/SER_hh_num!S10)</f>
        <v>255113.42646659026</v>
      </c>
      <c r="T10" s="133">
        <f>IF(SER_hh_fec!T10=0,0,11630*1000*SER_hh_fec!T10/SER_hh_num!T10)</f>
        <v>221267.81530400141</v>
      </c>
      <c r="U10" s="133">
        <f>IF(SER_hh_fec!U10=0,0,11630*1000*SER_hh_fec!U10/SER_hh_num!U10)</f>
        <v>236610.08754545782</v>
      </c>
      <c r="V10" s="133">
        <f>IF(SER_hh_fec!V10=0,0,11630*1000*SER_hh_fec!V10/SER_hh_num!V10)</f>
        <v>281206.04410822451</v>
      </c>
      <c r="W10" s="133">
        <f>IF(SER_hh_fec!W10=0,0,11630*1000*SER_hh_fec!W10/SER_hh_num!W10)</f>
        <v>241587.69501145894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152708.6875468239</v>
      </c>
      <c r="C12" s="133">
        <f>IF(SER_hh_fec!C12=0,0,11630*1000*SER_hh_fec!C12/SER_hh_num!C12)</f>
        <v>105804.59243472488</v>
      </c>
      <c r="D12" s="133">
        <f>IF(SER_hh_fec!D12=0,0,11630*1000*SER_hh_fec!D12/SER_hh_num!D12)</f>
        <v>129023.9176777684</v>
      </c>
      <c r="E12" s="133">
        <f>IF(SER_hh_fec!E12=0,0,11630*1000*SER_hh_fec!E12/SER_hh_num!E12)</f>
        <v>127560.55040664453</v>
      </c>
      <c r="F12" s="133">
        <f>IF(SER_hh_fec!F12=0,0,11630*1000*SER_hh_fec!F12/SER_hh_num!F12)</f>
        <v>156127.71849072049</v>
      </c>
      <c r="G12" s="133">
        <f>IF(SER_hh_fec!G12=0,0,11630*1000*SER_hh_fec!G12/SER_hh_num!G12)</f>
        <v>169272.33809026127</v>
      </c>
      <c r="H12" s="133">
        <f>IF(SER_hh_fec!H12=0,0,11630*1000*SER_hh_fec!H12/SER_hh_num!H12)</f>
        <v>143450.53105311177</v>
      </c>
      <c r="I12" s="133">
        <f>IF(SER_hh_fec!I12=0,0,11630*1000*SER_hh_fec!I12/SER_hh_num!I12)</f>
        <v>134107.85072857077</v>
      </c>
      <c r="J12" s="133">
        <f>IF(SER_hh_fec!J12=0,0,11630*1000*SER_hh_fec!J12/SER_hh_num!J12)</f>
        <v>165309.47924416701</v>
      </c>
      <c r="K12" s="133">
        <f>IF(SER_hh_fec!K12=0,0,11630*1000*SER_hh_fec!K12/SER_hh_num!K12)</f>
        <v>162196.95513142954</v>
      </c>
      <c r="L12" s="133">
        <f>IF(SER_hh_fec!L12=0,0,11630*1000*SER_hh_fec!L12/SER_hh_num!L12)</f>
        <v>172121.28174849824</v>
      </c>
      <c r="M12" s="133">
        <f>IF(SER_hh_fec!M12=0,0,11630*1000*SER_hh_fec!M12/SER_hh_num!M12)</f>
        <v>133718.98281062295</v>
      </c>
      <c r="N12" s="133">
        <f>IF(SER_hh_fec!N12=0,0,11630*1000*SER_hh_fec!N12/SER_hh_num!N12)</f>
        <v>151287.8147951405</v>
      </c>
      <c r="O12" s="133">
        <f>IF(SER_hh_fec!O12=0,0,11630*1000*SER_hh_fec!O12/SER_hh_num!O12)</f>
        <v>143010.17520444348</v>
      </c>
      <c r="P12" s="133">
        <f>IF(SER_hh_fec!P12=0,0,11630*1000*SER_hh_fec!P12/SER_hh_num!P12)</f>
        <v>157874.14290521271</v>
      </c>
      <c r="Q12" s="133">
        <f>IF(SER_hh_fec!Q12=0,0,11630*1000*SER_hh_fec!Q12/SER_hh_num!Q12)</f>
        <v>155996.50824886968</v>
      </c>
      <c r="R12" s="133">
        <f>IF(SER_hh_fec!R12=0,0,11630*1000*SER_hh_fec!R12/SER_hh_num!R12)</f>
        <v>174587.34611473023</v>
      </c>
      <c r="S12" s="133">
        <f>IF(SER_hh_fec!S12=0,0,11630*1000*SER_hh_fec!S12/SER_hh_num!S12)</f>
        <v>165185.18509436256</v>
      </c>
      <c r="T12" s="133">
        <f>IF(SER_hh_fec!T12=0,0,11630*1000*SER_hh_fec!T12/SER_hh_num!T12)</f>
        <v>169935.88674754265</v>
      </c>
      <c r="U12" s="133">
        <f>IF(SER_hh_fec!U12=0,0,11630*1000*SER_hh_fec!U12/SER_hh_num!U12)</f>
        <v>143821.10127593647</v>
      </c>
      <c r="V12" s="133">
        <f>IF(SER_hh_fec!V12=0,0,11630*1000*SER_hh_fec!V12/SER_hh_num!V12)</f>
        <v>156255.04287029541</v>
      </c>
      <c r="W12" s="133">
        <f>IF(SER_hh_fec!W12=0,0,11630*1000*SER_hh_fec!W12/SER_hh_num!W12)</f>
        <v>163122.21369760408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140235.2771671892</v>
      </c>
      <c r="C14" s="65">
        <f>IF(SER_hh_fec!C14=0,0,11630*1000*SER_hh_fec!C14/SER_hh_num!C14)</f>
        <v>139386.75773986283</v>
      </c>
      <c r="D14" s="65">
        <f>IF(SER_hh_fec!D14=0,0,11630*1000*SER_hh_fec!D14/SER_hh_num!D14)</f>
        <v>150856.02839921805</v>
      </c>
      <c r="E14" s="65">
        <f>IF(SER_hh_fec!E14=0,0,11630*1000*SER_hh_fec!E14/SER_hh_num!E14)</f>
        <v>144637.7431946343</v>
      </c>
      <c r="F14" s="65">
        <f>IF(SER_hh_fec!F14=0,0,11630*1000*SER_hh_fec!F14/SER_hh_num!F14)</f>
        <v>173374.80988977701</v>
      </c>
      <c r="G14" s="65">
        <f>IF(SER_hh_fec!G14=0,0,11630*1000*SER_hh_fec!G14/SER_hh_num!G14)</f>
        <v>155408.37601359477</v>
      </c>
      <c r="H14" s="65">
        <f>IF(SER_hh_fec!H14=0,0,11630*1000*SER_hh_fec!H14/SER_hh_num!H14)</f>
        <v>163695.08337695312</v>
      </c>
      <c r="I14" s="65">
        <f>IF(SER_hh_fec!I14=0,0,11630*1000*SER_hh_fec!I14/SER_hh_num!I14)</f>
        <v>168003.92116855521</v>
      </c>
      <c r="J14" s="65">
        <f>IF(SER_hh_fec!J14=0,0,11630*1000*SER_hh_fec!J14/SER_hh_num!J14)</f>
        <v>187593.46807852789</v>
      </c>
      <c r="K14" s="65">
        <f>IF(SER_hh_fec!K14=0,0,11630*1000*SER_hh_fec!K14/SER_hh_num!K14)</f>
        <v>183008.91370548937</v>
      </c>
      <c r="L14" s="65">
        <f>IF(SER_hh_fec!L14=0,0,11630*1000*SER_hh_fec!L14/SER_hh_num!L14)</f>
        <v>171451.05839497381</v>
      </c>
      <c r="M14" s="65">
        <f>IF(SER_hh_fec!M14=0,0,11630*1000*SER_hh_fec!M14/SER_hh_num!M14)</f>
        <v>140602.97816321478</v>
      </c>
      <c r="N14" s="65">
        <f>IF(SER_hh_fec!N14=0,0,11630*1000*SER_hh_fec!N14/SER_hh_num!N14)</f>
        <v>164279.30297854941</v>
      </c>
      <c r="O14" s="65">
        <f>IF(SER_hh_fec!O14=0,0,11630*1000*SER_hh_fec!O14/SER_hh_num!O14)</f>
        <v>149888.21304544591</v>
      </c>
      <c r="P14" s="65">
        <f>IF(SER_hh_fec!P14=0,0,11630*1000*SER_hh_fec!P14/SER_hh_num!P14)</f>
        <v>181039.09065766213</v>
      </c>
      <c r="Q14" s="65">
        <f>IF(SER_hh_fec!Q14=0,0,11630*1000*SER_hh_fec!Q14/SER_hh_num!Q14)</f>
        <v>170490.98837727695</v>
      </c>
      <c r="R14" s="65">
        <f>IF(SER_hh_fec!R14=0,0,11630*1000*SER_hh_fec!R14/SER_hh_num!R14)</f>
        <v>197740.40946511825</v>
      </c>
      <c r="S14" s="65">
        <f>IF(SER_hh_fec!S14=0,0,11630*1000*SER_hh_fec!S14/SER_hh_num!S14)</f>
        <v>150287.77628319123</v>
      </c>
      <c r="T14" s="65">
        <f>IF(SER_hh_fec!T14=0,0,11630*1000*SER_hh_fec!T14/SER_hh_num!T14)</f>
        <v>175191.27257101316</v>
      </c>
      <c r="U14" s="65">
        <f>IF(SER_hh_fec!U14=0,0,11630*1000*SER_hh_fec!U14/SER_hh_num!U14)</f>
        <v>164358.79009832381</v>
      </c>
      <c r="V14" s="65">
        <f>IF(SER_hh_fec!V14=0,0,11630*1000*SER_hh_fec!V14/SER_hh_num!V14)</f>
        <v>152858.84385056287</v>
      </c>
      <c r="W14" s="65">
        <f>IF(SER_hh_fec!W14=0,0,11630*1000*SER_hh_fec!W14/SER_hh_num!W14)</f>
        <v>169814.37633364034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937.1962629375372</v>
      </c>
      <c r="C15" s="135">
        <f>IF(SER_hh_fec!C15=0,0,11630*1000*SER_hh_fec!C15/SER_hh_num!C15)</f>
        <v>1031.732841430809</v>
      </c>
      <c r="D15" s="135">
        <f>IF(SER_hh_fec!D15=0,0,11630*1000*SER_hh_fec!D15/SER_hh_num!D15)</f>
        <v>895.02490891162086</v>
      </c>
      <c r="E15" s="135">
        <f>IF(SER_hh_fec!E15=0,0,11630*1000*SER_hh_fec!E15/SER_hh_num!E15)</f>
        <v>1205.8660079044298</v>
      </c>
      <c r="F15" s="135">
        <f>IF(SER_hh_fec!F15=0,0,11630*1000*SER_hh_fec!F15/SER_hh_num!F15)</f>
        <v>1234.9821406736717</v>
      </c>
      <c r="G15" s="135">
        <f>IF(SER_hh_fec!G15=0,0,11630*1000*SER_hh_fec!G15/SER_hh_num!G15)</f>
        <v>1123.6264721423233</v>
      </c>
      <c r="H15" s="135">
        <f>IF(SER_hh_fec!H15=0,0,11630*1000*SER_hh_fec!H15/SER_hh_num!H15)</f>
        <v>1019.8547078043617</v>
      </c>
      <c r="I15" s="135">
        <f>IF(SER_hh_fec!I15=0,0,11630*1000*SER_hh_fec!I15/SER_hh_num!I15)</f>
        <v>988.51418559740148</v>
      </c>
      <c r="J15" s="135">
        <f>IF(SER_hh_fec!J15=0,0,11630*1000*SER_hh_fec!J15/SER_hh_num!J15)</f>
        <v>990.42741336619031</v>
      </c>
      <c r="K15" s="135">
        <f>IF(SER_hh_fec!K15=0,0,11630*1000*SER_hh_fec!K15/SER_hh_num!K15)</f>
        <v>893.00233663260337</v>
      </c>
      <c r="L15" s="135">
        <f>IF(SER_hh_fec!L15=0,0,11630*1000*SER_hh_fec!L15/SER_hh_num!L15)</f>
        <v>899.24976332116387</v>
      </c>
      <c r="M15" s="135">
        <f>IF(SER_hh_fec!M15=0,0,11630*1000*SER_hh_fec!M15/SER_hh_num!M15)</f>
        <v>908.55148062122828</v>
      </c>
      <c r="N15" s="135">
        <f>IF(SER_hh_fec!N15=0,0,11630*1000*SER_hh_fec!N15/SER_hh_num!N15)</f>
        <v>949.50624936552367</v>
      </c>
      <c r="O15" s="135">
        <f>IF(SER_hh_fec!O15=0,0,11630*1000*SER_hh_fec!O15/SER_hh_num!O15)</f>
        <v>984.7009816721162</v>
      </c>
      <c r="P15" s="135">
        <f>IF(SER_hh_fec!P15=0,0,11630*1000*SER_hh_fec!P15/SER_hh_num!P15)</f>
        <v>1123.9812942708782</v>
      </c>
      <c r="Q15" s="135">
        <f>IF(SER_hh_fec!Q15=0,0,11630*1000*SER_hh_fec!Q15/SER_hh_num!Q15)</f>
        <v>1154.8278131213326</v>
      </c>
      <c r="R15" s="135">
        <f>IF(SER_hh_fec!R15=0,0,11630*1000*SER_hh_fec!R15/SER_hh_num!R15)</f>
        <v>1232.7602203590552</v>
      </c>
      <c r="S15" s="135">
        <f>IF(SER_hh_fec!S15=0,0,11630*1000*SER_hh_fec!S15/SER_hh_num!S15)</f>
        <v>1120.1887287046154</v>
      </c>
      <c r="T15" s="135">
        <f>IF(SER_hh_fec!T15=0,0,11630*1000*SER_hh_fec!T15/SER_hh_num!T15)</f>
        <v>1169.2682415526317</v>
      </c>
      <c r="U15" s="135">
        <f>IF(SER_hh_fec!U15=0,0,11630*1000*SER_hh_fec!U15/SER_hh_num!U15)</f>
        <v>1035.9156819418899</v>
      </c>
      <c r="V15" s="135">
        <f>IF(SER_hh_fec!V15=0,0,11630*1000*SER_hh_fec!V15/SER_hh_num!V15)</f>
        <v>1090.6351302913242</v>
      </c>
      <c r="W15" s="135">
        <f>IF(SER_hh_fec!W15=0,0,11630*1000*SER_hh_fec!W15/SER_hh_num!W15)</f>
        <v>1156.1813561263166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9769.1390104679631</v>
      </c>
      <c r="C16" s="131">
        <f>IF(SER_hh_fec!C16=0,0,11630*1000*SER_hh_fec!C16/SER_hh_num!C16)</f>
        <v>9388.1797610447866</v>
      </c>
      <c r="D16" s="131">
        <f>IF(SER_hh_fec!D16=0,0,11630*1000*SER_hh_fec!D16/SER_hh_num!D16)</f>
        <v>8848.6620433818771</v>
      </c>
      <c r="E16" s="131">
        <f>IF(SER_hh_fec!E16=0,0,11630*1000*SER_hh_fec!E16/SER_hh_num!E16)</f>
        <v>8810.8384568910951</v>
      </c>
      <c r="F16" s="131">
        <f>IF(SER_hh_fec!F16=0,0,11630*1000*SER_hh_fec!F16/SER_hh_num!F16)</f>
        <v>7993.4040144381934</v>
      </c>
      <c r="G16" s="131">
        <f>IF(SER_hh_fec!G16=0,0,11630*1000*SER_hh_fec!G16/SER_hh_num!G16)</f>
        <v>7555.4944257442594</v>
      </c>
      <c r="H16" s="131">
        <f>IF(SER_hh_fec!H16=0,0,11630*1000*SER_hh_fec!H16/SER_hh_num!H16)</f>
        <v>7229.864863527323</v>
      </c>
      <c r="I16" s="131">
        <f>IF(SER_hh_fec!I16=0,0,11630*1000*SER_hh_fec!I16/SER_hh_num!I16)</f>
        <v>6773.0327696131899</v>
      </c>
      <c r="J16" s="131">
        <f>IF(SER_hh_fec!J16=0,0,11630*1000*SER_hh_fec!J16/SER_hh_num!J16)</f>
        <v>6450.2421071925328</v>
      </c>
      <c r="K16" s="131">
        <f>IF(SER_hh_fec!K16=0,0,11630*1000*SER_hh_fec!K16/SER_hh_num!K16)</f>
        <v>6361.974943919734</v>
      </c>
      <c r="L16" s="131">
        <f>IF(SER_hh_fec!L16=0,0,11630*1000*SER_hh_fec!L16/SER_hh_num!L16)</f>
        <v>7258.9116747438329</v>
      </c>
      <c r="M16" s="131">
        <f>IF(SER_hh_fec!M16=0,0,11630*1000*SER_hh_fec!M16/SER_hh_num!M16)</f>
        <v>6372.0475687320532</v>
      </c>
      <c r="N16" s="131">
        <f>IF(SER_hh_fec!N16=0,0,11630*1000*SER_hh_fec!N16/SER_hh_num!N16)</f>
        <v>5920.6888729406228</v>
      </c>
      <c r="O16" s="131">
        <f>IF(SER_hh_fec!O16=0,0,11630*1000*SER_hh_fec!O16/SER_hh_num!O16)</f>
        <v>5683.9500805972657</v>
      </c>
      <c r="P16" s="131">
        <f>IF(SER_hh_fec!P16=0,0,11630*1000*SER_hh_fec!P16/SER_hh_num!P16)</f>
        <v>5589.362879199286</v>
      </c>
      <c r="Q16" s="131">
        <f>IF(SER_hh_fec!Q16=0,0,11630*1000*SER_hh_fec!Q16/SER_hh_num!Q16)</f>
        <v>5241.2464404267321</v>
      </c>
      <c r="R16" s="131">
        <f>IF(SER_hh_fec!R16=0,0,11630*1000*SER_hh_fec!R16/SER_hh_num!R16)</f>
        <v>5122.7223800260317</v>
      </c>
      <c r="S16" s="131">
        <f>IF(SER_hh_fec!S16=0,0,11630*1000*SER_hh_fec!S16/SER_hh_num!S16)</f>
        <v>4964.6312015438725</v>
      </c>
      <c r="T16" s="131">
        <f>IF(SER_hh_fec!T16=0,0,11630*1000*SER_hh_fec!T16/SER_hh_num!T16)</f>
        <v>5154.8716361306751</v>
      </c>
      <c r="U16" s="131">
        <f>IF(SER_hh_fec!U16=0,0,11630*1000*SER_hh_fec!U16/SER_hh_num!U16)</f>
        <v>4711.1076084962351</v>
      </c>
      <c r="V16" s="131">
        <f>IF(SER_hh_fec!V16=0,0,11630*1000*SER_hh_fec!V16/SER_hh_num!V16)</f>
        <v>4614.2876442561801</v>
      </c>
      <c r="W16" s="131">
        <f>IF(SER_hh_fec!W16=0,0,11630*1000*SER_hh_fec!W16/SER_hh_num!W16)</f>
        <v>4996.2085341628217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9769.1390104679631</v>
      </c>
      <c r="C18" s="133">
        <f>IF(SER_hh_fec!C18=0,0,11630*1000*SER_hh_fec!C18/SER_hh_num!C18)</f>
        <v>9388.1797610447866</v>
      </c>
      <c r="D18" s="133">
        <f>IF(SER_hh_fec!D18=0,0,11630*1000*SER_hh_fec!D18/SER_hh_num!D18)</f>
        <v>8848.6620433818771</v>
      </c>
      <c r="E18" s="133">
        <f>IF(SER_hh_fec!E18=0,0,11630*1000*SER_hh_fec!E18/SER_hh_num!E18)</f>
        <v>8810.8384568910951</v>
      </c>
      <c r="F18" s="133">
        <f>IF(SER_hh_fec!F18=0,0,11630*1000*SER_hh_fec!F18/SER_hh_num!F18)</f>
        <v>7993.4040144381934</v>
      </c>
      <c r="G18" s="133">
        <f>IF(SER_hh_fec!G18=0,0,11630*1000*SER_hh_fec!G18/SER_hh_num!G18)</f>
        <v>7555.4944257442594</v>
      </c>
      <c r="H18" s="133">
        <f>IF(SER_hh_fec!H18=0,0,11630*1000*SER_hh_fec!H18/SER_hh_num!H18)</f>
        <v>7229.864863527323</v>
      </c>
      <c r="I18" s="133">
        <f>IF(SER_hh_fec!I18=0,0,11630*1000*SER_hh_fec!I18/SER_hh_num!I18)</f>
        <v>6773.0327696131899</v>
      </c>
      <c r="J18" s="133">
        <f>IF(SER_hh_fec!J18=0,0,11630*1000*SER_hh_fec!J18/SER_hh_num!J18)</f>
        <v>6450.2421071925328</v>
      </c>
      <c r="K18" s="133">
        <f>IF(SER_hh_fec!K18=0,0,11630*1000*SER_hh_fec!K18/SER_hh_num!K18)</f>
        <v>6361.974943919734</v>
      </c>
      <c r="L18" s="133">
        <f>IF(SER_hh_fec!L18=0,0,11630*1000*SER_hh_fec!L18/SER_hh_num!L18)</f>
        <v>7258.9116747438329</v>
      </c>
      <c r="M18" s="133">
        <f>IF(SER_hh_fec!M18=0,0,11630*1000*SER_hh_fec!M18/SER_hh_num!M18)</f>
        <v>6372.0475687320532</v>
      </c>
      <c r="N18" s="133">
        <f>IF(SER_hh_fec!N18=0,0,11630*1000*SER_hh_fec!N18/SER_hh_num!N18)</f>
        <v>5920.6888729406228</v>
      </c>
      <c r="O18" s="133">
        <f>IF(SER_hh_fec!O18=0,0,11630*1000*SER_hh_fec!O18/SER_hh_num!O18)</f>
        <v>5683.9500805972657</v>
      </c>
      <c r="P18" s="133">
        <f>IF(SER_hh_fec!P18=0,0,11630*1000*SER_hh_fec!P18/SER_hh_num!P18)</f>
        <v>5589.362879199286</v>
      </c>
      <c r="Q18" s="133">
        <f>IF(SER_hh_fec!Q18=0,0,11630*1000*SER_hh_fec!Q18/SER_hh_num!Q18)</f>
        <v>5241.2464404267321</v>
      </c>
      <c r="R18" s="133">
        <f>IF(SER_hh_fec!R18=0,0,11630*1000*SER_hh_fec!R18/SER_hh_num!R18)</f>
        <v>5122.7223800260317</v>
      </c>
      <c r="S18" s="133">
        <f>IF(SER_hh_fec!S18=0,0,11630*1000*SER_hh_fec!S18/SER_hh_num!S18)</f>
        <v>4964.6312015438725</v>
      </c>
      <c r="T18" s="133">
        <f>IF(SER_hh_fec!T18=0,0,11630*1000*SER_hh_fec!T18/SER_hh_num!T18)</f>
        <v>5154.8716361306751</v>
      </c>
      <c r="U18" s="133">
        <f>IF(SER_hh_fec!U18=0,0,11630*1000*SER_hh_fec!U18/SER_hh_num!U18)</f>
        <v>4711.1076084962351</v>
      </c>
      <c r="V18" s="133">
        <f>IF(SER_hh_fec!V18=0,0,11630*1000*SER_hh_fec!V18/SER_hh_num!V18)</f>
        <v>4614.2876442561801</v>
      </c>
      <c r="W18" s="133">
        <f>IF(SER_hh_fec!W18=0,0,11630*1000*SER_hh_fec!W18/SER_hh_num!W18)</f>
        <v>4996.2085341628217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27824.625187038455</v>
      </c>
      <c r="C19" s="131">
        <f>IF(SER_hh_fec!C19=0,0,11630*1000*SER_hh_fec!C19/SER_hh_num!C19)</f>
        <v>27242.189952554811</v>
      </c>
      <c r="D19" s="131">
        <f>IF(SER_hh_fec!D19=0,0,11630*1000*SER_hh_fec!D19/SER_hh_num!D19)</f>
        <v>26076.685045123086</v>
      </c>
      <c r="E19" s="131">
        <f>IF(SER_hh_fec!E19=0,0,11630*1000*SER_hh_fec!E19/SER_hh_num!E19)</f>
        <v>25258.076909860418</v>
      </c>
      <c r="F19" s="131">
        <f>IF(SER_hh_fec!F19=0,0,11630*1000*SER_hh_fec!F19/SER_hh_num!F19)</f>
        <v>24177.669301104637</v>
      </c>
      <c r="G19" s="131">
        <f>IF(SER_hh_fec!G19=0,0,11630*1000*SER_hh_fec!G19/SER_hh_num!G19)</f>
        <v>23919.691968122876</v>
      </c>
      <c r="H19" s="131">
        <f>IF(SER_hh_fec!H19=0,0,11630*1000*SER_hh_fec!H19/SER_hh_num!H19)</f>
        <v>23030.947308912375</v>
      </c>
      <c r="I19" s="131">
        <f>IF(SER_hh_fec!I19=0,0,11630*1000*SER_hh_fec!I19/SER_hh_num!I19)</f>
        <v>21971.226150949271</v>
      </c>
      <c r="J19" s="131">
        <f>IF(SER_hh_fec!J19=0,0,11630*1000*SER_hh_fec!J19/SER_hh_num!J19)</f>
        <v>22240.754700020909</v>
      </c>
      <c r="K19" s="131">
        <f>IF(SER_hh_fec!K19=0,0,11630*1000*SER_hh_fec!K19/SER_hh_num!K19)</f>
        <v>22031.507694334636</v>
      </c>
      <c r="L19" s="131">
        <f>IF(SER_hh_fec!L19=0,0,11630*1000*SER_hh_fec!L19/SER_hh_num!L19)</f>
        <v>21788.290298737789</v>
      </c>
      <c r="M19" s="131">
        <f>IF(SER_hh_fec!M19=0,0,11630*1000*SER_hh_fec!M19/SER_hh_num!M19)</f>
        <v>21981.573583404937</v>
      </c>
      <c r="N19" s="131">
        <f>IF(SER_hh_fec!N19=0,0,11630*1000*SER_hh_fec!N19/SER_hh_num!N19)</f>
        <v>21889.740968009282</v>
      </c>
      <c r="O19" s="131">
        <f>IF(SER_hh_fec!O19=0,0,11630*1000*SER_hh_fec!O19/SER_hh_num!O19)</f>
        <v>21750.158880130421</v>
      </c>
      <c r="P19" s="131">
        <f>IF(SER_hh_fec!P19=0,0,11630*1000*SER_hh_fec!P19/SER_hh_num!P19)</f>
        <v>21824.28437784925</v>
      </c>
      <c r="Q19" s="131">
        <f>IF(SER_hh_fec!Q19=0,0,11630*1000*SER_hh_fec!Q19/SER_hh_num!Q19)</f>
        <v>21833.184861625512</v>
      </c>
      <c r="R19" s="131">
        <f>IF(SER_hh_fec!R19=0,0,11630*1000*SER_hh_fec!R19/SER_hh_num!R19)</f>
        <v>21331.043139938931</v>
      </c>
      <c r="S19" s="131">
        <f>IF(SER_hh_fec!S19=0,0,11630*1000*SER_hh_fec!S19/SER_hh_num!S19)</f>
        <v>20833.49646607001</v>
      </c>
      <c r="T19" s="131">
        <f>IF(SER_hh_fec!T19=0,0,11630*1000*SER_hh_fec!T19/SER_hh_num!T19)</f>
        <v>20733.734220480295</v>
      </c>
      <c r="U19" s="131">
        <f>IF(SER_hh_fec!U19=0,0,11630*1000*SER_hh_fec!U19/SER_hh_num!U19)</f>
        <v>20528.235695151136</v>
      </c>
      <c r="V19" s="131">
        <f>IF(SER_hh_fec!V19=0,0,11630*1000*SER_hh_fec!V19/SER_hh_num!V19)</f>
        <v>19214.49133797481</v>
      </c>
      <c r="W19" s="131">
        <f>IF(SER_hh_fec!W19=0,0,11630*1000*SER_hh_fec!W19/SER_hh_num!W19)</f>
        <v>19785.478128008752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35114.688358068299</v>
      </c>
      <c r="C22" s="133">
        <f>IF(SER_hh_fec!C22=0,0,11630*1000*SER_hh_fec!C22/SER_hh_num!C22)</f>
        <v>35361.42717368358</v>
      </c>
      <c r="D22" s="133">
        <f>IF(SER_hh_fec!D22=0,0,11630*1000*SER_hh_fec!D22/SER_hh_num!D22)</f>
        <v>35154.711912471168</v>
      </c>
      <c r="E22" s="133">
        <f>IF(SER_hh_fec!E22=0,0,11630*1000*SER_hh_fec!E22/SER_hh_num!E22)</f>
        <v>30818.370722588592</v>
      </c>
      <c r="F22" s="133">
        <f>IF(SER_hh_fec!F22=0,0,11630*1000*SER_hh_fec!F22/SER_hh_num!F22)</f>
        <v>29698.047665331949</v>
      </c>
      <c r="G22" s="133">
        <f>IF(SER_hh_fec!G22=0,0,11630*1000*SER_hh_fec!G22/SER_hh_num!G22)</f>
        <v>31008.574878821735</v>
      </c>
      <c r="H22" s="133">
        <f>IF(SER_hh_fec!H22=0,0,11630*1000*SER_hh_fec!H22/SER_hh_num!H22)</f>
        <v>30134.845812961325</v>
      </c>
      <c r="I22" s="133">
        <f>IF(SER_hh_fec!I22=0,0,11630*1000*SER_hh_fec!I22/SER_hh_num!I22)</f>
        <v>29372.214853614685</v>
      </c>
      <c r="J22" s="133">
        <f>IF(SER_hh_fec!J22=0,0,11630*1000*SER_hh_fec!J22/SER_hh_num!J22)</f>
        <v>29827.207594815827</v>
      </c>
      <c r="K22" s="133">
        <f>IF(SER_hh_fec!K22=0,0,11630*1000*SER_hh_fec!K22/SER_hh_num!K22)</f>
        <v>29120.625894476943</v>
      </c>
      <c r="L22" s="133">
        <f>IF(SER_hh_fec!L22=0,0,11630*1000*SER_hh_fec!L22/SER_hh_num!L22)</f>
        <v>28712.018795319877</v>
      </c>
      <c r="M22" s="133">
        <f>IF(SER_hh_fec!M22=0,0,11630*1000*SER_hh_fec!M22/SER_hh_num!M22)</f>
        <v>28593.078740085955</v>
      </c>
      <c r="N22" s="133">
        <f>IF(SER_hh_fec!N22=0,0,11630*1000*SER_hh_fec!N22/SER_hh_num!N22)</f>
        <v>28054.892246046533</v>
      </c>
      <c r="O22" s="133">
        <f>IF(SER_hh_fec!O22=0,0,11630*1000*SER_hh_fec!O22/SER_hh_num!O22)</f>
        <v>27581.633407729249</v>
      </c>
      <c r="P22" s="133">
        <f>IF(SER_hh_fec!P22=0,0,11630*1000*SER_hh_fec!P22/SER_hh_num!P22)</f>
        <v>27940.833698530078</v>
      </c>
      <c r="Q22" s="133">
        <f>IF(SER_hh_fec!Q22=0,0,11630*1000*SER_hh_fec!Q22/SER_hh_num!Q22)</f>
        <v>28361.891510323778</v>
      </c>
      <c r="R22" s="133">
        <f>IF(SER_hh_fec!R22=0,0,11630*1000*SER_hh_fec!R22/SER_hh_num!R22)</f>
        <v>26906.382574756251</v>
      </c>
      <c r="S22" s="133">
        <f>IF(SER_hh_fec!S22=0,0,11630*1000*SER_hh_fec!S22/SER_hh_num!S22)</f>
        <v>27691.970014093138</v>
      </c>
      <c r="T22" s="133">
        <f>IF(SER_hh_fec!T22=0,0,11630*1000*SER_hh_fec!T22/SER_hh_num!T22)</f>
        <v>29899.315842795666</v>
      </c>
      <c r="U22" s="133">
        <f>IF(SER_hh_fec!U22=0,0,11630*1000*SER_hh_fec!U22/SER_hh_num!U22)</f>
        <v>24375.815836875474</v>
      </c>
      <c r="V22" s="133">
        <f>IF(SER_hh_fec!V22=0,0,11630*1000*SER_hh_fec!V22/SER_hh_num!V22)</f>
        <v>27199.935771261469</v>
      </c>
      <c r="W22" s="133">
        <f>IF(SER_hh_fec!W22=0,0,11630*1000*SER_hh_fec!W22/SER_hh_num!W22)</f>
        <v>26849.993944704587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23750.502096003704</v>
      </c>
      <c r="C23" s="133">
        <f>IF(SER_hh_fec!C23=0,0,11630*1000*SER_hh_fec!C23/SER_hh_num!C23)</f>
        <v>36973.637084133363</v>
      </c>
      <c r="D23" s="133">
        <f>IF(SER_hh_fec!D23=0,0,11630*1000*SER_hh_fec!D23/SER_hh_num!D23)</f>
        <v>32809.33355888207</v>
      </c>
      <c r="E23" s="133">
        <f>IF(SER_hh_fec!E23=0,0,11630*1000*SER_hh_fec!E23/SER_hh_num!E23)</f>
        <v>30423.002228122728</v>
      </c>
      <c r="F23" s="133">
        <f>IF(SER_hh_fec!F23=0,0,11630*1000*SER_hh_fec!F23/SER_hh_num!F23)</f>
        <v>28830.009567494762</v>
      </c>
      <c r="G23" s="133">
        <f>IF(SER_hh_fec!G23=0,0,11630*1000*SER_hh_fec!G23/SER_hh_num!G23)</f>
        <v>28149.341721669192</v>
      </c>
      <c r="H23" s="133">
        <f>IF(SER_hh_fec!H23=0,0,11630*1000*SER_hh_fec!H23/SER_hh_num!H23)</f>
        <v>27571.928360103302</v>
      </c>
      <c r="I23" s="133">
        <f>IF(SER_hh_fec!I23=0,0,11630*1000*SER_hh_fec!I23/SER_hh_num!I23)</f>
        <v>26691.878195996869</v>
      </c>
      <c r="J23" s="133">
        <f>IF(SER_hh_fec!J23=0,0,11630*1000*SER_hh_fec!J23/SER_hh_num!J23)</f>
        <v>26137.207093892746</v>
      </c>
      <c r="K23" s="133">
        <f>IF(SER_hh_fec!K23=0,0,11630*1000*SER_hh_fec!K23/SER_hh_num!K23)</f>
        <v>25516.151985654822</v>
      </c>
      <c r="L23" s="133">
        <f>IF(SER_hh_fec!L23=0,0,11630*1000*SER_hh_fec!L23/SER_hh_num!L23)</f>
        <v>23833.775418971971</v>
      </c>
      <c r="M23" s="133">
        <f>IF(SER_hh_fec!M23=0,0,11630*1000*SER_hh_fec!M23/SER_hh_num!M23)</f>
        <v>25000.73919597868</v>
      </c>
      <c r="N23" s="133">
        <f>IF(SER_hh_fec!N23=0,0,11630*1000*SER_hh_fec!N23/SER_hh_num!N23)</f>
        <v>21600.210835535221</v>
      </c>
      <c r="O23" s="133">
        <f>IF(SER_hh_fec!O23=0,0,11630*1000*SER_hh_fec!O23/SER_hh_num!O23)</f>
        <v>23285.485890258165</v>
      </c>
      <c r="P23" s="133">
        <f>IF(SER_hh_fec!P23=0,0,11630*1000*SER_hh_fec!P23/SER_hh_num!P23)</f>
        <v>25467.109710221721</v>
      </c>
      <c r="Q23" s="133">
        <f>IF(SER_hh_fec!Q23=0,0,11630*1000*SER_hh_fec!Q23/SER_hh_num!Q23)</f>
        <v>23203.218171065739</v>
      </c>
      <c r="R23" s="133">
        <f>IF(SER_hh_fec!R23=0,0,11630*1000*SER_hh_fec!R23/SER_hh_num!R23)</f>
        <v>22001.360658855621</v>
      </c>
      <c r="S23" s="133">
        <f>IF(SER_hh_fec!S23=0,0,11630*1000*SER_hh_fec!S23/SER_hh_num!S23)</f>
        <v>21604.858385749558</v>
      </c>
      <c r="T23" s="133">
        <f>IF(SER_hh_fec!T23=0,0,11630*1000*SER_hh_fec!T23/SER_hh_num!T23)</f>
        <v>21644.111320582299</v>
      </c>
      <c r="U23" s="133">
        <f>IF(SER_hh_fec!U23=0,0,11630*1000*SER_hh_fec!U23/SER_hh_num!U23)</f>
        <v>21832.216173823108</v>
      </c>
      <c r="V23" s="133">
        <f>IF(SER_hh_fec!V23=0,0,11630*1000*SER_hh_fec!V23/SER_hh_num!V23)</f>
        <v>20878.317187879846</v>
      </c>
      <c r="W23" s="133">
        <f>IF(SER_hh_fec!W23=0,0,11630*1000*SER_hh_fec!W23/SER_hh_num!W23)</f>
        <v>19143.812500623935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22458.050472653998</v>
      </c>
      <c r="C25" s="133">
        <f>IF(SER_hh_fec!C25=0,0,11630*1000*SER_hh_fec!C25/SER_hh_num!C25)</f>
        <v>22728.774123309413</v>
      </c>
      <c r="D25" s="133">
        <f>IF(SER_hh_fec!D25=0,0,11630*1000*SER_hh_fec!D25/SER_hh_num!D25)</f>
        <v>21739.428461342955</v>
      </c>
      <c r="E25" s="133">
        <f>IF(SER_hh_fec!E25=0,0,11630*1000*SER_hh_fec!E25/SER_hh_num!E25)</f>
        <v>20899.541098355134</v>
      </c>
      <c r="F25" s="133">
        <f>IF(SER_hh_fec!F25=0,0,11630*1000*SER_hh_fec!F25/SER_hh_num!F25)</f>
        <v>20268.572694743481</v>
      </c>
      <c r="G25" s="133">
        <f>IF(SER_hh_fec!G25=0,0,11630*1000*SER_hh_fec!G25/SER_hh_num!G25)</f>
        <v>20220.460631660204</v>
      </c>
      <c r="H25" s="133">
        <f>IF(SER_hh_fec!H25=0,0,11630*1000*SER_hh_fec!H25/SER_hh_num!H25)</f>
        <v>19627.527110939052</v>
      </c>
      <c r="I25" s="133">
        <f>IF(SER_hh_fec!I25=0,0,11630*1000*SER_hh_fec!I25/SER_hh_num!I25)</f>
        <v>19268.280153990399</v>
      </c>
      <c r="J25" s="133">
        <f>IF(SER_hh_fec!J25=0,0,11630*1000*SER_hh_fec!J25/SER_hh_num!J25)</f>
        <v>18871.932969580987</v>
      </c>
      <c r="K25" s="133">
        <f>IF(SER_hh_fec!K25=0,0,11630*1000*SER_hh_fec!K25/SER_hh_num!K25)</f>
        <v>19147.949951257491</v>
      </c>
      <c r="L25" s="133">
        <f>IF(SER_hh_fec!L25=0,0,11630*1000*SER_hh_fec!L25/SER_hh_num!L25)</f>
        <v>18968.235098582489</v>
      </c>
      <c r="M25" s="133">
        <f>IF(SER_hh_fec!M25=0,0,11630*1000*SER_hh_fec!M25/SER_hh_num!M25)</f>
        <v>19091.932689497487</v>
      </c>
      <c r="N25" s="133">
        <f>IF(SER_hh_fec!N25=0,0,11630*1000*SER_hh_fec!N25/SER_hh_num!N25)</f>
        <v>19064.843207690508</v>
      </c>
      <c r="O25" s="133">
        <f>IF(SER_hh_fec!O25=0,0,11630*1000*SER_hh_fec!O25/SER_hh_num!O25)</f>
        <v>19166.934083495304</v>
      </c>
      <c r="P25" s="133">
        <f>IF(SER_hh_fec!P25=0,0,11630*1000*SER_hh_fec!P25/SER_hh_num!P25)</f>
        <v>19082.831696937512</v>
      </c>
      <c r="Q25" s="133">
        <f>IF(SER_hh_fec!Q25=0,0,11630*1000*SER_hh_fec!Q25/SER_hh_num!Q25)</f>
        <v>19064.402552092866</v>
      </c>
      <c r="R25" s="133">
        <f>IF(SER_hh_fec!R25=0,0,11630*1000*SER_hh_fec!R25/SER_hh_num!R25)</f>
        <v>19003.838412200588</v>
      </c>
      <c r="S25" s="133">
        <f>IF(SER_hh_fec!S25=0,0,11630*1000*SER_hh_fec!S25/SER_hh_num!S25)</f>
        <v>18925.447551565005</v>
      </c>
      <c r="T25" s="133">
        <f>IF(SER_hh_fec!T25=0,0,11630*1000*SER_hh_fec!T25/SER_hh_num!T25)</f>
        <v>19028.36661139828</v>
      </c>
      <c r="U25" s="133">
        <f>IF(SER_hh_fec!U25=0,0,11630*1000*SER_hh_fec!U25/SER_hh_num!U25)</f>
        <v>18942.839407264106</v>
      </c>
      <c r="V25" s="133">
        <f>IF(SER_hh_fec!V25=0,0,11630*1000*SER_hh_fec!V25/SER_hh_num!V25)</f>
        <v>16666.702374949695</v>
      </c>
      <c r="W25" s="133">
        <f>IF(SER_hh_fec!W25=0,0,11630*1000*SER_hh_fec!W25/SER_hh_num!W25)</f>
        <v>19112.419029351116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29146.231117809297</v>
      </c>
      <c r="C26" s="65">
        <f>IF(SER_hh_fec!C26=0,0,11630*1000*SER_hh_fec!C26/SER_hh_num!C26)</f>
        <v>26428.721212937875</v>
      </c>
      <c r="D26" s="65">
        <f>IF(SER_hh_fec!D26=0,0,11630*1000*SER_hh_fec!D26/SER_hh_num!D26)</f>
        <v>25529.404304770251</v>
      </c>
      <c r="E26" s="65">
        <f>IF(SER_hh_fec!E26=0,0,11630*1000*SER_hh_fec!E26/SER_hh_num!E26)</f>
        <v>26282.51594120578</v>
      </c>
      <c r="F26" s="65">
        <f>IF(SER_hh_fec!F26=0,0,11630*1000*SER_hh_fec!F26/SER_hh_num!F26)</f>
        <v>25208.808628950035</v>
      </c>
      <c r="G26" s="65">
        <f>IF(SER_hh_fec!G26=0,0,11630*1000*SER_hh_fec!G26/SER_hh_num!G26)</f>
        <v>24736.479548139716</v>
      </c>
      <c r="H26" s="65">
        <f>IF(SER_hh_fec!H26=0,0,11630*1000*SER_hh_fec!H26/SER_hh_num!H26)</f>
        <v>23718.172477296645</v>
      </c>
      <c r="I26" s="65">
        <f>IF(SER_hh_fec!I26=0,0,11630*1000*SER_hh_fec!I26/SER_hh_num!I26)</f>
        <v>22194.738643428645</v>
      </c>
      <c r="J26" s="65">
        <f>IF(SER_hh_fec!J26=0,0,11630*1000*SER_hh_fec!J26/SER_hh_num!J26)</f>
        <v>23147.63657403105</v>
      </c>
      <c r="K26" s="65">
        <f>IF(SER_hh_fec!K26=0,0,11630*1000*SER_hh_fec!K26/SER_hh_num!K26)</f>
        <v>22795.317014694225</v>
      </c>
      <c r="L26" s="65">
        <f>IF(SER_hh_fec!L26=0,0,11630*1000*SER_hh_fec!L26/SER_hh_num!L26)</f>
        <v>22784.322674491727</v>
      </c>
      <c r="M26" s="65">
        <f>IF(SER_hh_fec!M26=0,0,11630*1000*SER_hh_fec!M26/SER_hh_num!M26)</f>
        <v>22874.981295784939</v>
      </c>
      <c r="N26" s="65">
        <f>IF(SER_hh_fec!N26=0,0,11630*1000*SER_hh_fec!N26/SER_hh_num!N26)</f>
        <v>23407.568126859722</v>
      </c>
      <c r="O26" s="65">
        <f>IF(SER_hh_fec!O26=0,0,11630*1000*SER_hh_fec!O26/SER_hh_num!O26)</f>
        <v>22662.57323067015</v>
      </c>
      <c r="P26" s="65">
        <f>IF(SER_hh_fec!P26=0,0,11630*1000*SER_hh_fec!P26/SER_hh_num!P26)</f>
        <v>21968.840897852817</v>
      </c>
      <c r="Q26" s="65">
        <f>IF(SER_hh_fec!Q26=0,0,11630*1000*SER_hh_fec!Q26/SER_hh_num!Q26)</f>
        <v>22701.092009138676</v>
      </c>
      <c r="R26" s="65">
        <f>IF(SER_hh_fec!R26=0,0,11630*1000*SER_hh_fec!R26/SER_hh_num!R26)</f>
        <v>22255.208325710937</v>
      </c>
      <c r="S26" s="65">
        <f>IF(SER_hh_fec!S26=0,0,11630*1000*SER_hh_fec!S26/SER_hh_num!S26)</f>
        <v>21169.501401503654</v>
      </c>
      <c r="T26" s="65">
        <f>IF(SER_hh_fec!T26=0,0,11630*1000*SER_hh_fec!T26/SER_hh_num!T26)</f>
        <v>20540.541695418426</v>
      </c>
      <c r="U26" s="65">
        <f>IF(SER_hh_fec!U26=0,0,11630*1000*SER_hh_fec!U26/SER_hh_num!U26)</f>
        <v>20680.476734769287</v>
      </c>
      <c r="V26" s="65">
        <f>IF(SER_hh_fec!V26=0,0,11630*1000*SER_hh_fec!V26/SER_hh_num!V26)</f>
        <v>19526.67287197819</v>
      </c>
      <c r="W26" s="65">
        <f>IF(SER_hh_fec!W26=0,0,11630*1000*SER_hh_fec!W26/SER_hh_num!W26)</f>
        <v>19996.413813464915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24280.248286287515</v>
      </c>
      <c r="C29" s="131">
        <f>IF(SER_hh_fec!C29=0,0,11630*1000*SER_hh_fec!C29/SER_hh_num!C29)</f>
        <v>24567.918042991263</v>
      </c>
      <c r="D29" s="131">
        <f>IF(SER_hh_fec!D29=0,0,11630*1000*SER_hh_fec!D29/SER_hh_num!D29)</f>
        <v>24212.003124786264</v>
      </c>
      <c r="E29" s="131">
        <f>IF(SER_hh_fec!E29=0,0,11630*1000*SER_hh_fec!E29/SER_hh_num!E29)</f>
        <v>24165.060827294667</v>
      </c>
      <c r="F29" s="131">
        <f>IF(SER_hh_fec!F29=0,0,11630*1000*SER_hh_fec!F29/SER_hh_num!F29)</f>
        <v>23810.692409014093</v>
      </c>
      <c r="G29" s="131">
        <f>IF(SER_hh_fec!G29=0,0,11630*1000*SER_hh_fec!G29/SER_hh_num!G29)</f>
        <v>23946.774377837221</v>
      </c>
      <c r="H29" s="131">
        <f>IF(SER_hh_fec!H29=0,0,11630*1000*SER_hh_fec!H29/SER_hh_num!H29)</f>
        <v>23055.753415748626</v>
      </c>
      <c r="I29" s="131">
        <f>IF(SER_hh_fec!I29=0,0,11630*1000*SER_hh_fec!I29/SER_hh_num!I29)</f>
        <v>22778.63215957327</v>
      </c>
      <c r="J29" s="131">
        <f>IF(SER_hh_fec!J29=0,0,11630*1000*SER_hh_fec!J29/SER_hh_num!J29)</f>
        <v>23411.616419747301</v>
      </c>
      <c r="K29" s="131">
        <f>IF(SER_hh_fec!K29=0,0,11630*1000*SER_hh_fec!K29/SER_hh_num!K29)</f>
        <v>24056.598024148487</v>
      </c>
      <c r="L29" s="131">
        <f>IF(SER_hh_fec!L29=0,0,11630*1000*SER_hh_fec!L29/SER_hh_num!L29)</f>
        <v>24210.099273810818</v>
      </c>
      <c r="M29" s="131">
        <f>IF(SER_hh_fec!M29=0,0,11630*1000*SER_hh_fec!M29/SER_hh_num!M29)</f>
        <v>24016.007808681323</v>
      </c>
      <c r="N29" s="131">
        <f>IF(SER_hh_fec!N29=0,0,11630*1000*SER_hh_fec!N29/SER_hh_num!N29)</f>
        <v>23854.321525715099</v>
      </c>
      <c r="O29" s="131">
        <f>IF(SER_hh_fec!O29=0,0,11630*1000*SER_hh_fec!O29/SER_hh_num!O29)</f>
        <v>24012.469005228497</v>
      </c>
      <c r="P29" s="131">
        <f>IF(SER_hh_fec!P29=0,0,11630*1000*SER_hh_fec!P29/SER_hh_num!P29)</f>
        <v>23653.39690997031</v>
      </c>
      <c r="Q29" s="131">
        <f>IF(SER_hh_fec!Q29=0,0,11630*1000*SER_hh_fec!Q29/SER_hh_num!Q29)</f>
        <v>23168.259368962088</v>
      </c>
      <c r="R29" s="131">
        <f>IF(SER_hh_fec!R29=0,0,11630*1000*SER_hh_fec!R29/SER_hh_num!R29)</f>
        <v>23574.417955526576</v>
      </c>
      <c r="S29" s="131">
        <f>IF(SER_hh_fec!S29=0,0,11630*1000*SER_hh_fec!S29/SER_hh_num!S29)</f>
        <v>23260.238041015687</v>
      </c>
      <c r="T29" s="131">
        <f>IF(SER_hh_fec!T29=0,0,11630*1000*SER_hh_fec!T29/SER_hh_num!T29)</f>
        <v>22648.486315945182</v>
      </c>
      <c r="U29" s="131">
        <f>IF(SER_hh_fec!U29=0,0,11630*1000*SER_hh_fec!U29/SER_hh_num!U29)</f>
        <v>22674.108797636276</v>
      </c>
      <c r="V29" s="131">
        <f>IF(SER_hh_fec!V29=0,0,11630*1000*SER_hh_fec!V29/SER_hh_num!V29)</f>
        <v>20674.642582925957</v>
      </c>
      <c r="W29" s="131">
        <f>IF(SER_hh_fec!W29=0,0,11630*1000*SER_hh_fec!W29/SER_hh_num!W29)</f>
        <v>21540.607251531612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39653.339179070012</v>
      </c>
      <c r="G30" s="133">
        <f>IF(SER_hh_fec!G30=0,0,11630*1000*SER_hh_fec!G30/SER_hh_num!G30)</f>
        <v>30749.150029027543</v>
      </c>
      <c r="H30" s="133">
        <f>IF(SER_hh_fec!H30=0,0,11630*1000*SER_hh_fec!H30/SER_hh_num!H30)</f>
        <v>27432.059579800931</v>
      </c>
      <c r="I30" s="133">
        <f>IF(SER_hh_fec!I30=0,0,11630*1000*SER_hh_fec!I30/SER_hh_num!I30)</f>
        <v>27468.698187708062</v>
      </c>
      <c r="J30" s="133">
        <f>IF(SER_hh_fec!J30=0,0,11630*1000*SER_hh_fec!J30/SER_hh_num!J30)</f>
        <v>27923.654672838944</v>
      </c>
      <c r="K30" s="133">
        <f>IF(SER_hh_fec!K30=0,0,11630*1000*SER_hh_fec!K30/SER_hh_num!K30)</f>
        <v>28552.61148445445</v>
      </c>
      <c r="L30" s="133">
        <f>IF(SER_hh_fec!L30=0,0,11630*1000*SER_hh_fec!L30/SER_hh_num!L30)</f>
        <v>28683.9362960586</v>
      </c>
      <c r="M30" s="133">
        <f>IF(SER_hh_fec!M30=0,0,11630*1000*SER_hh_fec!M30/SER_hh_num!M30)</f>
        <v>28745.913849950633</v>
      </c>
      <c r="N30" s="133">
        <f>IF(SER_hh_fec!N30=0,0,11630*1000*SER_hh_fec!N30/SER_hh_num!N30)</f>
        <v>28876.061029418895</v>
      </c>
      <c r="O30" s="133">
        <f>IF(SER_hh_fec!O30=0,0,11630*1000*SER_hh_fec!O30/SER_hh_num!O30)</f>
        <v>28754.513110068172</v>
      </c>
      <c r="P30" s="133">
        <f>IF(SER_hh_fec!P30=0,0,11630*1000*SER_hh_fec!P30/SER_hh_num!P30)</f>
        <v>25909.297372682246</v>
      </c>
      <c r="Q30" s="133">
        <f>IF(SER_hh_fec!Q30=0,0,11630*1000*SER_hh_fec!Q30/SER_hh_num!Q30)</f>
        <v>20147.17960039042</v>
      </c>
      <c r="R30" s="133">
        <f>IF(SER_hh_fec!R30=0,0,11630*1000*SER_hh_fec!R30/SER_hh_num!R30)</f>
        <v>31177.75120954245</v>
      </c>
      <c r="S30" s="133">
        <f>IF(SER_hh_fec!S30=0,0,11630*1000*SER_hh_fec!S30/SER_hh_num!S30)</f>
        <v>44495.322260188768</v>
      </c>
      <c r="T30" s="133">
        <f>IF(SER_hh_fec!T30=0,0,11630*1000*SER_hh_fec!T30/SER_hh_num!T30)</f>
        <v>14309.998218861732</v>
      </c>
      <c r="U30" s="133">
        <f>IF(SER_hh_fec!U30=0,0,11630*1000*SER_hh_fec!U30/SER_hh_num!U30)</f>
        <v>28886.460781711379</v>
      </c>
      <c r="V30" s="133">
        <f>IF(SER_hh_fec!V30=0,0,11630*1000*SER_hh_fec!V30/SER_hh_num!V30)</f>
        <v>29798.028156962344</v>
      </c>
      <c r="W30" s="133">
        <f>IF(SER_hh_fec!W30=0,0,11630*1000*SER_hh_fec!W30/SER_hh_num!W30)</f>
        <v>21805.18061332967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17734.383493359874</v>
      </c>
      <c r="C31" s="133">
        <f>IF(SER_hh_fec!C31=0,0,11630*1000*SER_hh_fec!C31/SER_hh_num!C31)</f>
        <v>32966.035819955403</v>
      </c>
      <c r="D31" s="133">
        <f>IF(SER_hh_fec!D31=0,0,11630*1000*SER_hh_fec!D31/SER_hh_num!D31)</f>
        <v>35094.051820183318</v>
      </c>
      <c r="E31" s="133">
        <f>IF(SER_hh_fec!E31=0,0,11630*1000*SER_hh_fec!E31/SER_hh_num!E31)</f>
        <v>31346.852696946436</v>
      </c>
      <c r="F31" s="133">
        <f>IF(SER_hh_fec!F31=0,0,11630*1000*SER_hh_fec!F31/SER_hh_num!F31)</f>
        <v>29929.215632280404</v>
      </c>
      <c r="G31" s="133">
        <f>IF(SER_hh_fec!G31=0,0,11630*1000*SER_hh_fec!G31/SER_hh_num!G31)</f>
        <v>29710.891758158428</v>
      </c>
      <c r="H31" s="133">
        <f>IF(SER_hh_fec!H31=0,0,11630*1000*SER_hh_fec!H31/SER_hh_num!H31)</f>
        <v>29216.791764813635</v>
      </c>
      <c r="I31" s="133">
        <f>IF(SER_hh_fec!I31=0,0,11630*1000*SER_hh_fec!I31/SER_hh_num!I31)</f>
        <v>29554.313153021296</v>
      </c>
      <c r="J31" s="133">
        <f>IF(SER_hh_fec!J31=0,0,11630*1000*SER_hh_fec!J31/SER_hh_num!J31)</f>
        <v>30012.35469704535</v>
      </c>
      <c r="K31" s="133">
        <f>IF(SER_hh_fec!K31=0,0,11630*1000*SER_hh_fec!K31/SER_hh_num!K31)</f>
        <v>28767.755218503728</v>
      </c>
      <c r="L31" s="133">
        <f>IF(SER_hh_fec!L31=0,0,11630*1000*SER_hh_fec!L31/SER_hh_num!L31)</f>
        <v>30313.204271602412</v>
      </c>
      <c r="M31" s="133">
        <f>IF(SER_hh_fec!M31=0,0,11630*1000*SER_hh_fec!M31/SER_hh_num!M31)</f>
        <v>30295.883687156987</v>
      </c>
      <c r="N31" s="133">
        <f>IF(SER_hh_fec!N31=0,0,11630*1000*SER_hh_fec!N31/SER_hh_num!N31)</f>
        <v>30902.061342755616</v>
      </c>
      <c r="O31" s="133">
        <f>IF(SER_hh_fec!O31=0,0,11630*1000*SER_hh_fec!O31/SER_hh_num!O31)</f>
        <v>30364.293426058801</v>
      </c>
      <c r="P31" s="133">
        <f>IF(SER_hh_fec!P31=0,0,11630*1000*SER_hh_fec!P31/SER_hh_num!P31)</f>
        <v>28707.442806119991</v>
      </c>
      <c r="Q31" s="133">
        <f>IF(SER_hh_fec!Q31=0,0,11630*1000*SER_hh_fec!Q31/SER_hh_num!Q31)</f>
        <v>26833.377447303686</v>
      </c>
      <c r="R31" s="133">
        <f>IF(SER_hh_fec!R31=0,0,11630*1000*SER_hh_fec!R31/SER_hh_num!R31)</f>
        <v>32181.923987724138</v>
      </c>
      <c r="S31" s="133">
        <f>IF(SER_hh_fec!S31=0,0,11630*1000*SER_hh_fec!S31/SER_hh_num!S31)</f>
        <v>28259.031705433485</v>
      </c>
      <c r="T31" s="133">
        <f>IF(SER_hh_fec!T31=0,0,11630*1000*SER_hh_fec!T31/SER_hh_num!T31)</f>
        <v>27934.16525643284</v>
      </c>
      <c r="U31" s="133">
        <f>IF(SER_hh_fec!U31=0,0,11630*1000*SER_hh_fec!U31/SER_hh_num!U31)</f>
        <v>29975.461558784747</v>
      </c>
      <c r="V31" s="133">
        <f>IF(SER_hh_fec!V31=0,0,11630*1000*SER_hh_fec!V31/SER_hh_num!V31)</f>
        <v>27023.072627427122</v>
      </c>
      <c r="W31" s="133">
        <f>IF(SER_hh_fec!W31=0,0,11630*1000*SER_hh_fec!W31/SER_hh_num!W31)</f>
        <v>25262.181689440047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24650.383467460582</v>
      </c>
      <c r="C33" s="68">
        <f>IF(SER_hh_fec!C33=0,0,11630*1000*SER_hh_fec!C33/SER_hh_num!C33)</f>
        <v>23726.753543915598</v>
      </c>
      <c r="D33" s="68">
        <f>IF(SER_hh_fec!D33=0,0,11630*1000*SER_hh_fec!D33/SER_hh_num!D33)</f>
        <v>22762.122767030178</v>
      </c>
      <c r="E33" s="68">
        <f>IF(SER_hh_fec!E33=0,0,11630*1000*SER_hh_fec!E33/SER_hh_num!E33)</f>
        <v>23109.538002731133</v>
      </c>
      <c r="F33" s="68">
        <f>IF(SER_hh_fec!F33=0,0,11630*1000*SER_hh_fec!F33/SER_hh_num!F33)</f>
        <v>22479.741003947856</v>
      </c>
      <c r="G33" s="68">
        <f>IF(SER_hh_fec!G33=0,0,11630*1000*SER_hh_fec!G33/SER_hh_num!G33)</f>
        <v>22911.405975662034</v>
      </c>
      <c r="H33" s="68">
        <f>IF(SER_hh_fec!H33=0,0,11630*1000*SER_hh_fec!H33/SER_hh_num!H33)</f>
        <v>22095.076640696338</v>
      </c>
      <c r="I33" s="68">
        <f>IF(SER_hh_fec!I33=0,0,11630*1000*SER_hh_fec!I33/SER_hh_num!I33)</f>
        <v>21793.043358457449</v>
      </c>
      <c r="J33" s="68">
        <f>IF(SER_hh_fec!J33=0,0,11630*1000*SER_hh_fec!J33/SER_hh_num!J33)</f>
        <v>22477.015547813025</v>
      </c>
      <c r="K33" s="68">
        <f>IF(SER_hh_fec!K33=0,0,11630*1000*SER_hh_fec!K33/SER_hh_num!K33)</f>
        <v>23377.199896608472</v>
      </c>
      <c r="L33" s="68">
        <f>IF(SER_hh_fec!L33=0,0,11630*1000*SER_hh_fec!L33/SER_hh_num!L33)</f>
        <v>23378.573485276542</v>
      </c>
      <c r="M33" s="68">
        <f>IF(SER_hh_fec!M33=0,0,11630*1000*SER_hh_fec!M33/SER_hh_num!M33)</f>
        <v>23164.820016741891</v>
      </c>
      <c r="N33" s="68">
        <f>IF(SER_hh_fec!N33=0,0,11630*1000*SER_hh_fec!N33/SER_hh_num!N33)</f>
        <v>22888.002713068126</v>
      </c>
      <c r="O33" s="68">
        <f>IF(SER_hh_fec!O33=0,0,11630*1000*SER_hh_fec!O33/SER_hh_num!O33)</f>
        <v>23118.957588324862</v>
      </c>
      <c r="P33" s="68">
        <f>IF(SER_hh_fec!P33=0,0,11630*1000*SER_hh_fec!P33/SER_hh_num!P33)</f>
        <v>22942.712503279356</v>
      </c>
      <c r="Q33" s="68">
        <f>IF(SER_hh_fec!Q33=0,0,11630*1000*SER_hh_fec!Q33/SER_hh_num!Q33)</f>
        <v>22789.877889607764</v>
      </c>
      <c r="R33" s="68">
        <f>IF(SER_hh_fec!R33=0,0,11630*1000*SER_hh_fec!R33/SER_hh_num!R33)</f>
        <v>21749.179706970739</v>
      </c>
      <c r="S33" s="68">
        <f>IF(SER_hh_fec!S33=0,0,11630*1000*SER_hh_fec!S33/SER_hh_num!S33)</f>
        <v>21130.249647666129</v>
      </c>
      <c r="T33" s="68">
        <f>IF(SER_hh_fec!T33=0,0,11630*1000*SER_hh_fec!T33/SER_hh_num!T33)</f>
        <v>22069.669628207619</v>
      </c>
      <c r="U33" s="68">
        <f>IF(SER_hh_fec!U33=0,0,11630*1000*SER_hh_fec!U33/SER_hh_num!U33)</f>
        <v>20649.590801529055</v>
      </c>
      <c r="V33" s="68">
        <f>IF(SER_hh_fec!V33=0,0,11630*1000*SER_hh_fec!V33/SER_hh_num!V33)</f>
        <v>18569.074134084032</v>
      </c>
      <c r="W33" s="68">
        <f>IF(SER_hh_fec!W33=0,0,11630*1000*SER_hh_fec!W33/SER_hh_num!W33)</f>
        <v>20587.12674153065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134692.23472145363</v>
      </c>
      <c r="C3" s="126">
        <f>IF(SER_hh_tes!C3=0,0,11630*1000*SER_hh_tes!C3/SER_hh_num!C3)</f>
        <v>126537.57408362518</v>
      </c>
      <c r="D3" s="126">
        <f>IF(SER_hh_tes!D3=0,0,11630*1000*SER_hh_tes!D3/SER_hh_num!D3)</f>
        <v>126189.04315622423</v>
      </c>
      <c r="E3" s="126">
        <f>IF(SER_hh_tes!E3=0,0,11630*1000*SER_hh_tes!E3/SER_hh_num!E3)</f>
        <v>138034.96049485938</v>
      </c>
      <c r="F3" s="126">
        <f>IF(SER_hh_tes!F3=0,0,11630*1000*SER_hh_tes!F3/SER_hh_num!F3)</f>
        <v>153659.69987289194</v>
      </c>
      <c r="G3" s="126">
        <f>IF(SER_hh_tes!G3=0,0,11630*1000*SER_hh_tes!G3/SER_hh_num!G3)</f>
        <v>151403.94915495161</v>
      </c>
      <c r="H3" s="126">
        <f>IF(SER_hh_tes!H3=0,0,11630*1000*SER_hh_tes!H3/SER_hh_num!H3)</f>
        <v>144045.94047555889</v>
      </c>
      <c r="I3" s="126">
        <f>IF(SER_hh_tes!I3=0,0,11630*1000*SER_hh_tes!I3/SER_hh_num!I3)</f>
        <v>143568.26745893722</v>
      </c>
      <c r="J3" s="126">
        <f>IF(SER_hh_tes!J3=0,0,11630*1000*SER_hh_tes!J3/SER_hh_num!J3)</f>
        <v>159466.19828464449</v>
      </c>
      <c r="K3" s="126">
        <f>IF(SER_hh_tes!K3=0,0,11630*1000*SER_hh_tes!K3/SER_hh_num!K3)</f>
        <v>155352.23717140104</v>
      </c>
      <c r="L3" s="126">
        <f>IF(SER_hh_tes!L3=0,0,11630*1000*SER_hh_tes!L3/SER_hh_num!L3)</f>
        <v>157810.93014815581</v>
      </c>
      <c r="M3" s="126">
        <f>IF(SER_hh_tes!M3=0,0,11630*1000*SER_hh_tes!M3/SER_hh_num!M3)</f>
        <v>140634.3694976063</v>
      </c>
      <c r="N3" s="126">
        <f>IF(SER_hh_tes!N3=0,0,11630*1000*SER_hh_tes!N3/SER_hh_num!N3)</f>
        <v>150038.33062796085</v>
      </c>
      <c r="O3" s="126">
        <f>IF(SER_hh_tes!O3=0,0,11630*1000*SER_hh_tes!O3/SER_hh_num!O3)</f>
        <v>145765.32904620125</v>
      </c>
      <c r="P3" s="126">
        <f>IF(SER_hh_tes!P3=0,0,11630*1000*SER_hh_tes!P3/SER_hh_num!P3)</f>
        <v>160885.6473710596</v>
      </c>
      <c r="Q3" s="126">
        <f>IF(SER_hh_tes!Q3=0,0,11630*1000*SER_hh_tes!Q3/SER_hh_num!Q3)</f>
        <v>159900.68202092487</v>
      </c>
      <c r="R3" s="126">
        <f>IF(SER_hh_tes!R3=0,0,11630*1000*SER_hh_tes!R3/SER_hh_num!R3)</f>
        <v>174543.08300518928</v>
      </c>
      <c r="S3" s="126">
        <f>IF(SER_hh_tes!S3=0,0,11630*1000*SER_hh_tes!S3/SER_hh_num!S3)</f>
        <v>158652.84621373503</v>
      </c>
      <c r="T3" s="126">
        <f>IF(SER_hh_tes!T3=0,0,11630*1000*SER_hh_tes!T3/SER_hh_num!T3)</f>
        <v>168582.44874562082</v>
      </c>
      <c r="U3" s="126">
        <f>IF(SER_hh_tes!U3=0,0,11630*1000*SER_hh_tes!U3/SER_hh_num!U3)</f>
        <v>155008.52878081051</v>
      </c>
      <c r="V3" s="126">
        <f>IF(SER_hh_tes!V3=0,0,11630*1000*SER_hh_tes!V3/SER_hh_num!V3)</f>
        <v>157264.95195550192</v>
      </c>
      <c r="W3" s="126">
        <f>IF(SER_hh_tes!W3=0,0,11630*1000*SER_hh_tes!W3/SER_hh_num!W3)</f>
        <v>168924.18217769865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99749.897482390807</v>
      </c>
      <c r="C4" s="131">
        <f>IF(SER_hh_tes!C4=0,0,11630*1000*SER_hh_tes!C4/SER_hh_num!C4)</f>
        <v>91969.719691426129</v>
      </c>
      <c r="D4" s="131">
        <f>IF(SER_hh_tes!D4=0,0,11630*1000*SER_hh_tes!D4/SER_hh_num!D4)</f>
        <v>92530.033394320504</v>
      </c>
      <c r="E4" s="131">
        <f>IF(SER_hh_tes!E4=0,0,11630*1000*SER_hh_tes!E4/SER_hh_num!E4)</f>
        <v>104538.34986772569</v>
      </c>
      <c r="F4" s="131">
        <f>IF(SER_hh_tes!F4=0,0,11630*1000*SER_hh_tes!F4/SER_hh_num!F4)</f>
        <v>120978.31612630477</v>
      </c>
      <c r="G4" s="131">
        <f>IF(SER_hh_tes!G4=0,0,11630*1000*SER_hh_tes!G4/SER_hh_num!G4)</f>
        <v>118489.81736062016</v>
      </c>
      <c r="H4" s="131">
        <f>IF(SER_hh_tes!H4=0,0,11630*1000*SER_hh_tes!H4/SER_hh_num!H4)</f>
        <v>112014.63192423308</v>
      </c>
      <c r="I4" s="131">
        <f>IF(SER_hh_tes!I4=0,0,11630*1000*SER_hh_tes!I4/SER_hh_num!I4)</f>
        <v>112175.08280627227</v>
      </c>
      <c r="J4" s="131">
        <f>IF(SER_hh_tes!J4=0,0,11630*1000*SER_hh_tes!J4/SER_hh_num!J4)</f>
        <v>127230.0300351537</v>
      </c>
      <c r="K4" s="131">
        <f>IF(SER_hh_tes!K4=0,0,11630*1000*SER_hh_tes!K4/SER_hh_num!K4)</f>
        <v>122498.9367241556</v>
      </c>
      <c r="L4" s="131">
        <f>IF(SER_hh_tes!L4=0,0,11630*1000*SER_hh_tes!L4/SER_hh_num!L4)</f>
        <v>124620.45281895807</v>
      </c>
      <c r="M4" s="131">
        <f>IF(SER_hh_tes!M4=0,0,11630*1000*SER_hh_tes!M4/SER_hh_num!M4)</f>
        <v>107390.48744955016</v>
      </c>
      <c r="N4" s="131">
        <f>IF(SER_hh_tes!N4=0,0,11630*1000*SER_hh_tes!N4/SER_hh_num!N4)</f>
        <v>116826.6578677623</v>
      </c>
      <c r="O4" s="131">
        <f>IF(SER_hh_tes!O4=0,0,11630*1000*SER_hh_tes!O4/SER_hh_num!O4)</f>
        <v>112298.04739347282</v>
      </c>
      <c r="P4" s="131">
        <f>IF(SER_hh_tes!P4=0,0,11630*1000*SER_hh_tes!P4/SER_hh_num!P4)</f>
        <v>127428.6725345216</v>
      </c>
      <c r="Q4" s="131">
        <f>IF(SER_hh_tes!Q4=0,0,11630*1000*SER_hh_tes!Q4/SER_hh_num!Q4)</f>
        <v>126539.53959055018</v>
      </c>
      <c r="R4" s="131">
        <f>IF(SER_hh_tes!R4=0,0,11630*1000*SER_hh_tes!R4/SER_hh_num!R4)</f>
        <v>141209.783697404</v>
      </c>
      <c r="S4" s="131">
        <f>IF(SER_hh_tes!S4=0,0,11630*1000*SER_hh_tes!S4/SER_hh_num!S4)</f>
        <v>125547.90252420308</v>
      </c>
      <c r="T4" s="131">
        <f>IF(SER_hh_tes!T4=0,0,11630*1000*SER_hh_tes!T4/SER_hh_num!T4)</f>
        <v>135263.61068389498</v>
      </c>
      <c r="U4" s="131">
        <f>IF(SER_hh_tes!U4=0,0,11630*1000*SER_hh_tes!U4/SER_hh_num!U4)</f>
        <v>121657.47781753734</v>
      </c>
      <c r="V4" s="131">
        <f>IF(SER_hh_tes!V4=0,0,11630*1000*SER_hh_tes!V4/SER_hh_num!V4)</f>
        <v>126114.60866234165</v>
      </c>
      <c r="W4" s="131">
        <f>IF(SER_hh_tes!W4=0,0,11630*1000*SER_hh_tes!W4/SER_hh_num!W4)</f>
        <v>135804.28257947162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85728.362416985387</v>
      </c>
      <c r="C5" s="133">
        <f>IF(SER_hh_tes!C5=0,0,11630*1000*SER_hh_tes!C5/SER_hh_num!C5)</f>
        <v>106280.69085375934</v>
      </c>
      <c r="D5" s="133">
        <f>IF(SER_hh_tes!D5=0,0,11630*1000*SER_hh_tes!D5/SER_hh_num!D5)</f>
        <v>93239.935454864884</v>
      </c>
      <c r="E5" s="133">
        <f>IF(SER_hh_tes!E5=0,0,11630*1000*SER_hh_tes!E5/SER_hh_num!E5)</f>
        <v>103262.31675668432</v>
      </c>
      <c r="F5" s="133">
        <f>IF(SER_hh_tes!F5=0,0,11630*1000*SER_hh_tes!F5/SER_hh_num!F5)</f>
        <v>110837.53273313261</v>
      </c>
      <c r="G5" s="133">
        <f>IF(SER_hh_tes!G5=0,0,11630*1000*SER_hh_tes!G5/SER_hh_num!G5)</f>
        <v>135809.95076693606</v>
      </c>
      <c r="H5" s="133">
        <f>IF(SER_hh_tes!H5=0,0,11630*1000*SER_hh_tes!H5/SER_hh_num!H5)</f>
        <v>99256.936427778273</v>
      </c>
      <c r="I5" s="133">
        <f>IF(SER_hh_tes!I5=0,0,11630*1000*SER_hh_tes!I5/SER_hh_num!I5)</f>
        <v>124501.39336457364</v>
      </c>
      <c r="J5" s="133">
        <f>IF(SER_hh_tes!J5=0,0,11630*1000*SER_hh_tes!J5/SER_hh_num!J5)</f>
        <v>112547.75953594547</v>
      </c>
      <c r="K5" s="133">
        <f>IF(SER_hh_tes!K5=0,0,11630*1000*SER_hh_tes!K5/SER_hh_num!K5)</f>
        <v>112554.23975377063</v>
      </c>
      <c r="L5" s="133">
        <f>IF(SER_hh_tes!L5=0,0,11630*1000*SER_hh_tes!L5/SER_hh_num!L5)</f>
        <v>117152.0711841564</v>
      </c>
      <c r="M5" s="133">
        <f>IF(SER_hh_tes!M5=0,0,11630*1000*SER_hh_tes!M5/SER_hh_num!M5)</f>
        <v>87579.038641530104</v>
      </c>
      <c r="N5" s="133">
        <f>IF(SER_hh_tes!N5=0,0,11630*1000*SER_hh_tes!N5/SER_hh_num!N5)</f>
        <v>103343.23782364815</v>
      </c>
      <c r="O5" s="133">
        <f>IF(SER_hh_tes!O5=0,0,11630*1000*SER_hh_tes!O5/SER_hh_num!O5)</f>
        <v>167278.25405308793</v>
      </c>
      <c r="P5" s="133">
        <f>IF(SER_hh_tes!P5=0,0,11630*1000*SER_hh_tes!P5/SER_hh_num!P5)</f>
        <v>110157.64090884165</v>
      </c>
      <c r="Q5" s="133">
        <f>IF(SER_hh_tes!Q5=0,0,11630*1000*SER_hh_tes!Q5/SER_hh_num!Q5)</f>
        <v>110230.74646767546</v>
      </c>
      <c r="R5" s="133">
        <f>IF(SER_hh_tes!R5=0,0,11630*1000*SER_hh_tes!R5/SER_hh_num!R5)</f>
        <v>169344.61241799398</v>
      </c>
      <c r="S5" s="133">
        <f>IF(SER_hh_tes!S5=0,0,11630*1000*SER_hh_tes!S5/SER_hh_num!S5)</f>
        <v>99224.934542251882</v>
      </c>
      <c r="T5" s="133">
        <f>IF(SER_hh_tes!T5=0,0,11630*1000*SER_hh_tes!T5/SER_hh_num!T5)</f>
        <v>120767.77924052907</v>
      </c>
      <c r="U5" s="133">
        <f>IF(SER_hh_tes!U5=0,0,11630*1000*SER_hh_tes!U5/SER_hh_num!U5)</f>
        <v>120641.54687986874</v>
      </c>
      <c r="V5" s="133">
        <f>IF(SER_hh_tes!V5=0,0,11630*1000*SER_hh_tes!V5/SER_hh_num!V5)</f>
        <v>129104.17334500088</v>
      </c>
      <c r="W5" s="133">
        <f>IF(SER_hh_tes!W5=0,0,11630*1000*SER_hh_tes!W5/SER_hh_num!W5)</f>
        <v>130886.29144431168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84090.223457248067</v>
      </c>
      <c r="C7" s="133">
        <f>IF(SER_hh_tes!C7=0,0,11630*1000*SER_hh_tes!C7/SER_hh_num!C7)</f>
        <v>110174.67415767958</v>
      </c>
      <c r="D7" s="133">
        <f>IF(SER_hh_tes!D7=0,0,11630*1000*SER_hh_tes!D7/SER_hh_num!D7)</f>
        <v>86575.3789829749</v>
      </c>
      <c r="E7" s="133">
        <f>IF(SER_hh_tes!E7=0,0,11630*1000*SER_hh_tes!E7/SER_hh_num!E7)</f>
        <v>92648.159010881456</v>
      </c>
      <c r="F7" s="133">
        <f>IF(SER_hh_tes!F7=0,0,11630*1000*SER_hh_tes!F7/SER_hh_num!F7)</f>
        <v>108251.06250565419</v>
      </c>
      <c r="G7" s="133">
        <f>IF(SER_hh_tes!G7=0,0,11630*1000*SER_hh_tes!G7/SER_hh_num!G7)</f>
        <v>126587.33525468147</v>
      </c>
      <c r="H7" s="133">
        <f>IF(SER_hh_tes!H7=0,0,11630*1000*SER_hh_tes!H7/SER_hh_num!H7)</f>
        <v>103173.74081711762</v>
      </c>
      <c r="I7" s="133">
        <f>IF(SER_hh_tes!I7=0,0,11630*1000*SER_hh_tes!I7/SER_hh_num!I7)</f>
        <v>115454.34869754133</v>
      </c>
      <c r="J7" s="133">
        <f>IF(SER_hh_tes!J7=0,0,11630*1000*SER_hh_tes!J7/SER_hh_num!J7)</f>
        <v>122871.96256720545</v>
      </c>
      <c r="K7" s="133">
        <f>IF(SER_hh_tes!K7=0,0,11630*1000*SER_hh_tes!K7/SER_hh_num!K7)</f>
        <v>114989.05915307855</v>
      </c>
      <c r="L7" s="133">
        <f>IF(SER_hh_tes!L7=0,0,11630*1000*SER_hh_tes!L7/SER_hh_num!L7)</f>
        <v>93875.740710781058</v>
      </c>
      <c r="M7" s="133">
        <f>IF(SER_hh_tes!M7=0,0,11630*1000*SER_hh_tes!M7/SER_hh_num!M7)</f>
        <v>122562.78516714304</v>
      </c>
      <c r="N7" s="133">
        <f>IF(SER_hh_tes!N7=0,0,11630*1000*SER_hh_tes!N7/SER_hh_num!N7)</f>
        <v>125054.1592535558</v>
      </c>
      <c r="O7" s="133">
        <f>IF(SER_hh_tes!O7=0,0,11630*1000*SER_hh_tes!O7/SER_hh_num!O7)</f>
        <v>120715.16367712956</v>
      </c>
      <c r="P7" s="133">
        <f>IF(SER_hh_tes!P7=0,0,11630*1000*SER_hh_tes!P7/SER_hh_num!P7)</f>
        <v>108763.79799245391</v>
      </c>
      <c r="Q7" s="133">
        <f>IF(SER_hh_tes!Q7=0,0,11630*1000*SER_hh_tes!Q7/SER_hh_num!Q7)</f>
        <v>133927.03620215339</v>
      </c>
      <c r="R7" s="133">
        <f>IF(SER_hh_tes!R7=0,0,11630*1000*SER_hh_tes!R7/SER_hh_num!R7)</f>
        <v>115422.97249355164</v>
      </c>
      <c r="S7" s="133">
        <f>IF(SER_hh_tes!S7=0,0,11630*1000*SER_hh_tes!S7/SER_hh_num!S7)</f>
        <v>132528.63764262694</v>
      </c>
      <c r="T7" s="133">
        <f>IF(SER_hh_tes!T7=0,0,11630*1000*SER_hh_tes!T7/SER_hh_num!T7)</f>
        <v>141619.07735700955</v>
      </c>
      <c r="U7" s="133">
        <f>IF(SER_hh_tes!U7=0,0,11630*1000*SER_hh_tes!U7/SER_hh_num!U7)</f>
        <v>109938.21611482302</v>
      </c>
      <c r="V7" s="133">
        <f>IF(SER_hh_tes!V7=0,0,11630*1000*SER_hh_tes!V7/SER_hh_num!V7)</f>
        <v>123590.97610817502</v>
      </c>
      <c r="W7" s="133">
        <f>IF(SER_hh_tes!W7=0,0,11630*1000*SER_hh_tes!W7/SER_hh_num!W7)</f>
        <v>133678.5779330178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69117.968126268519</v>
      </c>
      <c r="C9" s="133">
        <f>IF(SER_hh_tes!C9=0,0,11630*1000*SER_hh_tes!C9/SER_hh_num!C9)</f>
        <v>97084.679160020154</v>
      </c>
      <c r="D9" s="133">
        <f>IF(SER_hh_tes!D9=0,0,11630*1000*SER_hh_tes!D9/SER_hh_num!D9)</f>
        <v>70047.527685007357</v>
      </c>
      <c r="E9" s="133">
        <f>IF(SER_hh_tes!E9=0,0,11630*1000*SER_hh_tes!E9/SER_hh_num!E9)</f>
        <v>140777.92721956575</v>
      </c>
      <c r="F9" s="133">
        <f>IF(SER_hh_tes!F9=0,0,11630*1000*SER_hh_tes!F9/SER_hh_num!F9)</f>
        <v>124495.98732437709</v>
      </c>
      <c r="G9" s="133">
        <f>IF(SER_hh_tes!G9=0,0,11630*1000*SER_hh_tes!G9/SER_hh_num!G9)</f>
        <v>101591.72296182443</v>
      </c>
      <c r="H9" s="133">
        <f>IF(SER_hh_tes!H9=0,0,11630*1000*SER_hh_tes!H9/SER_hh_num!H9)</f>
        <v>119583.10974023826</v>
      </c>
      <c r="I9" s="133">
        <f>IF(SER_hh_tes!I9=0,0,11630*1000*SER_hh_tes!I9/SER_hh_num!I9)</f>
        <v>121774.46345889996</v>
      </c>
      <c r="J9" s="133">
        <f>IF(SER_hh_tes!J9=0,0,11630*1000*SER_hh_tes!J9/SER_hh_num!J9)</f>
        <v>110590.75436224742</v>
      </c>
      <c r="K9" s="133">
        <f>IF(SER_hh_tes!K9=0,0,11630*1000*SER_hh_tes!K9/SER_hh_num!K9)</f>
        <v>101014.94669157748</v>
      </c>
      <c r="L9" s="133">
        <f>IF(SER_hh_tes!L9=0,0,11630*1000*SER_hh_tes!L9/SER_hh_num!L9)</f>
        <v>114116.76055713955</v>
      </c>
      <c r="M9" s="133">
        <f>IF(SER_hh_tes!M9=0,0,11630*1000*SER_hh_tes!M9/SER_hh_num!M9)</f>
        <v>105466.29198728262</v>
      </c>
      <c r="N9" s="133">
        <f>IF(SER_hh_tes!N9=0,0,11630*1000*SER_hh_tes!N9/SER_hh_num!N9)</f>
        <v>100152.97672897483</v>
      </c>
      <c r="O9" s="133">
        <f>IF(SER_hh_tes!O9=0,0,11630*1000*SER_hh_tes!O9/SER_hh_num!O9)</f>
        <v>105148.76006214978</v>
      </c>
      <c r="P9" s="133">
        <f>IF(SER_hh_tes!P9=0,0,11630*1000*SER_hh_tes!P9/SER_hh_num!P9)</f>
        <v>135826.1992955227</v>
      </c>
      <c r="Q9" s="133">
        <f>IF(SER_hh_tes!Q9=0,0,11630*1000*SER_hh_tes!Q9/SER_hh_num!Q9)</f>
        <v>128228.74894931892</v>
      </c>
      <c r="R9" s="133">
        <f>IF(SER_hh_tes!R9=0,0,11630*1000*SER_hh_tes!R9/SER_hh_num!R9)</f>
        <v>145023.47445755781</v>
      </c>
      <c r="S9" s="133">
        <f>IF(SER_hh_tes!S9=0,0,11630*1000*SER_hh_tes!S9/SER_hh_num!S9)</f>
        <v>122667.79665041951</v>
      </c>
      <c r="T9" s="133">
        <f>IF(SER_hh_tes!T9=0,0,11630*1000*SER_hh_tes!T9/SER_hh_num!T9)</f>
        <v>130966.15113277729</v>
      </c>
      <c r="U9" s="133">
        <f>IF(SER_hh_tes!U9=0,0,11630*1000*SER_hh_tes!U9/SER_hh_num!U9)</f>
        <v>121472.59826369904</v>
      </c>
      <c r="V9" s="133">
        <f>IF(SER_hh_tes!V9=0,0,11630*1000*SER_hh_tes!V9/SER_hh_num!V9)</f>
        <v>123725.91073529587</v>
      </c>
      <c r="W9" s="133">
        <f>IF(SER_hh_tes!W9=0,0,11630*1000*SER_hh_tes!W9/SER_hh_num!W9)</f>
        <v>133974.69056360333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81536.914914384703</v>
      </c>
      <c r="C10" s="133">
        <f>IF(SER_hh_tes!C10=0,0,11630*1000*SER_hh_tes!C10/SER_hh_num!C10)</f>
        <v>100912.24721070503</v>
      </c>
      <c r="D10" s="133">
        <f>IF(SER_hh_tes!D10=0,0,11630*1000*SER_hh_tes!D10/SER_hh_num!D10)</f>
        <v>90431.749124926268</v>
      </c>
      <c r="E10" s="133">
        <f>IF(SER_hh_tes!E10=0,0,11630*1000*SER_hh_tes!E10/SER_hh_num!E10)</f>
        <v>88556.343168190782</v>
      </c>
      <c r="F10" s="133">
        <f>IF(SER_hh_tes!F10=0,0,11630*1000*SER_hh_tes!F10/SER_hh_num!F10)</f>
        <v>156866.27582963603</v>
      </c>
      <c r="G10" s="133">
        <f>IF(SER_hh_tes!G10=0,0,11630*1000*SER_hh_tes!G10/SER_hh_num!G10)</f>
        <v>99521.739039561799</v>
      </c>
      <c r="H10" s="133">
        <f>IF(SER_hh_tes!H10=0,0,11630*1000*SER_hh_tes!H10/SER_hh_num!H10)</f>
        <v>114198.63285586513</v>
      </c>
      <c r="I10" s="133">
        <f>IF(SER_hh_tes!I10=0,0,11630*1000*SER_hh_tes!I10/SER_hh_num!I10)</f>
        <v>122698.94894626959</v>
      </c>
      <c r="J10" s="133">
        <f>IF(SER_hh_tes!J10=0,0,11630*1000*SER_hh_tes!J10/SER_hh_num!J10)</f>
        <v>132138.38249753596</v>
      </c>
      <c r="K10" s="133">
        <f>IF(SER_hh_tes!K10=0,0,11630*1000*SER_hh_tes!K10/SER_hh_num!K10)</f>
        <v>98954.244234165177</v>
      </c>
      <c r="L10" s="133">
        <f>IF(SER_hh_tes!L10=0,0,11630*1000*SER_hh_tes!L10/SER_hh_num!L10)</f>
        <v>122641.29200386051</v>
      </c>
      <c r="M10" s="133">
        <f>IF(SER_hh_tes!M10=0,0,11630*1000*SER_hh_tes!M10/SER_hh_num!M10)</f>
        <v>134717.92257037316</v>
      </c>
      <c r="N10" s="133">
        <f>IF(SER_hh_tes!N10=0,0,11630*1000*SER_hh_tes!N10/SER_hh_num!N10)</f>
        <v>99461.533513121321</v>
      </c>
      <c r="O10" s="133">
        <f>IF(SER_hh_tes!O10=0,0,11630*1000*SER_hh_tes!O10/SER_hh_num!O10)</f>
        <v>107663.70065119513</v>
      </c>
      <c r="P10" s="133">
        <f>IF(SER_hh_tes!P10=0,0,11630*1000*SER_hh_tes!P10/SER_hh_num!P10)</f>
        <v>114653.81631540232</v>
      </c>
      <c r="Q10" s="133">
        <f>IF(SER_hh_tes!Q10=0,0,11630*1000*SER_hh_tes!Q10/SER_hh_num!Q10)</f>
        <v>128530.47960859723</v>
      </c>
      <c r="R10" s="133">
        <f>IF(SER_hh_tes!R10=0,0,11630*1000*SER_hh_tes!R10/SER_hh_num!R10)</f>
        <v>125512.82630726852</v>
      </c>
      <c r="S10" s="133">
        <f>IF(SER_hh_tes!S10=0,0,11630*1000*SER_hh_tes!S10/SER_hh_num!S10)</f>
        <v>133537.12903716823</v>
      </c>
      <c r="T10" s="133">
        <f>IF(SER_hh_tes!T10=0,0,11630*1000*SER_hh_tes!T10/SER_hh_num!T10)</f>
        <v>115964.19408085418</v>
      </c>
      <c r="U10" s="133">
        <f>IF(SER_hh_tes!U10=0,0,11630*1000*SER_hh_tes!U10/SER_hh_num!U10)</f>
        <v>124165.71540425488</v>
      </c>
      <c r="V10" s="133">
        <f>IF(SER_hh_tes!V10=0,0,11630*1000*SER_hh_tes!V10/SER_hh_num!V10)</f>
        <v>147687.33206924435</v>
      </c>
      <c r="W10" s="133">
        <f>IF(SER_hh_tes!W10=0,0,11630*1000*SER_hh_tes!W10/SER_hh_num!W10)</f>
        <v>126957.59014768319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113606.64090722834</v>
      </c>
      <c r="C12" s="133">
        <f>IF(SER_hh_tes!C12=0,0,11630*1000*SER_hh_tes!C12/SER_hh_num!C12)</f>
        <v>78838.057507936828</v>
      </c>
      <c r="D12" s="133">
        <f>IF(SER_hh_tes!D12=0,0,11630*1000*SER_hh_tes!D12/SER_hh_num!D12)</f>
        <v>96343.295914578179</v>
      </c>
      <c r="E12" s="133">
        <f>IF(SER_hh_tes!E12=0,0,11630*1000*SER_hh_tes!E12/SER_hh_num!E12)</f>
        <v>95537.993251746855</v>
      </c>
      <c r="F12" s="133">
        <f>IF(SER_hh_tes!F12=0,0,11630*1000*SER_hh_tes!F12/SER_hh_num!F12)</f>
        <v>117519.88894630253</v>
      </c>
      <c r="G12" s="133">
        <f>IF(SER_hh_tes!G12=0,0,11630*1000*SER_hh_tes!G12/SER_hh_num!G12)</f>
        <v>128138.73691556868</v>
      </c>
      <c r="H12" s="133">
        <f>IF(SER_hh_tes!H12=0,0,11630*1000*SER_hh_tes!H12/SER_hh_num!H12)</f>
        <v>109171.63529870391</v>
      </c>
      <c r="I12" s="133">
        <f>IF(SER_hh_tes!I12=0,0,11630*1000*SER_hh_tes!I12/SER_hh_num!I12)</f>
        <v>102512.09979949231</v>
      </c>
      <c r="J12" s="133">
        <f>IF(SER_hh_tes!J12=0,0,11630*1000*SER_hh_tes!J12/SER_hh_num!J12)</f>
        <v>126788.26806502002</v>
      </c>
      <c r="K12" s="133">
        <f>IF(SER_hh_tes!K12=0,0,11630*1000*SER_hh_tes!K12/SER_hh_num!K12)</f>
        <v>124913.61194173372</v>
      </c>
      <c r="L12" s="133">
        <f>IF(SER_hh_tes!L12=0,0,11630*1000*SER_hh_tes!L12/SER_hh_num!L12)</f>
        <v>133172.96839915134</v>
      </c>
      <c r="M12" s="133">
        <f>IF(SER_hh_tes!M12=0,0,11630*1000*SER_hh_tes!M12/SER_hh_num!M12)</f>
        <v>103923.49618440817</v>
      </c>
      <c r="N12" s="133">
        <f>IF(SER_hh_tes!N12=0,0,11630*1000*SER_hh_tes!N12/SER_hh_num!N12)</f>
        <v>118133.28413724758</v>
      </c>
      <c r="O12" s="133">
        <f>IF(SER_hh_tes!O12=0,0,11630*1000*SER_hh_tes!O12/SER_hh_num!O12)</f>
        <v>112074.54527040388</v>
      </c>
      <c r="P12" s="133">
        <f>IF(SER_hh_tes!P12=0,0,11630*1000*SER_hh_tes!P12/SER_hh_num!P12)</f>
        <v>123800.35521948308</v>
      </c>
      <c r="Q12" s="133">
        <f>IF(SER_hh_tes!Q12=0,0,11630*1000*SER_hh_tes!Q12/SER_hh_num!Q12)</f>
        <v>122757.30057682458</v>
      </c>
      <c r="R12" s="133">
        <f>IF(SER_hh_tes!R12=0,0,11630*1000*SER_hh_tes!R12/SER_hh_num!R12)</f>
        <v>138009.2413904506</v>
      </c>
      <c r="S12" s="133">
        <f>IF(SER_hh_tes!S12=0,0,11630*1000*SER_hh_tes!S12/SER_hh_num!S12)</f>
        <v>131481.30295560422</v>
      </c>
      <c r="T12" s="133">
        <f>IF(SER_hh_tes!T12=0,0,11630*1000*SER_hh_tes!T12/SER_hh_num!T12)</f>
        <v>136085.89484102119</v>
      </c>
      <c r="U12" s="133">
        <f>IF(SER_hh_tes!U12=0,0,11630*1000*SER_hh_tes!U12/SER_hh_num!U12)</f>
        <v>115910.70789909664</v>
      </c>
      <c r="V12" s="133">
        <f>IF(SER_hh_tes!V12=0,0,11630*1000*SER_hh_tes!V12/SER_hh_num!V12)</f>
        <v>126977.40899584562</v>
      </c>
      <c r="W12" s="133">
        <f>IF(SER_hh_tes!W12=0,0,11630*1000*SER_hh_tes!W12/SER_hh_num!W12)</f>
        <v>133680.06545605967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92693.596242943124</v>
      </c>
      <c r="C14" s="65">
        <f>IF(SER_hh_tes!C14=0,0,11630*1000*SER_hh_tes!C14/SER_hh_num!C14)</f>
        <v>93020.16513948646</v>
      </c>
      <c r="D14" s="65">
        <f>IF(SER_hh_tes!D14=0,0,11630*1000*SER_hh_tes!D14/SER_hh_num!D14)</f>
        <v>101315.07188503533</v>
      </c>
      <c r="E14" s="65">
        <f>IF(SER_hh_tes!E14=0,0,11630*1000*SER_hh_tes!E14/SER_hh_num!E14)</f>
        <v>97576.75607349287</v>
      </c>
      <c r="F14" s="65">
        <f>IF(SER_hh_tes!F14=0,0,11630*1000*SER_hh_tes!F14/SER_hh_num!F14)</f>
        <v>117835.74678878153</v>
      </c>
      <c r="G14" s="65">
        <f>IF(SER_hh_tes!G14=0,0,11630*1000*SER_hh_tes!G14/SER_hh_num!G14)</f>
        <v>106582.36357629001</v>
      </c>
      <c r="H14" s="65">
        <f>IF(SER_hh_tes!H14=0,0,11630*1000*SER_hh_tes!H14/SER_hh_num!H14)</f>
        <v>113554.58939794432</v>
      </c>
      <c r="I14" s="65">
        <f>IF(SER_hh_tes!I14=0,0,11630*1000*SER_hh_tes!I14/SER_hh_num!I14)</f>
        <v>117636.12097422544</v>
      </c>
      <c r="J14" s="65">
        <f>IF(SER_hh_tes!J14=0,0,11630*1000*SER_hh_tes!J14/SER_hh_num!J14)</f>
        <v>132262.27784659679</v>
      </c>
      <c r="K14" s="65">
        <f>IF(SER_hh_tes!K14=0,0,11630*1000*SER_hh_tes!K14/SER_hh_num!K14)</f>
        <v>129644.01997814399</v>
      </c>
      <c r="L14" s="65">
        <f>IF(SER_hh_tes!L14=0,0,11630*1000*SER_hh_tes!L14/SER_hh_num!L14)</f>
        <v>121860.32670700565</v>
      </c>
      <c r="M14" s="65">
        <f>IF(SER_hh_tes!M14=0,0,11630*1000*SER_hh_tes!M14/SER_hh_num!M14)</f>
        <v>100378.2503787626</v>
      </c>
      <c r="N14" s="65">
        <f>IF(SER_hh_tes!N14=0,0,11630*1000*SER_hh_tes!N14/SER_hh_num!N14)</f>
        <v>118281.1622380958</v>
      </c>
      <c r="O14" s="65">
        <f>IF(SER_hh_tes!O14=0,0,11630*1000*SER_hh_tes!O14/SER_hh_num!O14)</f>
        <v>108952.47511307261</v>
      </c>
      <c r="P14" s="65">
        <f>IF(SER_hh_tes!P14=0,0,11630*1000*SER_hh_tes!P14/SER_hh_num!P14)</f>
        <v>132656.95273928237</v>
      </c>
      <c r="Q14" s="65">
        <f>IF(SER_hh_tes!Q14=0,0,11630*1000*SER_hh_tes!Q14/SER_hh_num!Q14)</f>
        <v>125756.45413183457</v>
      </c>
      <c r="R14" s="65">
        <f>IF(SER_hh_tes!R14=0,0,11630*1000*SER_hh_tes!R14/SER_hh_num!R14)</f>
        <v>147418.27408761557</v>
      </c>
      <c r="S14" s="65">
        <f>IF(SER_hh_tes!S14=0,0,11630*1000*SER_hh_tes!S14/SER_hh_num!S14)</f>
        <v>113423.82118967141</v>
      </c>
      <c r="T14" s="65">
        <f>IF(SER_hh_tes!T14=0,0,11630*1000*SER_hh_tes!T14/SER_hh_num!T14)</f>
        <v>134820.51119984381</v>
      </c>
      <c r="U14" s="65">
        <f>IF(SER_hh_tes!U14=0,0,11630*1000*SER_hh_tes!U14/SER_hh_num!U14)</f>
        <v>129137.02000648709</v>
      </c>
      <c r="V14" s="65">
        <f>IF(SER_hh_tes!V14=0,0,11630*1000*SER_hh_tes!V14/SER_hh_num!V14)</f>
        <v>122480.96044979463</v>
      </c>
      <c r="W14" s="65">
        <f>IF(SER_hh_tes!W14=0,0,11630*1000*SER_hh_tes!W14/SER_hh_num!W14)</f>
        <v>138510.25357601201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937.1962629375372</v>
      </c>
      <c r="C15" s="135">
        <f>IF(SER_hh_tes!C15=0,0,11630*1000*SER_hh_tes!C15/SER_hh_num!C15)</f>
        <v>1031.732841430809</v>
      </c>
      <c r="D15" s="135">
        <f>IF(SER_hh_tes!D15=0,0,11630*1000*SER_hh_tes!D15/SER_hh_num!D15)</f>
        <v>895.02490891162086</v>
      </c>
      <c r="E15" s="135">
        <f>IF(SER_hh_tes!E15=0,0,11630*1000*SER_hh_tes!E15/SER_hh_num!E15)</f>
        <v>1205.8660079044298</v>
      </c>
      <c r="F15" s="135">
        <f>IF(SER_hh_tes!F15=0,0,11630*1000*SER_hh_tes!F15/SER_hh_num!F15)</f>
        <v>1234.9821406736717</v>
      </c>
      <c r="G15" s="135">
        <f>IF(SER_hh_tes!G15=0,0,11630*1000*SER_hh_tes!G15/SER_hh_num!G15)</f>
        <v>1123.6264721423233</v>
      </c>
      <c r="H15" s="135">
        <f>IF(SER_hh_tes!H15=0,0,11630*1000*SER_hh_tes!H15/SER_hh_num!H15)</f>
        <v>1019.8547078043617</v>
      </c>
      <c r="I15" s="135">
        <f>IF(SER_hh_tes!I15=0,0,11630*1000*SER_hh_tes!I15/SER_hh_num!I15)</f>
        <v>988.51418559740148</v>
      </c>
      <c r="J15" s="135">
        <f>IF(SER_hh_tes!J15=0,0,11630*1000*SER_hh_tes!J15/SER_hh_num!J15)</f>
        <v>990.42741336619031</v>
      </c>
      <c r="K15" s="135">
        <f>IF(SER_hh_tes!K15=0,0,11630*1000*SER_hh_tes!K15/SER_hh_num!K15)</f>
        <v>893.00233663260337</v>
      </c>
      <c r="L15" s="135">
        <f>IF(SER_hh_tes!L15=0,0,11630*1000*SER_hh_tes!L15/SER_hh_num!L15)</f>
        <v>899.24976332116387</v>
      </c>
      <c r="M15" s="135">
        <f>IF(SER_hh_tes!M15=0,0,11630*1000*SER_hh_tes!M15/SER_hh_num!M15)</f>
        <v>908.55148062122828</v>
      </c>
      <c r="N15" s="135">
        <f>IF(SER_hh_tes!N15=0,0,11630*1000*SER_hh_tes!N15/SER_hh_num!N15)</f>
        <v>949.50624936552367</v>
      </c>
      <c r="O15" s="135">
        <f>IF(SER_hh_tes!O15=0,0,11630*1000*SER_hh_tes!O15/SER_hh_num!O15)</f>
        <v>984.7009816721162</v>
      </c>
      <c r="P15" s="135">
        <f>IF(SER_hh_tes!P15=0,0,11630*1000*SER_hh_tes!P15/SER_hh_num!P15)</f>
        <v>1123.9812942708782</v>
      </c>
      <c r="Q15" s="135">
        <f>IF(SER_hh_tes!Q15=0,0,11630*1000*SER_hh_tes!Q15/SER_hh_num!Q15)</f>
        <v>1154.8278131213326</v>
      </c>
      <c r="R15" s="135">
        <f>IF(SER_hh_tes!R15=0,0,11630*1000*SER_hh_tes!R15/SER_hh_num!R15)</f>
        <v>1232.7602203590552</v>
      </c>
      <c r="S15" s="135">
        <f>IF(SER_hh_tes!S15=0,0,11630*1000*SER_hh_tes!S15/SER_hh_num!S15)</f>
        <v>1120.1887287046154</v>
      </c>
      <c r="T15" s="135">
        <f>IF(SER_hh_tes!T15=0,0,11630*1000*SER_hh_tes!T15/SER_hh_num!T15)</f>
        <v>1169.2682415526317</v>
      </c>
      <c r="U15" s="135">
        <f>IF(SER_hh_tes!U15=0,0,11630*1000*SER_hh_tes!U15/SER_hh_num!U15)</f>
        <v>1035.9156819418899</v>
      </c>
      <c r="V15" s="135">
        <f>IF(SER_hh_tes!V15=0,0,11630*1000*SER_hh_tes!V15/SER_hh_num!V15)</f>
        <v>1090.6351302913242</v>
      </c>
      <c r="W15" s="135">
        <f>IF(SER_hh_tes!W15=0,0,11630*1000*SER_hh_tes!W15/SER_hh_num!W15)</f>
        <v>1156.1813561263166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19960.496113004672</v>
      </c>
      <c r="C16" s="131">
        <f>IF(SER_hh_tes!C16=0,0,11630*1000*SER_hh_tes!C16/SER_hh_num!C16)</f>
        <v>20223.082098756076</v>
      </c>
      <c r="D16" s="131">
        <f>IF(SER_hh_tes!D16=0,0,11630*1000*SER_hh_tes!D16/SER_hh_num!D16)</f>
        <v>20166.638580935563</v>
      </c>
      <c r="E16" s="131">
        <f>IF(SER_hh_tes!E16=0,0,11630*1000*SER_hh_tes!E16/SER_hh_num!E16)</f>
        <v>21141.114782063047</v>
      </c>
      <c r="F16" s="131">
        <f>IF(SER_hh_tes!F16=0,0,11630*1000*SER_hh_tes!F16/SER_hh_num!F16)</f>
        <v>20135.192123207213</v>
      </c>
      <c r="G16" s="131">
        <f>IF(SER_hh_tes!G16=0,0,11630*1000*SER_hh_tes!G16/SER_hh_num!G16)</f>
        <v>20185.606510818245</v>
      </c>
      <c r="H16" s="131">
        <f>IF(SER_hh_tes!H16=0,0,11630*1000*SER_hh_tes!H16/SER_hh_num!H16)</f>
        <v>20523.930025389891</v>
      </c>
      <c r="I16" s="131">
        <f>IF(SER_hh_tes!I16=0,0,11630*1000*SER_hh_tes!I16/SER_hh_num!I16)</f>
        <v>20250.187590173009</v>
      </c>
      <c r="J16" s="131">
        <f>IF(SER_hh_tes!J16=0,0,11630*1000*SER_hh_tes!J16/SER_hh_num!J16)</f>
        <v>20291.950627821225</v>
      </c>
      <c r="K16" s="131">
        <f>IF(SER_hh_tes!K16=0,0,11630*1000*SER_hh_tes!K16/SER_hh_num!K16)</f>
        <v>20316.504726689232</v>
      </c>
      <c r="L16" s="131">
        <f>IF(SER_hh_tes!L16=0,0,11630*1000*SER_hh_tes!L16/SER_hh_num!L16)</f>
        <v>23713.898815932658</v>
      </c>
      <c r="M16" s="131">
        <f>IF(SER_hh_tes!M16=0,0,11630*1000*SER_hh_tes!M16/SER_hh_num!M16)</f>
        <v>21563.470122960469</v>
      </c>
      <c r="N16" s="131">
        <f>IF(SER_hh_tes!N16=0,0,11630*1000*SER_hh_tes!N16/SER_hh_num!N16)</f>
        <v>20718.326534326683</v>
      </c>
      <c r="O16" s="131">
        <f>IF(SER_hh_tes!O16=0,0,11630*1000*SER_hh_tes!O16/SER_hh_num!O16)</f>
        <v>20589.401417530833</v>
      </c>
      <c r="P16" s="131">
        <f>IF(SER_hh_tes!P16=0,0,11630*1000*SER_hh_tes!P16/SER_hh_num!P16)</f>
        <v>21032.306631489904</v>
      </c>
      <c r="Q16" s="131">
        <f>IF(SER_hh_tes!Q16=0,0,11630*1000*SER_hh_tes!Q16/SER_hh_num!Q16)</f>
        <v>20611.012424873599</v>
      </c>
      <c r="R16" s="131">
        <f>IF(SER_hh_tes!R16=0,0,11630*1000*SER_hh_tes!R16/SER_hh_num!R16)</f>
        <v>20947.914246010729</v>
      </c>
      <c r="S16" s="131">
        <f>IF(SER_hh_tes!S16=0,0,11630*1000*SER_hh_tes!S16/SER_hh_num!S16)</f>
        <v>21021.917700386621</v>
      </c>
      <c r="T16" s="131">
        <f>IF(SER_hh_tes!T16=0,0,11630*1000*SER_hh_tes!T16/SER_hh_num!T16)</f>
        <v>22529.950722484973</v>
      </c>
      <c r="U16" s="131">
        <f>IF(SER_hh_tes!U16=0,0,11630*1000*SER_hh_tes!U16/SER_hh_num!U16)</f>
        <v>21125.493104021643</v>
      </c>
      <c r="V16" s="131">
        <f>IF(SER_hh_tes!V16=0,0,11630*1000*SER_hh_tes!V16/SER_hh_num!V16)</f>
        <v>21173.368421548101</v>
      </c>
      <c r="W16" s="131">
        <f>IF(SER_hh_tes!W16=0,0,11630*1000*SER_hh_tes!W16/SER_hh_num!W16)</f>
        <v>23542.031274411798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19960.496113004672</v>
      </c>
      <c r="C18" s="133">
        <f>IF(SER_hh_tes!C18=0,0,11630*1000*SER_hh_tes!C18/SER_hh_num!C18)</f>
        <v>20223.082098756076</v>
      </c>
      <c r="D18" s="133">
        <f>IF(SER_hh_tes!D18=0,0,11630*1000*SER_hh_tes!D18/SER_hh_num!D18)</f>
        <v>20166.638580935563</v>
      </c>
      <c r="E18" s="133">
        <f>IF(SER_hh_tes!E18=0,0,11630*1000*SER_hh_tes!E18/SER_hh_num!E18)</f>
        <v>21141.114782063047</v>
      </c>
      <c r="F18" s="133">
        <f>IF(SER_hh_tes!F18=0,0,11630*1000*SER_hh_tes!F18/SER_hh_num!F18)</f>
        <v>20135.192123207213</v>
      </c>
      <c r="G18" s="133">
        <f>IF(SER_hh_tes!G18=0,0,11630*1000*SER_hh_tes!G18/SER_hh_num!G18)</f>
        <v>20185.606510818245</v>
      </c>
      <c r="H18" s="133">
        <f>IF(SER_hh_tes!H18=0,0,11630*1000*SER_hh_tes!H18/SER_hh_num!H18)</f>
        <v>20523.930025389891</v>
      </c>
      <c r="I18" s="133">
        <f>IF(SER_hh_tes!I18=0,0,11630*1000*SER_hh_tes!I18/SER_hh_num!I18)</f>
        <v>20250.187590173009</v>
      </c>
      <c r="J18" s="133">
        <f>IF(SER_hh_tes!J18=0,0,11630*1000*SER_hh_tes!J18/SER_hh_num!J18)</f>
        <v>20291.950627821225</v>
      </c>
      <c r="K18" s="133">
        <f>IF(SER_hh_tes!K18=0,0,11630*1000*SER_hh_tes!K18/SER_hh_num!K18)</f>
        <v>20316.504726689232</v>
      </c>
      <c r="L18" s="133">
        <f>IF(SER_hh_tes!L18=0,0,11630*1000*SER_hh_tes!L18/SER_hh_num!L18)</f>
        <v>23713.898815932658</v>
      </c>
      <c r="M18" s="133">
        <f>IF(SER_hh_tes!M18=0,0,11630*1000*SER_hh_tes!M18/SER_hh_num!M18)</f>
        <v>21563.470122960469</v>
      </c>
      <c r="N18" s="133">
        <f>IF(SER_hh_tes!N18=0,0,11630*1000*SER_hh_tes!N18/SER_hh_num!N18)</f>
        <v>20718.326534326683</v>
      </c>
      <c r="O18" s="133">
        <f>IF(SER_hh_tes!O18=0,0,11630*1000*SER_hh_tes!O18/SER_hh_num!O18)</f>
        <v>20589.401417530833</v>
      </c>
      <c r="P18" s="133">
        <f>IF(SER_hh_tes!P18=0,0,11630*1000*SER_hh_tes!P18/SER_hh_num!P18)</f>
        <v>21032.306631489904</v>
      </c>
      <c r="Q18" s="133">
        <f>IF(SER_hh_tes!Q18=0,0,11630*1000*SER_hh_tes!Q18/SER_hh_num!Q18)</f>
        <v>20611.012424873599</v>
      </c>
      <c r="R18" s="133">
        <f>IF(SER_hh_tes!R18=0,0,11630*1000*SER_hh_tes!R18/SER_hh_num!R18)</f>
        <v>20947.914246010729</v>
      </c>
      <c r="S18" s="133">
        <f>IF(SER_hh_tes!S18=0,0,11630*1000*SER_hh_tes!S18/SER_hh_num!S18)</f>
        <v>21021.917700386621</v>
      </c>
      <c r="T18" s="133">
        <f>IF(SER_hh_tes!T18=0,0,11630*1000*SER_hh_tes!T18/SER_hh_num!T18)</f>
        <v>22529.950722484973</v>
      </c>
      <c r="U18" s="133">
        <f>IF(SER_hh_tes!U18=0,0,11630*1000*SER_hh_tes!U18/SER_hh_num!U18)</f>
        <v>21125.493104021643</v>
      </c>
      <c r="V18" s="133">
        <f>IF(SER_hh_tes!V18=0,0,11630*1000*SER_hh_tes!V18/SER_hh_num!V18)</f>
        <v>21173.368421548101</v>
      </c>
      <c r="W18" s="133">
        <f>IF(SER_hh_tes!W18=0,0,11630*1000*SER_hh_tes!W18/SER_hh_num!W18)</f>
        <v>23542.031274411798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17167.807421020869</v>
      </c>
      <c r="C19" s="131">
        <f>IF(SER_hh_tes!C19=0,0,11630*1000*SER_hh_tes!C19/SER_hh_num!C19)</f>
        <v>16840.846727857956</v>
      </c>
      <c r="D19" s="131">
        <f>IF(SER_hh_tes!D19=0,0,11630*1000*SER_hh_tes!D19/SER_hh_num!D19)</f>
        <v>16277.877349898106</v>
      </c>
      <c r="E19" s="131">
        <f>IF(SER_hh_tes!E19=0,0,11630*1000*SER_hh_tes!E19/SER_hh_num!E19)</f>
        <v>16008.683478178944</v>
      </c>
      <c r="F19" s="131">
        <f>IF(SER_hh_tes!F19=0,0,11630*1000*SER_hh_tes!F19/SER_hh_num!F19)</f>
        <v>15496.604285820347</v>
      </c>
      <c r="G19" s="131">
        <f>IF(SER_hh_tes!G19=0,0,11630*1000*SER_hh_tes!G19/SER_hh_num!G19)</f>
        <v>15464.350246381751</v>
      </c>
      <c r="H19" s="131">
        <f>IF(SER_hh_tes!H19=0,0,11630*1000*SER_hh_tes!H19/SER_hh_num!H19)</f>
        <v>15008.119832427608</v>
      </c>
      <c r="I19" s="131">
        <f>IF(SER_hh_tes!I19=0,0,11630*1000*SER_hh_tes!I19/SER_hh_num!I19)</f>
        <v>14440.070926554125</v>
      </c>
      <c r="J19" s="131">
        <f>IF(SER_hh_tes!J19=0,0,11630*1000*SER_hh_tes!J19/SER_hh_num!J19)</f>
        <v>14685.596132860021</v>
      </c>
      <c r="K19" s="131">
        <f>IF(SER_hh_tes!K19=0,0,11630*1000*SER_hh_tes!K19/SER_hh_num!K19)</f>
        <v>14680.021066137368</v>
      </c>
      <c r="L19" s="131">
        <f>IF(SER_hh_tes!L19=0,0,11630*1000*SER_hh_tes!L19/SER_hh_num!L19)</f>
        <v>14628.15810024806</v>
      </c>
      <c r="M19" s="131">
        <f>IF(SER_hh_tes!M19=0,0,11630*1000*SER_hh_tes!M19/SER_hh_num!M19)</f>
        <v>14863.930222061388</v>
      </c>
      <c r="N19" s="131">
        <f>IF(SER_hh_tes!N19=0,0,11630*1000*SER_hh_tes!N19/SER_hh_num!N19)</f>
        <v>14952.101614806605</v>
      </c>
      <c r="O19" s="131">
        <f>IF(SER_hh_tes!O19=0,0,11630*1000*SER_hh_tes!O19/SER_hh_num!O19)</f>
        <v>14998.89201951635</v>
      </c>
      <c r="P19" s="131">
        <f>IF(SER_hh_tes!P19=0,0,11630*1000*SER_hh_tes!P19/SER_hh_num!P19)</f>
        <v>15111.866339869837</v>
      </c>
      <c r="Q19" s="131">
        <f>IF(SER_hh_tes!Q19=0,0,11630*1000*SER_hh_tes!Q19/SER_hh_num!Q19)</f>
        <v>15273.063652778523</v>
      </c>
      <c r="R19" s="131">
        <f>IF(SER_hh_tes!R19=0,0,11630*1000*SER_hh_tes!R19/SER_hh_num!R19)</f>
        <v>15131.829876092781</v>
      </c>
      <c r="S19" s="131">
        <f>IF(SER_hh_tes!S19=0,0,11630*1000*SER_hh_tes!S19/SER_hh_num!S19)</f>
        <v>15035.428963193212</v>
      </c>
      <c r="T19" s="131">
        <f>IF(SER_hh_tes!T19=0,0,11630*1000*SER_hh_tes!T19/SER_hh_num!T19)</f>
        <v>15214.023120134134</v>
      </c>
      <c r="U19" s="131">
        <f>IF(SER_hh_tes!U19=0,0,11630*1000*SER_hh_tes!U19/SER_hh_num!U19)</f>
        <v>15394.75425764325</v>
      </c>
      <c r="V19" s="131">
        <f>IF(SER_hh_tes!V19=0,0,11630*1000*SER_hh_tes!V19/SER_hh_num!V19)</f>
        <v>14600.936232252661</v>
      </c>
      <c r="W19" s="131">
        <f>IF(SER_hh_tes!W19=0,0,11630*1000*SER_hh_tes!W19/SER_hh_num!W19)</f>
        <v>15346.600656842806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17122.509481117842</v>
      </c>
      <c r="C22" s="133">
        <f>IF(SER_hh_tes!C22=0,0,11630*1000*SER_hh_tes!C22/SER_hh_num!C22)</f>
        <v>17278.21027696176</v>
      </c>
      <c r="D22" s="133">
        <f>IF(SER_hh_tes!D22=0,0,11630*1000*SER_hh_tes!D22/SER_hh_num!D22)</f>
        <v>17180.251812546634</v>
      </c>
      <c r="E22" s="133">
        <f>IF(SER_hh_tes!E22=0,0,11630*1000*SER_hh_tes!E22/SER_hh_num!E22)</f>
        <v>15062.799470017977</v>
      </c>
      <c r="F22" s="133">
        <f>IF(SER_hh_tes!F22=0,0,11630*1000*SER_hh_tes!F22/SER_hh_num!F22)</f>
        <v>14515.229914670732</v>
      </c>
      <c r="G22" s="133">
        <f>IF(SER_hh_tes!G22=0,0,11630*1000*SER_hh_tes!G22/SER_hh_num!G22)</f>
        <v>15155.763731156017</v>
      </c>
      <c r="H22" s="133">
        <f>IF(SER_hh_tes!H22=0,0,11630*1000*SER_hh_tes!H22/SER_hh_num!H22)</f>
        <v>14729.351983630295</v>
      </c>
      <c r="I22" s="133">
        <f>IF(SER_hh_tes!I22=0,0,11630*1000*SER_hh_tes!I22/SER_hh_num!I22)</f>
        <v>14460.799910662552</v>
      </c>
      <c r="J22" s="133">
        <f>IF(SER_hh_tes!J22=0,0,11630*1000*SER_hh_tes!J22/SER_hh_num!J22)</f>
        <v>14835.371255661858</v>
      </c>
      <c r="K22" s="133">
        <f>IF(SER_hh_tes!K22=0,0,11630*1000*SER_hh_tes!K22/SER_hh_num!K22)</f>
        <v>14651.396956699722</v>
      </c>
      <c r="L22" s="133">
        <f>IF(SER_hh_tes!L22=0,0,11630*1000*SER_hh_tes!L22/SER_hh_num!L22)</f>
        <v>14640.788126724667</v>
      </c>
      <c r="M22" s="133">
        <f>IF(SER_hh_tes!M22=0,0,11630*1000*SER_hh_tes!M22/SER_hh_num!M22)</f>
        <v>14832.02524091729</v>
      </c>
      <c r="N22" s="133">
        <f>IF(SER_hh_tes!N22=0,0,11630*1000*SER_hh_tes!N22/SER_hh_num!N22)</f>
        <v>14900.164180660482</v>
      </c>
      <c r="O22" s="133">
        <f>IF(SER_hh_tes!O22=0,0,11630*1000*SER_hh_tes!O22/SER_hh_num!O22)</f>
        <v>15061.28414075878</v>
      </c>
      <c r="P22" s="133">
        <f>IF(SER_hh_tes!P22=0,0,11630*1000*SER_hh_tes!P22/SER_hh_num!P22)</f>
        <v>15279.533876607979</v>
      </c>
      <c r="Q22" s="133">
        <f>IF(SER_hh_tes!Q22=0,0,11630*1000*SER_hh_tes!Q22/SER_hh_num!Q22)</f>
        <v>15538.332175535013</v>
      </c>
      <c r="R22" s="133">
        <f>IF(SER_hh_tes!R22=0,0,11630*1000*SER_hh_tes!R22/SER_hh_num!R22)</f>
        <v>14775.418944280922</v>
      </c>
      <c r="S22" s="133">
        <f>IF(SER_hh_tes!S22=0,0,11630*1000*SER_hh_tes!S22/SER_hh_num!S22)</f>
        <v>15252.521222945774</v>
      </c>
      <c r="T22" s="133">
        <f>IF(SER_hh_tes!T22=0,0,11630*1000*SER_hh_tes!T22/SER_hh_num!T22)</f>
        <v>16489.34186694739</v>
      </c>
      <c r="U22" s="133">
        <f>IF(SER_hh_tes!U22=0,0,11630*1000*SER_hh_tes!U22/SER_hh_num!U22)</f>
        <v>13462.378487961136</v>
      </c>
      <c r="V22" s="133">
        <f>IF(SER_hh_tes!V22=0,0,11630*1000*SER_hh_tes!V22/SER_hh_num!V22)</f>
        <v>15037.536791888706</v>
      </c>
      <c r="W22" s="133">
        <f>IF(SER_hh_tes!W22=0,0,11630*1000*SER_hh_tes!W22/SER_hh_num!W22)</f>
        <v>15112.647089921289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11831.573653475676</v>
      </c>
      <c r="C23" s="133">
        <f>IF(SER_hh_tes!C23=0,0,11630*1000*SER_hh_tes!C23/SER_hh_num!C23)</f>
        <v>19080.236594202972</v>
      </c>
      <c r="D23" s="133">
        <f>IF(SER_hh_tes!D23=0,0,11630*1000*SER_hh_tes!D23/SER_hh_num!D23)</f>
        <v>17223.727398831375</v>
      </c>
      <c r="E23" s="133">
        <f>IF(SER_hh_tes!E23=0,0,11630*1000*SER_hh_tes!E23/SER_hh_num!E23)</f>
        <v>16178.895616500777</v>
      </c>
      <c r="F23" s="133">
        <f>IF(SER_hh_tes!F23=0,0,11630*1000*SER_hh_tes!F23/SER_hh_num!F23)</f>
        <v>15476.020093027664</v>
      </c>
      <c r="G23" s="133">
        <f>IF(SER_hh_tes!G23=0,0,11630*1000*SER_hh_tes!G23/SER_hh_num!G23)</f>
        <v>15256.483806519964</v>
      </c>
      <c r="H23" s="133">
        <f>IF(SER_hh_tes!H23=0,0,11630*1000*SER_hh_tes!H23/SER_hh_num!H23)</f>
        <v>15096.005467257064</v>
      </c>
      <c r="I23" s="133">
        <f>IF(SER_hh_tes!I23=0,0,11630*1000*SER_hh_tes!I23/SER_hh_num!I23)</f>
        <v>14763.490992943098</v>
      </c>
      <c r="J23" s="133">
        <f>IF(SER_hh_tes!J23=0,0,11630*1000*SER_hh_tes!J23/SER_hh_num!J23)</f>
        <v>14594.832325450552</v>
      </c>
      <c r="K23" s="133">
        <f>IF(SER_hh_tes!K23=0,0,11630*1000*SER_hh_tes!K23/SER_hh_num!K23)</f>
        <v>14419.895653358386</v>
      </c>
      <c r="L23" s="133">
        <f>IF(SER_hh_tes!L23=0,0,11630*1000*SER_hh_tes!L23/SER_hh_num!L23)</f>
        <v>13668.689430017914</v>
      </c>
      <c r="M23" s="133">
        <f>IF(SER_hh_tes!M23=0,0,11630*1000*SER_hh_tes!M23/SER_hh_num!M23)</f>
        <v>14676.356163654831</v>
      </c>
      <c r="N23" s="133">
        <f>IF(SER_hh_tes!N23=0,0,11630*1000*SER_hh_tes!N23/SER_hh_num!N23)</f>
        <v>13059.990248067254</v>
      </c>
      <c r="O23" s="133">
        <f>IF(SER_hh_tes!O23=0,0,11630*1000*SER_hh_tes!O23/SER_hh_num!O23)</f>
        <v>14594.239741970463</v>
      </c>
      <c r="P23" s="133">
        <f>IF(SER_hh_tes!P23=0,0,11630*1000*SER_hh_tes!P23/SER_hh_num!P23)</f>
        <v>16465.421732467119</v>
      </c>
      <c r="Q23" s="133">
        <f>IF(SER_hh_tes!Q23=0,0,11630*1000*SER_hh_tes!Q23/SER_hh_num!Q23)</f>
        <v>15371.163017681032</v>
      </c>
      <c r="R23" s="133">
        <f>IF(SER_hh_tes!R23=0,0,11630*1000*SER_hh_tes!R23/SER_hh_num!R23)</f>
        <v>14907.749708495399</v>
      </c>
      <c r="S23" s="133">
        <f>IF(SER_hh_tes!S23=0,0,11630*1000*SER_hh_tes!S23/SER_hh_num!S23)</f>
        <v>14981.305321324198</v>
      </c>
      <c r="T23" s="133">
        <f>IF(SER_hh_tes!T23=0,0,11630*1000*SER_hh_tes!T23/SER_hh_num!T23)</f>
        <v>15319.13095836842</v>
      </c>
      <c r="U23" s="133">
        <f>IF(SER_hh_tes!U23=0,0,11630*1000*SER_hh_tes!U23/SER_hh_num!U23)</f>
        <v>15702.276159630785</v>
      </c>
      <c r="V23" s="133">
        <f>IF(SER_hh_tes!V23=0,0,11630*1000*SER_hh_tes!V23/SER_hh_num!V23)</f>
        <v>15225.736697695476</v>
      </c>
      <c r="W23" s="133">
        <f>IF(SER_hh_tes!W23=0,0,11630*1000*SER_hh_tes!W23/SER_hh_num!W23)</f>
        <v>14121.641519733808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16746.757515077643</v>
      </c>
      <c r="C25" s="133">
        <f>IF(SER_hh_tes!C25=0,0,11630*1000*SER_hh_tes!C25/SER_hh_num!C25)</f>
        <v>17011.340691304758</v>
      </c>
      <c r="D25" s="133">
        <f>IF(SER_hh_tes!D25=0,0,11630*1000*SER_hh_tes!D25/SER_hh_num!D25)</f>
        <v>16332.337803827786</v>
      </c>
      <c r="E25" s="133">
        <f>IF(SER_hh_tes!E25=0,0,11630*1000*SER_hh_tes!E25/SER_hh_num!E25)</f>
        <v>15763.965740422531</v>
      </c>
      <c r="F25" s="133">
        <f>IF(SER_hh_tes!F25=0,0,11630*1000*SER_hh_tes!F25/SER_hh_num!F25)</f>
        <v>15354.780239598054</v>
      </c>
      <c r="G25" s="133">
        <f>IF(SER_hh_tes!G25=0,0,11630*1000*SER_hh_tes!G25/SER_hh_num!G25)</f>
        <v>15390.1902599529</v>
      </c>
      <c r="H25" s="133">
        <f>IF(SER_hh_tes!H25=0,0,11630*1000*SER_hh_tes!H25/SER_hh_num!H25)</f>
        <v>15008.167529318724</v>
      </c>
      <c r="I25" s="133">
        <f>IF(SER_hh_tes!I25=0,0,11630*1000*SER_hh_tes!I25/SER_hh_num!I25)</f>
        <v>14800.224039259745</v>
      </c>
      <c r="J25" s="133">
        <f>IF(SER_hh_tes!J25=0,0,11630*1000*SER_hh_tes!J25/SER_hh_num!J25)</f>
        <v>14554.732424173128</v>
      </c>
      <c r="K25" s="133">
        <f>IF(SER_hh_tes!K25=0,0,11630*1000*SER_hh_tes!K25/SER_hh_num!K25)</f>
        <v>14829.6252042905</v>
      </c>
      <c r="L25" s="133">
        <f>IF(SER_hh_tes!L25=0,0,11630*1000*SER_hh_tes!L25/SER_hh_num!L25)</f>
        <v>14750.834608360796</v>
      </c>
      <c r="M25" s="133">
        <f>IF(SER_hh_tes!M25=0,0,11630*1000*SER_hh_tes!M25/SER_hh_num!M25)</f>
        <v>14912.601956017739</v>
      </c>
      <c r="N25" s="133">
        <f>IF(SER_hh_tes!N25=0,0,11630*1000*SER_hh_tes!N25/SER_hh_num!N25)</f>
        <v>14964.963698219715</v>
      </c>
      <c r="O25" s="133">
        <f>IF(SER_hh_tes!O25=0,0,11630*1000*SER_hh_tes!O25/SER_hh_num!O25)</f>
        <v>15120.654633560956</v>
      </c>
      <c r="P25" s="133">
        <f>IF(SER_hh_tes!P25=0,0,11630*1000*SER_hh_tes!P25/SER_hh_num!P25)</f>
        <v>15084.778304140435</v>
      </c>
      <c r="Q25" s="133">
        <f>IF(SER_hh_tes!Q25=0,0,11630*1000*SER_hh_tes!Q25/SER_hh_num!Q25)</f>
        <v>15118.907568399971</v>
      </c>
      <c r="R25" s="133">
        <f>IF(SER_hh_tes!R25=0,0,11630*1000*SER_hh_tes!R25/SER_hh_num!R25)</f>
        <v>15144.850397071059</v>
      </c>
      <c r="S25" s="133">
        <f>IF(SER_hh_tes!S25=0,0,11630*1000*SER_hh_tes!S25/SER_hh_num!S25)</f>
        <v>15181.508379162973</v>
      </c>
      <c r="T25" s="133">
        <f>IF(SER_hh_tes!T25=0,0,11630*1000*SER_hh_tes!T25/SER_hh_num!T25)</f>
        <v>15363.648671754241</v>
      </c>
      <c r="U25" s="133">
        <f>IF(SER_hh_tes!U25=0,0,11630*1000*SER_hh_tes!U25/SER_hh_num!U25)</f>
        <v>15403.785622864263</v>
      </c>
      <c r="V25" s="133">
        <f>IF(SER_hh_tes!V25=0,0,11630*1000*SER_hh_tes!V25/SER_hh_num!V25)</f>
        <v>13668.883938710085</v>
      </c>
      <c r="W25" s="133">
        <f>IF(SER_hh_tes!W25=0,0,11630*1000*SER_hh_tes!W25/SER_hh_num!W25)</f>
        <v>15810.974434546528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17908.726699674211</v>
      </c>
      <c r="C26" s="65">
        <f>IF(SER_hh_tes!C26=0,0,11630*1000*SER_hh_tes!C26/SER_hh_num!C26)</f>
        <v>16299.223457578137</v>
      </c>
      <c r="D26" s="65">
        <f>IF(SER_hh_tes!D26=0,0,11630*1000*SER_hh_tes!D26/SER_hh_num!D26)</f>
        <v>15835.51615651907</v>
      </c>
      <c r="E26" s="65">
        <f>IF(SER_hh_tes!E26=0,0,11630*1000*SER_hh_tes!E26/SER_hh_num!E26)</f>
        <v>16400.316267086273</v>
      </c>
      <c r="F26" s="65">
        <f>IF(SER_hh_tes!F26=0,0,11630*1000*SER_hh_tes!F26/SER_hh_num!F26)</f>
        <v>15805.434684464868</v>
      </c>
      <c r="G26" s="65">
        <f>IF(SER_hh_tes!G26=0,0,11630*1000*SER_hh_tes!G26/SER_hh_num!G26)</f>
        <v>15596.621657320124</v>
      </c>
      <c r="H26" s="65">
        <f>IF(SER_hh_tes!H26=0,0,11630*1000*SER_hh_tes!H26/SER_hh_num!H26)</f>
        <v>15042.487716717002</v>
      </c>
      <c r="I26" s="65">
        <f>IF(SER_hh_tes!I26=0,0,11630*1000*SER_hh_tes!I26/SER_hh_num!I26)</f>
        <v>14139.692000809289</v>
      </c>
      <c r="J26" s="65">
        <f>IF(SER_hh_tes!J26=0,0,11630*1000*SER_hh_tes!J26/SER_hh_num!J26)</f>
        <v>14776.476250473746</v>
      </c>
      <c r="K26" s="65">
        <f>IF(SER_hh_tes!K26=0,0,11630*1000*SER_hh_tes!K26/SER_hh_num!K26)</f>
        <v>14594.430525663778</v>
      </c>
      <c r="L26" s="65">
        <f>IF(SER_hh_tes!L26=0,0,11630*1000*SER_hh_tes!L26/SER_hh_num!L26)</f>
        <v>14668.859047231763</v>
      </c>
      <c r="M26" s="65">
        <f>IF(SER_hh_tes!M26=0,0,11630*1000*SER_hh_tes!M26/SER_hh_num!M26)</f>
        <v>14860.401249616734</v>
      </c>
      <c r="N26" s="65">
        <f>IF(SER_hh_tes!N26=0,0,11630*1000*SER_hh_tes!N26/SER_hh_num!N26)</f>
        <v>15358.481500365266</v>
      </c>
      <c r="O26" s="65">
        <f>IF(SER_hh_tes!O26=0,0,11630*1000*SER_hh_tes!O26/SER_hh_num!O26)</f>
        <v>14997.470377794829</v>
      </c>
      <c r="P26" s="65">
        <f>IF(SER_hh_tes!P26=0,0,11630*1000*SER_hh_tes!P26/SER_hh_num!P26)</f>
        <v>14609.844263972103</v>
      </c>
      <c r="Q26" s="65">
        <f>IF(SER_hh_tes!Q26=0,0,11630*1000*SER_hh_tes!Q26/SER_hh_num!Q26)</f>
        <v>15327.497954639228</v>
      </c>
      <c r="R26" s="65">
        <f>IF(SER_hh_tes!R26=0,0,11630*1000*SER_hh_tes!R26/SER_hh_num!R26)</f>
        <v>15274.840391636775</v>
      </c>
      <c r="S26" s="65">
        <f>IF(SER_hh_tes!S26=0,0,11630*1000*SER_hh_tes!S26/SER_hh_num!S26)</f>
        <v>14906.463019503113</v>
      </c>
      <c r="T26" s="65">
        <f>IF(SER_hh_tes!T26=0,0,11630*1000*SER_hh_tes!T26/SER_hh_num!T26)</f>
        <v>14875.528350624254</v>
      </c>
      <c r="U26" s="65">
        <f>IF(SER_hh_tes!U26=0,0,11630*1000*SER_hh_tes!U26/SER_hh_num!U26)</f>
        <v>15426.766017724602</v>
      </c>
      <c r="V26" s="65">
        <f>IF(SER_hh_tes!V26=0,0,11630*1000*SER_hh_tes!V26/SER_hh_num!V26)</f>
        <v>14944.990878998662</v>
      </c>
      <c r="W26" s="65">
        <f>IF(SER_hh_tes!W26=0,0,11630*1000*SER_hh_tes!W26/SER_hh_num!W26)</f>
        <v>15695.111643350037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17122.527216801216</v>
      </c>
      <c r="C29" s="131">
        <f>IF(SER_hh_tes!C29=0,0,11630*1000*SER_hh_tes!C29/SER_hh_num!C29)</f>
        <v>17025.134953681027</v>
      </c>
      <c r="D29" s="131">
        <f>IF(SER_hh_tes!D29=0,0,11630*1000*SER_hh_tes!D29/SER_hh_num!D29)</f>
        <v>16626.563677028218</v>
      </c>
      <c r="E29" s="131">
        <f>IF(SER_hh_tes!E29=0,0,11630*1000*SER_hh_tes!E29/SER_hh_num!E29)</f>
        <v>16656.43940277844</v>
      </c>
      <c r="F29" s="131">
        <f>IF(SER_hh_tes!F29=0,0,11630*1000*SER_hh_tes!F29/SER_hh_num!F29)</f>
        <v>16358.927970452592</v>
      </c>
      <c r="G29" s="131">
        <f>IF(SER_hh_tes!G29=0,0,11630*1000*SER_hh_tes!G29/SER_hh_num!G29)</f>
        <v>16556.079878136854</v>
      </c>
      <c r="H29" s="131">
        <f>IF(SER_hh_tes!H29=0,0,11630*1000*SER_hh_tes!H29/SER_hh_num!H29)</f>
        <v>16024.315245276572</v>
      </c>
      <c r="I29" s="131">
        <f>IF(SER_hh_tes!I29=0,0,11630*1000*SER_hh_tes!I29/SER_hh_num!I29)</f>
        <v>15906.998938423409</v>
      </c>
      <c r="J29" s="131">
        <f>IF(SER_hh_tes!J29=0,0,11630*1000*SER_hh_tes!J29/SER_hh_num!J29)</f>
        <v>16419.134871582024</v>
      </c>
      <c r="K29" s="131">
        <f>IF(SER_hh_tes!K29=0,0,11630*1000*SER_hh_tes!K29/SER_hh_num!K29)</f>
        <v>16992.427832798279</v>
      </c>
      <c r="L29" s="131">
        <f>IF(SER_hh_tes!L29=0,0,11630*1000*SER_hh_tes!L29/SER_hh_num!L29)</f>
        <v>17131.673010143943</v>
      </c>
      <c r="M29" s="131">
        <f>IF(SER_hh_tes!M29=0,0,11630*1000*SER_hh_tes!M29/SER_hh_num!M29)</f>
        <v>17023.149601567769</v>
      </c>
      <c r="N29" s="131">
        <f>IF(SER_hh_tes!N29=0,0,11630*1000*SER_hh_tes!N29/SER_hh_num!N29)</f>
        <v>16920.006755797087</v>
      </c>
      <c r="O29" s="131">
        <f>IF(SER_hh_tes!O29=0,0,11630*1000*SER_hh_tes!O29/SER_hh_num!O29)</f>
        <v>17092.228965347309</v>
      </c>
      <c r="P29" s="131">
        <f>IF(SER_hh_tes!P29=0,0,11630*1000*SER_hh_tes!P29/SER_hh_num!P29)</f>
        <v>16898.887820671323</v>
      </c>
      <c r="Q29" s="131">
        <f>IF(SER_hh_tes!Q29=0,0,11630*1000*SER_hh_tes!Q29/SER_hh_num!Q29)</f>
        <v>16625.414091233728</v>
      </c>
      <c r="R29" s="131">
        <f>IF(SER_hh_tes!R29=0,0,11630*1000*SER_hh_tes!R29/SER_hh_num!R29)</f>
        <v>16689.260248783732</v>
      </c>
      <c r="S29" s="131">
        <f>IF(SER_hh_tes!S29=0,0,11630*1000*SER_hh_tes!S29/SER_hh_num!S29)</f>
        <v>16516.684463117916</v>
      </c>
      <c r="T29" s="131">
        <f>IF(SER_hh_tes!T29=0,0,11630*1000*SER_hh_tes!T29/SER_hh_num!T29)</f>
        <v>16366.015074105251</v>
      </c>
      <c r="U29" s="131">
        <f>IF(SER_hh_tes!U29=0,0,11630*1000*SER_hh_tes!U29/SER_hh_num!U29)</f>
        <v>16278.545253625187</v>
      </c>
      <c r="V29" s="131">
        <f>IF(SER_hh_tes!V29=0,0,11630*1000*SER_hh_tes!V29/SER_hh_num!V29)</f>
        <v>14909.935393257143</v>
      </c>
      <c r="W29" s="131">
        <f>IF(SER_hh_tes!W29=0,0,11630*1000*SER_hh_tes!W29/SER_hh_num!W29)</f>
        <v>15894.711347610955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23377.796262045358</v>
      </c>
      <c r="G30" s="133">
        <f>IF(SER_hh_tes!G30=0,0,11630*1000*SER_hh_tes!G30/SER_hh_num!G30)</f>
        <v>18130.949589540611</v>
      </c>
      <c r="H30" s="133">
        <f>IF(SER_hh_tes!H30=0,0,11630*1000*SER_hh_tes!H30/SER_hh_num!H30)</f>
        <v>16177.120153344087</v>
      </c>
      <c r="I30" s="133">
        <f>IF(SER_hh_tes!I30=0,0,11630*1000*SER_hh_tes!I30/SER_hh_num!I30)</f>
        <v>16198.9459103804</v>
      </c>
      <c r="J30" s="133">
        <f>IF(SER_hh_tes!J30=0,0,11630*1000*SER_hh_tes!J30/SER_hh_num!J30)</f>
        <v>16467.340236620083</v>
      </c>
      <c r="K30" s="133">
        <f>IF(SER_hh_tes!K30=0,0,11630*1000*SER_hh_tes!K30/SER_hh_num!K30)</f>
        <v>16838.74371334874</v>
      </c>
      <c r="L30" s="133">
        <f>IF(SER_hh_tes!L30=0,0,11630*1000*SER_hh_tes!L30/SER_hh_num!L30)</f>
        <v>16918.25646521226</v>
      </c>
      <c r="M30" s="133">
        <f>IF(SER_hh_tes!M30=0,0,11630*1000*SER_hh_tes!M30/SER_hh_num!M30)</f>
        <v>16959.163150889108</v>
      </c>
      <c r="N30" s="133">
        <f>IF(SER_hh_tes!N30=0,0,11630*1000*SER_hh_tes!N30/SER_hh_num!N30)</f>
        <v>17042.282999615887</v>
      </c>
      <c r="O30" s="133">
        <f>IF(SER_hh_tes!O30=0,0,11630*1000*SER_hh_tes!O30/SER_hh_num!O30)</f>
        <v>16978.526636477891</v>
      </c>
      <c r="P30" s="133">
        <f>IF(SER_hh_tes!P30=0,0,11630*1000*SER_hh_tes!P30/SER_hh_num!P30)</f>
        <v>15310.205094312934</v>
      </c>
      <c r="Q30" s="133">
        <f>IF(SER_hh_tes!Q30=0,0,11630*1000*SER_hh_tes!Q30/SER_hh_num!Q30)</f>
        <v>11915.70219378294</v>
      </c>
      <c r="R30" s="133">
        <f>IF(SER_hh_tes!R30=0,0,11630*1000*SER_hh_tes!R30/SER_hh_num!R30)</f>
        <v>18464.103394102785</v>
      </c>
      <c r="S30" s="133">
        <f>IF(SER_hh_tes!S30=0,0,11630*1000*SER_hh_tes!S30/SER_hh_num!S30)</f>
        <v>26366.133103933433</v>
      </c>
      <c r="T30" s="133">
        <f>IF(SER_hh_tes!T30=0,0,11630*1000*SER_hh_tes!T30/SER_hh_num!T30)</f>
        <v>8484.342518038502</v>
      </c>
      <c r="U30" s="133">
        <f>IF(SER_hh_tes!U30=0,0,11630*1000*SER_hh_tes!U30/SER_hh_num!U30)</f>
        <v>17130.850270646792</v>
      </c>
      <c r="V30" s="133">
        <f>IF(SER_hh_tes!V30=0,0,11630*1000*SER_hh_tes!V30/SER_hh_num!V30)</f>
        <v>17683.574259457277</v>
      </c>
      <c r="W30" s="133">
        <f>IF(SER_hh_tes!W30=0,0,11630*1000*SER_hh_tes!W30/SER_hh_num!W30)</f>
        <v>12952.405771918793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9674.2844741635981</v>
      </c>
      <c r="C31" s="133">
        <f>IF(SER_hh_tes!C31=0,0,11630*1000*SER_hh_tes!C31/SER_hh_num!C31)</f>
        <v>18091.562262211744</v>
      </c>
      <c r="D31" s="133">
        <f>IF(SER_hh_tes!D31=0,0,11630*1000*SER_hh_tes!D31/SER_hh_num!D31)</f>
        <v>19312.876509278194</v>
      </c>
      <c r="E31" s="133">
        <f>IF(SER_hh_tes!E31=0,0,11630*1000*SER_hh_tes!E31/SER_hh_num!E31)</f>
        <v>17277.811300179947</v>
      </c>
      <c r="F31" s="133">
        <f>IF(SER_hh_tes!F31=0,0,11630*1000*SER_hh_tes!F31/SER_hh_num!F31)</f>
        <v>16512.89011717695</v>
      </c>
      <c r="G31" s="133">
        <f>IF(SER_hh_tes!G31=0,0,11630*1000*SER_hh_tes!G31/SER_hh_num!G31)</f>
        <v>16405.567100744236</v>
      </c>
      <c r="H31" s="133">
        <f>IF(SER_hh_tes!H31=0,0,11630*1000*SER_hh_tes!H31/SER_hh_num!H31)</f>
        <v>16148.332254864523</v>
      </c>
      <c r="I31" s="133">
        <f>IF(SER_hh_tes!I31=0,0,11630*1000*SER_hh_tes!I31/SER_hh_num!I31)</f>
        <v>16351.484784835551</v>
      </c>
      <c r="J31" s="133">
        <f>IF(SER_hh_tes!J31=0,0,11630*1000*SER_hh_tes!J31/SER_hh_num!J31)</f>
        <v>16624.277287908615</v>
      </c>
      <c r="K31" s="133">
        <f>IF(SER_hh_tes!K31=0,0,11630*1000*SER_hh_tes!K31/SER_hh_num!K31)</f>
        <v>15960.387400094942</v>
      </c>
      <c r="L31" s="133">
        <f>IF(SER_hh_tes!L31=0,0,11630*1000*SER_hh_tes!L31/SER_hh_num!L31)</f>
        <v>16857.677009502186</v>
      </c>
      <c r="M31" s="133">
        <f>IF(SER_hh_tes!M31=0,0,11630*1000*SER_hh_tes!M31/SER_hh_num!M31)</f>
        <v>16888.084627035314</v>
      </c>
      <c r="N31" s="133">
        <f>IF(SER_hh_tes!N31=0,0,11630*1000*SER_hh_tes!N31/SER_hh_num!N31)</f>
        <v>17276.462769457165</v>
      </c>
      <c r="O31" s="133">
        <f>IF(SER_hh_tes!O31=0,0,11630*1000*SER_hh_tes!O31/SER_hh_num!O31)</f>
        <v>17030.339301863798</v>
      </c>
      <c r="P31" s="133">
        <f>IF(SER_hh_tes!P31=0,0,11630*1000*SER_hh_tes!P31/SER_hh_num!P31)</f>
        <v>16133.214335044542</v>
      </c>
      <c r="Q31" s="133">
        <f>IF(SER_hh_tes!Q31=0,0,11630*1000*SER_hh_tes!Q31/SER_hh_num!Q31)</f>
        <v>15095.024453521926</v>
      </c>
      <c r="R31" s="133">
        <f>IF(SER_hh_tes!R31=0,0,11630*1000*SER_hh_tes!R31/SER_hh_num!R31)</f>
        <v>18133.946322066364</v>
      </c>
      <c r="S31" s="133">
        <f>IF(SER_hh_tes!S31=0,0,11630*1000*SER_hh_tes!S31/SER_hh_num!S31)</f>
        <v>15961.908167918889</v>
      </c>
      <c r="T31" s="133">
        <f>IF(SER_hh_tes!T31=0,0,11630*1000*SER_hh_tes!T31/SER_hh_num!T31)</f>
        <v>15843.273942309337</v>
      </c>
      <c r="U31" s="133">
        <f>IF(SER_hh_tes!U31=0,0,11630*1000*SER_hh_tes!U31/SER_hh_num!U31)</f>
        <v>17084.684781416756</v>
      </c>
      <c r="V31" s="133">
        <f>IF(SER_hh_tes!V31=0,0,11630*1000*SER_hh_tes!V31/SER_hh_num!V31)</f>
        <v>15487.510429890635</v>
      </c>
      <c r="W31" s="133">
        <f>IF(SER_hh_tes!W31=0,0,11630*1000*SER_hh_tes!W31/SER_hh_num!W31)</f>
        <v>14556.414776750256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17543.687256639769</v>
      </c>
      <c r="C33" s="68">
        <f>IF(SER_hh_tes!C33=0,0,11630*1000*SER_hh_tes!C33/SER_hh_num!C33)</f>
        <v>16918.320448740236</v>
      </c>
      <c r="D33" s="68">
        <f>IF(SER_hh_tes!D33=0,0,11630*1000*SER_hh_tes!D33/SER_hh_num!D33)</f>
        <v>16268.650170179566</v>
      </c>
      <c r="E33" s="68">
        <f>IF(SER_hh_tes!E33=0,0,11630*1000*SER_hh_tes!E33/SER_hh_num!E33)</f>
        <v>16565.115088157017</v>
      </c>
      <c r="F33" s="68">
        <f>IF(SER_hh_tes!F33=0,0,11630*1000*SER_hh_tes!F33/SER_hh_num!F33)</f>
        <v>16156.746103961614</v>
      </c>
      <c r="G33" s="68">
        <f>IF(SER_hh_tes!G33=0,0,11630*1000*SER_hh_tes!G33/SER_hh_num!G33)</f>
        <v>16528.403197011081</v>
      </c>
      <c r="H33" s="68">
        <f>IF(SER_hh_tes!H33=0,0,11630*1000*SER_hh_tes!H33/SER_hh_num!H33)</f>
        <v>16002.853716979958</v>
      </c>
      <c r="I33" s="68">
        <f>IF(SER_hh_tes!I33=0,0,11630*1000*SER_hh_tes!I33/SER_hh_num!I33)</f>
        <v>15842.838410353279</v>
      </c>
      <c r="J33" s="68">
        <f>IF(SER_hh_tes!J33=0,0,11630*1000*SER_hh_tes!J33/SER_hh_num!J33)</f>
        <v>16392.980341559654</v>
      </c>
      <c r="K33" s="68">
        <f>IF(SER_hh_tes!K33=0,0,11630*1000*SER_hh_tes!K33/SER_hh_num!K33)</f>
        <v>17115.551960619025</v>
      </c>
      <c r="L33" s="68">
        <f>IF(SER_hh_tes!L33=0,0,11630*1000*SER_hh_tes!L33/SER_hh_num!L33)</f>
        <v>17169.385470408026</v>
      </c>
      <c r="M33" s="68">
        <f>IF(SER_hh_tes!M33=0,0,11630*1000*SER_hh_tes!M33/SER_hh_num!M33)</f>
        <v>17040.343937101072</v>
      </c>
      <c r="N33" s="68">
        <f>IF(SER_hh_tes!N33=0,0,11630*1000*SER_hh_tes!N33/SER_hh_num!N33)</f>
        <v>16874.984548869357</v>
      </c>
      <c r="O33" s="68">
        <f>IF(SER_hh_tes!O33=0,0,11630*1000*SER_hh_tes!O33/SER_hh_num!O33)</f>
        <v>17102.912388254827</v>
      </c>
      <c r="P33" s="68">
        <f>IF(SER_hh_tes!P33=0,0,11630*1000*SER_hh_tes!P33/SER_hh_num!P33)</f>
        <v>17047.013848588478</v>
      </c>
      <c r="Q33" s="68">
        <f>IF(SER_hh_tes!Q33=0,0,11630*1000*SER_hh_tes!Q33/SER_hh_num!Q33)</f>
        <v>17031.435123697578</v>
      </c>
      <c r="R33" s="68">
        <f>IF(SER_hh_tes!R33=0,0,11630*1000*SER_hh_tes!R33/SER_hh_num!R33)</f>
        <v>16355.514704231535</v>
      </c>
      <c r="S33" s="68">
        <f>IF(SER_hh_tes!S33=0,0,11630*1000*SER_hh_tes!S33/SER_hh_num!S33)</f>
        <v>16048.543581045396</v>
      </c>
      <c r="T33" s="68">
        <f>IF(SER_hh_tes!T33=0,0,11630*1000*SER_hh_tes!T33/SER_hh_num!T33)</f>
        <v>16948.39718050792</v>
      </c>
      <c r="U33" s="68">
        <f>IF(SER_hh_tes!U33=0,0,11630*1000*SER_hh_tes!U33/SER_hh_num!U33)</f>
        <v>16045.00973935464</v>
      </c>
      <c r="V33" s="68">
        <f>IF(SER_hh_tes!V33=0,0,11630*1000*SER_hh_tes!V33/SER_hh_num!V33)</f>
        <v>14600.459673568441</v>
      </c>
      <c r="W33" s="68">
        <f>IF(SER_hh_tes!W33=0,0,11630*1000*SER_hh_tes!W33/SER_hh_num!W33)</f>
        <v>16408.048912164326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16895.268326741778</v>
      </c>
      <c r="C3" s="126">
        <f>IF(SER_hh_emi!C3=0,0,1000000*SER_hh_emi!C3/SER_hh_num!C3)</f>
        <v>21540.103872428848</v>
      </c>
      <c r="D3" s="126">
        <f>IF(SER_hh_emi!D3=0,0,1000000*SER_hh_emi!D3/SER_hh_num!D3)</f>
        <v>16716.990439818717</v>
      </c>
      <c r="E3" s="126">
        <f>IF(SER_hh_emi!E3=0,0,1000000*SER_hh_emi!E3/SER_hh_num!E3)</f>
        <v>21185.017816621505</v>
      </c>
      <c r="F3" s="126">
        <f>IF(SER_hh_emi!F3=0,0,1000000*SER_hh_emi!F3/SER_hh_num!F3)</f>
        <v>19917.538883194928</v>
      </c>
      <c r="G3" s="126">
        <f>IF(SER_hh_emi!G3=0,0,1000000*SER_hh_emi!G3/SER_hh_num!G3)</f>
        <v>18336.510929197168</v>
      </c>
      <c r="H3" s="126">
        <f>IF(SER_hh_emi!H3=0,0,1000000*SER_hh_emi!H3/SER_hh_num!H3)</f>
        <v>15146.734836271984</v>
      </c>
      <c r="I3" s="126">
        <f>IF(SER_hh_emi!I3=0,0,1000000*SER_hh_emi!I3/SER_hh_num!I3)</f>
        <v>14420.716614577534</v>
      </c>
      <c r="J3" s="126">
        <f>IF(SER_hh_emi!J3=0,0,1000000*SER_hh_emi!J3/SER_hh_num!J3)</f>
        <v>12751.608475910636</v>
      </c>
      <c r="K3" s="126">
        <f>IF(SER_hh_emi!K3=0,0,1000000*SER_hh_emi!K3/SER_hh_num!K3)</f>
        <v>11250.881126741868</v>
      </c>
      <c r="L3" s="126">
        <f>IF(SER_hh_emi!L3=0,0,1000000*SER_hh_emi!L3/SER_hh_num!L3)</f>
        <v>10495.981937951234</v>
      </c>
      <c r="M3" s="126">
        <f>IF(SER_hh_emi!M3=0,0,1000000*SER_hh_emi!M3/SER_hh_num!M3)</f>
        <v>12701.988271225549</v>
      </c>
      <c r="N3" s="126">
        <f>IF(SER_hh_emi!N3=0,0,1000000*SER_hh_emi!N3/SER_hh_num!N3)</f>
        <v>13273.152927299443</v>
      </c>
      <c r="O3" s="126">
        <f>IF(SER_hh_emi!O3=0,0,1000000*SER_hh_emi!O3/SER_hh_num!O3)</f>
        <v>13999.332923135511</v>
      </c>
      <c r="P3" s="126">
        <f>IF(SER_hh_emi!P3=0,0,1000000*SER_hh_emi!P3/SER_hh_num!P3)</f>
        <v>15084.415096858173</v>
      </c>
      <c r="Q3" s="126">
        <f>IF(SER_hh_emi!Q3=0,0,1000000*SER_hh_emi!Q3/SER_hh_num!Q3)</f>
        <v>15640.628915004727</v>
      </c>
      <c r="R3" s="126">
        <f>IF(SER_hh_emi!R3=0,0,1000000*SER_hh_emi!R3/SER_hh_num!R3)</f>
        <v>15553.33460550073</v>
      </c>
      <c r="S3" s="126">
        <f>IF(SER_hh_emi!S3=0,0,1000000*SER_hh_emi!S3/SER_hh_num!S3)</f>
        <v>14522.424140060622</v>
      </c>
      <c r="T3" s="126">
        <f>IF(SER_hh_emi!T3=0,0,1000000*SER_hh_emi!T3/SER_hh_num!T3)</f>
        <v>14675.196257612684</v>
      </c>
      <c r="U3" s="126">
        <f>IF(SER_hh_emi!U3=0,0,1000000*SER_hh_emi!U3/SER_hh_num!U3)</f>
        <v>12975.590682442964</v>
      </c>
      <c r="V3" s="126">
        <f>IF(SER_hh_emi!V3=0,0,1000000*SER_hh_emi!V3/SER_hh_num!V3)</f>
        <v>13145.15386676762</v>
      </c>
      <c r="W3" s="126">
        <f>IF(SER_hh_emi!W3=0,0,1000000*SER_hh_emi!W3/SER_hh_num!W3)</f>
        <v>13695.799281124642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14768.303482360825</v>
      </c>
      <c r="C4" s="131">
        <f>IF(SER_hh_emi!C4=0,0,1000000*SER_hh_emi!C4/SER_hh_num!C4)</f>
        <v>18894.13089811767</v>
      </c>
      <c r="D4" s="131">
        <f>IF(SER_hh_emi!D4=0,0,1000000*SER_hh_emi!D4/SER_hh_num!D4)</f>
        <v>14105.74867666458</v>
      </c>
      <c r="E4" s="131">
        <f>IF(SER_hh_emi!E4=0,0,1000000*SER_hh_emi!E4/SER_hh_num!E4)</f>
        <v>19002.329025211722</v>
      </c>
      <c r="F4" s="131">
        <f>IF(SER_hh_emi!F4=0,0,1000000*SER_hh_emi!F4/SER_hh_num!F4)</f>
        <v>17765.922903948263</v>
      </c>
      <c r="G4" s="131">
        <f>IF(SER_hh_emi!G4=0,0,1000000*SER_hh_emi!G4/SER_hh_num!G4)</f>
        <v>16349.314844771705</v>
      </c>
      <c r="H4" s="131">
        <f>IF(SER_hh_emi!H4=0,0,1000000*SER_hh_emi!H4/SER_hh_num!H4)</f>
        <v>13324.762891381923</v>
      </c>
      <c r="I4" s="131">
        <f>IF(SER_hh_emi!I4=0,0,1000000*SER_hh_emi!I4/SER_hh_num!I4)</f>
        <v>12701.424586646544</v>
      </c>
      <c r="J4" s="131">
        <f>IF(SER_hh_emi!J4=0,0,1000000*SER_hh_emi!J4/SER_hh_num!J4)</f>
        <v>11012.666382490188</v>
      </c>
      <c r="K4" s="131">
        <f>IF(SER_hh_emi!K4=0,0,1000000*SER_hh_emi!K4/SER_hh_num!K4)</f>
        <v>9572.9353263603771</v>
      </c>
      <c r="L4" s="131">
        <f>IF(SER_hh_emi!L4=0,0,1000000*SER_hh_emi!L4/SER_hh_num!L4)</f>
        <v>8813.607728420593</v>
      </c>
      <c r="M4" s="131">
        <f>IF(SER_hh_emi!M4=0,0,1000000*SER_hh_emi!M4/SER_hh_num!M4)</f>
        <v>10995.61580514147</v>
      </c>
      <c r="N4" s="131">
        <f>IF(SER_hh_emi!N4=0,0,1000000*SER_hh_emi!N4/SER_hh_num!N4)</f>
        <v>11542.59588336181</v>
      </c>
      <c r="O4" s="131">
        <f>IF(SER_hh_emi!O4=0,0,1000000*SER_hh_emi!O4/SER_hh_num!O4)</f>
        <v>12165.226885864622</v>
      </c>
      <c r="P4" s="131">
        <f>IF(SER_hh_emi!P4=0,0,1000000*SER_hh_emi!P4/SER_hh_num!P4)</f>
        <v>13048.5951362865</v>
      </c>
      <c r="Q4" s="131">
        <f>IF(SER_hh_emi!Q4=0,0,1000000*SER_hh_emi!Q4/SER_hh_num!Q4)</f>
        <v>13622.875720510754</v>
      </c>
      <c r="R4" s="131">
        <f>IF(SER_hh_emi!R4=0,0,1000000*SER_hh_emi!R4/SER_hh_num!R4)</f>
        <v>13244.848629500226</v>
      </c>
      <c r="S4" s="131">
        <f>IF(SER_hh_emi!S4=0,0,1000000*SER_hh_emi!S4/SER_hh_num!S4)</f>
        <v>12031.275542081912</v>
      </c>
      <c r="T4" s="131">
        <f>IF(SER_hh_emi!T4=0,0,1000000*SER_hh_emi!T4/SER_hh_num!T4)</f>
        <v>12344.834764232588</v>
      </c>
      <c r="U4" s="131">
        <f>IF(SER_hh_emi!U4=0,0,1000000*SER_hh_emi!U4/SER_hh_num!U4)</f>
        <v>10413.6845645338</v>
      </c>
      <c r="V4" s="131">
        <f>IF(SER_hh_emi!V4=0,0,1000000*SER_hh_emi!V4/SER_hh_num!V4)</f>
        <v>10611.175896624944</v>
      </c>
      <c r="W4" s="131">
        <f>IF(SER_hh_emi!W4=0,0,1000000*SER_hh_emi!W4/SER_hh_num!W4)</f>
        <v>11359.790928932689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59801.074704250103</v>
      </c>
      <c r="C5" s="133">
        <f>IF(SER_hh_emi!C5=0,0,1000000*SER_hh_emi!C5/SER_hh_num!C5)</f>
        <v>72453.279856111956</v>
      </c>
      <c r="D5" s="133">
        <f>IF(SER_hh_emi!D5=0,0,1000000*SER_hh_emi!D5/SER_hh_num!D5)</f>
        <v>63294.190261839911</v>
      </c>
      <c r="E5" s="133">
        <f>IF(SER_hh_emi!E5=0,0,1000000*SER_hh_emi!E5/SER_hh_num!E5)</f>
        <v>69906.496975387796</v>
      </c>
      <c r="F5" s="133">
        <f>IF(SER_hh_emi!F5=0,0,1000000*SER_hh_emi!F5/SER_hh_num!F5)</f>
        <v>74671.571379200235</v>
      </c>
      <c r="G5" s="133">
        <f>IF(SER_hh_emi!G5=0,0,1000000*SER_hh_emi!G5/SER_hh_num!G5)</f>
        <v>90106.395170741613</v>
      </c>
      <c r="H5" s="133">
        <f>IF(SER_hh_emi!H5=0,0,1000000*SER_hh_emi!H5/SER_hh_num!H5)</f>
        <v>65731.970189703934</v>
      </c>
      <c r="I5" s="133">
        <f>IF(SER_hh_emi!I5=0,0,1000000*SER_hh_emi!I5/SER_hh_num!I5)</f>
        <v>81753.835063828883</v>
      </c>
      <c r="J5" s="133">
        <f>IF(SER_hh_emi!J5=0,0,1000000*SER_hh_emi!J5/SER_hh_num!J5)</f>
        <v>75985.349742257808</v>
      </c>
      <c r="K5" s="133">
        <f>IF(SER_hh_emi!K5=0,0,1000000*SER_hh_emi!K5/SER_hh_num!K5)</f>
        <v>75056.417642085624</v>
      </c>
      <c r="L5" s="133">
        <f>IF(SER_hh_emi!L5=0,0,1000000*SER_hh_emi!L5/SER_hh_num!L5)</f>
        <v>76919.913102735532</v>
      </c>
      <c r="M5" s="133">
        <f>IF(SER_hh_emi!M5=0,0,1000000*SER_hh_emi!M5/SER_hh_num!M5)</f>
        <v>55597.265751552732</v>
      </c>
      <c r="N5" s="133">
        <f>IF(SER_hh_emi!N5=0,0,1000000*SER_hh_emi!N5/SER_hh_num!N5)</f>
        <v>61807.246509747238</v>
      </c>
      <c r="O5" s="133">
        <f>IF(SER_hh_emi!O5=0,0,1000000*SER_hh_emi!O5/SER_hh_num!O5)</f>
        <v>93544.355363763694</v>
      </c>
      <c r="P5" s="133">
        <f>IF(SER_hh_emi!P5=0,0,1000000*SER_hh_emi!P5/SER_hh_num!P5)</f>
        <v>61785.267419991062</v>
      </c>
      <c r="Q5" s="133">
        <f>IF(SER_hh_emi!Q5=0,0,1000000*SER_hh_emi!Q5/SER_hh_num!Q5)</f>
        <v>61971.3375337295</v>
      </c>
      <c r="R5" s="133">
        <f>IF(SER_hh_emi!R5=0,0,1000000*SER_hh_emi!R5/SER_hh_num!R5)</f>
        <v>96041.764652942933</v>
      </c>
      <c r="S5" s="133">
        <f>IF(SER_hh_emi!S5=0,0,1000000*SER_hh_emi!S5/SER_hh_num!S5)</f>
        <v>52312.058991602535</v>
      </c>
      <c r="T5" s="133">
        <f>IF(SER_hh_emi!T5=0,0,1000000*SER_hh_emi!T5/SER_hh_num!T5)</f>
        <v>63087.76576457113</v>
      </c>
      <c r="U5" s="133">
        <f>IF(SER_hh_emi!U5=0,0,1000000*SER_hh_emi!U5/SER_hh_num!U5)</f>
        <v>62822.178354055053</v>
      </c>
      <c r="V5" s="133">
        <f>IF(SER_hh_emi!V5=0,0,1000000*SER_hh_emi!V5/SER_hh_num!V5)</f>
        <v>66823.257540157705</v>
      </c>
      <c r="W5" s="133">
        <f>IF(SER_hh_emi!W5=0,0,1000000*SER_hh_emi!W5/SER_hh_num!W5)</f>
        <v>67256.915487947786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52717.618363408466</v>
      </c>
      <c r="C7" s="133">
        <f>IF(SER_hh_emi!C7=0,0,1000000*SER_hh_emi!C7/SER_hh_num!C7)</f>
        <v>68690.228541750592</v>
      </c>
      <c r="D7" s="133">
        <f>IF(SER_hh_emi!D7=0,0,1000000*SER_hh_emi!D7/SER_hh_num!D7)</f>
        <v>53710.389273841385</v>
      </c>
      <c r="E7" s="133">
        <f>IF(SER_hh_emi!E7=0,0,1000000*SER_hh_emi!E7/SER_hh_num!E7)</f>
        <v>57026.630121713577</v>
      </c>
      <c r="F7" s="133">
        <f>IF(SER_hh_emi!F7=0,0,1000000*SER_hh_emi!F7/SER_hh_num!F7)</f>
        <v>67101.564624669714</v>
      </c>
      <c r="G7" s="133">
        <f>IF(SER_hh_emi!G7=0,0,1000000*SER_hh_emi!G7/SER_hh_num!G7)</f>
        <v>77341.459963747649</v>
      </c>
      <c r="H7" s="133">
        <f>IF(SER_hh_emi!H7=0,0,1000000*SER_hh_emi!H7/SER_hh_num!H7)</f>
        <v>62838.291913952453</v>
      </c>
      <c r="I7" s="133">
        <f>IF(SER_hh_emi!I7=0,0,1000000*SER_hh_emi!I7/SER_hh_num!I7)</f>
        <v>68491.87027744604</v>
      </c>
      <c r="J7" s="133">
        <f>IF(SER_hh_emi!J7=0,0,1000000*SER_hh_emi!J7/SER_hh_num!J7)</f>
        <v>71534.462626787819</v>
      </c>
      <c r="K7" s="133">
        <f>IF(SER_hh_emi!K7=0,0,1000000*SER_hh_emi!K7/SER_hh_num!K7)</f>
        <v>64391.614371923359</v>
      </c>
      <c r="L7" s="133">
        <f>IF(SER_hh_emi!L7=0,0,1000000*SER_hh_emi!L7/SER_hh_num!L7)</f>
        <v>50364.179351901417</v>
      </c>
      <c r="M7" s="133">
        <f>IF(SER_hh_emi!M7=0,0,1000000*SER_hh_emi!M7/SER_hh_num!M7)</f>
        <v>61929.69536517479</v>
      </c>
      <c r="N7" s="133">
        <f>IF(SER_hh_emi!N7=0,0,1000000*SER_hh_emi!N7/SER_hh_num!N7)</f>
        <v>60539.525422583902</v>
      </c>
      <c r="O7" s="133">
        <f>IF(SER_hh_emi!O7=0,0,1000000*SER_hh_emi!O7/SER_hh_num!O7)</f>
        <v>56509.626953025305</v>
      </c>
      <c r="P7" s="133">
        <f>IF(SER_hh_emi!P7=0,0,1000000*SER_hh_emi!P7/SER_hh_num!P7)</f>
        <v>50808.148876531668</v>
      </c>
      <c r="Q7" s="133">
        <f>IF(SER_hh_emi!Q7=0,0,1000000*SER_hh_emi!Q7/SER_hh_num!Q7)</f>
        <v>62602.232463074266</v>
      </c>
      <c r="R7" s="133">
        <f>IF(SER_hh_emi!R7=0,0,1000000*SER_hh_emi!R7/SER_hh_num!R7)</f>
        <v>53816.70499678026</v>
      </c>
      <c r="S7" s="133">
        <f>IF(SER_hh_emi!S7=0,0,1000000*SER_hh_emi!S7/SER_hh_num!S7)</f>
        <v>61533.268461121326</v>
      </c>
      <c r="T7" s="133">
        <f>IF(SER_hh_emi!T7=0,0,1000000*SER_hh_emi!T7/SER_hh_num!T7)</f>
        <v>66121.625361830767</v>
      </c>
      <c r="U7" s="133">
        <f>IF(SER_hh_emi!U7=0,0,1000000*SER_hh_emi!U7/SER_hh_num!U7)</f>
        <v>51402.093672487565</v>
      </c>
      <c r="V7" s="133">
        <f>IF(SER_hh_emi!V7=0,0,1000000*SER_hh_emi!V7/SER_hh_num!V7)</f>
        <v>57336.225143954936</v>
      </c>
      <c r="W7" s="133">
        <f>IF(SER_hh_emi!W7=0,0,1000000*SER_hh_emi!W7/SER_hh_num!W7)</f>
        <v>61660.822789118145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29178.660429787866</v>
      </c>
      <c r="C9" s="133">
        <f>IF(SER_hh_emi!C9=0,0,1000000*SER_hh_emi!C9/SER_hh_num!C9)</f>
        <v>38575.313486474515</v>
      </c>
      <c r="D9" s="133">
        <f>IF(SER_hh_emi!D9=0,0,1000000*SER_hh_emi!D9/SER_hh_num!D9)</f>
        <v>26276.947691544949</v>
      </c>
      <c r="E9" s="133">
        <f>IF(SER_hh_emi!E9=0,0,1000000*SER_hh_emi!E9/SER_hh_num!E9)</f>
        <v>51402.956732706625</v>
      </c>
      <c r="F9" s="133">
        <f>IF(SER_hh_emi!F9=0,0,1000000*SER_hh_emi!F9/SER_hh_num!F9)</f>
        <v>45180.304394978324</v>
      </c>
      <c r="G9" s="133">
        <f>IF(SER_hh_emi!G9=0,0,1000000*SER_hh_emi!G9/SER_hh_num!G9)</f>
        <v>36331.810187763804</v>
      </c>
      <c r="H9" s="133">
        <f>IF(SER_hh_emi!H9=0,0,1000000*SER_hh_emi!H9/SER_hh_num!H9)</f>
        <v>42549.268810462279</v>
      </c>
      <c r="I9" s="133">
        <f>IF(SER_hh_emi!I9=0,0,1000000*SER_hh_emi!I9/SER_hh_num!I9)</f>
        <v>42677.633726932203</v>
      </c>
      <c r="J9" s="133">
        <f>IF(SER_hh_emi!J9=0,0,1000000*SER_hh_emi!J9/SER_hh_num!J9)</f>
        <v>38719.78691762565</v>
      </c>
      <c r="K9" s="133">
        <f>IF(SER_hh_emi!K9=0,0,1000000*SER_hh_emi!K9/SER_hh_num!K9)</f>
        <v>35092.877291250072</v>
      </c>
      <c r="L9" s="133">
        <f>IF(SER_hh_emi!L9=0,0,1000000*SER_hh_emi!L9/SER_hh_num!L9)</f>
        <v>39566.557296390434</v>
      </c>
      <c r="M9" s="133">
        <f>IF(SER_hh_emi!M9=0,0,1000000*SER_hh_emi!M9/SER_hh_num!M9)</f>
        <v>35568.832106162918</v>
      </c>
      <c r="N9" s="133">
        <f>IF(SER_hh_emi!N9=0,0,1000000*SER_hh_emi!N9/SER_hh_num!N9)</f>
        <v>33168.642444517573</v>
      </c>
      <c r="O9" s="133">
        <f>IF(SER_hh_emi!O9=0,0,1000000*SER_hh_emi!O9/SER_hh_num!O9)</f>
        <v>32783.19191495733</v>
      </c>
      <c r="P9" s="133">
        <f>IF(SER_hh_emi!P9=0,0,1000000*SER_hh_emi!P9/SER_hh_num!P9)</f>
        <v>42317.691612200666</v>
      </c>
      <c r="Q9" s="133">
        <f>IF(SER_hh_emi!Q9=0,0,1000000*SER_hh_emi!Q9/SER_hh_num!Q9)</f>
        <v>39045.783946363917</v>
      </c>
      <c r="R9" s="133">
        <f>IF(SER_hh_emi!R9=0,0,1000000*SER_hh_emi!R9/SER_hh_num!R9)</f>
        <v>41209.695860855354</v>
      </c>
      <c r="S9" s="133">
        <f>IF(SER_hh_emi!S9=0,0,1000000*SER_hh_emi!S9/SER_hh_num!S9)</f>
        <v>35212.768035584806</v>
      </c>
      <c r="T9" s="133">
        <f>IF(SER_hh_emi!T9=0,0,1000000*SER_hh_emi!T9/SER_hh_num!T9)</f>
        <v>37250.294449023677</v>
      </c>
      <c r="U9" s="133">
        <f>IF(SER_hh_emi!U9=0,0,1000000*SER_hh_emi!U9/SER_hh_num!U9)</f>
        <v>34116.874311352614</v>
      </c>
      <c r="V9" s="133">
        <f>IF(SER_hh_emi!V9=0,0,1000000*SER_hh_emi!V9/SER_hh_num!V9)</f>
        <v>34896.541756043007</v>
      </c>
      <c r="W9" s="133">
        <f>IF(SER_hh_emi!W9=0,0,1000000*SER_hh_emi!W9/SER_hh_num!W9)</f>
        <v>37856.286865360293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1935.2804128958878</v>
      </c>
      <c r="C19" s="131">
        <f>IF(SER_hh_emi!C19=0,0,1000000*SER_hh_emi!C19/SER_hh_num!C19)</f>
        <v>2039.8304020057865</v>
      </c>
      <c r="D19" s="131">
        <f>IF(SER_hh_emi!D19=0,0,1000000*SER_hh_emi!D19/SER_hh_num!D19)</f>
        <v>1777.9443687968369</v>
      </c>
      <c r="E19" s="131">
        <f>IF(SER_hh_emi!E19=0,0,1000000*SER_hh_emi!E19/SER_hh_num!E19)</f>
        <v>1371.4638847148901</v>
      </c>
      <c r="F19" s="131">
        <f>IF(SER_hh_emi!F19=0,0,1000000*SER_hh_emi!F19/SER_hh_num!F19)</f>
        <v>1178.3450238173925</v>
      </c>
      <c r="G19" s="131">
        <f>IF(SER_hh_emi!G19=0,0,1000000*SER_hh_emi!G19/SER_hh_num!G19)</f>
        <v>1079.8868999321794</v>
      </c>
      <c r="H19" s="131">
        <f>IF(SER_hh_emi!H19=0,0,1000000*SER_hh_emi!H19/SER_hh_num!H19)</f>
        <v>984.05092327083207</v>
      </c>
      <c r="I19" s="131">
        <f>IF(SER_hh_emi!I19=0,0,1000000*SER_hh_emi!I19/SER_hh_num!I19)</f>
        <v>926.89863849430265</v>
      </c>
      <c r="J19" s="131">
        <f>IF(SER_hh_emi!J19=0,0,1000000*SER_hh_emi!J19/SER_hh_num!J19)</f>
        <v>949.67062955727738</v>
      </c>
      <c r="K19" s="131">
        <f>IF(SER_hh_emi!K19=0,0,1000000*SER_hh_emi!K19/SER_hh_num!K19)</f>
        <v>939.92580665575406</v>
      </c>
      <c r="L19" s="131">
        <f>IF(SER_hh_emi!L19=0,0,1000000*SER_hh_emi!L19/SER_hh_num!L19)</f>
        <v>918.66250635799133</v>
      </c>
      <c r="M19" s="131">
        <f>IF(SER_hh_emi!M19=0,0,1000000*SER_hh_emi!M19/SER_hh_num!M19)</f>
        <v>951.02078621726992</v>
      </c>
      <c r="N19" s="131">
        <f>IF(SER_hh_emi!N19=0,0,1000000*SER_hh_emi!N19/SER_hh_num!N19)</f>
        <v>942.37952361661212</v>
      </c>
      <c r="O19" s="131">
        <f>IF(SER_hh_emi!O19=0,0,1000000*SER_hh_emi!O19/SER_hh_num!O19)</f>
        <v>1062.8890979411656</v>
      </c>
      <c r="P19" s="131">
        <f>IF(SER_hh_emi!P19=0,0,1000000*SER_hh_emi!P19/SER_hh_num!P19)</f>
        <v>1255.6252724114124</v>
      </c>
      <c r="Q19" s="131">
        <f>IF(SER_hh_emi!Q19=0,0,1000000*SER_hh_emi!Q19/SER_hh_num!Q19)</f>
        <v>1242.221113817596</v>
      </c>
      <c r="R19" s="131">
        <f>IF(SER_hh_emi!R19=0,0,1000000*SER_hh_emi!R19/SER_hh_num!R19)</f>
        <v>1180.4570294793316</v>
      </c>
      <c r="S19" s="131">
        <f>IF(SER_hh_emi!S19=0,0,1000000*SER_hh_emi!S19/SER_hh_num!S19)</f>
        <v>1222.5873398545502</v>
      </c>
      <c r="T19" s="131">
        <f>IF(SER_hh_emi!T19=0,0,1000000*SER_hh_emi!T19/SER_hh_num!T19)</f>
        <v>1292.4975009158688</v>
      </c>
      <c r="U19" s="131">
        <f>IF(SER_hh_emi!U19=0,0,1000000*SER_hh_emi!U19/SER_hh_num!U19)</f>
        <v>1225.9675556225034</v>
      </c>
      <c r="V19" s="131">
        <f>IF(SER_hh_emi!V19=0,0,1000000*SER_hh_emi!V19/SER_hh_num!V19)</f>
        <v>1222.9889763514093</v>
      </c>
      <c r="W19" s="131">
        <f>IF(SER_hh_emi!W19=0,0,1000000*SER_hh_emi!W19/SER_hh_num!W19)</f>
        <v>1150.9947703655337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9580.9477299890277</v>
      </c>
      <c r="C22" s="133">
        <f>IF(SER_hh_emi!C22=0,0,1000000*SER_hh_emi!C22/SER_hh_num!C22)</f>
        <v>9642.9720499157138</v>
      </c>
      <c r="D22" s="133">
        <f>IF(SER_hh_emi!D22=0,0,1000000*SER_hh_emi!D22/SER_hh_num!D22)</f>
        <v>9543.4759670537187</v>
      </c>
      <c r="E22" s="133">
        <f>IF(SER_hh_emi!E22=0,0,1000000*SER_hh_emi!E22/SER_hh_num!E22)</f>
        <v>8301.3981864834641</v>
      </c>
      <c r="F22" s="133">
        <f>IF(SER_hh_emi!F22=0,0,1000000*SER_hh_emi!F22/SER_hh_num!F22)</f>
        <v>8056.1776639279969</v>
      </c>
      <c r="G22" s="133">
        <f>IF(SER_hh_emi!G22=0,0,1000000*SER_hh_emi!G22/SER_hh_num!G22)</f>
        <v>8290.9552537754007</v>
      </c>
      <c r="H22" s="133">
        <f>IF(SER_hh_emi!H22=0,0,1000000*SER_hh_emi!H22/SER_hh_num!H22)</f>
        <v>8066.3755202002585</v>
      </c>
      <c r="I22" s="133">
        <f>IF(SER_hh_emi!I22=0,0,1000000*SER_hh_emi!I22/SER_hh_num!I22)</f>
        <v>7842.098301241951</v>
      </c>
      <c r="J22" s="133">
        <f>IF(SER_hh_emi!J22=0,0,1000000*SER_hh_emi!J22/SER_hh_num!J22)</f>
        <v>7959.8480972886255</v>
      </c>
      <c r="K22" s="133">
        <f>IF(SER_hh_emi!K22=0,0,1000000*SER_hh_emi!K22/SER_hh_num!K22)</f>
        <v>7764.7965256373509</v>
      </c>
      <c r="L22" s="133">
        <f>IF(SER_hh_emi!L22=0,0,1000000*SER_hh_emi!L22/SER_hh_num!L22)</f>
        <v>7674.1530194281258</v>
      </c>
      <c r="M22" s="133">
        <f>IF(SER_hh_emi!M22=0,0,1000000*SER_hh_emi!M22/SER_hh_num!M22)</f>
        <v>7628.9408250184133</v>
      </c>
      <c r="N22" s="133">
        <f>IF(SER_hh_emi!N22=0,0,1000000*SER_hh_emi!N22/SER_hh_num!N22)</f>
        <v>7481.409733468593</v>
      </c>
      <c r="O22" s="133">
        <f>IF(SER_hh_emi!O22=0,0,1000000*SER_hh_emi!O22/SER_hh_num!O22)</f>
        <v>7358.2430410323923</v>
      </c>
      <c r="P22" s="133">
        <f>IF(SER_hh_emi!P22=0,0,1000000*SER_hh_emi!P22/SER_hh_num!P22)</f>
        <v>7447.7139804054614</v>
      </c>
      <c r="Q22" s="133">
        <f>IF(SER_hh_emi!Q22=0,0,1000000*SER_hh_emi!Q22/SER_hh_num!Q22)</f>
        <v>7569.3940314280771</v>
      </c>
      <c r="R22" s="133">
        <f>IF(SER_hh_emi!R22=0,0,1000000*SER_hh_emi!R22/SER_hh_num!R22)</f>
        <v>7172.3743965711019</v>
      </c>
      <c r="S22" s="133">
        <f>IF(SER_hh_emi!S22=0,0,1000000*SER_hh_emi!S22/SER_hh_num!S22)</f>
        <v>7365.1575930816807</v>
      </c>
      <c r="T22" s="133">
        <f>IF(SER_hh_emi!T22=0,0,1000000*SER_hh_emi!T22/SER_hh_num!T22)</f>
        <v>7996.7436715356271</v>
      </c>
      <c r="U22" s="133">
        <f>IF(SER_hh_emi!U22=0,0,1000000*SER_hh_emi!U22/SER_hh_num!U22)</f>
        <v>6529.686566008827</v>
      </c>
      <c r="V22" s="133">
        <f>IF(SER_hh_emi!V22=0,0,1000000*SER_hh_emi!V22/SER_hh_num!V22)</f>
        <v>7235.3236130275636</v>
      </c>
      <c r="W22" s="133">
        <f>IF(SER_hh_emi!W22=0,0,1000000*SER_hh_emi!W22/SER_hh_num!W22)</f>
        <v>7144.720310252339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4796.6514033089079</v>
      </c>
      <c r="C23" s="133">
        <f>IF(SER_hh_emi!C23=0,0,1000000*SER_hh_emi!C23/SER_hh_num!C23)</f>
        <v>7467.1957455115753</v>
      </c>
      <c r="D23" s="133">
        <f>IF(SER_hh_emi!D23=0,0,1000000*SER_hh_emi!D23/SER_hh_num!D23)</f>
        <v>6626.1730055518228</v>
      </c>
      <c r="E23" s="133">
        <f>IF(SER_hh_emi!E23=0,0,1000000*SER_hh_emi!E23/SER_hh_num!E23)</f>
        <v>6144.2295299916677</v>
      </c>
      <c r="F23" s="133">
        <f>IF(SER_hh_emi!F23=0,0,1000000*SER_hh_emi!F23/SER_hh_num!F23)</f>
        <v>5822.5087322512418</v>
      </c>
      <c r="G23" s="133">
        <f>IF(SER_hh_emi!G23=0,0,1000000*SER_hh_emi!G23/SER_hh_num!G23)</f>
        <v>5621.1620742188616</v>
      </c>
      <c r="H23" s="133">
        <f>IF(SER_hh_emi!H23=0,0,1000000*SER_hh_emi!H23/SER_hh_num!H23)</f>
        <v>5493.8200477971814</v>
      </c>
      <c r="I23" s="133">
        <f>IF(SER_hh_emi!I23=0,0,1000000*SER_hh_emi!I23/SER_hh_num!I23)</f>
        <v>5250.6971296092452</v>
      </c>
      <c r="J23" s="133">
        <f>IF(SER_hh_emi!J23=0,0,1000000*SER_hh_emi!J23/SER_hh_num!J23)</f>
        <v>5144.7186825687331</v>
      </c>
      <c r="K23" s="133">
        <f>IF(SER_hh_emi!K23=0,0,1000000*SER_hh_emi!K23/SER_hh_num!K23)</f>
        <v>4987.1708393137133</v>
      </c>
      <c r="L23" s="133">
        <f>IF(SER_hh_emi!L23=0,0,1000000*SER_hh_emi!L23/SER_hh_num!L23)</f>
        <v>4663.6001266882258</v>
      </c>
      <c r="M23" s="133">
        <f>IF(SER_hh_emi!M23=0,0,1000000*SER_hh_emi!M23/SER_hh_num!M23)</f>
        <v>4883.5816461898085</v>
      </c>
      <c r="N23" s="133">
        <f>IF(SER_hh_emi!N23=0,0,1000000*SER_hh_emi!N23/SER_hh_num!N23)</f>
        <v>4274.5371063442826</v>
      </c>
      <c r="O23" s="133">
        <f>IF(SER_hh_emi!O23=0,0,1000000*SER_hh_emi!O23/SER_hh_num!O23)</f>
        <v>4480.3851119380743</v>
      </c>
      <c r="P23" s="133">
        <f>IF(SER_hh_emi!P23=0,0,1000000*SER_hh_emi!P23/SER_hh_num!P23)</f>
        <v>5014.3105099499735</v>
      </c>
      <c r="Q23" s="133">
        <f>IF(SER_hh_emi!Q23=0,0,1000000*SER_hh_emi!Q23/SER_hh_num!Q23)</f>
        <v>4555.5391470876557</v>
      </c>
      <c r="R23" s="133">
        <f>IF(SER_hh_emi!R23=0,0,1000000*SER_hh_emi!R23/SER_hh_num!R23)</f>
        <v>4119.6298510212455</v>
      </c>
      <c r="S23" s="133">
        <f>IF(SER_hh_emi!S23=0,0,1000000*SER_hh_emi!S23/SER_hh_num!S23)</f>
        <v>4174.8469705677908</v>
      </c>
      <c r="T23" s="133">
        <f>IF(SER_hh_emi!T23=0,0,1000000*SER_hh_emi!T23/SER_hh_num!T23)</f>
        <v>4228.1251214095018</v>
      </c>
      <c r="U23" s="133">
        <f>IF(SER_hh_emi!U23=0,0,1000000*SER_hh_emi!U23/SER_hh_num!U23)</f>
        <v>4263.8706135217717</v>
      </c>
      <c r="V23" s="133">
        <f>IF(SER_hh_emi!V23=0,0,1000000*SER_hh_emi!V23/SER_hh_num!V23)</f>
        <v>4109.4668583594694</v>
      </c>
      <c r="W23" s="133">
        <f>IF(SER_hh_emi!W23=0,0,1000000*SER_hh_emi!W23/SER_hh_num!W23)</f>
        <v>3783.7053576395119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191.68443148506498</v>
      </c>
      <c r="C29" s="131">
        <f>IF(SER_hh_emi!C29=0,0,1000000*SER_hh_emi!C29/SER_hh_num!C29)</f>
        <v>606.14257230538931</v>
      </c>
      <c r="D29" s="131">
        <f>IF(SER_hh_emi!D29=0,0,1000000*SER_hh_emi!D29/SER_hh_num!D29)</f>
        <v>833.29739435730073</v>
      </c>
      <c r="E29" s="131">
        <f>IF(SER_hh_emi!E29=0,0,1000000*SER_hh_emi!E29/SER_hh_num!E29)</f>
        <v>811.22490669489332</v>
      </c>
      <c r="F29" s="131">
        <f>IF(SER_hh_emi!F29=0,0,1000000*SER_hh_emi!F29/SER_hh_num!F29)</f>
        <v>973.2709554292735</v>
      </c>
      <c r="G29" s="131">
        <f>IF(SER_hh_emi!G29=0,0,1000000*SER_hh_emi!G29/SER_hh_num!G29)</f>
        <v>907.30918449328317</v>
      </c>
      <c r="H29" s="131">
        <f>IF(SER_hh_emi!H29=0,0,1000000*SER_hh_emi!H29/SER_hh_num!H29)</f>
        <v>837.92102161922969</v>
      </c>
      <c r="I29" s="131">
        <f>IF(SER_hh_emi!I29=0,0,1000000*SER_hh_emi!I29/SER_hh_num!I29)</f>
        <v>792.39338943668599</v>
      </c>
      <c r="J29" s="131">
        <f>IF(SER_hh_emi!J29=0,0,1000000*SER_hh_emi!J29/SER_hh_num!J29)</f>
        <v>789.27146386317133</v>
      </c>
      <c r="K29" s="131">
        <f>IF(SER_hh_emi!K29=0,0,1000000*SER_hh_emi!K29/SER_hh_num!K29)</f>
        <v>738.019993725738</v>
      </c>
      <c r="L29" s="131">
        <f>IF(SER_hh_emi!L29=0,0,1000000*SER_hh_emi!L29/SER_hh_num!L29)</f>
        <v>763.71170317264898</v>
      </c>
      <c r="M29" s="131">
        <f>IF(SER_hh_emi!M29=0,0,1000000*SER_hh_emi!M29/SER_hh_num!M29)</f>
        <v>755.35167986680926</v>
      </c>
      <c r="N29" s="131">
        <f>IF(SER_hh_emi!N29=0,0,1000000*SER_hh_emi!N29/SER_hh_num!N29)</f>
        <v>788.17752032102135</v>
      </c>
      <c r="O29" s="131">
        <f>IF(SER_hh_emi!O29=0,0,1000000*SER_hh_emi!O29/SER_hh_num!O29)</f>
        <v>771.216939329723</v>
      </c>
      <c r="P29" s="131">
        <f>IF(SER_hh_emi!P29=0,0,1000000*SER_hh_emi!P29/SER_hh_num!P29)</f>
        <v>780.19468816025949</v>
      </c>
      <c r="Q29" s="131">
        <f>IF(SER_hh_emi!Q29=0,0,1000000*SER_hh_emi!Q29/SER_hh_num!Q29)</f>
        <v>775.53208067637843</v>
      </c>
      <c r="R29" s="131">
        <f>IF(SER_hh_emi!R29=0,0,1000000*SER_hh_emi!R29/SER_hh_num!R29)</f>
        <v>1128.0289465211729</v>
      </c>
      <c r="S29" s="131">
        <f>IF(SER_hh_emi!S29=0,0,1000000*SER_hh_emi!S29/SER_hh_num!S29)</f>
        <v>1268.5612581241594</v>
      </c>
      <c r="T29" s="131">
        <f>IF(SER_hh_emi!T29=0,0,1000000*SER_hh_emi!T29/SER_hh_num!T29)</f>
        <v>1037.8639924642303</v>
      </c>
      <c r="U29" s="131">
        <f>IF(SER_hh_emi!U29=0,0,1000000*SER_hh_emi!U29/SER_hh_num!U29)</f>
        <v>1335.9385622866635</v>
      </c>
      <c r="V29" s="131">
        <f>IF(SER_hh_emi!V29=0,0,1000000*SER_hh_emi!V29/SER_hh_num!V29)</f>
        <v>1310.9889937912667</v>
      </c>
      <c r="W29" s="131">
        <f>IF(SER_hh_emi!W29=0,0,1000000*SER_hh_emi!W29/SER_hh_num!W29)</f>
        <v>1185.013581826418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9007.6525279175476</v>
      </c>
      <c r="G30" s="133">
        <f>IF(SER_hh_emi!G30=0,0,1000000*SER_hh_emi!G30/SER_hh_num!G30)</f>
        <v>6984.9769205938974</v>
      </c>
      <c r="H30" s="133">
        <f>IF(SER_hh_emi!H30=0,0,1000000*SER_hh_emi!H30/SER_hh_num!H30)</f>
        <v>6231.4666541475808</v>
      </c>
      <c r="I30" s="133">
        <f>IF(SER_hh_emi!I30=0,0,1000000*SER_hh_emi!I30/SER_hh_num!I30)</f>
        <v>6239.7894803197642</v>
      </c>
      <c r="J30" s="133">
        <f>IF(SER_hh_emi!J30=0,0,1000000*SER_hh_emi!J30/SER_hh_num!J30)</f>
        <v>6343.1373954820956</v>
      </c>
      <c r="K30" s="133">
        <f>IF(SER_hh_emi!K30=0,0,1000000*SER_hh_emi!K30/SER_hh_num!K30)</f>
        <v>6486.0112248086743</v>
      </c>
      <c r="L30" s="133">
        <f>IF(SER_hh_emi!L30=0,0,1000000*SER_hh_emi!L30/SER_hh_num!L30)</f>
        <v>6515.8429690126723</v>
      </c>
      <c r="M30" s="133">
        <f>IF(SER_hh_emi!M30=0,0,1000000*SER_hh_emi!M30/SER_hh_num!M30)</f>
        <v>6529.9217901547863</v>
      </c>
      <c r="N30" s="133">
        <f>IF(SER_hh_emi!N30=0,0,1000000*SER_hh_emi!N30/SER_hh_num!N30)</f>
        <v>6559.4860234427979</v>
      </c>
      <c r="O30" s="133">
        <f>IF(SER_hh_emi!O30=0,0,1000000*SER_hh_emi!O30/SER_hh_num!O30)</f>
        <v>6531.8751980830857</v>
      </c>
      <c r="P30" s="133">
        <f>IF(SER_hh_emi!P30=0,0,1000000*SER_hh_emi!P30/SER_hh_num!P30)</f>
        <v>5885.5559911785003</v>
      </c>
      <c r="Q30" s="133">
        <f>IF(SER_hh_emi!Q30=0,0,1000000*SER_hh_emi!Q30/SER_hh_num!Q30)</f>
        <v>4576.6333180246893</v>
      </c>
      <c r="R30" s="133">
        <f>IF(SER_hh_emi!R30=0,0,1000000*SER_hh_emi!R30/SER_hh_num!R30)</f>
        <v>7082.3379647596648</v>
      </c>
      <c r="S30" s="133">
        <f>IF(SER_hh_emi!S30=0,0,1000000*SER_hh_emi!S30/SER_hh_num!S30)</f>
        <v>10107.557404624486</v>
      </c>
      <c r="T30" s="133">
        <f>IF(SER_hh_emi!T30=0,0,1000000*SER_hh_emi!T30/SER_hh_num!T30)</f>
        <v>3250.6591953966313</v>
      </c>
      <c r="U30" s="133">
        <f>IF(SER_hh_emi!U30=0,0,1000000*SER_hh_emi!U30/SER_hh_num!U30)</f>
        <v>6561.8484311735583</v>
      </c>
      <c r="V30" s="133">
        <f>IF(SER_hh_emi!V30=0,0,1000000*SER_hh_emi!V30/SER_hh_num!V30)</f>
        <v>6768.9200761355678</v>
      </c>
      <c r="W30" s="133">
        <f>IF(SER_hh_emi!W30=0,0,1000000*SER_hh_emi!W30/SER_hh_num!W30)</f>
        <v>4953.2648281239672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3581.6360903189607</v>
      </c>
      <c r="C31" s="133">
        <f>IF(SER_hh_emi!C31=0,0,1000000*SER_hh_emi!C31/SER_hh_num!C31)</f>
        <v>6657.8205941981942</v>
      </c>
      <c r="D31" s="133">
        <f>IF(SER_hh_emi!D31=0,0,1000000*SER_hh_emi!D31/SER_hh_num!D31)</f>
        <v>7087.5947056042232</v>
      </c>
      <c r="E31" s="133">
        <f>IF(SER_hh_emi!E31=0,0,1000000*SER_hh_emi!E31/SER_hh_num!E31)</f>
        <v>6330.8103706753027</v>
      </c>
      <c r="F31" s="133">
        <f>IF(SER_hh_emi!F31=0,0,1000000*SER_hh_emi!F31/SER_hh_num!F31)</f>
        <v>6044.5043890953502</v>
      </c>
      <c r="G31" s="133">
        <f>IF(SER_hh_emi!G31=0,0,1000000*SER_hh_emi!G31/SER_hh_num!G31)</f>
        <v>5932.9891119130089</v>
      </c>
      <c r="H31" s="133">
        <f>IF(SER_hh_emi!H31=0,0,1000000*SER_hh_emi!H31/SER_hh_num!H31)</f>
        <v>5821.5658416590832</v>
      </c>
      <c r="I31" s="133">
        <f>IF(SER_hh_emi!I31=0,0,1000000*SER_hh_emi!I31/SER_hh_num!I31)</f>
        <v>5813.7814844147979</v>
      </c>
      <c r="J31" s="133">
        <f>IF(SER_hh_emi!J31=0,0,1000000*SER_hh_emi!J31/SER_hh_num!J31)</f>
        <v>5907.4835870220877</v>
      </c>
      <c r="K31" s="133">
        <f>IF(SER_hh_emi!K31=0,0,1000000*SER_hh_emi!K31/SER_hh_num!K31)</f>
        <v>5622.7016526196967</v>
      </c>
      <c r="L31" s="133">
        <f>IF(SER_hh_emi!L31=0,0,1000000*SER_hh_emi!L31/SER_hh_num!L31)</f>
        <v>5931.4422829057939</v>
      </c>
      <c r="M31" s="133">
        <f>IF(SER_hh_emi!M31=0,0,1000000*SER_hh_emi!M31/SER_hh_num!M31)</f>
        <v>5917.9218810257789</v>
      </c>
      <c r="N31" s="133">
        <f>IF(SER_hh_emi!N31=0,0,1000000*SER_hh_emi!N31/SER_hh_num!N31)</f>
        <v>6115.3110438545891</v>
      </c>
      <c r="O31" s="133">
        <f>IF(SER_hh_emi!O31=0,0,1000000*SER_hh_emi!O31/SER_hh_num!O31)</f>
        <v>5842.4260005477909</v>
      </c>
      <c r="P31" s="133">
        <f>IF(SER_hh_emi!P31=0,0,1000000*SER_hh_emi!P31/SER_hh_num!P31)</f>
        <v>5652.311307189244</v>
      </c>
      <c r="Q31" s="133">
        <f>IF(SER_hh_emi!Q31=0,0,1000000*SER_hh_emi!Q31/SER_hh_num!Q31)</f>
        <v>5268.2563473977098</v>
      </c>
      <c r="R31" s="133">
        <f>IF(SER_hh_emi!R31=0,0,1000000*SER_hh_emi!R31/SER_hh_num!R31)</f>
        <v>6025.8825251229218</v>
      </c>
      <c r="S31" s="133">
        <f>IF(SER_hh_emi!S31=0,0,1000000*SER_hh_emi!S31/SER_hh_num!S31)</f>
        <v>5460.6760572161493</v>
      </c>
      <c r="T31" s="133">
        <f>IF(SER_hh_emi!T31=0,0,1000000*SER_hh_emi!T31/SER_hh_num!T31)</f>
        <v>5456.8720386321984</v>
      </c>
      <c r="U31" s="133">
        <f>IF(SER_hh_emi!U31=0,0,1000000*SER_hh_emi!U31/SER_hh_num!U31)</f>
        <v>5854.2609073512267</v>
      </c>
      <c r="V31" s="133">
        <f>IF(SER_hh_emi!V31=0,0,1000000*SER_hh_emi!V31/SER_hh_num!V31)</f>
        <v>5318.9354474372576</v>
      </c>
      <c r="W31" s="133">
        <f>IF(SER_hh_emi!W31=0,0,1000000*SER_hh_emi!W31/SER_hh_num!W31)</f>
        <v>4992.9789168631787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237.90676847628623</v>
      </c>
      <c r="C3" s="126">
        <f>IF(SER_hh_fech!C3=0,0,SER_hh_fech!C3/SER_summary!C$26)</f>
        <v>233.30343813094942</v>
      </c>
      <c r="D3" s="126">
        <f>IF(SER_hh_fech!D3=0,0,SER_hh_fech!D3/SER_summary!D$26)</f>
        <v>223.465189065229</v>
      </c>
      <c r="E3" s="126">
        <f>IF(SER_hh_fech!E3=0,0,SER_hh_fech!E3/SER_summary!E$26)</f>
        <v>246.05097067078569</v>
      </c>
      <c r="F3" s="126">
        <f>IF(SER_hh_fech!F3=0,0,SER_hh_fech!F3/SER_summary!F$26)</f>
        <v>270.42656931794431</v>
      </c>
      <c r="G3" s="126">
        <f>IF(SER_hh_fech!G3=0,0,SER_hh_fech!G3/SER_summary!G$26)</f>
        <v>260.87025678612076</v>
      </c>
      <c r="H3" s="126">
        <f>IF(SER_hh_fech!H3=0,0,SER_hh_fech!H3/SER_summary!H$26)</f>
        <v>244.9939034509211</v>
      </c>
      <c r="I3" s="126">
        <f>IF(SER_hh_fech!I3=0,0,SER_hh_fech!I3/SER_summary!I$26)</f>
        <v>242.40033420359956</v>
      </c>
      <c r="J3" s="126">
        <f>IF(SER_hh_fech!J3=0,0,SER_hh_fech!J3/SER_summary!J$26)</f>
        <v>262.95410131500375</v>
      </c>
      <c r="K3" s="126">
        <f>IF(SER_hh_fech!K3=0,0,SER_hh_fech!K3/SER_summary!K$26)</f>
        <v>251.43227161144705</v>
      </c>
      <c r="L3" s="126">
        <f>IF(SER_hh_fech!L3=0,0,SER_hh_fech!L3/SER_summary!L$26)</f>
        <v>252.27470727948074</v>
      </c>
      <c r="M3" s="126">
        <f>IF(SER_hh_fech!M3=0,0,SER_hh_fech!M3/SER_summary!M$26)</f>
        <v>227.90925497446048</v>
      </c>
      <c r="N3" s="126">
        <f>IF(SER_hh_fech!N3=0,0,SER_hh_fech!N3/SER_summary!N$26)</f>
        <v>238.08103291481217</v>
      </c>
      <c r="O3" s="126">
        <f>IF(SER_hh_fech!O3=0,0,SER_hh_fech!O3/SER_summary!O$26)</f>
        <v>229.85901086016105</v>
      </c>
      <c r="P3" s="126">
        <f>IF(SER_hh_fech!P3=0,0,SER_hh_fech!P3/SER_summary!P$26)</f>
        <v>251.38771811962164</v>
      </c>
      <c r="Q3" s="126">
        <f>IF(SER_hh_fech!Q3=0,0,SER_hh_fech!Q3/SER_summary!Q$26)</f>
        <v>248.81253811007679</v>
      </c>
      <c r="R3" s="126">
        <f>IF(SER_hh_fech!R3=0,0,SER_hh_fech!R3/SER_summary!R$26)</f>
        <v>267.65171137372789</v>
      </c>
      <c r="S3" s="126">
        <f>IF(SER_hh_fech!S3=0,0,SER_hh_fech!S3/SER_summary!S$26)</f>
        <v>241.03083358343835</v>
      </c>
      <c r="T3" s="126">
        <f>IF(SER_hh_fech!T3=0,0,SER_hh_fech!T3/SER_summary!T$26)</f>
        <v>251.95939587136172</v>
      </c>
      <c r="U3" s="126">
        <f>IF(SER_hh_fech!U3=0,0,SER_hh_fech!U3/SER_summary!U$26)</f>
        <v>229.2943380219254</v>
      </c>
      <c r="V3" s="126">
        <f>IF(SER_hh_fech!V3=0,0,SER_hh_fech!V3/SER_summary!V$26)</f>
        <v>230.63515434638649</v>
      </c>
      <c r="W3" s="126">
        <f>IF(SER_hh_fech!W3=0,0,SER_hh_fech!W3/SER_summary!W$26)</f>
        <v>244.14398599839777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179.65790295291129</v>
      </c>
      <c r="C4" s="131">
        <f>IF(SER_hh_fech!C4=0,0,SER_hh_fech!C4/SER_summary!C$26)</f>
        <v>175.37461701853857</v>
      </c>
      <c r="D4" s="131">
        <f>IF(SER_hh_fech!D4=0,0,SER_hh_fech!D4/SER_summary!D$26)</f>
        <v>167.22099377874636</v>
      </c>
      <c r="E4" s="131">
        <f>IF(SER_hh_fech!E4=0,0,SER_hh_fech!E4/SER_summary!E$26)</f>
        <v>190.75133597801857</v>
      </c>
      <c r="F4" s="131">
        <f>IF(SER_hh_fech!F4=0,0,SER_hh_fech!F4/SER_summary!F$26)</f>
        <v>216.74188732896681</v>
      </c>
      <c r="G4" s="131">
        <f>IF(SER_hh_fech!G4=0,0,SER_hh_fech!G4/SER_summary!G$26)</f>
        <v>207.31361250727272</v>
      </c>
      <c r="H4" s="131">
        <f>IF(SER_hh_fech!H4=0,0,SER_hh_fech!H4/SER_summary!H$26)</f>
        <v>193.39549343095342</v>
      </c>
      <c r="I4" s="131">
        <f>IF(SER_hh_fech!I4=0,0,SER_hh_fech!I4/SER_summary!I$26)</f>
        <v>192.28950101349548</v>
      </c>
      <c r="J4" s="131">
        <f>IF(SER_hh_fech!J4=0,0,SER_hh_fech!J4/SER_summary!J$26)</f>
        <v>211.82963098850354</v>
      </c>
      <c r="K4" s="131">
        <f>IF(SER_hh_fech!K4=0,0,SER_hh_fech!K4/SER_summary!K$26)</f>
        <v>199.81240346680363</v>
      </c>
      <c r="L4" s="131">
        <f>IF(SER_hh_fech!L4=0,0,SER_hh_fech!L4/SER_summary!L$26)</f>
        <v>200.67880100870417</v>
      </c>
      <c r="M4" s="131">
        <f>IF(SER_hh_fech!M4=0,0,SER_hh_fech!M4/SER_summary!M$26)</f>
        <v>176.35534486182189</v>
      </c>
      <c r="N4" s="131">
        <f>IF(SER_hh_fech!N4=0,0,SER_hh_fech!N4/SER_summary!N$26)</f>
        <v>186.82895443656744</v>
      </c>
      <c r="O4" s="131">
        <f>IF(SER_hh_fech!O4=0,0,SER_hh_fech!O4/SER_summary!O$26)</f>
        <v>178.58952922919747</v>
      </c>
      <c r="P4" s="131">
        <f>IF(SER_hh_fech!P4=0,0,SER_hh_fech!P4/SER_summary!P$26)</f>
        <v>200.42992221297428</v>
      </c>
      <c r="Q4" s="131">
        <f>IF(SER_hh_fech!Q4=0,0,SER_hh_fech!Q4/SER_summary!Q$26)</f>
        <v>198.3976599438229</v>
      </c>
      <c r="R4" s="131">
        <f>IF(SER_hh_fech!R4=0,0,SER_hh_fech!R4/SER_summary!R$26)</f>
        <v>217.34586098416176</v>
      </c>
      <c r="S4" s="131">
        <f>IF(SER_hh_fech!S4=0,0,SER_hh_fech!S4/SER_summary!S$26)</f>
        <v>191.63032477443195</v>
      </c>
      <c r="T4" s="131">
        <f>IF(SER_hh_fech!T4=0,0,SER_hh_fech!T4/SER_summary!T$26)</f>
        <v>203.31488542070386</v>
      </c>
      <c r="U4" s="131">
        <f>IF(SER_hh_fech!U4=0,0,SER_hh_fech!U4/SER_summary!U$26)</f>
        <v>180.87601268087076</v>
      </c>
      <c r="V4" s="131">
        <f>IF(SER_hh_fech!V4=0,0,SER_hh_fech!V4/SER_summary!V$26)</f>
        <v>185.9169075890529</v>
      </c>
      <c r="W4" s="131">
        <f>IF(SER_hh_fech!W4=0,0,SER_hh_fech!W4/SER_summary!W$26)</f>
        <v>197.78313187929456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189.4356760340869</v>
      </c>
      <c r="C5" s="133">
        <f>IF(SER_hh_fech!C5=0,0,SER_hh_fech!C5/SER_summary!C$26)</f>
        <v>232.09152342949017</v>
      </c>
      <c r="D5" s="133">
        <f>IF(SER_hh_fech!D5=0,0,SER_hh_fech!D5/SER_summary!D$26)</f>
        <v>201.36194525595579</v>
      </c>
      <c r="E5" s="133">
        <f>IF(SER_hh_fech!E5=0,0,SER_hh_fech!E5/SER_summary!E$26)</f>
        <v>221.24503595271972</v>
      </c>
      <c r="F5" s="133">
        <f>IF(SER_hh_fech!F5=0,0,SER_hh_fech!F5/SER_summary!F$26)</f>
        <v>236.8484692473908</v>
      </c>
      <c r="G5" s="133">
        <f>IF(SER_hh_fech!G5=0,0,SER_hh_fech!G5/SER_summary!G$26)</f>
        <v>287.34756098856622</v>
      </c>
      <c r="H5" s="133">
        <f>IF(SER_hh_fech!H5=0,0,SER_hh_fech!H5/SER_summary!H$26)</f>
        <v>209.13015188063278</v>
      </c>
      <c r="I5" s="133">
        <f>IF(SER_hh_fech!I5=0,0,SER_hh_fech!I5/SER_summary!I$26)</f>
        <v>261.56596125214099</v>
      </c>
      <c r="J5" s="133">
        <f>IF(SER_hh_fech!J5=0,0,SER_hh_fech!J5/SER_summary!J$26)</f>
        <v>235.52098149410003</v>
      </c>
      <c r="K5" s="133">
        <f>IF(SER_hh_fech!K5=0,0,SER_hh_fech!K5/SER_summary!K$26)</f>
        <v>235.29072871426027</v>
      </c>
      <c r="L5" s="133">
        <f>IF(SER_hh_fech!L5=0,0,SER_hh_fech!L5/SER_summary!L$26)</f>
        <v>243.93280266419637</v>
      </c>
      <c r="M5" s="133">
        <f>IF(SER_hh_fech!M5=0,0,SER_hh_fech!M5/SER_summary!M$26)</f>
        <v>175.27983816998454</v>
      </c>
      <c r="N5" s="133">
        <f>IF(SER_hh_fech!N5=0,0,SER_hh_fech!N5/SER_summary!N$26)</f>
        <v>192.5039247502547</v>
      </c>
      <c r="O5" s="133">
        <f>IF(SER_hh_fech!O5=0,0,SER_hh_fech!O5/SER_summary!O$26)</f>
        <v>294.83654358799856</v>
      </c>
      <c r="P5" s="133">
        <f>IF(SER_hh_fech!P5=0,0,SER_hh_fech!P5/SER_summary!P$26)</f>
        <v>194.01743951319037</v>
      </c>
      <c r="Q5" s="133">
        <f>IF(SER_hh_fech!Q5=0,0,SER_hh_fech!Q5/SER_summary!Q$26)</f>
        <v>193.59887871976218</v>
      </c>
      <c r="R5" s="133">
        <f>IF(SER_hh_fech!R5=0,0,SER_hh_fech!R5/SER_summary!R$26)</f>
        <v>295.7735546909355</v>
      </c>
      <c r="S5" s="133">
        <f>IF(SER_hh_fech!S5=0,0,SER_hh_fech!S5/SER_summary!S$26)</f>
        <v>171.37662027633428</v>
      </c>
      <c r="T5" s="133">
        <f>IF(SER_hh_fech!T5=0,0,SER_hh_fech!T5/SER_summary!T$26)</f>
        <v>206.59203186343828</v>
      </c>
      <c r="U5" s="133">
        <f>IF(SER_hh_fech!U5=0,0,SER_hh_fech!U5/SER_summary!U$26)</f>
        <v>205.40256052544569</v>
      </c>
      <c r="V5" s="133">
        <f>IF(SER_hh_fech!V5=0,0,SER_hh_fech!V5/SER_summary!V$26)</f>
        <v>218.31531701094733</v>
      </c>
      <c r="W5" s="133">
        <f>IF(SER_hh_fech!W5=0,0,SER_hh_fech!W5/SER_summary!W$26)</f>
        <v>219.88246715964149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214.68100512023921</v>
      </c>
      <c r="C7" s="133">
        <f>IF(SER_hh_fech!C7=0,0,SER_hh_fech!C7/SER_summary!C$26)</f>
        <v>279.8796541551992</v>
      </c>
      <c r="D7" s="133">
        <f>IF(SER_hh_fech!D7=0,0,SER_hh_fech!D7/SER_summary!D$26)</f>
        <v>219.83293067862218</v>
      </c>
      <c r="E7" s="133">
        <f>IF(SER_hh_fech!E7=0,0,SER_hh_fech!E7/SER_summary!E$26)</f>
        <v>235.23049821393775</v>
      </c>
      <c r="F7" s="133">
        <f>IF(SER_hh_fech!F7=0,0,SER_hh_fech!F7/SER_summary!F$26)</f>
        <v>274.8457350609894</v>
      </c>
      <c r="G7" s="133">
        <f>IF(SER_hh_fech!G7=0,0,SER_hh_fech!G7/SER_summary!G$26)</f>
        <v>321.40090269938537</v>
      </c>
      <c r="H7" s="133">
        <f>IF(SER_hh_fech!H7=0,0,SER_hh_fech!H7/SER_summary!H$26)</f>
        <v>260.83892370174317</v>
      </c>
      <c r="I7" s="133">
        <f>IF(SER_hh_fech!I7=0,0,SER_hh_fech!I7/SER_summary!I$26)</f>
        <v>285.03679786774092</v>
      </c>
      <c r="J7" s="133">
        <f>IF(SER_hh_fech!J7=0,0,SER_hh_fech!J7/SER_summary!J$26)</f>
        <v>297.8383563876734</v>
      </c>
      <c r="K7" s="133">
        <f>IF(SER_hh_fech!K7=0,0,SER_hh_fech!K7/SER_summary!K$26)</f>
        <v>268.32270873279441</v>
      </c>
      <c r="L7" s="133">
        <f>IF(SER_hh_fech!L7=0,0,SER_hh_fech!L7/SER_summary!L$26)</f>
        <v>209.36907166776737</v>
      </c>
      <c r="M7" s="133">
        <f>IF(SER_hh_fech!M7=0,0,SER_hh_fech!M7/SER_summary!M$26)</f>
        <v>257.90104878851326</v>
      </c>
      <c r="N7" s="133">
        <f>IF(SER_hh_fech!N7=0,0,SER_hh_fech!N7/SER_summary!N$26)</f>
        <v>252.2444778109049</v>
      </c>
      <c r="O7" s="133">
        <f>IF(SER_hh_fech!O7=0,0,SER_hh_fech!O7/SER_summary!O$26)</f>
        <v>235.356276391037</v>
      </c>
      <c r="P7" s="133">
        <f>IF(SER_hh_fech!P7=0,0,SER_hh_fech!P7/SER_summary!P$26)</f>
        <v>211.79086958379727</v>
      </c>
      <c r="Q7" s="133">
        <f>IF(SER_hh_fech!Q7=0,0,SER_hh_fech!Q7/SER_summary!Q$26)</f>
        <v>260.62819090931526</v>
      </c>
      <c r="R7" s="133">
        <f>IF(SER_hh_fech!R7=0,0,SER_hh_fech!R7/SER_summary!R$26)</f>
        <v>224.31946265760067</v>
      </c>
      <c r="S7" s="133">
        <f>IF(SER_hh_fech!S7=0,0,SER_hh_fech!S7/SER_summary!S$26)</f>
        <v>257.06282943401771</v>
      </c>
      <c r="T7" s="133">
        <f>IF(SER_hh_fech!T7=0,0,SER_hh_fech!T7/SER_summary!T$26)</f>
        <v>274.69394514912619</v>
      </c>
      <c r="U7" s="133">
        <f>IF(SER_hh_fech!U7=0,0,SER_hh_fech!U7/SER_summary!U$26)</f>
        <v>213.20879924907109</v>
      </c>
      <c r="V7" s="133">
        <f>IF(SER_hh_fech!V7=0,0,SER_hh_fech!V7/SER_summary!V$26)</f>
        <v>239.49503001483322</v>
      </c>
      <c r="W7" s="133">
        <f>IF(SER_hh_fech!W7=0,0,SER_hh_fech!W7/SER_summary!W$26)</f>
        <v>257.46948587688462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160.53047044402555</v>
      </c>
      <c r="C9" s="133">
        <f>IF(SER_hh_fech!C9=0,0,SER_hh_fech!C9/SER_summary!C$26)</f>
        <v>212.22746796106222</v>
      </c>
      <c r="D9" s="133">
        <f>IF(SER_hh_fech!D9=0,0,SER_hh_fech!D9/SER_summary!D$26)</f>
        <v>144.56629305882873</v>
      </c>
      <c r="E9" s="133">
        <f>IF(SER_hh_fech!E9=0,0,SER_hh_fech!E9/SER_summary!E$26)</f>
        <v>282.80053658979011</v>
      </c>
      <c r="F9" s="133">
        <f>IF(SER_hh_fech!F9=0,0,SER_hh_fech!F9/SER_summary!F$26)</f>
        <v>248.5657467649167</v>
      </c>
      <c r="G9" s="133">
        <f>IF(SER_hh_fech!G9=0,0,SER_hh_fech!G9/SER_summary!G$26)</f>
        <v>202.1560126691827</v>
      </c>
      <c r="H9" s="133">
        <f>IF(SER_hh_fech!H9=0,0,SER_hh_fech!H9/SER_summary!H$26)</f>
        <v>237.26971219178054</v>
      </c>
      <c r="I9" s="133">
        <f>IF(SER_hh_fech!I9=0,0,SER_hh_fech!I9/SER_summary!I$26)</f>
        <v>241.05713394150493</v>
      </c>
      <c r="J9" s="133">
        <f>IF(SER_hh_fech!J9=0,0,SER_hh_fech!J9/SER_summary!J$26)</f>
        <v>218.56871347964781</v>
      </c>
      <c r="K9" s="133">
        <f>IF(SER_hh_fech!K9=0,0,SER_hh_fech!K9/SER_summary!K$26)</f>
        <v>199.49747493860392</v>
      </c>
      <c r="L9" s="133">
        <f>IF(SER_hh_fech!L9=0,0,SER_hh_fech!L9/SER_summary!L$26)</f>
        <v>224.676314694084</v>
      </c>
      <c r="M9" s="133">
        <f>IF(SER_hh_fech!M9=0,0,SER_hh_fech!M9/SER_summary!M$26)</f>
        <v>202.32124685362308</v>
      </c>
      <c r="N9" s="133">
        <f>IF(SER_hh_fech!N9=0,0,SER_hh_fech!N9/SER_summary!N$26)</f>
        <v>186.23190511778972</v>
      </c>
      <c r="O9" s="133">
        <f>IF(SER_hh_fech!O9=0,0,SER_hh_fech!O9/SER_summary!O$26)</f>
        <v>189.31223636194008</v>
      </c>
      <c r="P9" s="133">
        <f>IF(SER_hh_fech!P9=0,0,SER_hh_fech!P9/SER_summary!P$26)</f>
        <v>238.80746312262536</v>
      </c>
      <c r="Q9" s="133">
        <f>IF(SER_hh_fech!Q9=0,0,SER_hh_fech!Q9/SER_summary!Q$26)</f>
        <v>220.97344068776238</v>
      </c>
      <c r="R9" s="133">
        <f>IF(SER_hh_fech!R9=0,0,SER_hh_fech!R9/SER_summary!R$26)</f>
        <v>244.53906299148247</v>
      </c>
      <c r="S9" s="133">
        <f>IF(SER_hh_fech!S9=0,0,SER_hh_fech!S9/SER_summary!S$26)</f>
        <v>202.47365343032811</v>
      </c>
      <c r="T9" s="133">
        <f>IF(SER_hh_fech!T9=0,0,SER_hh_fech!T9/SER_summary!T$26)</f>
        <v>211.87471373977675</v>
      </c>
      <c r="U9" s="133">
        <f>IF(SER_hh_fech!U9=0,0,SER_hh_fech!U9/SER_summary!U$26)</f>
        <v>194.09776355119209</v>
      </c>
      <c r="V9" s="133">
        <f>IF(SER_hh_fech!V9=0,0,SER_hh_fech!V9/SER_summary!V$26)</f>
        <v>196.99258988917296</v>
      </c>
      <c r="W9" s="133">
        <f>IF(SER_hh_fech!W9=0,0,SER_hh_fech!W9/SER_summary!W$26)</f>
        <v>212.81715180099047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210.86550530230048</v>
      </c>
      <c r="C10" s="133">
        <f>IF(SER_hh_fech!C10=0,0,SER_hh_fech!C10/SER_summary!C$26)</f>
        <v>249.84434363084478</v>
      </c>
      <c r="D10" s="133">
        <f>IF(SER_hh_fech!D10=0,0,SER_hh_fech!D10/SER_summary!D$26)</f>
        <v>218.17335408932152</v>
      </c>
      <c r="E10" s="133">
        <f>IF(SER_hh_fech!E10=0,0,SER_hh_fech!E10/SER_summary!E$26)</f>
        <v>209.30720543389691</v>
      </c>
      <c r="F10" s="133">
        <f>IF(SER_hh_fech!F10=0,0,SER_hh_fech!F10/SER_summary!F$26)</f>
        <v>363.9271370956485</v>
      </c>
      <c r="G10" s="133">
        <f>IF(SER_hh_fech!G10=0,0,SER_hh_fech!G10/SER_summary!G$26)</f>
        <v>227.92257915280766</v>
      </c>
      <c r="H10" s="133">
        <f>IF(SER_hh_fech!H10=0,0,SER_hh_fech!H10/SER_summary!H$26)</f>
        <v>258.08087964064714</v>
      </c>
      <c r="I10" s="133">
        <f>IF(SER_hh_fech!I10=0,0,SER_hh_fech!I10/SER_summary!I$26)</f>
        <v>275.16050398274308</v>
      </c>
      <c r="J10" s="133">
        <f>IF(SER_hh_fech!J10=0,0,SER_hh_fech!J10/SER_summary!J$26)</f>
        <v>294.42406298034513</v>
      </c>
      <c r="K10" s="133">
        <f>IF(SER_hh_fech!K10=0,0,SER_hh_fech!K10/SER_summary!K$26)</f>
        <v>218.94629400192542</v>
      </c>
      <c r="L10" s="133">
        <f>IF(SER_hh_fech!L10=0,0,SER_hh_fech!L10/SER_summary!L$26)</f>
        <v>268.9794481970186</v>
      </c>
      <c r="M10" s="133">
        <f>IF(SER_hh_fech!M10=0,0,SER_hh_fech!M10/SER_summary!M$26)</f>
        <v>292.33967252904205</v>
      </c>
      <c r="N10" s="133">
        <f>IF(SER_hh_fech!N10=0,0,SER_hh_fech!N10/SER_summary!N$26)</f>
        <v>213.66164197248014</v>
      </c>
      <c r="O10" s="133">
        <f>IF(SER_hh_fech!O10=0,0,SER_hh_fech!O10/SER_summary!O$26)</f>
        <v>229.00700360920609</v>
      </c>
      <c r="P10" s="133">
        <f>IF(SER_hh_fech!P10=0,0,SER_hh_fech!P10/SER_summary!P$26)</f>
        <v>243.86659339557619</v>
      </c>
      <c r="Q10" s="133">
        <f>IF(SER_hh_fech!Q10=0,0,SER_hh_fech!Q10/SER_summary!Q$26)</f>
        <v>273.36980613215684</v>
      </c>
      <c r="R10" s="133">
        <f>IF(SER_hh_fech!R10=0,0,SER_hh_fech!R10/SER_summary!R$26)</f>
        <v>266.8228404440539</v>
      </c>
      <c r="S10" s="133">
        <f>IF(SER_hh_fech!S10=0,0,SER_hh_fech!S10/SER_summary!S$26)</f>
        <v>283.45936274065588</v>
      </c>
      <c r="T10" s="133">
        <f>IF(SER_hh_fech!T10=0,0,SER_hh_fech!T10/SER_summary!T$26)</f>
        <v>245.85312811555713</v>
      </c>
      <c r="U10" s="133">
        <f>IF(SER_hh_fech!U10=0,0,SER_hh_fech!U10/SER_summary!U$26)</f>
        <v>262.90009727273093</v>
      </c>
      <c r="V10" s="133">
        <f>IF(SER_hh_fech!V10=0,0,SER_hh_fech!V10/SER_summary!V$26)</f>
        <v>312.45116012024943</v>
      </c>
      <c r="W10" s="133">
        <f>IF(SER_hh_fech!W10=0,0,SER_hh_fech!W10/SER_summary!W$26)</f>
        <v>268.43077223495436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169.676319496471</v>
      </c>
      <c r="C12" s="133">
        <f>IF(SER_hh_fech!C12=0,0,SER_hh_fech!C12/SER_summary!C$26)</f>
        <v>117.56065826080543</v>
      </c>
      <c r="D12" s="133">
        <f>IF(SER_hh_fech!D12=0,0,SER_hh_fech!D12/SER_summary!D$26)</f>
        <v>143.35990853085377</v>
      </c>
      <c r="E12" s="133">
        <f>IF(SER_hh_fech!E12=0,0,SER_hh_fech!E12/SER_summary!E$26)</f>
        <v>141.73394489627171</v>
      </c>
      <c r="F12" s="133">
        <f>IF(SER_hh_fech!F12=0,0,SER_hh_fech!F12/SER_summary!F$26)</f>
        <v>173.47524276746719</v>
      </c>
      <c r="G12" s="133">
        <f>IF(SER_hh_fech!G12=0,0,SER_hh_fech!G12/SER_summary!G$26)</f>
        <v>188.08037565584587</v>
      </c>
      <c r="H12" s="133">
        <f>IF(SER_hh_fech!H12=0,0,SER_hh_fech!H12/SER_summary!H$26)</f>
        <v>159.38947894790198</v>
      </c>
      <c r="I12" s="133">
        <f>IF(SER_hh_fech!I12=0,0,SER_hh_fech!I12/SER_summary!I$26)</f>
        <v>149.00872303174529</v>
      </c>
      <c r="J12" s="133">
        <f>IF(SER_hh_fech!J12=0,0,SER_hh_fech!J12/SER_summary!J$26)</f>
        <v>183.67719916018555</v>
      </c>
      <c r="K12" s="133">
        <f>IF(SER_hh_fech!K12=0,0,SER_hh_fech!K12/SER_summary!K$26)</f>
        <v>180.2188390349217</v>
      </c>
      <c r="L12" s="133">
        <f>IF(SER_hh_fech!L12=0,0,SER_hh_fech!L12/SER_summary!L$26)</f>
        <v>191.24586860944251</v>
      </c>
      <c r="M12" s="133">
        <f>IF(SER_hh_fech!M12=0,0,SER_hh_fech!M12/SER_summary!M$26)</f>
        <v>148.57664756735883</v>
      </c>
      <c r="N12" s="133">
        <f>IF(SER_hh_fech!N12=0,0,SER_hh_fech!N12/SER_summary!N$26)</f>
        <v>168.09757199460054</v>
      </c>
      <c r="O12" s="133">
        <f>IF(SER_hh_fech!O12=0,0,SER_hh_fech!O12/SER_summary!O$26)</f>
        <v>158.90019467160388</v>
      </c>
      <c r="P12" s="133">
        <f>IF(SER_hh_fech!P12=0,0,SER_hh_fech!P12/SER_summary!P$26)</f>
        <v>175.41571433912523</v>
      </c>
      <c r="Q12" s="133">
        <f>IF(SER_hh_fech!Q12=0,0,SER_hh_fech!Q12/SER_summary!Q$26)</f>
        <v>173.32945360985519</v>
      </c>
      <c r="R12" s="133">
        <f>IF(SER_hh_fech!R12=0,0,SER_hh_fech!R12/SER_summary!R$26)</f>
        <v>193.98594012747802</v>
      </c>
      <c r="S12" s="133">
        <f>IF(SER_hh_fech!S12=0,0,SER_hh_fech!S12/SER_summary!S$26)</f>
        <v>183.53909454929175</v>
      </c>
      <c r="T12" s="133">
        <f>IF(SER_hh_fech!T12=0,0,SER_hh_fech!T12/SER_summary!T$26)</f>
        <v>188.81765194171405</v>
      </c>
      <c r="U12" s="133">
        <f>IF(SER_hh_fech!U12=0,0,SER_hh_fech!U12/SER_summary!U$26)</f>
        <v>159.80122363992942</v>
      </c>
      <c r="V12" s="133">
        <f>IF(SER_hh_fech!V12=0,0,SER_hh_fech!V12/SER_summary!V$26)</f>
        <v>173.61671430032823</v>
      </c>
      <c r="W12" s="133">
        <f>IF(SER_hh_fech!W12=0,0,SER_hh_fech!W12/SER_summary!W$26)</f>
        <v>181.24690410844897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155.81697463021021</v>
      </c>
      <c r="C14" s="65">
        <f>IF(SER_hh_fech!C14=0,0,SER_hh_fech!C14/SER_summary!C$26)</f>
        <v>154.87417526651427</v>
      </c>
      <c r="D14" s="65">
        <f>IF(SER_hh_fech!D14=0,0,SER_hh_fech!D14/SER_summary!D$26)</f>
        <v>167.6178093324645</v>
      </c>
      <c r="E14" s="65">
        <f>IF(SER_hh_fech!E14=0,0,SER_hh_fech!E14/SER_summary!E$26)</f>
        <v>160.70860354959368</v>
      </c>
      <c r="F14" s="65">
        <f>IF(SER_hh_fech!F14=0,0,SER_hh_fech!F14/SER_summary!F$26)</f>
        <v>192.63867765530776</v>
      </c>
      <c r="G14" s="65">
        <f>IF(SER_hh_fech!G14=0,0,SER_hh_fech!G14/SER_summary!G$26)</f>
        <v>172.67597334843865</v>
      </c>
      <c r="H14" s="65">
        <f>IF(SER_hh_fech!H14=0,0,SER_hh_fech!H14/SER_summary!H$26)</f>
        <v>181.88342597439234</v>
      </c>
      <c r="I14" s="65">
        <f>IF(SER_hh_fech!I14=0,0,SER_hh_fech!I14/SER_summary!I$26)</f>
        <v>186.67102352061687</v>
      </c>
      <c r="J14" s="65">
        <f>IF(SER_hh_fech!J14=0,0,SER_hh_fech!J14/SER_summary!J$26)</f>
        <v>208.43718675391986</v>
      </c>
      <c r="K14" s="65">
        <f>IF(SER_hh_fech!K14=0,0,SER_hh_fech!K14/SER_summary!K$26)</f>
        <v>203.34323745054374</v>
      </c>
      <c r="L14" s="65">
        <f>IF(SER_hh_fech!L14=0,0,SER_hh_fech!L14/SER_summary!L$26)</f>
        <v>190.50117599441538</v>
      </c>
      <c r="M14" s="65">
        <f>IF(SER_hh_fech!M14=0,0,SER_hh_fech!M14/SER_summary!M$26)</f>
        <v>156.22553129246086</v>
      </c>
      <c r="N14" s="65">
        <f>IF(SER_hh_fech!N14=0,0,SER_hh_fech!N14/SER_summary!N$26)</f>
        <v>182.53255886505491</v>
      </c>
      <c r="O14" s="65">
        <f>IF(SER_hh_fech!O14=0,0,SER_hh_fech!O14/SER_summary!O$26)</f>
        <v>166.54245893938435</v>
      </c>
      <c r="P14" s="65">
        <f>IF(SER_hh_fech!P14=0,0,SER_hh_fech!P14/SER_summary!P$26)</f>
        <v>201.15454517518015</v>
      </c>
      <c r="Q14" s="65">
        <f>IF(SER_hh_fech!Q14=0,0,SER_hh_fech!Q14/SER_summary!Q$26)</f>
        <v>189.43443153030773</v>
      </c>
      <c r="R14" s="65">
        <f>IF(SER_hh_fech!R14=0,0,SER_hh_fech!R14/SER_summary!R$26)</f>
        <v>219.71156607235358</v>
      </c>
      <c r="S14" s="65">
        <f>IF(SER_hh_fech!S14=0,0,SER_hh_fech!S14/SER_summary!S$26)</f>
        <v>166.98641809243472</v>
      </c>
      <c r="T14" s="65">
        <f>IF(SER_hh_fech!T14=0,0,SER_hh_fech!T14/SER_summary!T$26)</f>
        <v>194.65696952334795</v>
      </c>
      <c r="U14" s="65">
        <f>IF(SER_hh_fech!U14=0,0,SER_hh_fech!U14/SER_summary!U$26)</f>
        <v>182.62087788702644</v>
      </c>
      <c r="V14" s="65">
        <f>IF(SER_hh_fech!V14=0,0,SER_hh_fech!V14/SER_summary!V$26)</f>
        <v>169.84315983395874</v>
      </c>
      <c r="W14" s="65">
        <f>IF(SER_hh_fech!W14=0,0,SER_hh_fech!W14/SER_summary!W$26)</f>
        <v>188.68264037071148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1.041329181041708</v>
      </c>
      <c r="C15" s="135">
        <f>IF(SER_hh_fech!C15=0,0,SER_hh_fech!C15/SER_summary!C$26)</f>
        <v>1.1463698238120099</v>
      </c>
      <c r="D15" s="135">
        <f>IF(SER_hh_fech!D15=0,0,SER_hh_fech!D15/SER_summary!D$26)</f>
        <v>0.99447212101291205</v>
      </c>
      <c r="E15" s="135">
        <f>IF(SER_hh_fech!E15=0,0,SER_hh_fech!E15/SER_summary!E$26)</f>
        <v>1.339851119893811</v>
      </c>
      <c r="F15" s="135">
        <f>IF(SER_hh_fech!F15=0,0,SER_hh_fech!F15/SER_summary!F$26)</f>
        <v>1.3722023785263018</v>
      </c>
      <c r="G15" s="135">
        <f>IF(SER_hh_fech!G15=0,0,SER_hh_fech!G15/SER_summary!G$26)</f>
        <v>1.2484738579359149</v>
      </c>
      <c r="H15" s="135">
        <f>IF(SER_hh_fech!H15=0,0,SER_hh_fech!H15/SER_summary!H$26)</f>
        <v>1.1331718975604019</v>
      </c>
      <c r="I15" s="135">
        <f>IF(SER_hh_fech!I15=0,0,SER_hh_fech!I15/SER_summary!I$26)</f>
        <v>1.0983490951082238</v>
      </c>
      <c r="J15" s="135">
        <f>IF(SER_hh_fech!J15=0,0,SER_hh_fech!J15/SER_summary!J$26)</f>
        <v>1.1004749037402113</v>
      </c>
      <c r="K15" s="135">
        <f>IF(SER_hh_fech!K15=0,0,SER_hh_fech!K15/SER_summary!K$26)</f>
        <v>0.99222481848067046</v>
      </c>
      <c r="L15" s="135">
        <f>IF(SER_hh_fech!L15=0,0,SER_hh_fech!L15/SER_summary!L$26)</f>
        <v>0.99916640369018217</v>
      </c>
      <c r="M15" s="135">
        <f>IF(SER_hh_fech!M15=0,0,SER_hh_fech!M15/SER_summary!M$26)</f>
        <v>1.0095016451346979</v>
      </c>
      <c r="N15" s="135">
        <f>IF(SER_hh_fech!N15=0,0,SER_hh_fech!N15/SER_summary!N$26)</f>
        <v>1.0550069437394707</v>
      </c>
      <c r="O15" s="135">
        <f>IF(SER_hh_fech!O15=0,0,SER_hh_fech!O15/SER_summary!O$26)</f>
        <v>1.0941122018579068</v>
      </c>
      <c r="P15" s="135">
        <f>IF(SER_hh_fech!P15=0,0,SER_hh_fech!P15/SER_summary!P$26)</f>
        <v>1.2488681047454202</v>
      </c>
      <c r="Q15" s="135">
        <f>IF(SER_hh_fech!Q15=0,0,SER_hh_fech!Q15/SER_summary!Q$26)</f>
        <v>1.2831420145792585</v>
      </c>
      <c r="R15" s="135">
        <f>IF(SER_hh_fech!R15=0,0,SER_hh_fech!R15/SER_summary!R$26)</f>
        <v>1.3697335781767279</v>
      </c>
      <c r="S15" s="135">
        <f>IF(SER_hh_fech!S15=0,0,SER_hh_fech!S15/SER_summary!S$26)</f>
        <v>1.2446541430051283</v>
      </c>
      <c r="T15" s="135">
        <f>IF(SER_hh_fech!T15=0,0,SER_hh_fech!T15/SER_summary!T$26)</f>
        <v>1.2991869350584797</v>
      </c>
      <c r="U15" s="135">
        <f>IF(SER_hh_fech!U15=0,0,SER_hh_fech!U15/SER_summary!U$26)</f>
        <v>1.1510174243798776</v>
      </c>
      <c r="V15" s="135">
        <f>IF(SER_hh_fech!V15=0,0,SER_hh_fech!V15/SER_summary!V$26)</f>
        <v>1.2118168114348047</v>
      </c>
      <c r="W15" s="135">
        <f>IF(SER_hh_fech!W15=0,0,SER_hh_fech!W15/SER_summary!W$26)</f>
        <v>1.284645951251463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10.854598900519958</v>
      </c>
      <c r="C16" s="131">
        <f>IF(SER_hh_fech!C16=0,0,SER_hh_fech!C16/SER_summary!C$26)</f>
        <v>10.431310845605319</v>
      </c>
      <c r="D16" s="131">
        <f>IF(SER_hh_fech!D16=0,0,SER_hh_fech!D16/SER_summary!D$26)</f>
        <v>9.8318467148687532</v>
      </c>
      <c r="E16" s="131">
        <f>IF(SER_hh_fech!E16=0,0,SER_hh_fech!E16/SER_summary!E$26)</f>
        <v>9.7898205076567724</v>
      </c>
      <c r="F16" s="131">
        <f>IF(SER_hh_fech!F16=0,0,SER_hh_fech!F16/SER_summary!F$26)</f>
        <v>8.8815600160424353</v>
      </c>
      <c r="G16" s="131">
        <f>IF(SER_hh_fech!G16=0,0,SER_hh_fech!G16/SER_summary!G$26)</f>
        <v>8.3949938063825122</v>
      </c>
      <c r="H16" s="131">
        <f>IF(SER_hh_fech!H16=0,0,SER_hh_fech!H16/SER_summary!H$26)</f>
        <v>8.0331831816970247</v>
      </c>
      <c r="I16" s="131">
        <f>IF(SER_hh_fech!I16=0,0,SER_hh_fech!I16/SER_summary!I$26)</f>
        <v>7.5255919662368767</v>
      </c>
      <c r="J16" s="131">
        <f>IF(SER_hh_fech!J16=0,0,SER_hh_fech!J16/SER_summary!J$26)</f>
        <v>7.1669356746583688</v>
      </c>
      <c r="K16" s="131">
        <f>IF(SER_hh_fech!K16=0,0,SER_hh_fech!K16/SER_summary!K$26)</f>
        <v>7.0688610487997048</v>
      </c>
      <c r="L16" s="131">
        <f>IF(SER_hh_fech!L16=0,0,SER_hh_fech!L16/SER_summary!L$26)</f>
        <v>8.0654574163820367</v>
      </c>
      <c r="M16" s="131">
        <f>IF(SER_hh_fech!M16=0,0,SER_hh_fech!M16/SER_summary!M$26)</f>
        <v>7.0800528541467251</v>
      </c>
      <c r="N16" s="131">
        <f>IF(SER_hh_fech!N16=0,0,SER_hh_fech!N16/SER_summary!N$26)</f>
        <v>6.5785431921562472</v>
      </c>
      <c r="O16" s="131">
        <f>IF(SER_hh_fech!O16=0,0,SER_hh_fech!O16/SER_summary!O$26)</f>
        <v>6.3155000895525175</v>
      </c>
      <c r="P16" s="131">
        <f>IF(SER_hh_fech!P16=0,0,SER_hh_fech!P16/SER_summary!P$26)</f>
        <v>6.2104031991103179</v>
      </c>
      <c r="Q16" s="131">
        <f>IF(SER_hh_fech!Q16=0,0,SER_hh_fech!Q16/SER_summary!Q$26)</f>
        <v>5.823607156029702</v>
      </c>
      <c r="R16" s="131">
        <f>IF(SER_hh_fech!R16=0,0,SER_hh_fech!R16/SER_summary!R$26)</f>
        <v>5.691913755584479</v>
      </c>
      <c r="S16" s="131">
        <f>IF(SER_hh_fech!S16=0,0,SER_hh_fech!S16/SER_summary!S$26)</f>
        <v>5.5162568906043035</v>
      </c>
      <c r="T16" s="131">
        <f>IF(SER_hh_fech!T16=0,0,SER_hh_fech!T16/SER_summary!T$26)</f>
        <v>5.7276351512563055</v>
      </c>
      <c r="U16" s="131">
        <f>IF(SER_hh_fech!U16=0,0,SER_hh_fech!U16/SER_summary!U$26)</f>
        <v>5.2345640094402617</v>
      </c>
      <c r="V16" s="131">
        <f>IF(SER_hh_fech!V16=0,0,SER_hh_fech!V16/SER_summary!V$26)</f>
        <v>5.1269862713957552</v>
      </c>
      <c r="W16" s="131">
        <f>IF(SER_hh_fech!W16=0,0,SER_hh_fech!W16/SER_summary!W$26)</f>
        <v>5.5513428157364686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10.854598900519958</v>
      </c>
      <c r="C18" s="133">
        <f>IF(SER_hh_fech!C18=0,0,SER_hh_fech!C18/SER_summary!C$26)</f>
        <v>10.431310845605319</v>
      </c>
      <c r="D18" s="133">
        <f>IF(SER_hh_fech!D18=0,0,SER_hh_fech!D18/SER_summary!D$26)</f>
        <v>9.8318467148687532</v>
      </c>
      <c r="E18" s="133">
        <f>IF(SER_hh_fech!E18=0,0,SER_hh_fech!E18/SER_summary!E$26)</f>
        <v>9.7898205076567724</v>
      </c>
      <c r="F18" s="133">
        <f>IF(SER_hh_fech!F18=0,0,SER_hh_fech!F18/SER_summary!F$26)</f>
        <v>8.8815600160424353</v>
      </c>
      <c r="G18" s="133">
        <f>IF(SER_hh_fech!G18=0,0,SER_hh_fech!G18/SER_summary!G$26)</f>
        <v>8.3949938063825122</v>
      </c>
      <c r="H18" s="133">
        <f>IF(SER_hh_fech!H18=0,0,SER_hh_fech!H18/SER_summary!H$26)</f>
        <v>8.0331831816970247</v>
      </c>
      <c r="I18" s="133">
        <f>IF(SER_hh_fech!I18=0,0,SER_hh_fech!I18/SER_summary!I$26)</f>
        <v>7.5255919662368767</v>
      </c>
      <c r="J18" s="133">
        <f>IF(SER_hh_fech!J18=0,0,SER_hh_fech!J18/SER_summary!J$26)</f>
        <v>7.1669356746583688</v>
      </c>
      <c r="K18" s="133">
        <f>IF(SER_hh_fech!K18=0,0,SER_hh_fech!K18/SER_summary!K$26)</f>
        <v>7.0688610487997048</v>
      </c>
      <c r="L18" s="133">
        <f>IF(SER_hh_fech!L18=0,0,SER_hh_fech!L18/SER_summary!L$26)</f>
        <v>8.0654574163820367</v>
      </c>
      <c r="M18" s="133">
        <f>IF(SER_hh_fech!M18=0,0,SER_hh_fech!M18/SER_summary!M$26)</f>
        <v>7.0800528541467251</v>
      </c>
      <c r="N18" s="133">
        <f>IF(SER_hh_fech!N18=0,0,SER_hh_fech!N18/SER_summary!N$26)</f>
        <v>6.5785431921562472</v>
      </c>
      <c r="O18" s="133">
        <f>IF(SER_hh_fech!O18=0,0,SER_hh_fech!O18/SER_summary!O$26)</f>
        <v>6.3155000895525175</v>
      </c>
      <c r="P18" s="133">
        <f>IF(SER_hh_fech!P18=0,0,SER_hh_fech!P18/SER_summary!P$26)</f>
        <v>6.2104031991103179</v>
      </c>
      <c r="Q18" s="133">
        <f>IF(SER_hh_fech!Q18=0,0,SER_hh_fech!Q18/SER_summary!Q$26)</f>
        <v>5.823607156029702</v>
      </c>
      <c r="R18" s="133">
        <f>IF(SER_hh_fech!R18=0,0,SER_hh_fech!R18/SER_summary!R$26)</f>
        <v>5.691913755584479</v>
      </c>
      <c r="S18" s="133">
        <f>IF(SER_hh_fech!S18=0,0,SER_hh_fech!S18/SER_summary!S$26)</f>
        <v>5.5162568906043035</v>
      </c>
      <c r="T18" s="133">
        <f>IF(SER_hh_fech!T18=0,0,SER_hh_fech!T18/SER_summary!T$26)</f>
        <v>5.7276351512563055</v>
      </c>
      <c r="U18" s="133">
        <f>IF(SER_hh_fech!U18=0,0,SER_hh_fech!U18/SER_summary!U$26)</f>
        <v>5.2345640094402617</v>
      </c>
      <c r="V18" s="133">
        <f>IF(SER_hh_fech!V18=0,0,SER_hh_fech!V18/SER_summary!V$26)</f>
        <v>5.1269862713957552</v>
      </c>
      <c r="W18" s="133">
        <f>IF(SER_hh_fech!W18=0,0,SER_hh_fech!W18/SER_summary!W$26)</f>
        <v>5.5513428157364686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30.916250207820504</v>
      </c>
      <c r="C19" s="131">
        <f>IF(SER_hh_fech!C19=0,0,SER_hh_fech!C19/SER_summary!C$26)</f>
        <v>30.269099947283124</v>
      </c>
      <c r="D19" s="131">
        <f>IF(SER_hh_fech!D19=0,0,SER_hh_fech!D19/SER_summary!D$26)</f>
        <v>28.974094494581205</v>
      </c>
      <c r="E19" s="131">
        <f>IF(SER_hh_fech!E19=0,0,SER_hh_fech!E19/SER_summary!E$26)</f>
        <v>28.06452989984491</v>
      </c>
      <c r="F19" s="131">
        <f>IF(SER_hh_fech!F19=0,0,SER_hh_fech!F19/SER_summary!F$26)</f>
        <v>26.864077001227372</v>
      </c>
      <c r="G19" s="131">
        <f>IF(SER_hh_fech!G19=0,0,SER_hh_fech!G19/SER_summary!G$26)</f>
        <v>26.577435520136532</v>
      </c>
      <c r="H19" s="131">
        <f>IF(SER_hh_fech!H19=0,0,SER_hh_fech!H19/SER_summary!H$26)</f>
        <v>25.589941454347084</v>
      </c>
      <c r="I19" s="131">
        <f>IF(SER_hh_fech!I19=0,0,SER_hh_fech!I19/SER_summary!I$26)</f>
        <v>24.412473501054741</v>
      </c>
      <c r="J19" s="131">
        <f>IF(SER_hh_fech!J19=0,0,SER_hh_fech!J19/SER_summary!J$26)</f>
        <v>24.711949666689897</v>
      </c>
      <c r="K19" s="131">
        <f>IF(SER_hh_fech!K19=0,0,SER_hh_fech!K19/SER_summary!K$26)</f>
        <v>24.479452993705152</v>
      </c>
      <c r="L19" s="131">
        <f>IF(SER_hh_fech!L19=0,0,SER_hh_fech!L19/SER_summary!L$26)</f>
        <v>24.20921144304199</v>
      </c>
      <c r="M19" s="131">
        <f>IF(SER_hh_fech!M19=0,0,SER_hh_fech!M19/SER_summary!M$26)</f>
        <v>24.423970648227705</v>
      </c>
      <c r="N19" s="131">
        <f>IF(SER_hh_fech!N19=0,0,SER_hh_fech!N19/SER_summary!N$26)</f>
        <v>24.321934408899203</v>
      </c>
      <c r="O19" s="131">
        <f>IF(SER_hh_fech!O19=0,0,SER_hh_fech!O19/SER_summary!O$26)</f>
        <v>24.16684320014491</v>
      </c>
      <c r="P19" s="131">
        <f>IF(SER_hh_fech!P19=0,0,SER_hh_fech!P19/SER_summary!P$26)</f>
        <v>24.249204864276944</v>
      </c>
      <c r="Q19" s="131">
        <f>IF(SER_hh_fech!Q19=0,0,SER_hh_fech!Q19/SER_summary!Q$26)</f>
        <v>24.259094290695014</v>
      </c>
      <c r="R19" s="131">
        <f>IF(SER_hh_fech!R19=0,0,SER_hh_fech!R19/SER_summary!R$26)</f>
        <v>23.701159044376588</v>
      </c>
      <c r="S19" s="131">
        <f>IF(SER_hh_fech!S19=0,0,SER_hh_fech!S19/SER_summary!S$26)</f>
        <v>23.148329406744459</v>
      </c>
      <c r="T19" s="131">
        <f>IF(SER_hh_fech!T19=0,0,SER_hh_fech!T19/SER_summary!T$26)</f>
        <v>23.037482467200327</v>
      </c>
      <c r="U19" s="131">
        <f>IF(SER_hh_fech!U19=0,0,SER_hh_fech!U19/SER_summary!U$26)</f>
        <v>22.809150772390151</v>
      </c>
      <c r="V19" s="131">
        <f>IF(SER_hh_fech!V19=0,0,SER_hh_fech!V19/SER_summary!V$26)</f>
        <v>21.349434819972011</v>
      </c>
      <c r="W19" s="131">
        <f>IF(SER_hh_fech!W19=0,0,SER_hh_fech!W19/SER_summary!W$26)</f>
        <v>21.98386458667639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39.016320397853669</v>
      </c>
      <c r="C22" s="133">
        <f>IF(SER_hh_fech!C22=0,0,SER_hh_fech!C22/SER_summary!C$26)</f>
        <v>39.2904746374262</v>
      </c>
      <c r="D22" s="133">
        <f>IF(SER_hh_fech!D22=0,0,SER_hh_fech!D22/SER_summary!D$26)</f>
        <v>39.06079101385685</v>
      </c>
      <c r="E22" s="133">
        <f>IF(SER_hh_fech!E22=0,0,SER_hh_fech!E22/SER_summary!E$26)</f>
        <v>34.242634136209546</v>
      </c>
      <c r="F22" s="133">
        <f>IF(SER_hh_fech!F22=0,0,SER_hh_fech!F22/SER_summary!F$26)</f>
        <v>32.997830739257715</v>
      </c>
      <c r="G22" s="133">
        <f>IF(SER_hh_fech!G22=0,0,SER_hh_fech!G22/SER_summary!G$26)</f>
        <v>34.453972087579707</v>
      </c>
      <c r="H22" s="133">
        <f>IF(SER_hh_fech!H22=0,0,SER_hh_fech!H22/SER_summary!H$26)</f>
        <v>33.483162014401472</v>
      </c>
      <c r="I22" s="133">
        <f>IF(SER_hh_fech!I22=0,0,SER_hh_fech!I22/SER_summary!I$26)</f>
        <v>32.635794281794091</v>
      </c>
      <c r="J22" s="133">
        <f>IF(SER_hh_fech!J22=0,0,SER_hh_fech!J22/SER_summary!J$26)</f>
        <v>33.141341772017583</v>
      </c>
      <c r="K22" s="133">
        <f>IF(SER_hh_fech!K22=0,0,SER_hh_fech!K22/SER_summary!K$26)</f>
        <v>32.35625099386327</v>
      </c>
      <c r="L22" s="133">
        <f>IF(SER_hh_fech!L22=0,0,SER_hh_fech!L22/SER_summary!L$26)</f>
        <v>31.902243105910976</v>
      </c>
      <c r="M22" s="133">
        <f>IF(SER_hh_fech!M22=0,0,SER_hh_fech!M22/SER_summary!M$26)</f>
        <v>31.770087488984391</v>
      </c>
      <c r="N22" s="133">
        <f>IF(SER_hh_fech!N22=0,0,SER_hh_fech!N22/SER_summary!N$26)</f>
        <v>31.172102495607259</v>
      </c>
      <c r="O22" s="133">
        <f>IF(SER_hh_fech!O22=0,0,SER_hh_fech!O22/SER_summary!O$26)</f>
        <v>30.646259341921386</v>
      </c>
      <c r="P22" s="133">
        <f>IF(SER_hh_fech!P22=0,0,SER_hh_fech!P22/SER_summary!P$26)</f>
        <v>31.04537077614453</v>
      </c>
      <c r="Q22" s="133">
        <f>IF(SER_hh_fech!Q22=0,0,SER_hh_fech!Q22/SER_summary!Q$26)</f>
        <v>31.513212789248641</v>
      </c>
      <c r="R22" s="133">
        <f>IF(SER_hh_fech!R22=0,0,SER_hh_fech!R22/SER_summary!R$26)</f>
        <v>29.895980638618052</v>
      </c>
      <c r="S22" s="133">
        <f>IF(SER_hh_fech!S22=0,0,SER_hh_fech!S22/SER_summary!S$26)</f>
        <v>30.768855571214601</v>
      </c>
      <c r="T22" s="133">
        <f>IF(SER_hh_fech!T22=0,0,SER_hh_fech!T22/SER_summary!T$26)</f>
        <v>33.221462047550737</v>
      </c>
      <c r="U22" s="133">
        <f>IF(SER_hh_fech!U22=0,0,SER_hh_fech!U22/SER_summary!U$26)</f>
        <v>27.084239818750525</v>
      </c>
      <c r="V22" s="133">
        <f>IF(SER_hh_fech!V22=0,0,SER_hh_fech!V22/SER_summary!V$26)</f>
        <v>30.222150856957189</v>
      </c>
      <c r="W22" s="133">
        <f>IF(SER_hh_fech!W22=0,0,SER_hh_fech!W22/SER_summary!W$26)</f>
        <v>29.83332660522732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26.389446773337447</v>
      </c>
      <c r="C23" s="133">
        <f>IF(SER_hh_fech!C23=0,0,SER_hh_fech!C23/SER_summary!C$26)</f>
        <v>41.0818189823704</v>
      </c>
      <c r="D23" s="133">
        <f>IF(SER_hh_fech!D23=0,0,SER_hh_fech!D23/SER_summary!D$26)</f>
        <v>36.454815065424519</v>
      </c>
      <c r="E23" s="133">
        <f>IF(SER_hh_fech!E23=0,0,SER_hh_fech!E23/SER_summary!E$26)</f>
        <v>33.803335809025256</v>
      </c>
      <c r="F23" s="133">
        <f>IF(SER_hh_fech!F23=0,0,SER_hh_fech!F23/SER_summary!F$26)</f>
        <v>32.033343963883063</v>
      </c>
      <c r="G23" s="133">
        <f>IF(SER_hh_fech!G23=0,0,SER_hh_fech!G23/SER_summary!G$26)</f>
        <v>31.277046357410217</v>
      </c>
      <c r="H23" s="133">
        <f>IF(SER_hh_fech!H23=0,0,SER_hh_fech!H23/SER_summary!H$26)</f>
        <v>30.635475955670337</v>
      </c>
      <c r="I23" s="133">
        <f>IF(SER_hh_fech!I23=0,0,SER_hh_fech!I23/SER_summary!I$26)</f>
        <v>29.657642439996518</v>
      </c>
      <c r="J23" s="133">
        <f>IF(SER_hh_fech!J23=0,0,SER_hh_fech!J23/SER_summary!J$26)</f>
        <v>29.041341215436383</v>
      </c>
      <c r="K23" s="133">
        <f>IF(SER_hh_fech!K23=0,0,SER_hh_fech!K23/SER_summary!K$26)</f>
        <v>28.351279984060913</v>
      </c>
      <c r="L23" s="133">
        <f>IF(SER_hh_fech!L23=0,0,SER_hh_fech!L23/SER_summary!L$26)</f>
        <v>26.481972687746637</v>
      </c>
      <c r="M23" s="133">
        <f>IF(SER_hh_fech!M23=0,0,SER_hh_fech!M23/SER_summary!M$26)</f>
        <v>27.778599106642975</v>
      </c>
      <c r="N23" s="133">
        <f>IF(SER_hh_fech!N23=0,0,SER_hh_fech!N23/SER_summary!N$26)</f>
        <v>24.000234261705803</v>
      </c>
      <c r="O23" s="133">
        <f>IF(SER_hh_fech!O23=0,0,SER_hh_fech!O23/SER_summary!O$26)</f>
        <v>25.872762100286849</v>
      </c>
      <c r="P23" s="133">
        <f>IF(SER_hh_fech!P23=0,0,SER_hh_fech!P23/SER_summary!P$26)</f>
        <v>28.296788566913023</v>
      </c>
      <c r="Q23" s="133">
        <f>IF(SER_hh_fech!Q23=0,0,SER_hh_fech!Q23/SER_summary!Q$26)</f>
        <v>25.781353523406377</v>
      </c>
      <c r="R23" s="133">
        <f>IF(SER_hh_fech!R23=0,0,SER_hh_fech!R23/SER_summary!R$26)</f>
        <v>24.445956287617353</v>
      </c>
      <c r="S23" s="133">
        <f>IF(SER_hh_fech!S23=0,0,SER_hh_fech!S23/SER_summary!S$26)</f>
        <v>24.005398206388399</v>
      </c>
      <c r="T23" s="133">
        <f>IF(SER_hh_fech!T23=0,0,SER_hh_fech!T23/SER_summary!T$26)</f>
        <v>24.049012578424776</v>
      </c>
      <c r="U23" s="133">
        <f>IF(SER_hh_fech!U23=0,0,SER_hh_fech!U23/SER_summary!U$26)</f>
        <v>24.258017970914565</v>
      </c>
      <c r="V23" s="133">
        <f>IF(SER_hh_fech!V23=0,0,SER_hh_fech!V23/SER_summary!V$26)</f>
        <v>23.198130208755384</v>
      </c>
      <c r="W23" s="133">
        <f>IF(SER_hh_fech!W23=0,0,SER_hh_fech!W23/SER_summary!W$26)</f>
        <v>21.27090277847104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24.953389414059998</v>
      </c>
      <c r="C25" s="133">
        <f>IF(SER_hh_fech!C25=0,0,SER_hh_fech!C25/SER_summary!C$26)</f>
        <v>25.254193470343793</v>
      </c>
      <c r="D25" s="133">
        <f>IF(SER_hh_fech!D25=0,0,SER_hh_fech!D25/SER_summary!D$26)</f>
        <v>24.154920512603283</v>
      </c>
      <c r="E25" s="133">
        <f>IF(SER_hh_fech!E25=0,0,SER_hh_fech!E25/SER_summary!E$26)</f>
        <v>23.221712331505703</v>
      </c>
      <c r="F25" s="133">
        <f>IF(SER_hh_fech!F25=0,0,SER_hh_fech!F25/SER_summary!F$26)</f>
        <v>22.520636327492753</v>
      </c>
      <c r="G25" s="133">
        <f>IF(SER_hh_fech!G25=0,0,SER_hh_fech!G25/SER_summary!G$26)</f>
        <v>22.467178479622451</v>
      </c>
      <c r="H25" s="133">
        <f>IF(SER_hh_fech!H25=0,0,SER_hh_fech!H25/SER_summary!H$26)</f>
        <v>21.808363456598947</v>
      </c>
      <c r="I25" s="133">
        <f>IF(SER_hh_fech!I25=0,0,SER_hh_fech!I25/SER_summary!I$26)</f>
        <v>21.409200171100441</v>
      </c>
      <c r="J25" s="133">
        <f>IF(SER_hh_fech!J25=0,0,SER_hh_fech!J25/SER_summary!J$26)</f>
        <v>20.968814410645539</v>
      </c>
      <c r="K25" s="133">
        <f>IF(SER_hh_fech!K25=0,0,SER_hh_fech!K25/SER_summary!K$26)</f>
        <v>21.275499945841656</v>
      </c>
      <c r="L25" s="133">
        <f>IF(SER_hh_fech!L25=0,0,SER_hh_fech!L25/SER_summary!L$26)</f>
        <v>21.075816776202767</v>
      </c>
      <c r="M25" s="133">
        <f>IF(SER_hh_fech!M25=0,0,SER_hh_fech!M25/SER_summary!M$26)</f>
        <v>21.213258543886095</v>
      </c>
      <c r="N25" s="133">
        <f>IF(SER_hh_fech!N25=0,0,SER_hh_fech!N25/SER_summary!N$26)</f>
        <v>21.183159119656121</v>
      </c>
      <c r="O25" s="133">
        <f>IF(SER_hh_fech!O25=0,0,SER_hh_fech!O25/SER_summary!O$26)</f>
        <v>21.296593426105893</v>
      </c>
      <c r="P25" s="133">
        <f>IF(SER_hh_fech!P25=0,0,SER_hh_fech!P25/SER_summary!P$26)</f>
        <v>21.203146329930568</v>
      </c>
      <c r="Q25" s="133">
        <f>IF(SER_hh_fech!Q25=0,0,SER_hh_fech!Q25/SER_summary!Q$26)</f>
        <v>21.182669502325407</v>
      </c>
      <c r="R25" s="133">
        <f>IF(SER_hh_fech!R25=0,0,SER_hh_fech!R25/SER_summary!R$26)</f>
        <v>21.115376013556208</v>
      </c>
      <c r="S25" s="133">
        <f>IF(SER_hh_fech!S25=0,0,SER_hh_fech!S25/SER_summary!S$26)</f>
        <v>21.028275057294451</v>
      </c>
      <c r="T25" s="133">
        <f>IF(SER_hh_fech!T25=0,0,SER_hh_fech!T25/SER_summary!T$26)</f>
        <v>21.142629568220311</v>
      </c>
      <c r="U25" s="133">
        <f>IF(SER_hh_fech!U25=0,0,SER_hh_fech!U25/SER_summary!U$26)</f>
        <v>21.047599341404563</v>
      </c>
      <c r="V25" s="133">
        <f>IF(SER_hh_fech!V25=0,0,SER_hh_fech!V25/SER_summary!V$26)</f>
        <v>18.51855819438855</v>
      </c>
      <c r="W25" s="133">
        <f>IF(SER_hh_fech!W25=0,0,SER_hh_fech!W25/SER_summary!W$26)</f>
        <v>21.236021143723463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32.38470124201033</v>
      </c>
      <c r="C26" s="65">
        <f>IF(SER_hh_fech!C26=0,0,SER_hh_fech!C26/SER_summary!C$26)</f>
        <v>29.365245792153193</v>
      </c>
      <c r="D26" s="65">
        <f>IF(SER_hh_fech!D26=0,0,SER_hh_fech!D26/SER_summary!D$26)</f>
        <v>28.366004783078058</v>
      </c>
      <c r="E26" s="65">
        <f>IF(SER_hh_fech!E26=0,0,SER_hh_fech!E26/SER_summary!E$26)</f>
        <v>29.202795490228645</v>
      </c>
      <c r="F26" s="65">
        <f>IF(SER_hh_fech!F26=0,0,SER_hh_fech!F26/SER_summary!F$26)</f>
        <v>28.009787365500035</v>
      </c>
      <c r="G26" s="65">
        <f>IF(SER_hh_fech!G26=0,0,SER_hh_fech!G26/SER_summary!G$26)</f>
        <v>27.484977275710801</v>
      </c>
      <c r="H26" s="65">
        <f>IF(SER_hh_fech!H26=0,0,SER_hh_fech!H26/SER_summary!H$26)</f>
        <v>26.35352497477405</v>
      </c>
      <c r="I26" s="65">
        <f>IF(SER_hh_fech!I26=0,0,SER_hh_fech!I26/SER_summary!I$26)</f>
        <v>24.660820714920714</v>
      </c>
      <c r="J26" s="65">
        <f>IF(SER_hh_fech!J26=0,0,SER_hh_fech!J26/SER_summary!J$26)</f>
        <v>25.719596193367831</v>
      </c>
      <c r="K26" s="65">
        <f>IF(SER_hh_fech!K26=0,0,SER_hh_fech!K26/SER_summary!K$26)</f>
        <v>25.328130016326917</v>
      </c>
      <c r="L26" s="65">
        <f>IF(SER_hh_fech!L26=0,0,SER_hh_fech!L26/SER_summary!L$26)</f>
        <v>25.31591408276859</v>
      </c>
      <c r="M26" s="65">
        <f>IF(SER_hh_fech!M26=0,0,SER_hh_fech!M26/SER_summary!M$26)</f>
        <v>25.416645884205483</v>
      </c>
      <c r="N26" s="65">
        <f>IF(SER_hh_fech!N26=0,0,SER_hh_fech!N26/SER_summary!N$26)</f>
        <v>26.008409029844135</v>
      </c>
      <c r="O26" s="65">
        <f>IF(SER_hh_fech!O26=0,0,SER_hh_fech!O26/SER_summary!O$26)</f>
        <v>25.180636922966833</v>
      </c>
      <c r="P26" s="65">
        <f>IF(SER_hh_fech!P26=0,0,SER_hh_fech!P26/SER_summary!P$26)</f>
        <v>24.409823219836465</v>
      </c>
      <c r="Q26" s="65">
        <f>IF(SER_hh_fech!Q26=0,0,SER_hh_fech!Q26/SER_summary!Q$26)</f>
        <v>25.223435565709639</v>
      </c>
      <c r="R26" s="65">
        <f>IF(SER_hh_fech!R26=0,0,SER_hh_fech!R26/SER_summary!R$26)</f>
        <v>24.728009250789928</v>
      </c>
      <c r="S26" s="65">
        <f>IF(SER_hh_fech!S26=0,0,SER_hh_fech!S26/SER_summary!S$26)</f>
        <v>23.521668223892952</v>
      </c>
      <c r="T26" s="65">
        <f>IF(SER_hh_fech!T26=0,0,SER_hh_fech!T26/SER_summary!T$26)</f>
        <v>22.822824106020473</v>
      </c>
      <c r="U26" s="65">
        <f>IF(SER_hh_fech!U26=0,0,SER_hh_fech!U26/SER_summary!U$26)</f>
        <v>22.978307483076986</v>
      </c>
      <c r="V26" s="65">
        <f>IF(SER_hh_fech!V26=0,0,SER_hh_fech!V26/SER_summary!V$26)</f>
        <v>21.696303191086876</v>
      </c>
      <c r="W26" s="65">
        <f>IF(SER_hh_fech!W26=0,0,SER_hh_fech!W26/SER_summary!W$26)</f>
        <v>22.218237570516571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26.978053651430571</v>
      </c>
      <c r="C29" s="131">
        <f>IF(SER_hh_fech!C29=0,0,SER_hh_fech!C29/SER_summary!C$26)</f>
        <v>27.297686714434736</v>
      </c>
      <c r="D29" s="131">
        <f>IF(SER_hh_fech!D29=0,0,SER_hh_fech!D29/SER_summary!D$26)</f>
        <v>26.902225694206962</v>
      </c>
      <c r="E29" s="131">
        <f>IF(SER_hh_fech!E29=0,0,SER_hh_fech!E29/SER_summary!E$26)</f>
        <v>26.850067585882964</v>
      </c>
      <c r="F29" s="131">
        <f>IF(SER_hh_fech!F29=0,0,SER_hh_fech!F29/SER_summary!F$26)</f>
        <v>26.456324898904544</v>
      </c>
      <c r="G29" s="131">
        <f>IF(SER_hh_fech!G29=0,0,SER_hh_fech!G29/SER_summary!G$26)</f>
        <v>26.607527086485803</v>
      </c>
      <c r="H29" s="131">
        <f>IF(SER_hh_fech!H29=0,0,SER_hh_fech!H29/SER_summary!H$26)</f>
        <v>25.617503795276253</v>
      </c>
      <c r="I29" s="131">
        <f>IF(SER_hh_fech!I29=0,0,SER_hh_fech!I29/SER_summary!I$26)</f>
        <v>25.30959128841474</v>
      </c>
      <c r="J29" s="131">
        <f>IF(SER_hh_fech!J29=0,0,SER_hh_fech!J29/SER_summary!J$26)</f>
        <v>26.012907133052554</v>
      </c>
      <c r="K29" s="131">
        <f>IF(SER_hh_fech!K29=0,0,SER_hh_fech!K29/SER_summary!K$26)</f>
        <v>26.729553360164985</v>
      </c>
      <c r="L29" s="131">
        <f>IF(SER_hh_fech!L29=0,0,SER_hh_fech!L29/SER_summary!L$26)</f>
        <v>26.900110304234246</v>
      </c>
      <c r="M29" s="131">
        <f>IF(SER_hh_fech!M29=0,0,SER_hh_fech!M29/SER_summary!M$26)</f>
        <v>26.684453120757023</v>
      </c>
      <c r="N29" s="131">
        <f>IF(SER_hh_fech!N29=0,0,SER_hh_fech!N29/SER_summary!N$26)</f>
        <v>26.504801695238999</v>
      </c>
      <c r="O29" s="131">
        <f>IF(SER_hh_fech!O29=0,0,SER_hh_fech!O29/SER_summary!O$26)</f>
        <v>26.680521116920552</v>
      </c>
      <c r="P29" s="131">
        <f>IF(SER_hh_fech!P29=0,0,SER_hh_fech!P29/SER_summary!P$26)</f>
        <v>26.281552122189233</v>
      </c>
      <c r="Q29" s="131">
        <f>IF(SER_hh_fech!Q29=0,0,SER_hh_fech!Q29/SER_summary!Q$26)</f>
        <v>25.742510409957877</v>
      </c>
      <c r="R29" s="131">
        <f>IF(SER_hh_fech!R29=0,0,SER_hh_fech!R29/SER_summary!R$26)</f>
        <v>26.19379772836286</v>
      </c>
      <c r="S29" s="131">
        <f>IF(SER_hh_fech!S29=0,0,SER_hh_fech!S29/SER_summary!S$26)</f>
        <v>25.844708934461877</v>
      </c>
      <c r="T29" s="131">
        <f>IF(SER_hh_fech!T29=0,0,SER_hh_fech!T29/SER_summary!T$26)</f>
        <v>25.164984795494647</v>
      </c>
      <c r="U29" s="131">
        <f>IF(SER_hh_fech!U29=0,0,SER_hh_fech!U29/SER_summary!U$26)</f>
        <v>25.193454219595861</v>
      </c>
      <c r="V29" s="131">
        <f>IF(SER_hh_fech!V29=0,0,SER_hh_fech!V29/SER_summary!V$26)</f>
        <v>22.971825092139952</v>
      </c>
      <c r="W29" s="131">
        <f>IF(SER_hh_fech!W29=0,0,SER_hh_fech!W29/SER_summary!W$26)</f>
        <v>23.934008057257348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44.059265754522229</v>
      </c>
      <c r="G30" s="133">
        <f>IF(SER_hh_fech!G30=0,0,SER_hh_fech!G30/SER_summary!G$26)</f>
        <v>34.16572225447505</v>
      </c>
      <c r="H30" s="133">
        <f>IF(SER_hh_fech!H30=0,0,SER_hh_fech!H30/SER_summary!H$26)</f>
        <v>30.480066199778811</v>
      </c>
      <c r="I30" s="133">
        <f>IF(SER_hh_fech!I30=0,0,SER_hh_fech!I30/SER_summary!I$26)</f>
        <v>30.520775764120064</v>
      </c>
      <c r="J30" s="133">
        <f>IF(SER_hh_fech!J30=0,0,SER_hh_fech!J30/SER_summary!J$26)</f>
        <v>31.026282969821043</v>
      </c>
      <c r="K30" s="133">
        <f>IF(SER_hh_fech!K30=0,0,SER_hh_fech!K30/SER_summary!K$26)</f>
        <v>31.725123871616056</v>
      </c>
      <c r="L30" s="133">
        <f>IF(SER_hh_fech!L30=0,0,SER_hh_fech!L30/SER_summary!L$26)</f>
        <v>31.871040328954006</v>
      </c>
      <c r="M30" s="133">
        <f>IF(SER_hh_fech!M30=0,0,SER_hh_fech!M30/SER_summary!M$26)</f>
        <v>31.939904277722921</v>
      </c>
      <c r="N30" s="133">
        <f>IF(SER_hh_fech!N30=0,0,SER_hh_fech!N30/SER_summary!N$26)</f>
        <v>32.084512254909882</v>
      </c>
      <c r="O30" s="133">
        <f>IF(SER_hh_fech!O30=0,0,SER_hh_fech!O30/SER_summary!O$26)</f>
        <v>31.949459011186857</v>
      </c>
      <c r="P30" s="133">
        <f>IF(SER_hh_fech!P30=0,0,SER_hh_fech!P30/SER_summary!P$26)</f>
        <v>28.788108191869163</v>
      </c>
      <c r="Q30" s="133">
        <f>IF(SER_hh_fech!Q30=0,0,SER_hh_fech!Q30/SER_summary!Q$26)</f>
        <v>22.38575511154491</v>
      </c>
      <c r="R30" s="133">
        <f>IF(SER_hh_fech!R30=0,0,SER_hh_fech!R30/SER_summary!R$26)</f>
        <v>34.641945788380497</v>
      </c>
      <c r="S30" s="133">
        <f>IF(SER_hh_fech!S30=0,0,SER_hh_fech!S30/SER_summary!S$26)</f>
        <v>49.439246955765306</v>
      </c>
      <c r="T30" s="133">
        <f>IF(SER_hh_fech!T30=0,0,SER_hh_fech!T30/SER_summary!T$26)</f>
        <v>15.899998020957481</v>
      </c>
      <c r="U30" s="133">
        <f>IF(SER_hh_fech!U30=0,0,SER_hh_fech!U30/SER_summary!U$26)</f>
        <v>32.096067535234866</v>
      </c>
      <c r="V30" s="133">
        <f>IF(SER_hh_fech!V30=0,0,SER_hh_fech!V30/SER_summary!V$26)</f>
        <v>33.108920174402606</v>
      </c>
      <c r="W30" s="133">
        <f>IF(SER_hh_fech!W30=0,0,SER_hh_fech!W30/SER_summary!W$26)</f>
        <v>24.227978459255191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19.704870548177638</v>
      </c>
      <c r="C31" s="133">
        <f>IF(SER_hh_fech!C31=0,0,SER_hh_fech!C31/SER_summary!C$26)</f>
        <v>36.628928688839338</v>
      </c>
      <c r="D31" s="133">
        <f>IF(SER_hh_fech!D31=0,0,SER_hh_fech!D31/SER_summary!D$26)</f>
        <v>38.993390911314798</v>
      </c>
      <c r="E31" s="133">
        <f>IF(SER_hh_fech!E31=0,0,SER_hh_fech!E31/SER_summary!E$26)</f>
        <v>34.829836329940484</v>
      </c>
      <c r="F31" s="133">
        <f>IF(SER_hh_fech!F31=0,0,SER_hh_fech!F31/SER_summary!F$26)</f>
        <v>33.254684035867115</v>
      </c>
      <c r="G31" s="133">
        <f>IF(SER_hh_fech!G31=0,0,SER_hh_fech!G31/SER_summary!G$26)</f>
        <v>33.012101953509372</v>
      </c>
      <c r="H31" s="133">
        <f>IF(SER_hh_fech!H31=0,0,SER_hh_fech!H31/SER_summary!H$26)</f>
        <v>32.463101960904041</v>
      </c>
      <c r="I31" s="133">
        <f>IF(SER_hh_fech!I31=0,0,SER_hh_fech!I31/SER_summary!I$26)</f>
        <v>32.838125725579211</v>
      </c>
      <c r="J31" s="133">
        <f>IF(SER_hh_fech!J31=0,0,SER_hh_fech!J31/SER_summary!J$26)</f>
        <v>33.347060774494828</v>
      </c>
      <c r="K31" s="133">
        <f>IF(SER_hh_fech!K31=0,0,SER_hh_fech!K31/SER_summary!K$26)</f>
        <v>31.964172465004143</v>
      </c>
      <c r="L31" s="133">
        <f>IF(SER_hh_fech!L31=0,0,SER_hh_fech!L31/SER_summary!L$26)</f>
        <v>33.681338079558238</v>
      </c>
      <c r="M31" s="133">
        <f>IF(SER_hh_fech!M31=0,0,SER_hh_fech!M31/SER_summary!M$26)</f>
        <v>33.662092985729984</v>
      </c>
      <c r="N31" s="133">
        <f>IF(SER_hh_fech!N31=0,0,SER_hh_fech!N31/SER_summary!N$26)</f>
        <v>34.335623714172904</v>
      </c>
      <c r="O31" s="133">
        <f>IF(SER_hh_fech!O31=0,0,SER_hh_fech!O31/SER_summary!O$26)</f>
        <v>33.738103806731999</v>
      </c>
      <c r="P31" s="133">
        <f>IF(SER_hh_fech!P31=0,0,SER_hh_fech!P31/SER_summary!P$26)</f>
        <v>31.897158673466656</v>
      </c>
      <c r="Q31" s="133">
        <f>IF(SER_hh_fech!Q31=0,0,SER_hh_fech!Q31/SER_summary!Q$26)</f>
        <v>29.81486383033743</v>
      </c>
      <c r="R31" s="133">
        <f>IF(SER_hh_fech!R31=0,0,SER_hh_fech!R31/SER_summary!R$26)</f>
        <v>35.75769331969348</v>
      </c>
      <c r="S31" s="133">
        <f>IF(SER_hh_fech!S31=0,0,SER_hh_fech!S31/SER_summary!S$26)</f>
        <v>31.398924117148319</v>
      </c>
      <c r="T31" s="133">
        <f>IF(SER_hh_fech!T31=0,0,SER_hh_fech!T31/SER_summary!T$26)</f>
        <v>31.03796139603649</v>
      </c>
      <c r="U31" s="133">
        <f>IF(SER_hh_fech!U31=0,0,SER_hh_fech!U31/SER_summary!U$26)</f>
        <v>33.306068398649721</v>
      </c>
      <c r="V31" s="133">
        <f>IF(SER_hh_fech!V31=0,0,SER_hh_fech!V31/SER_summary!V$26)</f>
        <v>30.025636252696803</v>
      </c>
      <c r="W31" s="133">
        <f>IF(SER_hh_fech!W31=0,0,SER_hh_fech!W31/SER_summary!W$26)</f>
        <v>28.069090766044496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27.389314963845091</v>
      </c>
      <c r="C33" s="68">
        <f>IF(SER_hh_fech!C33=0,0,SER_hh_fech!C33/SER_summary!C$26)</f>
        <v>26.363059493239554</v>
      </c>
      <c r="D33" s="68">
        <f>IF(SER_hh_fech!D33=0,0,SER_hh_fech!D33/SER_summary!D$26)</f>
        <v>25.291247518922418</v>
      </c>
      <c r="E33" s="68">
        <f>IF(SER_hh_fech!E33=0,0,SER_hh_fech!E33/SER_summary!E$26)</f>
        <v>25.677264447479036</v>
      </c>
      <c r="F33" s="68">
        <f>IF(SER_hh_fech!F33=0,0,SER_hh_fech!F33/SER_summary!F$26)</f>
        <v>24.977490004386503</v>
      </c>
      <c r="G33" s="68">
        <f>IF(SER_hh_fech!G33=0,0,SER_hh_fech!G33/SER_summary!G$26)</f>
        <v>25.457117750735595</v>
      </c>
      <c r="H33" s="68">
        <f>IF(SER_hh_fech!H33=0,0,SER_hh_fech!H33/SER_summary!H$26)</f>
        <v>24.550085156329263</v>
      </c>
      <c r="I33" s="68">
        <f>IF(SER_hh_fech!I33=0,0,SER_hh_fech!I33/SER_summary!I$26)</f>
        <v>24.214492620508274</v>
      </c>
      <c r="J33" s="68">
        <f>IF(SER_hh_fech!J33=0,0,SER_hh_fech!J33/SER_summary!J$26)</f>
        <v>24.974461719792249</v>
      </c>
      <c r="K33" s="68">
        <f>IF(SER_hh_fech!K33=0,0,SER_hh_fech!K33/SER_summary!K$26)</f>
        <v>25.974666551787191</v>
      </c>
      <c r="L33" s="68">
        <f>IF(SER_hh_fech!L33=0,0,SER_hh_fech!L33/SER_summary!L$26)</f>
        <v>25.976192761418382</v>
      </c>
      <c r="M33" s="68">
        <f>IF(SER_hh_fech!M33=0,0,SER_hh_fech!M33/SER_summary!M$26)</f>
        <v>25.738688907490985</v>
      </c>
      <c r="N33" s="68">
        <f>IF(SER_hh_fech!N33=0,0,SER_hh_fech!N33/SER_summary!N$26)</f>
        <v>25.43111412563125</v>
      </c>
      <c r="O33" s="68">
        <f>IF(SER_hh_fech!O33=0,0,SER_hh_fech!O33/SER_summary!O$26)</f>
        <v>25.687730653694292</v>
      </c>
      <c r="P33" s="68">
        <f>IF(SER_hh_fech!P33=0,0,SER_hh_fech!P33/SER_summary!P$26)</f>
        <v>25.491902781421505</v>
      </c>
      <c r="Q33" s="68">
        <f>IF(SER_hh_fech!Q33=0,0,SER_hh_fech!Q33/SER_summary!Q$26)</f>
        <v>25.322086544008627</v>
      </c>
      <c r="R33" s="68">
        <f>IF(SER_hh_fech!R33=0,0,SER_hh_fech!R33/SER_summary!R$26)</f>
        <v>24.165755229967484</v>
      </c>
      <c r="S33" s="68">
        <f>IF(SER_hh_fech!S33=0,0,SER_hh_fech!S33/SER_summary!S$26)</f>
        <v>23.478055164073481</v>
      </c>
      <c r="T33" s="68">
        <f>IF(SER_hh_fech!T33=0,0,SER_hh_fech!T33/SER_summary!T$26)</f>
        <v>24.52185514245291</v>
      </c>
      <c r="U33" s="68">
        <f>IF(SER_hh_fech!U33=0,0,SER_hh_fech!U33/SER_summary!U$26)</f>
        <v>22.943989779476727</v>
      </c>
      <c r="V33" s="68">
        <f>IF(SER_hh_fech!V33=0,0,SER_hh_fech!V33/SER_summary!V$26)</f>
        <v>20.632304593426703</v>
      </c>
      <c r="W33" s="68">
        <f>IF(SER_hh_fech!W33=0,0,SER_hh_fech!W33/SER_summary!W$26)</f>
        <v>22.87458526836739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149.65803857939292</v>
      </c>
      <c r="C3" s="126">
        <f>IF(SER_hh_tesh!C3=0,0,SER_hh_tesh!C3/SER_summary!C$26)</f>
        <v>140.59730453736131</v>
      </c>
      <c r="D3" s="126">
        <f>IF(SER_hh_tesh!D3=0,0,SER_hh_tesh!D3/SER_summary!D$26)</f>
        <v>140.21004795136025</v>
      </c>
      <c r="E3" s="126">
        <f>IF(SER_hh_tesh!E3=0,0,SER_hh_tesh!E3/SER_summary!E$26)</f>
        <v>153.37217832762153</v>
      </c>
      <c r="F3" s="126">
        <f>IF(SER_hh_tesh!F3=0,0,SER_hh_tesh!F3/SER_summary!F$26)</f>
        <v>170.73299985876881</v>
      </c>
      <c r="G3" s="126">
        <f>IF(SER_hh_tesh!G3=0,0,SER_hh_tesh!G3/SER_summary!G$26)</f>
        <v>168.22661017216848</v>
      </c>
      <c r="H3" s="126">
        <f>IF(SER_hh_tesh!H3=0,0,SER_hh_tesh!H3/SER_summary!H$26)</f>
        <v>160.05104497284321</v>
      </c>
      <c r="I3" s="126">
        <f>IF(SER_hh_tesh!I3=0,0,SER_hh_tesh!I3/SER_summary!I$26)</f>
        <v>159.5202971765969</v>
      </c>
      <c r="J3" s="126">
        <f>IF(SER_hh_tesh!J3=0,0,SER_hh_tesh!J3/SER_summary!J$26)</f>
        <v>177.18466476071609</v>
      </c>
      <c r="K3" s="126">
        <f>IF(SER_hh_tesh!K3=0,0,SER_hh_tesh!K3/SER_summary!K$26)</f>
        <v>172.61359685711227</v>
      </c>
      <c r="L3" s="126">
        <f>IF(SER_hh_tesh!L3=0,0,SER_hh_tesh!L3/SER_summary!L$26)</f>
        <v>175.34547794239538</v>
      </c>
      <c r="M3" s="126">
        <f>IF(SER_hh_tesh!M3=0,0,SER_hh_tesh!M3/SER_summary!M$26)</f>
        <v>156.26041055289588</v>
      </c>
      <c r="N3" s="126">
        <f>IF(SER_hh_tesh!N3=0,0,SER_hh_tesh!N3/SER_summary!N$26)</f>
        <v>166.70925625328982</v>
      </c>
      <c r="O3" s="126">
        <f>IF(SER_hh_tesh!O3=0,0,SER_hh_tesh!O3/SER_summary!O$26)</f>
        <v>161.96147671800139</v>
      </c>
      <c r="P3" s="126">
        <f>IF(SER_hh_tesh!P3=0,0,SER_hh_tesh!P3/SER_summary!P$26)</f>
        <v>178.76183041228845</v>
      </c>
      <c r="Q3" s="126">
        <f>IF(SER_hh_tesh!Q3=0,0,SER_hh_tesh!Q3/SER_summary!Q$26)</f>
        <v>177.6674244676943</v>
      </c>
      <c r="R3" s="126">
        <f>IF(SER_hh_tesh!R3=0,0,SER_hh_tesh!R3/SER_summary!R$26)</f>
        <v>193.93675889465473</v>
      </c>
      <c r="S3" s="126">
        <f>IF(SER_hh_tesh!S3=0,0,SER_hh_tesh!S3/SER_summary!S$26)</f>
        <v>176.28094023748338</v>
      </c>
      <c r="T3" s="126">
        <f>IF(SER_hh_tesh!T3=0,0,SER_hh_tesh!T3/SER_summary!T$26)</f>
        <v>187.31383193957868</v>
      </c>
      <c r="U3" s="126">
        <f>IF(SER_hh_tesh!U3=0,0,SER_hh_tesh!U3/SER_summary!U$26)</f>
        <v>172.23169864534501</v>
      </c>
      <c r="V3" s="126">
        <f>IF(SER_hh_tesh!V3=0,0,SER_hh_tesh!V3/SER_summary!V$26)</f>
        <v>174.73883550611325</v>
      </c>
      <c r="W3" s="126">
        <f>IF(SER_hh_tesh!W3=0,0,SER_hh_tesh!W3/SER_summary!W$26)</f>
        <v>187.69353575299849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110.83321942487868</v>
      </c>
      <c r="C4" s="131">
        <f>IF(SER_hh_tesh!C4=0,0,SER_hh_tesh!C4/SER_summary!C$26)</f>
        <v>102.18857743491792</v>
      </c>
      <c r="D4" s="131">
        <f>IF(SER_hh_tesh!D4=0,0,SER_hh_tesh!D4/SER_summary!D$26)</f>
        <v>102.81114821591167</v>
      </c>
      <c r="E4" s="131">
        <f>IF(SER_hh_tesh!E4=0,0,SER_hh_tesh!E4/SER_summary!E$26)</f>
        <v>116.15372207525077</v>
      </c>
      <c r="F4" s="131">
        <f>IF(SER_hh_tesh!F4=0,0,SER_hh_tesh!F4/SER_summary!F$26)</f>
        <v>134.42035125144972</v>
      </c>
      <c r="G4" s="131">
        <f>IF(SER_hh_tesh!G4=0,0,SER_hh_tesh!G4/SER_summary!G$26)</f>
        <v>131.65535262291129</v>
      </c>
      <c r="H4" s="131">
        <f>IF(SER_hh_tesh!H4=0,0,SER_hh_tesh!H4/SER_summary!H$26)</f>
        <v>124.46070213803675</v>
      </c>
      <c r="I4" s="131">
        <f>IF(SER_hh_tesh!I4=0,0,SER_hh_tesh!I4/SER_summary!I$26)</f>
        <v>124.63898089585807</v>
      </c>
      <c r="J4" s="131">
        <f>IF(SER_hh_tesh!J4=0,0,SER_hh_tesh!J4/SER_summary!J$26)</f>
        <v>141.36670003905965</v>
      </c>
      <c r="K4" s="131">
        <f>IF(SER_hh_tesh!K4=0,0,SER_hh_tesh!K4/SER_summary!K$26)</f>
        <v>136.10992969350622</v>
      </c>
      <c r="L4" s="131">
        <f>IF(SER_hh_tesh!L4=0,0,SER_hh_tesh!L4/SER_summary!L$26)</f>
        <v>138.46716979884232</v>
      </c>
      <c r="M4" s="131">
        <f>IF(SER_hh_tesh!M4=0,0,SER_hh_tesh!M4/SER_summary!M$26)</f>
        <v>119.32276383283349</v>
      </c>
      <c r="N4" s="131">
        <f>IF(SER_hh_tesh!N4=0,0,SER_hh_tesh!N4/SER_summary!N$26)</f>
        <v>129.80739763084699</v>
      </c>
      <c r="O4" s="131">
        <f>IF(SER_hh_tesh!O4=0,0,SER_hh_tesh!O4/SER_summary!O$26)</f>
        <v>124.77560821496981</v>
      </c>
      <c r="P4" s="131">
        <f>IF(SER_hh_tesh!P4=0,0,SER_hh_tesh!P4/SER_summary!P$26)</f>
        <v>141.58741392724622</v>
      </c>
      <c r="Q4" s="131">
        <f>IF(SER_hh_tesh!Q4=0,0,SER_hh_tesh!Q4/SER_summary!Q$26)</f>
        <v>140.59948843394466</v>
      </c>
      <c r="R4" s="131">
        <f>IF(SER_hh_tesh!R4=0,0,SER_hh_tesh!R4/SER_summary!R$26)</f>
        <v>156.89975966378219</v>
      </c>
      <c r="S4" s="131">
        <f>IF(SER_hh_tesh!S4=0,0,SER_hh_tesh!S4/SER_summary!S$26)</f>
        <v>139.49766947133676</v>
      </c>
      <c r="T4" s="131">
        <f>IF(SER_hh_tesh!T4=0,0,SER_hh_tesh!T4/SER_summary!T$26)</f>
        <v>150.29290075988331</v>
      </c>
      <c r="U4" s="131">
        <f>IF(SER_hh_tesh!U4=0,0,SER_hh_tesh!U4/SER_summary!U$26)</f>
        <v>135.17497535281927</v>
      </c>
      <c r="V4" s="131">
        <f>IF(SER_hh_tesh!V4=0,0,SER_hh_tesh!V4/SER_summary!V$26)</f>
        <v>140.12734295815739</v>
      </c>
      <c r="W4" s="131">
        <f>IF(SER_hh_tesh!W4=0,0,SER_hh_tesh!W4/SER_summary!W$26)</f>
        <v>150.89364731052402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95.253736018872658</v>
      </c>
      <c r="C5" s="133">
        <f>IF(SER_hh_tesh!C5=0,0,SER_hh_tesh!C5/SER_summary!C$26)</f>
        <v>118.08965650417704</v>
      </c>
      <c r="D5" s="133">
        <f>IF(SER_hh_tesh!D5=0,0,SER_hh_tesh!D5/SER_summary!D$26)</f>
        <v>103.5999282831832</v>
      </c>
      <c r="E5" s="133">
        <f>IF(SER_hh_tesh!E5=0,0,SER_hh_tesh!E5/SER_summary!E$26)</f>
        <v>114.73590750742702</v>
      </c>
      <c r="F5" s="133">
        <f>IF(SER_hh_tesh!F5=0,0,SER_hh_tesh!F5/SER_summary!F$26)</f>
        <v>123.15281414792511</v>
      </c>
      <c r="G5" s="133">
        <f>IF(SER_hh_tesh!G5=0,0,SER_hh_tesh!G5/SER_summary!G$26)</f>
        <v>150.89994529659563</v>
      </c>
      <c r="H5" s="133">
        <f>IF(SER_hh_tesh!H5=0,0,SER_hh_tesh!H5/SER_summary!H$26)</f>
        <v>110.28548491975364</v>
      </c>
      <c r="I5" s="133">
        <f>IF(SER_hh_tesh!I5=0,0,SER_hh_tesh!I5/SER_summary!I$26)</f>
        <v>138.33488151619292</v>
      </c>
      <c r="J5" s="133">
        <f>IF(SER_hh_tesh!J5=0,0,SER_hh_tesh!J5/SER_summary!J$26)</f>
        <v>125.0530661510505</v>
      </c>
      <c r="K5" s="133">
        <f>IF(SER_hh_tesh!K5=0,0,SER_hh_tesh!K5/SER_summary!K$26)</f>
        <v>125.06026639307848</v>
      </c>
      <c r="L5" s="133">
        <f>IF(SER_hh_tesh!L5=0,0,SER_hh_tesh!L5/SER_summary!L$26)</f>
        <v>130.16896798239603</v>
      </c>
      <c r="M5" s="133">
        <f>IF(SER_hh_tesh!M5=0,0,SER_hh_tesh!M5/SER_summary!M$26)</f>
        <v>97.310042935033437</v>
      </c>
      <c r="N5" s="133">
        <f>IF(SER_hh_tesh!N5=0,0,SER_hh_tesh!N5/SER_summary!N$26)</f>
        <v>114.82581980405349</v>
      </c>
      <c r="O5" s="133">
        <f>IF(SER_hh_tesh!O5=0,0,SER_hh_tesh!O5/SER_summary!O$26)</f>
        <v>185.86472672565327</v>
      </c>
      <c r="P5" s="133">
        <f>IF(SER_hh_tesh!P5=0,0,SER_hh_tesh!P5/SER_summary!P$26)</f>
        <v>122.39737878760184</v>
      </c>
      <c r="Q5" s="133">
        <f>IF(SER_hh_tesh!Q5=0,0,SER_hh_tesh!Q5/SER_summary!Q$26)</f>
        <v>122.47860718630606</v>
      </c>
      <c r="R5" s="133">
        <f>IF(SER_hh_tesh!R5=0,0,SER_hh_tesh!R5/SER_summary!R$26)</f>
        <v>188.16068046443772</v>
      </c>
      <c r="S5" s="133">
        <f>IF(SER_hh_tesh!S5=0,0,SER_hh_tesh!S5/SER_summary!S$26)</f>
        <v>110.24992726916877</v>
      </c>
      <c r="T5" s="133">
        <f>IF(SER_hh_tesh!T5=0,0,SER_hh_tesh!T5/SER_summary!T$26)</f>
        <v>134.18642137836562</v>
      </c>
      <c r="U5" s="133">
        <f>IF(SER_hh_tesh!U5=0,0,SER_hh_tesh!U5/SER_summary!U$26)</f>
        <v>134.04616319985416</v>
      </c>
      <c r="V5" s="133">
        <f>IF(SER_hh_tesh!V5=0,0,SER_hh_tesh!V5/SER_summary!V$26)</f>
        <v>143.44908149444541</v>
      </c>
      <c r="W5" s="133">
        <f>IF(SER_hh_tesh!W5=0,0,SER_hh_tesh!W5/SER_summary!W$26)</f>
        <v>145.42921271590185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93.433581619164514</v>
      </c>
      <c r="C7" s="133">
        <f>IF(SER_hh_tesh!C7=0,0,SER_hh_tesh!C7/SER_summary!C$26)</f>
        <v>122.41630461964397</v>
      </c>
      <c r="D7" s="133">
        <f>IF(SER_hh_tesh!D7=0,0,SER_hh_tesh!D7/SER_summary!D$26)</f>
        <v>96.194865536638773</v>
      </c>
      <c r="E7" s="133">
        <f>IF(SER_hh_tesh!E7=0,0,SER_hh_tesh!E7/SER_summary!E$26)</f>
        <v>102.9423989009794</v>
      </c>
      <c r="F7" s="133">
        <f>IF(SER_hh_tesh!F7=0,0,SER_hh_tesh!F7/SER_summary!F$26)</f>
        <v>120.27895833961576</v>
      </c>
      <c r="G7" s="133">
        <f>IF(SER_hh_tesh!G7=0,0,SER_hh_tesh!G7/SER_summary!G$26)</f>
        <v>140.65259472742389</v>
      </c>
      <c r="H7" s="133">
        <f>IF(SER_hh_tesh!H7=0,0,SER_hh_tesh!H7/SER_summary!H$26)</f>
        <v>114.63748979679735</v>
      </c>
      <c r="I7" s="133">
        <f>IF(SER_hh_tesh!I7=0,0,SER_hh_tesh!I7/SER_summary!I$26)</f>
        <v>128.28260966393478</v>
      </c>
      <c r="J7" s="133">
        <f>IF(SER_hh_tesh!J7=0,0,SER_hh_tesh!J7/SER_summary!J$26)</f>
        <v>136.52440285245049</v>
      </c>
      <c r="K7" s="133">
        <f>IF(SER_hh_tesh!K7=0,0,SER_hh_tesh!K7/SER_summary!K$26)</f>
        <v>127.76562128119838</v>
      </c>
      <c r="L7" s="133">
        <f>IF(SER_hh_tesh!L7=0,0,SER_hh_tesh!L7/SER_summary!L$26)</f>
        <v>104.30637856753452</v>
      </c>
      <c r="M7" s="133">
        <f>IF(SER_hh_tesh!M7=0,0,SER_hh_tesh!M7/SER_summary!M$26)</f>
        <v>136.1808724079367</v>
      </c>
      <c r="N7" s="133">
        <f>IF(SER_hh_tesh!N7=0,0,SER_hh_tesh!N7/SER_summary!N$26)</f>
        <v>138.94906583728422</v>
      </c>
      <c r="O7" s="133">
        <f>IF(SER_hh_tesh!O7=0,0,SER_hh_tesh!O7/SER_summary!O$26)</f>
        <v>134.12795964125507</v>
      </c>
      <c r="P7" s="133">
        <f>IF(SER_hh_tesh!P7=0,0,SER_hh_tesh!P7/SER_summary!P$26)</f>
        <v>120.84866443605991</v>
      </c>
      <c r="Q7" s="133">
        <f>IF(SER_hh_tesh!Q7=0,0,SER_hh_tesh!Q7/SER_summary!Q$26)</f>
        <v>148.80781800239265</v>
      </c>
      <c r="R7" s="133">
        <f>IF(SER_hh_tesh!R7=0,0,SER_hh_tesh!R7/SER_summary!R$26)</f>
        <v>128.24774721505736</v>
      </c>
      <c r="S7" s="133">
        <f>IF(SER_hh_tesh!S7=0,0,SER_hh_tesh!S7/SER_summary!S$26)</f>
        <v>147.25404182514106</v>
      </c>
      <c r="T7" s="133">
        <f>IF(SER_hh_tesh!T7=0,0,SER_hh_tesh!T7/SER_summary!T$26)</f>
        <v>157.35453039667726</v>
      </c>
      <c r="U7" s="133">
        <f>IF(SER_hh_tesh!U7=0,0,SER_hh_tesh!U7/SER_summary!U$26)</f>
        <v>122.15357346091447</v>
      </c>
      <c r="V7" s="133">
        <f>IF(SER_hh_tesh!V7=0,0,SER_hh_tesh!V7/SER_summary!V$26)</f>
        <v>137.32330678686114</v>
      </c>
      <c r="W7" s="133">
        <f>IF(SER_hh_tesh!W7=0,0,SER_hh_tesh!W7/SER_summary!W$26)</f>
        <v>148.53175325890868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76.79774236252058</v>
      </c>
      <c r="C9" s="133">
        <f>IF(SER_hh_tesh!C9=0,0,SER_hh_tesh!C9/SER_summary!C$26)</f>
        <v>107.87186573335573</v>
      </c>
      <c r="D9" s="133">
        <f>IF(SER_hh_tesh!D9=0,0,SER_hh_tesh!D9/SER_summary!D$26)</f>
        <v>77.83058631667484</v>
      </c>
      <c r="E9" s="133">
        <f>IF(SER_hh_tesh!E9=0,0,SER_hh_tesh!E9/SER_summary!E$26)</f>
        <v>156.41991913285085</v>
      </c>
      <c r="F9" s="133">
        <f>IF(SER_hh_tesh!F9=0,0,SER_hh_tesh!F9/SER_summary!F$26)</f>
        <v>138.3288748048634</v>
      </c>
      <c r="G9" s="133">
        <f>IF(SER_hh_tesh!G9=0,0,SER_hh_tesh!G9/SER_summary!G$26)</f>
        <v>112.87969217980493</v>
      </c>
      <c r="H9" s="133">
        <f>IF(SER_hh_tesh!H9=0,0,SER_hh_tesh!H9/SER_summary!H$26)</f>
        <v>132.87012193359806</v>
      </c>
      <c r="I9" s="133">
        <f>IF(SER_hh_tesh!I9=0,0,SER_hh_tesh!I9/SER_summary!I$26)</f>
        <v>135.30495939877773</v>
      </c>
      <c r="J9" s="133">
        <f>IF(SER_hh_tesh!J9=0,0,SER_hh_tesh!J9/SER_summary!J$26)</f>
        <v>122.87861595805268</v>
      </c>
      <c r="K9" s="133">
        <f>IF(SER_hh_tesh!K9=0,0,SER_hh_tesh!K9/SER_summary!K$26)</f>
        <v>112.23882965730832</v>
      </c>
      <c r="L9" s="133">
        <f>IF(SER_hh_tesh!L9=0,0,SER_hh_tesh!L9/SER_summary!L$26)</f>
        <v>126.79640061904396</v>
      </c>
      <c r="M9" s="133">
        <f>IF(SER_hh_tesh!M9=0,0,SER_hh_tesh!M9/SER_summary!M$26)</f>
        <v>117.18476887475845</v>
      </c>
      <c r="N9" s="133">
        <f>IF(SER_hh_tesh!N9=0,0,SER_hh_tesh!N9/SER_summary!N$26)</f>
        <v>111.28108525441647</v>
      </c>
      <c r="O9" s="133">
        <f>IF(SER_hh_tesh!O9=0,0,SER_hh_tesh!O9/SER_summary!O$26)</f>
        <v>116.83195562461087</v>
      </c>
      <c r="P9" s="133">
        <f>IF(SER_hh_tesh!P9=0,0,SER_hh_tesh!P9/SER_summary!P$26)</f>
        <v>150.91799921724746</v>
      </c>
      <c r="Q9" s="133">
        <f>IF(SER_hh_tesh!Q9=0,0,SER_hh_tesh!Q9/SER_summary!Q$26)</f>
        <v>142.47638772146547</v>
      </c>
      <c r="R9" s="133">
        <f>IF(SER_hh_tesh!R9=0,0,SER_hh_tesh!R9/SER_summary!R$26)</f>
        <v>161.13719384173089</v>
      </c>
      <c r="S9" s="133">
        <f>IF(SER_hh_tesh!S9=0,0,SER_hh_tesh!S9/SER_summary!S$26)</f>
        <v>136.29755183379947</v>
      </c>
      <c r="T9" s="133">
        <f>IF(SER_hh_tesh!T9=0,0,SER_hh_tesh!T9/SER_summary!T$26)</f>
        <v>145.51794570308587</v>
      </c>
      <c r="U9" s="133">
        <f>IF(SER_hh_tesh!U9=0,0,SER_hh_tesh!U9/SER_summary!U$26)</f>
        <v>134.96955362633227</v>
      </c>
      <c r="V9" s="133">
        <f>IF(SER_hh_tesh!V9=0,0,SER_hh_tesh!V9/SER_summary!V$26)</f>
        <v>137.47323415032875</v>
      </c>
      <c r="W9" s="133">
        <f>IF(SER_hh_tesh!W9=0,0,SER_hh_tesh!W9/SER_summary!W$26)</f>
        <v>148.8607672928926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90.59657212709412</v>
      </c>
      <c r="C10" s="133">
        <f>IF(SER_hh_tesh!C10=0,0,SER_hh_tesh!C10/SER_summary!C$26)</f>
        <v>112.12471912300559</v>
      </c>
      <c r="D10" s="133">
        <f>IF(SER_hh_tesh!D10=0,0,SER_hh_tesh!D10/SER_summary!D$26)</f>
        <v>100.47972124991807</v>
      </c>
      <c r="E10" s="133">
        <f>IF(SER_hh_tesh!E10=0,0,SER_hh_tesh!E10/SER_summary!E$26)</f>
        <v>98.395936853545308</v>
      </c>
      <c r="F10" s="133">
        <f>IF(SER_hh_tesh!F10=0,0,SER_hh_tesh!F10/SER_summary!F$26)</f>
        <v>174.29586203292891</v>
      </c>
      <c r="G10" s="133">
        <f>IF(SER_hh_tesh!G10=0,0,SER_hh_tesh!G10/SER_summary!G$26)</f>
        <v>110.57971004395756</v>
      </c>
      <c r="H10" s="133">
        <f>IF(SER_hh_tesh!H10=0,0,SER_hh_tesh!H10/SER_summary!H$26)</f>
        <v>126.88736983985014</v>
      </c>
      <c r="I10" s="133">
        <f>IF(SER_hh_tesh!I10=0,0,SER_hh_tesh!I10/SER_summary!I$26)</f>
        <v>136.33216549585509</v>
      </c>
      <c r="J10" s="133">
        <f>IF(SER_hh_tesh!J10=0,0,SER_hh_tesh!J10/SER_summary!J$26)</f>
        <v>146.82042499726217</v>
      </c>
      <c r="K10" s="133">
        <f>IF(SER_hh_tesh!K10=0,0,SER_hh_tesh!K10/SER_summary!K$26)</f>
        <v>109.94916026018353</v>
      </c>
      <c r="L10" s="133">
        <f>IF(SER_hh_tesh!L10=0,0,SER_hh_tesh!L10/SER_summary!L$26)</f>
        <v>136.2681022265117</v>
      </c>
      <c r="M10" s="133">
        <f>IF(SER_hh_tesh!M10=0,0,SER_hh_tesh!M10/SER_summary!M$26)</f>
        <v>149.68658063374795</v>
      </c>
      <c r="N10" s="133">
        <f>IF(SER_hh_tesh!N10=0,0,SER_hh_tesh!N10/SER_summary!N$26)</f>
        <v>110.51281501457925</v>
      </c>
      <c r="O10" s="133">
        <f>IF(SER_hh_tesh!O10=0,0,SER_hh_tesh!O10/SER_summary!O$26)</f>
        <v>119.62633405688348</v>
      </c>
      <c r="P10" s="133">
        <f>IF(SER_hh_tesh!P10=0,0,SER_hh_tesh!P10/SER_summary!P$26)</f>
        <v>127.39312923933591</v>
      </c>
      <c r="Q10" s="133">
        <f>IF(SER_hh_tesh!Q10=0,0,SER_hh_tesh!Q10/SER_summary!Q$26)</f>
        <v>142.81164400955248</v>
      </c>
      <c r="R10" s="133">
        <f>IF(SER_hh_tesh!R10=0,0,SER_hh_tesh!R10/SER_summary!R$26)</f>
        <v>139.458695896965</v>
      </c>
      <c r="S10" s="133">
        <f>IF(SER_hh_tesh!S10=0,0,SER_hh_tesh!S10/SER_summary!S$26)</f>
        <v>148.37458781907583</v>
      </c>
      <c r="T10" s="133">
        <f>IF(SER_hh_tesh!T10=0,0,SER_hh_tesh!T10/SER_summary!T$26)</f>
        <v>128.84910453428242</v>
      </c>
      <c r="U10" s="133">
        <f>IF(SER_hh_tesh!U10=0,0,SER_hh_tesh!U10/SER_summary!U$26)</f>
        <v>137.96190600472764</v>
      </c>
      <c r="V10" s="133">
        <f>IF(SER_hh_tesh!V10=0,0,SER_hh_tesh!V10/SER_summary!V$26)</f>
        <v>164.09703563249371</v>
      </c>
      <c r="W10" s="133">
        <f>IF(SER_hh_tesh!W10=0,0,SER_hh_tesh!W10/SER_summary!W$26)</f>
        <v>141.06398905298133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126.22960100803149</v>
      </c>
      <c r="C12" s="133">
        <f>IF(SER_hh_tesh!C12=0,0,SER_hh_tesh!C12/SER_summary!C$26)</f>
        <v>87.59784167548537</v>
      </c>
      <c r="D12" s="133">
        <f>IF(SER_hh_tesh!D12=0,0,SER_hh_tesh!D12/SER_summary!D$26)</f>
        <v>107.04810657175354</v>
      </c>
      <c r="E12" s="133">
        <f>IF(SER_hh_tesh!E12=0,0,SER_hh_tesh!E12/SER_summary!E$26)</f>
        <v>106.15332583527429</v>
      </c>
      <c r="F12" s="133">
        <f>IF(SER_hh_tesh!F12=0,0,SER_hh_tesh!F12/SER_summary!F$26)</f>
        <v>130.57765438478057</v>
      </c>
      <c r="G12" s="133">
        <f>IF(SER_hh_tesh!G12=0,0,SER_hh_tesh!G12/SER_summary!G$26)</f>
        <v>142.37637435063189</v>
      </c>
      <c r="H12" s="133">
        <f>IF(SER_hh_tesh!H12=0,0,SER_hh_tesh!H12/SER_summary!H$26)</f>
        <v>121.3018169985599</v>
      </c>
      <c r="I12" s="133">
        <f>IF(SER_hh_tesh!I12=0,0,SER_hh_tesh!I12/SER_summary!I$26)</f>
        <v>113.90233311054699</v>
      </c>
      <c r="J12" s="133">
        <f>IF(SER_hh_tesh!J12=0,0,SER_hh_tesh!J12/SER_summary!J$26)</f>
        <v>140.87585340557777</v>
      </c>
      <c r="K12" s="133">
        <f>IF(SER_hh_tesh!K12=0,0,SER_hh_tesh!K12/SER_summary!K$26)</f>
        <v>138.7929021574819</v>
      </c>
      <c r="L12" s="133">
        <f>IF(SER_hh_tesh!L12=0,0,SER_hh_tesh!L12/SER_summary!L$26)</f>
        <v>147.96996488794596</v>
      </c>
      <c r="M12" s="133">
        <f>IF(SER_hh_tesh!M12=0,0,SER_hh_tesh!M12/SER_summary!M$26)</f>
        <v>115.47055131600906</v>
      </c>
      <c r="N12" s="133">
        <f>IF(SER_hh_tesh!N12=0,0,SER_hh_tesh!N12/SER_summary!N$26)</f>
        <v>131.25920459694177</v>
      </c>
      <c r="O12" s="133">
        <f>IF(SER_hh_tesh!O12=0,0,SER_hh_tesh!O12/SER_summary!O$26)</f>
        <v>124.52727252267097</v>
      </c>
      <c r="P12" s="133">
        <f>IF(SER_hh_tesh!P12=0,0,SER_hh_tesh!P12/SER_summary!P$26)</f>
        <v>137.55595024387009</v>
      </c>
      <c r="Q12" s="133">
        <f>IF(SER_hh_tesh!Q12=0,0,SER_hh_tesh!Q12/SER_summary!Q$26)</f>
        <v>136.39700064091619</v>
      </c>
      <c r="R12" s="133">
        <f>IF(SER_hh_tesh!R12=0,0,SER_hh_tesh!R12/SER_summary!R$26)</f>
        <v>153.34360154494507</v>
      </c>
      <c r="S12" s="133">
        <f>IF(SER_hh_tesh!S12=0,0,SER_hh_tesh!S12/SER_summary!S$26)</f>
        <v>146.09033661733804</v>
      </c>
      <c r="T12" s="133">
        <f>IF(SER_hh_tesh!T12=0,0,SER_hh_tesh!T12/SER_summary!T$26)</f>
        <v>151.20654982335688</v>
      </c>
      <c r="U12" s="133">
        <f>IF(SER_hh_tesh!U12=0,0,SER_hh_tesh!U12/SER_summary!U$26)</f>
        <v>128.7896754434407</v>
      </c>
      <c r="V12" s="133">
        <f>IF(SER_hh_tesh!V12=0,0,SER_hh_tesh!V12/SER_summary!V$26)</f>
        <v>141.08600999538402</v>
      </c>
      <c r="W12" s="133">
        <f>IF(SER_hh_tesh!W12=0,0,SER_hh_tesh!W12/SER_summary!W$26)</f>
        <v>148.53340606228852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102.99288471438125</v>
      </c>
      <c r="C14" s="65">
        <f>IF(SER_hh_tesh!C14=0,0,SER_hh_tesh!C14/SER_summary!C$26)</f>
        <v>103.35573904387384</v>
      </c>
      <c r="D14" s="65">
        <f>IF(SER_hh_tesh!D14=0,0,SER_hh_tesh!D14/SER_summary!D$26)</f>
        <v>112.5723020944837</v>
      </c>
      <c r="E14" s="65">
        <f>IF(SER_hh_tesh!E14=0,0,SER_hh_tesh!E14/SER_summary!E$26)</f>
        <v>108.41861785943652</v>
      </c>
      <c r="F14" s="65">
        <f>IF(SER_hh_tesh!F14=0,0,SER_hh_tesh!F14/SER_summary!F$26)</f>
        <v>130.92860754309058</v>
      </c>
      <c r="G14" s="65">
        <f>IF(SER_hh_tesh!G14=0,0,SER_hh_tesh!G14/SER_summary!G$26)</f>
        <v>118.42484841810003</v>
      </c>
      <c r="H14" s="65">
        <f>IF(SER_hh_tesh!H14=0,0,SER_hh_tesh!H14/SER_summary!H$26)</f>
        <v>126.17176599771591</v>
      </c>
      <c r="I14" s="65">
        <f>IF(SER_hh_tesh!I14=0,0,SER_hh_tesh!I14/SER_summary!I$26)</f>
        <v>130.70680108247271</v>
      </c>
      <c r="J14" s="65">
        <f>IF(SER_hh_tesh!J14=0,0,SER_hh_tesh!J14/SER_summary!J$26)</f>
        <v>146.95808649621864</v>
      </c>
      <c r="K14" s="65">
        <f>IF(SER_hh_tesh!K14=0,0,SER_hh_tesh!K14/SER_summary!K$26)</f>
        <v>144.04891108682665</v>
      </c>
      <c r="L14" s="65">
        <f>IF(SER_hh_tesh!L14=0,0,SER_hh_tesh!L14/SER_summary!L$26)</f>
        <v>135.40036300778408</v>
      </c>
      <c r="M14" s="65">
        <f>IF(SER_hh_tesh!M14=0,0,SER_hh_tesh!M14/SER_summary!M$26)</f>
        <v>111.53138930973621</v>
      </c>
      <c r="N14" s="65">
        <f>IF(SER_hh_tesh!N14=0,0,SER_hh_tesh!N14/SER_summary!N$26)</f>
        <v>131.42351359788421</v>
      </c>
      <c r="O14" s="65">
        <f>IF(SER_hh_tesh!O14=0,0,SER_hh_tesh!O14/SER_summary!O$26)</f>
        <v>121.05830568119178</v>
      </c>
      <c r="P14" s="65">
        <f>IF(SER_hh_tesh!P14=0,0,SER_hh_tesh!P14/SER_summary!P$26)</f>
        <v>147.3966141547582</v>
      </c>
      <c r="Q14" s="65">
        <f>IF(SER_hh_tesh!Q14=0,0,SER_hh_tesh!Q14/SER_summary!Q$26)</f>
        <v>139.7293934798162</v>
      </c>
      <c r="R14" s="65">
        <f>IF(SER_hh_tesh!R14=0,0,SER_hh_tesh!R14/SER_summary!R$26)</f>
        <v>163.79808231957284</v>
      </c>
      <c r="S14" s="65">
        <f>IF(SER_hh_tesh!S14=0,0,SER_hh_tesh!S14/SER_summary!S$26)</f>
        <v>126.02646798852381</v>
      </c>
      <c r="T14" s="65">
        <f>IF(SER_hh_tesh!T14=0,0,SER_hh_tesh!T14/SER_summary!T$26)</f>
        <v>149.80056799982646</v>
      </c>
      <c r="U14" s="65">
        <f>IF(SER_hh_tesh!U14=0,0,SER_hh_tesh!U14/SER_summary!U$26)</f>
        <v>143.48557778498565</v>
      </c>
      <c r="V14" s="65">
        <f>IF(SER_hh_tesh!V14=0,0,SER_hh_tesh!V14/SER_summary!V$26)</f>
        <v>136.08995605532738</v>
      </c>
      <c r="W14" s="65">
        <f>IF(SER_hh_tesh!W14=0,0,SER_hh_tesh!W14/SER_summary!W$26)</f>
        <v>153.90028175112445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1.041329181041708</v>
      </c>
      <c r="C15" s="135">
        <f>IF(SER_hh_tesh!C15=0,0,SER_hh_tesh!C15/SER_summary!C$26)</f>
        <v>1.1463698238120099</v>
      </c>
      <c r="D15" s="135">
        <f>IF(SER_hh_tesh!D15=0,0,SER_hh_tesh!D15/SER_summary!D$26)</f>
        <v>0.99447212101291205</v>
      </c>
      <c r="E15" s="135">
        <f>IF(SER_hh_tesh!E15=0,0,SER_hh_tesh!E15/SER_summary!E$26)</f>
        <v>1.339851119893811</v>
      </c>
      <c r="F15" s="135">
        <f>IF(SER_hh_tesh!F15=0,0,SER_hh_tesh!F15/SER_summary!F$26)</f>
        <v>1.3722023785263018</v>
      </c>
      <c r="G15" s="135">
        <f>IF(SER_hh_tesh!G15=0,0,SER_hh_tesh!G15/SER_summary!G$26)</f>
        <v>1.2484738579359149</v>
      </c>
      <c r="H15" s="135">
        <f>IF(SER_hh_tesh!H15=0,0,SER_hh_tesh!H15/SER_summary!H$26)</f>
        <v>1.1331718975604019</v>
      </c>
      <c r="I15" s="135">
        <f>IF(SER_hh_tesh!I15=0,0,SER_hh_tesh!I15/SER_summary!I$26)</f>
        <v>1.0983490951082238</v>
      </c>
      <c r="J15" s="135">
        <f>IF(SER_hh_tesh!J15=0,0,SER_hh_tesh!J15/SER_summary!J$26)</f>
        <v>1.1004749037402113</v>
      </c>
      <c r="K15" s="135">
        <f>IF(SER_hh_tesh!K15=0,0,SER_hh_tesh!K15/SER_summary!K$26)</f>
        <v>0.99222481848067046</v>
      </c>
      <c r="L15" s="135">
        <f>IF(SER_hh_tesh!L15=0,0,SER_hh_tesh!L15/SER_summary!L$26)</f>
        <v>0.99916640369018217</v>
      </c>
      <c r="M15" s="135">
        <f>IF(SER_hh_tesh!M15=0,0,SER_hh_tesh!M15/SER_summary!M$26)</f>
        <v>1.0095016451346979</v>
      </c>
      <c r="N15" s="135">
        <f>IF(SER_hh_tesh!N15=0,0,SER_hh_tesh!N15/SER_summary!N$26)</f>
        <v>1.0550069437394707</v>
      </c>
      <c r="O15" s="135">
        <f>IF(SER_hh_tesh!O15=0,0,SER_hh_tesh!O15/SER_summary!O$26)</f>
        <v>1.0941122018579068</v>
      </c>
      <c r="P15" s="135">
        <f>IF(SER_hh_tesh!P15=0,0,SER_hh_tesh!P15/SER_summary!P$26)</f>
        <v>1.2488681047454202</v>
      </c>
      <c r="Q15" s="135">
        <f>IF(SER_hh_tesh!Q15=0,0,SER_hh_tesh!Q15/SER_summary!Q$26)</f>
        <v>1.2831420145792585</v>
      </c>
      <c r="R15" s="135">
        <f>IF(SER_hh_tesh!R15=0,0,SER_hh_tesh!R15/SER_summary!R$26)</f>
        <v>1.3697335781767279</v>
      </c>
      <c r="S15" s="135">
        <f>IF(SER_hh_tesh!S15=0,0,SER_hh_tesh!S15/SER_summary!S$26)</f>
        <v>1.2446541430051283</v>
      </c>
      <c r="T15" s="135">
        <f>IF(SER_hh_tesh!T15=0,0,SER_hh_tesh!T15/SER_summary!T$26)</f>
        <v>1.2991869350584797</v>
      </c>
      <c r="U15" s="135">
        <f>IF(SER_hh_tesh!U15=0,0,SER_hh_tesh!U15/SER_summary!U$26)</f>
        <v>1.1510174243798776</v>
      </c>
      <c r="V15" s="135">
        <f>IF(SER_hh_tesh!V15=0,0,SER_hh_tesh!V15/SER_summary!V$26)</f>
        <v>1.2118168114348047</v>
      </c>
      <c r="W15" s="135">
        <f>IF(SER_hh_tesh!W15=0,0,SER_hh_tesh!W15/SER_summary!W$26)</f>
        <v>1.284645951251463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22.178329014449634</v>
      </c>
      <c r="C16" s="131">
        <f>IF(SER_hh_tesh!C16=0,0,SER_hh_tesh!C16/SER_summary!C$26)</f>
        <v>22.470091220840086</v>
      </c>
      <c r="D16" s="131">
        <f>IF(SER_hh_tesh!D16=0,0,SER_hh_tesh!D16/SER_summary!D$26)</f>
        <v>22.407376201039515</v>
      </c>
      <c r="E16" s="131">
        <f>IF(SER_hh_tesh!E16=0,0,SER_hh_tesh!E16/SER_summary!E$26)</f>
        <v>23.490127535625607</v>
      </c>
      <c r="F16" s="131">
        <f>IF(SER_hh_tesh!F16=0,0,SER_hh_tesh!F16/SER_summary!F$26)</f>
        <v>22.372435692452456</v>
      </c>
      <c r="G16" s="131">
        <f>IF(SER_hh_tesh!G16=0,0,SER_hh_tesh!G16/SER_summary!G$26)</f>
        <v>22.42845167868694</v>
      </c>
      <c r="H16" s="131">
        <f>IF(SER_hh_tesh!H16=0,0,SER_hh_tesh!H16/SER_summary!H$26)</f>
        <v>22.804366694877658</v>
      </c>
      <c r="I16" s="131">
        <f>IF(SER_hh_tesh!I16=0,0,SER_hh_tesh!I16/SER_summary!I$26)</f>
        <v>22.500208433525565</v>
      </c>
      <c r="J16" s="131">
        <f>IF(SER_hh_tesh!J16=0,0,SER_hh_tesh!J16/SER_summary!J$26)</f>
        <v>22.546611808690248</v>
      </c>
      <c r="K16" s="131">
        <f>IF(SER_hh_tesh!K16=0,0,SER_hh_tesh!K16/SER_summary!K$26)</f>
        <v>22.573894140765812</v>
      </c>
      <c r="L16" s="131">
        <f>IF(SER_hh_tesh!L16=0,0,SER_hh_tesh!L16/SER_summary!L$26)</f>
        <v>26.348776462147402</v>
      </c>
      <c r="M16" s="131">
        <f>IF(SER_hh_tesh!M16=0,0,SER_hh_tesh!M16/SER_summary!M$26)</f>
        <v>23.959411247733851</v>
      </c>
      <c r="N16" s="131">
        <f>IF(SER_hh_tesh!N16=0,0,SER_hh_tesh!N16/SER_summary!N$26)</f>
        <v>23.020362815918535</v>
      </c>
      <c r="O16" s="131">
        <f>IF(SER_hh_tesh!O16=0,0,SER_hh_tesh!O16/SER_summary!O$26)</f>
        <v>22.87711268614537</v>
      </c>
      <c r="P16" s="131">
        <f>IF(SER_hh_tesh!P16=0,0,SER_hh_tesh!P16/SER_summary!P$26)</f>
        <v>23.369229590544339</v>
      </c>
      <c r="Q16" s="131">
        <f>IF(SER_hh_tesh!Q16=0,0,SER_hh_tesh!Q16/SER_summary!Q$26)</f>
        <v>22.901124916526221</v>
      </c>
      <c r="R16" s="131">
        <f>IF(SER_hh_tesh!R16=0,0,SER_hh_tesh!R16/SER_summary!R$26)</f>
        <v>23.275460273345253</v>
      </c>
      <c r="S16" s="131">
        <f>IF(SER_hh_tesh!S16=0,0,SER_hh_tesh!S16/SER_summary!S$26)</f>
        <v>23.357686333762913</v>
      </c>
      <c r="T16" s="131">
        <f>IF(SER_hh_tesh!T16=0,0,SER_hh_tesh!T16/SER_summary!T$26)</f>
        <v>25.033278580538859</v>
      </c>
      <c r="U16" s="131">
        <f>IF(SER_hh_tesh!U16=0,0,SER_hh_tesh!U16/SER_summary!U$26)</f>
        <v>23.472770115579603</v>
      </c>
      <c r="V16" s="131">
        <f>IF(SER_hh_tesh!V16=0,0,SER_hh_tesh!V16/SER_summary!V$26)</f>
        <v>23.525964912831224</v>
      </c>
      <c r="W16" s="131">
        <f>IF(SER_hh_tesh!W16=0,0,SER_hh_tesh!W16/SER_summary!W$26)</f>
        <v>26.157812527124221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22.178329014449634</v>
      </c>
      <c r="C18" s="133">
        <f>IF(SER_hh_tesh!C18=0,0,SER_hh_tesh!C18/SER_summary!C$26)</f>
        <v>22.470091220840086</v>
      </c>
      <c r="D18" s="133">
        <f>IF(SER_hh_tesh!D18=0,0,SER_hh_tesh!D18/SER_summary!D$26)</f>
        <v>22.407376201039515</v>
      </c>
      <c r="E18" s="133">
        <f>IF(SER_hh_tesh!E18=0,0,SER_hh_tesh!E18/SER_summary!E$26)</f>
        <v>23.490127535625607</v>
      </c>
      <c r="F18" s="133">
        <f>IF(SER_hh_tesh!F18=0,0,SER_hh_tesh!F18/SER_summary!F$26)</f>
        <v>22.372435692452456</v>
      </c>
      <c r="G18" s="133">
        <f>IF(SER_hh_tesh!G18=0,0,SER_hh_tesh!G18/SER_summary!G$26)</f>
        <v>22.42845167868694</v>
      </c>
      <c r="H18" s="133">
        <f>IF(SER_hh_tesh!H18=0,0,SER_hh_tesh!H18/SER_summary!H$26)</f>
        <v>22.804366694877658</v>
      </c>
      <c r="I18" s="133">
        <f>IF(SER_hh_tesh!I18=0,0,SER_hh_tesh!I18/SER_summary!I$26)</f>
        <v>22.500208433525565</v>
      </c>
      <c r="J18" s="133">
        <f>IF(SER_hh_tesh!J18=0,0,SER_hh_tesh!J18/SER_summary!J$26)</f>
        <v>22.546611808690248</v>
      </c>
      <c r="K18" s="133">
        <f>IF(SER_hh_tesh!K18=0,0,SER_hh_tesh!K18/SER_summary!K$26)</f>
        <v>22.573894140765812</v>
      </c>
      <c r="L18" s="133">
        <f>IF(SER_hh_tesh!L18=0,0,SER_hh_tesh!L18/SER_summary!L$26)</f>
        <v>26.348776462147402</v>
      </c>
      <c r="M18" s="133">
        <f>IF(SER_hh_tesh!M18=0,0,SER_hh_tesh!M18/SER_summary!M$26)</f>
        <v>23.959411247733851</v>
      </c>
      <c r="N18" s="133">
        <f>IF(SER_hh_tesh!N18=0,0,SER_hh_tesh!N18/SER_summary!N$26)</f>
        <v>23.020362815918535</v>
      </c>
      <c r="O18" s="133">
        <f>IF(SER_hh_tesh!O18=0,0,SER_hh_tesh!O18/SER_summary!O$26)</f>
        <v>22.87711268614537</v>
      </c>
      <c r="P18" s="133">
        <f>IF(SER_hh_tesh!P18=0,0,SER_hh_tesh!P18/SER_summary!P$26)</f>
        <v>23.369229590544339</v>
      </c>
      <c r="Q18" s="133">
        <f>IF(SER_hh_tesh!Q18=0,0,SER_hh_tesh!Q18/SER_summary!Q$26)</f>
        <v>22.901124916526221</v>
      </c>
      <c r="R18" s="133">
        <f>IF(SER_hh_tesh!R18=0,0,SER_hh_tesh!R18/SER_summary!R$26)</f>
        <v>23.275460273345253</v>
      </c>
      <c r="S18" s="133">
        <f>IF(SER_hh_tesh!S18=0,0,SER_hh_tesh!S18/SER_summary!S$26)</f>
        <v>23.357686333762913</v>
      </c>
      <c r="T18" s="133">
        <f>IF(SER_hh_tesh!T18=0,0,SER_hh_tesh!T18/SER_summary!T$26)</f>
        <v>25.033278580538859</v>
      </c>
      <c r="U18" s="133">
        <f>IF(SER_hh_tesh!U18=0,0,SER_hh_tesh!U18/SER_summary!U$26)</f>
        <v>23.472770115579603</v>
      </c>
      <c r="V18" s="133">
        <f>IF(SER_hh_tesh!V18=0,0,SER_hh_tesh!V18/SER_summary!V$26)</f>
        <v>23.525964912831224</v>
      </c>
      <c r="W18" s="133">
        <f>IF(SER_hh_tesh!W18=0,0,SER_hh_tesh!W18/SER_summary!W$26)</f>
        <v>26.157812527124221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19.075341578912077</v>
      </c>
      <c r="C19" s="131">
        <f>IF(SER_hh_tesh!C19=0,0,SER_hh_tesh!C19/SER_summary!C$26)</f>
        <v>18.712051919842171</v>
      </c>
      <c r="D19" s="131">
        <f>IF(SER_hh_tesh!D19=0,0,SER_hh_tesh!D19/SER_summary!D$26)</f>
        <v>18.086530388775675</v>
      </c>
      <c r="E19" s="131">
        <f>IF(SER_hh_tesh!E19=0,0,SER_hh_tesh!E19/SER_summary!E$26)</f>
        <v>17.787426086865494</v>
      </c>
      <c r="F19" s="131">
        <f>IF(SER_hh_tesh!F19=0,0,SER_hh_tesh!F19/SER_summary!F$26)</f>
        <v>17.218449206467049</v>
      </c>
      <c r="G19" s="131">
        <f>IF(SER_hh_tesh!G19=0,0,SER_hh_tesh!G19/SER_summary!G$26)</f>
        <v>17.182611384868615</v>
      </c>
      <c r="H19" s="131">
        <f>IF(SER_hh_tesh!H19=0,0,SER_hh_tesh!H19/SER_summary!H$26)</f>
        <v>16.675688702697343</v>
      </c>
      <c r="I19" s="131">
        <f>IF(SER_hh_tesh!I19=0,0,SER_hh_tesh!I19/SER_summary!I$26)</f>
        <v>16.044523251726805</v>
      </c>
      <c r="J19" s="131">
        <f>IF(SER_hh_tesh!J19=0,0,SER_hh_tesh!J19/SER_summary!J$26)</f>
        <v>16.317329036511133</v>
      </c>
      <c r="K19" s="131">
        <f>IF(SER_hh_tesh!K19=0,0,SER_hh_tesh!K19/SER_summary!K$26)</f>
        <v>16.311134517930409</v>
      </c>
      <c r="L19" s="131">
        <f>IF(SER_hh_tesh!L19=0,0,SER_hh_tesh!L19/SER_summary!L$26)</f>
        <v>16.253509000275624</v>
      </c>
      <c r="M19" s="131">
        <f>IF(SER_hh_tesh!M19=0,0,SER_hh_tesh!M19/SER_summary!M$26)</f>
        <v>16.515478024512653</v>
      </c>
      <c r="N19" s="131">
        <f>IF(SER_hh_tesh!N19=0,0,SER_hh_tesh!N19/SER_summary!N$26)</f>
        <v>16.613446238674005</v>
      </c>
      <c r="O19" s="131">
        <f>IF(SER_hh_tesh!O19=0,0,SER_hh_tesh!O19/SER_summary!O$26)</f>
        <v>16.665435577240387</v>
      </c>
      <c r="P19" s="131">
        <f>IF(SER_hh_tesh!P19=0,0,SER_hh_tesh!P19/SER_summary!P$26)</f>
        <v>16.790962599855376</v>
      </c>
      <c r="Q19" s="131">
        <f>IF(SER_hh_tesh!Q19=0,0,SER_hh_tesh!Q19/SER_summary!Q$26)</f>
        <v>16.970070725309469</v>
      </c>
      <c r="R19" s="131">
        <f>IF(SER_hh_tesh!R19=0,0,SER_hh_tesh!R19/SER_summary!R$26)</f>
        <v>16.813144306769754</v>
      </c>
      <c r="S19" s="131">
        <f>IF(SER_hh_tesh!S19=0,0,SER_hh_tesh!S19/SER_summary!S$26)</f>
        <v>16.706032181325792</v>
      </c>
      <c r="T19" s="131">
        <f>IF(SER_hh_tesh!T19=0,0,SER_hh_tesh!T19/SER_summary!T$26)</f>
        <v>16.90447013348237</v>
      </c>
      <c r="U19" s="131">
        <f>IF(SER_hh_tesh!U19=0,0,SER_hh_tesh!U19/SER_summary!U$26)</f>
        <v>17.1052825084925</v>
      </c>
      <c r="V19" s="131">
        <f>IF(SER_hh_tesh!V19=0,0,SER_hh_tesh!V19/SER_summary!V$26)</f>
        <v>16.223262480280734</v>
      </c>
      <c r="W19" s="131">
        <f>IF(SER_hh_tesh!W19=0,0,SER_hh_tesh!W19/SER_summary!W$26)</f>
        <v>17.051778507603117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19.025010534575379</v>
      </c>
      <c r="C22" s="133">
        <f>IF(SER_hh_tesh!C22=0,0,SER_hh_tesh!C22/SER_summary!C$26)</f>
        <v>19.198011418846399</v>
      </c>
      <c r="D22" s="133">
        <f>IF(SER_hh_tesh!D22=0,0,SER_hh_tesh!D22/SER_summary!D$26)</f>
        <v>19.089168680607372</v>
      </c>
      <c r="E22" s="133">
        <f>IF(SER_hh_tesh!E22=0,0,SER_hh_tesh!E22/SER_summary!E$26)</f>
        <v>16.73644385557553</v>
      </c>
      <c r="F22" s="133">
        <f>IF(SER_hh_tesh!F22=0,0,SER_hh_tesh!F22/SER_summary!F$26)</f>
        <v>16.128033238523034</v>
      </c>
      <c r="G22" s="133">
        <f>IF(SER_hh_tesh!G22=0,0,SER_hh_tesh!G22/SER_summary!G$26)</f>
        <v>16.839737479062244</v>
      </c>
      <c r="H22" s="133">
        <f>IF(SER_hh_tesh!H22=0,0,SER_hh_tesh!H22/SER_summary!H$26)</f>
        <v>16.365946648478104</v>
      </c>
      <c r="I22" s="133">
        <f>IF(SER_hh_tesh!I22=0,0,SER_hh_tesh!I22/SER_summary!I$26)</f>
        <v>16.067555456291721</v>
      </c>
      <c r="J22" s="133">
        <f>IF(SER_hh_tesh!J22=0,0,SER_hh_tesh!J22/SER_summary!J$26)</f>
        <v>16.483745839624284</v>
      </c>
      <c r="K22" s="133">
        <f>IF(SER_hh_tesh!K22=0,0,SER_hh_tesh!K22/SER_summary!K$26)</f>
        <v>16.279329951888581</v>
      </c>
      <c r="L22" s="133">
        <f>IF(SER_hh_tesh!L22=0,0,SER_hh_tesh!L22/SER_summary!L$26)</f>
        <v>16.26754236302741</v>
      </c>
      <c r="M22" s="133">
        <f>IF(SER_hh_tesh!M22=0,0,SER_hh_tesh!M22/SER_summary!M$26)</f>
        <v>16.480028045463655</v>
      </c>
      <c r="N22" s="133">
        <f>IF(SER_hh_tesh!N22=0,0,SER_hh_tesh!N22/SER_summary!N$26)</f>
        <v>16.555737978511647</v>
      </c>
      <c r="O22" s="133">
        <f>IF(SER_hh_tesh!O22=0,0,SER_hh_tesh!O22/SER_summary!O$26)</f>
        <v>16.734760156398643</v>
      </c>
      <c r="P22" s="133">
        <f>IF(SER_hh_tesh!P22=0,0,SER_hh_tesh!P22/SER_summary!P$26)</f>
        <v>16.977259862897753</v>
      </c>
      <c r="Q22" s="133">
        <f>IF(SER_hh_tesh!Q22=0,0,SER_hh_tesh!Q22/SER_summary!Q$26)</f>
        <v>17.264813528372237</v>
      </c>
      <c r="R22" s="133">
        <f>IF(SER_hh_tesh!R22=0,0,SER_hh_tesh!R22/SER_summary!R$26)</f>
        <v>16.417132160312132</v>
      </c>
      <c r="S22" s="133">
        <f>IF(SER_hh_tesh!S22=0,0,SER_hh_tesh!S22/SER_summary!S$26)</f>
        <v>16.947245803273084</v>
      </c>
      <c r="T22" s="133">
        <f>IF(SER_hh_tesh!T22=0,0,SER_hh_tesh!T22/SER_summary!T$26)</f>
        <v>18.321490963274879</v>
      </c>
      <c r="U22" s="133">
        <f>IF(SER_hh_tesh!U22=0,0,SER_hh_tesh!U22/SER_summary!U$26)</f>
        <v>14.958198319956818</v>
      </c>
      <c r="V22" s="133">
        <f>IF(SER_hh_tesh!V22=0,0,SER_hh_tesh!V22/SER_summary!V$26)</f>
        <v>16.708374213209673</v>
      </c>
      <c r="W22" s="133">
        <f>IF(SER_hh_tesh!W22=0,0,SER_hh_tesh!W22/SER_summary!W$26)</f>
        <v>16.791830099912545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13.146192948306307</v>
      </c>
      <c r="C23" s="133">
        <f>IF(SER_hh_tesh!C23=0,0,SER_hh_tesh!C23/SER_summary!C$26)</f>
        <v>21.200262882447745</v>
      </c>
      <c r="D23" s="133">
        <f>IF(SER_hh_tesh!D23=0,0,SER_hh_tesh!D23/SER_summary!D$26)</f>
        <v>19.137474887590418</v>
      </c>
      <c r="E23" s="133">
        <f>IF(SER_hh_tesh!E23=0,0,SER_hh_tesh!E23/SER_summary!E$26)</f>
        <v>17.976550685000863</v>
      </c>
      <c r="F23" s="133">
        <f>IF(SER_hh_tesh!F23=0,0,SER_hh_tesh!F23/SER_summary!F$26)</f>
        <v>17.195577881141848</v>
      </c>
      <c r="G23" s="133">
        <f>IF(SER_hh_tesh!G23=0,0,SER_hh_tesh!G23/SER_summary!G$26)</f>
        <v>16.951648673911073</v>
      </c>
      <c r="H23" s="133">
        <f>IF(SER_hh_tesh!H23=0,0,SER_hh_tesh!H23/SER_summary!H$26)</f>
        <v>16.773339408063404</v>
      </c>
      <c r="I23" s="133">
        <f>IF(SER_hh_tesh!I23=0,0,SER_hh_tesh!I23/SER_summary!I$26)</f>
        <v>16.403878881047884</v>
      </c>
      <c r="J23" s="133">
        <f>IF(SER_hh_tesh!J23=0,0,SER_hh_tesh!J23/SER_summary!J$26)</f>
        <v>16.216480361611723</v>
      </c>
      <c r="K23" s="133">
        <f>IF(SER_hh_tesh!K23=0,0,SER_hh_tesh!K23/SER_summary!K$26)</f>
        <v>16.022106281509316</v>
      </c>
      <c r="L23" s="133">
        <f>IF(SER_hh_tesh!L23=0,0,SER_hh_tesh!L23/SER_summary!L$26)</f>
        <v>15.187432700019906</v>
      </c>
      <c r="M23" s="133">
        <f>IF(SER_hh_tesh!M23=0,0,SER_hh_tesh!M23/SER_summary!M$26)</f>
        <v>16.307062404060922</v>
      </c>
      <c r="N23" s="133">
        <f>IF(SER_hh_tesh!N23=0,0,SER_hh_tesh!N23/SER_summary!N$26)</f>
        <v>14.511100275630282</v>
      </c>
      <c r="O23" s="133">
        <f>IF(SER_hh_tesh!O23=0,0,SER_hh_tesh!O23/SER_summary!O$26)</f>
        <v>16.215821935522737</v>
      </c>
      <c r="P23" s="133">
        <f>IF(SER_hh_tesh!P23=0,0,SER_hh_tesh!P23/SER_summary!P$26)</f>
        <v>18.294913036074576</v>
      </c>
      <c r="Q23" s="133">
        <f>IF(SER_hh_tesh!Q23=0,0,SER_hh_tesh!Q23/SER_summary!Q$26)</f>
        <v>17.079070019645592</v>
      </c>
      <c r="R23" s="133">
        <f>IF(SER_hh_tesh!R23=0,0,SER_hh_tesh!R23/SER_summary!R$26)</f>
        <v>16.564166342772666</v>
      </c>
      <c r="S23" s="133">
        <f>IF(SER_hh_tesh!S23=0,0,SER_hh_tesh!S23/SER_summary!S$26)</f>
        <v>16.645894801471332</v>
      </c>
      <c r="T23" s="133">
        <f>IF(SER_hh_tesh!T23=0,0,SER_hh_tesh!T23/SER_summary!T$26)</f>
        <v>17.021256620409357</v>
      </c>
      <c r="U23" s="133">
        <f>IF(SER_hh_tesh!U23=0,0,SER_hh_tesh!U23/SER_summary!U$26)</f>
        <v>17.446973510700872</v>
      </c>
      <c r="V23" s="133">
        <f>IF(SER_hh_tesh!V23=0,0,SER_hh_tesh!V23/SER_summary!V$26)</f>
        <v>16.917485219661639</v>
      </c>
      <c r="W23" s="133">
        <f>IF(SER_hh_tesh!W23=0,0,SER_hh_tesh!W23/SER_summary!W$26)</f>
        <v>15.690712799704231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18.60750835008627</v>
      </c>
      <c r="C25" s="133">
        <f>IF(SER_hh_tesh!C25=0,0,SER_hh_tesh!C25/SER_summary!C$26)</f>
        <v>18.901489657005285</v>
      </c>
      <c r="D25" s="133">
        <f>IF(SER_hh_tesh!D25=0,0,SER_hh_tesh!D25/SER_summary!D$26)</f>
        <v>18.147042004253095</v>
      </c>
      <c r="E25" s="133">
        <f>IF(SER_hh_tesh!E25=0,0,SER_hh_tesh!E25/SER_summary!E$26)</f>
        <v>17.515517489358366</v>
      </c>
      <c r="F25" s="133">
        <f>IF(SER_hh_tesh!F25=0,0,SER_hh_tesh!F25/SER_summary!F$26)</f>
        <v>17.060866932886725</v>
      </c>
      <c r="G25" s="133">
        <f>IF(SER_hh_tesh!G25=0,0,SER_hh_tesh!G25/SER_summary!G$26)</f>
        <v>17.100211399947668</v>
      </c>
      <c r="H25" s="133">
        <f>IF(SER_hh_tesh!H25=0,0,SER_hh_tesh!H25/SER_summary!H$26)</f>
        <v>16.675741699243027</v>
      </c>
      <c r="I25" s="133">
        <f>IF(SER_hh_tesh!I25=0,0,SER_hh_tesh!I25/SER_summary!I$26)</f>
        <v>16.444693376955271</v>
      </c>
      <c r="J25" s="133">
        <f>IF(SER_hh_tesh!J25=0,0,SER_hh_tesh!J25/SER_summary!J$26)</f>
        <v>16.171924915747919</v>
      </c>
      <c r="K25" s="133">
        <f>IF(SER_hh_tesh!K25=0,0,SER_hh_tesh!K25/SER_summary!K$26)</f>
        <v>16.477361338100554</v>
      </c>
      <c r="L25" s="133">
        <f>IF(SER_hh_tesh!L25=0,0,SER_hh_tesh!L25/SER_summary!L$26)</f>
        <v>16.389816231511997</v>
      </c>
      <c r="M25" s="133">
        <f>IF(SER_hh_tesh!M25=0,0,SER_hh_tesh!M25/SER_summary!M$26)</f>
        <v>16.569557728908595</v>
      </c>
      <c r="N25" s="133">
        <f>IF(SER_hh_tesh!N25=0,0,SER_hh_tesh!N25/SER_summary!N$26)</f>
        <v>16.627737442466351</v>
      </c>
      <c r="O25" s="133">
        <f>IF(SER_hh_tesh!O25=0,0,SER_hh_tesh!O25/SER_summary!O$26)</f>
        <v>16.800727370623285</v>
      </c>
      <c r="P25" s="133">
        <f>IF(SER_hh_tesh!P25=0,0,SER_hh_tesh!P25/SER_summary!P$26)</f>
        <v>16.76086478237826</v>
      </c>
      <c r="Q25" s="133">
        <f>IF(SER_hh_tesh!Q25=0,0,SER_hh_tesh!Q25/SER_summary!Q$26)</f>
        <v>16.79878618711108</v>
      </c>
      <c r="R25" s="133">
        <f>IF(SER_hh_tesh!R25=0,0,SER_hh_tesh!R25/SER_summary!R$26)</f>
        <v>16.827611552301175</v>
      </c>
      <c r="S25" s="133">
        <f>IF(SER_hh_tesh!S25=0,0,SER_hh_tesh!S25/SER_summary!S$26)</f>
        <v>16.868342643514417</v>
      </c>
      <c r="T25" s="133">
        <f>IF(SER_hh_tesh!T25=0,0,SER_hh_tesh!T25/SER_summary!T$26)</f>
        <v>17.070720746393601</v>
      </c>
      <c r="U25" s="133">
        <f>IF(SER_hh_tesh!U25=0,0,SER_hh_tesh!U25/SER_summary!U$26)</f>
        <v>17.115317358738071</v>
      </c>
      <c r="V25" s="133">
        <f>IF(SER_hh_tesh!V25=0,0,SER_hh_tesh!V25/SER_summary!V$26)</f>
        <v>15.187648820788983</v>
      </c>
      <c r="W25" s="133">
        <f>IF(SER_hh_tesh!W25=0,0,SER_hh_tesh!W25/SER_summary!W$26)</f>
        <v>17.567749371718364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19.898585221860234</v>
      </c>
      <c r="C26" s="65">
        <f>IF(SER_hh_tesh!C26=0,0,SER_hh_tesh!C26/SER_summary!C$26)</f>
        <v>18.11024828619793</v>
      </c>
      <c r="D26" s="65">
        <f>IF(SER_hh_tesh!D26=0,0,SER_hh_tesh!D26/SER_summary!D$26)</f>
        <v>17.595017951687854</v>
      </c>
      <c r="E26" s="65">
        <f>IF(SER_hh_tesh!E26=0,0,SER_hh_tesh!E26/SER_summary!E$26)</f>
        <v>18.222573630095859</v>
      </c>
      <c r="F26" s="65">
        <f>IF(SER_hh_tesh!F26=0,0,SER_hh_tesh!F26/SER_summary!F$26)</f>
        <v>17.561594093849852</v>
      </c>
      <c r="G26" s="65">
        <f>IF(SER_hh_tesh!G26=0,0,SER_hh_tesh!G26/SER_summary!G$26)</f>
        <v>17.329579619244583</v>
      </c>
      <c r="H26" s="65">
        <f>IF(SER_hh_tesh!H26=0,0,SER_hh_tesh!H26/SER_summary!H$26)</f>
        <v>16.713875240796668</v>
      </c>
      <c r="I26" s="65">
        <f>IF(SER_hh_tesh!I26=0,0,SER_hh_tesh!I26/SER_summary!I$26)</f>
        <v>15.710768889788097</v>
      </c>
      <c r="J26" s="65">
        <f>IF(SER_hh_tesh!J26=0,0,SER_hh_tesh!J26/SER_summary!J$26)</f>
        <v>16.418306944970826</v>
      </c>
      <c r="K26" s="65">
        <f>IF(SER_hh_tesh!K26=0,0,SER_hh_tesh!K26/SER_summary!K$26)</f>
        <v>16.216033917404197</v>
      </c>
      <c r="L26" s="65">
        <f>IF(SER_hh_tesh!L26=0,0,SER_hh_tesh!L26/SER_summary!L$26)</f>
        <v>16.298732274701962</v>
      </c>
      <c r="M26" s="65">
        <f>IF(SER_hh_tesh!M26=0,0,SER_hh_tesh!M26/SER_summary!M$26)</f>
        <v>16.51155694401859</v>
      </c>
      <c r="N26" s="65">
        <f>IF(SER_hh_tesh!N26=0,0,SER_hh_tesh!N26/SER_summary!N$26)</f>
        <v>17.064979444850294</v>
      </c>
      <c r="O26" s="65">
        <f>IF(SER_hh_tesh!O26=0,0,SER_hh_tesh!O26/SER_summary!O$26)</f>
        <v>16.663855975327589</v>
      </c>
      <c r="P26" s="65">
        <f>IF(SER_hh_tesh!P26=0,0,SER_hh_tesh!P26/SER_summary!P$26)</f>
        <v>16.233160293302337</v>
      </c>
      <c r="Q26" s="65">
        <f>IF(SER_hh_tesh!Q26=0,0,SER_hh_tesh!Q26/SER_summary!Q$26)</f>
        <v>17.030553282932477</v>
      </c>
      <c r="R26" s="65">
        <f>IF(SER_hh_tesh!R26=0,0,SER_hh_tesh!R26/SER_summary!R$26)</f>
        <v>16.972044879596414</v>
      </c>
      <c r="S26" s="65">
        <f>IF(SER_hh_tesh!S26=0,0,SER_hh_tesh!S26/SER_summary!S$26)</f>
        <v>16.562736688336795</v>
      </c>
      <c r="T26" s="65">
        <f>IF(SER_hh_tesh!T26=0,0,SER_hh_tesh!T26/SER_summary!T$26)</f>
        <v>16.528364834026949</v>
      </c>
      <c r="U26" s="65">
        <f>IF(SER_hh_tesh!U26=0,0,SER_hh_tesh!U26/SER_summary!U$26)</f>
        <v>17.140851130805114</v>
      </c>
      <c r="V26" s="65">
        <f>IF(SER_hh_tesh!V26=0,0,SER_hh_tesh!V26/SER_summary!V$26)</f>
        <v>16.605545421109625</v>
      </c>
      <c r="W26" s="65">
        <f>IF(SER_hh_tesh!W26=0,0,SER_hh_tesh!W26/SER_summary!W$26)</f>
        <v>17.439012937055598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19.025030240890239</v>
      </c>
      <c r="C29" s="131">
        <f>IF(SER_hh_tesh!C29=0,0,SER_hh_tesh!C29/SER_summary!C$26)</f>
        <v>18.916816615201142</v>
      </c>
      <c r="D29" s="131">
        <f>IF(SER_hh_tesh!D29=0,0,SER_hh_tesh!D29/SER_summary!D$26)</f>
        <v>18.473959641142464</v>
      </c>
      <c r="E29" s="131">
        <f>IF(SER_hh_tesh!E29=0,0,SER_hh_tesh!E29/SER_summary!E$26)</f>
        <v>18.507154891976043</v>
      </c>
      <c r="F29" s="131">
        <f>IF(SER_hh_tesh!F29=0,0,SER_hh_tesh!F29/SER_summary!F$26)</f>
        <v>18.176586633836212</v>
      </c>
      <c r="G29" s="131">
        <f>IF(SER_hh_tesh!G29=0,0,SER_hh_tesh!G29/SER_summary!G$26)</f>
        <v>18.39564430904095</v>
      </c>
      <c r="H29" s="131">
        <f>IF(SER_hh_tesh!H29=0,0,SER_hh_tesh!H29/SER_summary!H$26)</f>
        <v>17.804794716973969</v>
      </c>
      <c r="I29" s="131">
        <f>IF(SER_hh_tesh!I29=0,0,SER_hh_tesh!I29/SER_summary!I$26)</f>
        <v>17.674443264914895</v>
      </c>
      <c r="J29" s="131">
        <f>IF(SER_hh_tesh!J29=0,0,SER_hh_tesh!J29/SER_summary!J$26)</f>
        <v>18.243483190646693</v>
      </c>
      <c r="K29" s="131">
        <f>IF(SER_hh_tesh!K29=0,0,SER_hh_tesh!K29/SER_summary!K$26)</f>
        <v>18.880475369775866</v>
      </c>
      <c r="L29" s="131">
        <f>IF(SER_hh_tesh!L29=0,0,SER_hh_tesh!L29/SER_summary!L$26)</f>
        <v>19.035192233493273</v>
      </c>
      <c r="M29" s="131">
        <f>IF(SER_hh_tesh!M29=0,0,SER_hh_tesh!M29/SER_summary!M$26)</f>
        <v>18.914610668408631</v>
      </c>
      <c r="N29" s="131">
        <f>IF(SER_hh_tesh!N29=0,0,SER_hh_tesh!N29/SER_summary!N$26)</f>
        <v>18.800007506441208</v>
      </c>
      <c r="O29" s="131">
        <f>IF(SER_hh_tesh!O29=0,0,SER_hh_tesh!O29/SER_summary!O$26)</f>
        <v>18.991365517052564</v>
      </c>
      <c r="P29" s="131">
        <f>IF(SER_hh_tesh!P29=0,0,SER_hh_tesh!P29/SER_summary!P$26)</f>
        <v>18.776542022968137</v>
      </c>
      <c r="Q29" s="131">
        <f>IF(SER_hh_tesh!Q29=0,0,SER_hh_tesh!Q29/SER_summary!Q$26)</f>
        <v>18.47268232359303</v>
      </c>
      <c r="R29" s="131">
        <f>IF(SER_hh_tesh!R29=0,0,SER_hh_tesh!R29/SER_summary!R$26)</f>
        <v>18.543622498648588</v>
      </c>
      <c r="S29" s="131">
        <f>IF(SER_hh_tesh!S29=0,0,SER_hh_tesh!S29/SER_summary!S$26)</f>
        <v>18.351871625686574</v>
      </c>
      <c r="T29" s="131">
        <f>IF(SER_hh_tesh!T29=0,0,SER_hh_tesh!T29/SER_summary!T$26)</f>
        <v>18.184461193450279</v>
      </c>
      <c r="U29" s="131">
        <f>IF(SER_hh_tesh!U29=0,0,SER_hh_tesh!U29/SER_summary!U$26)</f>
        <v>18.087272504027986</v>
      </c>
      <c r="V29" s="131">
        <f>IF(SER_hh_tesh!V29=0,0,SER_hh_tesh!V29/SER_summary!V$26)</f>
        <v>16.566594881396824</v>
      </c>
      <c r="W29" s="131">
        <f>IF(SER_hh_tesh!W29=0,0,SER_hh_tesh!W29/SER_summary!W$26)</f>
        <v>17.660790386234396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25.975329180050394</v>
      </c>
      <c r="G30" s="133">
        <f>IF(SER_hh_tesh!G30=0,0,SER_hh_tesh!G30/SER_summary!G$26)</f>
        <v>20.145499543934015</v>
      </c>
      <c r="H30" s="133">
        <f>IF(SER_hh_tesh!H30=0,0,SER_hh_tesh!H30/SER_summary!H$26)</f>
        <v>17.974577948160096</v>
      </c>
      <c r="I30" s="133">
        <f>IF(SER_hh_tesh!I30=0,0,SER_hh_tesh!I30/SER_summary!I$26)</f>
        <v>17.998828789311553</v>
      </c>
      <c r="J30" s="133">
        <f>IF(SER_hh_tesh!J30=0,0,SER_hh_tesh!J30/SER_summary!J$26)</f>
        <v>18.297044707355646</v>
      </c>
      <c r="K30" s="133">
        <f>IF(SER_hh_tesh!K30=0,0,SER_hh_tesh!K30/SER_summary!K$26)</f>
        <v>18.709715237054155</v>
      </c>
      <c r="L30" s="133">
        <f>IF(SER_hh_tesh!L30=0,0,SER_hh_tesh!L30/SER_summary!L$26)</f>
        <v>18.798062739124735</v>
      </c>
      <c r="M30" s="133">
        <f>IF(SER_hh_tesh!M30=0,0,SER_hh_tesh!M30/SER_summary!M$26)</f>
        <v>18.843514612099007</v>
      </c>
      <c r="N30" s="133">
        <f>IF(SER_hh_tesh!N30=0,0,SER_hh_tesh!N30/SER_summary!N$26)</f>
        <v>18.935869999573207</v>
      </c>
      <c r="O30" s="133">
        <f>IF(SER_hh_tesh!O30=0,0,SER_hh_tesh!O30/SER_summary!O$26)</f>
        <v>18.865029596086547</v>
      </c>
      <c r="P30" s="133">
        <f>IF(SER_hh_tesh!P30=0,0,SER_hh_tesh!P30/SER_summary!P$26)</f>
        <v>17.011338993681036</v>
      </c>
      <c r="Q30" s="133">
        <f>IF(SER_hh_tesh!Q30=0,0,SER_hh_tesh!Q30/SER_summary!Q$26)</f>
        <v>13.239669104203266</v>
      </c>
      <c r="R30" s="133">
        <f>IF(SER_hh_tesh!R30=0,0,SER_hh_tesh!R30/SER_summary!R$26)</f>
        <v>20.515670437891981</v>
      </c>
      <c r="S30" s="133">
        <f>IF(SER_hh_tesh!S30=0,0,SER_hh_tesh!S30/SER_summary!S$26)</f>
        <v>29.29570344881493</v>
      </c>
      <c r="T30" s="133">
        <f>IF(SER_hh_tesh!T30=0,0,SER_hh_tesh!T30/SER_summary!T$26)</f>
        <v>9.4270472422650027</v>
      </c>
      <c r="U30" s="133">
        <f>IF(SER_hh_tesh!U30=0,0,SER_hh_tesh!U30/SER_summary!U$26)</f>
        <v>19.034278078496435</v>
      </c>
      <c r="V30" s="133">
        <f>IF(SER_hh_tesh!V30=0,0,SER_hh_tesh!V30/SER_summary!V$26)</f>
        <v>19.64841584384142</v>
      </c>
      <c r="W30" s="133">
        <f>IF(SER_hh_tesh!W30=0,0,SER_hh_tesh!W30/SER_summary!W$26)</f>
        <v>14.391561968798658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10.749204971292887</v>
      </c>
      <c r="C31" s="133">
        <f>IF(SER_hh_tesh!C31=0,0,SER_hh_tesh!C31/SER_summary!C$26)</f>
        <v>20.101735846901938</v>
      </c>
      <c r="D31" s="133">
        <f>IF(SER_hh_tesh!D31=0,0,SER_hh_tesh!D31/SER_summary!D$26)</f>
        <v>21.458751676975773</v>
      </c>
      <c r="E31" s="133">
        <f>IF(SER_hh_tesh!E31=0,0,SER_hh_tesh!E31/SER_summary!E$26)</f>
        <v>19.197568111311053</v>
      </c>
      <c r="F31" s="133">
        <f>IF(SER_hh_tesh!F31=0,0,SER_hh_tesh!F31/SER_summary!F$26)</f>
        <v>18.347655685752166</v>
      </c>
      <c r="G31" s="133">
        <f>IF(SER_hh_tesh!G31=0,0,SER_hh_tesh!G31/SER_summary!G$26)</f>
        <v>18.228407889715822</v>
      </c>
      <c r="H31" s="133">
        <f>IF(SER_hh_tesh!H31=0,0,SER_hh_tesh!H31/SER_summary!H$26)</f>
        <v>17.942591394293913</v>
      </c>
      <c r="I31" s="133">
        <f>IF(SER_hh_tesh!I31=0,0,SER_hh_tesh!I31/SER_summary!I$26)</f>
        <v>18.168316427595055</v>
      </c>
      <c r="J31" s="133">
        <f>IF(SER_hh_tesh!J31=0,0,SER_hh_tesh!J31/SER_summary!J$26)</f>
        <v>18.471419208787349</v>
      </c>
      <c r="K31" s="133">
        <f>IF(SER_hh_tesh!K31=0,0,SER_hh_tesh!K31/SER_summary!K$26)</f>
        <v>17.733763777883269</v>
      </c>
      <c r="L31" s="133">
        <f>IF(SER_hh_tesh!L31=0,0,SER_hh_tesh!L31/SER_summary!L$26)</f>
        <v>18.730752232780208</v>
      </c>
      <c r="M31" s="133">
        <f>IF(SER_hh_tesh!M31=0,0,SER_hh_tesh!M31/SER_summary!M$26)</f>
        <v>18.764538474483679</v>
      </c>
      <c r="N31" s="133">
        <f>IF(SER_hh_tesh!N31=0,0,SER_hh_tesh!N31/SER_summary!N$26)</f>
        <v>19.196069743841292</v>
      </c>
      <c r="O31" s="133">
        <f>IF(SER_hh_tesh!O31=0,0,SER_hh_tesh!O31/SER_summary!O$26)</f>
        <v>18.922599224293108</v>
      </c>
      <c r="P31" s="133">
        <f>IF(SER_hh_tesh!P31=0,0,SER_hh_tesh!P31/SER_summary!P$26)</f>
        <v>17.925793705605045</v>
      </c>
      <c r="Q31" s="133">
        <f>IF(SER_hh_tesh!Q31=0,0,SER_hh_tesh!Q31/SER_summary!Q$26)</f>
        <v>16.772249392802141</v>
      </c>
      <c r="R31" s="133">
        <f>IF(SER_hh_tesh!R31=0,0,SER_hh_tesh!R31/SER_summary!R$26)</f>
        <v>20.148829246740402</v>
      </c>
      <c r="S31" s="133">
        <f>IF(SER_hh_tesh!S31=0,0,SER_hh_tesh!S31/SER_summary!S$26)</f>
        <v>17.735453519909878</v>
      </c>
      <c r="T31" s="133">
        <f>IF(SER_hh_tesh!T31=0,0,SER_hh_tesh!T31/SER_summary!T$26)</f>
        <v>17.603637713677042</v>
      </c>
      <c r="U31" s="133">
        <f>IF(SER_hh_tesh!U31=0,0,SER_hh_tesh!U31/SER_summary!U$26)</f>
        <v>18.982983090463062</v>
      </c>
      <c r="V31" s="133">
        <f>IF(SER_hh_tesh!V31=0,0,SER_hh_tesh!V31/SER_summary!V$26)</f>
        <v>17.208344922100707</v>
      </c>
      <c r="W31" s="133">
        <f>IF(SER_hh_tesh!W31=0,0,SER_hh_tesh!W31/SER_summary!W$26)</f>
        <v>16.173794196389174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19.492985840710855</v>
      </c>
      <c r="C33" s="68">
        <f>IF(SER_hh_tesh!C33=0,0,SER_hh_tesh!C33/SER_summary!C$26)</f>
        <v>18.798133831933598</v>
      </c>
      <c r="D33" s="68">
        <f>IF(SER_hh_tesh!D33=0,0,SER_hh_tesh!D33/SER_summary!D$26)</f>
        <v>18.076277966866183</v>
      </c>
      <c r="E33" s="68">
        <f>IF(SER_hh_tesh!E33=0,0,SER_hh_tesh!E33/SER_summary!E$26)</f>
        <v>18.405683431285574</v>
      </c>
      <c r="F33" s="68">
        <f>IF(SER_hh_tesh!F33=0,0,SER_hh_tesh!F33/SER_summary!F$26)</f>
        <v>17.951940115512901</v>
      </c>
      <c r="G33" s="68">
        <f>IF(SER_hh_tesh!G33=0,0,SER_hh_tesh!G33/SER_summary!G$26)</f>
        <v>18.364892441123427</v>
      </c>
      <c r="H33" s="68">
        <f>IF(SER_hh_tesh!H33=0,0,SER_hh_tesh!H33/SER_summary!H$26)</f>
        <v>17.780948574422176</v>
      </c>
      <c r="I33" s="68">
        <f>IF(SER_hh_tesh!I33=0,0,SER_hh_tesh!I33/SER_summary!I$26)</f>
        <v>17.603153789281418</v>
      </c>
      <c r="J33" s="68">
        <f>IF(SER_hh_tesh!J33=0,0,SER_hh_tesh!J33/SER_summary!J$26)</f>
        <v>18.214422601732949</v>
      </c>
      <c r="K33" s="68">
        <f>IF(SER_hh_tesh!K33=0,0,SER_hh_tesh!K33/SER_summary!K$26)</f>
        <v>19.01727995624336</v>
      </c>
      <c r="L33" s="68">
        <f>IF(SER_hh_tesh!L33=0,0,SER_hh_tesh!L33/SER_summary!L$26)</f>
        <v>19.077094967120033</v>
      </c>
      <c r="M33" s="68">
        <f>IF(SER_hh_tesh!M33=0,0,SER_hh_tesh!M33/SER_summary!M$26)</f>
        <v>18.933715485667854</v>
      </c>
      <c r="N33" s="68">
        <f>IF(SER_hh_tesh!N33=0,0,SER_hh_tesh!N33/SER_summary!N$26)</f>
        <v>18.749982832077063</v>
      </c>
      <c r="O33" s="68">
        <f>IF(SER_hh_tesh!O33=0,0,SER_hh_tesh!O33/SER_summary!O$26)</f>
        <v>19.003235986949807</v>
      </c>
      <c r="P33" s="68">
        <f>IF(SER_hh_tesh!P33=0,0,SER_hh_tesh!P33/SER_summary!P$26)</f>
        <v>18.941126498431643</v>
      </c>
      <c r="Q33" s="68">
        <f>IF(SER_hh_tesh!Q33=0,0,SER_hh_tesh!Q33/SER_summary!Q$26)</f>
        <v>18.923816804108419</v>
      </c>
      <c r="R33" s="68">
        <f>IF(SER_hh_tesh!R33=0,0,SER_hh_tesh!R33/SER_summary!R$26)</f>
        <v>18.172794115812813</v>
      </c>
      <c r="S33" s="68">
        <f>IF(SER_hh_tesh!S33=0,0,SER_hh_tesh!S33/SER_summary!S$26)</f>
        <v>17.831715090050444</v>
      </c>
      <c r="T33" s="68">
        <f>IF(SER_hh_tesh!T33=0,0,SER_hh_tesh!T33/SER_summary!T$26)</f>
        <v>18.831552422786579</v>
      </c>
      <c r="U33" s="68">
        <f>IF(SER_hh_tesh!U33=0,0,SER_hh_tesh!U33/SER_summary!U$26)</f>
        <v>17.827788599282933</v>
      </c>
      <c r="V33" s="68">
        <f>IF(SER_hh_tesh!V33=0,0,SER_hh_tesh!V33/SER_summary!V$26)</f>
        <v>16.222732970631601</v>
      </c>
      <c r="W33" s="68">
        <f>IF(SER_hh_tesh!W33=0,0,SER_hh_tesh!W33/SER_summary!W$26)</f>
        <v>18.231165457960362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18.772520363046421</v>
      </c>
      <c r="C3" s="126">
        <f>IF(SER_hh_emih!C3=0,0,SER_hh_emih!C3/SER_summary!C$26)</f>
        <v>23.933448747143164</v>
      </c>
      <c r="D3" s="126">
        <f>IF(SER_hh_emih!D3=0,0,SER_hh_emih!D3/SER_summary!D$26)</f>
        <v>18.574433822020797</v>
      </c>
      <c r="E3" s="126">
        <f>IF(SER_hh_emih!E3=0,0,SER_hh_emih!E3/SER_summary!E$26)</f>
        <v>23.538908685135006</v>
      </c>
      <c r="F3" s="126">
        <f>IF(SER_hh_emih!F3=0,0,SER_hh_emih!F3/SER_summary!F$26)</f>
        <v>22.130598759105471</v>
      </c>
      <c r="G3" s="126">
        <f>IF(SER_hh_emih!G3=0,0,SER_hh_emih!G3/SER_summary!G$26)</f>
        <v>20.373901032441299</v>
      </c>
      <c r="H3" s="126">
        <f>IF(SER_hh_emih!H3=0,0,SER_hh_emih!H3/SER_summary!H$26)</f>
        <v>16.829705373635537</v>
      </c>
      <c r="I3" s="126">
        <f>IF(SER_hh_emih!I3=0,0,SER_hh_emih!I3/SER_summary!I$26)</f>
        <v>16.023018460641701</v>
      </c>
      <c r="J3" s="126">
        <f>IF(SER_hh_emih!J3=0,0,SER_hh_emih!J3/SER_summary!J$26)</f>
        <v>14.168453862122927</v>
      </c>
      <c r="K3" s="126">
        <f>IF(SER_hh_emih!K3=0,0,SER_hh_emih!K3/SER_summary!K$26)</f>
        <v>12.500979029713186</v>
      </c>
      <c r="L3" s="126">
        <f>IF(SER_hh_emih!L3=0,0,SER_hh_emih!L3/SER_summary!L$26)</f>
        <v>11.66220215327915</v>
      </c>
      <c r="M3" s="126">
        <f>IF(SER_hh_emih!M3=0,0,SER_hh_emih!M3/SER_summary!M$26)</f>
        <v>14.113320301361719</v>
      </c>
      <c r="N3" s="126">
        <f>IF(SER_hh_emih!N3=0,0,SER_hh_emih!N3/SER_summary!N$26)</f>
        <v>14.747947696999381</v>
      </c>
      <c r="O3" s="126">
        <f>IF(SER_hh_emih!O3=0,0,SER_hh_emih!O3/SER_summary!O$26)</f>
        <v>15.554814359039456</v>
      </c>
      <c r="P3" s="126">
        <f>IF(SER_hh_emih!P3=0,0,SER_hh_emih!P3/SER_summary!P$26)</f>
        <v>16.760461218731304</v>
      </c>
      <c r="Q3" s="126">
        <f>IF(SER_hh_emih!Q3=0,0,SER_hh_emih!Q3/SER_summary!Q$26)</f>
        <v>17.378476572227473</v>
      </c>
      <c r="R3" s="126">
        <f>IF(SER_hh_emih!R3=0,0,SER_hh_emih!R3/SER_summary!R$26)</f>
        <v>17.28148289500081</v>
      </c>
      <c r="S3" s="126">
        <f>IF(SER_hh_emih!S3=0,0,SER_hh_emih!S3/SER_summary!S$26)</f>
        <v>16.136026822289583</v>
      </c>
      <c r="T3" s="126">
        <f>IF(SER_hh_emih!T3=0,0,SER_hh_emih!T3/SER_summary!T$26)</f>
        <v>16.305773619569649</v>
      </c>
      <c r="U3" s="126">
        <f>IF(SER_hh_emih!U3=0,0,SER_hh_emih!U3/SER_summary!U$26)</f>
        <v>14.417322980492182</v>
      </c>
      <c r="V3" s="126">
        <f>IF(SER_hh_emih!V3=0,0,SER_hh_emih!V3/SER_summary!V$26)</f>
        <v>14.605726518630689</v>
      </c>
      <c r="W3" s="126">
        <f>IF(SER_hh_emih!W3=0,0,SER_hh_emih!W3/SER_summary!W$26)</f>
        <v>15.217554756805159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16.409226091512028</v>
      </c>
      <c r="C4" s="131">
        <f>IF(SER_hh_emih!C4=0,0,SER_hh_emih!C4/SER_summary!C$26)</f>
        <v>20.993478775686299</v>
      </c>
      <c r="D4" s="131">
        <f>IF(SER_hh_emih!D4=0,0,SER_hh_emih!D4/SER_summary!D$26)</f>
        <v>15.673054085182866</v>
      </c>
      <c r="E4" s="131">
        <f>IF(SER_hh_emih!E4=0,0,SER_hh_emih!E4/SER_summary!E$26)</f>
        <v>21.113698916901914</v>
      </c>
      <c r="F4" s="131">
        <f>IF(SER_hh_emih!F4=0,0,SER_hh_emih!F4/SER_summary!F$26)</f>
        <v>19.73991433772029</v>
      </c>
      <c r="G4" s="131">
        <f>IF(SER_hh_emih!G4=0,0,SER_hh_emih!G4/SER_summary!G$26)</f>
        <v>18.165905383079675</v>
      </c>
      <c r="H4" s="131">
        <f>IF(SER_hh_emih!H4=0,0,SER_hh_emih!H4/SER_summary!H$26)</f>
        <v>14.805292101535469</v>
      </c>
      <c r="I4" s="131">
        <f>IF(SER_hh_emih!I4=0,0,SER_hh_emih!I4/SER_summary!I$26)</f>
        <v>14.112693985162826</v>
      </c>
      <c r="J4" s="131">
        <f>IF(SER_hh_emih!J4=0,0,SER_hh_emih!J4/SER_summary!J$26)</f>
        <v>12.236295980544652</v>
      </c>
      <c r="K4" s="131">
        <f>IF(SER_hh_emih!K4=0,0,SER_hh_emih!K4/SER_summary!K$26)</f>
        <v>10.636594807067086</v>
      </c>
      <c r="L4" s="131">
        <f>IF(SER_hh_emih!L4=0,0,SER_hh_emih!L4/SER_summary!L$26)</f>
        <v>9.7928974760228815</v>
      </c>
      <c r="M4" s="131">
        <f>IF(SER_hh_emih!M4=0,0,SER_hh_emih!M4/SER_summary!M$26)</f>
        <v>12.217350894601632</v>
      </c>
      <c r="N4" s="131">
        <f>IF(SER_hh_emih!N4=0,0,SER_hh_emih!N4/SER_summary!N$26)</f>
        <v>12.825106537068677</v>
      </c>
      <c r="O4" s="131">
        <f>IF(SER_hh_emih!O4=0,0,SER_hh_emih!O4/SER_summary!O$26)</f>
        <v>13.516918762071802</v>
      </c>
      <c r="P4" s="131">
        <f>IF(SER_hh_emih!P4=0,0,SER_hh_emih!P4/SER_summary!P$26)</f>
        <v>14.498439040318333</v>
      </c>
      <c r="Q4" s="131">
        <f>IF(SER_hh_emih!Q4=0,0,SER_hh_emih!Q4/SER_summary!Q$26)</f>
        <v>15.136528578345283</v>
      </c>
      <c r="R4" s="131">
        <f>IF(SER_hh_emih!R4=0,0,SER_hh_emih!R4/SER_summary!R$26)</f>
        <v>14.716498477222471</v>
      </c>
      <c r="S4" s="131">
        <f>IF(SER_hh_emih!S4=0,0,SER_hh_emih!S4/SER_summary!S$26)</f>
        <v>13.36808393564657</v>
      </c>
      <c r="T4" s="131">
        <f>IF(SER_hh_emih!T4=0,0,SER_hh_emih!T4/SER_summary!T$26)</f>
        <v>13.716483071369542</v>
      </c>
      <c r="U4" s="131">
        <f>IF(SER_hh_emih!U4=0,0,SER_hh_emih!U4/SER_summary!U$26)</f>
        <v>11.570760627259778</v>
      </c>
      <c r="V4" s="131">
        <f>IF(SER_hh_emih!V4=0,0,SER_hh_emih!V4/SER_summary!V$26)</f>
        <v>11.790195440694381</v>
      </c>
      <c r="W4" s="131">
        <f>IF(SER_hh_emih!W4=0,0,SER_hh_emih!W4/SER_summary!W$26)</f>
        <v>12.62198992103632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66.445638560277885</v>
      </c>
      <c r="C5" s="133">
        <f>IF(SER_hh_emih!C5=0,0,SER_hh_emih!C5/SER_summary!C$26)</f>
        <v>80.503644284568836</v>
      </c>
      <c r="D5" s="133">
        <f>IF(SER_hh_emih!D5=0,0,SER_hh_emih!D5/SER_summary!D$26)</f>
        <v>70.326878068711011</v>
      </c>
      <c r="E5" s="133">
        <f>IF(SER_hh_emih!E5=0,0,SER_hh_emih!E5/SER_summary!E$26)</f>
        <v>77.673885528208658</v>
      </c>
      <c r="F5" s="133">
        <f>IF(SER_hh_emih!F5=0,0,SER_hh_emih!F5/SER_summary!F$26)</f>
        <v>82.968412643555808</v>
      </c>
      <c r="G5" s="133">
        <f>IF(SER_hh_emih!G5=0,0,SER_hh_emih!G5/SER_summary!G$26)</f>
        <v>100.11821685637958</v>
      </c>
      <c r="H5" s="133">
        <f>IF(SER_hh_emih!H5=0,0,SER_hh_emih!H5/SER_summary!H$26)</f>
        <v>73.035522433004374</v>
      </c>
      <c r="I5" s="133">
        <f>IF(SER_hh_emih!I5=0,0,SER_hh_emih!I5/SER_summary!I$26)</f>
        <v>90.83759451536541</v>
      </c>
      <c r="J5" s="133">
        <f>IF(SER_hh_emih!J5=0,0,SER_hh_emih!J5/SER_summary!J$26)</f>
        <v>84.428166380286441</v>
      </c>
      <c r="K5" s="133">
        <f>IF(SER_hh_emih!K5=0,0,SER_hh_emih!K5/SER_summary!K$26)</f>
        <v>83.396019602317367</v>
      </c>
      <c r="L5" s="133">
        <f>IF(SER_hh_emih!L5=0,0,SER_hh_emih!L5/SER_summary!L$26)</f>
        <v>85.466570114150599</v>
      </c>
      <c r="M5" s="133">
        <f>IF(SER_hh_emih!M5=0,0,SER_hh_emih!M5/SER_summary!M$26)</f>
        <v>61.774739723947469</v>
      </c>
      <c r="N5" s="133">
        <f>IF(SER_hh_emih!N5=0,0,SER_hh_emih!N5/SER_summary!N$26)</f>
        <v>68.674718344163594</v>
      </c>
      <c r="O5" s="133">
        <f>IF(SER_hh_emih!O5=0,0,SER_hh_emih!O5/SER_summary!O$26)</f>
        <v>103.93817262640411</v>
      </c>
      <c r="P5" s="133">
        <f>IF(SER_hh_emih!P5=0,0,SER_hh_emih!P5/SER_summary!P$26)</f>
        <v>68.650297133323406</v>
      </c>
      <c r="Q5" s="133">
        <f>IF(SER_hh_emih!Q5=0,0,SER_hh_emih!Q5/SER_summary!Q$26)</f>
        <v>68.857041704143896</v>
      </c>
      <c r="R5" s="133">
        <f>IF(SER_hh_emih!R5=0,0,SER_hh_emih!R5/SER_summary!R$26)</f>
        <v>106.71307183660325</v>
      </c>
      <c r="S5" s="133">
        <f>IF(SER_hh_emih!S5=0,0,SER_hh_emih!S5/SER_summary!S$26)</f>
        <v>58.124509990669488</v>
      </c>
      <c r="T5" s="133">
        <f>IF(SER_hh_emih!T5=0,0,SER_hh_emih!T5/SER_summary!T$26)</f>
        <v>70.097517516190138</v>
      </c>
      <c r="U5" s="133">
        <f>IF(SER_hh_emih!U5=0,0,SER_hh_emih!U5/SER_summary!U$26)</f>
        <v>69.802420393394499</v>
      </c>
      <c r="V5" s="133">
        <f>IF(SER_hh_emih!V5=0,0,SER_hh_emih!V5/SER_summary!V$26)</f>
        <v>74.248063933508561</v>
      </c>
      <c r="W5" s="133">
        <f>IF(SER_hh_emih!W5=0,0,SER_hh_emih!W5/SER_summary!W$26)</f>
        <v>74.729906097719763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58.575131514898295</v>
      </c>
      <c r="C7" s="133">
        <f>IF(SER_hh_emih!C7=0,0,SER_hh_emih!C7/SER_summary!C$26)</f>
        <v>76.32247615750066</v>
      </c>
      <c r="D7" s="133">
        <f>IF(SER_hh_emih!D7=0,0,SER_hh_emih!D7/SER_summary!D$26)</f>
        <v>59.678210304268205</v>
      </c>
      <c r="E7" s="133">
        <f>IF(SER_hh_emih!E7=0,0,SER_hh_emih!E7/SER_summary!E$26)</f>
        <v>63.362922357459531</v>
      </c>
      <c r="F7" s="133">
        <f>IF(SER_hh_emih!F7=0,0,SER_hh_emih!F7/SER_summary!F$26)</f>
        <v>74.557294027410791</v>
      </c>
      <c r="G7" s="133">
        <f>IF(SER_hh_emih!G7=0,0,SER_hh_emih!G7/SER_summary!G$26)</f>
        <v>85.934955515275178</v>
      </c>
      <c r="H7" s="133">
        <f>IF(SER_hh_emih!H7=0,0,SER_hh_emih!H7/SER_summary!H$26)</f>
        <v>69.820324348836053</v>
      </c>
      <c r="I7" s="133">
        <f>IF(SER_hh_emih!I7=0,0,SER_hh_emih!I7/SER_summary!I$26)</f>
        <v>76.102078086051151</v>
      </c>
      <c r="J7" s="133">
        <f>IF(SER_hh_emih!J7=0,0,SER_hh_emih!J7/SER_summary!J$26)</f>
        <v>79.482736251986452</v>
      </c>
      <c r="K7" s="133">
        <f>IF(SER_hh_emih!K7=0,0,SER_hh_emih!K7/SER_summary!K$26)</f>
        <v>71.54623819102595</v>
      </c>
      <c r="L7" s="133">
        <f>IF(SER_hh_emih!L7=0,0,SER_hh_emih!L7/SER_summary!L$26)</f>
        <v>55.960199279890467</v>
      </c>
      <c r="M7" s="133">
        <f>IF(SER_hh_emih!M7=0,0,SER_hh_emih!M7/SER_summary!M$26)</f>
        <v>68.810772627971986</v>
      </c>
      <c r="N7" s="133">
        <f>IF(SER_hh_emih!N7=0,0,SER_hh_emih!N7/SER_summary!N$26)</f>
        <v>67.266139358426557</v>
      </c>
      <c r="O7" s="133">
        <f>IF(SER_hh_emih!O7=0,0,SER_hh_emih!O7/SER_summary!O$26)</f>
        <v>62.788474392250336</v>
      </c>
      <c r="P7" s="133">
        <f>IF(SER_hh_emih!P7=0,0,SER_hh_emih!P7/SER_summary!P$26)</f>
        <v>56.453498751701851</v>
      </c>
      <c r="Q7" s="133">
        <f>IF(SER_hh_emih!Q7=0,0,SER_hh_emih!Q7/SER_summary!Q$26)</f>
        <v>69.558036070082522</v>
      </c>
      <c r="R7" s="133">
        <f>IF(SER_hh_emih!R7=0,0,SER_hh_emih!R7/SER_summary!R$26)</f>
        <v>59.796338885311393</v>
      </c>
      <c r="S7" s="133">
        <f>IF(SER_hh_emih!S7=0,0,SER_hh_emih!S7/SER_summary!S$26)</f>
        <v>68.370298290134812</v>
      </c>
      <c r="T7" s="133">
        <f>IF(SER_hh_emih!T7=0,0,SER_hh_emih!T7/SER_summary!T$26)</f>
        <v>73.468472624256407</v>
      </c>
      <c r="U7" s="133">
        <f>IF(SER_hh_emih!U7=0,0,SER_hh_emih!U7/SER_summary!U$26)</f>
        <v>57.113437413875069</v>
      </c>
      <c r="V7" s="133">
        <f>IF(SER_hh_emih!V7=0,0,SER_hh_emih!V7/SER_summary!V$26)</f>
        <v>63.706916826616599</v>
      </c>
      <c r="W7" s="133">
        <f>IF(SER_hh_emih!W7=0,0,SER_hh_emih!W7/SER_summary!W$26)</f>
        <v>68.51202532124239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32.420733810875404</v>
      </c>
      <c r="C9" s="133">
        <f>IF(SER_hh_emih!C9=0,0,SER_hh_emih!C9/SER_summary!C$26)</f>
        <v>42.861459429416129</v>
      </c>
      <c r="D9" s="133">
        <f>IF(SER_hh_emih!D9=0,0,SER_hh_emih!D9/SER_summary!D$26)</f>
        <v>29.196608546161055</v>
      </c>
      <c r="E9" s="133">
        <f>IF(SER_hh_emih!E9=0,0,SER_hh_emih!E9/SER_summary!E$26)</f>
        <v>57.114396369674026</v>
      </c>
      <c r="F9" s="133">
        <f>IF(SER_hh_emih!F9=0,0,SER_hh_emih!F9/SER_summary!F$26)</f>
        <v>50.200338216642578</v>
      </c>
      <c r="G9" s="133">
        <f>IF(SER_hh_emih!G9=0,0,SER_hh_emih!G9/SER_summary!G$26)</f>
        <v>40.368677986404229</v>
      </c>
      <c r="H9" s="133">
        <f>IF(SER_hh_emih!H9=0,0,SER_hh_emih!H9/SER_summary!H$26)</f>
        <v>47.276965344958086</v>
      </c>
      <c r="I9" s="133">
        <f>IF(SER_hh_emih!I9=0,0,SER_hh_emih!I9/SER_summary!I$26)</f>
        <v>47.419593029924663</v>
      </c>
      <c r="J9" s="133">
        <f>IF(SER_hh_emih!J9=0,0,SER_hh_emih!J9/SER_summary!J$26)</f>
        <v>43.021985464028496</v>
      </c>
      <c r="K9" s="133">
        <f>IF(SER_hh_emih!K9=0,0,SER_hh_emih!K9/SER_summary!K$26)</f>
        <v>38.992085879166744</v>
      </c>
      <c r="L9" s="133">
        <f>IF(SER_hh_emih!L9=0,0,SER_hh_emih!L9/SER_summary!L$26)</f>
        <v>43.96284144043382</v>
      </c>
      <c r="M9" s="133">
        <f>IF(SER_hh_emih!M9=0,0,SER_hh_emih!M9/SER_summary!M$26)</f>
        <v>39.520924562403238</v>
      </c>
      <c r="N9" s="133">
        <f>IF(SER_hh_emih!N9=0,0,SER_hh_emih!N9/SER_summary!N$26)</f>
        <v>36.854047160575078</v>
      </c>
      <c r="O9" s="133">
        <f>IF(SER_hh_emih!O9=0,0,SER_hh_emih!O9/SER_summary!O$26)</f>
        <v>36.42576879439703</v>
      </c>
      <c r="P9" s="133">
        <f>IF(SER_hh_emih!P9=0,0,SER_hh_emih!P9/SER_summary!P$26)</f>
        <v>47.01965734688963</v>
      </c>
      <c r="Q9" s="133">
        <f>IF(SER_hh_emih!Q9=0,0,SER_hh_emih!Q9/SER_summary!Q$26)</f>
        <v>43.3842043848488</v>
      </c>
      <c r="R9" s="133">
        <f>IF(SER_hh_emih!R9=0,0,SER_hh_emih!R9/SER_summary!R$26)</f>
        <v>45.788550956505944</v>
      </c>
      <c r="S9" s="133">
        <f>IF(SER_hh_emih!S9=0,0,SER_hh_emih!S9/SER_summary!S$26)</f>
        <v>39.125297817316458</v>
      </c>
      <c r="T9" s="133">
        <f>IF(SER_hh_emih!T9=0,0,SER_hh_emih!T9/SER_summary!T$26)</f>
        <v>41.389216054470751</v>
      </c>
      <c r="U9" s="133">
        <f>IF(SER_hh_emih!U9=0,0,SER_hh_emih!U9/SER_summary!U$26)</f>
        <v>37.907638123725128</v>
      </c>
      <c r="V9" s="133">
        <f>IF(SER_hh_emih!V9=0,0,SER_hh_emih!V9/SER_summary!V$26)</f>
        <v>38.773935284492232</v>
      </c>
      <c r="W9" s="133">
        <f>IF(SER_hh_emih!W9=0,0,SER_hh_emih!W9/SER_summary!W$26)</f>
        <v>42.062540961511438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2.1503115698843196</v>
      </c>
      <c r="C19" s="131">
        <f>IF(SER_hh_emih!C19=0,0,SER_hh_emih!C19/SER_summary!C$26)</f>
        <v>2.2664782244508737</v>
      </c>
      <c r="D19" s="131">
        <f>IF(SER_hh_emih!D19=0,0,SER_hh_emih!D19/SER_summary!D$26)</f>
        <v>1.9754937431075965</v>
      </c>
      <c r="E19" s="131">
        <f>IF(SER_hh_emih!E19=0,0,SER_hh_emih!E19/SER_summary!E$26)</f>
        <v>1.5238487607943223</v>
      </c>
      <c r="F19" s="131">
        <f>IF(SER_hh_emih!F19=0,0,SER_hh_emih!F19/SER_summary!F$26)</f>
        <v>1.3092722486859916</v>
      </c>
      <c r="G19" s="131">
        <f>IF(SER_hh_emih!G19=0,0,SER_hh_emih!G19/SER_summary!G$26)</f>
        <v>1.1998743332579773</v>
      </c>
      <c r="H19" s="131">
        <f>IF(SER_hh_emih!H19=0,0,SER_hh_emih!H19/SER_summary!H$26)</f>
        <v>1.093389914745369</v>
      </c>
      <c r="I19" s="131">
        <f>IF(SER_hh_emih!I19=0,0,SER_hh_emih!I19/SER_summary!I$26)</f>
        <v>1.0298873761047806</v>
      </c>
      <c r="J19" s="131">
        <f>IF(SER_hh_emih!J19=0,0,SER_hh_emih!J19/SER_summary!J$26)</f>
        <v>1.0551895883969746</v>
      </c>
      <c r="K19" s="131">
        <f>IF(SER_hh_emih!K19=0,0,SER_hh_emih!K19/SER_summary!K$26)</f>
        <v>1.0443620073952822</v>
      </c>
      <c r="L19" s="131">
        <f>IF(SER_hh_emih!L19=0,0,SER_hh_emih!L19/SER_summary!L$26)</f>
        <v>1.0207361181755461</v>
      </c>
      <c r="M19" s="131">
        <f>IF(SER_hh_emih!M19=0,0,SER_hh_emih!M19/SER_summary!M$26)</f>
        <v>1.0566897624636331</v>
      </c>
      <c r="N19" s="131">
        <f>IF(SER_hh_emih!N19=0,0,SER_hh_emih!N19/SER_summary!N$26)</f>
        <v>1.0470883595740135</v>
      </c>
      <c r="O19" s="131">
        <f>IF(SER_hh_emih!O19=0,0,SER_hh_emih!O19/SER_summary!O$26)</f>
        <v>1.1809878866012951</v>
      </c>
      <c r="P19" s="131">
        <f>IF(SER_hh_emih!P19=0,0,SER_hh_emih!P19/SER_summary!P$26)</f>
        <v>1.3951391915682361</v>
      </c>
      <c r="Q19" s="131">
        <f>IF(SER_hh_emih!Q19=0,0,SER_hh_emih!Q19/SER_summary!Q$26)</f>
        <v>1.3802456820195512</v>
      </c>
      <c r="R19" s="131">
        <f>IF(SER_hh_emih!R19=0,0,SER_hh_emih!R19/SER_summary!R$26)</f>
        <v>1.3116189216437015</v>
      </c>
      <c r="S19" s="131">
        <f>IF(SER_hh_emih!S19=0,0,SER_hh_emih!S19/SER_summary!S$26)</f>
        <v>1.358430377616167</v>
      </c>
      <c r="T19" s="131">
        <f>IF(SER_hh_emih!T19=0,0,SER_hh_emih!T19/SER_summary!T$26)</f>
        <v>1.4361083343509653</v>
      </c>
      <c r="U19" s="131">
        <f>IF(SER_hh_emih!U19=0,0,SER_hh_emih!U19/SER_summary!U$26)</f>
        <v>1.3621861729138927</v>
      </c>
      <c r="V19" s="131">
        <f>IF(SER_hh_emih!V19=0,0,SER_hh_emih!V19/SER_summary!V$26)</f>
        <v>1.3588766403904549</v>
      </c>
      <c r="W19" s="131">
        <f>IF(SER_hh_emih!W19=0,0,SER_hh_emih!W19/SER_summary!W$26)</f>
        <v>1.2788830781839262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10.645497477765586</v>
      </c>
      <c r="C22" s="133">
        <f>IF(SER_hh_emih!C22=0,0,SER_hh_emih!C22/SER_summary!C$26)</f>
        <v>10.714413388795238</v>
      </c>
      <c r="D22" s="133">
        <f>IF(SER_hh_emih!D22=0,0,SER_hh_emih!D22/SER_summary!D$26)</f>
        <v>10.603862185615244</v>
      </c>
      <c r="E22" s="133">
        <f>IF(SER_hh_emih!E22=0,0,SER_hh_emih!E22/SER_summary!E$26)</f>
        <v>9.2237757627594039</v>
      </c>
      <c r="F22" s="133">
        <f>IF(SER_hh_emih!F22=0,0,SER_hh_emih!F22/SER_summary!F$26)</f>
        <v>8.9513085154755512</v>
      </c>
      <c r="G22" s="133">
        <f>IF(SER_hh_emih!G22=0,0,SER_hh_emih!G22/SER_summary!G$26)</f>
        <v>9.212172504194891</v>
      </c>
      <c r="H22" s="133">
        <f>IF(SER_hh_emih!H22=0,0,SER_hh_emih!H22/SER_summary!H$26)</f>
        <v>8.9626394668891756</v>
      </c>
      <c r="I22" s="133">
        <f>IF(SER_hh_emih!I22=0,0,SER_hh_emih!I22/SER_summary!I$26)</f>
        <v>8.7134425569354992</v>
      </c>
      <c r="J22" s="133">
        <f>IF(SER_hh_emih!J22=0,0,SER_hh_emih!J22/SER_summary!J$26)</f>
        <v>8.8442756636540274</v>
      </c>
      <c r="K22" s="133">
        <f>IF(SER_hh_emih!K22=0,0,SER_hh_emih!K22/SER_summary!K$26)</f>
        <v>8.6275516951526114</v>
      </c>
      <c r="L22" s="133">
        <f>IF(SER_hh_emih!L22=0,0,SER_hh_emih!L22/SER_summary!L$26)</f>
        <v>8.526836688253475</v>
      </c>
      <c r="M22" s="133">
        <f>IF(SER_hh_emih!M22=0,0,SER_hh_emih!M22/SER_summary!M$26)</f>
        <v>8.4766009166871257</v>
      </c>
      <c r="N22" s="133">
        <f>IF(SER_hh_emih!N22=0,0,SER_hh_emih!N22/SER_summary!N$26)</f>
        <v>8.3126774816317699</v>
      </c>
      <c r="O22" s="133">
        <f>IF(SER_hh_emih!O22=0,0,SER_hh_emih!O22/SER_summary!O$26)</f>
        <v>8.1758256011471033</v>
      </c>
      <c r="P22" s="133">
        <f>IF(SER_hh_emih!P22=0,0,SER_hh_emih!P22/SER_summary!P$26)</f>
        <v>8.275237756006069</v>
      </c>
      <c r="Q22" s="133">
        <f>IF(SER_hh_emih!Q22=0,0,SER_hh_emih!Q22/SER_summary!Q$26)</f>
        <v>8.4104378126978627</v>
      </c>
      <c r="R22" s="133">
        <f>IF(SER_hh_emih!R22=0,0,SER_hh_emih!R22/SER_summary!R$26)</f>
        <v>7.9693048850790014</v>
      </c>
      <c r="S22" s="133">
        <f>IF(SER_hh_emih!S22=0,0,SER_hh_emih!S22/SER_summary!S$26)</f>
        <v>8.1835084367574247</v>
      </c>
      <c r="T22" s="133">
        <f>IF(SER_hh_emih!T22=0,0,SER_hh_emih!T22/SER_summary!T$26)</f>
        <v>8.885270746150697</v>
      </c>
      <c r="U22" s="133">
        <f>IF(SER_hh_emih!U22=0,0,SER_hh_emih!U22/SER_summary!U$26)</f>
        <v>7.2552072955653637</v>
      </c>
      <c r="V22" s="133">
        <f>IF(SER_hh_emih!V22=0,0,SER_hh_emih!V22/SER_summary!V$26)</f>
        <v>8.0392484589195146</v>
      </c>
      <c r="W22" s="133">
        <f>IF(SER_hh_emih!W22=0,0,SER_hh_emih!W22/SER_summary!W$26)</f>
        <v>7.9385781225025989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5.3296126703432307</v>
      </c>
      <c r="C23" s="133">
        <f>IF(SER_hh_emih!C23=0,0,SER_hh_emih!C23/SER_summary!C$26)</f>
        <v>8.2968841616795288</v>
      </c>
      <c r="D23" s="133">
        <f>IF(SER_hh_emih!D23=0,0,SER_hh_emih!D23/SER_summary!D$26)</f>
        <v>7.3624144506131364</v>
      </c>
      <c r="E23" s="133">
        <f>IF(SER_hh_emih!E23=0,0,SER_hh_emih!E23/SER_summary!E$26)</f>
        <v>6.8269216999907423</v>
      </c>
      <c r="F23" s="133">
        <f>IF(SER_hh_emih!F23=0,0,SER_hh_emih!F23/SER_summary!F$26)</f>
        <v>6.4694541469458233</v>
      </c>
      <c r="G23" s="133">
        <f>IF(SER_hh_emih!G23=0,0,SER_hh_emih!G23/SER_summary!G$26)</f>
        <v>6.2457356380209577</v>
      </c>
      <c r="H23" s="133">
        <f>IF(SER_hh_emih!H23=0,0,SER_hh_emih!H23/SER_summary!H$26)</f>
        <v>6.1042444975524237</v>
      </c>
      <c r="I23" s="133">
        <f>IF(SER_hh_emih!I23=0,0,SER_hh_emih!I23/SER_summary!I$26)</f>
        <v>5.8341079217880498</v>
      </c>
      <c r="J23" s="133">
        <f>IF(SER_hh_emih!J23=0,0,SER_hh_emih!J23/SER_summary!J$26)</f>
        <v>5.7163540917430362</v>
      </c>
      <c r="K23" s="133">
        <f>IF(SER_hh_emih!K23=0,0,SER_hh_emih!K23/SER_summary!K$26)</f>
        <v>5.5413009325707927</v>
      </c>
      <c r="L23" s="133">
        <f>IF(SER_hh_emih!L23=0,0,SER_hh_emih!L23/SER_summary!L$26)</f>
        <v>5.1817779185424735</v>
      </c>
      <c r="M23" s="133">
        <f>IF(SER_hh_emih!M23=0,0,SER_hh_emih!M23/SER_summary!M$26)</f>
        <v>5.4262018290997869</v>
      </c>
      <c r="N23" s="133">
        <f>IF(SER_hh_emih!N23=0,0,SER_hh_emih!N23/SER_summary!N$26)</f>
        <v>4.7494856737158697</v>
      </c>
      <c r="O23" s="133">
        <f>IF(SER_hh_emih!O23=0,0,SER_hh_emih!O23/SER_summary!O$26)</f>
        <v>4.978205679931194</v>
      </c>
      <c r="P23" s="133">
        <f>IF(SER_hh_emih!P23=0,0,SER_hh_emih!P23/SER_summary!P$26)</f>
        <v>5.5714561221666372</v>
      </c>
      <c r="Q23" s="133">
        <f>IF(SER_hh_emih!Q23=0,0,SER_hh_emih!Q23/SER_summary!Q$26)</f>
        <v>5.0617101634307282</v>
      </c>
      <c r="R23" s="133">
        <f>IF(SER_hh_emih!R23=0,0,SER_hh_emih!R23/SER_summary!R$26)</f>
        <v>4.5773665011347164</v>
      </c>
      <c r="S23" s="133">
        <f>IF(SER_hh_emih!S23=0,0,SER_hh_emih!S23/SER_summary!S$26)</f>
        <v>4.6387188561864345</v>
      </c>
      <c r="T23" s="133">
        <f>IF(SER_hh_emih!T23=0,0,SER_hh_emih!T23/SER_summary!T$26)</f>
        <v>4.6979168015661132</v>
      </c>
      <c r="U23" s="133">
        <f>IF(SER_hh_emih!U23=0,0,SER_hh_emih!U23/SER_summary!U$26)</f>
        <v>4.7376340150241907</v>
      </c>
      <c r="V23" s="133">
        <f>IF(SER_hh_emih!V23=0,0,SER_hh_emih!V23/SER_summary!V$26)</f>
        <v>4.5660742870660771</v>
      </c>
      <c r="W23" s="133">
        <f>IF(SER_hh_emih!W23=0,0,SER_hh_emih!W23/SER_summary!W$26)</f>
        <v>4.2041170640439018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0.21298270165007219</v>
      </c>
      <c r="C29" s="131">
        <f>IF(SER_hh_emih!C29=0,0,SER_hh_emih!C29/SER_summary!C$26)</f>
        <v>0.67349174700598813</v>
      </c>
      <c r="D29" s="131">
        <f>IF(SER_hh_emih!D29=0,0,SER_hh_emih!D29/SER_summary!D$26)</f>
        <v>0.9258859937303342</v>
      </c>
      <c r="E29" s="131">
        <f>IF(SER_hh_emih!E29=0,0,SER_hh_emih!E29/SER_summary!E$26)</f>
        <v>0.90136100743877035</v>
      </c>
      <c r="F29" s="131">
        <f>IF(SER_hh_emih!F29=0,0,SER_hh_emih!F29/SER_summary!F$26)</f>
        <v>1.0814121726991925</v>
      </c>
      <c r="G29" s="131">
        <f>IF(SER_hh_emih!G29=0,0,SER_hh_emih!G29/SER_summary!G$26)</f>
        <v>1.0081213161036482</v>
      </c>
      <c r="H29" s="131">
        <f>IF(SER_hh_emih!H29=0,0,SER_hh_emih!H29/SER_summary!H$26)</f>
        <v>0.93102335735469965</v>
      </c>
      <c r="I29" s="131">
        <f>IF(SER_hh_emih!I29=0,0,SER_hh_emih!I29/SER_summary!I$26)</f>
        <v>0.88043709937409542</v>
      </c>
      <c r="J29" s="131">
        <f>IF(SER_hh_emih!J29=0,0,SER_hh_emih!J29/SER_summary!J$26)</f>
        <v>0.87696829318130132</v>
      </c>
      <c r="K29" s="131">
        <f>IF(SER_hh_emih!K29=0,0,SER_hh_emih!K29/SER_summary!K$26)</f>
        <v>0.82002221525081997</v>
      </c>
      <c r="L29" s="131">
        <f>IF(SER_hh_emih!L29=0,0,SER_hh_emih!L29/SER_summary!L$26)</f>
        <v>0.84856855908072115</v>
      </c>
      <c r="M29" s="131">
        <f>IF(SER_hh_emih!M29=0,0,SER_hh_emih!M29/SER_summary!M$26)</f>
        <v>0.83927964429645463</v>
      </c>
      <c r="N29" s="131">
        <f>IF(SER_hh_emih!N29=0,0,SER_hh_emih!N29/SER_summary!N$26)</f>
        <v>0.87575280035669034</v>
      </c>
      <c r="O29" s="131">
        <f>IF(SER_hh_emih!O29=0,0,SER_hh_emih!O29/SER_summary!O$26)</f>
        <v>0.85690771036635893</v>
      </c>
      <c r="P29" s="131">
        <f>IF(SER_hh_emih!P29=0,0,SER_hh_emih!P29/SER_summary!P$26)</f>
        <v>0.86688298684473275</v>
      </c>
      <c r="Q29" s="131">
        <f>IF(SER_hh_emih!Q29=0,0,SER_hh_emih!Q29/SER_summary!Q$26)</f>
        <v>0.86170231186264268</v>
      </c>
      <c r="R29" s="131">
        <f>IF(SER_hh_emih!R29=0,0,SER_hh_emih!R29/SER_summary!R$26)</f>
        <v>1.2533654961346363</v>
      </c>
      <c r="S29" s="131">
        <f>IF(SER_hh_emih!S29=0,0,SER_hh_emih!S29/SER_summary!S$26)</f>
        <v>1.4095125090268439</v>
      </c>
      <c r="T29" s="131">
        <f>IF(SER_hh_emih!T29=0,0,SER_hh_emih!T29/SER_summary!T$26)</f>
        <v>1.1531822138491448</v>
      </c>
      <c r="U29" s="131">
        <f>IF(SER_hh_emih!U29=0,0,SER_hh_emih!U29/SER_summary!U$26)</f>
        <v>1.4843761803185149</v>
      </c>
      <c r="V29" s="131">
        <f>IF(SER_hh_emih!V29=0,0,SER_hh_emih!V29/SER_summary!V$26)</f>
        <v>1.4566544375458519</v>
      </c>
      <c r="W29" s="131">
        <f>IF(SER_hh_emih!W29=0,0,SER_hh_emih!W29/SER_summary!W$26)</f>
        <v>1.3166817575849088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10.008502808797274</v>
      </c>
      <c r="G30" s="133">
        <f>IF(SER_hh_emih!G30=0,0,SER_hh_emih!G30/SER_summary!G$26)</f>
        <v>7.7610854673265539</v>
      </c>
      <c r="H30" s="133">
        <f>IF(SER_hh_emih!H30=0,0,SER_hh_emih!H30/SER_summary!H$26)</f>
        <v>6.9238518379417568</v>
      </c>
      <c r="I30" s="133">
        <f>IF(SER_hh_emih!I30=0,0,SER_hh_emih!I30/SER_summary!I$26)</f>
        <v>6.9330994225775147</v>
      </c>
      <c r="J30" s="133">
        <f>IF(SER_hh_emih!J30=0,0,SER_hh_emih!J30/SER_summary!J$26)</f>
        <v>7.0479304394245501</v>
      </c>
      <c r="K30" s="133">
        <f>IF(SER_hh_emih!K30=0,0,SER_hh_emih!K30/SER_summary!K$26)</f>
        <v>7.2066791386763045</v>
      </c>
      <c r="L30" s="133">
        <f>IF(SER_hh_emih!L30=0,0,SER_hh_emih!L30/SER_summary!L$26)</f>
        <v>7.2398255211251925</v>
      </c>
      <c r="M30" s="133">
        <f>IF(SER_hh_emih!M30=0,0,SER_hh_emih!M30/SER_summary!M$26)</f>
        <v>7.2554686557275394</v>
      </c>
      <c r="N30" s="133">
        <f>IF(SER_hh_emih!N30=0,0,SER_hh_emih!N30/SER_summary!N$26)</f>
        <v>7.2883178038253309</v>
      </c>
      <c r="O30" s="133">
        <f>IF(SER_hh_emih!O30=0,0,SER_hh_emih!O30/SER_summary!O$26)</f>
        <v>7.2576391089812065</v>
      </c>
      <c r="P30" s="133">
        <f>IF(SER_hh_emih!P30=0,0,SER_hh_emih!P30/SER_summary!P$26)</f>
        <v>6.539506656865</v>
      </c>
      <c r="Q30" s="133">
        <f>IF(SER_hh_emih!Q30=0,0,SER_hh_emih!Q30/SER_summary!Q$26)</f>
        <v>5.0851481311385438</v>
      </c>
      <c r="R30" s="133">
        <f>IF(SER_hh_emih!R30=0,0,SER_hh_emih!R30/SER_summary!R$26)</f>
        <v>7.8692644052885159</v>
      </c>
      <c r="S30" s="133">
        <f>IF(SER_hh_emih!S30=0,0,SER_hh_emih!S30/SER_summary!S$26)</f>
        <v>11.230619338471652</v>
      </c>
      <c r="T30" s="133">
        <f>IF(SER_hh_emih!T30=0,0,SER_hh_emih!T30/SER_summary!T$26)</f>
        <v>3.6118435504407014</v>
      </c>
      <c r="U30" s="133">
        <f>IF(SER_hh_emih!U30=0,0,SER_hh_emih!U30/SER_summary!U$26)</f>
        <v>7.2909427013039538</v>
      </c>
      <c r="V30" s="133">
        <f>IF(SER_hh_emih!V30=0,0,SER_hh_emih!V30/SER_summary!V$26)</f>
        <v>7.5210223068172972</v>
      </c>
      <c r="W30" s="133">
        <f>IF(SER_hh_emih!W30=0,0,SER_hh_emih!W30/SER_summary!W$26)</f>
        <v>5.5036275868044076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3.9795956559099563</v>
      </c>
      <c r="C31" s="133">
        <f>IF(SER_hh_emih!C31=0,0,SER_hh_emih!C31/SER_summary!C$26)</f>
        <v>7.3975784379979936</v>
      </c>
      <c r="D31" s="133">
        <f>IF(SER_hh_emih!D31=0,0,SER_hh_emih!D31/SER_summary!D$26)</f>
        <v>7.8751052284491365</v>
      </c>
      <c r="E31" s="133">
        <f>IF(SER_hh_emih!E31=0,0,SER_hh_emih!E31/SER_summary!E$26)</f>
        <v>7.034233745194781</v>
      </c>
      <c r="F31" s="133">
        <f>IF(SER_hh_emih!F31=0,0,SER_hh_emih!F31/SER_summary!F$26)</f>
        <v>6.7161159878837218</v>
      </c>
      <c r="G31" s="133">
        <f>IF(SER_hh_emih!G31=0,0,SER_hh_emih!G31/SER_summary!G$26)</f>
        <v>6.5922101243477886</v>
      </c>
      <c r="H31" s="133">
        <f>IF(SER_hh_emih!H31=0,0,SER_hh_emih!H31/SER_summary!H$26)</f>
        <v>6.4684064907323142</v>
      </c>
      <c r="I31" s="133">
        <f>IF(SER_hh_emih!I31=0,0,SER_hh_emih!I31/SER_summary!I$26)</f>
        <v>6.4597572049053298</v>
      </c>
      <c r="J31" s="133">
        <f>IF(SER_hh_emih!J31=0,0,SER_hh_emih!J31/SER_summary!J$26)</f>
        <v>6.5638706522467629</v>
      </c>
      <c r="K31" s="133">
        <f>IF(SER_hh_emih!K31=0,0,SER_hh_emih!K31/SER_summary!K$26)</f>
        <v>6.2474462806885516</v>
      </c>
      <c r="L31" s="133">
        <f>IF(SER_hh_emih!L31=0,0,SER_hh_emih!L31/SER_summary!L$26)</f>
        <v>6.5904914254508826</v>
      </c>
      <c r="M31" s="133">
        <f>IF(SER_hh_emih!M31=0,0,SER_hh_emih!M31/SER_summary!M$26)</f>
        <v>6.5754687566953089</v>
      </c>
      <c r="N31" s="133">
        <f>IF(SER_hh_emih!N31=0,0,SER_hh_emih!N31/SER_summary!N$26)</f>
        <v>6.7947900487273216</v>
      </c>
      <c r="O31" s="133">
        <f>IF(SER_hh_emih!O31=0,0,SER_hh_emih!O31/SER_summary!O$26)</f>
        <v>6.4915844450531006</v>
      </c>
      <c r="P31" s="133">
        <f>IF(SER_hh_emih!P31=0,0,SER_hh_emih!P31/SER_summary!P$26)</f>
        <v>6.2803458968769377</v>
      </c>
      <c r="Q31" s="133">
        <f>IF(SER_hh_emih!Q31=0,0,SER_hh_emih!Q31/SER_summary!Q$26)</f>
        <v>5.8536181637752334</v>
      </c>
      <c r="R31" s="133">
        <f>IF(SER_hh_emih!R31=0,0,SER_hh_emih!R31/SER_summary!R$26)</f>
        <v>6.6954250279143563</v>
      </c>
      <c r="S31" s="133">
        <f>IF(SER_hh_emih!S31=0,0,SER_hh_emih!S31/SER_summary!S$26)</f>
        <v>6.0674178413512774</v>
      </c>
      <c r="T31" s="133">
        <f>IF(SER_hh_emih!T31=0,0,SER_hh_emih!T31/SER_summary!T$26)</f>
        <v>6.0631911540357759</v>
      </c>
      <c r="U31" s="133">
        <f>IF(SER_hh_emih!U31=0,0,SER_hh_emih!U31/SER_summary!U$26)</f>
        <v>6.5047343415013632</v>
      </c>
      <c r="V31" s="133">
        <f>IF(SER_hh_emih!V31=0,0,SER_hh_emih!V31/SER_summary!V$26)</f>
        <v>5.9099282749302864</v>
      </c>
      <c r="W31" s="133">
        <f>IF(SER_hh_emih!W31=0,0,SER_hh_emih!W31/SER_summary!W$26)</f>
        <v>5.5477543520701982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496.06625535343284</v>
      </c>
      <c r="D3" s="125">
        <f t="shared" si="0"/>
        <v>530.09347313127876</v>
      </c>
      <c r="E3" s="125">
        <f t="shared" si="0"/>
        <v>581.08290174075637</v>
      </c>
      <c r="F3" s="125">
        <f t="shared" si="0"/>
        <v>434.36728504116195</v>
      </c>
      <c r="G3" s="125">
        <f t="shared" si="0"/>
        <v>792.30247572232645</v>
      </c>
      <c r="H3" s="125">
        <f t="shared" si="0"/>
        <v>966.03432544223983</v>
      </c>
      <c r="I3" s="125">
        <f t="shared" si="0"/>
        <v>611.00648515391629</v>
      </c>
      <c r="J3" s="125">
        <f t="shared" si="0"/>
        <v>67.623706267417759</v>
      </c>
      <c r="K3" s="125">
        <f t="shared" si="0"/>
        <v>66.347787281240073</v>
      </c>
      <c r="L3" s="125">
        <f t="shared" si="0"/>
        <v>113.21065076774765</v>
      </c>
      <c r="M3" s="125">
        <f t="shared" si="0"/>
        <v>497.84473611006683</v>
      </c>
      <c r="N3" s="125">
        <f t="shared" si="0"/>
        <v>335.94458197093923</v>
      </c>
      <c r="O3" s="125">
        <f t="shared" si="0"/>
        <v>148.77116649620399</v>
      </c>
      <c r="P3" s="125">
        <f t="shared" si="0"/>
        <v>261.319076300392</v>
      </c>
      <c r="Q3" s="125">
        <f t="shared" si="0"/>
        <v>458.14217623223698</v>
      </c>
      <c r="R3" s="125">
        <f t="shared" si="0"/>
        <v>268.83769533419593</v>
      </c>
      <c r="S3" s="125">
        <f t="shared" si="0"/>
        <v>398.78648075650892</v>
      </c>
      <c r="T3" s="125">
        <f t="shared" si="0"/>
        <v>332.15170783529271</v>
      </c>
      <c r="U3" s="125">
        <f t="shared" si="0"/>
        <v>286.14140198219604</v>
      </c>
      <c r="V3" s="125">
        <f t="shared" si="0"/>
        <v>274.45149721963588</v>
      </c>
      <c r="W3" s="125">
        <f t="shared" si="0"/>
        <v>259.92727673555032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496.06625535343284</v>
      </c>
      <c r="D4" s="140">
        <f t="shared" si="1"/>
        <v>530.09347313127876</v>
      </c>
      <c r="E4" s="140">
        <f t="shared" si="1"/>
        <v>581.08290174075637</v>
      </c>
      <c r="F4" s="140">
        <f t="shared" si="1"/>
        <v>434.36728504116195</v>
      </c>
      <c r="G4" s="140">
        <f t="shared" si="1"/>
        <v>792.30247572232645</v>
      </c>
      <c r="H4" s="140">
        <f t="shared" si="1"/>
        <v>966.03432544223983</v>
      </c>
      <c r="I4" s="140">
        <f t="shared" si="1"/>
        <v>611.00648515391629</v>
      </c>
      <c r="J4" s="140">
        <f t="shared" si="1"/>
        <v>67.623706267417759</v>
      </c>
      <c r="K4" s="140">
        <f t="shared" si="1"/>
        <v>66.347787281240073</v>
      </c>
      <c r="L4" s="140">
        <f t="shared" si="1"/>
        <v>113.21065076774765</v>
      </c>
      <c r="M4" s="140">
        <f t="shared" si="1"/>
        <v>497.84473611006683</v>
      </c>
      <c r="N4" s="140">
        <f t="shared" si="1"/>
        <v>335.94458197093923</v>
      </c>
      <c r="O4" s="140">
        <f t="shared" si="1"/>
        <v>148.77116649620399</v>
      </c>
      <c r="P4" s="140">
        <f t="shared" si="1"/>
        <v>261.319076300392</v>
      </c>
      <c r="Q4" s="140">
        <f t="shared" si="1"/>
        <v>458.14217623223698</v>
      </c>
      <c r="R4" s="140">
        <f t="shared" ref="R4:W4" si="2">SUM(R5:R14)</f>
        <v>268.83769533419593</v>
      </c>
      <c r="S4" s="140">
        <f t="shared" si="2"/>
        <v>398.78648075650892</v>
      </c>
      <c r="T4" s="140">
        <f t="shared" si="2"/>
        <v>332.15170783529271</v>
      </c>
      <c r="U4" s="140">
        <f t="shared" si="2"/>
        <v>286.14140198219604</v>
      </c>
      <c r="V4" s="140">
        <f t="shared" si="2"/>
        <v>274.45149721963588</v>
      </c>
      <c r="W4" s="140">
        <f t="shared" si="2"/>
        <v>259.92727673555032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12.007785094400946</v>
      </c>
      <c r="D5" s="141">
        <v>9.6106776455618554</v>
      </c>
      <c r="E5" s="141">
        <v>6.258331136105503</v>
      </c>
      <c r="F5" s="141">
        <v>0</v>
      </c>
      <c r="G5" s="141">
        <v>8.0205359484804699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6.136539227988961</v>
      </c>
      <c r="N5" s="141">
        <v>8.1644806726323242</v>
      </c>
      <c r="O5" s="141">
        <v>3.5123833169633878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0.43807882591792729</v>
      </c>
      <c r="W5" s="141">
        <v>0.23667062206973608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36.492121443359288</v>
      </c>
      <c r="D7" s="141">
        <v>0</v>
      </c>
      <c r="E7" s="141">
        <v>0</v>
      </c>
      <c r="F7" s="141">
        <v>0</v>
      </c>
      <c r="G7" s="141">
        <v>0</v>
      </c>
      <c r="H7" s="141">
        <v>17.101191670966344</v>
      </c>
      <c r="I7" s="141">
        <v>64.254135634244093</v>
      </c>
      <c r="J7" s="141">
        <v>6.4902585137458528</v>
      </c>
      <c r="K7" s="141">
        <v>14.503334351616978</v>
      </c>
      <c r="L7" s="141">
        <v>31.038735121493598</v>
      </c>
      <c r="M7" s="141">
        <v>174.76480251874466</v>
      </c>
      <c r="N7" s="141">
        <v>63.154161931477439</v>
      </c>
      <c r="O7" s="141">
        <v>15.624311347157507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3.5692021708605068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132.38748129723464</v>
      </c>
      <c r="D9" s="141">
        <v>271.0674959035332</v>
      </c>
      <c r="E9" s="141">
        <v>296.81600495614248</v>
      </c>
      <c r="F9" s="141">
        <v>38.256029827740868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75.053430626972357</v>
      </c>
      <c r="N9" s="141">
        <v>80.219171860393018</v>
      </c>
      <c r="O9" s="141">
        <v>64.283070357209397</v>
      </c>
      <c r="P9" s="141">
        <v>147.61094265020287</v>
      </c>
      <c r="Q9" s="141">
        <v>186.65350815106879</v>
      </c>
      <c r="R9" s="141">
        <v>89.787739041446116</v>
      </c>
      <c r="S9" s="141">
        <v>87.346550312403053</v>
      </c>
      <c r="T9" s="141">
        <v>66.183150589412591</v>
      </c>
      <c r="U9" s="141">
        <v>44.484400641052382</v>
      </c>
      <c r="V9" s="141">
        <v>23.655853663244052</v>
      </c>
      <c r="W9" s="141">
        <v>18.850087895397564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54.103732523016582</v>
      </c>
      <c r="D10" s="141">
        <v>38.362621078478149</v>
      </c>
      <c r="E10" s="141">
        <v>40.941168462163134</v>
      </c>
      <c r="F10" s="141">
        <v>38.265362433066052</v>
      </c>
      <c r="G10" s="141">
        <v>43.382135002911561</v>
      </c>
      <c r="H10" s="141">
        <v>55.10196995140214</v>
      </c>
      <c r="I10" s="141">
        <v>10.469687090101949</v>
      </c>
      <c r="J10" s="141">
        <v>6.3454172096248582E-2</v>
      </c>
      <c r="K10" s="141">
        <v>0</v>
      </c>
      <c r="L10" s="141">
        <v>2.628933306056024</v>
      </c>
      <c r="M10" s="141">
        <v>16.810390305614199</v>
      </c>
      <c r="N10" s="141">
        <v>0</v>
      </c>
      <c r="O10" s="141">
        <v>0</v>
      </c>
      <c r="P10" s="141">
        <v>0</v>
      </c>
      <c r="Q10" s="141">
        <v>0</v>
      </c>
      <c r="R10" s="141">
        <v>4.5966270923243977</v>
      </c>
      <c r="S10" s="141">
        <v>24.100429204181804</v>
      </c>
      <c r="T10" s="141">
        <v>17.05953403621573</v>
      </c>
      <c r="U10" s="141">
        <v>21.156839191669004</v>
      </c>
      <c r="V10" s="141">
        <v>11.43172417563091</v>
      </c>
      <c r="W10" s="141">
        <v>11.855387457198145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101.52718226137659</v>
      </c>
      <c r="D12" s="141">
        <v>111.40720474262184</v>
      </c>
      <c r="E12" s="141">
        <v>168.11837327938485</v>
      </c>
      <c r="F12" s="141">
        <v>250.24762601935595</v>
      </c>
      <c r="G12" s="141">
        <v>503.6742715180261</v>
      </c>
      <c r="H12" s="141">
        <v>511.96734081671747</v>
      </c>
      <c r="I12" s="141">
        <v>283.37632410140321</v>
      </c>
      <c r="J12" s="141">
        <v>28.726723598581625</v>
      </c>
      <c r="K12" s="141">
        <v>37.272594988023165</v>
      </c>
      <c r="L12" s="141">
        <v>75.405402447986376</v>
      </c>
      <c r="M12" s="141">
        <v>192.34707672477097</v>
      </c>
      <c r="N12" s="141">
        <v>105.70462654322796</v>
      </c>
      <c r="O12" s="141">
        <v>18.799710132824231</v>
      </c>
      <c r="P12" s="141">
        <v>9.7236989933689859</v>
      </c>
      <c r="Q12" s="141">
        <v>172.18445208758661</v>
      </c>
      <c r="R12" s="141">
        <v>100.82518206330636</v>
      </c>
      <c r="S12" s="141">
        <v>199.33143003346493</v>
      </c>
      <c r="T12" s="141">
        <v>120.9520318144363</v>
      </c>
      <c r="U12" s="141">
        <v>97.883472620530796</v>
      </c>
      <c r="V12" s="141">
        <v>131.67162370936069</v>
      </c>
      <c r="W12" s="141">
        <v>135.07862282902931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159.54795273404477</v>
      </c>
      <c r="D14" s="142">
        <v>99.645473761083693</v>
      </c>
      <c r="E14" s="142">
        <v>68.949023906960448</v>
      </c>
      <c r="F14" s="142">
        <v>107.59826676099907</v>
      </c>
      <c r="G14" s="142">
        <v>237.22553325290838</v>
      </c>
      <c r="H14" s="142">
        <v>381.86382300315387</v>
      </c>
      <c r="I14" s="142">
        <v>252.90633832816707</v>
      </c>
      <c r="J14" s="142">
        <v>32.343269982994023</v>
      </c>
      <c r="K14" s="142">
        <v>14.571857941599934</v>
      </c>
      <c r="L14" s="142">
        <v>4.1375798922116678</v>
      </c>
      <c r="M14" s="142">
        <v>32.732496705975663</v>
      </c>
      <c r="N14" s="142">
        <v>78.702140963208493</v>
      </c>
      <c r="O14" s="142">
        <v>46.55169134204948</v>
      </c>
      <c r="P14" s="142">
        <v>103.98443465682013</v>
      </c>
      <c r="Q14" s="142">
        <v>99.304215993581565</v>
      </c>
      <c r="R14" s="142">
        <v>73.628147137119058</v>
      </c>
      <c r="S14" s="142">
        <v>88.008071206459164</v>
      </c>
      <c r="T14" s="142">
        <v>127.95699139522809</v>
      </c>
      <c r="U14" s="142">
        <v>122.61668952894385</v>
      </c>
      <c r="V14" s="142">
        <v>107.2542168454823</v>
      </c>
      <c r="W14" s="142">
        <v>90.337305760995079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336.51830261938807</v>
      </c>
      <c r="D15" s="144">
        <f t="shared" si="3"/>
        <v>430.44799937019502</v>
      </c>
      <c r="E15" s="144">
        <f t="shared" si="3"/>
        <v>512.13387783379596</v>
      </c>
      <c r="F15" s="144">
        <f t="shared" si="3"/>
        <v>326.76901828016287</v>
      </c>
      <c r="G15" s="144">
        <f t="shared" si="3"/>
        <v>555.0769424694181</v>
      </c>
      <c r="H15" s="144">
        <f t="shared" si="3"/>
        <v>584.17050243908591</v>
      </c>
      <c r="I15" s="144">
        <f t="shared" si="3"/>
        <v>358.10014682574922</v>
      </c>
      <c r="J15" s="144">
        <f t="shared" si="3"/>
        <v>35.280436284423729</v>
      </c>
      <c r="K15" s="144">
        <f t="shared" si="3"/>
        <v>51.775929339640143</v>
      </c>
      <c r="L15" s="144">
        <f t="shared" si="3"/>
        <v>109.07307087553599</v>
      </c>
      <c r="M15" s="144">
        <f t="shared" si="3"/>
        <v>465.11223940409116</v>
      </c>
      <c r="N15" s="144">
        <f t="shared" si="3"/>
        <v>257.24244100773075</v>
      </c>
      <c r="O15" s="144">
        <f t="shared" si="3"/>
        <v>102.21947515415452</v>
      </c>
      <c r="P15" s="144">
        <f t="shared" si="3"/>
        <v>157.33464164357187</v>
      </c>
      <c r="Q15" s="144">
        <f t="shared" si="3"/>
        <v>358.8379602386554</v>
      </c>
      <c r="R15" s="144">
        <f t="shared" ref="R15:W15" si="4">SUM(R5:R12)</f>
        <v>195.20954819707686</v>
      </c>
      <c r="S15" s="144">
        <f t="shared" si="4"/>
        <v>310.77840955004979</v>
      </c>
      <c r="T15" s="144">
        <f t="shared" si="4"/>
        <v>204.19471644006461</v>
      </c>
      <c r="U15" s="144">
        <f t="shared" si="4"/>
        <v>163.52471245325216</v>
      </c>
      <c r="V15" s="144">
        <f t="shared" si="4"/>
        <v>167.19728037415359</v>
      </c>
      <c r="W15" s="144">
        <f t="shared" si="4"/>
        <v>169.58997097455526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94.43578282051368</v>
      </c>
      <c r="D16" s="140">
        <f t="shared" si="5"/>
        <v>106.77001696166188</v>
      </c>
      <c r="E16" s="140">
        <f t="shared" si="5"/>
        <v>100.5626428415044</v>
      </c>
      <c r="F16" s="140">
        <f t="shared" si="5"/>
        <v>94.943146280004328</v>
      </c>
      <c r="G16" s="140">
        <f t="shared" si="5"/>
        <v>139.44997557090576</v>
      </c>
      <c r="H16" s="140">
        <f t="shared" si="5"/>
        <v>177.03255630826342</v>
      </c>
      <c r="I16" s="140">
        <f t="shared" si="5"/>
        <v>151.56532225601316</v>
      </c>
      <c r="J16" s="140">
        <f t="shared" si="5"/>
        <v>67.623706267417745</v>
      </c>
      <c r="K16" s="140">
        <f t="shared" si="5"/>
        <v>66.347787281240073</v>
      </c>
      <c r="L16" s="140">
        <f t="shared" si="5"/>
        <v>113.21065076774767</v>
      </c>
      <c r="M16" s="140">
        <f t="shared" si="5"/>
        <v>180.05812840994895</v>
      </c>
      <c r="N16" s="140">
        <f t="shared" si="5"/>
        <v>164.22708120114416</v>
      </c>
      <c r="O16" s="140">
        <f t="shared" si="5"/>
        <v>148.77116649620402</v>
      </c>
      <c r="P16" s="140">
        <f t="shared" si="5"/>
        <v>178.34966518635386</v>
      </c>
      <c r="Q16" s="140">
        <f t="shared" si="5"/>
        <v>211.29968964839253</v>
      </c>
      <c r="R16" s="140">
        <f t="shared" ref="R16:W16" si="6">SUM(R17:R18)</f>
        <v>181.78625399791804</v>
      </c>
      <c r="S16" s="140">
        <f t="shared" si="6"/>
        <v>190.52861697194024</v>
      </c>
      <c r="T16" s="140">
        <f t="shared" si="6"/>
        <v>214.40891357434077</v>
      </c>
      <c r="U16" s="140">
        <f t="shared" si="6"/>
        <v>194.53838882740195</v>
      </c>
      <c r="V16" s="140">
        <f t="shared" si="6"/>
        <v>137.48637300270738</v>
      </c>
      <c r="W16" s="140">
        <f t="shared" si="6"/>
        <v>235.57529489882035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94.43578282051368</v>
      </c>
      <c r="D18" s="141">
        <v>106.77001696166188</v>
      </c>
      <c r="E18" s="141">
        <v>100.5626428415044</v>
      </c>
      <c r="F18" s="141">
        <v>94.943146280004328</v>
      </c>
      <c r="G18" s="141">
        <v>139.44997557090576</v>
      </c>
      <c r="H18" s="141">
        <v>177.03255630826342</v>
      </c>
      <c r="I18" s="141">
        <v>151.56532225601316</v>
      </c>
      <c r="J18" s="141">
        <v>67.623706267417745</v>
      </c>
      <c r="K18" s="141">
        <v>66.347787281240073</v>
      </c>
      <c r="L18" s="141">
        <v>113.21065076774767</v>
      </c>
      <c r="M18" s="141">
        <v>180.05812840994895</v>
      </c>
      <c r="N18" s="141">
        <v>164.22708120114416</v>
      </c>
      <c r="O18" s="141">
        <v>148.77116649620402</v>
      </c>
      <c r="P18" s="141">
        <v>178.34966518635386</v>
      </c>
      <c r="Q18" s="141">
        <v>211.29968964839253</v>
      </c>
      <c r="R18" s="141">
        <v>181.78625399791804</v>
      </c>
      <c r="S18" s="141">
        <v>190.52861697194024</v>
      </c>
      <c r="T18" s="141">
        <v>214.40891357434077</v>
      </c>
      <c r="U18" s="141">
        <v>194.53838882740195</v>
      </c>
      <c r="V18" s="141">
        <v>137.48637300270738</v>
      </c>
      <c r="W18" s="141">
        <v>235.57529489882035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496.06625535343278</v>
      </c>
      <c r="D19" s="140">
        <f t="shared" si="7"/>
        <v>530.09347313127876</v>
      </c>
      <c r="E19" s="140">
        <f t="shared" si="7"/>
        <v>581.08290174075637</v>
      </c>
      <c r="F19" s="140">
        <f t="shared" si="7"/>
        <v>434.36728504116195</v>
      </c>
      <c r="G19" s="140">
        <f t="shared" si="7"/>
        <v>792.30247572232634</v>
      </c>
      <c r="H19" s="140">
        <f t="shared" si="7"/>
        <v>966.03432544223983</v>
      </c>
      <c r="I19" s="140">
        <f t="shared" si="7"/>
        <v>611.0064851539164</v>
      </c>
      <c r="J19" s="140">
        <f t="shared" si="7"/>
        <v>67.623706267417745</v>
      </c>
      <c r="K19" s="140">
        <f t="shared" si="7"/>
        <v>66.347787281240073</v>
      </c>
      <c r="L19" s="140">
        <f t="shared" si="7"/>
        <v>113.21065076774767</v>
      </c>
      <c r="M19" s="140">
        <f t="shared" si="7"/>
        <v>497.84473611006678</v>
      </c>
      <c r="N19" s="140">
        <f t="shared" si="7"/>
        <v>335.94458197093923</v>
      </c>
      <c r="O19" s="140">
        <f t="shared" si="7"/>
        <v>148.77116649620402</v>
      </c>
      <c r="P19" s="140">
        <f t="shared" si="7"/>
        <v>261.319076300392</v>
      </c>
      <c r="Q19" s="140">
        <f t="shared" si="7"/>
        <v>458.14217623223692</v>
      </c>
      <c r="R19" s="140">
        <f t="shared" ref="R19:W19" si="8">SUM(R20:R26)</f>
        <v>268.83769533419593</v>
      </c>
      <c r="S19" s="140">
        <f t="shared" si="8"/>
        <v>398.78648075650898</v>
      </c>
      <c r="T19" s="140">
        <f t="shared" si="8"/>
        <v>332.15170783529265</v>
      </c>
      <c r="U19" s="140">
        <f t="shared" si="8"/>
        <v>286.14140198219604</v>
      </c>
      <c r="V19" s="140">
        <f t="shared" si="8"/>
        <v>274.45149721963594</v>
      </c>
      <c r="W19" s="140">
        <f t="shared" si="8"/>
        <v>259.92727673555038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47.250666064233549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53.741533315360677</v>
      </c>
      <c r="J22" s="141">
        <v>14.092709244345107</v>
      </c>
      <c r="K22" s="141">
        <v>11.114386761754432</v>
      </c>
      <c r="L22" s="141">
        <v>14.032399119011089</v>
      </c>
      <c r="M22" s="141">
        <v>45.276319656482549</v>
      </c>
      <c r="N22" s="141">
        <v>32.40504591823013</v>
      </c>
      <c r="O22" s="141">
        <v>14.526892175362089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6.3380722856124025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75.959683794140119</v>
      </c>
      <c r="D23" s="141">
        <v>50.107544924948385</v>
      </c>
      <c r="E23" s="141">
        <v>43.293477766627412</v>
      </c>
      <c r="F23" s="141">
        <v>25.035285944520869</v>
      </c>
      <c r="G23" s="141">
        <v>39.360644190268793</v>
      </c>
      <c r="H23" s="141">
        <v>48.149122612494082</v>
      </c>
      <c r="I23" s="141">
        <v>33.963745077694455</v>
      </c>
      <c r="J23" s="141">
        <v>6.1303766129962716</v>
      </c>
      <c r="K23" s="141">
        <v>6.8228841753865188</v>
      </c>
      <c r="L23" s="141">
        <v>11.494085037365602</v>
      </c>
      <c r="M23" s="141">
        <v>71.290644313876669</v>
      </c>
      <c r="N23" s="141">
        <v>71.815833821345166</v>
      </c>
      <c r="O23" s="141">
        <v>53.795154208988166</v>
      </c>
      <c r="P23" s="141">
        <v>149.43766748858334</v>
      </c>
      <c r="Q23" s="141">
        <v>145.95084511150381</v>
      </c>
      <c r="R23" s="141">
        <v>78.337429936619017</v>
      </c>
      <c r="S23" s="141">
        <v>94.797610683701606</v>
      </c>
      <c r="T23" s="141">
        <v>83.090340163068717</v>
      </c>
      <c r="U23" s="141">
        <v>59.126186074228627</v>
      </c>
      <c r="V23" s="141">
        <v>54.0728803803133</v>
      </c>
      <c r="W23" s="141">
        <v>41.004814193793237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172.41198063803554</v>
      </c>
      <c r="D25" s="141">
        <v>169.65824094153507</v>
      </c>
      <c r="E25" s="141">
        <v>185.21078891571426</v>
      </c>
      <c r="F25" s="141">
        <v>177.52272510829715</v>
      </c>
      <c r="G25" s="141">
        <v>309.8644162542833</v>
      </c>
      <c r="H25" s="141">
        <v>365.33962034983864</v>
      </c>
      <c r="I25" s="141">
        <v>264.47149715701016</v>
      </c>
      <c r="J25" s="141">
        <v>47.400620410076364</v>
      </c>
      <c r="K25" s="141">
        <v>39.817081247278665</v>
      </c>
      <c r="L25" s="141">
        <v>45.278285596137536</v>
      </c>
      <c r="M25" s="141">
        <v>143.26263207085992</v>
      </c>
      <c r="N25" s="141">
        <v>95.919133214260469</v>
      </c>
      <c r="O25" s="141">
        <v>44.956205529593191</v>
      </c>
      <c r="P25" s="141">
        <v>57.430057144417951</v>
      </c>
      <c r="Q25" s="141">
        <v>101.6513673337852</v>
      </c>
      <c r="R25" s="141">
        <v>82.186384699331043</v>
      </c>
      <c r="S25" s="141">
        <v>116.23932509082576</v>
      </c>
      <c r="T25" s="141">
        <v>86.699933512785435</v>
      </c>
      <c r="U25" s="141">
        <v>77.333221774310815</v>
      </c>
      <c r="V25" s="141">
        <v>97.224215982801965</v>
      </c>
      <c r="W25" s="141">
        <v>93.185189996046773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200.4439248570236</v>
      </c>
      <c r="D26" s="142">
        <v>310.32768726479532</v>
      </c>
      <c r="E26" s="142">
        <v>352.5786350584147</v>
      </c>
      <c r="F26" s="142">
        <v>231.80927398834393</v>
      </c>
      <c r="G26" s="142">
        <v>443.07741527777432</v>
      </c>
      <c r="H26" s="142">
        <v>552.54558247990713</v>
      </c>
      <c r="I26" s="142">
        <v>258.82970960385109</v>
      </c>
      <c r="J26" s="142">
        <v>0</v>
      </c>
      <c r="K26" s="142">
        <v>8.5934350968204605</v>
      </c>
      <c r="L26" s="142">
        <v>42.40588101523344</v>
      </c>
      <c r="M26" s="142">
        <v>238.01514006884764</v>
      </c>
      <c r="N26" s="142">
        <v>135.80456901710346</v>
      </c>
      <c r="O26" s="142">
        <v>35.492914582260568</v>
      </c>
      <c r="P26" s="142">
        <v>54.451351667390689</v>
      </c>
      <c r="Q26" s="142">
        <v>210.53996378694794</v>
      </c>
      <c r="R26" s="142">
        <v>108.31388069824588</v>
      </c>
      <c r="S26" s="142">
        <v>187.74954498198161</v>
      </c>
      <c r="T26" s="142">
        <v>162.36143415943852</v>
      </c>
      <c r="U26" s="142">
        <v>149.68199413365656</v>
      </c>
      <c r="V26" s="142">
        <v>123.15440085652065</v>
      </c>
      <c r="W26" s="142">
        <v>119.39920026009797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496.06625535343289</v>
      </c>
      <c r="D29" s="140">
        <f t="shared" si="9"/>
        <v>530.09347313127876</v>
      </c>
      <c r="E29" s="140">
        <f t="shared" si="9"/>
        <v>581.08290174075637</v>
      </c>
      <c r="F29" s="140">
        <f t="shared" si="9"/>
        <v>434.36728504116201</v>
      </c>
      <c r="G29" s="140">
        <f t="shared" si="9"/>
        <v>792.30247572232656</v>
      </c>
      <c r="H29" s="140">
        <f t="shared" si="9"/>
        <v>966.03432544223983</v>
      </c>
      <c r="I29" s="140">
        <f t="shared" si="9"/>
        <v>611.00648515391651</v>
      </c>
      <c r="J29" s="140">
        <f t="shared" si="9"/>
        <v>67.623706267417745</v>
      </c>
      <c r="K29" s="140">
        <f t="shared" si="9"/>
        <v>66.347787281240073</v>
      </c>
      <c r="L29" s="140">
        <f t="shared" si="9"/>
        <v>113.21065076774768</v>
      </c>
      <c r="M29" s="140">
        <f t="shared" si="9"/>
        <v>497.84473611006683</v>
      </c>
      <c r="N29" s="140">
        <f t="shared" si="9"/>
        <v>335.94458197093923</v>
      </c>
      <c r="O29" s="140">
        <f t="shared" si="9"/>
        <v>148.77116649620399</v>
      </c>
      <c r="P29" s="140">
        <f t="shared" si="9"/>
        <v>261.31907630039194</v>
      </c>
      <c r="Q29" s="140">
        <f t="shared" si="9"/>
        <v>458.14217623223703</v>
      </c>
      <c r="R29" s="140">
        <f t="shared" ref="R29:W29" si="10">SUM(R30:R33)</f>
        <v>268.83769533419593</v>
      </c>
      <c r="S29" s="140">
        <f t="shared" si="10"/>
        <v>398.78648075650892</v>
      </c>
      <c r="T29" s="140">
        <f t="shared" si="10"/>
        <v>332.15170783529265</v>
      </c>
      <c r="U29" s="140">
        <f t="shared" si="10"/>
        <v>286.14140198219604</v>
      </c>
      <c r="V29" s="140">
        <f t="shared" si="10"/>
        <v>274.45149721963588</v>
      </c>
      <c r="W29" s="140">
        <f t="shared" si="10"/>
        <v>259.92727673555038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79.171885427869412</v>
      </c>
      <c r="G30" s="141">
        <v>34.173563456807059</v>
      </c>
      <c r="H30" s="141">
        <v>20.727721162257367</v>
      </c>
      <c r="I30" s="141">
        <v>0.95073598521592728</v>
      </c>
      <c r="J30" s="141">
        <v>2.6946412538559335E-2</v>
      </c>
      <c r="K30" s="141">
        <v>0.14928626643883308</v>
      </c>
      <c r="L30" s="141">
        <v>1.0220004630203252</v>
      </c>
      <c r="M30" s="141">
        <v>9.5913598379074827</v>
      </c>
      <c r="N30" s="141">
        <v>8.4596798428380904</v>
      </c>
      <c r="O30" s="141">
        <v>4.192008430576764</v>
      </c>
      <c r="P30" s="141">
        <v>14.478589755774587</v>
      </c>
      <c r="Q30" s="141">
        <v>44.470902259252341</v>
      </c>
      <c r="R30" s="141">
        <v>36.812057081282063</v>
      </c>
      <c r="S30" s="141">
        <v>14.283962787818268</v>
      </c>
      <c r="T30" s="141">
        <v>9.0315046191671993</v>
      </c>
      <c r="U30" s="141">
        <v>2.4270294827478347</v>
      </c>
      <c r="V30" s="141">
        <v>5.8300236186987382</v>
      </c>
      <c r="W30" s="141">
        <v>5.8158786776219662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165.44406032244433</v>
      </c>
      <c r="D31" s="141">
        <v>140.35679034608268</v>
      </c>
      <c r="E31" s="141">
        <v>89.134888223792061</v>
      </c>
      <c r="F31" s="141">
        <v>34.271665037927917</v>
      </c>
      <c r="G31" s="141">
        <v>27.846341147529287</v>
      </c>
      <c r="H31" s="141">
        <v>36.128855181323651</v>
      </c>
      <c r="I31" s="141">
        <v>22.252475344240658</v>
      </c>
      <c r="J31" s="141">
        <v>3.6565539704633423</v>
      </c>
      <c r="K31" s="141">
        <v>3.9007859676793499</v>
      </c>
      <c r="L31" s="141">
        <v>13.495729439590837</v>
      </c>
      <c r="M31" s="141">
        <v>78.072854529257555</v>
      </c>
      <c r="N31" s="141">
        <v>63.134304835560982</v>
      </c>
      <c r="O31" s="141">
        <v>27.318902629176289</v>
      </c>
      <c r="P31" s="141">
        <v>42.538437082664927</v>
      </c>
      <c r="Q31" s="141">
        <v>65.754223465027366</v>
      </c>
      <c r="R31" s="141">
        <v>58.042413491463137</v>
      </c>
      <c r="S31" s="141">
        <v>66.014766820952929</v>
      </c>
      <c r="T31" s="141">
        <v>72.4162541838419</v>
      </c>
      <c r="U31" s="141">
        <v>67.010779073665418</v>
      </c>
      <c r="V31" s="141">
        <v>66.56706425055738</v>
      </c>
      <c r="W31" s="141">
        <v>49.190876356523603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330.62219503098856</v>
      </c>
      <c r="D33" s="153">
        <v>389.73668278519608</v>
      </c>
      <c r="E33" s="153">
        <v>491.94801351696435</v>
      </c>
      <c r="F33" s="153">
        <v>320.92373457536468</v>
      </c>
      <c r="G33" s="153">
        <v>730.28257111799019</v>
      </c>
      <c r="H33" s="153">
        <v>909.17774909865886</v>
      </c>
      <c r="I33" s="153">
        <v>587.80327382445989</v>
      </c>
      <c r="J33" s="153">
        <v>63.940205884415846</v>
      </c>
      <c r="K33" s="153">
        <v>62.297715047121883</v>
      </c>
      <c r="L33" s="153">
        <v>98.692920865136514</v>
      </c>
      <c r="M33" s="153">
        <v>410.18052174290176</v>
      </c>
      <c r="N33" s="153">
        <v>264.35059729254016</v>
      </c>
      <c r="O33" s="153">
        <v>117.26025543645095</v>
      </c>
      <c r="P33" s="153">
        <v>204.30204946195244</v>
      </c>
      <c r="Q33" s="153">
        <v>347.9170505079573</v>
      </c>
      <c r="R33" s="153">
        <v>173.98322476145074</v>
      </c>
      <c r="S33" s="153">
        <v>318.48775114773775</v>
      </c>
      <c r="T33" s="153">
        <v>250.70394903228356</v>
      </c>
      <c r="U33" s="153">
        <v>216.70359342578277</v>
      </c>
      <c r="V33" s="153">
        <v>202.05440935037979</v>
      </c>
      <c r="W33" s="153">
        <v>204.92052170140482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8.7527442213098805</v>
      </c>
      <c r="D3" s="126">
        <f t="shared" si="0"/>
        <v>8.2329582587738397</v>
      </c>
      <c r="E3" s="126">
        <f t="shared" si="0"/>
        <v>11.719319983167907</v>
      </c>
      <c r="F3" s="126">
        <f t="shared" si="0"/>
        <v>8.0752164521376244</v>
      </c>
      <c r="G3" s="126">
        <f t="shared" si="0"/>
        <v>13.614838630567666</v>
      </c>
      <c r="H3" s="126">
        <f t="shared" si="0"/>
        <v>15.543656917146079</v>
      </c>
      <c r="I3" s="126">
        <f t="shared" si="0"/>
        <v>9.7645405221341104</v>
      </c>
      <c r="J3" s="126">
        <f t="shared" si="0"/>
        <v>1.2086465078793578</v>
      </c>
      <c r="K3" s="126">
        <f t="shared" si="0"/>
        <v>1.1474361163163718</v>
      </c>
      <c r="L3" s="126">
        <f t="shared" si="0"/>
        <v>1.8996302018348483</v>
      </c>
      <c r="M3" s="126">
        <f t="shared" si="0"/>
        <v>8.0378007146251651</v>
      </c>
      <c r="N3" s="126">
        <f t="shared" si="0"/>
        <v>5.1462415515845557</v>
      </c>
      <c r="O3" s="126">
        <f t="shared" si="0"/>
        <v>2.1711825279417587</v>
      </c>
      <c r="P3" s="126">
        <f t="shared" si="0"/>
        <v>4.1608929017671574</v>
      </c>
      <c r="Q3" s="126">
        <f t="shared" si="0"/>
        <v>6.3670064710474223</v>
      </c>
      <c r="R3" s="126">
        <f t="shared" ref="R3:W3" si="1">SUM(R4,R16,R19,R29)</f>
        <v>3.9585273344928611</v>
      </c>
      <c r="S3" s="126">
        <f t="shared" si="1"/>
        <v>4.999706240234036</v>
      </c>
      <c r="T3" s="126">
        <f t="shared" si="1"/>
        <v>4.0830704498042483</v>
      </c>
      <c r="U3" s="126">
        <f t="shared" si="1"/>
        <v>3.1373231558211021</v>
      </c>
      <c r="V3" s="126">
        <f t="shared" si="1"/>
        <v>2.719854598568221</v>
      </c>
      <c r="W3" s="126">
        <f t="shared" si="1"/>
        <v>2.4294737076328325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6.4344198791614078</v>
      </c>
      <c r="D4" s="131">
        <f t="shared" si="2"/>
        <v>5.9020882622399613</v>
      </c>
      <c r="E4" s="131">
        <f t="shared" si="2"/>
        <v>9.2638030281518979</v>
      </c>
      <c r="F4" s="131">
        <f t="shared" si="2"/>
        <v>6.2162167127368884</v>
      </c>
      <c r="G4" s="131">
        <f t="shared" si="2"/>
        <v>10.45178630764708</v>
      </c>
      <c r="H4" s="131">
        <f t="shared" si="2"/>
        <v>11.831732105956936</v>
      </c>
      <c r="I4" s="131">
        <f t="shared" si="2"/>
        <v>7.454922380910312</v>
      </c>
      <c r="J4" s="131">
        <f t="shared" si="2"/>
        <v>0.92519346347342724</v>
      </c>
      <c r="K4" s="131">
        <f t="shared" si="2"/>
        <v>0.86577960889410566</v>
      </c>
      <c r="L4" s="131">
        <f t="shared" si="2"/>
        <v>1.4074934908273329</v>
      </c>
      <c r="M4" s="131">
        <f t="shared" si="2"/>
        <v>6.0346755633678448</v>
      </c>
      <c r="N4" s="131">
        <f t="shared" si="2"/>
        <v>3.7970992449145293</v>
      </c>
      <c r="O4" s="131">
        <f t="shared" si="2"/>
        <v>1.5506017167870287</v>
      </c>
      <c r="P4" s="131">
        <f t="shared" si="2"/>
        <v>3.1113075299670201</v>
      </c>
      <c r="Q4" s="131">
        <f t="shared" si="2"/>
        <v>4.6740139835632961</v>
      </c>
      <c r="R4" s="131">
        <f t="shared" ref="R4:W4" si="3">SUM(R5:R15)</f>
        <v>2.9166131369825044</v>
      </c>
      <c r="S4" s="131">
        <f t="shared" si="3"/>
        <v>3.5892243821895806</v>
      </c>
      <c r="T4" s="131">
        <f t="shared" si="3"/>
        <v>2.9016762180029629</v>
      </c>
      <c r="U4" s="131">
        <f t="shared" si="3"/>
        <v>2.1332213477878774</v>
      </c>
      <c r="V4" s="131">
        <f t="shared" si="3"/>
        <v>1.8529541024769884</v>
      </c>
      <c r="W4" s="131">
        <f t="shared" si="3"/>
        <v>1.5518445405601671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0.18834661658640589</v>
      </c>
      <c r="D5" s="133">
        <v>0.12914814495977756</v>
      </c>
      <c r="E5" s="133">
        <v>9.0839043710067624E-2</v>
      </c>
      <c r="F5" s="133">
        <v>0</v>
      </c>
      <c r="G5" s="133">
        <v>0.14506521145294232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5.838962007724649E-2</v>
      </c>
      <c r="N5" s="133">
        <v>8.8887747099157033E-2</v>
      </c>
      <c r="O5" s="133">
        <v>5.9382261452231994E-2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3.3360423844537995E-3</v>
      </c>
      <c r="W5" s="133">
        <v>1.4923323087672963E-3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0.68815875279887595</v>
      </c>
      <c r="D7" s="133">
        <v>0</v>
      </c>
      <c r="E7" s="133">
        <v>0</v>
      </c>
      <c r="F7" s="133">
        <v>0</v>
      </c>
      <c r="G7" s="133">
        <v>0</v>
      </c>
      <c r="H7" s="133">
        <v>0.26278736212976012</v>
      </c>
      <c r="I7" s="133">
        <v>1.0724968102032968</v>
      </c>
      <c r="J7" s="133">
        <v>0.11124965019160372</v>
      </c>
      <c r="K7" s="133">
        <v>0.2238699396061683</v>
      </c>
      <c r="L7" s="133">
        <v>0.3754759555270088</v>
      </c>
      <c r="M7" s="133">
        <v>2.6504818776924925</v>
      </c>
      <c r="N7" s="133">
        <v>0.91636836981384462</v>
      </c>
      <c r="O7" s="133">
        <v>0.20154731332255379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2.2840296454351722E-2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1.9297804222914736</v>
      </c>
      <c r="D9" s="133">
        <v>2.7890117366074132</v>
      </c>
      <c r="E9" s="133">
        <v>5.9970646234151186</v>
      </c>
      <c r="F9" s="133">
        <v>0.66554447718487453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0.86858133220518174</v>
      </c>
      <c r="N9" s="133">
        <v>0.84102745176772997</v>
      </c>
      <c r="O9" s="133">
        <v>0.66651499356060895</v>
      </c>
      <c r="P9" s="133">
        <v>1.8678111466275524</v>
      </c>
      <c r="Q9" s="133">
        <v>2.1089888950693179</v>
      </c>
      <c r="R9" s="133">
        <v>1.0805641373329431</v>
      </c>
      <c r="S9" s="133">
        <v>0.8353825705393837</v>
      </c>
      <c r="T9" s="133">
        <v>0.62966113738247664</v>
      </c>
      <c r="U9" s="133">
        <v>0.36114216479896605</v>
      </c>
      <c r="V9" s="133">
        <v>0.17706817009355627</v>
      </c>
      <c r="W9" s="133">
        <v>0.12552548181354781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0.89203700567025124</v>
      </c>
      <c r="D10" s="133">
        <v>0.56063989566944905</v>
      </c>
      <c r="E10" s="133">
        <v>0.57895879975728581</v>
      </c>
      <c r="F10" s="133">
        <v>0.94577776760396948</v>
      </c>
      <c r="G10" s="133">
        <v>0.67070529093928399</v>
      </c>
      <c r="H10" s="133">
        <v>0.96313892851871807</v>
      </c>
      <c r="I10" s="133">
        <v>0.19280531901364009</v>
      </c>
      <c r="J10" s="133">
        <v>1.2304456286913804E-3</v>
      </c>
      <c r="K10" s="133">
        <v>0</v>
      </c>
      <c r="L10" s="133">
        <v>4.4895115261146423E-2</v>
      </c>
      <c r="M10" s="133">
        <v>0.30680800478729747</v>
      </c>
      <c r="N10" s="133">
        <v>0</v>
      </c>
      <c r="O10" s="133">
        <v>0</v>
      </c>
      <c r="P10" s="133">
        <v>0</v>
      </c>
      <c r="Q10" s="133">
        <v>0</v>
      </c>
      <c r="R10" s="133">
        <v>6.3203789204198738E-2</v>
      </c>
      <c r="S10" s="133">
        <v>0.33832141736626437</v>
      </c>
      <c r="T10" s="133">
        <v>0.19657783245783861</v>
      </c>
      <c r="U10" s="133">
        <v>0.24402184063702126</v>
      </c>
      <c r="V10" s="133">
        <v>0.14384844172962</v>
      </c>
      <c r="W10" s="133">
        <v>0.10652848529313293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0.88632038919750378</v>
      </c>
      <c r="D12" s="133">
        <v>1.1721931812222401</v>
      </c>
      <c r="E12" s="133">
        <v>1.7282377861734761</v>
      </c>
      <c r="F12" s="133">
        <v>3.1154151369865231</v>
      </c>
      <c r="G12" s="133">
        <v>6.7368607802181542</v>
      </c>
      <c r="H12" s="133">
        <v>5.7410257663637774</v>
      </c>
      <c r="I12" s="133">
        <v>2.9243522428550492</v>
      </c>
      <c r="J12" s="133">
        <v>0.35758162139556532</v>
      </c>
      <c r="K12" s="133">
        <v>0.44456071894527088</v>
      </c>
      <c r="L12" s="133">
        <v>0.93027164746012858</v>
      </c>
      <c r="M12" s="133">
        <v>1.7946290884160725</v>
      </c>
      <c r="N12" s="133">
        <v>1.0795492932532198</v>
      </c>
      <c r="O12" s="133">
        <v>0.17410952930883578</v>
      </c>
      <c r="P12" s="133">
        <v>9.4418130146826665E-2</v>
      </c>
      <c r="Q12" s="133">
        <v>1.5762061919186341</v>
      </c>
      <c r="R12" s="133">
        <v>0.97999694886226929</v>
      </c>
      <c r="S12" s="133">
        <v>1.7385713737733497</v>
      </c>
      <c r="T12" s="133">
        <v>1.0171969626098909</v>
      </c>
      <c r="U12" s="133">
        <v>0.64623346568530349</v>
      </c>
      <c r="V12" s="133">
        <v>0.86805702149017894</v>
      </c>
      <c r="W12" s="133">
        <v>0.7760776248233705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1.8126570266462574</v>
      </c>
      <c r="D14" s="65">
        <v>1.2124289465839519</v>
      </c>
      <c r="E14" s="65">
        <v>0.79324425484845495</v>
      </c>
      <c r="F14" s="65">
        <v>1.4664662360463356</v>
      </c>
      <c r="G14" s="65">
        <v>2.8713466201404634</v>
      </c>
      <c r="H14" s="65">
        <v>4.8377394984158428</v>
      </c>
      <c r="I14" s="65">
        <v>3.2441102095266383</v>
      </c>
      <c r="J14" s="65">
        <v>0.45284993986909117</v>
      </c>
      <c r="K14" s="65">
        <v>0.19371660211294617</v>
      </c>
      <c r="L14" s="65">
        <v>4.9947542422817862E-2</v>
      </c>
      <c r="M14" s="65">
        <v>0.31305786282410014</v>
      </c>
      <c r="N14" s="65">
        <v>0.8488981372816774</v>
      </c>
      <c r="O14" s="65">
        <v>0.43867257890637584</v>
      </c>
      <c r="P14" s="65">
        <v>1.1276729812631245</v>
      </c>
      <c r="Q14" s="65">
        <v>0.95940860922282778</v>
      </c>
      <c r="R14" s="65">
        <v>0.77685997049321687</v>
      </c>
      <c r="S14" s="65">
        <v>0.66005315530881259</v>
      </c>
      <c r="T14" s="65">
        <v>1.0467001386291499</v>
      </c>
      <c r="U14" s="65">
        <v>0.87442716024536138</v>
      </c>
      <c r="V14" s="65">
        <v>0.65503200247710636</v>
      </c>
      <c r="W14" s="65">
        <v>0.51456667821117874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3.7119665970640002E-2</v>
      </c>
      <c r="D15" s="135">
        <v>3.866635719712954E-2</v>
      </c>
      <c r="E15" s="135">
        <v>7.5458520247493763E-2</v>
      </c>
      <c r="F15" s="135">
        <v>2.3013094915185564E-2</v>
      </c>
      <c r="G15" s="135">
        <v>2.7808404896236705E-2</v>
      </c>
      <c r="H15" s="135">
        <v>2.704055052883883E-2</v>
      </c>
      <c r="I15" s="135">
        <v>2.1157799311687035E-2</v>
      </c>
      <c r="J15" s="135">
        <v>2.2818063884756396E-3</v>
      </c>
      <c r="K15" s="135">
        <v>3.6323482297203006E-3</v>
      </c>
      <c r="L15" s="135">
        <v>6.9032301562311649E-3</v>
      </c>
      <c r="M15" s="135">
        <v>4.2727777365453565E-2</v>
      </c>
      <c r="N15" s="135">
        <v>2.236824569890037E-2</v>
      </c>
      <c r="O15" s="135">
        <v>1.0375040236422405E-2</v>
      </c>
      <c r="P15" s="135">
        <v>2.1405271929516429E-2</v>
      </c>
      <c r="Q15" s="135">
        <v>2.9410287352516665E-2</v>
      </c>
      <c r="R15" s="135">
        <v>1.5988291089876476E-2</v>
      </c>
      <c r="S15" s="135">
        <v>1.6895865201770156E-2</v>
      </c>
      <c r="T15" s="135">
        <v>1.1540146923606984E-2</v>
      </c>
      <c r="U15" s="135">
        <v>7.3967164212255139E-3</v>
      </c>
      <c r="V15" s="135">
        <v>5.6124243020728862E-3</v>
      </c>
      <c r="W15" s="135">
        <v>4.8136416558179108E-3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5.9569130775558261E-2</v>
      </c>
      <c r="D16" s="131">
        <f t="shared" si="4"/>
        <v>6.4378250077463409E-2</v>
      </c>
      <c r="E16" s="131">
        <f t="shared" si="4"/>
        <v>6.0981126570049636E-2</v>
      </c>
      <c r="F16" s="131">
        <f t="shared" si="4"/>
        <v>5.2652945907892754E-2</v>
      </c>
      <c r="G16" s="131">
        <f t="shared" si="4"/>
        <v>7.4646308301964434E-2</v>
      </c>
      <c r="H16" s="131">
        <f t="shared" si="4"/>
        <v>9.2940100782269885E-2</v>
      </c>
      <c r="I16" s="131">
        <f t="shared" si="4"/>
        <v>7.5632394462704741E-2</v>
      </c>
      <c r="J16" s="131">
        <f t="shared" si="4"/>
        <v>3.252237301443215E-2</v>
      </c>
      <c r="K16" s="131">
        <f t="shared" si="4"/>
        <v>3.055930489370759E-2</v>
      </c>
      <c r="L16" s="131">
        <f t="shared" si="4"/>
        <v>5.8401560986427715E-2</v>
      </c>
      <c r="M16" s="131">
        <f t="shared" si="4"/>
        <v>8.1105245288044081E-2</v>
      </c>
      <c r="N16" s="131">
        <f t="shared" si="4"/>
        <v>6.7685628264350026E-2</v>
      </c>
      <c r="O16" s="131">
        <f t="shared" si="4"/>
        <v>5.7597450168648812E-2</v>
      </c>
      <c r="P16" s="131">
        <f t="shared" si="4"/>
        <v>6.659952772853435E-2</v>
      </c>
      <c r="Q16" s="131">
        <f t="shared" si="4"/>
        <v>7.3813036034989066E-2</v>
      </c>
      <c r="R16" s="131">
        <f t="shared" ref="R16:W16" si="5">SUM(R17:R18)</f>
        <v>6.2306413650328817E-2</v>
      </c>
      <c r="S16" s="131">
        <f t="shared" si="5"/>
        <v>6.3416005469597886E-2</v>
      </c>
      <c r="T16" s="131">
        <f t="shared" si="5"/>
        <v>7.4132346041718311E-2</v>
      </c>
      <c r="U16" s="131">
        <f t="shared" si="5"/>
        <v>6.079730511428736E-2</v>
      </c>
      <c r="V16" s="131">
        <f t="shared" si="5"/>
        <v>4.1145878919147991E-2</v>
      </c>
      <c r="W16" s="131">
        <f t="shared" si="5"/>
        <v>7.2495923489272418E-2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5.9569130775558261E-2</v>
      </c>
      <c r="D18" s="133">
        <v>6.4378250077463409E-2</v>
      </c>
      <c r="E18" s="133">
        <v>6.0981126570049636E-2</v>
      </c>
      <c r="F18" s="133">
        <v>5.2652945907892754E-2</v>
      </c>
      <c r="G18" s="133">
        <v>7.4646308301964434E-2</v>
      </c>
      <c r="H18" s="133">
        <v>9.2940100782269885E-2</v>
      </c>
      <c r="I18" s="133">
        <v>7.5632394462704741E-2</v>
      </c>
      <c r="J18" s="133">
        <v>3.252237301443215E-2</v>
      </c>
      <c r="K18" s="133">
        <v>3.055930489370759E-2</v>
      </c>
      <c r="L18" s="133">
        <v>5.8401560986427715E-2</v>
      </c>
      <c r="M18" s="133">
        <v>8.1105245288044081E-2</v>
      </c>
      <c r="N18" s="133">
        <v>6.7685628264350026E-2</v>
      </c>
      <c r="O18" s="133">
        <v>5.7597450168648812E-2</v>
      </c>
      <c r="P18" s="133">
        <v>6.659952772853435E-2</v>
      </c>
      <c r="Q18" s="133">
        <v>7.3813036034989066E-2</v>
      </c>
      <c r="R18" s="133">
        <v>6.2306413650328817E-2</v>
      </c>
      <c r="S18" s="133">
        <v>6.3416005469597886E-2</v>
      </c>
      <c r="T18" s="133">
        <v>7.4132346041718311E-2</v>
      </c>
      <c r="U18" s="133">
        <v>6.079730511428736E-2</v>
      </c>
      <c r="V18" s="133">
        <v>4.1145878919147991E-2</v>
      </c>
      <c r="W18" s="133">
        <v>7.2495923489272418E-2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1.1299290689615917</v>
      </c>
      <c r="D19" s="131">
        <f t="shared" si="6"/>
        <v>1.095744824661411</v>
      </c>
      <c r="E19" s="131">
        <f t="shared" si="6"/>
        <v>1.1945602252397067</v>
      </c>
      <c r="F19" s="131">
        <f t="shared" si="6"/>
        <v>0.83867156154943645</v>
      </c>
      <c r="G19" s="131">
        <f t="shared" si="6"/>
        <v>1.5104919326177653</v>
      </c>
      <c r="H19" s="131">
        <f t="shared" si="6"/>
        <v>1.776315025043318</v>
      </c>
      <c r="I19" s="131">
        <f t="shared" si="6"/>
        <v>1.0879272206708652</v>
      </c>
      <c r="J19" s="131">
        <f t="shared" si="6"/>
        <v>0.11941894674695613</v>
      </c>
      <c r="K19" s="131">
        <f t="shared" si="6"/>
        <v>0.11732419901145279</v>
      </c>
      <c r="L19" s="131">
        <f t="shared" si="6"/>
        <v>0.20019316229801681</v>
      </c>
      <c r="M19" s="131">
        <f t="shared" si="6"/>
        <v>0.89088908185502858</v>
      </c>
      <c r="N19" s="131">
        <f t="shared" si="6"/>
        <v>0.58226304931331196</v>
      </c>
      <c r="O19" s="131">
        <f t="shared" si="6"/>
        <v>0.25325014636297816</v>
      </c>
      <c r="P19" s="131">
        <f t="shared" si="6"/>
        <v>0.45320764212495301</v>
      </c>
      <c r="Q19" s="131">
        <f t="shared" si="6"/>
        <v>0.73045472393907329</v>
      </c>
      <c r="R19" s="131">
        <f t="shared" ref="R19:W19" si="7">SUM(R20:R27)</f>
        <v>0.40945160308130918</v>
      </c>
      <c r="S19" s="131">
        <f t="shared" si="7"/>
        <v>0.58522128794108252</v>
      </c>
      <c r="T19" s="131">
        <f t="shared" si="7"/>
        <v>0.47892079599952186</v>
      </c>
      <c r="U19" s="131">
        <f t="shared" si="7"/>
        <v>0.41077355241458807</v>
      </c>
      <c r="V19" s="131">
        <f t="shared" si="7"/>
        <v>0.36202770232093406</v>
      </c>
      <c r="W19" s="131">
        <f t="shared" si="7"/>
        <v>0.35434741988486973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0.1387017952383473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0.12541335640758147</v>
      </c>
      <c r="J22" s="133">
        <v>3.3331637959971724E-2</v>
      </c>
      <c r="K22" s="133">
        <v>2.5595521010938337E-2</v>
      </c>
      <c r="L22" s="133">
        <v>3.1773712876866228E-2</v>
      </c>
      <c r="M22" s="133">
        <v>0.10098237332242715</v>
      </c>
      <c r="N22" s="133">
        <v>6.9505592077644132E-2</v>
      </c>
      <c r="O22" s="133">
        <v>2.9647042043314389E-2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9.2532716329158122E-3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0.22538863227217135</v>
      </c>
      <c r="D23" s="133">
        <v>0.13234540416761897</v>
      </c>
      <c r="E23" s="133">
        <v>0.10585380934728295</v>
      </c>
      <c r="F23" s="133">
        <v>5.7686035374904458E-2</v>
      </c>
      <c r="G23" s="133">
        <v>8.8053801731761888E-2</v>
      </c>
      <c r="H23" s="133">
        <v>0.10493268829989413</v>
      </c>
      <c r="I23" s="133">
        <v>7.1210885724073483E-2</v>
      </c>
      <c r="J23" s="133">
        <v>1.2481680402344328E-2</v>
      </c>
      <c r="K23" s="133">
        <v>1.3465123694532599E-2</v>
      </c>
      <c r="L23" s="133">
        <v>2.1069580189956541E-2</v>
      </c>
      <c r="M23" s="133">
        <v>0.13660408281471548</v>
      </c>
      <c r="N23" s="133">
        <v>0.11804164895656848</v>
      </c>
      <c r="O23" s="133">
        <v>9.4209143279649299E-2</v>
      </c>
      <c r="P23" s="133">
        <v>0.28068282994647276</v>
      </c>
      <c r="Q23" s="133">
        <v>0.24478815024744163</v>
      </c>
      <c r="R23" s="133">
        <v>0.12340704565438844</v>
      </c>
      <c r="S23" s="133">
        <v>0.14570389409266452</v>
      </c>
      <c r="T23" s="133">
        <v>0.12706290440700319</v>
      </c>
      <c r="U23" s="133">
        <v>9.0408270667609897E-2</v>
      </c>
      <c r="V23" s="133">
        <v>7.8471633966323145E-2</v>
      </c>
      <c r="W23" s="133">
        <v>5.3879562993742011E-2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0.3264616065182569</v>
      </c>
      <c r="D25" s="133">
        <v>0.30679700103187341</v>
      </c>
      <c r="E25" s="133">
        <v>0.32147822225695483</v>
      </c>
      <c r="F25" s="133">
        <v>0.29840814778776042</v>
      </c>
      <c r="G25" s="133">
        <v>0.51906582440374816</v>
      </c>
      <c r="H25" s="133">
        <v>0.59330053395319426</v>
      </c>
      <c r="I25" s="133">
        <v>0.42080150545703104</v>
      </c>
      <c r="J25" s="133">
        <v>7.3605628384640076E-2</v>
      </c>
      <c r="K25" s="133">
        <v>6.2483665356483607E-2</v>
      </c>
      <c r="L25" s="133">
        <v>7.006453895711065E-2</v>
      </c>
      <c r="M25" s="133">
        <v>0.2218857589914775</v>
      </c>
      <c r="N25" s="133">
        <v>0.14722763587008336</v>
      </c>
      <c r="O25" s="133">
        <v>6.8651549709528956E-2</v>
      </c>
      <c r="P25" s="133">
        <v>8.5990822364742939E-2</v>
      </c>
      <c r="Q25" s="133">
        <v>0.15003168259902447</v>
      </c>
      <c r="R25" s="133">
        <v>0.11972392073542999</v>
      </c>
      <c r="S25" s="133">
        <v>0.16727040759443923</v>
      </c>
      <c r="T25" s="133">
        <v>0.12435827156256139</v>
      </c>
      <c r="U25" s="133">
        <v>0.10950050979795078</v>
      </c>
      <c r="V25" s="133">
        <v>0.12027971187604332</v>
      </c>
      <c r="W25" s="133">
        <v>0.13031215521728978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0.43937703493281621</v>
      </c>
      <c r="D26" s="65">
        <v>0.65660241946191866</v>
      </c>
      <c r="E26" s="65">
        <v>0.7672281936354689</v>
      </c>
      <c r="F26" s="65">
        <v>0.48257737838677162</v>
      </c>
      <c r="G26" s="65">
        <v>0.90337230648225519</v>
      </c>
      <c r="H26" s="65">
        <v>1.0780818027902295</v>
      </c>
      <c r="I26" s="65">
        <v>0.47050147308217916</v>
      </c>
      <c r="J26" s="65">
        <v>0</v>
      </c>
      <c r="K26" s="65">
        <v>1.5779888949498239E-2</v>
      </c>
      <c r="L26" s="65">
        <v>7.7285330274083394E-2</v>
      </c>
      <c r="M26" s="65">
        <v>0.43141686672640839</v>
      </c>
      <c r="N26" s="65">
        <v>0.24748817240901599</v>
      </c>
      <c r="O26" s="65">
        <v>6.074241133048551E-2</v>
      </c>
      <c r="P26" s="65">
        <v>8.6533989813737361E-2</v>
      </c>
      <c r="Q26" s="65">
        <v>0.33563489109260713</v>
      </c>
      <c r="R26" s="65">
        <v>0.16632063669149075</v>
      </c>
      <c r="S26" s="65">
        <v>0.27224698625397881</v>
      </c>
      <c r="T26" s="65">
        <v>0.22749962002995727</v>
      </c>
      <c r="U26" s="65">
        <v>0.21086477194902739</v>
      </c>
      <c r="V26" s="65">
        <v>0.16327635647856756</v>
      </c>
      <c r="W26" s="65">
        <v>0.16090243004092211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1.1288261424113222</v>
      </c>
      <c r="D29" s="131">
        <f t="shared" si="8"/>
        <v>1.1707469217950048</v>
      </c>
      <c r="E29" s="131">
        <f t="shared" si="8"/>
        <v>1.1999756032062519</v>
      </c>
      <c r="F29" s="131">
        <f t="shared" si="8"/>
        <v>0.96767523194340699</v>
      </c>
      <c r="G29" s="131">
        <f t="shared" si="8"/>
        <v>1.5779140820008575</v>
      </c>
      <c r="H29" s="131">
        <f t="shared" si="8"/>
        <v>1.8426696853635556</v>
      </c>
      <c r="I29" s="131">
        <f t="shared" si="8"/>
        <v>1.1460585260902276</v>
      </c>
      <c r="J29" s="131">
        <f t="shared" si="8"/>
        <v>0.13151172464454233</v>
      </c>
      <c r="K29" s="131">
        <f t="shared" si="8"/>
        <v>0.13377300351710555</v>
      </c>
      <c r="L29" s="131">
        <f t="shared" si="8"/>
        <v>0.23354198772307083</v>
      </c>
      <c r="M29" s="131">
        <f t="shared" si="8"/>
        <v>1.0311308241142487</v>
      </c>
      <c r="N29" s="131">
        <f t="shared" si="8"/>
        <v>0.6991936290923646</v>
      </c>
      <c r="O29" s="131">
        <f t="shared" si="8"/>
        <v>0.30973321462310299</v>
      </c>
      <c r="P29" s="131">
        <f t="shared" si="8"/>
        <v>0.52977820194664993</v>
      </c>
      <c r="Q29" s="131">
        <f t="shared" si="8"/>
        <v>0.8887247275100647</v>
      </c>
      <c r="R29" s="131">
        <f t="shared" ref="R29:W29" si="9">SUM(R30:R33)</f>
        <v>0.57015618077871921</v>
      </c>
      <c r="S29" s="131">
        <f t="shared" si="9"/>
        <v>0.76184456463377526</v>
      </c>
      <c r="T29" s="131">
        <f t="shared" si="9"/>
        <v>0.62834108976004499</v>
      </c>
      <c r="U29" s="131">
        <f t="shared" si="9"/>
        <v>0.5325309505043494</v>
      </c>
      <c r="V29" s="131">
        <f t="shared" si="9"/>
        <v>0.46372691485115053</v>
      </c>
      <c r="W29" s="131">
        <f t="shared" si="9"/>
        <v>0.45078582369852338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0.26994235823884583</v>
      </c>
      <c r="G30" s="133">
        <v>9.0307625843357137E-2</v>
      </c>
      <c r="H30" s="133">
        <v>4.8841284009344621E-2</v>
      </c>
      <c r="I30" s="133">
        <v>2.2418473845619417E-3</v>
      </c>
      <c r="J30" s="133">
        <v>6.4552998134685433E-5</v>
      </c>
      <c r="K30" s="133">
        <v>3.654807739021404E-4</v>
      </c>
      <c r="L30" s="133">
        <v>2.5124402108078797E-3</v>
      </c>
      <c r="M30" s="133">
        <v>2.3628782454119326E-2</v>
      </c>
      <c r="N30" s="133">
        <v>2.0942978227057089E-2</v>
      </c>
      <c r="O30" s="133">
        <v>1.0339008411811722E-2</v>
      </c>
      <c r="P30" s="133">
        <v>3.220060357122579E-2</v>
      </c>
      <c r="Q30" s="133">
        <v>7.6975465204897245E-2</v>
      </c>
      <c r="R30" s="133">
        <v>9.8546263846743809E-2</v>
      </c>
      <c r="S30" s="133">
        <v>5.4432116594682042E-2</v>
      </c>
      <c r="T30" s="133">
        <v>1.1034559636307551E-2</v>
      </c>
      <c r="U30" s="133">
        <v>5.9648128677137428E-3</v>
      </c>
      <c r="V30" s="133">
        <v>1.4738984054370526E-2</v>
      </c>
      <c r="W30" s="133">
        <v>1.0734807698010303E-2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0.466035207691056</v>
      </c>
      <c r="D31" s="133">
        <v>0.42112666995183695</v>
      </c>
      <c r="E31" s="133">
        <v>0.23874004889787265</v>
      </c>
      <c r="F31" s="133">
        <v>8.7540188309385827E-2</v>
      </c>
      <c r="G31" s="133">
        <v>7.051529269815103E-2</v>
      </c>
      <c r="H31" s="133">
        <v>8.9865618071153092E-2</v>
      </c>
      <c r="I31" s="133">
        <v>5.5930731483017276E-2</v>
      </c>
      <c r="J31" s="133">
        <v>9.3252186634133413E-3</v>
      </c>
      <c r="K31" s="133">
        <v>9.5324362881806166E-3</v>
      </c>
      <c r="L31" s="133">
        <v>3.4769909619671066E-2</v>
      </c>
      <c r="M31" s="133">
        <v>0.20130780975129681</v>
      </c>
      <c r="N31" s="133">
        <v>0.16653303619642124</v>
      </c>
      <c r="O31" s="133">
        <v>7.1034073368598655E-2</v>
      </c>
      <c r="P31" s="133">
        <v>0.10478101510883078</v>
      </c>
      <c r="Q31" s="133">
        <v>0.15154361495676144</v>
      </c>
      <c r="R31" s="133">
        <v>0.15970390109491775</v>
      </c>
      <c r="S31" s="133">
        <v>0.15827796666539767</v>
      </c>
      <c r="T31" s="133">
        <v>0.17034019375681994</v>
      </c>
      <c r="U31" s="133">
        <v>0.16796163610530346</v>
      </c>
      <c r="V31" s="133">
        <v>0.14960073719323513</v>
      </c>
      <c r="W31" s="133">
        <v>0.10286440653037507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0.66279093472026618</v>
      </c>
      <c r="D33" s="68">
        <v>0.74962025184316783</v>
      </c>
      <c r="E33" s="68">
        <v>0.96123555430837926</v>
      </c>
      <c r="F33" s="68">
        <v>0.61019268539517535</v>
      </c>
      <c r="G33" s="68">
        <v>1.4170911634593493</v>
      </c>
      <c r="H33" s="68">
        <v>1.7039627832830579</v>
      </c>
      <c r="I33" s="68">
        <v>1.0878859472226483</v>
      </c>
      <c r="J33" s="68">
        <v>0.1221219529829943</v>
      </c>
      <c r="K33" s="68">
        <v>0.12387508645502279</v>
      </c>
      <c r="L33" s="68">
        <v>0.19625963789259188</v>
      </c>
      <c r="M33" s="68">
        <v>0.80619423190883255</v>
      </c>
      <c r="N33" s="68">
        <v>0.51171761466888632</v>
      </c>
      <c r="O33" s="68">
        <v>0.22836013284269263</v>
      </c>
      <c r="P33" s="68">
        <v>0.39279658326659339</v>
      </c>
      <c r="Q33" s="68">
        <v>0.66020564734840603</v>
      </c>
      <c r="R33" s="68">
        <v>0.31190601583705768</v>
      </c>
      <c r="S33" s="68">
        <v>0.54913448137369547</v>
      </c>
      <c r="T33" s="68">
        <v>0.44696633636691746</v>
      </c>
      <c r="U33" s="68">
        <v>0.35860450153133222</v>
      </c>
      <c r="V33" s="68">
        <v>0.29938719360354488</v>
      </c>
      <c r="W33" s="68">
        <v>0.33718660947013801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5.6223574968503742</v>
      </c>
      <c r="D3" s="126">
        <f t="shared" si="0"/>
        <v>5.4584533545759113</v>
      </c>
      <c r="E3" s="126">
        <f t="shared" si="0"/>
        <v>7.6377922162073206</v>
      </c>
      <c r="F3" s="126">
        <f t="shared" si="0"/>
        <v>5.7588260835097902</v>
      </c>
      <c r="G3" s="126">
        <f t="shared" si="0"/>
        <v>10.167694621773069</v>
      </c>
      <c r="H3" s="126">
        <f t="shared" si="0"/>
        <v>11.493255315799111</v>
      </c>
      <c r="I3" s="126">
        <f t="shared" si="0"/>
        <v>7.1731550522336081</v>
      </c>
      <c r="J3" s="126">
        <f t="shared" si="0"/>
        <v>0.96600711490244784</v>
      </c>
      <c r="K3" s="126">
        <f t="shared" si="0"/>
        <v>0.90867523134351047</v>
      </c>
      <c r="L3" s="126">
        <f t="shared" si="0"/>
        <v>1.5343628580993989</v>
      </c>
      <c r="M3" s="126">
        <f t="shared" si="0"/>
        <v>5.6458045845981877</v>
      </c>
      <c r="N3" s="126">
        <f t="shared" si="0"/>
        <v>3.8568962952291077</v>
      </c>
      <c r="O3" s="126">
        <f t="shared" si="0"/>
        <v>1.745220480597546</v>
      </c>
      <c r="P3" s="126">
        <f t="shared" si="0"/>
        <v>3.2823661176851289</v>
      </c>
      <c r="Q3" s="126">
        <f t="shared" si="0"/>
        <v>5.1300824660261428</v>
      </c>
      <c r="R3" s="126">
        <f t="shared" ref="R3:W3" si="1">SUM(R4,R16,R19,R29)</f>
        <v>3.2816150611344965</v>
      </c>
      <c r="S3" s="126">
        <f t="shared" si="1"/>
        <v>4.1426935267466591</v>
      </c>
      <c r="T3" s="126">
        <f t="shared" si="1"/>
        <v>3.5519532013118216</v>
      </c>
      <c r="U3" s="126">
        <f t="shared" si="1"/>
        <v>2.7592524333153903</v>
      </c>
      <c r="V3" s="126">
        <f t="shared" si="1"/>
        <v>2.3996819592181629</v>
      </c>
      <c r="W3" s="126">
        <f t="shared" si="1"/>
        <v>2.3259810722249772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3.9943275281867914</v>
      </c>
      <c r="D4" s="131">
        <f t="shared" si="2"/>
        <v>3.765212958211384</v>
      </c>
      <c r="E4" s="131">
        <f t="shared" si="2"/>
        <v>5.8217019406419936</v>
      </c>
      <c r="F4" s="131">
        <f t="shared" si="2"/>
        <v>4.36712193311946</v>
      </c>
      <c r="G4" s="131">
        <f t="shared" si="2"/>
        <v>7.7579910982028624</v>
      </c>
      <c r="H4" s="131">
        <f t="shared" si="2"/>
        <v>8.6290444659032541</v>
      </c>
      <c r="I4" s="131">
        <f t="shared" si="2"/>
        <v>5.337261724627659</v>
      </c>
      <c r="J4" s="131">
        <f t="shared" si="2"/>
        <v>0.67456866900661661</v>
      </c>
      <c r="K4" s="131">
        <f t="shared" si="2"/>
        <v>0.62011202375407537</v>
      </c>
      <c r="L4" s="131">
        <f t="shared" si="2"/>
        <v>1.0140088359412232</v>
      </c>
      <c r="M4" s="131">
        <f t="shared" si="2"/>
        <v>3.9927446448227273</v>
      </c>
      <c r="N4" s="131">
        <f t="shared" si="2"/>
        <v>2.6882484886508036</v>
      </c>
      <c r="O4" s="131">
        <f t="shared" si="2"/>
        <v>1.1032143131260457</v>
      </c>
      <c r="P4" s="131">
        <f t="shared" si="2"/>
        <v>2.2744784435257923</v>
      </c>
      <c r="Q4" s="131">
        <f t="shared" si="2"/>
        <v>3.5816255445588334</v>
      </c>
      <c r="R4" s="131">
        <f t="shared" ref="R4:W4" si="3">SUM(R5:R15)</f>
        <v>2.2669489984521656</v>
      </c>
      <c r="S4" s="131">
        <f t="shared" si="3"/>
        <v>2.796837529831222</v>
      </c>
      <c r="T4" s="131">
        <f t="shared" si="3"/>
        <v>2.3213101146122468</v>
      </c>
      <c r="U4" s="131">
        <f t="shared" si="3"/>
        <v>1.708951681872978</v>
      </c>
      <c r="V4" s="131">
        <f t="shared" si="3"/>
        <v>1.5306013488024692</v>
      </c>
      <c r="W4" s="131">
        <f t="shared" si="3"/>
        <v>1.2922119664588474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0.10866978860995753</v>
      </c>
      <c r="D5" s="133">
        <v>7.5473079879532001E-2</v>
      </c>
      <c r="E5" s="133">
        <v>5.3758617416657883E-2</v>
      </c>
      <c r="F5" s="133">
        <v>0</v>
      </c>
      <c r="G5" s="133">
        <v>8.7996727923605064E-2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3.7959737225100321E-2</v>
      </c>
      <c r="N5" s="133">
        <v>5.8351829947038879E-2</v>
      </c>
      <c r="O5" s="133">
        <v>3.9330031839804595E-2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2.4281684441717507E-3</v>
      </c>
      <c r="W5" s="133">
        <v>1.0975919613856527E-3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0.34229093317651577</v>
      </c>
      <c r="D7" s="133">
        <v>0</v>
      </c>
      <c r="E7" s="133">
        <v>0</v>
      </c>
      <c r="F7" s="133">
        <v>0</v>
      </c>
      <c r="G7" s="133">
        <v>0</v>
      </c>
      <c r="H7" s="133">
        <v>0.13965209308236065</v>
      </c>
      <c r="I7" s="133">
        <v>0.57778114311354356</v>
      </c>
      <c r="J7" s="133">
        <v>6.0793008223561526E-2</v>
      </c>
      <c r="K7" s="133">
        <v>0.12420200571587461</v>
      </c>
      <c r="L7" s="133">
        <v>0.21168459507998302</v>
      </c>
      <c r="M7" s="133">
        <v>1.5324393494031718</v>
      </c>
      <c r="N7" s="133">
        <v>0.54925187140396792</v>
      </c>
      <c r="O7" s="133">
        <v>0.12660791504540653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1.6712334719393308E-2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1.0954920100769705</v>
      </c>
      <c r="D9" s="133">
        <v>1.6040778427470948</v>
      </c>
      <c r="E9" s="133">
        <v>3.4939464605590089</v>
      </c>
      <c r="F9" s="133">
        <v>0.39266106591308603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0.56024914501463219</v>
      </c>
      <c r="N9" s="133">
        <v>0.55328233938067095</v>
      </c>
      <c r="O9" s="133">
        <v>0.4491833478756071</v>
      </c>
      <c r="P9" s="133">
        <v>1.2920933957414056</v>
      </c>
      <c r="Q9" s="133">
        <v>1.490836546835592</v>
      </c>
      <c r="R9" s="133">
        <v>0.77313762568745037</v>
      </c>
      <c r="S9" s="133">
        <v>0.60325621091469817</v>
      </c>
      <c r="T9" s="133">
        <v>0.45802861338893242</v>
      </c>
      <c r="U9" s="133">
        <v>0.26429277489555641</v>
      </c>
      <c r="V9" s="133">
        <v>0.13025983678117389</v>
      </c>
      <c r="W9" s="133">
        <v>9.2674580845159935E-2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0.46514351844828833</v>
      </c>
      <c r="D10" s="133">
        <v>0.29248649555771422</v>
      </c>
      <c r="E10" s="133">
        <v>0.30219630876093506</v>
      </c>
      <c r="F10" s="133">
        <v>0.49391477532788047</v>
      </c>
      <c r="G10" s="133">
        <v>0.35044317281195109</v>
      </c>
      <c r="H10" s="133">
        <v>0.50349949882483691</v>
      </c>
      <c r="I10" s="133">
        <v>0.10084498407945605</v>
      </c>
      <c r="J10" s="133">
        <v>6.439069986472173E-4</v>
      </c>
      <c r="K10" s="133">
        <v>0</v>
      </c>
      <c r="L10" s="133">
        <v>2.3518398967967237E-2</v>
      </c>
      <c r="M10" s="133">
        <v>0.16079806437201541</v>
      </c>
      <c r="N10" s="133">
        <v>0</v>
      </c>
      <c r="O10" s="133">
        <v>0</v>
      </c>
      <c r="P10" s="133">
        <v>0</v>
      </c>
      <c r="Q10" s="133">
        <v>0</v>
      </c>
      <c r="R10" s="133">
        <v>3.3189076448602195E-2</v>
      </c>
      <c r="S10" s="133">
        <v>0.17776082873162452</v>
      </c>
      <c r="T10" s="133">
        <v>0.10334672637638431</v>
      </c>
      <c r="U10" s="133">
        <v>0.12835896215350265</v>
      </c>
      <c r="V10" s="133">
        <v>7.5700685086368777E-2</v>
      </c>
      <c r="W10" s="133">
        <v>5.608140881866986E-2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0.68147000442742256</v>
      </c>
      <c r="D12" s="133">
        <v>0.90375909669029386</v>
      </c>
      <c r="E12" s="133">
        <v>1.3362366381538417</v>
      </c>
      <c r="F12" s="133">
        <v>2.41558941167097</v>
      </c>
      <c r="G12" s="133">
        <v>5.2386344960164912</v>
      </c>
      <c r="H12" s="133">
        <v>4.477401892920251</v>
      </c>
      <c r="I12" s="133">
        <v>2.2875520557824522</v>
      </c>
      <c r="J12" s="133">
        <v>0.2805916415269073</v>
      </c>
      <c r="K12" s="133">
        <v>0.34999606304590025</v>
      </c>
      <c r="L12" s="133">
        <v>0.7349429267172396</v>
      </c>
      <c r="M12" s="133">
        <v>1.4246333221837963</v>
      </c>
      <c r="N12" s="133">
        <v>0.86253211649658812</v>
      </c>
      <c r="O12" s="133">
        <v>0.14028157221138207</v>
      </c>
      <c r="P12" s="133">
        <v>7.6814696800431168E-2</v>
      </c>
      <c r="Q12" s="133">
        <v>1.2940102065855419</v>
      </c>
      <c r="R12" s="133">
        <v>0.81010492899699627</v>
      </c>
      <c r="S12" s="133">
        <v>1.4467717733299863</v>
      </c>
      <c r="T12" s="133">
        <v>0.85189353343359386</v>
      </c>
      <c r="U12" s="133">
        <v>0.54451193842679257</v>
      </c>
      <c r="V12" s="133">
        <v>0.73561788361483949</v>
      </c>
      <c r="W12" s="133">
        <v>0.66112990923425519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1.2641416074769967</v>
      </c>
      <c r="D14" s="65">
        <v>0.85075008613961933</v>
      </c>
      <c r="E14" s="65">
        <v>0.56010539550405714</v>
      </c>
      <c r="F14" s="65">
        <v>1.041943585292338</v>
      </c>
      <c r="G14" s="65">
        <v>2.0531082965545786</v>
      </c>
      <c r="H14" s="65">
        <v>3.4814504305469671</v>
      </c>
      <c r="I14" s="65">
        <v>2.3499257423405204</v>
      </c>
      <c r="J14" s="65">
        <v>0.33025830586902494</v>
      </c>
      <c r="K14" s="65">
        <v>0.14228160676258031</v>
      </c>
      <c r="L14" s="65">
        <v>3.6959685019802145E-2</v>
      </c>
      <c r="M14" s="65">
        <v>0.23393724925855799</v>
      </c>
      <c r="N14" s="65">
        <v>0.64246208572363717</v>
      </c>
      <c r="O14" s="65">
        <v>0.33743640591742297</v>
      </c>
      <c r="P14" s="65">
        <v>0.88416507905443942</v>
      </c>
      <c r="Q14" s="65">
        <v>0.76736850378518284</v>
      </c>
      <c r="R14" s="65">
        <v>0.63452907622924026</v>
      </c>
      <c r="S14" s="65">
        <v>0.55215285165314332</v>
      </c>
      <c r="T14" s="65">
        <v>0.89650109448972914</v>
      </c>
      <c r="U14" s="65">
        <v>0.76439128997590078</v>
      </c>
      <c r="V14" s="65">
        <v>0.5809823505738424</v>
      </c>
      <c r="W14" s="65">
        <v>0.45970249922416534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3.7119665970640002E-2</v>
      </c>
      <c r="D15" s="135">
        <v>3.866635719712954E-2</v>
      </c>
      <c r="E15" s="135">
        <v>7.5458520247493763E-2</v>
      </c>
      <c r="F15" s="135">
        <v>2.3013094915185564E-2</v>
      </c>
      <c r="G15" s="135">
        <v>2.7808404896236705E-2</v>
      </c>
      <c r="H15" s="135">
        <v>2.704055052883883E-2</v>
      </c>
      <c r="I15" s="135">
        <v>2.1157799311687035E-2</v>
      </c>
      <c r="J15" s="135">
        <v>2.2818063884756396E-3</v>
      </c>
      <c r="K15" s="135">
        <v>3.6323482297203006E-3</v>
      </c>
      <c r="L15" s="135">
        <v>6.9032301562311649E-3</v>
      </c>
      <c r="M15" s="135">
        <v>4.2727777365453565E-2</v>
      </c>
      <c r="N15" s="135">
        <v>2.236824569890037E-2</v>
      </c>
      <c r="O15" s="135">
        <v>1.0375040236422405E-2</v>
      </c>
      <c r="P15" s="135">
        <v>2.1405271929516429E-2</v>
      </c>
      <c r="Q15" s="135">
        <v>2.9410287352516665E-2</v>
      </c>
      <c r="R15" s="135">
        <v>1.5988291089876476E-2</v>
      </c>
      <c r="S15" s="135">
        <v>1.6895865201770156E-2</v>
      </c>
      <c r="T15" s="135">
        <v>1.1540146923606984E-2</v>
      </c>
      <c r="U15" s="135">
        <v>7.3967164212255139E-3</v>
      </c>
      <c r="V15" s="135">
        <v>5.6124243020728862E-3</v>
      </c>
      <c r="W15" s="135">
        <v>4.8136416558179108E-3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0.16316422752335588</v>
      </c>
      <c r="D16" s="131">
        <f t="shared" si="4"/>
        <v>0.18289636795495032</v>
      </c>
      <c r="E16" s="131">
        <f t="shared" si="4"/>
        <v>0.17952433450287336</v>
      </c>
      <c r="F16" s="131">
        <f t="shared" si="4"/>
        <v>0.16043409742330164</v>
      </c>
      <c r="G16" s="131">
        <f t="shared" si="4"/>
        <v>0.23521562806405977</v>
      </c>
      <c r="H16" s="131">
        <f t="shared" si="4"/>
        <v>0.30261237200952201</v>
      </c>
      <c r="I16" s="131">
        <f t="shared" si="4"/>
        <v>0.25427569001271344</v>
      </c>
      <c r="J16" s="131">
        <f t="shared" si="4"/>
        <v>0.11285059151721341</v>
      </c>
      <c r="K16" s="131">
        <f t="shared" si="4"/>
        <v>0.10941912175645316</v>
      </c>
      <c r="L16" s="131">
        <f t="shared" si="4"/>
        <v>0.21573613739301623</v>
      </c>
      <c r="M16" s="131">
        <f t="shared" si="4"/>
        <v>0.31059531114566824</v>
      </c>
      <c r="N16" s="131">
        <f t="shared" si="4"/>
        <v>0.2702957199374128</v>
      </c>
      <c r="O16" s="131">
        <f t="shared" si="4"/>
        <v>0.24128048314382169</v>
      </c>
      <c r="P16" s="131">
        <f t="shared" si="4"/>
        <v>0.29312433506645924</v>
      </c>
      <c r="Q16" s="131">
        <f t="shared" si="4"/>
        <v>0.33833470256193321</v>
      </c>
      <c r="R16" s="131">
        <f t="shared" ref="R16:W16" si="5">SUM(R17:R18)</f>
        <v>0.29272083799902815</v>
      </c>
      <c r="S16" s="131">
        <f t="shared" si="5"/>
        <v>0.30370894716896446</v>
      </c>
      <c r="T16" s="131">
        <f t="shared" si="5"/>
        <v>0.36067191279158373</v>
      </c>
      <c r="U16" s="131">
        <f t="shared" si="5"/>
        <v>0.30000516360101398</v>
      </c>
      <c r="V16" s="131">
        <f t="shared" si="5"/>
        <v>0.20594101701955234</v>
      </c>
      <c r="W16" s="131">
        <f t="shared" si="5"/>
        <v>0.36786534336252935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0.16316422752335588</v>
      </c>
      <c r="D18" s="133">
        <v>0.18289636795495032</v>
      </c>
      <c r="E18" s="133">
        <v>0.17952433450287336</v>
      </c>
      <c r="F18" s="133">
        <v>0.16043409742330164</v>
      </c>
      <c r="G18" s="133">
        <v>0.23521562806405977</v>
      </c>
      <c r="H18" s="133">
        <v>0.30261237200952201</v>
      </c>
      <c r="I18" s="133">
        <v>0.25427569001271344</v>
      </c>
      <c r="J18" s="133">
        <v>0.11285059151721341</v>
      </c>
      <c r="K18" s="133">
        <v>0.10941912175645316</v>
      </c>
      <c r="L18" s="133">
        <v>0.21573613739301623</v>
      </c>
      <c r="M18" s="133">
        <v>0.31059531114566824</v>
      </c>
      <c r="N18" s="133">
        <v>0.2702957199374128</v>
      </c>
      <c r="O18" s="133">
        <v>0.24128048314382169</v>
      </c>
      <c r="P18" s="133">
        <v>0.29312433506645924</v>
      </c>
      <c r="Q18" s="133">
        <v>0.33833470256193321</v>
      </c>
      <c r="R18" s="133">
        <v>0.29272083799902815</v>
      </c>
      <c r="S18" s="133">
        <v>0.30370894716896446</v>
      </c>
      <c r="T18" s="133">
        <v>0.36067191279158373</v>
      </c>
      <c r="U18" s="133">
        <v>0.30000516360101398</v>
      </c>
      <c r="V18" s="133">
        <v>0.20594101701955234</v>
      </c>
      <c r="W18" s="133">
        <v>0.36786534336252935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0.72654125608117459</v>
      </c>
      <c r="D19" s="131">
        <f t="shared" si="6"/>
        <v>0.73208236805608151</v>
      </c>
      <c r="E19" s="131">
        <f t="shared" si="6"/>
        <v>0.80344201670372239</v>
      </c>
      <c r="F19" s="131">
        <f t="shared" si="6"/>
        <v>0.57762673874621473</v>
      </c>
      <c r="G19" s="131">
        <f t="shared" si="6"/>
        <v>1.0440632215831553</v>
      </c>
      <c r="H19" s="131">
        <f t="shared" si="6"/>
        <v>1.2315749082593626</v>
      </c>
      <c r="I19" s="131">
        <f t="shared" si="6"/>
        <v>0.74827849596869545</v>
      </c>
      <c r="J19" s="131">
        <f t="shared" si="6"/>
        <v>8.3196466505434691E-2</v>
      </c>
      <c r="K19" s="131">
        <f t="shared" si="6"/>
        <v>8.189287110328676E-2</v>
      </c>
      <c r="L19" s="131">
        <f t="shared" si="6"/>
        <v>0.13786862291002636</v>
      </c>
      <c r="M19" s="131">
        <f t="shared" si="6"/>
        <v>0.61410868903453042</v>
      </c>
      <c r="N19" s="131">
        <f t="shared" si="6"/>
        <v>0.40859955270014198</v>
      </c>
      <c r="O19" s="131">
        <f t="shared" si="6"/>
        <v>0.18216023434639367</v>
      </c>
      <c r="P19" s="131">
        <f t="shared" si="6"/>
        <v>0.3372318027177546</v>
      </c>
      <c r="Q19" s="131">
        <f t="shared" si="6"/>
        <v>0.56971032613740502</v>
      </c>
      <c r="R19" s="131">
        <f t="shared" ref="R19:W19" si="7">SUM(R20:R27)</f>
        <v>0.32832314131001783</v>
      </c>
      <c r="S19" s="131">
        <f t="shared" si="7"/>
        <v>0.47967077595786639</v>
      </c>
      <c r="T19" s="131">
        <f t="shared" si="7"/>
        <v>0.39938071522581309</v>
      </c>
      <c r="U19" s="131">
        <f t="shared" si="7"/>
        <v>0.34931137604673246</v>
      </c>
      <c r="V19" s="131">
        <f t="shared" si="7"/>
        <v>0.31196667739869799</v>
      </c>
      <c r="W19" s="131">
        <f t="shared" si="7"/>
        <v>0.30874827115569947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7.0060795628575159E-2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6.5556563103723667E-2</v>
      </c>
      <c r="J22" s="133">
        <v>1.7569284038002678E-2</v>
      </c>
      <c r="K22" s="133">
        <v>1.3627380658282595E-2</v>
      </c>
      <c r="L22" s="133">
        <v>1.7116919735907052E-2</v>
      </c>
      <c r="M22" s="133">
        <v>5.5738708159457112E-2</v>
      </c>
      <c r="N22" s="133">
        <v>3.9900253803490791E-2</v>
      </c>
      <c r="O22" s="133">
        <v>1.798307034673019E-2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7.2868469054245856E-3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0.12440084789163142</v>
      </c>
      <c r="D23" s="133">
        <v>7.3928347096660393E-2</v>
      </c>
      <c r="E23" s="133">
        <v>5.9865814815879034E-2</v>
      </c>
      <c r="F23" s="133">
        <v>3.3028617207534389E-2</v>
      </c>
      <c r="G23" s="133">
        <v>5.1056030180257422E-2</v>
      </c>
      <c r="H23" s="133">
        <v>6.1630323980497559E-2</v>
      </c>
      <c r="I23" s="133">
        <v>4.237898450733725E-2</v>
      </c>
      <c r="J23" s="133">
        <v>7.531370099671645E-3</v>
      </c>
      <c r="K23" s="133">
        <v>8.245035701017478E-3</v>
      </c>
      <c r="L23" s="133">
        <v>1.3104292391008939E-2</v>
      </c>
      <c r="M23" s="133">
        <v>8.6950278443012188E-2</v>
      </c>
      <c r="N23" s="133">
        <v>7.7589783376522642E-2</v>
      </c>
      <c r="O23" s="133">
        <v>6.4561745092616807E-2</v>
      </c>
      <c r="P23" s="133">
        <v>0.20149590886126162</v>
      </c>
      <c r="Q23" s="133">
        <v>0.18281385339452758</v>
      </c>
      <c r="R23" s="133">
        <v>9.4512307693536954E-2</v>
      </c>
      <c r="S23" s="133">
        <v>0.11411895196337037</v>
      </c>
      <c r="T23" s="133">
        <v>0.10145648758374745</v>
      </c>
      <c r="U23" s="133">
        <v>7.333051239127078E-2</v>
      </c>
      <c r="V23" s="133">
        <v>6.4390882883249581E-2</v>
      </c>
      <c r="W23" s="133">
        <v>4.447457336030787E-2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0.25170401210381033</v>
      </c>
      <c r="D25" s="133">
        <v>0.237295143901008</v>
      </c>
      <c r="E25" s="133">
        <v>0.24946045829612173</v>
      </c>
      <c r="F25" s="133">
        <v>0.23231310625878007</v>
      </c>
      <c r="G25" s="133">
        <v>0.40544101617709682</v>
      </c>
      <c r="H25" s="133">
        <v>0.46499437586452946</v>
      </c>
      <c r="I25" s="133">
        <v>0.33094076082826585</v>
      </c>
      <c r="J25" s="133">
        <v>5.8095812367760367E-2</v>
      </c>
      <c r="K25" s="133">
        <v>4.9504618641230014E-2</v>
      </c>
      <c r="L25" s="133">
        <v>5.5733078400613187E-2</v>
      </c>
      <c r="M25" s="133">
        <v>0.17747446431822222</v>
      </c>
      <c r="N25" s="133">
        <v>0.11863441549327575</v>
      </c>
      <c r="O25" s="133">
        <v>5.5852943567618975E-2</v>
      </c>
      <c r="P25" s="133">
        <v>7.0739752695562097E-2</v>
      </c>
      <c r="Q25" s="133">
        <v>0.12470661454814722</v>
      </c>
      <c r="R25" s="133">
        <v>0.10029993558850499</v>
      </c>
      <c r="S25" s="133">
        <v>0.14119970198322773</v>
      </c>
      <c r="T25" s="133">
        <v>0.10574180343661055</v>
      </c>
      <c r="U25" s="133">
        <v>9.3753860100167161E-2</v>
      </c>
      <c r="V25" s="133">
        <v>0.10365531398203691</v>
      </c>
      <c r="W25" s="133">
        <v>0.11297215097919557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0.2803756004571577</v>
      </c>
      <c r="D26" s="65">
        <v>0.42085887705841313</v>
      </c>
      <c r="E26" s="65">
        <v>0.49411574359172161</v>
      </c>
      <c r="F26" s="65">
        <v>0.31228501527990027</v>
      </c>
      <c r="G26" s="65">
        <v>0.58756617522580123</v>
      </c>
      <c r="H26" s="65">
        <v>0.70495020841433542</v>
      </c>
      <c r="I26" s="65">
        <v>0.30940218752936866</v>
      </c>
      <c r="J26" s="65">
        <v>0</v>
      </c>
      <c r="K26" s="65">
        <v>1.0515836102756674E-2</v>
      </c>
      <c r="L26" s="65">
        <v>5.191433238249718E-2</v>
      </c>
      <c r="M26" s="65">
        <v>0.29394523811383882</v>
      </c>
      <c r="N26" s="65">
        <v>0.17247510002685279</v>
      </c>
      <c r="O26" s="65">
        <v>4.376247533942771E-2</v>
      </c>
      <c r="P26" s="65">
        <v>6.4996141160930887E-2</v>
      </c>
      <c r="Q26" s="65">
        <v>0.26218985819473023</v>
      </c>
      <c r="R26" s="65">
        <v>0.13351089802797586</v>
      </c>
      <c r="S26" s="65">
        <v>0.22435212201126831</v>
      </c>
      <c r="T26" s="65">
        <v>0.19218242420545506</v>
      </c>
      <c r="U26" s="65">
        <v>0.1822270035552945</v>
      </c>
      <c r="V26" s="65">
        <v>0.14392048053341147</v>
      </c>
      <c r="W26" s="65">
        <v>0.14401469991077148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0.73832448505905179</v>
      </c>
      <c r="D29" s="131">
        <f t="shared" si="8"/>
        <v>0.77826166035349487</v>
      </c>
      <c r="E29" s="131">
        <f t="shared" si="8"/>
        <v>0.83312392435873173</v>
      </c>
      <c r="F29" s="131">
        <f t="shared" si="8"/>
        <v>0.65364331422081368</v>
      </c>
      <c r="G29" s="131">
        <f t="shared" si="8"/>
        <v>1.1304246739229924</v>
      </c>
      <c r="H29" s="131">
        <f t="shared" si="8"/>
        <v>1.3300235696269727</v>
      </c>
      <c r="I29" s="131">
        <f t="shared" si="8"/>
        <v>0.83333914162454004</v>
      </c>
      <c r="J29" s="131">
        <f t="shared" si="8"/>
        <v>9.5391387873183173E-2</v>
      </c>
      <c r="K29" s="131">
        <f t="shared" si="8"/>
        <v>9.7251214729695112E-2</v>
      </c>
      <c r="L29" s="131">
        <f t="shared" si="8"/>
        <v>0.16674926185513328</v>
      </c>
      <c r="M29" s="131">
        <f t="shared" si="8"/>
        <v>0.72835593959526168</v>
      </c>
      <c r="N29" s="131">
        <f t="shared" si="8"/>
        <v>0.48975253394074975</v>
      </c>
      <c r="O29" s="131">
        <f t="shared" si="8"/>
        <v>0.21856544998128485</v>
      </c>
      <c r="P29" s="131">
        <f t="shared" si="8"/>
        <v>0.37753153637512293</v>
      </c>
      <c r="Q29" s="131">
        <f t="shared" si="8"/>
        <v>0.64041189276797095</v>
      </c>
      <c r="R29" s="131">
        <f t="shared" ref="R29:W29" si="9">SUM(R30:R33)</f>
        <v>0.39362208337328514</v>
      </c>
      <c r="S29" s="131">
        <f t="shared" si="9"/>
        <v>0.56247627378860598</v>
      </c>
      <c r="T29" s="131">
        <f t="shared" si="9"/>
        <v>0.47059045868217791</v>
      </c>
      <c r="U29" s="131">
        <f t="shared" si="9"/>
        <v>0.40098421179466559</v>
      </c>
      <c r="V29" s="131">
        <f t="shared" si="9"/>
        <v>0.35117291599744305</v>
      </c>
      <c r="W29" s="131">
        <f t="shared" si="9"/>
        <v>0.3571554912479008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0.15914567559885889</v>
      </c>
      <c r="G30" s="133">
        <v>5.3275937775609288E-2</v>
      </c>
      <c r="H30" s="133">
        <v>2.8831886134724885E-2</v>
      </c>
      <c r="I30" s="133">
        <v>1.3242408254140177E-3</v>
      </c>
      <c r="J30" s="133">
        <v>3.8154406141769719E-5</v>
      </c>
      <c r="K30" s="133">
        <v>2.1614730700655251E-4</v>
      </c>
      <c r="L30" s="133">
        <v>1.4867124626778627E-3</v>
      </c>
      <c r="M30" s="133">
        <v>1.3986365978500278E-2</v>
      </c>
      <c r="N30" s="133">
        <v>1.2396582800326125E-2</v>
      </c>
      <c r="O30" s="133">
        <v>6.1198733275053662E-3</v>
      </c>
      <c r="P30" s="133">
        <v>1.9060204525995446E-2</v>
      </c>
      <c r="Q30" s="133">
        <v>4.5563372967332746E-2</v>
      </c>
      <c r="R30" s="133">
        <v>5.8443820128839752E-2</v>
      </c>
      <c r="S30" s="133">
        <v>3.2382877395980093E-2</v>
      </c>
      <c r="T30" s="133">
        <v>6.5886826003664157E-3</v>
      </c>
      <c r="U30" s="133">
        <v>3.5749852683919572E-3</v>
      </c>
      <c r="V30" s="133">
        <v>8.8646307476912163E-3</v>
      </c>
      <c r="W30" s="133">
        <v>6.4771814748761985E-3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0.25736384507623533</v>
      </c>
      <c r="D31" s="133">
        <v>0.23307767490907522</v>
      </c>
      <c r="E31" s="133">
        <v>0.13242096122040506</v>
      </c>
      <c r="F31" s="133">
        <v>4.8660725615133169E-2</v>
      </c>
      <c r="G31" s="133">
        <v>3.9280741032330778E-2</v>
      </c>
      <c r="H31" s="133">
        <v>5.0165155413232847E-2</v>
      </c>
      <c r="I31" s="133">
        <v>3.1286415478613876E-2</v>
      </c>
      <c r="J31" s="133">
        <v>5.2267899504029047E-3</v>
      </c>
      <c r="K31" s="133">
        <v>5.3532291667254218E-3</v>
      </c>
      <c r="L31" s="133">
        <v>1.956205055032265E-2</v>
      </c>
      <c r="M31" s="133">
        <v>0.11337067707345828</v>
      </c>
      <c r="N31" s="133">
        <v>9.3786540581868263E-2</v>
      </c>
      <c r="O31" s="133">
        <v>4.0004314800468704E-2</v>
      </c>
      <c r="P31" s="133">
        <v>5.9009606443030133E-2</v>
      </c>
      <c r="Q31" s="133">
        <v>8.5344936468351937E-2</v>
      </c>
      <c r="R31" s="133">
        <v>9.0501978560393104E-2</v>
      </c>
      <c r="S31" s="133">
        <v>9.0603752856631969E-2</v>
      </c>
      <c r="T31" s="133">
        <v>9.8650950379235783E-2</v>
      </c>
      <c r="U31" s="133">
        <v>9.8440072006081861E-2</v>
      </c>
      <c r="V31" s="133">
        <v>8.8646440401350529E-2</v>
      </c>
      <c r="W31" s="133">
        <v>6.1568598407342655E-2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0.48096063998281652</v>
      </c>
      <c r="D33" s="68">
        <v>0.54518398544441959</v>
      </c>
      <c r="E33" s="68">
        <v>0.7007029631383267</v>
      </c>
      <c r="F33" s="68">
        <v>0.4458369130068216</v>
      </c>
      <c r="G33" s="68">
        <v>1.0378679951150522</v>
      </c>
      <c r="H33" s="68">
        <v>1.2510265280790149</v>
      </c>
      <c r="I33" s="68">
        <v>0.80072848532051211</v>
      </c>
      <c r="J33" s="68">
        <v>9.0126443516638496E-2</v>
      </c>
      <c r="K33" s="68">
        <v>9.1681838255963141E-2</v>
      </c>
      <c r="L33" s="68">
        <v>0.14570049884213276</v>
      </c>
      <c r="M33" s="68">
        <v>0.60099889654330318</v>
      </c>
      <c r="N33" s="68">
        <v>0.38356941055855537</v>
      </c>
      <c r="O33" s="68">
        <v>0.17244126185331077</v>
      </c>
      <c r="P33" s="68">
        <v>0.29946172540609739</v>
      </c>
      <c r="Q33" s="68">
        <v>0.50950358333228629</v>
      </c>
      <c r="R33" s="68">
        <v>0.24467628468405228</v>
      </c>
      <c r="S33" s="68">
        <v>0.4394896435359939</v>
      </c>
      <c r="T33" s="68">
        <v>0.36535082570257571</v>
      </c>
      <c r="U33" s="68">
        <v>0.29896915452019179</v>
      </c>
      <c r="V33" s="68">
        <v>0.25366184484840132</v>
      </c>
      <c r="W33" s="68">
        <v>0.28910971136568198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0.64235368413507321</v>
      </c>
      <c r="D3" s="127">
        <f>IF(SER_hh_tes_in!D3=0,"",SER_hh_tes_in!D3/SER_hh_fec_in!D3)</f>
        <v>0.66300024644954969</v>
      </c>
      <c r="E3" s="127">
        <f>IF(SER_hh_tes_in!E3=0,"",SER_hh_tes_in!E3/SER_hh_fec_in!E3)</f>
        <v>0.65172657007208978</v>
      </c>
      <c r="F3" s="127">
        <f>IF(SER_hh_tes_in!F3=0,"",SER_hh_tes_in!F3/SER_hh_fec_in!F3)</f>
        <v>0.71314820075012941</v>
      </c>
      <c r="G3" s="127">
        <f>IF(SER_hh_tes_in!G3=0,"",SER_hh_tes_in!G3/SER_hh_fec_in!G3)</f>
        <v>0.74680977848278252</v>
      </c>
      <c r="H3" s="127">
        <f>IF(SER_hh_tes_in!H3=0,"",SER_hh_tes_in!H3/SER_hh_fec_in!H3)</f>
        <v>0.73941771727610617</v>
      </c>
      <c r="I3" s="127">
        <f>IF(SER_hh_tes_in!I3=0,"",SER_hh_tes_in!I3/SER_hh_fec_in!I3)</f>
        <v>0.73461265647611484</v>
      </c>
      <c r="J3" s="127">
        <f>IF(SER_hh_tes_in!J3=0,"",SER_hh_tes_in!J3/SER_hh_fec_in!J3)</f>
        <v>0.79924701606705906</v>
      </c>
      <c r="K3" s="127">
        <f>IF(SER_hh_tes_in!K3=0,"",SER_hh_tes_in!K3/SER_hh_fec_in!K3)</f>
        <v>0.79191792764955116</v>
      </c>
      <c r="L3" s="127">
        <f>IF(SER_hh_tes_in!L3=0,"",SER_hh_tes_in!L3/SER_hh_fec_in!L3)</f>
        <v>0.80771660537791057</v>
      </c>
      <c r="M3" s="127">
        <f>IF(SER_hh_tes_in!M3=0,"",SER_hh_tes_in!M3/SER_hh_fec_in!M3)</f>
        <v>0.7024066389610002</v>
      </c>
      <c r="N3" s="127">
        <f>IF(SER_hh_tes_in!N3=0,"",SER_hh_tes_in!N3/SER_hh_fec_in!N3)</f>
        <v>0.74945885391670908</v>
      </c>
      <c r="O3" s="127">
        <f>IF(SER_hh_tes_in!O3=0,"",SER_hh_tes_in!O3/SER_hh_fec_in!O3)</f>
        <v>0.80381103759709371</v>
      </c>
      <c r="P3" s="127">
        <f>IF(SER_hh_tes_in!P3=0,"",SER_hh_tes_in!P3/SER_hh_fec_in!P3)</f>
        <v>0.78886099574711166</v>
      </c>
      <c r="Q3" s="127">
        <f>IF(SER_hh_tes_in!Q3=0,"",SER_hh_tes_in!Q3/SER_hh_fec_in!Q3)</f>
        <v>0.80572911137346526</v>
      </c>
      <c r="R3" s="127">
        <f>IF(SER_hh_tes_in!R3=0,"",SER_hh_tes_in!R3/SER_hh_fec_in!R3)</f>
        <v>0.82899896447346733</v>
      </c>
      <c r="S3" s="127">
        <f>IF(SER_hh_tes_in!S3=0,"",SER_hh_tes_in!S3/SER_hh_fec_in!S3)</f>
        <v>0.82858738647667829</v>
      </c>
      <c r="T3" s="127">
        <f>IF(SER_hh_tes_in!T3=0,"",SER_hh_tes_in!T3/SER_hh_fec_in!T3)</f>
        <v>0.869922095388315</v>
      </c>
      <c r="U3" s="127">
        <f>IF(SER_hh_tes_in!U3=0,"",SER_hh_tes_in!U3/SER_hh_fec_in!U3)</f>
        <v>0.87949257895087218</v>
      </c>
      <c r="V3" s="127">
        <f>IF(SER_hh_tes_in!V3=0,"",SER_hh_tes_in!V3/SER_hh_fec_in!V3)</f>
        <v>0.88228317810863766</v>
      </c>
      <c r="W3" s="127">
        <f>IF(SER_hh_tes_in!W3=0,"",SER_hh_tes_in!W3/SER_hh_fec_in!W3)</f>
        <v>0.95740121200624406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0.62077508201211273</v>
      </c>
      <c r="D4" s="136">
        <f>IF(SER_hh_tes_in!D4=0,"",SER_hh_tes_in!D4/SER_hh_fec_in!D4)</f>
        <v>0.63794589150762882</v>
      </c>
      <c r="E4" s="136">
        <f>IF(SER_hh_tes_in!E4=0,"",SER_hh_tes_in!E4/SER_hh_fec_in!E4)</f>
        <v>0.62843541933591895</v>
      </c>
      <c r="F4" s="136">
        <f>IF(SER_hh_tes_in!F4=0,"",SER_hh_tes_in!F4/SER_hh_fec_in!F4)</f>
        <v>0.70253695051707665</v>
      </c>
      <c r="G4" s="136">
        <f>IF(SER_hh_tes_in!G4=0,"",SER_hh_tes_in!G4/SER_hh_fec_in!G4)</f>
        <v>0.74226461102890195</v>
      </c>
      <c r="H4" s="136">
        <f>IF(SER_hh_tes_in!H4=0,"",SER_hh_tes_in!H4/SER_hh_fec_in!H4)</f>
        <v>0.72931371236496967</v>
      </c>
      <c r="I4" s="136">
        <f>IF(SER_hh_tes_in!I4=0,"",SER_hh_tes_in!I4/SER_hh_fec_in!I4)</f>
        <v>0.71593793361211788</v>
      </c>
      <c r="J4" s="136">
        <f>IF(SER_hh_tes_in!J4=0,"",SER_hh_tes_in!J4/SER_hh_fec_in!J4)</f>
        <v>0.72911093261954407</v>
      </c>
      <c r="K4" s="136">
        <f>IF(SER_hh_tes_in!K4=0,"",SER_hh_tes_in!K4/SER_hh_fec_in!K4)</f>
        <v>0.71624697253631187</v>
      </c>
      <c r="L4" s="136">
        <f>IF(SER_hh_tes_in!L4=0,"",SER_hh_tes_in!L4/SER_hh_fec_in!L4)</f>
        <v>0.72043589725248591</v>
      </c>
      <c r="M4" s="136">
        <f>IF(SER_hh_tes_in!M4=0,"",SER_hh_tes_in!M4/SER_hh_fec_in!M4)</f>
        <v>0.66163368732857741</v>
      </c>
      <c r="N4" s="136">
        <f>IF(SER_hh_tes_in!N4=0,"",SER_hh_tes_in!N4/SER_hh_fec_in!N4)</f>
        <v>0.70797424961993971</v>
      </c>
      <c r="O4" s="136">
        <f>IF(SER_hh_tes_in!O4=0,"",SER_hh_tes_in!O4/SER_hh_fec_in!O4)</f>
        <v>0.71147497205923027</v>
      </c>
      <c r="P4" s="136">
        <f>IF(SER_hh_tes_in!P4=0,"",SER_hh_tes_in!P4/SER_hh_fec_in!P4)</f>
        <v>0.73103620314572437</v>
      </c>
      <c r="Q4" s="136">
        <f>IF(SER_hh_tes_in!Q4=0,"",SER_hh_tes_in!Q4/SER_hh_fec_in!Q4)</f>
        <v>0.76628473024557231</v>
      </c>
      <c r="R4" s="136">
        <f>IF(SER_hh_tes_in!R4=0,"",SER_hh_tes_in!R4/SER_hh_fec_in!R4)</f>
        <v>0.77725392158026341</v>
      </c>
      <c r="S4" s="136">
        <f>IF(SER_hh_tes_in!S4=0,"",SER_hh_tes_in!S4/SER_hh_fec_in!S4)</f>
        <v>0.77923173143191216</v>
      </c>
      <c r="T4" s="136">
        <f>IF(SER_hh_tes_in!T4=0,"",SER_hh_tes_in!T4/SER_hh_fec_in!T4)</f>
        <v>0.79998936484024918</v>
      </c>
      <c r="U4" s="136">
        <f>IF(SER_hh_tes_in!U4=0,"",SER_hh_tes_in!U4/SER_hh_fec_in!U4)</f>
        <v>0.80111315389054139</v>
      </c>
      <c r="V4" s="136">
        <f>IF(SER_hh_tes_in!V4=0,"",SER_hh_tes_in!V4/SER_hh_fec_in!V4)</f>
        <v>0.82603306080619854</v>
      </c>
      <c r="W4" s="136">
        <f>IF(SER_hh_tes_in!W4=0,"",SER_hh_tes_in!W4/SER_hh_fec_in!W4)</f>
        <v>0.83269421174907088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0.57696703333188992</v>
      </c>
      <c r="D5" s="137">
        <f>IF(SER_hh_tes_in!D5=0,"",SER_hh_tes_in!D5/SER_hh_fec_in!D5)</f>
        <v>0.58439151335110273</v>
      </c>
      <c r="E5" s="137">
        <f>IF(SER_hh_tes_in!E5=0,"",SER_hh_tes_in!E5/SER_hh_fec_in!E5)</f>
        <v>0.59180078544463866</v>
      </c>
      <c r="F5" s="137" t="str">
        <f>IF(SER_hh_tes_in!F5=0,"",SER_hh_tes_in!F5/SER_hh_fec_in!F5)</f>
        <v/>
      </c>
      <c r="G5" s="137">
        <f>IF(SER_hh_tes_in!G5=0,"",SER_hh_tes_in!G5/SER_hh_fec_in!G5)</f>
        <v>0.60660117641058486</v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>
        <f>IF(SER_hh_tes_in!M5=0,"",SER_hh_tes_in!M5/SER_hh_fec_in!M5)</f>
        <v>0.65011105012982662</v>
      </c>
      <c r="N5" s="137">
        <f>IF(SER_hh_tes_in!N5=0,"",SER_hh_tes_in!N5/SER_hh_fec_in!N5)</f>
        <v>0.65646651930491173</v>
      </c>
      <c r="O5" s="137">
        <f>IF(SER_hh_tes_in!O5=0,"",SER_hh_tes_in!O5/SER_hh_fec_in!O5)</f>
        <v>0.66231953580013581</v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>
        <f>IF(SER_hh_tes_in!V5=0,"",SER_hh_tes_in!V5/SER_hh_fec_in!V5)</f>
        <v>0.72785899108692154</v>
      </c>
      <c r="W5" s="137">
        <f>IF(SER_hh_tes_in!W5=0,"",SER_hh_tes_in!W5/SER_hh_fec_in!W5)</f>
        <v>0.7354876356542136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0.49740111825120548</v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>
        <f>IF(SER_hh_tes_in!H7=0,"",SER_hh_tes_in!H7/SER_hh_fec_in!H7)</f>
        <v>0.53142621452778516</v>
      </c>
      <c r="I7" s="137">
        <f>IF(SER_hh_tes_in!I7=0,"",SER_hh_tes_in!I7/SER_hh_fec_in!I7)</f>
        <v>0.53872527882299481</v>
      </c>
      <c r="J7" s="137">
        <f>IF(SER_hh_tes_in!J7=0,"",SER_hh_tes_in!J7/SER_hh_fec_in!J7)</f>
        <v>0.54645572474932347</v>
      </c>
      <c r="K7" s="137">
        <f>IF(SER_hh_tes_in!K7=0,"",SER_hh_tes_in!K7/SER_hh_fec_in!K7)</f>
        <v>0.55479536883947267</v>
      </c>
      <c r="L7" s="137">
        <f>IF(SER_hh_tes_in!L7=0,"",SER_hh_tes_in!L7/SER_hh_fec_in!L7)</f>
        <v>0.56377669984984191</v>
      </c>
      <c r="M7" s="137">
        <f>IF(SER_hh_tes_in!M7=0,"",SER_hh_tes_in!M7/SER_hh_fec_in!M7)</f>
        <v>0.57817386427003692</v>
      </c>
      <c r="N7" s="137">
        <f>IF(SER_hh_tes_in!N7=0,"",SER_hh_tes_in!N7/SER_hh_fec_in!N7)</f>
        <v>0.59937890644953784</v>
      </c>
      <c r="O7" s="137">
        <f>IF(SER_hh_tes_in!O7=0,"",SER_hh_tes_in!O7/SER_hh_fec_in!O7)</f>
        <v>0.62817962173866737</v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 t="str">
        <f>IF(SER_hh_tes_in!R7=0,"",SER_hh_tes_in!R7/SER_hh_fec_in!R7)</f>
        <v/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>
        <f>IF(SER_hh_tes_in!W7=0,"",SER_hh_tes_in!W7/SER_hh_fec_in!W7)</f>
        <v>0.73170393181167026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0.56767702554270583</v>
      </c>
      <c r="D9" s="137">
        <f>IF(SER_hh_tes_in!D9=0,"",SER_hh_tes_in!D9/SER_hh_fec_in!D9)</f>
        <v>0.57514201955217081</v>
      </c>
      <c r="E9" s="137">
        <f>IF(SER_hh_tes_in!E9=0,"",SER_hh_tes_in!E9/SER_hh_fec_in!E9)</f>
        <v>0.58260943977777724</v>
      </c>
      <c r="F9" s="137">
        <f>IF(SER_hh_tes_in!F9=0,"",SER_hh_tes_in!F9/SER_hh_fec_in!F9)</f>
        <v>0.58998471082498805</v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 t="str">
        <f>IF(SER_hh_tes_in!K9=0,"",SER_hh_tes_in!K9/SER_hh_fec_in!K9)</f>
        <v/>
      </c>
      <c r="L9" s="137" t="str">
        <f>IF(SER_hh_tes_in!L9=0,"",SER_hh_tes_in!L9/SER_hh_fec_in!L9)</f>
        <v/>
      </c>
      <c r="M9" s="137">
        <f>IF(SER_hh_tes_in!M9=0,"",SER_hh_tes_in!M9/SER_hh_fec_in!M9)</f>
        <v>0.64501633208286202</v>
      </c>
      <c r="N9" s="137">
        <f>IF(SER_hh_tes_in!N9=0,"",SER_hh_tes_in!N9/SER_hh_fec_in!N9)</f>
        <v>0.65786477982109104</v>
      </c>
      <c r="O9" s="137">
        <f>IF(SER_hh_tes_in!O9=0,"",SER_hh_tes_in!O9/SER_hh_fec_in!O9)</f>
        <v>0.67392834702189042</v>
      </c>
      <c r="P9" s="137">
        <f>IF(SER_hh_tes_in!P9=0,"",SER_hh_tes_in!P9/SER_hh_fec_in!P9)</f>
        <v>0.69176875728274745</v>
      </c>
      <c r="Q9" s="137">
        <f>IF(SER_hh_tes_in!Q9=0,"",SER_hh_tes_in!Q9/SER_hh_fec_in!Q9)</f>
        <v>0.70689634749669528</v>
      </c>
      <c r="R9" s="137">
        <f>IF(SER_hh_tes_in!R9=0,"",SER_hh_tes_in!R9/SER_hh_fec_in!R9)</f>
        <v>0.71549443385722089</v>
      </c>
      <c r="S9" s="137">
        <f>IF(SER_hh_tes_in!S9=0,"",SER_hh_tes_in!S9/SER_hh_fec_in!S9)</f>
        <v>0.7221316701941628</v>
      </c>
      <c r="T9" s="137">
        <f>IF(SER_hh_tes_in!T9=0,"",SER_hh_tes_in!T9/SER_hh_fec_in!T9)</f>
        <v>0.72742080810795051</v>
      </c>
      <c r="U9" s="137">
        <f>IF(SER_hh_tes_in!U9=0,"",SER_hh_tes_in!U9/SER_hh_fec_in!U9)</f>
        <v>0.73182475118262091</v>
      </c>
      <c r="V9" s="137">
        <f>IF(SER_hh_tes_in!V9=0,"",SER_hh_tes_in!V9/SER_hh_fec_in!V9)</f>
        <v>0.73564795249394299</v>
      </c>
      <c r="W9" s="137">
        <f>IF(SER_hh_tes_in!W9=0,"",SER_hh_tes_in!W9/SER_hh_fec_in!W9)</f>
        <v>0.73829297052861564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0.52143971101153219</v>
      </c>
      <c r="D10" s="137">
        <f>IF(SER_hh_tes_in!D10=0,"",SER_hh_tes_in!D10/SER_hh_fec_in!D10)</f>
        <v>0.52170118077034433</v>
      </c>
      <c r="E10" s="137">
        <f>IF(SER_hh_tes_in!E10=0,"",SER_hh_tes_in!E10/SER_hh_fec_in!E10)</f>
        <v>0.5219651361852059</v>
      </c>
      <c r="F10" s="137">
        <f>IF(SER_hh_tes_in!F10=0,"",SER_hh_tes_in!F10/SER_hh_fec_in!F10)</f>
        <v>0.52223132351605461</v>
      </c>
      <c r="G10" s="137">
        <f>IF(SER_hh_tes_in!G10=0,"",SER_hh_tes_in!G10/SER_hh_fec_in!G10)</f>
        <v>0.52249949053059608</v>
      </c>
      <c r="H10" s="137">
        <f>IF(SER_hh_tes_in!H10=0,"",SER_hh_tes_in!H10/SER_hh_fec_in!H10)</f>
        <v>0.52276933671366155</v>
      </c>
      <c r="I10" s="137">
        <f>IF(SER_hh_tes_in!I10=0,"",SER_hh_tes_in!I10/SER_hh_fec_in!I10)</f>
        <v>0.52304046690911954</v>
      </c>
      <c r="J10" s="137">
        <f>IF(SER_hh_tes_in!J10=0,"",SER_hh_tes_in!J10/SER_hh_fec_in!J10)</f>
        <v>0.5233120290995984</v>
      </c>
      <c r="K10" s="137" t="str">
        <f>IF(SER_hh_tes_in!K10=0,"",SER_hh_tes_in!K10/SER_hh_fec_in!K10)</f>
        <v/>
      </c>
      <c r="L10" s="137">
        <f>IF(SER_hh_tes_in!L10=0,"",SER_hh_tes_in!L10/SER_hh_fec_in!L10)</f>
        <v>0.52385206789569738</v>
      </c>
      <c r="M10" s="137">
        <f>IF(SER_hh_tes_in!M10=0,"",SER_hh_tes_in!M10/SER_hh_fec_in!M10)</f>
        <v>0.52409996435227557</v>
      </c>
      <c r="N10" s="137" t="str">
        <f>IF(SER_hh_tes_in!N10=0,"",SER_hh_tes_in!N10/SER_hh_fec_in!N10)</f>
        <v/>
      </c>
      <c r="O10" s="137" t="str">
        <f>IF(SER_hh_tes_in!O10=0,"",SER_hh_tes_in!O10/SER_hh_fec_in!O10)</f>
        <v/>
      </c>
      <c r="P10" s="137" t="str">
        <f>IF(SER_hh_tes_in!P10=0,"",SER_hh_tes_in!P10/SER_hh_fec_in!P10)</f>
        <v/>
      </c>
      <c r="Q10" s="137" t="str">
        <f>IF(SER_hh_tes_in!Q10=0,"",SER_hh_tes_in!Q10/SER_hh_fec_in!Q10)</f>
        <v/>
      </c>
      <c r="R10" s="137">
        <f>IF(SER_hh_tes_in!R10=0,"",SER_hh_tes_in!R10/SER_hh_fec_in!R10)</f>
        <v>0.52511213119477629</v>
      </c>
      <c r="S10" s="137">
        <f>IF(SER_hh_tes_in!S10=0,"",SER_hh_tes_in!S10/SER_hh_fec_in!S10)</f>
        <v>0.52541996931628454</v>
      </c>
      <c r="T10" s="137">
        <f>IF(SER_hh_tes_in!T10=0,"",SER_hh_tes_in!T10/SER_hh_fec_in!T10)</f>
        <v>0.52572930062472734</v>
      </c>
      <c r="U10" s="137">
        <f>IF(SER_hh_tes_in!U10=0,"",SER_hh_tes_in!U10/SER_hh_fec_in!U10)</f>
        <v>0.52601423634220768</v>
      </c>
      <c r="V10" s="137">
        <f>IF(SER_hh_tes_in!V10=0,"",SER_hh_tes_in!V10/SER_hh_fec_in!V10)</f>
        <v>0.52625307703129021</v>
      </c>
      <c r="W10" s="137">
        <f>IF(SER_hh_tes_in!W10=0,"",SER_hh_tes_in!W10/SER_hh_fec_in!W10)</f>
        <v>0.52644519129650102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0.76887546843466192</v>
      </c>
      <c r="D12" s="137">
        <f>IF(SER_hh_tes_in!D12=0,"",SER_hh_tes_in!D12/SER_hh_fec_in!D12)</f>
        <v>0.77099842514691019</v>
      </c>
      <c r="E12" s="137">
        <f>IF(SER_hh_tes_in!E12=0,"",SER_hh_tes_in!E12/SER_hh_fec_in!E12)</f>
        <v>0.77317869615177692</v>
      </c>
      <c r="F12" s="137">
        <f>IF(SER_hh_tes_in!F12=0,"",SER_hh_tes_in!F12/SER_hh_fec_in!F12)</f>
        <v>0.77536678274200077</v>
      </c>
      <c r="G12" s="137">
        <f>IF(SER_hh_tes_in!G12=0,"",SER_hh_tes_in!G12/SER_hh_fec_in!G12)</f>
        <v>0.77760765242455443</v>
      </c>
      <c r="H12" s="137">
        <f>IF(SER_hh_tes_in!H12=0,"",SER_hh_tes_in!H12/SER_hh_fec_in!H12)</f>
        <v>0.77989580174905326</v>
      </c>
      <c r="I12" s="137">
        <f>IF(SER_hh_tes_in!I12=0,"",SER_hh_tes_in!I12/SER_hh_fec_in!I12)</f>
        <v>0.78224231071052919</v>
      </c>
      <c r="J12" s="137">
        <f>IF(SER_hh_tes_in!J12=0,"",SER_hh_tes_in!J12/SER_hh_fec_in!J12)</f>
        <v>0.78469257013774241</v>
      </c>
      <c r="K12" s="137">
        <f>IF(SER_hh_tes_in!K12=0,"",SER_hh_tes_in!K12/SER_hh_fec_in!K12)</f>
        <v>0.7872851741743464</v>
      </c>
      <c r="L12" s="137">
        <f>IF(SER_hh_tes_in!L12=0,"",SER_hh_tes_in!L12/SER_hh_fec_in!L12)</f>
        <v>0.7900304483360483</v>
      </c>
      <c r="M12" s="137">
        <f>IF(SER_hh_tes_in!M12=0,"",SER_hh_tes_in!M12/SER_hh_fec_in!M12)</f>
        <v>0.79383162313565758</v>
      </c>
      <c r="N12" s="137">
        <f>IF(SER_hh_tes_in!N12=0,"",SER_hh_tes_in!N12/SER_hh_fec_in!N12)</f>
        <v>0.79897427740177496</v>
      </c>
      <c r="O12" s="137">
        <f>IF(SER_hh_tes_in!O12=0,"",SER_hh_tes_in!O12/SER_hh_fec_in!O12)</f>
        <v>0.8057087556795951</v>
      </c>
      <c r="P12" s="137">
        <f>IF(SER_hh_tes_in!P12=0,"",SER_hh_tes_in!P12/SER_hh_fec_in!P12)</f>
        <v>0.81355875911733322</v>
      </c>
      <c r="Q12" s="137">
        <f>IF(SER_hh_tes_in!Q12=0,"",SER_hh_tes_in!Q12/SER_hh_fec_in!Q12)</f>
        <v>0.82096505724952795</v>
      </c>
      <c r="R12" s="137">
        <f>IF(SER_hh_tes_in!R12=0,"",SER_hh_tes_in!R12/SER_hh_fec_in!R12)</f>
        <v>0.82664025631660409</v>
      </c>
      <c r="S12" s="137">
        <f>IF(SER_hh_tes_in!S12=0,"",SER_hh_tes_in!S12/SER_hh_fec_in!S12)</f>
        <v>0.83216127629546255</v>
      </c>
      <c r="T12" s="137">
        <f>IF(SER_hh_tes_in!T12=0,"",SER_hh_tes_in!T12/SER_hh_fec_in!T12)</f>
        <v>0.83749122809788301</v>
      </c>
      <c r="U12" s="137">
        <f>IF(SER_hh_tes_in!U12=0,"",SER_hh_tes_in!U12/SER_hh_fec_in!U12)</f>
        <v>0.84259322263566228</v>
      </c>
      <c r="V12" s="137">
        <f>IF(SER_hh_tes_in!V12=0,"",SER_hh_tes_in!V12/SER_hh_fec_in!V12)</f>
        <v>0.84743037082059036</v>
      </c>
      <c r="W12" s="137">
        <f>IF(SER_hh_tes_in!W12=0,"",SER_hh_tes_in!W12/SER_hh_fec_in!W12)</f>
        <v>0.85188631663581771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0.69739701934451814</v>
      </c>
      <c r="D14" s="138">
        <f>IF(SER_hh_tes_in!D14=0,"",SER_hh_tes_in!D14/SER_hh_fec_in!D14)</f>
        <v>0.70169067518276296</v>
      </c>
      <c r="E14" s="138">
        <f>IF(SER_hh_tes_in!E14=0,"",SER_hh_tes_in!E14/SER_hh_fec_in!E14)</f>
        <v>0.70609448739223746</v>
      </c>
      <c r="F14" s="138">
        <f>IF(SER_hh_tes_in!F14=0,"",SER_hh_tes_in!F14/SER_hh_fec_in!F14)</f>
        <v>0.71051317765178734</v>
      </c>
      <c r="G14" s="138">
        <f>IF(SER_hh_tes_in!G14=0,"",SER_hh_tes_in!G14/SER_hh_fec_in!G14)</f>
        <v>0.71503324682345126</v>
      </c>
      <c r="H14" s="138">
        <f>IF(SER_hh_tes_in!H14=0,"",SER_hh_tes_in!H14/SER_hh_fec_in!H14)</f>
        <v>0.71964404691219863</v>
      </c>
      <c r="I14" s="138">
        <f>IF(SER_hh_tes_in!I14=0,"",SER_hh_tes_in!I14/SER_hh_fec_in!I14)</f>
        <v>0.7243668033964259</v>
      </c>
      <c r="J14" s="138">
        <f>IF(SER_hh_tes_in!J14=0,"",SER_hh_tes_in!J14/SER_hh_fec_in!J14)</f>
        <v>0.72928861592538852</v>
      </c>
      <c r="K14" s="138">
        <f>IF(SER_hh_tes_in!K14=0,"",SER_hh_tes_in!K14/SER_hh_fec_in!K14)</f>
        <v>0.73448328749656278</v>
      </c>
      <c r="L14" s="138">
        <f>IF(SER_hh_tes_in!L14=0,"",SER_hh_tes_in!L14/SER_hh_fec_in!L14)</f>
        <v>0.73997004110691966</v>
      </c>
      <c r="M14" s="138">
        <f>IF(SER_hh_tes_in!M14=0,"",SER_hh_tes_in!M14/SER_hh_fec_in!M14)</f>
        <v>0.74726520889207582</v>
      </c>
      <c r="N14" s="138">
        <f>IF(SER_hh_tes_in!N14=0,"",SER_hh_tes_in!N14/SER_hh_fec_in!N14)</f>
        <v>0.75681881901745585</v>
      </c>
      <c r="O14" s="138">
        <f>IF(SER_hh_tes_in!O14=0,"",SER_hh_tes_in!O14/SER_hh_fec_in!O14)</f>
        <v>0.76922156100721462</v>
      </c>
      <c r="P14" s="138">
        <f>IF(SER_hh_tes_in!P14=0,"",SER_hh_tes_in!P14/SER_hh_fec_in!P14)</f>
        <v>0.78406159741813797</v>
      </c>
      <c r="Q14" s="138">
        <f>IF(SER_hh_tes_in!Q14=0,"",SER_hh_tes_in!Q14/SER_hh_fec_in!Q14)</f>
        <v>0.7998349153931319</v>
      </c>
      <c r="R14" s="138">
        <f>IF(SER_hh_tes_in!R14=0,"",SER_hh_tes_in!R14/SER_hh_fec_in!R14)</f>
        <v>0.81678693758205512</v>
      </c>
      <c r="S14" s="138">
        <f>IF(SER_hh_tes_in!S14=0,"",SER_hh_tes_in!S14/SER_hh_fec_in!S14)</f>
        <v>0.83652785720691392</v>
      </c>
      <c r="T14" s="138">
        <f>IF(SER_hh_tes_in!T14=0,"",SER_hh_tes_in!T14/SER_hh_fec_in!T14)</f>
        <v>0.85650231752511796</v>
      </c>
      <c r="U14" s="138">
        <f>IF(SER_hh_tes_in!U14=0,"",SER_hh_tes_in!U14/SER_hh_fec_in!U14)</f>
        <v>0.87416233704522062</v>
      </c>
      <c r="V14" s="138">
        <f>IF(SER_hh_tes_in!V14=0,"",SER_hh_tes_in!V14/SER_hh_fec_in!V14)</f>
        <v>0.88695261968387262</v>
      </c>
      <c r="W14" s="138">
        <f>IF(SER_hh_tes_in!W14=0,"",SER_hh_tes_in!W14/SER_hh_fec_in!W14)</f>
        <v>0.89337790162056108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2.7390734999662545</v>
      </c>
      <c r="D16" s="136">
        <f>IF(SER_hh_tes_in!D16=0,"",SER_hh_tes_in!D16/SER_hh_fec_in!D16)</f>
        <v>2.8409651976386354</v>
      </c>
      <c r="E16" s="136">
        <f>IF(SER_hh_tes_in!E16=0,"",SER_hh_tes_in!E16/SER_hh_fec_in!E16)</f>
        <v>2.9439327313287982</v>
      </c>
      <c r="F16" s="136">
        <f>IF(SER_hh_tes_in!F16=0,"",SER_hh_tes_in!F16/SER_hh_fec_in!F16)</f>
        <v>3.0470108491926249</v>
      </c>
      <c r="G16" s="136">
        <f>IF(SER_hh_tes_in!G16=0,"",SER_hh_tes_in!G16/SER_hh_fec_in!G16)</f>
        <v>3.1510684642641555</v>
      </c>
      <c r="H16" s="136">
        <f>IF(SER_hh_tes_in!H16=0,"",SER_hh_tes_in!H16/SER_hh_fec_in!H16)</f>
        <v>3.2559935857875804</v>
      </c>
      <c r="I16" s="136">
        <f>IF(SER_hh_tes_in!I16=0,"",SER_hh_tes_in!I16/SER_hh_fec_in!I16)</f>
        <v>3.3619944445643579</v>
      </c>
      <c r="J16" s="136">
        <f>IF(SER_hh_tes_in!J16=0,"",SER_hh_tes_in!J16/SER_hh_fec_in!J16)</f>
        <v>3.4699371865372419</v>
      </c>
      <c r="K16" s="136">
        <f>IF(SER_hh_tes_in!K16=0,"",SER_hh_tes_in!K16/SER_hh_fec_in!K16)</f>
        <v>3.5805500857116499</v>
      </c>
      <c r="L16" s="136">
        <f>IF(SER_hh_tes_in!L16=0,"",SER_hh_tes_in!L16/SER_hh_fec_in!L16)</f>
        <v>3.6940132035709188</v>
      </c>
      <c r="M16" s="136">
        <f>IF(SER_hh_tes_in!M16=0,"",SER_hh_tes_in!M16/SER_hh_fec_in!M16)</f>
        <v>3.8295342063585847</v>
      </c>
      <c r="N16" s="136">
        <f>IF(SER_hh_tes_in!N16=0,"",SER_hh_tes_in!N16/SER_hh_fec_in!N16)</f>
        <v>3.993398995747778</v>
      </c>
      <c r="O16" s="136">
        <f>IF(SER_hh_tes_in!O16=0,"",SER_hh_tes_in!O16/SER_hh_fec_in!O16)</f>
        <v>4.189082718719976</v>
      </c>
      <c r="P16" s="136">
        <f>IF(SER_hh_tes_in!P16=0,"",SER_hh_tes_in!P16/SER_hh_fec_in!P16)</f>
        <v>4.4012975026078314</v>
      </c>
      <c r="Q16" s="136">
        <f>IF(SER_hh_tes_in!Q16=0,"",SER_hh_tes_in!Q16/SER_hh_fec_in!Q16)</f>
        <v>4.5836714046222786</v>
      </c>
      <c r="R16" s="136">
        <f>IF(SER_hh_tes_in!R16=0,"",SER_hh_tes_in!R16/SER_hh_fec_in!R16)</f>
        <v>4.698085170522142</v>
      </c>
      <c r="S16" s="136">
        <f>IF(SER_hh_tes_in!S16=0,"",SER_hh_tes_in!S16/SER_hh_fec_in!S16)</f>
        <v>4.7891529105308415</v>
      </c>
      <c r="T16" s="136">
        <f>IF(SER_hh_tes_in!T16=0,"",SER_hh_tes_in!T16/SER_hh_fec_in!T16)</f>
        <v>4.8652434739973556</v>
      </c>
      <c r="U16" s="136">
        <f>IF(SER_hh_tes_in!U16=0,"",SER_hh_tes_in!U16/SER_hh_fec_in!U16)</f>
        <v>4.9345141702754978</v>
      </c>
      <c r="V16" s="136">
        <f>IF(SER_hh_tes_in!V16=0,"",SER_hh_tes_in!V16/SER_hh_fec_in!V16)</f>
        <v>5.0051432228298784</v>
      </c>
      <c r="W16" s="136">
        <f>IF(SER_hh_tes_in!W16=0,"",SER_hh_tes_in!W16/SER_hh_fec_in!W16)</f>
        <v>5.0742900518670435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2.7390734999662545</v>
      </c>
      <c r="D18" s="137">
        <f>IF(SER_hh_tes_in!D18=0,"",SER_hh_tes_in!D18/SER_hh_fec_in!D18)</f>
        <v>2.8409651976386354</v>
      </c>
      <c r="E18" s="137">
        <f>IF(SER_hh_tes_in!E18=0,"",SER_hh_tes_in!E18/SER_hh_fec_in!E18)</f>
        <v>2.9439327313287982</v>
      </c>
      <c r="F18" s="137">
        <f>IF(SER_hh_tes_in!F18=0,"",SER_hh_tes_in!F18/SER_hh_fec_in!F18)</f>
        <v>3.0470108491926249</v>
      </c>
      <c r="G18" s="137">
        <f>IF(SER_hh_tes_in!G18=0,"",SER_hh_tes_in!G18/SER_hh_fec_in!G18)</f>
        <v>3.1510684642641555</v>
      </c>
      <c r="H18" s="137">
        <f>IF(SER_hh_tes_in!H18=0,"",SER_hh_tes_in!H18/SER_hh_fec_in!H18)</f>
        <v>3.2559935857875804</v>
      </c>
      <c r="I18" s="137">
        <f>IF(SER_hh_tes_in!I18=0,"",SER_hh_tes_in!I18/SER_hh_fec_in!I18)</f>
        <v>3.3619944445643579</v>
      </c>
      <c r="J18" s="137">
        <f>IF(SER_hh_tes_in!J18=0,"",SER_hh_tes_in!J18/SER_hh_fec_in!J18)</f>
        <v>3.4699371865372419</v>
      </c>
      <c r="K18" s="137">
        <f>IF(SER_hh_tes_in!K18=0,"",SER_hh_tes_in!K18/SER_hh_fec_in!K18)</f>
        <v>3.5805500857116499</v>
      </c>
      <c r="L18" s="137">
        <f>IF(SER_hh_tes_in!L18=0,"",SER_hh_tes_in!L18/SER_hh_fec_in!L18)</f>
        <v>3.6940132035709188</v>
      </c>
      <c r="M18" s="137">
        <f>IF(SER_hh_tes_in!M18=0,"",SER_hh_tes_in!M18/SER_hh_fec_in!M18)</f>
        <v>3.8295342063585847</v>
      </c>
      <c r="N18" s="137">
        <f>IF(SER_hh_tes_in!N18=0,"",SER_hh_tes_in!N18/SER_hh_fec_in!N18)</f>
        <v>3.993398995747778</v>
      </c>
      <c r="O18" s="137">
        <f>IF(SER_hh_tes_in!O18=0,"",SER_hh_tes_in!O18/SER_hh_fec_in!O18)</f>
        <v>4.189082718719976</v>
      </c>
      <c r="P18" s="137">
        <f>IF(SER_hh_tes_in!P18=0,"",SER_hh_tes_in!P18/SER_hh_fec_in!P18)</f>
        <v>4.4012975026078314</v>
      </c>
      <c r="Q18" s="137">
        <f>IF(SER_hh_tes_in!Q18=0,"",SER_hh_tes_in!Q18/SER_hh_fec_in!Q18)</f>
        <v>4.5836714046222786</v>
      </c>
      <c r="R18" s="137">
        <f>IF(SER_hh_tes_in!R18=0,"",SER_hh_tes_in!R18/SER_hh_fec_in!R18)</f>
        <v>4.698085170522142</v>
      </c>
      <c r="S18" s="137">
        <f>IF(SER_hh_tes_in!S18=0,"",SER_hh_tes_in!S18/SER_hh_fec_in!S18)</f>
        <v>4.7891529105308415</v>
      </c>
      <c r="T18" s="137">
        <f>IF(SER_hh_tes_in!T18=0,"",SER_hh_tes_in!T18/SER_hh_fec_in!T18)</f>
        <v>4.8652434739973556</v>
      </c>
      <c r="U18" s="137">
        <f>IF(SER_hh_tes_in!U18=0,"",SER_hh_tes_in!U18/SER_hh_fec_in!U18)</f>
        <v>4.9345141702754978</v>
      </c>
      <c r="V18" s="137">
        <f>IF(SER_hh_tes_in!V18=0,"",SER_hh_tes_in!V18/SER_hh_fec_in!V18)</f>
        <v>5.0051432228298784</v>
      </c>
      <c r="W18" s="137">
        <f>IF(SER_hh_tes_in!W18=0,"",SER_hh_tes_in!W18/SER_hh_fec_in!W18)</f>
        <v>5.0742900518670435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0.64299722525845648</v>
      </c>
      <c r="D19" s="136">
        <f>IF(SER_hh_tes_in!D19=0,"",SER_hh_tes_in!D19/SER_hh_fec_in!D19)</f>
        <v>0.66811391811254739</v>
      </c>
      <c r="E19" s="136">
        <f>IF(SER_hh_tes_in!E19=0,"",SER_hh_tes_in!E19/SER_hh_fec_in!E19)</f>
        <v>0.67258393484723589</v>
      </c>
      <c r="F19" s="136">
        <f>IF(SER_hh_tes_in!F19=0,"",SER_hh_tes_in!F19/SER_hh_fec_in!F19)</f>
        <v>0.68874010426567434</v>
      </c>
      <c r="G19" s="136">
        <f>IF(SER_hh_tes_in!G19=0,"",SER_hh_tes_in!G19/SER_hh_fec_in!G19)</f>
        <v>0.69120741331847868</v>
      </c>
      <c r="H19" s="136">
        <f>IF(SER_hh_tes_in!H19=0,"",SER_hh_tes_in!H19/SER_hh_fec_in!H19)</f>
        <v>0.69333135783689548</v>
      </c>
      <c r="I19" s="136">
        <f>IF(SER_hh_tes_in!I19=0,"",SER_hh_tes_in!I19/SER_hh_fec_in!I19)</f>
        <v>0.6878019795361614</v>
      </c>
      <c r="J19" s="136">
        <f>IF(SER_hh_tes_in!J19=0,"",SER_hh_tes_in!J19/SER_hh_fec_in!J19)</f>
        <v>0.69667727585744499</v>
      </c>
      <c r="K19" s="136">
        <f>IF(SER_hh_tes_in!K19=0,"",SER_hh_tes_in!K19/SER_hh_fec_in!K19)</f>
        <v>0.69800494521418088</v>
      </c>
      <c r="L19" s="136">
        <f>IF(SER_hh_tes_in!L19=0,"",SER_hh_tes_in!L19/SER_hh_fec_in!L19)</f>
        <v>0.68867798144268655</v>
      </c>
      <c r="M19" s="136">
        <f>IF(SER_hh_tes_in!M19=0,"",SER_hh_tes_in!M19/SER_hh_fec_in!M19)</f>
        <v>0.68932115292716345</v>
      </c>
      <c r="N19" s="136">
        <f>IF(SER_hh_tes_in!N19=0,"",SER_hh_tes_in!N19/SER_hh_fec_in!N19)</f>
        <v>0.70174391657176449</v>
      </c>
      <c r="O19" s="136">
        <f>IF(SER_hh_tes_in!O19=0,"",SER_hh_tes_in!O19/SER_hh_fec_in!O19)</f>
        <v>0.71928974953209779</v>
      </c>
      <c r="P19" s="136">
        <f>IF(SER_hh_tes_in!P19=0,"",SER_hh_tes_in!P19/SER_hh_fec_in!P19)</f>
        <v>0.7440999916430735</v>
      </c>
      <c r="Q19" s="136">
        <f>IF(SER_hh_tes_in!Q19=0,"",SER_hh_tes_in!Q19/SER_hh_fec_in!Q19)</f>
        <v>0.77993927271106833</v>
      </c>
      <c r="R19" s="136">
        <f>IF(SER_hh_tes_in!R19=0,"",SER_hh_tes_in!R19/SER_hh_fec_in!R19)</f>
        <v>0.80186068106520325</v>
      </c>
      <c r="S19" s="136">
        <f>IF(SER_hh_tes_in!S19=0,"",SER_hh_tes_in!S19/SER_hh_fec_in!S19)</f>
        <v>0.81963999916243224</v>
      </c>
      <c r="T19" s="136">
        <f>IF(SER_hh_tes_in!T19=0,"",SER_hh_tes_in!T19/SER_hh_fec_in!T19)</f>
        <v>0.83391808950850366</v>
      </c>
      <c r="U19" s="136">
        <f>IF(SER_hh_tes_in!U19=0,"",SER_hh_tes_in!U19/SER_hh_fec_in!U19)</f>
        <v>0.85037455306805465</v>
      </c>
      <c r="V19" s="136">
        <f>IF(SER_hh_tes_in!V19=0,"",SER_hh_tes_in!V19/SER_hh_fec_in!V19)</f>
        <v>0.86172045785088169</v>
      </c>
      <c r="W19" s="136">
        <f>IF(SER_hh_tes_in!W19=0,"",SER_hh_tes_in!W19/SER_hh_fec_in!W19)</f>
        <v>0.87131513827873852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0.50511816020969025</v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>
        <f>IF(SER_hh_tes_in!I22=0,"",SER_hh_tes_in!I22/SER_hh_fec_in!I22)</f>
        <v>0.52272393452792276</v>
      </c>
      <c r="J22" s="137">
        <f>IF(SER_hh_tes_in!J22=0,"",SER_hh_tes_in!J22/SER_hh_fec_in!J22)</f>
        <v>0.5271053303501555</v>
      </c>
      <c r="K22" s="137">
        <f>IF(SER_hh_tes_in!K22=0,"",SER_hh_tes_in!K22/SER_hh_fec_in!K22)</f>
        <v>0.53241270816323238</v>
      </c>
      <c r="L22" s="137">
        <f>IF(SER_hh_tes_in!L22=0,"",SER_hh_tes_in!L22/SER_hh_fec_in!L22)</f>
        <v>0.53871323764524603</v>
      </c>
      <c r="M22" s="137">
        <f>IF(SER_hh_tes_in!M22=0,"",SER_hh_tes_in!M22/SER_hh_fec_in!M22)</f>
        <v>0.55196472736374191</v>
      </c>
      <c r="N22" s="137">
        <f>IF(SER_hh_tes_in!N22=0,"",SER_hh_tes_in!N22/SER_hh_fec_in!N22)</f>
        <v>0.57405818166282996</v>
      </c>
      <c r="O22" s="137">
        <f>IF(SER_hh_tes_in!O22=0,"",SER_hh_tes_in!O22/SER_hh_fec_in!O22)</f>
        <v>0.60657216057024799</v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>
        <f>IF(SER_hh_tes_in!W22=0,"",SER_hh_tes_in!W22/SER_hh_fec_in!W22)</f>
        <v>0.7874887061030128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0.55193931760235959</v>
      </c>
      <c r="D23" s="137">
        <f>IF(SER_hh_tes_in!D23=0,"",SER_hh_tes_in!D23/SER_hh_fec_in!D23)</f>
        <v>0.55860154390422334</v>
      </c>
      <c r="E23" s="137">
        <f>IF(SER_hh_tes_in!E23=0,"",SER_hh_tes_in!E23/SER_hh_fec_in!E23)</f>
        <v>0.56555182269796767</v>
      </c>
      <c r="F23" s="137">
        <f>IF(SER_hh_tes_in!F23=0,"",SER_hh_tes_in!F23/SER_hh_fec_in!F23)</f>
        <v>0.57255828022986388</v>
      </c>
      <c r="G23" s="137">
        <f>IF(SER_hh_tes_in!G23=0,"",SER_hh_tes_in!G23/SER_hh_fec_in!G23)</f>
        <v>0.57982766417955811</v>
      </c>
      <c r="H23" s="137">
        <f>IF(SER_hh_tes_in!H23=0,"",SER_hh_tes_in!H23/SER_hh_fec_in!H23)</f>
        <v>0.58733198376048601</v>
      </c>
      <c r="I23" s="137">
        <f>IF(SER_hh_tes_in!I23=0,"",SER_hh_tes_in!I23/SER_hh_fec_in!I23)</f>
        <v>0.5951194691152486</v>
      </c>
      <c r="J23" s="137">
        <f>IF(SER_hh_tes_in!J23=0,"",SER_hh_tes_in!J23/SER_hh_fec_in!J23)</f>
        <v>0.60339392268504899</v>
      </c>
      <c r="K23" s="137">
        <f>IF(SER_hh_tes_in!K23=0,"",SER_hh_tes_in!K23/SER_hh_fec_in!K23)</f>
        <v>0.61232528479224491</v>
      </c>
      <c r="L23" s="137">
        <f>IF(SER_hh_tes_in!L23=0,"",SER_hh_tes_in!L23/SER_hh_fec_in!L23)</f>
        <v>0.62195317955388119</v>
      </c>
      <c r="M23" s="137">
        <f>IF(SER_hh_tes_in!M23=0,"",SER_hh_tes_in!M23/SER_hh_fec_in!M23)</f>
        <v>0.63651302839131241</v>
      </c>
      <c r="N23" s="137">
        <f>IF(SER_hh_tes_in!N23=0,"",SER_hh_tes_in!N23/SER_hh_fec_in!N23)</f>
        <v>0.6573085352702126</v>
      </c>
      <c r="O23" s="137">
        <f>IF(SER_hh_tes_in!O23=0,"",SER_hh_tes_in!O23/SER_hh_fec_in!O23)</f>
        <v>0.68530232677068814</v>
      </c>
      <c r="P23" s="137">
        <f>IF(SER_hh_tes_in!P23=0,"",SER_hh_tes_in!P23/SER_hh_fec_in!P23)</f>
        <v>0.71787757341511638</v>
      </c>
      <c r="Q23" s="137">
        <f>IF(SER_hh_tes_in!Q23=0,"",SER_hh_tes_in!Q23/SER_hh_fec_in!Q23)</f>
        <v>0.74682476749684179</v>
      </c>
      <c r="R23" s="137">
        <f>IF(SER_hh_tes_in!R23=0,"",SER_hh_tes_in!R23/SER_hh_fec_in!R23)</f>
        <v>0.765858279747061</v>
      </c>
      <c r="S23" s="137">
        <f>IF(SER_hh_tes_in!S23=0,"",SER_hh_tes_in!S23/SER_hh_fec_in!S23)</f>
        <v>0.78322513391984694</v>
      </c>
      <c r="T23" s="137">
        <f>IF(SER_hh_tes_in!T23=0,"",SER_hh_tes_in!T23/SER_hh_fec_in!T23)</f>
        <v>0.79847448834292178</v>
      </c>
      <c r="U23" s="137">
        <f>IF(SER_hh_tes_in!U23=0,"",SER_hh_tes_in!U23/SER_hh_fec_in!U23)</f>
        <v>0.81110402676403059</v>
      </c>
      <c r="V23" s="137">
        <f>IF(SER_hh_tes_in!V23=0,"",SER_hh_tes_in!V23/SER_hh_fec_in!V23)</f>
        <v>0.82056253487576858</v>
      </c>
      <c r="W23" s="137">
        <f>IF(SER_hh_tes_in!W23=0,"",SER_hh_tes_in!W23/SER_hh_fec_in!W23)</f>
        <v>0.82544421092415854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0.77100647389522092</v>
      </c>
      <c r="D25" s="137">
        <f>IF(SER_hh_tes_in!D25=0,"",SER_hh_tes_in!D25/SER_hh_fec_in!D25)</f>
        <v>0.7734597897075115</v>
      </c>
      <c r="E25" s="137">
        <f>IF(SER_hh_tes_in!E25=0,"",SER_hh_tes_in!E25/SER_hh_fec_in!E25)</f>
        <v>0.77597933864624302</v>
      </c>
      <c r="F25" s="137">
        <f>IF(SER_hh_tes_in!F25=0,"",SER_hh_tes_in!F25/SER_hh_fec_in!F25)</f>
        <v>0.77850791937494368</v>
      </c>
      <c r="G25" s="137">
        <f>IF(SER_hh_tes_in!G25=0,"",SER_hh_tes_in!G25/SER_hh_fec_in!G25)</f>
        <v>0.78109749691732766</v>
      </c>
      <c r="H25" s="137">
        <f>IF(SER_hh_tes_in!H25=0,"",SER_hh_tes_in!H25/SER_hh_fec_in!H25)</f>
        <v>0.78374171141604443</v>
      </c>
      <c r="I25" s="137">
        <f>IF(SER_hh_tes_in!I25=0,"",SER_hh_tes_in!I25/SER_hh_fec_in!I25)</f>
        <v>0.78645336705445534</v>
      </c>
      <c r="J25" s="137">
        <f>IF(SER_hh_tes_in!J25=0,"",SER_hh_tes_in!J25/SER_hh_fec_in!J25)</f>
        <v>0.78928491805232281</v>
      </c>
      <c r="K25" s="137">
        <f>IF(SER_hh_tes_in!K25=0,"",SER_hh_tes_in!K25/SER_hh_fec_in!K25)</f>
        <v>0.79228096429354511</v>
      </c>
      <c r="L25" s="137">
        <f>IF(SER_hh_tes_in!L25=0,"",SER_hh_tes_in!L25/SER_hh_fec_in!L25)</f>
        <v>0.79545343807556723</v>
      </c>
      <c r="M25" s="137">
        <f>IF(SER_hh_tes_in!M25=0,"",SER_hh_tes_in!M25/SER_hh_fec_in!M25)</f>
        <v>0.799846124081532</v>
      </c>
      <c r="N25" s="137">
        <f>IF(SER_hh_tes_in!N25=0,"",SER_hh_tes_in!N25/SER_hh_fec_in!N25)</f>
        <v>0.8057890408425844</v>
      </c>
      <c r="O25" s="137">
        <f>IF(SER_hh_tes_in!O25=0,"",SER_hh_tes_in!O25/SER_hh_fec_in!O25)</f>
        <v>0.81357148970326143</v>
      </c>
      <c r="P25" s="137">
        <f>IF(SER_hh_tes_in!P25=0,"",SER_hh_tes_in!P25/SER_hh_fec_in!P25)</f>
        <v>0.82264305364482793</v>
      </c>
      <c r="Q25" s="137">
        <f>IF(SER_hh_tes_in!Q25=0,"",SER_hh_tes_in!Q25/SER_hh_fec_in!Q25)</f>
        <v>0.83120186608477109</v>
      </c>
      <c r="R25" s="137">
        <f>IF(SER_hh_tes_in!R25=0,"",SER_hh_tes_in!R25/SER_hh_fec_in!R25)</f>
        <v>0.83776019839971005</v>
      </c>
      <c r="S25" s="137">
        <f>IF(SER_hh_tes_in!S25=0,"",SER_hh_tes_in!S25/SER_hh_fec_in!S25)</f>
        <v>0.84414035939685128</v>
      </c>
      <c r="T25" s="137">
        <f>IF(SER_hh_tes_in!T25=0,"",SER_hh_tes_in!T25/SER_hh_fec_in!T25)</f>
        <v>0.85029971957606865</v>
      </c>
      <c r="U25" s="137">
        <f>IF(SER_hh_tes_in!U25=0,"",SER_hh_tes_in!U25/SER_hh_fec_in!U25)</f>
        <v>0.85619564943725668</v>
      </c>
      <c r="V25" s="137">
        <f>IF(SER_hh_tes_in!V25=0,"",SER_hh_tes_in!V25/SER_hh_fec_in!V25)</f>
        <v>0.86178551948030091</v>
      </c>
      <c r="W25" s="137">
        <f>IF(SER_hh_tes_in!W25=0,"",SER_hh_tes_in!W25/SER_hh_fec_in!W25)</f>
        <v>0.86693486721034951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0.63812074406671948</v>
      </c>
      <c r="D26" s="138">
        <f>IF(SER_hh_tes_in!D26=0,"",SER_hh_tes_in!D26/SER_hh_fec_in!D26)</f>
        <v>0.64096455417161602</v>
      </c>
      <c r="E26" s="138">
        <f>IF(SER_hh_tes_in!E26=0,"",SER_hh_tes_in!E26/SER_hh_fec_in!E26)</f>
        <v>0.64402709349141762</v>
      </c>
      <c r="F26" s="138">
        <f>IF(SER_hh_tes_in!F26=0,"",SER_hh_tes_in!F26/SER_hh_fec_in!F26)</f>
        <v>0.64711905129878045</v>
      </c>
      <c r="G26" s="138">
        <f>IF(SER_hh_tes_in!G26=0,"",SER_hh_tes_in!G26/SER_hh_fec_in!G26)</f>
        <v>0.65041419911773968</v>
      </c>
      <c r="H26" s="138">
        <f>IF(SER_hh_tes_in!H26=0,"",SER_hh_tes_in!H26/SER_hh_fec_in!H26)</f>
        <v>0.65389305949680598</v>
      </c>
      <c r="I26" s="138">
        <f>IF(SER_hh_tes_in!I26=0,"",SER_hh_tes_in!I26/SER_hh_fec_in!I26)</f>
        <v>0.65760089017899326</v>
      </c>
      <c r="J26" s="138" t="str">
        <f>IF(SER_hh_tes_in!J26=0,"",SER_hh_tes_in!J26/SER_hh_fec_in!J26)</f>
        <v/>
      </c>
      <c r="K26" s="138">
        <f>IF(SER_hh_tes_in!K26=0,"",SER_hh_tes_in!K26/SER_hh_fec_in!K26)</f>
        <v>0.66640748464145882</v>
      </c>
      <c r="L26" s="138">
        <f>IF(SER_hh_tes_in!L26=0,"",SER_hh_tes_in!L26/SER_hh_fec_in!L26)</f>
        <v>0.67172298026532418</v>
      </c>
      <c r="M26" s="138">
        <f>IF(SER_hh_tes_in!M26=0,"",SER_hh_tes_in!M26/SER_hh_fec_in!M26)</f>
        <v>0.68134850717426876</v>
      </c>
      <c r="N26" s="138">
        <f>IF(SER_hh_tes_in!N26=0,"",SER_hh_tes_in!N26/SER_hh_fec_in!N26)</f>
        <v>0.69690239476094462</v>
      </c>
      <c r="O26" s="138">
        <f>IF(SER_hh_tes_in!O26=0,"",SER_hh_tes_in!O26/SER_hh_fec_in!O26)</f>
        <v>0.72045996167860593</v>
      </c>
      <c r="P26" s="138">
        <f>IF(SER_hh_tes_in!P26=0,"",SER_hh_tes_in!P26/SER_hh_fec_in!P26)</f>
        <v>0.75110533214559672</v>
      </c>
      <c r="Q26" s="138">
        <f>IF(SER_hh_tes_in!Q26=0,"",SER_hh_tes_in!Q26/SER_hh_fec_in!Q26)</f>
        <v>0.78117581083781829</v>
      </c>
      <c r="R26" s="138">
        <f>IF(SER_hh_tes_in!R26=0,"",SER_hh_tes_in!R26/SER_hh_fec_in!R26)</f>
        <v>0.80273200418073265</v>
      </c>
      <c r="S26" s="138">
        <f>IF(SER_hh_tes_in!S26=0,"",SER_hh_tes_in!S26/SER_hh_fec_in!S26)</f>
        <v>0.8240756861931634</v>
      </c>
      <c r="T26" s="138">
        <f>IF(SER_hh_tes_in!T26=0,"",SER_hh_tes_in!T26/SER_hh_fec_in!T26)</f>
        <v>0.84475931951072436</v>
      </c>
      <c r="U26" s="138">
        <f>IF(SER_hh_tes_in!U26=0,"",SER_hh_tes_in!U26/SER_hh_fec_in!U26)</f>
        <v>0.86418893905779803</v>
      </c>
      <c r="V26" s="138">
        <f>IF(SER_hh_tes_in!V26=0,"",SER_hh_tes_in!V26/SER_hh_fec_in!V26)</f>
        <v>0.8814532834844534</v>
      </c>
      <c r="W26" s="138">
        <f>IF(SER_hh_tes_in!W26=0,"",SER_hh_tes_in!W26/SER_hh_fec_in!W26)</f>
        <v>0.89504366014947323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0.65406394954841574</v>
      </c>
      <c r="D29" s="136">
        <f>IF(SER_hh_tes_in!D29=0,"",SER_hh_tes_in!D29/SER_hh_fec_in!D29)</f>
        <v>0.66475652924224959</v>
      </c>
      <c r="E29" s="136">
        <f>IF(SER_hh_tes_in!E29=0,"",SER_hh_tes_in!E29/SER_hh_fec_in!E29)</f>
        <v>0.6942840522196303</v>
      </c>
      <c r="F29" s="136">
        <f>IF(SER_hh_tes_in!F29=0,"",SER_hh_tes_in!F29/SER_hh_fec_in!F29)</f>
        <v>0.67547798336026954</v>
      </c>
      <c r="G29" s="136">
        <f>IF(SER_hh_tes_in!G29=0,"",SER_hh_tes_in!G29/SER_hh_fec_in!G29)</f>
        <v>0.71640445244621254</v>
      </c>
      <c r="H29" s="136">
        <f>IF(SER_hh_tes_in!H29=0,"",SER_hh_tes_in!H29/SER_hh_fec_in!H29)</f>
        <v>0.72179163753082598</v>
      </c>
      <c r="I29" s="136">
        <f>IF(SER_hh_tes_in!I29=0,"",SER_hh_tes_in!I29/SER_hh_fec_in!I29)</f>
        <v>0.72713489115383312</v>
      </c>
      <c r="J29" s="136">
        <f>IF(SER_hh_tes_in!J29=0,"",SER_hh_tes_in!J29/SER_hh_fec_in!J29)</f>
        <v>0.72534512136475027</v>
      </c>
      <c r="K29" s="136">
        <f>IF(SER_hh_tes_in!K29=0,"",SER_hh_tes_in!K29/SER_hh_fec_in!K29)</f>
        <v>0.72698685215107395</v>
      </c>
      <c r="L29" s="136">
        <f>IF(SER_hh_tes_in!L29=0,"",SER_hh_tes_in!L29/SER_hh_fec_in!L29)</f>
        <v>0.71400121015010387</v>
      </c>
      <c r="M29" s="136">
        <f>IF(SER_hh_tes_in!M29=0,"",SER_hh_tes_in!M29/SER_hh_fec_in!M29)</f>
        <v>0.70636617833719251</v>
      </c>
      <c r="N29" s="136">
        <f>IF(SER_hh_tes_in!N29=0,"",SER_hh_tes_in!N29/SER_hh_fec_in!N29)</f>
        <v>0.70045337022951137</v>
      </c>
      <c r="O29" s="136">
        <f>IF(SER_hh_tes_in!O29=0,"",SER_hh_tes_in!O29/SER_hh_fec_in!O29)</f>
        <v>0.70565712575335171</v>
      </c>
      <c r="P29" s="136">
        <f>IF(SER_hh_tes_in!P29=0,"",SER_hh_tes_in!P29/SER_hh_fec_in!P29)</f>
        <v>0.71262187645300923</v>
      </c>
      <c r="Q29" s="136">
        <f>IF(SER_hh_tes_in!Q29=0,"",SER_hh_tes_in!Q29/SER_hh_fec_in!Q29)</f>
        <v>0.72059646023601653</v>
      </c>
      <c r="R29" s="136">
        <f>IF(SER_hh_tes_in!R29=0,"",SER_hh_tes_in!R29/SER_hh_fec_in!R29)</f>
        <v>0.69037589461132587</v>
      </c>
      <c r="S29" s="136">
        <f>IF(SER_hh_tes_in!S29=0,"",SER_hh_tes_in!S29/SER_hh_fec_in!S29)</f>
        <v>0.73830844229884718</v>
      </c>
      <c r="T29" s="136">
        <f>IF(SER_hh_tes_in!T29=0,"",SER_hh_tes_in!T29/SER_hh_fec_in!T29)</f>
        <v>0.74894108685760163</v>
      </c>
      <c r="U29" s="136">
        <f>IF(SER_hh_tes_in!U29=0,"",SER_hh_tes_in!U29/SER_hh_fec_in!U29)</f>
        <v>0.75297822861732544</v>
      </c>
      <c r="V29" s="136">
        <f>IF(SER_hh_tes_in!V29=0,"",SER_hh_tes_in!V29/SER_hh_fec_in!V29)</f>
        <v>0.75728387710720724</v>
      </c>
      <c r="W29" s="136">
        <f>IF(SER_hh_tes_in!W29=0,"",SER_hh_tes_in!W29/SER_hh_fec_in!W29)</f>
        <v>0.79229530404833515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>
        <f>IF(SER_hh_tes_in!F30=0,"",SER_hh_tes_in!F30/SER_hh_fec_in!F30)</f>
        <v>0.58955429091290046</v>
      </c>
      <c r="G30" s="137">
        <f>IF(SER_hh_tes_in!G30=0,"",SER_hh_tes_in!G30/SER_hh_fec_in!G30)</f>
        <v>0.58993841636385091</v>
      </c>
      <c r="H30" s="137">
        <f>IF(SER_hh_tes_in!H30=0,"",SER_hh_tes_in!H30/SER_hh_fec_in!H30)</f>
        <v>0.59031793941388988</v>
      </c>
      <c r="I30" s="137">
        <f>IF(SER_hh_tes_in!I30=0,"",SER_hh_tes_in!I30/SER_hh_fec_in!I30)</f>
        <v>0.59069178148929846</v>
      </c>
      <c r="J30" s="137">
        <f>IF(SER_hh_tes_in!J30=0,"",SER_hh_tes_in!J30/SER_hh_fec_in!J30)</f>
        <v>0.5910555240542531</v>
      </c>
      <c r="K30" s="137">
        <f>IF(SER_hh_tes_in!K30=0,"",SER_hh_tes_in!K30/SER_hh_fec_in!K30)</f>
        <v>0.59140541019109039</v>
      </c>
      <c r="L30" s="137">
        <f>IF(SER_hh_tes_in!L30=0,"",SER_hh_tes_in!L30/SER_hh_fec_in!L30)</f>
        <v>0.59174043477030946</v>
      </c>
      <c r="M30" s="137">
        <f>IF(SER_hh_tes_in!M30=0,"",SER_hh_tes_in!M30/SER_hh_fec_in!M30)</f>
        <v>0.59192072235029458</v>
      </c>
      <c r="N30" s="137">
        <f>IF(SER_hh_tes_in!N30=0,"",SER_hh_tes_in!N30/SER_hh_fec_in!N30)</f>
        <v>0.59192072235029458</v>
      </c>
      <c r="O30" s="137">
        <f>IF(SER_hh_tes_in!O30=0,"",SER_hh_tes_in!O30/SER_hh_fec_in!O30)</f>
        <v>0.59192072235029458</v>
      </c>
      <c r="P30" s="137">
        <f>IF(SER_hh_tes_in!P30=0,"",SER_hh_tes_in!P30/SER_hh_fec_in!P30)</f>
        <v>0.59192072235029458</v>
      </c>
      <c r="Q30" s="137">
        <f>IF(SER_hh_tes_in!Q30=0,"",SER_hh_tes_in!Q30/SER_hh_fec_in!Q30)</f>
        <v>0.59192072235029458</v>
      </c>
      <c r="R30" s="137">
        <f>IF(SER_hh_tes_in!R30=0,"",SER_hh_tes_in!R30/SER_hh_fec_in!R30)</f>
        <v>0.59305972491996073</v>
      </c>
      <c r="S30" s="137">
        <f>IF(SER_hh_tes_in!S30=0,"",SER_hh_tes_in!S30/SER_hh_fec_in!S30)</f>
        <v>0.59492225219005845</v>
      </c>
      <c r="T30" s="137">
        <f>IF(SER_hh_tes_in!T30=0,"",SER_hh_tes_in!T30/SER_hh_fec_in!T30)</f>
        <v>0.59709520067183752</v>
      </c>
      <c r="U30" s="137">
        <f>IF(SER_hh_tes_in!U30=0,"",SER_hh_tes_in!U30/SER_hh_fec_in!U30)</f>
        <v>0.5993457544565377</v>
      </c>
      <c r="V30" s="137">
        <f>IF(SER_hh_tes_in!V30=0,"",SER_hh_tes_in!V30/SER_hh_fec_in!V30)</f>
        <v>0.60144109763539655</v>
      </c>
      <c r="W30" s="137">
        <f>IF(SER_hh_tes_in!W30=0,"",SER_hh_tes_in!W30/SER_hh_fec_in!W30)</f>
        <v>0.60338123020841294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0.55224120587654602</v>
      </c>
      <c r="D31" s="137">
        <f>IF(SER_hh_tes_in!D31=0,"",SER_hh_tes_in!D31/SER_hh_fec_in!D31)</f>
        <v>0.55346215649493691</v>
      </c>
      <c r="E31" s="137">
        <f>IF(SER_hh_tes_in!E31=0,"",SER_hh_tes_in!E31/SER_hh_fec_in!E31)</f>
        <v>0.55466588798870364</v>
      </c>
      <c r="F31" s="137">
        <f>IF(SER_hh_tes_in!F31=0,"",SER_hh_tes_in!F31/SER_hh_fec_in!F31)</f>
        <v>0.55586727142002157</v>
      </c>
      <c r="G31" s="137">
        <f>IF(SER_hh_tes_in!G31=0,"",SER_hh_tes_in!G31/SER_hh_fec_in!G31)</f>
        <v>0.55705279705037303</v>
      </c>
      <c r="H31" s="137">
        <f>IF(SER_hh_tes_in!H31=0,"",SER_hh_tes_in!H31/SER_hh_fec_in!H31)</f>
        <v>0.55822411829976482</v>
      </c>
      <c r="I31" s="137">
        <f>IF(SER_hh_tes_in!I31=0,"",SER_hh_tes_in!I31/SER_hh_fec_in!I31)</f>
        <v>0.55937790636823037</v>
      </c>
      <c r="J31" s="137">
        <f>IF(SER_hh_tes_in!J31=0,"",SER_hh_tes_in!J31/SER_hh_fec_in!J31)</f>
        <v>0.56050052433727326</v>
      </c>
      <c r="K31" s="137">
        <f>IF(SER_hh_tes_in!K31=0,"",SER_hh_tes_in!K31/SER_hh_fec_in!K31)</f>
        <v>0.56158037723923271</v>
      </c>
      <c r="L31" s="137">
        <f>IF(SER_hh_tes_in!L31=0,"",SER_hh_tes_in!L31/SER_hh_fec_in!L31)</f>
        <v>0.56261436294489031</v>
      </c>
      <c r="M31" s="137">
        <f>IF(SER_hh_tes_in!M31=0,"",SER_hh_tes_in!M31/SER_hh_fec_in!M31)</f>
        <v>0.56317078415149746</v>
      </c>
      <c r="N31" s="137">
        <f>IF(SER_hh_tes_in!N31=0,"",SER_hh_tes_in!N31/SER_hh_fec_in!N31)</f>
        <v>0.56317078415149746</v>
      </c>
      <c r="O31" s="137">
        <f>IF(SER_hh_tes_in!O31=0,"",SER_hh_tes_in!O31/SER_hh_fec_in!O31)</f>
        <v>0.56317078415149746</v>
      </c>
      <c r="P31" s="137">
        <f>IF(SER_hh_tes_in!P31=0,"",SER_hh_tes_in!P31/SER_hh_fec_in!P31)</f>
        <v>0.56317078415149746</v>
      </c>
      <c r="Q31" s="137">
        <f>IF(SER_hh_tes_in!Q31=0,"",SER_hh_tes_in!Q31/SER_hh_fec_in!Q31)</f>
        <v>0.56317078415149746</v>
      </c>
      <c r="R31" s="137">
        <f>IF(SER_hh_tes_in!R31=0,"",SER_hh_tes_in!R31/SER_hh_fec_in!R31)</f>
        <v>0.56668608556158273</v>
      </c>
      <c r="S31" s="137">
        <f>IF(SER_hh_tes_in!S31=0,"",SER_hh_tes_in!S31/SER_hh_fec_in!S31)</f>
        <v>0.57243439984397737</v>
      </c>
      <c r="T31" s="137">
        <f>IF(SER_hh_tes_in!T31=0,"",SER_hh_tes_in!T31/SER_hh_fec_in!T31)</f>
        <v>0.57914076650676627</v>
      </c>
      <c r="U31" s="137">
        <f>IF(SER_hh_tes_in!U31=0,"",SER_hh_tes_in!U31/SER_hh_fec_in!U31)</f>
        <v>0.58608664626465601</v>
      </c>
      <c r="V31" s="137">
        <f>IF(SER_hh_tes_in!V31=0,"",SER_hh_tes_in!V31/SER_hh_fec_in!V31)</f>
        <v>0.59255349983234629</v>
      </c>
      <c r="W31" s="137">
        <f>IF(SER_hh_tes_in!W31=0,"",SER_hh_tes_in!W31/SER_hh_fec_in!W31)</f>
        <v>0.59854132720983444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0.7256596534257187</v>
      </c>
      <c r="D33" s="150">
        <f>IF(SER_hh_tes_in!D33=0,"",SER_hh_tes_in!D33/SER_hh_fec_in!D33)</f>
        <v>0.72728022502583156</v>
      </c>
      <c r="E33" s="150">
        <f>IF(SER_hh_tes_in!E33=0,"",SER_hh_tes_in!E33/SER_hh_fec_in!E33)</f>
        <v>0.72896072143574742</v>
      </c>
      <c r="F33" s="150">
        <f>IF(SER_hh_tes_in!F33=0,"",SER_hh_tes_in!F33/SER_hh_fec_in!F33)</f>
        <v>0.73064938941063673</v>
      </c>
      <c r="G33" s="150">
        <f>IF(SER_hh_tes_in!G33=0,"",SER_hh_tes_in!G33/SER_hh_fec_in!G33)</f>
        <v>0.73239324461063482</v>
      </c>
      <c r="H33" s="150">
        <f>IF(SER_hh_tes_in!H33=0,"",SER_hh_tes_in!H33/SER_hh_fec_in!H33)</f>
        <v>0.73418653291748426</v>
      </c>
      <c r="I33" s="150">
        <f>IF(SER_hh_tes_in!I33=0,"",SER_hh_tes_in!I33/SER_hh_fec_in!I33)</f>
        <v>0.73604083899121631</v>
      </c>
      <c r="J33" s="150">
        <f>IF(SER_hh_tes_in!J33=0,"",SER_hh_tes_in!J33/SER_hh_fec_in!J33)</f>
        <v>0.73800362109496209</v>
      </c>
      <c r="K33" s="150">
        <f>IF(SER_hh_tes_in!K33=0,"",SER_hh_tes_in!K33/SER_hh_fec_in!K33)</f>
        <v>0.74011523123539014</v>
      </c>
      <c r="L33" s="150">
        <f>IF(SER_hh_tes_in!L33=0,"",SER_hh_tes_in!L33/SER_hh_fec_in!L33)</f>
        <v>0.74238646522863305</v>
      </c>
      <c r="M33" s="150">
        <f>IF(SER_hh_tes_in!M33=0,"",SER_hh_tes_in!M33/SER_hh_fec_in!M33)</f>
        <v>0.74547655236916455</v>
      </c>
      <c r="N33" s="150">
        <f>IF(SER_hh_tes_in!N33=0,"",SER_hh_tes_in!N33/SER_hh_fec_in!N33)</f>
        <v>0.74957241955946552</v>
      </c>
      <c r="O33" s="150">
        <f>IF(SER_hh_tes_in!O33=0,"",SER_hh_tes_in!O33/SER_hh_fec_in!O33)</f>
        <v>0.75512857566998381</v>
      </c>
      <c r="P33" s="150">
        <f>IF(SER_hh_tes_in!P33=0,"",SER_hh_tes_in!P33/SER_hh_fec_in!P33)</f>
        <v>0.76238373286167549</v>
      </c>
      <c r="Q33" s="150">
        <f>IF(SER_hh_tes_in!Q33=0,"",SER_hh_tes_in!Q33/SER_hh_fec_in!Q33)</f>
        <v>0.77173466385604739</v>
      </c>
      <c r="R33" s="150">
        <f>IF(SER_hh_tes_in!R33=0,"",SER_hh_tes_in!R33/SER_hh_fec_in!R33)</f>
        <v>0.78445516360887768</v>
      </c>
      <c r="S33" s="150">
        <f>IF(SER_hh_tes_in!S33=0,"",SER_hh_tes_in!S33/SER_hh_fec_in!S33)</f>
        <v>0.80033153707008542</v>
      </c>
      <c r="T33" s="150">
        <f>IF(SER_hh_tes_in!T33=0,"",SER_hh_tes_in!T33/SER_hh_fec_in!T33)</f>
        <v>0.81740121341634309</v>
      </c>
      <c r="U33" s="150">
        <f>IF(SER_hh_tes_in!U33=0,"",SER_hh_tes_in!U33/SER_hh_fec_in!U33)</f>
        <v>0.83370162182437102</v>
      </c>
      <c r="V33" s="150">
        <f>IF(SER_hh_tes_in!V33=0,"",SER_hh_tes_in!V33/SER_hh_fec_in!V33)</f>
        <v>0.84727019147086813</v>
      </c>
      <c r="W33" s="150">
        <f>IF(SER_hh_tes_in!W33=0,"",SER_hh_tes_in!W33/SER_hh_fec_in!W33)</f>
        <v>0.85741753452189262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9.5388261499140121</v>
      </c>
      <c r="D3" s="126">
        <f t="shared" si="0"/>
        <v>8.3753887134849645</v>
      </c>
      <c r="E3" s="126">
        <f t="shared" si="0"/>
        <v>15.266151843608402</v>
      </c>
      <c r="F3" s="126">
        <f t="shared" si="0"/>
        <v>2.6174868401081963</v>
      </c>
      <c r="G3" s="126">
        <f t="shared" si="0"/>
        <v>1.1946681314605625</v>
      </c>
      <c r="H3" s="126">
        <f t="shared" si="0"/>
        <v>1.3985194072474347</v>
      </c>
      <c r="I3" s="126">
        <f t="shared" si="0"/>
        <v>4.0164252897878647</v>
      </c>
      <c r="J3" s="126">
        <f t="shared" si="0"/>
        <v>0.49881955861857824</v>
      </c>
      <c r="K3" s="126">
        <f t="shared" si="0"/>
        <v>0.82684677295109954</v>
      </c>
      <c r="L3" s="126">
        <f t="shared" si="0"/>
        <v>1.3996321457046854</v>
      </c>
      <c r="M3" s="126">
        <f t="shared" si="0"/>
        <v>11.580452239268686</v>
      </c>
      <c r="N3" s="126">
        <f t="shared" si="0"/>
        <v>6.0722575442735867</v>
      </c>
      <c r="O3" s="126">
        <f t="shared" si="0"/>
        <v>2.8493518970279226</v>
      </c>
      <c r="P3" s="126">
        <f t="shared" si="0"/>
        <v>5.2447820117705035</v>
      </c>
      <c r="Q3" s="126">
        <f t="shared" si="0"/>
        <v>5.9238671910040024</v>
      </c>
      <c r="R3" s="126">
        <f t="shared" ref="R3:W3" si="1">SUM(R4,R16,R19,R29)</f>
        <v>3.2299555351342999</v>
      </c>
      <c r="S3" s="126">
        <f t="shared" si="1"/>
        <v>2.7043422930071115</v>
      </c>
      <c r="T3" s="126">
        <f t="shared" si="1"/>
        <v>2.1353422067794621</v>
      </c>
      <c r="U3" s="126">
        <f t="shared" si="1"/>
        <v>1.4228929968726585</v>
      </c>
      <c r="V3" s="126">
        <f t="shared" si="1"/>
        <v>0.9795513400312662</v>
      </c>
      <c r="W3" s="126">
        <f t="shared" si="1"/>
        <v>0.78241136029140324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7.4749246140769312</v>
      </c>
      <c r="D4" s="131">
        <f t="shared" si="2"/>
        <v>7.0753963838479708</v>
      </c>
      <c r="E4" s="131">
        <f t="shared" si="2"/>
        <v>14.456771581250242</v>
      </c>
      <c r="F4" s="131">
        <f t="shared" si="2"/>
        <v>1.5632274071805521</v>
      </c>
      <c r="G4" s="131">
        <f t="shared" si="2"/>
        <v>0.58782571528073602</v>
      </c>
      <c r="H4" s="131">
        <f t="shared" si="2"/>
        <v>0.81807600145745785</v>
      </c>
      <c r="I4" s="131">
        <f t="shared" si="2"/>
        <v>3.3302076144115826</v>
      </c>
      <c r="J4" s="131">
        <f t="shared" si="2"/>
        <v>0.34527930739119267</v>
      </c>
      <c r="K4" s="131">
        <f t="shared" si="2"/>
        <v>0.69423238869998771</v>
      </c>
      <c r="L4" s="131">
        <f t="shared" si="2"/>
        <v>1.1671550968205797</v>
      </c>
      <c r="M4" s="131">
        <f t="shared" si="2"/>
        <v>10.437019038398743</v>
      </c>
      <c r="N4" s="131">
        <f t="shared" si="2"/>
        <v>5.1464174711793857</v>
      </c>
      <c r="O4" s="131">
        <f t="shared" si="2"/>
        <v>2.3602814833603141</v>
      </c>
      <c r="P4" s="131">
        <f t="shared" si="2"/>
        <v>4.2770491635552874</v>
      </c>
      <c r="Q4" s="131">
        <f t="shared" si="2"/>
        <v>4.8155463478654248</v>
      </c>
      <c r="R4" s="131">
        <f t="shared" ref="R4:W4" si="3">SUM(R5:R15)</f>
        <v>2.3530920716125223</v>
      </c>
      <c r="S4" s="131">
        <f t="shared" si="3"/>
        <v>1.8773889685662204</v>
      </c>
      <c r="T4" s="131">
        <f t="shared" si="3"/>
        <v>1.4305224441750823</v>
      </c>
      <c r="U4" s="131">
        <f t="shared" si="3"/>
        <v>0.8202837467938584</v>
      </c>
      <c r="V4" s="131">
        <f t="shared" si="3"/>
        <v>0.41852644442951181</v>
      </c>
      <c r="W4" s="131">
        <f t="shared" si="3"/>
        <v>0.36511914627068454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0.7597903953662849</v>
      </c>
      <c r="D5" s="133">
        <v>0.52458011976550767</v>
      </c>
      <c r="E5" s="133">
        <v>0.37089737850885246</v>
      </c>
      <c r="F5" s="133">
        <v>0</v>
      </c>
      <c r="G5" s="133">
        <v>0.58782571528073602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0.2393284481920136</v>
      </c>
      <c r="N5" s="133">
        <v>0.36878980976030218</v>
      </c>
      <c r="O5" s="133">
        <v>0.2434614550938177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1.3195085272713304E-2</v>
      </c>
      <c r="W5" s="133">
        <v>5.8986019696892567E-3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2.1824759976906281</v>
      </c>
      <c r="D7" s="133">
        <v>0</v>
      </c>
      <c r="E7" s="133">
        <v>0</v>
      </c>
      <c r="F7" s="133">
        <v>0</v>
      </c>
      <c r="G7" s="133">
        <v>0</v>
      </c>
      <c r="H7" s="133">
        <v>0.81807600145745785</v>
      </c>
      <c r="I7" s="133">
        <v>3.3302076144115826</v>
      </c>
      <c r="J7" s="133">
        <v>0.34527930739119267</v>
      </c>
      <c r="K7" s="133">
        <v>0.69423238869998771</v>
      </c>
      <c r="L7" s="133">
        <v>1.1671550968205797</v>
      </c>
      <c r="M7" s="133">
        <v>8.2244692252643663</v>
      </c>
      <c r="N7" s="133">
        <v>2.84200370893765</v>
      </c>
      <c r="O7" s="133">
        <v>0.62533231845120463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7.0684223521795181E-2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4.5326582210200179</v>
      </c>
      <c r="D9" s="133">
        <v>6.5508162640824628</v>
      </c>
      <c r="E9" s="133">
        <v>14.08587420274139</v>
      </c>
      <c r="F9" s="133">
        <v>1.5632274071805521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1.9732213649423633</v>
      </c>
      <c r="N9" s="133">
        <v>1.935623952481434</v>
      </c>
      <c r="O9" s="133">
        <v>1.4914877098152919</v>
      </c>
      <c r="P9" s="133">
        <v>4.2770491635552874</v>
      </c>
      <c r="Q9" s="133">
        <v>4.8155463478654248</v>
      </c>
      <c r="R9" s="133">
        <v>2.3530920716125223</v>
      </c>
      <c r="S9" s="133">
        <v>1.8773889685662204</v>
      </c>
      <c r="T9" s="133">
        <v>1.4305224441750823</v>
      </c>
      <c r="U9" s="133">
        <v>0.8202837467938584</v>
      </c>
      <c r="V9" s="133">
        <v>0.40533135915679852</v>
      </c>
      <c r="W9" s="133">
        <v>0.28853632077920011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0.96928046339540885</v>
      </c>
      <c r="D19" s="131">
        <f t="shared" si="6"/>
        <v>0.31085219711280182</v>
      </c>
      <c r="E19" s="131">
        <f t="shared" si="6"/>
        <v>0.24862887695508962</v>
      </c>
      <c r="F19" s="131">
        <f t="shared" si="6"/>
        <v>0.13549265992119167</v>
      </c>
      <c r="G19" s="131">
        <f t="shared" si="6"/>
        <v>0.20449641099076027</v>
      </c>
      <c r="H19" s="131">
        <f t="shared" si="6"/>
        <v>0.24316317338380264</v>
      </c>
      <c r="I19" s="131">
        <f t="shared" si="6"/>
        <v>0.55233682619039481</v>
      </c>
      <c r="J19" s="131">
        <f t="shared" si="6"/>
        <v>0.13202249711837472</v>
      </c>
      <c r="K19" s="131">
        <f t="shared" si="6"/>
        <v>0.10998063846642162</v>
      </c>
      <c r="L19" s="131">
        <f t="shared" si="6"/>
        <v>0.14671486789338647</v>
      </c>
      <c r="M19" s="131">
        <f t="shared" si="6"/>
        <v>0.62368295888770886</v>
      </c>
      <c r="N19" s="131">
        <f t="shared" si="6"/>
        <v>0.48723579175022275</v>
      </c>
      <c r="O19" s="131">
        <f t="shared" si="6"/>
        <v>0.3028002541445618</v>
      </c>
      <c r="P19" s="131">
        <f t="shared" si="6"/>
        <v>0.64272786101231816</v>
      </c>
      <c r="Q19" s="131">
        <f t="shared" si="6"/>
        <v>0.55893546224009694</v>
      </c>
      <c r="R19" s="131">
        <f t="shared" ref="R19:W19" si="7">SUM(R20:R27)</f>
        <v>0.26873753318077381</v>
      </c>
      <c r="S19" s="131">
        <f t="shared" si="7"/>
        <v>0.32744624210927703</v>
      </c>
      <c r="T19" s="131">
        <f t="shared" si="7"/>
        <v>0.28867326532474286</v>
      </c>
      <c r="U19" s="131">
        <f t="shared" si="7"/>
        <v>0.20534969946160286</v>
      </c>
      <c r="V19" s="131">
        <f t="shared" si="7"/>
        <v>0.17963146077591985</v>
      </c>
      <c r="W19" s="131">
        <f t="shared" si="7"/>
        <v>0.15248528840378742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0.43988881593542045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0.38942075210300481</v>
      </c>
      <c r="J22" s="133">
        <v>0.10344953758696505</v>
      </c>
      <c r="K22" s="133">
        <v>7.9373049024375794E-2</v>
      </c>
      <c r="L22" s="133">
        <v>9.8767578544667972E-2</v>
      </c>
      <c r="M22" s="133">
        <v>0.31334921724026843</v>
      </c>
      <c r="N22" s="133">
        <v>0.21556303882105859</v>
      </c>
      <c r="O22" s="133">
        <v>9.1984622521343845E-2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2.8636244792886258E-2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0.52939164745998835</v>
      </c>
      <c r="D23" s="133">
        <v>0.31085219711280182</v>
      </c>
      <c r="E23" s="133">
        <v>0.24862887695508962</v>
      </c>
      <c r="F23" s="133">
        <v>0.13549265992119167</v>
      </c>
      <c r="G23" s="133">
        <v>0.20449641099076027</v>
      </c>
      <c r="H23" s="133">
        <v>0.24316317338380264</v>
      </c>
      <c r="I23" s="133">
        <v>0.16291607408738998</v>
      </c>
      <c r="J23" s="133">
        <v>2.8572959531409672E-2</v>
      </c>
      <c r="K23" s="133">
        <v>3.0607589442045821E-2</v>
      </c>
      <c r="L23" s="133">
        <v>4.7947289348718503E-2</v>
      </c>
      <c r="M23" s="133">
        <v>0.31033374164744043</v>
      </c>
      <c r="N23" s="133">
        <v>0.27167275292916415</v>
      </c>
      <c r="O23" s="133">
        <v>0.21081563162321795</v>
      </c>
      <c r="P23" s="133">
        <v>0.64272786101231816</v>
      </c>
      <c r="Q23" s="133">
        <v>0.55893546224009694</v>
      </c>
      <c r="R23" s="133">
        <v>0.26873753318077381</v>
      </c>
      <c r="S23" s="133">
        <v>0.32744624210927703</v>
      </c>
      <c r="T23" s="133">
        <v>0.28867326532474286</v>
      </c>
      <c r="U23" s="133">
        <v>0.20534969946160286</v>
      </c>
      <c r="V23" s="133">
        <v>0.17963146077591985</v>
      </c>
      <c r="W23" s="133">
        <v>0.12384904361090117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1.0946210724416725</v>
      </c>
      <c r="D29" s="131">
        <f t="shared" si="8"/>
        <v>0.98914013252419097</v>
      </c>
      <c r="E29" s="131">
        <f t="shared" si="8"/>
        <v>0.56075138540306912</v>
      </c>
      <c r="F29" s="131">
        <f t="shared" si="8"/>
        <v>0.9187667730064526</v>
      </c>
      <c r="G29" s="131">
        <f t="shared" si="8"/>
        <v>0.40234600518906621</v>
      </c>
      <c r="H29" s="131">
        <f t="shared" si="8"/>
        <v>0.33728023240617444</v>
      </c>
      <c r="I29" s="131">
        <f t="shared" si="8"/>
        <v>0.1338808491858873</v>
      </c>
      <c r="J29" s="131">
        <f t="shared" si="8"/>
        <v>2.1517754109010856E-2</v>
      </c>
      <c r="K29" s="131">
        <f t="shared" si="8"/>
        <v>2.263374578469023E-2</v>
      </c>
      <c r="L29" s="131">
        <f t="shared" si="8"/>
        <v>8.5762180990719153E-2</v>
      </c>
      <c r="M29" s="131">
        <f t="shared" si="8"/>
        <v>0.5197502419822343</v>
      </c>
      <c r="N29" s="131">
        <f t="shared" si="8"/>
        <v>0.43860428134397828</v>
      </c>
      <c r="O29" s="131">
        <f t="shared" si="8"/>
        <v>0.18627015952304687</v>
      </c>
      <c r="P29" s="131">
        <f t="shared" si="8"/>
        <v>0.32500498720289833</v>
      </c>
      <c r="Q29" s="131">
        <f t="shared" si="8"/>
        <v>0.5493853808984811</v>
      </c>
      <c r="R29" s="131">
        <f t="shared" ref="R29:W29" si="9">SUM(R30:R33)</f>
        <v>0.60812593034100337</v>
      </c>
      <c r="S29" s="131">
        <f t="shared" si="9"/>
        <v>0.49950708233161389</v>
      </c>
      <c r="T29" s="131">
        <f t="shared" si="9"/>
        <v>0.4161464972796371</v>
      </c>
      <c r="U29" s="131">
        <f t="shared" si="9"/>
        <v>0.3972595506171972</v>
      </c>
      <c r="V29" s="131">
        <f t="shared" si="9"/>
        <v>0.38139343482583454</v>
      </c>
      <c r="W29" s="131">
        <f t="shared" si="9"/>
        <v>0.26480692561693131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0.71315283391434636</v>
      </c>
      <c r="G30" s="133">
        <v>0.23858107973289064</v>
      </c>
      <c r="H30" s="133">
        <v>0.12903236205879451</v>
      </c>
      <c r="I30" s="133">
        <v>5.9226711433305653E-3</v>
      </c>
      <c r="J30" s="133">
        <v>1.7054068082447994E-4</v>
      </c>
      <c r="K30" s="133">
        <v>9.6555298453346696E-4</v>
      </c>
      <c r="L30" s="133">
        <v>6.6375424296791826E-3</v>
      </c>
      <c r="M30" s="133">
        <v>6.2424190405090195E-2</v>
      </c>
      <c r="N30" s="133">
        <v>5.5328642643097906E-2</v>
      </c>
      <c r="O30" s="133">
        <v>2.7314324424119768E-2</v>
      </c>
      <c r="P30" s="133">
        <v>8.5069834317197154E-2</v>
      </c>
      <c r="Q30" s="133">
        <v>0.20335923384123408</v>
      </c>
      <c r="R30" s="133">
        <v>0.26034649690580819</v>
      </c>
      <c r="S30" s="133">
        <v>0.14380261941368597</v>
      </c>
      <c r="T30" s="133">
        <v>2.9151880894019544E-2</v>
      </c>
      <c r="U30" s="133">
        <v>1.5758264942677201E-2</v>
      </c>
      <c r="V30" s="133">
        <v>3.8938491594907108E-2</v>
      </c>
      <c r="W30" s="133">
        <v>2.8359975000988639E-2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1.0946210724416725</v>
      </c>
      <c r="D31" s="133">
        <v>0.98914013252419097</v>
      </c>
      <c r="E31" s="133">
        <v>0.56075138540306912</v>
      </c>
      <c r="F31" s="133">
        <v>0.20561393909210623</v>
      </c>
      <c r="G31" s="133">
        <v>0.16376492545617558</v>
      </c>
      <c r="H31" s="133">
        <v>0.20824787034737996</v>
      </c>
      <c r="I31" s="133">
        <v>0.12795817804255674</v>
      </c>
      <c r="J31" s="133">
        <v>2.1347213428186376E-2</v>
      </c>
      <c r="K31" s="133">
        <v>2.1668192800156763E-2</v>
      </c>
      <c r="L31" s="133">
        <v>7.9124638561039976E-2</v>
      </c>
      <c r="M31" s="133">
        <v>0.45732605157714412</v>
      </c>
      <c r="N31" s="133">
        <v>0.38327563870088038</v>
      </c>
      <c r="O31" s="133">
        <v>0.15895583509892711</v>
      </c>
      <c r="P31" s="133">
        <v>0.23993515288570116</v>
      </c>
      <c r="Q31" s="133">
        <v>0.34602614705724705</v>
      </c>
      <c r="R31" s="133">
        <v>0.34777943343519518</v>
      </c>
      <c r="S31" s="133">
        <v>0.35570446291792795</v>
      </c>
      <c r="T31" s="133">
        <v>0.38699461638561755</v>
      </c>
      <c r="U31" s="133">
        <v>0.38150128567452002</v>
      </c>
      <c r="V31" s="133">
        <v>0.34245494323092746</v>
      </c>
      <c r="W31" s="133">
        <v>0.23644695061594267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205203.26507858984</v>
      </c>
      <c r="D3" s="126">
        <f>IF(SER_hh_fec_in!D3=0,0,11630*1000*SER_hh_fec_in!D3/SER_hh_num_in!D3)</f>
        <v>180627.20897872146</v>
      </c>
      <c r="E3" s="126">
        <f>IF(SER_hh_fec_in!E3=0,0,11630*1000*SER_hh_fec_in!E3/SER_hh_num_in!E3)</f>
        <v>234554.64099174191</v>
      </c>
      <c r="F3" s="126">
        <f>IF(SER_hh_fec_in!F3=0,0,11630*1000*SER_hh_fec_in!F3/SER_hh_num_in!F3)</f>
        <v>216210.49874753098</v>
      </c>
      <c r="G3" s="126">
        <f>IF(SER_hh_fec_in!G3=0,0,11630*1000*SER_hh_fec_in!G3/SER_hh_num_in!G3)</f>
        <v>199848.64130223246</v>
      </c>
      <c r="H3" s="126">
        <f>IF(SER_hh_fec_in!H3=0,0,11630*1000*SER_hh_fec_in!H3/SER_hh_num_in!H3)</f>
        <v>187128.68185470856</v>
      </c>
      <c r="I3" s="126">
        <f>IF(SER_hh_fec_in!I3=0,0,11630*1000*SER_hh_fec_in!I3/SER_hh_num_in!I3)</f>
        <v>185859.90334261811</v>
      </c>
      <c r="J3" s="126">
        <f>IF(SER_hh_fec_in!J3=0,0,11630*1000*SER_hh_fec_in!J3/SER_hh_num_in!J3)</f>
        <v>207864.36683979296</v>
      </c>
      <c r="K3" s="126">
        <f>IF(SER_hh_fec_in!K3=0,0,11630*1000*SER_hh_fec_in!K3/SER_hh_num_in!K3)</f>
        <v>201132.28458083983</v>
      </c>
      <c r="L3" s="126">
        <f>IF(SER_hh_fec_in!L3=0,0,11630*1000*SER_hh_fec_in!L3/SER_hh_num_in!L3)</f>
        <v>195146.82671211381</v>
      </c>
      <c r="M3" s="126">
        <f>IF(SER_hh_fec_in!M3=0,0,11630*1000*SER_hh_fec_in!M3/SER_hh_num_in!M3)</f>
        <v>187768.62650290946</v>
      </c>
      <c r="N3" s="126">
        <f>IF(SER_hh_fec_in!N3=0,0,11630*1000*SER_hh_fec_in!N3/SER_hh_num_in!N3)</f>
        <v>178156.7331545944</v>
      </c>
      <c r="O3" s="126">
        <f>IF(SER_hh_fec_in!O3=0,0,11630*1000*SER_hh_fec_in!O3/SER_hh_num_in!O3)</f>
        <v>169729.48048106453</v>
      </c>
      <c r="P3" s="126">
        <f>IF(SER_hh_fec_in!P3=0,0,11630*1000*SER_hh_fec_in!P3/SER_hh_num_in!P3)</f>
        <v>185180.45116585869</v>
      </c>
      <c r="Q3" s="126">
        <f>IF(SER_hh_fec_in!Q3=0,0,11630*1000*SER_hh_fec_in!Q3/SER_hh_num_in!Q3)</f>
        <v>161627.30501534461</v>
      </c>
      <c r="R3" s="126">
        <f>IF(SER_hh_fec_in!R3=0,0,11630*1000*SER_hh_fec_in!R3/SER_hh_num_in!R3)</f>
        <v>171247.08959776603</v>
      </c>
      <c r="S3" s="126">
        <f>IF(SER_hh_fec_in!S3=0,0,11630*1000*SER_hh_fec_in!S3/SER_hh_num_in!S3)</f>
        <v>145808.81343724634</v>
      </c>
      <c r="T3" s="126">
        <f>IF(SER_hh_fec_in!T3=0,0,11630*1000*SER_hh_fec_in!T3/SER_hh_num_in!T3)</f>
        <v>142965.12169303914</v>
      </c>
      <c r="U3" s="126">
        <f>IF(SER_hh_fec_in!U3=0,0,11630*1000*SER_hh_fec_in!U3/SER_hh_num_in!U3)</f>
        <v>127514.11731906475</v>
      </c>
      <c r="V3" s="126">
        <f>IF(SER_hh_fec_in!V3=0,0,11630*1000*SER_hh_fec_in!V3/SER_hh_num_in!V3)</f>
        <v>115255.00608231069</v>
      </c>
      <c r="W3" s="126">
        <f>IF(SER_hh_fec_in!W3=0,0,11630*1000*SER_hh_fec_in!W3/SER_hh_num_in!W3)</f>
        <v>108702.63242328438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150851.42838698297</v>
      </c>
      <c r="D4" s="131">
        <f>IF(SER_hh_fec_in!D4=0,0,11630*1000*SER_hh_fec_in!D4/SER_hh_num_in!D4)</f>
        <v>129489.02404774862</v>
      </c>
      <c r="E4" s="131">
        <f>IF(SER_hh_fec_in!E4=0,0,11630*1000*SER_hh_fec_in!E4/SER_hh_num_in!E4)</f>
        <v>185409.05074758624</v>
      </c>
      <c r="F4" s="131">
        <f>IF(SER_hh_fec_in!F4=0,0,11630*1000*SER_hh_fec_in!F4/SER_hh_num_in!F4)</f>
        <v>166436.56844985267</v>
      </c>
      <c r="G4" s="131">
        <f>IF(SER_hh_fec_in!G4=0,0,11630*1000*SER_hh_fec_in!G4/SER_hh_num_in!G4)</f>
        <v>153419.02680174881</v>
      </c>
      <c r="H4" s="131">
        <f>IF(SER_hh_fec_in!H4=0,0,11630*1000*SER_hh_fec_in!H4/SER_hh_num_in!H4)</f>
        <v>142441.1542822622</v>
      </c>
      <c r="I4" s="131">
        <f>IF(SER_hh_fec_in!I4=0,0,11630*1000*SER_hh_fec_in!I4/SER_hh_num_in!I4)</f>
        <v>141898.24395750312</v>
      </c>
      <c r="J4" s="131">
        <f>IF(SER_hh_fec_in!J4=0,0,11630*1000*SER_hh_fec_in!J4/SER_hh_num_in!J4)</f>
        <v>159115.79790740201</v>
      </c>
      <c r="K4" s="131">
        <f>IF(SER_hh_fec_in!K4=0,0,11630*1000*SER_hh_fec_in!K4/SER_hh_num_in!K4)</f>
        <v>151761.15533072915</v>
      </c>
      <c r="L4" s="131">
        <f>IF(SER_hh_fec_in!L4=0,0,11630*1000*SER_hh_fec_in!L4/SER_hh_num_in!L4)</f>
        <v>144590.18817852475</v>
      </c>
      <c r="M4" s="131">
        <f>IF(SER_hh_fec_in!M4=0,0,11630*1000*SER_hh_fec_in!M4/SER_hh_num_in!M4)</f>
        <v>140974.22692534295</v>
      </c>
      <c r="N4" s="131">
        <f>IF(SER_hh_fec_in!N4=0,0,11630*1000*SER_hh_fec_in!N4/SER_hh_num_in!N4)</f>
        <v>131451.03861855419</v>
      </c>
      <c r="O4" s="131">
        <f>IF(SER_hh_fec_in!O4=0,0,11630*1000*SER_hh_fec_in!O4/SER_hh_num_in!O4)</f>
        <v>121216.35119862614</v>
      </c>
      <c r="P4" s="131">
        <f>IF(SER_hh_fec_in!P4=0,0,11630*1000*SER_hh_fec_in!P4/SER_hh_num_in!P4)</f>
        <v>138468.67624743003</v>
      </c>
      <c r="Q4" s="131">
        <f>IF(SER_hh_fec_in!Q4=0,0,11630*1000*SER_hh_fec_in!Q4/SER_hh_num_in!Q4)</f>
        <v>118650.46583549232</v>
      </c>
      <c r="R4" s="131">
        <f>IF(SER_hh_fec_in!R4=0,0,11630*1000*SER_hh_fec_in!R4/SER_hh_num_in!R4)</f>
        <v>126173.56632573358</v>
      </c>
      <c r="S4" s="131">
        <f>IF(SER_hh_fec_in!S4=0,0,11630*1000*SER_hh_fec_in!S4/SER_hh_num_in!S4)</f>
        <v>104674.25948261288</v>
      </c>
      <c r="T4" s="131">
        <f>IF(SER_hh_fec_in!T4=0,0,11630*1000*SER_hh_fec_in!T4/SER_hh_num_in!T4)</f>
        <v>101599.64142682854</v>
      </c>
      <c r="U4" s="131">
        <f>IF(SER_hh_fec_in!U4=0,0,11630*1000*SER_hh_fec_in!U4/SER_hh_num_in!U4)</f>
        <v>86703.16180360601</v>
      </c>
      <c r="V4" s="131">
        <f>IF(SER_hh_fec_in!V4=0,0,11630*1000*SER_hh_fec_in!V4/SER_hh_num_in!V4)</f>
        <v>78519.725452842496</v>
      </c>
      <c r="W4" s="131">
        <f>IF(SER_hh_fec_in!W4=0,0,11630*1000*SER_hh_fec_in!W4/SER_hh_num_in!W4)</f>
        <v>69434.621227062307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182420.91557095613</v>
      </c>
      <c r="D5" s="133">
        <f>IF(SER_hh_fec_in!D5=0,0,11630*1000*SER_hh_fec_in!D5/SER_hh_num_in!D5)</f>
        <v>156283.76908217528</v>
      </c>
      <c r="E5" s="133">
        <f>IF(SER_hh_fec_in!E5=0,0,11630*1000*SER_hh_fec_in!E5/SER_hh_num_in!E5)</f>
        <v>168808.27418242203</v>
      </c>
      <c r="F5" s="133">
        <f>IF(SER_hh_fec_in!F5=0,0,11630*1000*SER_hh_fec_in!F5/SER_hh_num_in!F5)</f>
        <v>0</v>
      </c>
      <c r="G5" s="133">
        <f>IF(SER_hh_fec_in!G5=0,0,11630*1000*SER_hh_fec_in!G5/SER_hh_num_in!G5)</f>
        <v>210348.58767977348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110660.30155907906</v>
      </c>
      <c r="N5" s="133">
        <f>IF(SER_hh_fec_in!N5=0,0,11630*1000*SER_hh_fec_in!N5/SER_hh_num_in!N5)</f>
        <v>126617.30001130598</v>
      </c>
      <c r="O5" s="133">
        <f>IF(SER_hh_fec_in!O5=0,0,11630*1000*SER_hh_fec_in!O5/SER_hh_num_in!O5)</f>
        <v>196623.10128682829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88564.364757648451</v>
      </c>
      <c r="W5" s="133">
        <f>IF(SER_hh_fec_in!W5=0,0,11630*1000*SER_hh_fec_in!W5/SER_hh_num_in!W5)</f>
        <v>73333.245162340783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219315.45710416182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178713.68734833968</v>
      </c>
      <c r="I7" s="133">
        <f>IF(SER_hh_fec_in!I7=0,0,11630*1000*SER_hh_fec_in!I7/SER_hh_num_in!I7)</f>
        <v>194121.94685281566</v>
      </c>
      <c r="J7" s="133">
        <f>IF(SER_hh_fec_in!J7=0,0,11630*1000*SER_hh_fec_in!J7/SER_hh_num_in!J7)</f>
        <v>199350.06117061668</v>
      </c>
      <c r="K7" s="133">
        <f>IF(SER_hh_fec_in!K7=0,0,11630*1000*SER_hh_fec_in!K7/SER_hh_num_in!K7)</f>
        <v>179517.84979220733</v>
      </c>
      <c r="L7" s="133">
        <f>IF(SER_hh_fec_in!L7=0,0,11630*1000*SER_hh_fec_in!L7/SER_hh_num_in!L7)</f>
        <v>140688.25117023586</v>
      </c>
      <c r="M7" s="133">
        <f>IF(SER_hh_fec_in!M7=0,0,11630*1000*SER_hh_fec_in!M7/SER_hh_num_in!M7)</f>
        <v>176380.50564705383</v>
      </c>
      <c r="N7" s="133">
        <f>IF(SER_hh_fec_in!N7=0,0,11630*1000*SER_hh_fec_in!N7/SER_hh_num_in!N7)</f>
        <v>168751.57258041526</v>
      </c>
      <c r="O7" s="133">
        <f>IF(SER_hh_fec_in!O7=0,0,11630*1000*SER_hh_fec_in!O7/SER_hh_num_in!O7)</f>
        <v>150022.30830274246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0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74423.53642300643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169527.70829486763</v>
      </c>
      <c r="D9" s="133">
        <f>IF(SER_hh_fec_in!D9=0,0,11630*1000*SER_hh_fec_in!D9/SER_hh_num_in!D9)</f>
        <v>119660.99582919941</v>
      </c>
      <c r="E9" s="133">
        <f>IF(SER_hh_fec_in!E9=0,0,11630*1000*SER_hh_fec_in!E9/SER_hh_num_in!E9)</f>
        <v>234980.12373228822</v>
      </c>
      <c r="F9" s="133">
        <f>IF(SER_hh_fec_in!F9=0,0,11630*1000*SER_hh_fec_in!F9/SER_hh_num_in!F9)</f>
        <v>202328.42520546459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0</v>
      </c>
      <c r="L9" s="133">
        <f>IF(SER_hh_fec_in!L9=0,0,11630*1000*SER_hh_fec_in!L9/SER_hh_num_in!L9)</f>
        <v>0</v>
      </c>
      <c r="M9" s="133">
        <f>IF(SER_hh_fec_in!M9=0,0,11630*1000*SER_hh_fec_in!M9/SER_hh_num_in!M9)</f>
        <v>134592.12735728026</v>
      </c>
      <c r="N9" s="133">
        <f>IF(SER_hh_fec_in!N9=0,0,11630*1000*SER_hh_fec_in!N9/SER_hh_num_in!N9)</f>
        <v>121930.319613384</v>
      </c>
      <c r="O9" s="133">
        <f>IF(SER_hh_fec_in!O9=0,0,11630*1000*SER_hh_fec_in!O9/SER_hh_num_in!O9)</f>
        <v>120584.92744723942</v>
      </c>
      <c r="P9" s="133">
        <f>IF(SER_hh_fec_in!P9=0,0,11630*1000*SER_hh_fec_in!P9/SER_hh_num_in!P9)</f>
        <v>147161.47221385268</v>
      </c>
      <c r="Q9" s="133">
        <f>IF(SER_hh_fec_in!Q9=0,0,11630*1000*SER_hh_fec_in!Q9/SER_hh_num_in!Q9)</f>
        <v>131406.80340068776</v>
      </c>
      <c r="R9" s="133">
        <f>IF(SER_hh_fec_in!R9=0,0,11630*1000*SER_hh_fec_in!R9/SER_hh_num_in!R9)</f>
        <v>139962.99551970238</v>
      </c>
      <c r="S9" s="133">
        <f>IF(SER_hh_fec_in!S9=0,0,11630*1000*SER_hh_fec_in!S9/SER_hh_num_in!S9)</f>
        <v>111229.34174989906</v>
      </c>
      <c r="T9" s="133">
        <f>IF(SER_hh_fec_in!T9=0,0,11630*1000*SER_hh_fec_in!T9/SER_hh_num_in!T9)</f>
        <v>110646.87858679346</v>
      </c>
      <c r="U9" s="133">
        <f>IF(SER_hh_fec_in!U9=0,0,11630*1000*SER_hh_fec_in!U9/SER_hh_num_in!U9)</f>
        <v>94416.993734561693</v>
      </c>
      <c r="V9" s="133">
        <f>IF(SER_hh_fec_in!V9=0,0,11630*1000*SER_hh_fec_in!V9/SER_hh_num_in!V9)</f>
        <v>87052.568362297534</v>
      </c>
      <c r="W9" s="133">
        <f>IF(SER_hh_fec_in!W9=0,0,11630*1000*SER_hh_fec_in!W9/SER_hh_num_in!W9)</f>
        <v>77445.864528196747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191749.9938018434</v>
      </c>
      <c r="D10" s="133">
        <f>IF(SER_hh_fec_in!D10=0,0,11630*1000*SER_hh_fec_in!D10/SER_hh_num_in!D10)</f>
        <v>169963.41238773227</v>
      </c>
      <c r="E10" s="133">
        <f>IF(SER_hh_fec_in!E10=0,0,11630*1000*SER_hh_fec_in!E10/SER_hh_num_in!E10)</f>
        <v>164462.59581965726</v>
      </c>
      <c r="F10" s="133">
        <f>IF(SER_hh_fec_in!F10=0,0,11630*1000*SER_hh_fec_in!F10/SER_hh_num_in!F10)</f>
        <v>287450.44441887509</v>
      </c>
      <c r="G10" s="133">
        <f>IF(SER_hh_fec_in!G10=0,0,11630*1000*SER_hh_fec_in!G10/SER_hh_num_in!G10)</f>
        <v>179804.4871028215</v>
      </c>
      <c r="H10" s="133">
        <f>IF(SER_hh_fec_in!H10=0,0,11630*1000*SER_hh_fec_in!H10/SER_hh_num_in!H10)</f>
        <v>203283.21743400136</v>
      </c>
      <c r="I10" s="133">
        <f>IF(SER_hh_fec_in!I10=0,0,11630*1000*SER_hh_fec_in!I10/SER_hh_num_in!I10)</f>
        <v>214173.14966829628</v>
      </c>
      <c r="J10" s="133">
        <f>IF(SER_hh_fec_in!J10=0,0,11630*1000*SER_hh_fec_in!J10/SER_hh_num_in!J10)</f>
        <v>225518.38892444974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198609.14283536639</v>
      </c>
      <c r="M10" s="133">
        <f>IF(SER_hh_fec_in!M10=0,0,11630*1000*SER_hh_fec_in!M10/SER_hh_num_in!M10)</f>
        <v>212260.21709231808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0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0</v>
      </c>
      <c r="R10" s="133">
        <f>IF(SER_hh_fec_in!R10=0,0,11630*1000*SER_hh_fec_in!R10/SER_hh_num_in!R10)</f>
        <v>159912.92173173223</v>
      </c>
      <c r="S10" s="133">
        <f>IF(SER_hh_fec_in!S10=0,0,11630*1000*SER_hh_fec_in!S10/SER_hh_num_in!S10)</f>
        <v>163261.74320940831</v>
      </c>
      <c r="T10" s="133">
        <f>IF(SER_hh_fec_in!T10=0,0,11630*1000*SER_hh_fec_in!T10/SER_hh_num_in!T10)</f>
        <v>134013.0502176251</v>
      </c>
      <c r="U10" s="133">
        <f>IF(SER_hh_fec_in!U10=0,0,11630*1000*SER_hh_fec_in!U10/SER_hh_num_in!U10)</f>
        <v>134139.79190833363</v>
      </c>
      <c r="V10" s="133">
        <f>IF(SER_hh_fec_in!V10=0,0,11630*1000*SER_hh_fec_in!V10/SER_hh_num_in!V10)</f>
        <v>146343.39943940705</v>
      </c>
      <c r="W10" s="133">
        <f>IF(SER_hh_fec_in!W10=0,0,11630*1000*SER_hh_fec_in!W10/SER_hh_num_in!W10)</f>
        <v>104503.23015018008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101528.53547958995</v>
      </c>
      <c r="D12" s="133">
        <f>IF(SER_hh_fec_in!D12=0,0,11630*1000*SER_hh_fec_in!D12/SER_hh_num_in!D12)</f>
        <v>122367.37048657976</v>
      </c>
      <c r="E12" s="133">
        <f>IF(SER_hh_fec_in!E12=0,0,11630*1000*SER_hh_fec_in!E12/SER_hh_num_in!E12)</f>
        <v>119555.07932375511</v>
      </c>
      <c r="F12" s="133">
        <f>IF(SER_hh_fec_in!F12=0,0,11630*1000*SER_hh_fec_in!F12/SER_hh_num_in!F12)</f>
        <v>144785.70134507809</v>
      </c>
      <c r="G12" s="133">
        <f>IF(SER_hh_fec_in!G12=0,0,11630*1000*SER_hh_fec_in!G12/SER_hh_num_in!G12)</f>
        <v>155556.26980468677</v>
      </c>
      <c r="H12" s="133">
        <f>IF(SER_hh_fec_in!H12=0,0,11630*1000*SER_hh_fec_in!H12/SER_hh_num_in!H12)</f>
        <v>130414.82207888235</v>
      </c>
      <c r="I12" s="133">
        <f>IF(SER_hh_fec_in!I12=0,0,11630*1000*SER_hh_fec_in!I12/SER_hh_num_in!I12)</f>
        <v>120017.847970369</v>
      </c>
      <c r="J12" s="133">
        <f>IF(SER_hh_fec_in!J12=0,0,11630*1000*SER_hh_fec_in!J12/SER_hh_num_in!J12)</f>
        <v>144766.74454568699</v>
      </c>
      <c r="K12" s="133">
        <f>IF(SER_hh_fec_in!K12=0,0,11630*1000*SER_hh_fec_in!K12/SER_hh_num_in!K12)</f>
        <v>138714.27956639076</v>
      </c>
      <c r="L12" s="133">
        <f>IF(SER_hh_fec_in!L12=0,0,11630*1000*SER_hh_fec_in!L12/SER_hh_num_in!L12)</f>
        <v>143478.56928983485</v>
      </c>
      <c r="M12" s="133">
        <f>IF(SER_hh_fec_in!M12=0,0,11630*1000*SER_hh_fec_in!M12/SER_hh_num_in!M12)</f>
        <v>108509.76606285502</v>
      </c>
      <c r="N12" s="133">
        <f>IF(SER_hh_fec_in!N12=0,0,11630*1000*SER_hh_fec_in!N12/SER_hh_num_in!N12)</f>
        <v>118775.86337624028</v>
      </c>
      <c r="O12" s="133">
        <f>IF(SER_hh_fec_in!O12=0,0,11630*1000*SER_hh_fec_in!O12/SER_hh_num_in!O12)</f>
        <v>107708.77910113637</v>
      </c>
      <c r="P12" s="133">
        <f>IF(SER_hh_fec_in!P12=0,0,11630*1000*SER_hh_fec_in!P12/SER_hh_num_in!P12)</f>
        <v>112928.51150127381</v>
      </c>
      <c r="Q12" s="133">
        <f>IF(SER_hh_fec_in!Q12=0,0,11630*1000*SER_hh_fec_in!Q12/SER_hh_num_in!Q12)</f>
        <v>106463.02723482245</v>
      </c>
      <c r="R12" s="133">
        <f>IF(SER_hh_fec_in!R12=0,0,11630*1000*SER_hh_fec_in!R12/SER_hh_num_in!R12)</f>
        <v>113040.85231516852</v>
      </c>
      <c r="S12" s="133">
        <f>IF(SER_hh_fec_in!S12=0,0,11630*1000*SER_hh_fec_in!S12/SER_hh_num_in!S12)</f>
        <v>101437.0140904998</v>
      </c>
      <c r="T12" s="133">
        <f>IF(SER_hh_fec_in!T12=0,0,11630*1000*SER_hh_fec_in!T12/SER_hh_num_in!T12)</f>
        <v>97807.374524328217</v>
      </c>
      <c r="U12" s="133">
        <f>IF(SER_hh_fec_in!U12=0,0,11630*1000*SER_hh_fec_in!U12/SER_hh_num_in!U12)</f>
        <v>76782.065497987685</v>
      </c>
      <c r="V12" s="133">
        <f>IF(SER_hh_fec_in!V12=0,0,11630*1000*SER_hh_fec_in!V12/SER_hh_num_in!V12)</f>
        <v>76671.820970436471</v>
      </c>
      <c r="W12" s="133">
        <f>IF(SER_hh_fec_in!W12=0,0,11630*1000*SER_hh_fec_in!W12/SER_hh_num_in!W12)</f>
        <v>66818.735545740972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132130.81621320994</v>
      </c>
      <c r="D14" s="65">
        <f>IF(SER_hh_fec_in!D14=0,0,11630*1000*SER_hh_fec_in!D14/SER_hh_num_in!D14)</f>
        <v>141507.16652298457</v>
      </c>
      <c r="E14" s="65">
        <f>IF(SER_hh_fec_in!E14=0,0,11630*1000*SER_hh_fec_in!E14/SER_hh_num_in!E14)</f>
        <v>133800.74381236045</v>
      </c>
      <c r="F14" s="65">
        <f>IF(SER_hh_fec_in!F14=0,0,11630*1000*SER_hh_fec_in!F14/SER_hh_num_in!F14)</f>
        <v>158506.29232812862</v>
      </c>
      <c r="G14" s="65">
        <f>IF(SER_hh_fec_in!G14=0,0,11630*1000*SER_hh_fec_in!G14/SER_hh_num_in!G14)</f>
        <v>140767.98873345638</v>
      </c>
      <c r="H14" s="65">
        <f>IF(SER_hh_fec_in!H14=0,0,11630*1000*SER_hh_fec_in!H14/SER_hh_num_in!H14)</f>
        <v>147337.62922106285</v>
      </c>
      <c r="I14" s="65">
        <f>IF(SER_hh_fec_in!I14=0,0,11630*1000*SER_hh_fec_in!I14/SER_hh_num_in!I14)</f>
        <v>149181.71678180038</v>
      </c>
      <c r="J14" s="65">
        <f>IF(SER_hh_fec_in!J14=0,0,11630*1000*SER_hh_fec_in!J14/SER_hh_num_in!J14)</f>
        <v>162835.87910086746</v>
      </c>
      <c r="K14" s="65">
        <f>IF(SER_hh_fec_in!K14=0,0,11630*1000*SER_hh_fec_in!K14/SER_hh_num_in!K14)</f>
        <v>154607.8812738001</v>
      </c>
      <c r="L14" s="65">
        <f>IF(SER_hh_fec_in!L14=0,0,11630*1000*SER_hh_fec_in!L14/SER_hh_num_in!L14)</f>
        <v>140393.64399242273</v>
      </c>
      <c r="M14" s="65">
        <f>IF(SER_hh_fec_in!M14=0,0,11630*1000*SER_hh_fec_in!M14/SER_hh_num_in!M14)</f>
        <v>111230.83513454098</v>
      </c>
      <c r="N14" s="65">
        <f>IF(SER_hh_fec_in!N14=0,0,11630*1000*SER_hh_fec_in!N14/SER_hh_num_in!N14)</f>
        <v>125443.66920337235</v>
      </c>
      <c r="O14" s="65">
        <f>IF(SER_hh_fec_in!O14=0,0,11630*1000*SER_hh_fec_in!O14/SER_hh_num_in!O14)</f>
        <v>109593.4851259164</v>
      </c>
      <c r="P14" s="65">
        <f>IF(SER_hh_fec_in!P14=0,0,11630*1000*SER_hh_fec_in!P14/SER_hh_num_in!P14)</f>
        <v>126123.07616397628</v>
      </c>
      <c r="Q14" s="65">
        <f>IF(SER_hh_fec_in!Q14=0,0,11630*1000*SER_hh_fec_in!Q14/SER_hh_num_in!Q14)</f>
        <v>112361.01119798045</v>
      </c>
      <c r="R14" s="65">
        <f>IF(SER_hh_fec_in!R14=0,0,11630*1000*SER_hh_fec_in!R14/SER_hh_num_in!R14)</f>
        <v>122709.61321368424</v>
      </c>
      <c r="S14" s="65">
        <f>IF(SER_hh_fec_in!S14=0,0,11630*1000*SER_hh_fec_in!S14/SER_hh_num_in!S14)</f>
        <v>87224.02492191075</v>
      </c>
      <c r="T14" s="65">
        <f>IF(SER_hh_fec_in!T14=0,0,11630*1000*SER_hh_fec_in!T14/SER_hh_num_in!T14)</f>
        <v>95134.486045058627</v>
      </c>
      <c r="U14" s="65">
        <f>IF(SER_hh_fec_in!U14=0,0,11630*1000*SER_hh_fec_in!U14/SER_hh_num_in!U14)</f>
        <v>82938.039778451261</v>
      </c>
      <c r="V14" s="65">
        <f>IF(SER_hh_fec_in!V14=0,0,11630*1000*SER_hh_fec_in!V14/SER_hh_num_in!V14)</f>
        <v>71027.717257809883</v>
      </c>
      <c r="W14" s="65">
        <f>IF(SER_hh_fec_in!W14=0,0,11630*1000*SER_hh_fec_in!W14/SER_hh_num_in!W14)</f>
        <v>66245.173211485089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1282.8476545800552</v>
      </c>
      <c r="D15" s="135">
        <f>IF(SER_hh_fec_in!D15=0,0,11630*1000*SER_hh_fec_in!D15/SER_hh_num_in!D15)</f>
        <v>1044.7016477264963</v>
      </c>
      <c r="E15" s="135">
        <f>IF(SER_hh_fec_in!E15=0,0,11630*1000*SER_hh_fec_in!E15/SER_hh_num_in!E15)</f>
        <v>1713.5804297702728</v>
      </c>
      <c r="F15" s="135">
        <f>IF(SER_hh_fec_in!F15=0,0,11630*1000*SER_hh_fec_in!F15/SER_hh_num_in!F15)</f>
        <v>819.05651665586879</v>
      </c>
      <c r="G15" s="135">
        <f>IF(SER_hh_fec_in!G15=0,0,11630*1000*SER_hh_fec_in!G15/SER_hh_num_in!G15)</f>
        <v>582.64309719737855</v>
      </c>
      <c r="H15" s="135">
        <f>IF(SER_hh_fec_in!H15=0,0,11630*1000*SER_hh_fec_in!H15/SER_hh_num_in!H15)</f>
        <v>538.338723604395</v>
      </c>
      <c r="I15" s="135">
        <f>IF(SER_hh_fec_in!I15=0,0,11630*1000*SER_hh_fec_in!I15/SER_hh_num_in!I15)</f>
        <v>687.14075706496442</v>
      </c>
      <c r="J15" s="135">
        <f>IF(SER_hh_fec_in!J15=0,0,11630*1000*SER_hh_fec_in!J15/SER_hh_num_in!J15)</f>
        <v>752.18481098228153</v>
      </c>
      <c r="K15" s="135">
        <f>IF(SER_hh_fec_in!K15=0,0,11630*1000*SER_hh_fec_in!K15/SER_hh_num_in!K15)</f>
        <v>815.90442606125328</v>
      </c>
      <c r="L15" s="135">
        <f>IF(SER_hh_fec_in!L15=0,0,11630*1000*SER_hh_fec_in!L15/SER_hh_num_in!L15)</f>
        <v>736.06222023932651</v>
      </c>
      <c r="M15" s="135">
        <f>IF(SER_hh_fec_in!M15=0,0,11630*1000*SER_hh_fec_in!M15/SER_hh_num_in!M15)</f>
        <v>1068.3959884540807</v>
      </c>
      <c r="N15" s="135">
        <f>IF(SER_hh_fec_in!N15=0,0,11630*1000*SER_hh_fec_in!N15/SER_hh_num_in!N15)</f>
        <v>1011.2744089160366</v>
      </c>
      <c r="O15" s="135">
        <f>IF(SER_hh_fec_in!O15=0,0,11630*1000*SER_hh_fec_in!O15/SER_hh_num_in!O15)</f>
        <v>1180.4180932021591</v>
      </c>
      <c r="P15" s="135">
        <f>IF(SER_hh_fec_in!P15=0,0,11630*1000*SER_hh_fec_in!P15/SER_hh_num_in!P15)</f>
        <v>1582.2536597136425</v>
      </c>
      <c r="Q15" s="135">
        <f>IF(SER_hh_fec_in!Q15=0,0,11630*1000*SER_hh_fec_in!Q15/SER_hh_num_in!Q15)</f>
        <v>953.19247072490396</v>
      </c>
      <c r="R15" s="135">
        <f>IF(SER_hh_fec_in!R15=0,0,11630*1000*SER_hh_fec_in!R15/SER_hh_num_in!R15)</f>
        <v>952.53447944841764</v>
      </c>
      <c r="S15" s="135">
        <f>IF(SER_hh_fec_in!S15=0,0,11630*1000*SER_hh_fec_in!S15/SER_hh_num_in!S15)</f>
        <v>632.27980534774383</v>
      </c>
      <c r="T15" s="135">
        <f>IF(SER_hh_fec_in!T15=0,0,11630*1000*SER_hh_fec_in!T15/SER_hh_num_in!T15)</f>
        <v>657.27415019057662</v>
      </c>
      <c r="U15" s="135">
        <f>IF(SER_hh_fec_in!U15=0,0,11630*1000*SER_hh_fec_in!U15/SER_hh_num_in!U15)</f>
        <v>526.06001067541945</v>
      </c>
      <c r="V15" s="135">
        <f>IF(SER_hh_fec_in!V15=0,0,11630*1000*SER_hh_fec_in!V15/SER_hh_num_in!V15)</f>
        <v>390.39208345399555</v>
      </c>
      <c r="W15" s="135">
        <f>IF(SER_hh_fec_in!W15=0,0,11630*1000*SER_hh_fec_in!W15/SER_hh_num_in!W15)</f>
        <v>330.10591449161672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7336.0856470737326</v>
      </c>
      <c r="D16" s="131">
        <f>IF(SER_hh_fec_in!D16=0,0,11630*1000*SER_hh_fec_in!D16/SER_hh_num_in!D16)</f>
        <v>7012.4466559721859</v>
      </c>
      <c r="E16" s="131">
        <f>IF(SER_hh_fec_in!E16=0,0,11630*1000*SER_hh_fec_in!E16/SER_hh_num_in!E16)</f>
        <v>7052.4250553702686</v>
      </c>
      <c r="F16" s="131">
        <f>IF(SER_hh_fec_in!F16=0,0,11630*1000*SER_hh_fec_in!F16/SER_hh_num_in!F16)</f>
        <v>6449.6889444010194</v>
      </c>
      <c r="G16" s="131">
        <f>IF(SER_hh_fec_in!G16=0,0,11630*1000*SER_hh_fec_in!G16/SER_hh_num_in!G16)</f>
        <v>6225.4336151563348</v>
      </c>
      <c r="H16" s="131">
        <f>IF(SER_hh_fec_in!H16=0,0,11630*1000*SER_hh_fec_in!H16/SER_hh_num_in!H16)</f>
        <v>6105.6191846185611</v>
      </c>
      <c r="I16" s="131">
        <f>IF(SER_hh_fec_in!I16=0,0,11630*1000*SER_hh_fec_in!I16/SER_hh_num_in!I16)</f>
        <v>5803.4696493139209</v>
      </c>
      <c r="J16" s="131">
        <f>IF(SER_hh_fec_in!J16=0,0,11630*1000*SER_hh_fec_in!J16/SER_hh_num_in!J16)</f>
        <v>5593.2337790258925</v>
      </c>
      <c r="K16" s="131">
        <f>IF(SER_hh_fec_in!K16=0,0,11630*1000*SER_hh_fec_in!K16/SER_hh_num_in!K16)</f>
        <v>5356.6928224343428</v>
      </c>
      <c r="L16" s="131">
        <f>IF(SER_hh_fec_in!L16=0,0,11630*1000*SER_hh_fec_in!L16/SER_hh_num_in!L16)</f>
        <v>5999.525218396263</v>
      </c>
      <c r="M16" s="131">
        <f>IF(SER_hh_fec_in!M16=0,0,11630*1000*SER_hh_fec_in!M16/SER_hh_num_in!M16)</f>
        <v>5238.6082818343566</v>
      </c>
      <c r="N16" s="131">
        <f>IF(SER_hh_fec_in!N16=0,0,11630*1000*SER_hh_fec_in!N16/SER_hh_num_in!N16)</f>
        <v>4793.2646123708037</v>
      </c>
      <c r="O16" s="131">
        <f>IF(SER_hh_fec_in!O16=0,0,11630*1000*SER_hh_fec_in!O16/SER_hh_num_in!O16)</f>
        <v>4502.608679071408</v>
      </c>
      <c r="P16" s="131">
        <f>IF(SER_hh_fec_in!P16=0,0,11630*1000*SER_hh_fec_in!P16/SER_hh_num_in!P16)</f>
        <v>4342.8873649610759</v>
      </c>
      <c r="Q16" s="131">
        <f>IF(SER_hh_fec_in!Q16=0,0,11630*1000*SER_hh_fec_in!Q16/SER_hh_num_in!Q16)</f>
        <v>4062.6922382867469</v>
      </c>
      <c r="R16" s="131">
        <f>IF(SER_hh_fec_in!R16=0,0,11630*1000*SER_hh_fec_in!R16/SER_hh_num_in!R16)</f>
        <v>3986.1297255271188</v>
      </c>
      <c r="S16" s="131">
        <f>IF(SER_hh_fec_in!S16=0,0,11630*1000*SER_hh_fec_in!S16/SER_hh_num_in!S16)</f>
        <v>3870.9573151420168</v>
      </c>
      <c r="T16" s="131">
        <f>IF(SER_hh_fec_in!T16=0,0,11630*1000*SER_hh_fec_in!T16/SER_hh_num_in!T16)</f>
        <v>4021.0976777616688</v>
      </c>
      <c r="U16" s="131">
        <f>IF(SER_hh_fec_in!U16=0,0,11630*1000*SER_hh_fec_in!U16/SER_hh_num_in!U16)</f>
        <v>3634.6176337796751</v>
      </c>
      <c r="V16" s="131">
        <f>IF(SER_hh_fec_in!V16=0,0,11630*1000*SER_hh_fec_in!V16/SER_hh_num_in!V16)</f>
        <v>3480.5381899213239</v>
      </c>
      <c r="W16" s="131">
        <f>IF(SER_hh_fec_in!W16=0,0,11630*1000*SER_hh_fec_in!W16/SER_hh_num_in!W16)</f>
        <v>3579.0153230726582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7336.0856470737326</v>
      </c>
      <c r="D18" s="133">
        <f>IF(SER_hh_fec_in!D18=0,0,11630*1000*SER_hh_fec_in!D18/SER_hh_num_in!D18)</f>
        <v>7012.4466559721859</v>
      </c>
      <c r="E18" s="133">
        <f>IF(SER_hh_fec_in!E18=0,0,11630*1000*SER_hh_fec_in!E18/SER_hh_num_in!E18)</f>
        <v>7052.4250553702686</v>
      </c>
      <c r="F18" s="133">
        <f>IF(SER_hh_fec_in!F18=0,0,11630*1000*SER_hh_fec_in!F18/SER_hh_num_in!F18)</f>
        <v>6449.6889444010194</v>
      </c>
      <c r="G18" s="133">
        <f>IF(SER_hh_fec_in!G18=0,0,11630*1000*SER_hh_fec_in!G18/SER_hh_num_in!G18)</f>
        <v>6225.4336151563348</v>
      </c>
      <c r="H18" s="133">
        <f>IF(SER_hh_fec_in!H18=0,0,11630*1000*SER_hh_fec_in!H18/SER_hh_num_in!H18)</f>
        <v>6105.6191846185611</v>
      </c>
      <c r="I18" s="133">
        <f>IF(SER_hh_fec_in!I18=0,0,11630*1000*SER_hh_fec_in!I18/SER_hh_num_in!I18)</f>
        <v>5803.4696493139209</v>
      </c>
      <c r="J18" s="133">
        <f>IF(SER_hh_fec_in!J18=0,0,11630*1000*SER_hh_fec_in!J18/SER_hh_num_in!J18)</f>
        <v>5593.2337790258925</v>
      </c>
      <c r="K18" s="133">
        <f>IF(SER_hh_fec_in!K18=0,0,11630*1000*SER_hh_fec_in!K18/SER_hh_num_in!K18)</f>
        <v>5356.6928224343428</v>
      </c>
      <c r="L18" s="133">
        <f>IF(SER_hh_fec_in!L18=0,0,11630*1000*SER_hh_fec_in!L18/SER_hh_num_in!L18)</f>
        <v>5999.525218396263</v>
      </c>
      <c r="M18" s="133">
        <f>IF(SER_hh_fec_in!M18=0,0,11630*1000*SER_hh_fec_in!M18/SER_hh_num_in!M18)</f>
        <v>5238.6082818343566</v>
      </c>
      <c r="N18" s="133">
        <f>IF(SER_hh_fec_in!N18=0,0,11630*1000*SER_hh_fec_in!N18/SER_hh_num_in!N18)</f>
        <v>4793.2646123708037</v>
      </c>
      <c r="O18" s="133">
        <f>IF(SER_hh_fec_in!O18=0,0,11630*1000*SER_hh_fec_in!O18/SER_hh_num_in!O18)</f>
        <v>4502.608679071408</v>
      </c>
      <c r="P18" s="133">
        <f>IF(SER_hh_fec_in!P18=0,0,11630*1000*SER_hh_fec_in!P18/SER_hh_num_in!P18)</f>
        <v>4342.8873649610759</v>
      </c>
      <c r="Q18" s="133">
        <f>IF(SER_hh_fec_in!Q18=0,0,11630*1000*SER_hh_fec_in!Q18/SER_hh_num_in!Q18)</f>
        <v>4062.6922382867469</v>
      </c>
      <c r="R18" s="133">
        <f>IF(SER_hh_fec_in!R18=0,0,11630*1000*SER_hh_fec_in!R18/SER_hh_num_in!R18)</f>
        <v>3986.1297255271188</v>
      </c>
      <c r="S18" s="133">
        <f>IF(SER_hh_fec_in!S18=0,0,11630*1000*SER_hh_fec_in!S18/SER_hh_num_in!S18)</f>
        <v>3870.9573151420168</v>
      </c>
      <c r="T18" s="133">
        <f>IF(SER_hh_fec_in!T18=0,0,11630*1000*SER_hh_fec_in!T18/SER_hh_num_in!T18)</f>
        <v>4021.0976777616688</v>
      </c>
      <c r="U18" s="133">
        <f>IF(SER_hh_fec_in!U18=0,0,11630*1000*SER_hh_fec_in!U18/SER_hh_num_in!U18)</f>
        <v>3634.6176337796751</v>
      </c>
      <c r="V18" s="133">
        <f>IF(SER_hh_fec_in!V18=0,0,11630*1000*SER_hh_fec_in!V18/SER_hh_num_in!V18)</f>
        <v>3480.5381899213239</v>
      </c>
      <c r="W18" s="133">
        <f>IF(SER_hh_fec_in!W18=0,0,11630*1000*SER_hh_fec_in!W18/SER_hh_num_in!W18)</f>
        <v>3579.0153230726582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26490.564375641068</v>
      </c>
      <c r="D19" s="131">
        <f>IF(SER_hh_fec_in!D19=0,0,11630*1000*SER_hh_fec_in!D19/SER_hh_num_in!D19)</f>
        <v>24040.123028747901</v>
      </c>
      <c r="E19" s="131">
        <f>IF(SER_hh_fec_in!E19=0,0,11630*1000*SER_hh_fec_in!E19/SER_hh_num_in!E19)</f>
        <v>23908.353486084638</v>
      </c>
      <c r="F19" s="131">
        <f>IF(SER_hh_fec_in!F19=0,0,11630*1000*SER_hh_fec_in!F19/SER_hh_num_in!F19)</f>
        <v>22455.07568530547</v>
      </c>
      <c r="G19" s="131">
        <f>IF(SER_hh_fec_in!G19=0,0,11630*1000*SER_hh_fec_in!G19/SER_hh_num_in!G19)</f>
        <v>22172.114457081694</v>
      </c>
      <c r="H19" s="131">
        <f>IF(SER_hh_fec_in!H19=0,0,11630*1000*SER_hh_fec_in!H19/SER_hh_num_in!H19)</f>
        <v>21384.896164840247</v>
      </c>
      <c r="I19" s="131">
        <f>IF(SER_hh_fec_in!I19=0,0,11630*1000*SER_hh_fec_in!I19/SER_hh_num_in!I19)</f>
        <v>20707.789334207959</v>
      </c>
      <c r="J19" s="131">
        <f>IF(SER_hh_fec_in!J19=0,0,11630*1000*SER_hh_fec_in!J19/SER_hh_num_in!J19)</f>
        <v>20537.802899695071</v>
      </c>
      <c r="K19" s="131">
        <f>IF(SER_hh_fec_in!K19=0,0,11630*1000*SER_hh_fec_in!K19/SER_hh_num_in!K19)</f>
        <v>20565.575589119977</v>
      </c>
      <c r="L19" s="131">
        <f>IF(SER_hh_fec_in!L19=0,0,11630*1000*SER_hh_fec_in!L19/SER_hh_num_in!L19)</f>
        <v>20565.613409486952</v>
      </c>
      <c r="M19" s="131">
        <f>IF(SER_hh_fec_in!M19=0,0,11630*1000*SER_hh_fec_in!M19/SER_hh_num_in!M19)</f>
        <v>20811.789842211561</v>
      </c>
      <c r="N19" s="131">
        <f>IF(SER_hh_fec_in!N19=0,0,11630*1000*SER_hh_fec_in!N19/SER_hh_num_in!N19)</f>
        <v>20157.251007845109</v>
      </c>
      <c r="O19" s="131">
        <f>IF(SER_hh_fec_in!O19=0,0,11630*1000*SER_hh_fec_in!O19/SER_hh_num_in!O19)</f>
        <v>19797.513668595097</v>
      </c>
      <c r="P19" s="131">
        <f>IF(SER_hh_fec_in!P19=0,0,11630*1000*SER_hh_fec_in!P19/SER_hh_num_in!P19)</f>
        <v>20169.996590123781</v>
      </c>
      <c r="Q19" s="131">
        <f>IF(SER_hh_fec_in!Q19=0,0,11630*1000*SER_hh_fec_in!Q19/SER_hh_num_in!Q19)</f>
        <v>18542.690195597981</v>
      </c>
      <c r="R19" s="131">
        <f>IF(SER_hh_fec_in!R19=0,0,11630*1000*SER_hh_fec_in!R19/SER_hh_num_in!R19)</f>
        <v>17713.000172524218</v>
      </c>
      <c r="S19" s="131">
        <f>IF(SER_hh_fec_in!S19=0,0,11630*1000*SER_hh_fec_in!S19/SER_hh_num_in!S19)</f>
        <v>17067.087043280368</v>
      </c>
      <c r="T19" s="131">
        <f>IF(SER_hh_fec_in!T19=0,0,11630*1000*SER_hh_fec_in!T19/SER_hh_num_in!T19)</f>
        <v>16768.990572935469</v>
      </c>
      <c r="U19" s="131">
        <f>IF(SER_hh_fec_in!U19=0,0,11630*1000*SER_hh_fec_in!U19/SER_hh_num_in!U19)</f>
        <v>16695.579113989617</v>
      </c>
      <c r="V19" s="131">
        <f>IF(SER_hh_fec_in!V19=0,0,11630*1000*SER_hh_fec_in!V19/SER_hh_num_in!V19)</f>
        <v>15341.079282300328</v>
      </c>
      <c r="W19" s="131">
        <f>IF(SER_hh_fec_in!W19=0,0,11630*1000*SER_hh_fec_in!W19/SER_hh_num_in!W19)</f>
        <v>15854.667293936203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34139.241051736593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27140.225539550807</v>
      </c>
      <c r="J22" s="133">
        <f>IF(SER_hh_fec_in!J22=0,0,11630*1000*SER_hh_fec_in!J22/SER_hh_num_in!J22)</f>
        <v>27506.914586350373</v>
      </c>
      <c r="K22" s="133">
        <f>IF(SER_hh_fec_in!K22=0,0,11630*1000*SER_hh_fec_in!K22/SER_hh_num_in!K22)</f>
        <v>26782.936003409694</v>
      </c>
      <c r="L22" s="133">
        <f>IF(SER_hh_fec_in!L22=0,0,11630*1000*SER_hh_fec_in!L22/SER_hh_num_in!L22)</f>
        <v>26333.934605474373</v>
      </c>
      <c r="M22" s="133">
        <f>IF(SER_hh_fec_in!M22=0,0,11630*1000*SER_hh_fec_in!M22/SER_hh_num_in!M22)</f>
        <v>25939.056236247699</v>
      </c>
      <c r="N22" s="133">
        <f>IF(SER_hh_fec_in!N22=0,0,11630*1000*SER_hh_fec_in!N22/SER_hh_num_in!N22)</f>
        <v>24945.190261503292</v>
      </c>
      <c r="O22" s="133">
        <f>IF(SER_hh_fec_in!O22=0,0,11630*1000*SER_hh_fec_in!O22/SER_hh_num_in!O22)</f>
        <v>23734.952720894147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16979.224003976909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34508.698067112935</v>
      </c>
      <c r="D23" s="133">
        <f>IF(SER_hh_fec_in!D23=0,0,11630*1000*SER_hh_fec_in!D23/SER_hh_num_in!D23)</f>
        <v>30717.47084745031</v>
      </c>
      <c r="E23" s="133">
        <f>IF(SER_hh_fec_in!E23=0,0,11630*1000*SER_hh_fec_in!E23/SER_hh_num_in!E23)</f>
        <v>28435.687457242653</v>
      </c>
      <c r="F23" s="133">
        <f>IF(SER_hh_fec_in!F23=0,0,11630*1000*SER_hh_fec_in!F23/SER_hh_num_in!F23)</f>
        <v>26797.720341475353</v>
      </c>
      <c r="G23" s="133">
        <f>IF(SER_hh_fec_in!G23=0,0,11630*1000*SER_hh_fec_in!G23/SER_hh_num_in!G23)</f>
        <v>26017.503910506945</v>
      </c>
      <c r="H23" s="133">
        <f>IF(SER_hh_fec_in!H23=0,0,11630*1000*SER_hh_fec_in!H23/SER_hh_num_in!H23)</f>
        <v>25345.574305669674</v>
      </c>
      <c r="I23" s="133">
        <f>IF(SER_hh_fec_in!I23=0,0,11630*1000*SER_hh_fec_in!I23/SER_hh_num_in!I23)</f>
        <v>24384.313304567819</v>
      </c>
      <c r="J23" s="133">
        <f>IF(SER_hh_fec_in!J23=0,0,11630*1000*SER_hh_fec_in!J23/SER_hh_num_in!J23)</f>
        <v>23679.123199629241</v>
      </c>
      <c r="K23" s="133">
        <f>IF(SER_hh_fec_in!K23=0,0,11630*1000*SER_hh_fec_in!K23/SER_hh_num_in!K23)</f>
        <v>22952.080753817387</v>
      </c>
      <c r="L23" s="133">
        <f>IF(SER_hh_fec_in!L23=0,0,11630*1000*SER_hh_fec_in!L23/SER_hh_num_in!L23)</f>
        <v>21318.723222649533</v>
      </c>
      <c r="M23" s="133">
        <f>IF(SER_hh_fec_in!M23=0,0,11630*1000*SER_hh_fec_in!M23/SER_hh_num_in!M23)</f>
        <v>22284.908467658508</v>
      </c>
      <c r="N23" s="133">
        <f>IF(SER_hh_fec_in!N23=0,0,11630*1000*SER_hh_fec_in!N23/SER_hh_num_in!N23)</f>
        <v>19115.90110866135</v>
      </c>
      <c r="O23" s="133">
        <f>IF(SER_hh_fec_in!O23=0,0,11630*1000*SER_hh_fec_in!O23/SER_hh_num_in!O23)</f>
        <v>20367.119538050476</v>
      </c>
      <c r="P23" s="133">
        <f>IF(SER_hh_fec_in!P23=0,0,11630*1000*SER_hh_fec_in!P23/SER_hh_num_in!P23)</f>
        <v>21844.166649127237</v>
      </c>
      <c r="Q23" s="133">
        <f>IF(SER_hh_fec_in!Q23=0,0,11630*1000*SER_hh_fec_in!Q23/SER_hh_num_in!Q23)</f>
        <v>19505.787617761147</v>
      </c>
      <c r="R23" s="133">
        <f>IF(SER_hh_fec_in!R23=0,0,11630*1000*SER_hh_fec_in!R23/SER_hh_num_in!R23)</f>
        <v>18321.04961985278</v>
      </c>
      <c r="S23" s="133">
        <f>IF(SER_hh_fec_in!S23=0,0,11630*1000*SER_hh_fec_in!S23/SER_hh_num_in!S23)</f>
        <v>17875.305886681246</v>
      </c>
      <c r="T23" s="133">
        <f>IF(SER_hh_fec_in!T23=0,0,11630*1000*SER_hh_fec_in!T23/SER_hh_num_in!T23)</f>
        <v>17784.757835306842</v>
      </c>
      <c r="U23" s="133">
        <f>IF(SER_hh_fec_in!U23=0,0,11630*1000*SER_hh_fec_in!U23/SER_hh_num_in!U23)</f>
        <v>17783.122127043447</v>
      </c>
      <c r="V23" s="133">
        <f>IF(SER_hh_fec_in!V23=0,0,11630*1000*SER_hh_fec_in!V23/SER_hh_num_in!V23)</f>
        <v>16877.686126752073</v>
      </c>
      <c r="W23" s="133">
        <f>IF(SER_hh_fec_in!W23=0,0,11630*1000*SER_hh_fec_in!W23/SER_hh_num_in!W23)</f>
        <v>15281.603634532965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22021.372701345401</v>
      </c>
      <c r="D25" s="133">
        <f>IF(SER_hh_fec_in!D25=0,0,11630*1000*SER_hh_fec_in!D25/SER_hh_num_in!D25)</f>
        <v>21030.803468192578</v>
      </c>
      <c r="E25" s="133">
        <f>IF(SER_hh_fec_in!E25=0,0,11630*1000*SER_hh_fec_in!E25/SER_hh_num_in!E25)</f>
        <v>20186.684300285735</v>
      </c>
      <c r="F25" s="133">
        <f>IF(SER_hh_fec_in!F25=0,0,11630*1000*SER_hh_fec_in!F25/SER_hh_num_in!F25)</f>
        <v>19549.535174465662</v>
      </c>
      <c r="G25" s="133">
        <f>IF(SER_hh_fec_in!G25=0,0,11630*1000*SER_hh_fec_in!G25/SER_hh_num_in!G25)</f>
        <v>19481.861166213032</v>
      </c>
      <c r="H25" s="133">
        <f>IF(SER_hh_fec_in!H25=0,0,11630*1000*SER_hh_fec_in!H25/SER_hh_num_in!H25)</f>
        <v>18886.769530412079</v>
      </c>
      <c r="I25" s="133">
        <f>IF(SER_hh_fec_in!I25=0,0,11630*1000*SER_hh_fec_in!I25/SER_hh_num_in!I25)</f>
        <v>18504.532855424764</v>
      </c>
      <c r="J25" s="133">
        <f>IF(SER_hh_fec_in!J25=0,0,11630*1000*SER_hh_fec_in!J25/SER_hh_num_in!J25)</f>
        <v>18059.541219240869</v>
      </c>
      <c r="K25" s="133">
        <f>IF(SER_hh_fec_in!K25=0,0,11630*1000*SER_hh_fec_in!K25/SER_hh_num_in!K25)</f>
        <v>18250.585058782286</v>
      </c>
      <c r="L25" s="133">
        <f>IF(SER_hh_fec_in!L25=0,0,11630*1000*SER_hh_fec_in!L25/SER_hh_num_in!L25)</f>
        <v>17996.498262750207</v>
      </c>
      <c r="M25" s="133">
        <f>IF(SER_hh_fec_in!M25=0,0,11630*1000*SER_hh_fec_in!M25/SER_hh_num_in!M25)</f>
        <v>18012.59225639881</v>
      </c>
      <c r="N25" s="133">
        <f>IF(SER_hh_fec_in!N25=0,0,11630*1000*SER_hh_fec_in!N25/SER_hh_num_in!N25)</f>
        <v>17851.051691056204</v>
      </c>
      <c r="O25" s="133">
        <f>IF(SER_hh_fec_in!O25=0,0,11630*1000*SER_hh_fec_in!O25/SER_hh_num_in!O25)</f>
        <v>17759.895741117427</v>
      </c>
      <c r="P25" s="133">
        <f>IF(SER_hh_fec_in!P25=0,0,11630*1000*SER_hh_fec_in!P25/SER_hh_num_in!P25)</f>
        <v>17413.760560730432</v>
      </c>
      <c r="Q25" s="133">
        <f>IF(SER_hh_fec_in!Q25=0,0,11630*1000*SER_hh_fec_in!Q25/SER_hh_num_in!Q25)</f>
        <v>17165.223787862655</v>
      </c>
      <c r="R25" s="133">
        <f>IF(SER_hh_fec_in!R25=0,0,11630*1000*SER_hh_fec_in!R25/SER_hh_num_in!R25)</f>
        <v>16941.847524342851</v>
      </c>
      <c r="S25" s="133">
        <f>IF(SER_hh_fec_in!S25=0,0,11630*1000*SER_hh_fec_in!S25/SER_hh_num_in!S25)</f>
        <v>16735.771984251362</v>
      </c>
      <c r="T25" s="133">
        <f>IF(SER_hh_fec_in!T25=0,0,11630*1000*SER_hh_fec_in!T25/SER_hh_num_in!T25)</f>
        <v>16681.5202696702</v>
      </c>
      <c r="U25" s="133">
        <f>IF(SER_hh_fec_in!U25=0,0,11630*1000*SER_hh_fec_in!U25/SER_hh_num_in!U25)</f>
        <v>16467.578871428919</v>
      </c>
      <c r="V25" s="133">
        <f>IF(SER_hh_fec_in!V25=0,0,11630*1000*SER_hh_fec_in!V25/SER_hh_num_in!V25)</f>
        <v>14387.907734486926</v>
      </c>
      <c r="W25" s="133">
        <f>IF(SER_hh_fec_in!W25=0,0,11630*1000*SER_hh_fec_in!W25/SER_hh_num_in!W25)</f>
        <v>16263.639804151004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25493.189279313785</v>
      </c>
      <c r="D26" s="65">
        <f>IF(SER_hh_fec_in!D26=0,0,11630*1000*SER_hh_fec_in!D26/SER_hh_num_in!D26)</f>
        <v>24607.169942352746</v>
      </c>
      <c r="E26" s="65">
        <f>IF(SER_hh_fec_in!E26=0,0,11630*1000*SER_hh_fec_in!E26/SER_hh_num_in!E26)</f>
        <v>25307.443516826184</v>
      </c>
      <c r="F26" s="65">
        <f>IF(SER_hh_fec_in!F26=0,0,11630*1000*SER_hh_fec_in!F26/SER_hh_num_in!F26)</f>
        <v>24211.175049538186</v>
      </c>
      <c r="G26" s="65">
        <f>IF(SER_hh_fec_in!G26=0,0,11630*1000*SER_hh_fec_in!G26/SER_hh_num_in!G26)</f>
        <v>23711.928349591151</v>
      </c>
      <c r="H26" s="65">
        <f>IF(SER_hh_fec_in!H26=0,0,11630*1000*SER_hh_fec_in!H26/SER_hh_num_in!H26)</f>
        <v>22691.505939071201</v>
      </c>
      <c r="I26" s="65">
        <f>IF(SER_hh_fec_in!I26=0,0,11630*1000*SER_hh_fec_in!I26/SER_hh_num_in!I26)</f>
        <v>21141.051158001712</v>
      </c>
      <c r="J26" s="65">
        <f>IF(SER_hh_fec_in!J26=0,0,11630*1000*SER_hh_fec_in!J26/SER_hh_num_in!J26)</f>
        <v>0</v>
      </c>
      <c r="K26" s="65">
        <f>IF(SER_hh_fec_in!K26=0,0,11630*1000*SER_hh_fec_in!K26/SER_hh_num_in!K26)</f>
        <v>21355.849717252917</v>
      </c>
      <c r="L26" s="65">
        <f>IF(SER_hh_fec_in!L26=0,0,11630*1000*SER_hh_fec_in!L26/SER_hh_num_in!L26)</f>
        <v>21195.842877658979</v>
      </c>
      <c r="M26" s="65">
        <f>IF(SER_hh_fec_in!M26=0,0,11630*1000*SER_hh_fec_in!M26/SER_hh_num_in!M26)</f>
        <v>21080.079857847766</v>
      </c>
      <c r="N26" s="65">
        <f>IF(SER_hh_fec_in!N26=0,0,11630*1000*SER_hh_fec_in!N26/SER_hh_num_in!N26)</f>
        <v>21194.334372905818</v>
      </c>
      <c r="O26" s="65">
        <f>IF(SER_hh_fec_in!O26=0,0,11630*1000*SER_hh_fec_in!O26/SER_hh_num_in!O26)</f>
        <v>19903.528692642893</v>
      </c>
      <c r="P26" s="65">
        <f>IF(SER_hh_fec_in!P26=0,0,11630*1000*SER_hh_fec_in!P26/SER_hh_num_in!P26)</f>
        <v>18482.375013960635</v>
      </c>
      <c r="Q26" s="65">
        <f>IF(SER_hh_fec_in!Q26=0,0,11630*1000*SER_hh_fec_in!Q26/SER_hh_num_in!Q26)</f>
        <v>18540.10855324849</v>
      </c>
      <c r="R26" s="65">
        <f>IF(SER_hh_fec_in!R26=0,0,11630*1000*SER_hh_fec_in!R26/SER_hh_num_in!R26)</f>
        <v>17858.366741663271</v>
      </c>
      <c r="S26" s="65">
        <f>IF(SER_hh_fec_in!S26=0,0,11630*1000*SER_hh_fec_in!S26/SER_hh_num_in!S26)</f>
        <v>16864.128487968574</v>
      </c>
      <c r="T26" s="65">
        <f>IF(SER_hh_fec_in!T26=0,0,11630*1000*SER_hh_fec_in!T26/SER_hh_num_in!T26)</f>
        <v>16295.868502554702</v>
      </c>
      <c r="U26" s="65">
        <f>IF(SER_hh_fec_in!U26=0,0,11630*1000*SER_hh_fec_in!U26/SER_hh_num_in!U26)</f>
        <v>16383.782912307999</v>
      </c>
      <c r="V26" s="65">
        <f>IF(SER_hh_fec_in!V26=0,0,11630*1000*SER_hh_fec_in!V26/SER_hh_num_in!V26)</f>
        <v>15418.888912122862</v>
      </c>
      <c r="W26" s="65">
        <f>IF(SER_hh_fec_in!W26=0,0,11630*1000*SER_hh_fec_in!W26/SER_hh_num_in!W26)</f>
        <v>15672.594601132287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26464.70687043645</v>
      </c>
      <c r="D29" s="131">
        <f>IF(SER_hh_fec_in!D29=0,0,11630*1000*SER_hh_fec_in!D29/SER_hh_num_in!D29)</f>
        <v>25685.633554488093</v>
      </c>
      <c r="E29" s="131">
        <f>IF(SER_hh_fec_in!E29=0,0,11630*1000*SER_hh_fec_in!E29/SER_hh_num_in!E29)</f>
        <v>24016.738788013583</v>
      </c>
      <c r="F29" s="131">
        <f>IF(SER_hh_fec_in!F29=0,0,11630*1000*SER_hh_fec_in!F29/SER_hh_num_in!F29)</f>
        <v>25909.094296628147</v>
      </c>
      <c r="G29" s="131">
        <f>IF(SER_hh_fec_in!G29=0,0,11630*1000*SER_hh_fec_in!G29/SER_hh_num_in!G29)</f>
        <v>23161.786484309039</v>
      </c>
      <c r="H29" s="131">
        <f>IF(SER_hh_fec_in!H29=0,0,11630*1000*SER_hh_fec_in!H29/SER_hh_num_in!H29)</f>
        <v>22183.733927847356</v>
      </c>
      <c r="I29" s="131">
        <f>IF(SER_hh_fec_in!I29=0,0,11630*1000*SER_hh_fec_in!I29/SER_hh_num_in!I29)</f>
        <v>21814.270359293765</v>
      </c>
      <c r="J29" s="131">
        <f>IF(SER_hh_fec_in!J29=0,0,11630*1000*SER_hh_fec_in!J29/SER_hh_num_in!J29)</f>
        <v>22617.532253670004</v>
      </c>
      <c r="K29" s="131">
        <f>IF(SER_hh_fec_in!K29=0,0,11630*1000*SER_hh_fec_in!K29/SER_hh_num_in!K29)</f>
        <v>23448.860838556353</v>
      </c>
      <c r="L29" s="131">
        <f>IF(SER_hh_fec_in!L29=0,0,11630*1000*SER_hh_fec_in!L29/SER_hh_num_in!L29)</f>
        <v>23991.499905705827</v>
      </c>
      <c r="M29" s="131">
        <f>IF(SER_hh_fec_in!M29=0,0,11630*1000*SER_hh_fec_in!M29/SER_hh_num_in!M29)</f>
        <v>24087.934680497314</v>
      </c>
      <c r="N29" s="131">
        <f>IF(SER_hh_fec_in!N29=0,0,11630*1000*SER_hh_fec_in!N29/SER_hh_num_in!N29)</f>
        <v>24205.247956782419</v>
      </c>
      <c r="O29" s="131">
        <f>IF(SER_hh_fec_in!O29=0,0,11630*1000*SER_hh_fec_in!O29/SER_hh_num_in!O29)</f>
        <v>24213.006934771871</v>
      </c>
      <c r="P29" s="131">
        <f>IF(SER_hh_fec_in!P29=0,0,11630*1000*SER_hh_fec_in!P29/SER_hh_num_in!P29)</f>
        <v>23577.767746113444</v>
      </c>
      <c r="Q29" s="131">
        <f>IF(SER_hh_fec_in!Q29=0,0,11630*1000*SER_hh_fec_in!Q29/SER_hh_num_in!Q29)</f>
        <v>22560.39525970797</v>
      </c>
      <c r="R29" s="131">
        <f>IF(SER_hh_fec_in!R29=0,0,11630*1000*SER_hh_fec_in!R29/SER_hh_num_in!R29)</f>
        <v>24665.128802765248</v>
      </c>
      <c r="S29" s="131">
        <f>IF(SER_hh_fec_in!S29=0,0,11630*1000*SER_hh_fec_in!S29/SER_hh_num_in!S29)</f>
        <v>22218.035751569772</v>
      </c>
      <c r="T29" s="131">
        <f>IF(SER_hh_fec_in!T29=0,0,11630*1000*SER_hh_fec_in!T29/SER_hh_num_in!T29)</f>
        <v>22000.810778709041</v>
      </c>
      <c r="U29" s="131">
        <f>IF(SER_hh_fec_in!U29=0,0,11630*1000*SER_hh_fec_in!U29/SER_hh_num_in!U29)</f>
        <v>21644.316101977223</v>
      </c>
      <c r="V29" s="131">
        <f>IF(SER_hh_fec_in!V29=0,0,11630*1000*SER_hh_fec_in!V29/SER_hh_num_in!V29)</f>
        <v>19650.627066548295</v>
      </c>
      <c r="W29" s="131">
        <f>IF(SER_hh_fec_in!W29=0,0,11630*1000*SER_hh_fec_in!W29/SER_hh_num_in!W29)</f>
        <v>20169.638198255278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39653.339179070019</v>
      </c>
      <c r="G30" s="133">
        <f>IF(SER_hh_fec_in!G30=0,0,11630*1000*SER_hh_fec_in!G30/SER_hh_num_in!G30)</f>
        <v>30733.630980149886</v>
      </c>
      <c r="H30" s="133">
        <f>IF(SER_hh_fec_in!H30=0,0,11630*1000*SER_hh_fec_in!H30/SER_hh_num_in!H30)</f>
        <v>27404.0801968612</v>
      </c>
      <c r="I30" s="133">
        <f>IF(SER_hh_fec_in!I30=0,0,11630*1000*SER_hh_fec_in!I30/SER_hh_num_in!I30)</f>
        <v>27423.685952661042</v>
      </c>
      <c r="J30" s="133">
        <f>IF(SER_hh_fec_in!J30=0,0,11630*1000*SER_hh_fec_in!J30/SER_hh_num_in!J30)</f>
        <v>27860.902345798117</v>
      </c>
      <c r="K30" s="133">
        <f>IF(SER_hh_fec_in!K30=0,0,11630*1000*SER_hh_fec_in!K30/SER_hh_num_in!K30)</f>
        <v>28472.420818585233</v>
      </c>
      <c r="L30" s="133">
        <f>IF(SER_hh_fec_in!L30=0,0,11630*1000*SER_hh_fec_in!L30/SER_hh_num_in!L30)</f>
        <v>28590.671637606225</v>
      </c>
      <c r="M30" s="133">
        <f>IF(SER_hh_fec_in!M30=0,0,11630*1000*SER_hh_fec_in!M30/SER_hh_num_in!M30)</f>
        <v>28651.071858999359</v>
      </c>
      <c r="N30" s="133">
        <f>IF(SER_hh_fec_in!N30=0,0,11630*1000*SER_hh_fec_in!N30/SER_hh_num_in!N30)</f>
        <v>28791.495813742411</v>
      </c>
      <c r="O30" s="133">
        <f>IF(SER_hh_fec_in!O30=0,0,11630*1000*SER_hh_fec_in!O30/SER_hh_num_in!O30)</f>
        <v>28683.784830276822</v>
      </c>
      <c r="P30" s="133">
        <f>IF(SER_hh_fec_in!P30=0,0,11630*1000*SER_hh_fec_in!P30/SER_hh_num_in!P30)</f>
        <v>25865.296679463863</v>
      </c>
      <c r="Q30" s="133">
        <f>IF(SER_hh_fec_in!Q30=0,0,11630*1000*SER_hh_fec_in!Q30/SER_hh_num_in!Q30)</f>
        <v>20130.571111736328</v>
      </c>
      <c r="R30" s="133">
        <f>IF(SER_hh_fec_in!R30=0,0,11630*1000*SER_hh_fec_in!R30/SER_hh_num_in!R30)</f>
        <v>31133.632277246139</v>
      </c>
      <c r="S30" s="133">
        <f>IF(SER_hh_fec_in!S30=0,0,11630*1000*SER_hh_fec_in!S30/SER_hh_num_in!S30)</f>
        <v>44318.619797583742</v>
      </c>
      <c r="T30" s="133">
        <f>IF(SER_hh_fec_in!T30=0,0,11630*1000*SER_hh_fec_in!T30/SER_hh_num_in!T30)</f>
        <v>14209.363110760429</v>
      </c>
      <c r="U30" s="133">
        <f>IF(SER_hh_fec_in!U30=0,0,11630*1000*SER_hh_fec_in!U30/SER_hh_num_in!U30)</f>
        <v>28582.58383123167</v>
      </c>
      <c r="V30" s="133">
        <f>IF(SER_hh_fec_in!V30=0,0,11630*1000*SER_hh_fec_in!V30/SER_hh_num_in!V30)</f>
        <v>29402.005165562081</v>
      </c>
      <c r="W30" s="133">
        <f>IF(SER_hh_fec_in!W30=0,0,11630*1000*SER_hh_fec_in!W30/SER_hh_num_in!W30)</f>
        <v>21466.371712366526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32760.254160128949</v>
      </c>
      <c r="D31" s="133">
        <f>IF(SER_hh_fec_in!D31=0,0,11630*1000*SER_hh_fec_in!D31/SER_hh_num_in!D31)</f>
        <v>34894.664942561198</v>
      </c>
      <c r="E31" s="133">
        <f>IF(SER_hh_fec_in!E31=0,0,11630*1000*SER_hh_fec_in!E31/SER_hh_num_in!E31)</f>
        <v>31149.943910976235</v>
      </c>
      <c r="F31" s="133">
        <f>IF(SER_hh_fec_in!F31=0,0,11630*1000*SER_hh_fec_in!F31/SER_hh_num_in!F31)</f>
        <v>29706.534214531162</v>
      </c>
      <c r="G31" s="133">
        <f>IF(SER_hh_fec_in!G31=0,0,11630*1000*SER_hh_fec_in!G31/SER_hh_num_in!G31)</f>
        <v>29450.650257233545</v>
      </c>
      <c r="H31" s="133">
        <f>IF(SER_hh_fec_in!H31=0,0,11630*1000*SER_hh_fec_in!H31/SER_hh_num_in!H31)</f>
        <v>28928.044714458065</v>
      </c>
      <c r="I31" s="133">
        <f>IF(SER_hh_fec_in!I31=0,0,11630*1000*SER_hh_fec_in!I31/SER_hh_num_in!I31)</f>
        <v>29231.552763672444</v>
      </c>
      <c r="J31" s="133">
        <f>IF(SER_hh_fec_in!J31=0,0,11630*1000*SER_hh_fec_in!J31/SER_hh_num_in!J31)</f>
        <v>29659.699797007113</v>
      </c>
      <c r="K31" s="133">
        <f>IF(SER_hh_fec_in!K31=0,0,11630*1000*SER_hh_fec_in!K31/SER_hh_num_in!K31)</f>
        <v>28420.486268692814</v>
      </c>
      <c r="L31" s="133">
        <f>IF(SER_hh_fec_in!L31=0,0,11630*1000*SER_hh_fec_in!L31/SER_hh_num_in!L31)</f>
        <v>29963.111715214876</v>
      </c>
      <c r="M31" s="133">
        <f>IF(SER_hh_fec_in!M31=0,0,11630*1000*SER_hh_fec_in!M31/SER_hh_num_in!M31)</f>
        <v>29987.501309180654</v>
      </c>
      <c r="N31" s="133">
        <f>IF(SER_hh_fec_in!N31=0,0,11630*1000*SER_hh_fec_in!N31/SER_hh_num_in!N31)</f>
        <v>30677.128955627148</v>
      </c>
      <c r="O31" s="133">
        <f>IF(SER_hh_fec_in!O31=0,0,11630*1000*SER_hh_fec_in!O31/SER_hh_num_in!O31)</f>
        <v>30240.097286869368</v>
      </c>
      <c r="P31" s="133">
        <f>IF(SER_hh_fec_in!P31=0,0,11630*1000*SER_hh_fec_in!P31/SER_hh_num_in!P31)</f>
        <v>28647.108104785111</v>
      </c>
      <c r="Q31" s="133">
        <f>IF(SER_hh_fec_in!Q31=0,0,11630*1000*SER_hh_fec_in!Q31/SER_hh_num_in!Q31)</f>
        <v>26803.635554825301</v>
      </c>
      <c r="R31" s="133">
        <f>IF(SER_hh_fec_in!R31=0,0,11630*1000*SER_hh_fec_in!R31/SER_hh_num_in!R31)</f>
        <v>31999.985148913092</v>
      </c>
      <c r="S31" s="133">
        <f>IF(SER_hh_fec_in!S31=0,0,11630*1000*SER_hh_fec_in!S31/SER_hh_num_in!S31)</f>
        <v>27884.257431540576</v>
      </c>
      <c r="T31" s="133">
        <f>IF(SER_hh_fec_in!T31=0,0,11630*1000*SER_hh_fec_in!T31/SER_hh_num_in!T31)</f>
        <v>27356.516513026785</v>
      </c>
      <c r="U31" s="133">
        <f>IF(SER_hh_fec_in!U31=0,0,11630*1000*SER_hh_fec_in!U31/SER_hh_num_in!U31)</f>
        <v>29150.441987210739</v>
      </c>
      <c r="V31" s="133">
        <f>IF(SER_hh_fec_in!V31=0,0,11630*1000*SER_hh_fec_in!V31/SER_hh_num_in!V31)</f>
        <v>26136.898076329941</v>
      </c>
      <c r="W31" s="133">
        <f>IF(SER_hh_fec_in!W31=0,0,11630*1000*SER_hh_fec_in!W31/SER_hh_num_in!W31)</f>
        <v>24319.815716997469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23314.401412386171</v>
      </c>
      <c r="D33" s="68">
        <f>IF(SER_hh_fec_in!D33=0,0,11630*1000*SER_hh_fec_in!D33/SER_hh_num_in!D33)</f>
        <v>22369.16337110876</v>
      </c>
      <c r="E33" s="68">
        <f>IF(SER_hh_fec_in!E33=0,0,11630*1000*SER_hh_fec_in!E33/SER_hh_num_in!E33)</f>
        <v>22724.290350693627</v>
      </c>
      <c r="F33" s="68">
        <f>IF(SER_hh_fec_in!F33=0,0,11630*1000*SER_hh_fec_in!F33/SER_hh_num_in!F33)</f>
        <v>22112.85787427281</v>
      </c>
      <c r="G33" s="68">
        <f>IF(SER_hh_fec_in!G33=0,0,11630*1000*SER_hh_fec_in!G33/SER_hh_num_in!G33)</f>
        <v>22567.662002123107</v>
      </c>
      <c r="H33" s="68">
        <f>IF(SER_hh_fec_in!H33=0,0,11630*1000*SER_hh_fec_in!H33/SER_hh_num_in!H33)</f>
        <v>21796.713777067507</v>
      </c>
      <c r="I33" s="68">
        <f>IF(SER_hh_fec_in!I33=0,0,11630*1000*SER_hh_fec_in!I33/SER_hh_num_in!I33)</f>
        <v>21524.401325430172</v>
      </c>
      <c r="J33" s="68">
        <f>IF(SER_hh_fec_in!J33=0,0,11630*1000*SER_hh_fec_in!J33/SER_hh_num_in!J33)</f>
        <v>22212.601500840465</v>
      </c>
      <c r="K33" s="68">
        <f>IF(SER_hh_fec_in!K33=0,0,11630*1000*SER_hh_fec_in!K33/SER_hh_num_in!K33)</f>
        <v>23125.523213527122</v>
      </c>
      <c r="L33" s="68">
        <f>IF(SER_hh_fec_in!L33=0,0,11630*1000*SER_hh_fec_in!L33/SER_hh_num_in!L33)</f>
        <v>23127.287840734494</v>
      </c>
      <c r="M33" s="68">
        <f>IF(SER_hh_fec_in!M33=0,0,11630*1000*SER_hh_fec_in!M33/SER_hh_num_in!M33)</f>
        <v>22858.323153083697</v>
      </c>
      <c r="N33" s="68">
        <f>IF(SER_hh_fec_in!N33=0,0,11630*1000*SER_hh_fec_in!N33/SER_hh_num_in!N33)</f>
        <v>22512.81411712963</v>
      </c>
      <c r="O33" s="68">
        <f>IF(SER_hh_fec_in!O33=0,0,11630*1000*SER_hh_fec_in!O33/SER_hh_num_in!O33)</f>
        <v>22649.006989412865</v>
      </c>
      <c r="P33" s="68">
        <f>IF(SER_hh_fec_in!P33=0,0,11630*1000*SER_hh_fec_in!P33/SER_hh_num_in!P33)</f>
        <v>22360.148982456638</v>
      </c>
      <c r="Q33" s="68">
        <f>IF(SER_hh_fec_in!Q33=0,0,11630*1000*SER_hh_fec_in!Q33/SER_hh_num_in!Q33)</f>
        <v>22069.029578894846</v>
      </c>
      <c r="R33" s="68">
        <f>IF(SER_hh_fec_in!R33=0,0,11630*1000*SER_hh_fec_in!R33/SER_hh_num_in!R33)</f>
        <v>20849.521378619225</v>
      </c>
      <c r="S33" s="68">
        <f>IF(SER_hh_fec_in!S33=0,0,11630*1000*SER_hh_fec_in!S33/SER_hh_num_in!S33)</f>
        <v>20052.369346579944</v>
      </c>
      <c r="T33" s="68">
        <f>IF(SER_hh_fec_in!T33=0,0,11630*1000*SER_hh_fec_in!T33/SER_hh_num_in!T33)</f>
        <v>20734.489871469345</v>
      </c>
      <c r="U33" s="68">
        <f>IF(SER_hh_fec_in!U33=0,0,11630*1000*SER_hh_fec_in!U33/SER_hh_num_in!U33)</f>
        <v>19245.506209096351</v>
      </c>
      <c r="V33" s="68">
        <f>IF(SER_hh_fec_in!V33=0,0,11630*1000*SER_hh_fec_in!V33/SER_hh_num_in!V33)</f>
        <v>17232.353764531603</v>
      </c>
      <c r="W33" s="68">
        <f>IF(SER_hh_fec_in!W33=0,0,11630*1000*SER_hh_fec_in!W33/SER_hh_num_in!W33)</f>
        <v>19136.591277333358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131813.0733197782</v>
      </c>
      <c r="D3" s="126">
        <f>IF(SER_hh_tes_in!D3=0,0,11630*1000*SER_hh_tes_in!D3/SER_hh_num_in!D3)</f>
        <v>119755.88406838663</v>
      </c>
      <c r="E3" s="126">
        <f>IF(SER_hh_tes_in!E3=0,0,11630*1000*SER_hh_tes_in!E3/SER_hh_num_in!E3)</f>
        <v>152865.49166803833</v>
      </c>
      <c r="F3" s="126">
        <f>IF(SER_hh_tes_in!F3=0,0,11630*1000*SER_hh_tes_in!F3/SER_hh_num_in!F3)</f>
        <v>154190.12816508982</v>
      </c>
      <c r="G3" s="126">
        <f>IF(SER_hh_tes_in!G3=0,0,11630*1000*SER_hh_tes_in!G3/SER_hh_num_in!G3)</f>
        <v>149248.91954100528</v>
      </c>
      <c r="H3" s="126">
        <f>IF(SER_hh_tes_in!H3=0,0,11630*1000*SER_hh_tes_in!H3/SER_hh_num_in!H3)</f>
        <v>138366.26277389532</v>
      </c>
      <c r="I3" s="126">
        <f>IF(SER_hh_tes_in!I3=0,0,11630*1000*SER_hh_tes_in!I3/SER_hh_num_in!I3)</f>
        <v>136535.03732691464</v>
      </c>
      <c r="J3" s="126">
        <f>IF(SER_hh_tes_in!J3=0,0,11630*1000*SER_hh_tes_in!J3/SER_hh_num_in!J3)</f>
        <v>166134.97494337303</v>
      </c>
      <c r="K3" s="126">
        <f>IF(SER_hh_tes_in!K3=0,0,11630*1000*SER_hh_tes_in!K3/SER_hh_num_in!K3)</f>
        <v>159280.26198867845</v>
      </c>
      <c r="L3" s="126">
        <f>IF(SER_hh_tes_in!L3=0,0,11630*1000*SER_hh_tes_in!L3/SER_hh_num_in!L3)</f>
        <v>157623.33242217993</v>
      </c>
      <c r="M3" s="126">
        <f>IF(SER_hh_tes_in!M3=0,0,11630*1000*SER_hh_tes_in!M3/SER_hh_num_in!M3)</f>
        <v>131889.92984423201</v>
      </c>
      <c r="N3" s="126">
        <f>IF(SER_hh_tes_in!N3=0,0,11630*1000*SER_hh_tes_in!N3/SER_hh_num_in!N3)</f>
        <v>133521.1410475873</v>
      </c>
      <c r="O3" s="126">
        <f>IF(SER_hh_tes_in!O3=0,0,11630*1000*SER_hh_tes_in!O3/SER_hh_num_in!O3)</f>
        <v>136430.42981630014</v>
      </c>
      <c r="P3" s="126">
        <f>IF(SER_hh_tes_in!P3=0,0,11630*1000*SER_hh_tes_in!P3/SER_hh_num_in!P3)</f>
        <v>146081.63509959867</v>
      </c>
      <c r="Q3" s="126">
        <f>IF(SER_hh_tes_in!Q3=0,0,11630*1000*SER_hh_tes_in!Q3/SER_hh_num_in!Q3)</f>
        <v>130227.82484370162</v>
      </c>
      <c r="R3" s="126">
        <f>IF(SER_hh_tes_in!R3=0,0,11630*1000*SER_hh_tes_in!R3/SER_hh_num_in!R3)</f>
        <v>141963.6599456431</v>
      </c>
      <c r="S3" s="126">
        <f>IF(SER_hh_tes_in!S3=0,0,11630*1000*SER_hh_tes_in!S3/SER_hh_num_in!S3)</f>
        <v>120815.34365123352</v>
      </c>
      <c r="T3" s="126">
        <f>IF(SER_hh_tes_in!T3=0,0,11630*1000*SER_hh_tes_in!T3/SER_hh_num_in!T3)</f>
        <v>124368.51823065407</v>
      </c>
      <c r="U3" s="126">
        <f>IF(SER_hh_tes_in!U3=0,0,11630*1000*SER_hh_tes_in!U3/SER_hh_num_in!U3)</f>
        <v>112147.71989358835</v>
      </c>
      <c r="V3" s="126">
        <f>IF(SER_hh_tes_in!V3=0,0,11630*1000*SER_hh_tes_in!V3/SER_hh_num_in!V3)</f>
        <v>101687.55305923145</v>
      </c>
      <c r="W3" s="126">
        <f>IF(SER_hh_tes_in!W3=0,0,11630*1000*SER_hh_tes_in!W3/SER_hh_num_in!W3)</f>
        <v>104072.03203032169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93644.807828573699</v>
      </c>
      <c r="D4" s="131">
        <f>IF(SER_hh_tes_in!D4=0,0,11630*1000*SER_hh_tes_in!D4/SER_hh_num_in!D4)</f>
        <v>82606.99088659379</v>
      </c>
      <c r="E4" s="131">
        <f>IF(SER_hh_tes_in!E4=0,0,11630*1000*SER_hh_tes_in!E4/SER_hh_num_in!E4)</f>
        <v>116517.61455523405</v>
      </c>
      <c r="F4" s="131">
        <f>IF(SER_hh_tes_in!F4=0,0,11630*1000*SER_hh_tes_in!F4/SER_hh_num_in!F4)</f>
        <v>116927.83925328618</v>
      </c>
      <c r="G4" s="131">
        <f>IF(SER_hh_tes_in!G4=0,0,11630*1000*SER_hh_tes_in!G4/SER_hh_num_in!G4)</f>
        <v>113877.51425343276</v>
      </c>
      <c r="H4" s="131">
        <f>IF(SER_hh_tes_in!H4=0,0,11630*1000*SER_hh_tes_in!H4/SER_hh_num_in!H4)</f>
        <v>103884.28702314803</v>
      </c>
      <c r="I4" s="131">
        <f>IF(SER_hh_tes_in!I4=0,0,11630*1000*SER_hh_tes_in!I4/SER_hh_num_in!I4)</f>
        <v>101590.335562123</v>
      </c>
      <c r="J4" s="131">
        <f>IF(SER_hh_tes_in!J4=0,0,11630*1000*SER_hh_tes_in!J4/SER_hh_num_in!J4)</f>
        <v>116013.06780676877</v>
      </c>
      <c r="K4" s="131">
        <f>IF(SER_hh_tes_in!K4=0,0,11630*1000*SER_hh_tes_in!K4/SER_hh_num_in!K4)</f>
        <v>108698.46805424771</v>
      </c>
      <c r="L4" s="131">
        <f>IF(SER_hh_tes_in!L4=0,0,11630*1000*SER_hh_tes_in!L4/SER_hh_num_in!L4)</f>
        <v>104167.96195430128</v>
      </c>
      <c r="M4" s="131">
        <f>IF(SER_hh_tes_in!M4=0,0,11630*1000*SER_hh_tes_in!M4/SER_hh_num_in!M4)</f>
        <v>93273.297578910264</v>
      </c>
      <c r="N4" s="131">
        <f>IF(SER_hh_tes_in!N4=0,0,11630*1000*SER_hh_tes_in!N4/SER_hh_num_in!N4)</f>
        <v>93063.95042773262</v>
      </c>
      <c r="O4" s="131">
        <f>IF(SER_hh_tes_in!O4=0,0,11630*1000*SER_hh_tes_in!O4/SER_hh_num_in!O4)</f>
        <v>86242.400082164357</v>
      </c>
      <c r="P4" s="131">
        <f>IF(SER_hh_tes_in!P4=0,0,11630*1000*SER_hh_tes_in!P4/SER_hh_num_in!P4)</f>
        <v>101225.61533853579</v>
      </c>
      <c r="Q4" s="131">
        <f>IF(SER_hh_tes_in!Q4=0,0,11630*1000*SER_hh_tes_in!Q4/SER_hh_num_in!Q4)</f>
        <v>90920.040206261721</v>
      </c>
      <c r="R4" s="131">
        <f>IF(SER_hh_tes_in!R4=0,0,11630*1000*SER_hh_tes_in!R4/SER_hh_num_in!R4)</f>
        <v>98068.8992264439</v>
      </c>
      <c r="S4" s="131">
        <f>IF(SER_hh_tes_in!S4=0,0,11630*1000*SER_hh_tes_in!S4/SER_hh_num_in!S4)</f>
        <v>81565.504452989684</v>
      </c>
      <c r="T4" s="131">
        <f>IF(SER_hh_tes_in!T4=0,0,11630*1000*SER_hh_tes_in!T4/SER_hh_num_in!T4)</f>
        <v>81278.632613045644</v>
      </c>
      <c r="U4" s="131">
        <f>IF(SER_hh_tes_in!U4=0,0,11630*1000*SER_hh_tes_in!U4/SER_hh_num_in!U4)</f>
        <v>69459.043404768745</v>
      </c>
      <c r="V4" s="131">
        <f>IF(SER_hh_tes_in!V4=0,0,11630*1000*SER_hh_tes_in!V4/SER_hh_num_in!V4)</f>
        <v>64859.889149473856</v>
      </c>
      <c r="W4" s="131">
        <f>IF(SER_hh_tes_in!W4=0,0,11630*1000*SER_hh_tes_in!W4/SER_hh_num_in!W4)</f>
        <v>57817.807190763961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105250.85447466171</v>
      </c>
      <c r="D5" s="133">
        <f>IF(SER_hh_tes_in!D5=0,0,11630*1000*SER_hh_tes_in!D5/SER_hh_num_in!D5)</f>
        <v>91330.908326146688</v>
      </c>
      <c r="E5" s="133">
        <f>IF(SER_hh_tes_in!E5=0,0,11630*1000*SER_hh_tes_in!E5/SER_hh_num_in!E5)</f>
        <v>99900.869250711272</v>
      </c>
      <c r="F5" s="133">
        <f>IF(SER_hh_tes_in!F5=0,0,11630*1000*SER_hh_tes_in!F5/SER_hh_num_in!F5)</f>
        <v>0</v>
      </c>
      <c r="G5" s="133">
        <f>IF(SER_hh_tes_in!G5=0,0,11630*1000*SER_hh_tes_in!G5/SER_hh_num_in!G5)</f>
        <v>127597.70074285564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71941.484854256181</v>
      </c>
      <c r="N5" s="133">
        <f>IF(SER_hh_tes_in!N5=0,0,11630*1000*SER_hh_tes_in!N5/SER_hh_num_in!N5)</f>
        <v>83120.018222207786</v>
      </c>
      <c r="O5" s="133">
        <f>IF(SER_hh_tes_in!O5=0,0,11630*1000*SER_hh_tes_in!O5/SER_hh_num_in!O5)</f>
        <v>130227.3211718752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64462.369178756111</v>
      </c>
      <c r="W5" s="133">
        <f>IF(SER_hh_tes_in!W5=0,0,11630*1000*SER_hh_tes_in!W5/SER_hh_num_in!W5)</f>
        <v>53935.695099300821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109087.75361338437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94973.13835183029</v>
      </c>
      <c r="I7" s="133">
        <f>IF(SER_hh_tes_in!I7=0,0,11630*1000*SER_hh_tes_in!I7/SER_hh_num_in!I7)</f>
        <v>104578.3999439457</v>
      </c>
      <c r="J7" s="133">
        <f>IF(SER_hh_tes_in!J7=0,0,11630*1000*SER_hh_tes_in!J7/SER_hh_num_in!J7)</f>
        <v>108935.98215581129</v>
      </c>
      <c r="K7" s="133">
        <f>IF(SER_hh_tes_in!K7=0,0,11630*1000*SER_hh_tes_in!K7/SER_hh_num_in!K7)</f>
        <v>99595.671688736707</v>
      </c>
      <c r="L7" s="133">
        <f>IF(SER_hh_tes_in!L7=0,0,11630*1000*SER_hh_tes_in!L7/SER_hh_num_in!L7)</f>
        <v>79316.757952401225</v>
      </c>
      <c r="M7" s="133">
        <f>IF(SER_hh_tes_in!M7=0,0,11630*1000*SER_hh_tes_in!M7/SER_hh_num_in!M7)</f>
        <v>101978.59853186017</v>
      </c>
      <c r="N7" s="133">
        <f>IF(SER_hh_tes_in!N7=0,0,11630*1000*SER_hh_tes_in!N7/SER_hh_num_in!N7)</f>
        <v>101146.13303488912</v>
      </c>
      <c r="O7" s="133">
        <f>IF(SER_hh_tes_in!O7=0,0,11630*1000*SER_hh_tes_in!O7/SER_hh_num_in!O7)</f>
        <v>94240.956881978491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0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54455.994220042856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96236.985191901957</v>
      </c>
      <c r="D9" s="133">
        <f>IF(SER_hh_tes_in!D9=0,0,11630*1000*SER_hh_tes_in!D9/SER_hh_num_in!D9)</f>
        <v>68822.066802829635</v>
      </c>
      <c r="E9" s="133">
        <f>IF(SER_hh_tes_in!E9=0,0,11630*1000*SER_hh_tes_in!E9/SER_hh_num_in!E9)</f>
        <v>136901.63824658122</v>
      </c>
      <c r="F9" s="133">
        <f>IF(SER_hh_tes_in!F9=0,0,11630*1000*SER_hh_tes_in!F9/SER_hh_num_in!F9)</f>
        <v>119370.67743652125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0</v>
      </c>
      <c r="L9" s="133">
        <f>IF(SER_hh_tes_in!L9=0,0,11630*1000*SER_hh_tes_in!L9/SER_hh_num_in!L9)</f>
        <v>0</v>
      </c>
      <c r="M9" s="133">
        <f>IF(SER_hh_tes_in!M9=0,0,11630*1000*SER_hh_tes_in!M9/SER_hh_num_in!M9)</f>
        <v>86814.120315222346</v>
      </c>
      <c r="N9" s="133">
        <f>IF(SER_hh_tes_in!N9=0,0,11630*1000*SER_hh_tes_in!N9/SER_hh_num_in!N9)</f>
        <v>80213.662865974111</v>
      </c>
      <c r="O9" s="133">
        <f>IF(SER_hh_tes_in!O9=0,0,11630*1000*SER_hh_tes_in!O9/SER_hh_num_in!O9)</f>
        <v>81265.60083027264</v>
      </c>
      <c r="P9" s="133">
        <f>IF(SER_hh_tes_in!P9=0,0,11630*1000*SER_hh_tes_in!P9/SER_hh_num_in!P9)</f>
        <v>101801.70875327646</v>
      </c>
      <c r="Q9" s="133">
        <f>IF(SER_hh_tes_in!Q9=0,0,11630*1000*SER_hh_tes_in!Q9/SER_hh_num_in!Q9)</f>
        <v>92890.989360162494</v>
      </c>
      <c r="R9" s="133">
        <f>IF(SER_hh_tes_in!R9=0,0,11630*1000*SER_hh_tes_in!R9/SER_hh_num_in!R9)</f>
        <v>100142.74424033018</v>
      </c>
      <c r="S9" s="133">
        <f>IF(SER_hh_tes_in!S9=0,0,11630*1000*SER_hh_tes_in!S9/SER_hh_num_in!S9)</f>
        <v>80322.230332451931</v>
      </c>
      <c r="T9" s="133">
        <f>IF(SER_hh_tes_in!T9=0,0,11630*1000*SER_hh_tes_in!T9/SER_hh_num_in!T9)</f>
        <v>80486.841836227599</v>
      </c>
      <c r="U9" s="133">
        <f>IF(SER_hh_tes_in!U9=0,0,11630*1000*SER_hh_tes_in!U9/SER_hh_num_in!U9)</f>
        <v>69096.692947206699</v>
      </c>
      <c r="V9" s="133">
        <f>IF(SER_hh_tes_in!V9=0,0,11630*1000*SER_hh_tes_in!V9/SER_hh_num_in!V9)</f>
        <v>64040.043675063185</v>
      </c>
      <c r="W9" s="133">
        <f>IF(SER_hh_tes_in!W9=0,0,11630*1000*SER_hh_tes_in!W9/SER_hh_num_in!W9)</f>
        <v>57177.737377679121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99986.061354496298</v>
      </c>
      <c r="D10" s="133">
        <f>IF(SER_hh_tes_in!D10=0,0,11630*1000*SER_hh_tes_in!D10/SER_hh_num_in!D10)</f>
        <v>88670.112930436895</v>
      </c>
      <c r="E10" s="133">
        <f>IF(SER_hh_tes_in!E10=0,0,11630*1000*SER_hh_tes_in!E10/SER_hh_num_in!E10)</f>
        <v>85843.741224379875</v>
      </c>
      <c r="F10" s="133">
        <f>IF(SER_hh_tes_in!F10=0,0,11630*1000*SER_hh_tes_in!F10/SER_hh_num_in!F10)</f>
        <v>150115.62603414725</v>
      </c>
      <c r="G10" s="133">
        <f>IF(SER_hh_tes_in!G10=0,0,11630*1000*SER_hh_tes_in!G10/SER_hh_num_in!G10)</f>
        <v>93947.752906339359</v>
      </c>
      <c r="H10" s="133">
        <f>IF(SER_hh_tes_in!H10=0,0,11630*1000*SER_hh_tes_in!H10/SER_hh_num_in!H10)</f>
        <v>106270.23274299192</v>
      </c>
      <c r="I10" s="133">
        <f>IF(SER_hh_tes_in!I10=0,0,11630*1000*SER_hh_tes_in!I10/SER_hh_num_in!I10)</f>
        <v>112021.22420190243</v>
      </c>
      <c r="J10" s="133">
        <f>IF(SER_hh_tes_in!J10=0,0,11630*1000*SER_hh_tes_in!J10/SER_hh_num_in!J10)</f>
        <v>118016.4857073262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104041.81017729863</v>
      </c>
      <c r="M10" s="133">
        <f>IF(SER_hh_tes_in!M10=0,0,11630*1000*SER_hh_tes_in!M10/SER_hh_num_in!M10)</f>
        <v>111245.5722114902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0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0</v>
      </c>
      <c r="R10" s="133">
        <f>IF(SER_hh_tes_in!R10=0,0,11630*1000*SER_hh_tes_in!R10/SER_hh_num_in!R10)</f>
        <v>83972.215136133382</v>
      </c>
      <c r="S10" s="133">
        <f>IF(SER_hh_tes_in!S10=0,0,11630*1000*SER_hh_tes_in!S10/SER_hh_num_in!S10)</f>
        <v>85780.980107610434</v>
      </c>
      <c r="T10" s="133">
        <f>IF(SER_hh_tes_in!T10=0,0,11630*1000*SER_hh_tes_in!T10/SER_hh_num_in!T10)</f>
        <v>70454.587165498495</v>
      </c>
      <c r="U10" s="133">
        <f>IF(SER_hh_tes_in!U10=0,0,11630*1000*SER_hh_tes_in!U10/SER_hh_num_in!U10)</f>
        <v>70559.440203764752</v>
      </c>
      <c r="V10" s="133">
        <f>IF(SER_hh_tes_in!V10=0,0,11630*1000*SER_hh_tes_in!V10/SER_hh_num_in!V10)</f>
        <v>77013.664258207165</v>
      </c>
      <c r="W10" s="133">
        <f>IF(SER_hh_tes_in!W10=0,0,11630*1000*SER_hh_tes_in!W10/SER_hh_num_in!W10)</f>
        <v>55015.222987513829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78062.800276354901</v>
      </c>
      <c r="D12" s="133">
        <f>IF(SER_hh_tes_in!D12=0,0,11630*1000*SER_hh_tes_in!D12/SER_hh_num_in!D12)</f>
        <v>94345.049934521492</v>
      </c>
      <c r="E12" s="133">
        <f>IF(SER_hh_tes_in!E12=0,0,11630*1000*SER_hh_tes_in!E12/SER_hh_num_in!E12)</f>
        <v>92437.440349863231</v>
      </c>
      <c r="F12" s="133">
        <f>IF(SER_hh_tes_in!F12=0,0,11630*1000*SER_hh_tes_in!F12/SER_hh_num_in!F12)</f>
        <v>112262.02343897737</v>
      </c>
      <c r="G12" s="133">
        <f>IF(SER_hh_tes_in!G12=0,0,11630*1000*SER_hh_tes_in!G12/SER_hh_num_in!G12)</f>
        <v>120961.74578274309</v>
      </c>
      <c r="H12" s="133">
        <f>IF(SER_hh_tes_in!H12=0,0,11630*1000*SER_hh_tes_in!H12/SER_hh_num_in!H12)</f>
        <v>101709.97222517009</v>
      </c>
      <c r="I12" s="133">
        <f>IF(SER_hh_tes_in!I12=0,0,11630*1000*SER_hh_tes_in!I12/SER_hh_num_in!I12)</f>
        <v>93883.038722846439</v>
      </c>
      <c r="J12" s="133">
        <f>IF(SER_hh_tes_in!J12=0,0,11630*1000*SER_hh_tes_in!J12/SER_hh_num_in!J12)</f>
        <v>113597.38884802915</v>
      </c>
      <c r="K12" s="133">
        <f>IF(SER_hh_tes_in!K12=0,0,11630*1000*SER_hh_tes_in!K12/SER_hh_num_in!K12)</f>
        <v>109207.69574889494</v>
      </c>
      <c r="L12" s="133">
        <f>IF(SER_hh_tes_in!L12=0,0,11630*1000*SER_hh_tes_in!L12/SER_hh_num_in!L12)</f>
        <v>113352.43842266299</v>
      </c>
      <c r="M12" s="133">
        <f>IF(SER_hh_tes_in!M12=0,0,11630*1000*SER_hh_tes_in!M12/SER_hh_num_in!M12)</f>
        <v>86138.483719746684</v>
      </c>
      <c r="N12" s="133">
        <f>IF(SER_hh_tes_in!N12=0,0,11630*1000*SER_hh_tes_in!N12/SER_hh_num_in!N12)</f>
        <v>94898.859613803521</v>
      </c>
      <c r="O12" s="133">
        <f>IF(SER_hh_tes_in!O12=0,0,11630*1000*SER_hh_tes_in!O12/SER_hh_num_in!O12)</f>
        <v>86781.906385344962</v>
      </c>
      <c r="P12" s="133">
        <f>IF(SER_hh_tes_in!P12=0,0,11630*1000*SER_hh_tes_in!P12/SER_hh_num_in!P12)</f>
        <v>91873.979685943807</v>
      </c>
      <c r="Q12" s="133">
        <f>IF(SER_hh_tes_in!Q12=0,0,11630*1000*SER_hh_tes_in!Q12/SER_hh_num_in!Q12)</f>
        <v>87402.425248794068</v>
      </c>
      <c r="R12" s="133">
        <f>IF(SER_hh_tes_in!R12=0,0,11630*1000*SER_hh_tes_in!R12/SER_hh_num_in!R12)</f>
        <v>93444.119132058302</v>
      </c>
      <c r="S12" s="133">
        <f>IF(SER_hh_tes_in!S12=0,0,11630*1000*SER_hh_tes_in!S12/SER_hh_num_in!S12)</f>
        <v>84411.955109151138</v>
      </c>
      <c r="T12" s="133">
        <f>IF(SER_hh_tes_in!T12=0,0,11630*1000*SER_hh_tes_in!T12/SER_hh_num_in!T12)</f>
        <v>81912.818207409218</v>
      </c>
      <c r="U12" s="133">
        <f>IF(SER_hh_tes_in!U12=0,0,11630*1000*SER_hh_tes_in!U12/SER_hh_num_in!U12)</f>
        <v>64696.048008571939</v>
      </c>
      <c r="V12" s="133">
        <f>IF(SER_hh_tes_in!V12=0,0,11630*1000*SER_hh_tes_in!V12/SER_hh_num_in!V12)</f>
        <v>64974.029676466904</v>
      </c>
      <c r="W12" s="133">
        <f>IF(SER_hh_tes_in!W12=0,0,11630*1000*SER_hh_tes_in!W12/SER_hh_num_in!W12)</f>
        <v>56921.966506324061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92147.63739065094</v>
      </c>
      <c r="D14" s="65">
        <f>IF(SER_hh_tes_in!D14=0,0,11630*1000*SER_hh_tes_in!D14/SER_hh_num_in!D14)</f>
        <v>99294.259220712731</v>
      </c>
      <c r="E14" s="65">
        <f>IF(SER_hh_tes_in!E14=0,0,11630*1000*SER_hh_tes_in!E14/SER_hh_num_in!E14)</f>
        <v>94475.967614888723</v>
      </c>
      <c r="F14" s="65">
        <f>IF(SER_hh_tes_in!F14=0,0,11630*1000*SER_hh_tes_in!F14/SER_hh_num_in!F14)</f>
        <v>112620.8094398618</v>
      </c>
      <c r="G14" s="65">
        <f>IF(SER_hh_tes_in!G14=0,0,11630*1000*SER_hh_tes_in!G14/SER_hh_num_in!G14)</f>
        <v>100653.79203289033</v>
      </c>
      <c r="H14" s="65">
        <f>IF(SER_hh_tes_in!H14=0,0,11630*1000*SER_hh_tes_in!H14/SER_hh_num_in!H14)</f>
        <v>106030.64775509467</v>
      </c>
      <c r="I14" s="65">
        <f>IF(SER_hh_tes_in!I14=0,0,11630*1000*SER_hh_tes_in!I14/SER_hh_num_in!I14)</f>
        <v>108062.28331042368</v>
      </c>
      <c r="J14" s="65">
        <f>IF(SER_hh_tes_in!J14=0,0,11630*1000*SER_hh_tes_in!J14/SER_hh_num_in!J14)</f>
        <v>118754.35289246554</v>
      </c>
      <c r="K14" s="65">
        <f>IF(SER_hh_tes_in!K14=0,0,11630*1000*SER_hh_tes_in!K14/SER_hh_num_in!K14)</f>
        <v>113556.90491085898</v>
      </c>
      <c r="L14" s="65">
        <f>IF(SER_hh_tes_in!L14=0,0,11630*1000*SER_hh_tes_in!L14/SER_hh_num_in!L14)</f>
        <v>103887.0905162233</v>
      </c>
      <c r="M14" s="65">
        <f>IF(SER_hh_tes_in!M14=0,0,11630*1000*SER_hh_tes_in!M14/SER_hh_num_in!M14)</f>
        <v>83118.933252052797</v>
      </c>
      <c r="N14" s="65">
        <f>IF(SER_hh_tes_in!N14=0,0,11630*1000*SER_hh_tes_in!N14/SER_hh_num_in!N14)</f>
        <v>94938.129579712666</v>
      </c>
      <c r="O14" s="65">
        <f>IF(SER_hh_tes_in!O14=0,0,11630*1000*SER_hh_tes_in!O14/SER_hh_num_in!O14)</f>
        <v>84301.671704778375</v>
      </c>
      <c r="P14" s="65">
        <f>IF(SER_hh_tes_in!P14=0,0,11630*1000*SER_hh_tes_in!P14/SER_hh_num_in!P14)</f>
        <v>98888.260568416721</v>
      </c>
      <c r="Q14" s="65">
        <f>IF(SER_hh_tes_in!Q14=0,0,11630*1000*SER_hh_tes_in!Q14/SER_hh_num_in!Q14)</f>
        <v>89870.259885023435</v>
      </c>
      <c r="R14" s="65">
        <f>IF(SER_hh_tes_in!R14=0,0,11630*1000*SER_hh_tes_in!R14/SER_hh_num_in!R14)</f>
        <v>100227.60918868364</v>
      </c>
      <c r="S14" s="65">
        <f>IF(SER_hh_tes_in!S14=0,0,11630*1000*SER_hh_tes_in!S14/SER_hh_num_in!S14)</f>
        <v>72965.32666488846</v>
      </c>
      <c r="T14" s="65">
        <f>IF(SER_hh_tes_in!T14=0,0,11630*1000*SER_hh_tes_in!T14/SER_hh_num_in!T14)</f>
        <v>81482.907774153704</v>
      </c>
      <c r="U14" s="65">
        <f>IF(SER_hh_tes_in!U14=0,0,11630*1000*SER_hh_tes_in!U14/SER_hh_num_in!U14)</f>
        <v>72501.310682680429</v>
      </c>
      <c r="V14" s="65">
        <f>IF(SER_hh_tes_in!V14=0,0,11630*1000*SER_hh_tes_in!V14/SER_hh_num_in!V14)</f>
        <v>62998.219891979883</v>
      </c>
      <c r="W14" s="65">
        <f>IF(SER_hh_tes_in!W14=0,0,11630*1000*SER_hh_tes_in!W14/SER_hh_num_in!W14)</f>
        <v>59181.973836167148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1282.8476545800552</v>
      </c>
      <c r="D15" s="135">
        <f>IF(SER_hh_tes_in!D15=0,0,11630*1000*SER_hh_tes_in!D15/SER_hh_num_in!D15)</f>
        <v>1044.7016477264963</v>
      </c>
      <c r="E15" s="135">
        <f>IF(SER_hh_tes_in!E15=0,0,11630*1000*SER_hh_tes_in!E15/SER_hh_num_in!E15)</f>
        <v>1713.5804297702728</v>
      </c>
      <c r="F15" s="135">
        <f>IF(SER_hh_tes_in!F15=0,0,11630*1000*SER_hh_tes_in!F15/SER_hh_num_in!F15)</f>
        <v>819.05651665586879</v>
      </c>
      <c r="G15" s="135">
        <f>IF(SER_hh_tes_in!G15=0,0,11630*1000*SER_hh_tes_in!G15/SER_hh_num_in!G15)</f>
        <v>582.64309719737855</v>
      </c>
      <c r="H15" s="135">
        <f>IF(SER_hh_tes_in!H15=0,0,11630*1000*SER_hh_tes_in!H15/SER_hh_num_in!H15)</f>
        <v>538.338723604395</v>
      </c>
      <c r="I15" s="135">
        <f>IF(SER_hh_tes_in!I15=0,0,11630*1000*SER_hh_tes_in!I15/SER_hh_num_in!I15)</f>
        <v>687.14075706496442</v>
      </c>
      <c r="J15" s="135">
        <f>IF(SER_hh_tes_in!J15=0,0,11630*1000*SER_hh_tes_in!J15/SER_hh_num_in!J15)</f>
        <v>752.18481098228153</v>
      </c>
      <c r="K15" s="135">
        <f>IF(SER_hh_tes_in!K15=0,0,11630*1000*SER_hh_tes_in!K15/SER_hh_num_in!K15)</f>
        <v>815.90442606125328</v>
      </c>
      <c r="L15" s="135">
        <f>IF(SER_hh_tes_in!L15=0,0,11630*1000*SER_hh_tes_in!L15/SER_hh_num_in!L15)</f>
        <v>736.06222023932651</v>
      </c>
      <c r="M15" s="135">
        <f>IF(SER_hh_tes_in!M15=0,0,11630*1000*SER_hh_tes_in!M15/SER_hh_num_in!M15)</f>
        <v>1068.3959884540807</v>
      </c>
      <c r="N15" s="135">
        <f>IF(SER_hh_tes_in!N15=0,0,11630*1000*SER_hh_tes_in!N15/SER_hh_num_in!N15)</f>
        <v>1011.2744089160366</v>
      </c>
      <c r="O15" s="135">
        <f>IF(SER_hh_tes_in!O15=0,0,11630*1000*SER_hh_tes_in!O15/SER_hh_num_in!O15)</f>
        <v>1180.4180932021591</v>
      </c>
      <c r="P15" s="135">
        <f>IF(SER_hh_tes_in!P15=0,0,11630*1000*SER_hh_tes_in!P15/SER_hh_num_in!P15)</f>
        <v>1582.2536597136425</v>
      </c>
      <c r="Q15" s="135">
        <f>IF(SER_hh_tes_in!Q15=0,0,11630*1000*SER_hh_tes_in!Q15/SER_hh_num_in!Q15)</f>
        <v>953.19247072490396</v>
      </c>
      <c r="R15" s="135">
        <f>IF(SER_hh_tes_in!R15=0,0,11630*1000*SER_hh_tes_in!R15/SER_hh_num_in!R15)</f>
        <v>952.53447944841764</v>
      </c>
      <c r="S15" s="135">
        <f>IF(SER_hh_tes_in!S15=0,0,11630*1000*SER_hh_tes_in!S15/SER_hh_num_in!S15)</f>
        <v>632.27980534774383</v>
      </c>
      <c r="T15" s="135">
        <f>IF(SER_hh_tes_in!T15=0,0,11630*1000*SER_hh_tes_in!T15/SER_hh_num_in!T15)</f>
        <v>657.27415019057662</v>
      </c>
      <c r="U15" s="135">
        <f>IF(SER_hh_tes_in!U15=0,0,11630*1000*SER_hh_tes_in!U15/SER_hh_num_in!U15)</f>
        <v>526.06001067541945</v>
      </c>
      <c r="V15" s="135">
        <f>IF(SER_hh_tes_in!V15=0,0,11630*1000*SER_hh_tes_in!V15/SER_hh_num_in!V15)</f>
        <v>390.39208345399555</v>
      </c>
      <c r="W15" s="135">
        <f>IF(SER_hh_tes_in!W15=0,0,11630*1000*SER_hh_tes_in!W15/SER_hh_num_in!W15)</f>
        <v>330.10591449161672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20094.077789382452</v>
      </c>
      <c r="D16" s="131">
        <f>IF(SER_hh_tes_in!D16=0,0,11630*1000*SER_hh_tes_in!D16/SER_hh_num_in!D16)</f>
        <v>19922.11689991441</v>
      </c>
      <c r="E16" s="131">
        <f>IF(SER_hh_tes_in!E16=0,0,11630*1000*SER_hh_tes_in!E16/SER_hh_num_in!E16)</f>
        <v>20761.864955747846</v>
      </c>
      <c r="F16" s="131">
        <f>IF(SER_hh_tes_in!F16=0,0,11630*1000*SER_hh_tes_in!F16/SER_hh_num_in!F16)</f>
        <v>19652.272187507635</v>
      </c>
      <c r="G16" s="131">
        <f>IF(SER_hh_tes_in!G16=0,0,11630*1000*SER_hh_tes_in!G16/SER_hh_num_in!G16)</f>
        <v>19616.767541089121</v>
      </c>
      <c r="H16" s="131">
        <f>IF(SER_hh_tes_in!H16=0,0,11630*1000*SER_hh_tes_in!H16/SER_hh_num_in!H16)</f>
        <v>19879.85690237963</v>
      </c>
      <c r="I16" s="131">
        <f>IF(SER_hh_tes_in!I16=0,0,11630*1000*SER_hh_tes_in!I16/SER_hh_num_in!I16)</f>
        <v>19511.232720191263</v>
      </c>
      <c r="J16" s="131">
        <f>IF(SER_hh_tes_in!J16=0,0,11630*1000*SER_hh_tes_in!J16/SER_hh_num_in!J16)</f>
        <v>19408.16988283817</v>
      </c>
      <c r="K16" s="131">
        <f>IF(SER_hh_tes_in!K16=0,0,11630*1000*SER_hh_tes_in!K16/SER_hh_num_in!K16)</f>
        <v>19179.906944498267</v>
      </c>
      <c r="L16" s="131">
        <f>IF(SER_hh_tes_in!L16=0,0,11630*1000*SER_hh_tes_in!L16/SER_hh_num_in!L16)</f>
        <v>22162.325371912491</v>
      </c>
      <c r="M16" s="131">
        <f>IF(SER_hh_tes_in!M16=0,0,11630*1000*SER_hh_tes_in!M16/SER_hh_num_in!M16)</f>
        <v>20061.429608998042</v>
      </c>
      <c r="N16" s="131">
        <f>IF(SER_hh_tes_in!N16=0,0,11630*1000*SER_hh_tes_in!N16/SER_hh_num_in!N16)</f>
        <v>19141.418089394931</v>
      </c>
      <c r="O16" s="131">
        <f>IF(SER_hh_tes_in!O16=0,0,11630*1000*SER_hh_tes_in!O16/SER_hh_num_in!O16)</f>
        <v>18861.800206656615</v>
      </c>
      <c r="P16" s="131">
        <f>IF(SER_hh_tes_in!P16=0,0,11630*1000*SER_hh_tes_in!P16/SER_hh_num_in!P16)</f>
        <v>19114.339313510289</v>
      </c>
      <c r="Q16" s="131">
        <f>IF(SER_hh_tes_in!Q16=0,0,11630*1000*SER_hh_tes_in!Q16/SER_hh_num_in!Q16)</f>
        <v>18622.046238415842</v>
      </c>
      <c r="R16" s="131">
        <f>IF(SER_hh_tes_in!R16=0,0,11630*1000*SER_hh_tes_in!R16/SER_hh_num_in!R16)</f>
        <v>18727.176951276451</v>
      </c>
      <c r="S16" s="131">
        <f>IF(SER_hh_tes_in!S16=0,0,11630*1000*SER_hh_tes_in!S16/SER_hh_num_in!S16)</f>
        <v>18538.606492353039</v>
      </c>
      <c r="T16" s="131">
        <f>IF(SER_hh_tes_in!T16=0,0,11630*1000*SER_hh_tes_in!T16/SER_hh_num_in!T16)</f>
        <v>19563.61923503588</v>
      </c>
      <c r="U16" s="131">
        <f>IF(SER_hh_tes_in!U16=0,0,11630*1000*SER_hh_tes_in!U16/SER_hh_num_in!U16)</f>
        <v>17935.072217419005</v>
      </c>
      <c r="V16" s="131">
        <f>IF(SER_hh_tes_in!V16=0,0,11630*1000*SER_hh_tes_in!V16/SER_hh_num_in!V16)</f>
        <v>17420.592133085287</v>
      </c>
      <c r="W16" s="131">
        <f>IF(SER_hh_tes_in!W16=0,0,11630*1000*SER_hh_tes_in!W16/SER_hh_num_in!W16)</f>
        <v>18160.961849347299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20094.077789382452</v>
      </c>
      <c r="D18" s="133">
        <f>IF(SER_hh_tes_in!D18=0,0,11630*1000*SER_hh_tes_in!D18/SER_hh_num_in!D18)</f>
        <v>19922.11689991441</v>
      </c>
      <c r="E18" s="133">
        <f>IF(SER_hh_tes_in!E18=0,0,11630*1000*SER_hh_tes_in!E18/SER_hh_num_in!E18)</f>
        <v>20761.864955747846</v>
      </c>
      <c r="F18" s="133">
        <f>IF(SER_hh_tes_in!F18=0,0,11630*1000*SER_hh_tes_in!F18/SER_hh_num_in!F18)</f>
        <v>19652.272187507635</v>
      </c>
      <c r="G18" s="133">
        <f>IF(SER_hh_tes_in!G18=0,0,11630*1000*SER_hh_tes_in!G18/SER_hh_num_in!G18)</f>
        <v>19616.767541089121</v>
      </c>
      <c r="H18" s="133">
        <f>IF(SER_hh_tes_in!H18=0,0,11630*1000*SER_hh_tes_in!H18/SER_hh_num_in!H18)</f>
        <v>19879.85690237963</v>
      </c>
      <c r="I18" s="133">
        <f>IF(SER_hh_tes_in!I18=0,0,11630*1000*SER_hh_tes_in!I18/SER_hh_num_in!I18)</f>
        <v>19511.232720191263</v>
      </c>
      <c r="J18" s="133">
        <f>IF(SER_hh_tes_in!J18=0,0,11630*1000*SER_hh_tes_in!J18/SER_hh_num_in!J18)</f>
        <v>19408.16988283817</v>
      </c>
      <c r="K18" s="133">
        <f>IF(SER_hh_tes_in!K18=0,0,11630*1000*SER_hh_tes_in!K18/SER_hh_num_in!K18)</f>
        <v>19179.906944498267</v>
      </c>
      <c r="L18" s="133">
        <f>IF(SER_hh_tes_in!L18=0,0,11630*1000*SER_hh_tes_in!L18/SER_hh_num_in!L18)</f>
        <v>22162.325371912491</v>
      </c>
      <c r="M18" s="133">
        <f>IF(SER_hh_tes_in!M18=0,0,11630*1000*SER_hh_tes_in!M18/SER_hh_num_in!M18)</f>
        <v>20061.429608998042</v>
      </c>
      <c r="N18" s="133">
        <f>IF(SER_hh_tes_in!N18=0,0,11630*1000*SER_hh_tes_in!N18/SER_hh_num_in!N18)</f>
        <v>19141.418089394931</v>
      </c>
      <c r="O18" s="133">
        <f>IF(SER_hh_tes_in!O18=0,0,11630*1000*SER_hh_tes_in!O18/SER_hh_num_in!O18)</f>
        <v>18861.800206656615</v>
      </c>
      <c r="P18" s="133">
        <f>IF(SER_hh_tes_in!P18=0,0,11630*1000*SER_hh_tes_in!P18/SER_hh_num_in!P18)</f>
        <v>19114.339313510289</v>
      </c>
      <c r="Q18" s="133">
        <f>IF(SER_hh_tes_in!Q18=0,0,11630*1000*SER_hh_tes_in!Q18/SER_hh_num_in!Q18)</f>
        <v>18622.046238415842</v>
      </c>
      <c r="R18" s="133">
        <f>IF(SER_hh_tes_in!R18=0,0,11630*1000*SER_hh_tes_in!R18/SER_hh_num_in!R18)</f>
        <v>18727.176951276451</v>
      </c>
      <c r="S18" s="133">
        <f>IF(SER_hh_tes_in!S18=0,0,11630*1000*SER_hh_tes_in!S18/SER_hh_num_in!S18)</f>
        <v>18538.606492353039</v>
      </c>
      <c r="T18" s="133">
        <f>IF(SER_hh_tes_in!T18=0,0,11630*1000*SER_hh_tes_in!T18/SER_hh_num_in!T18)</f>
        <v>19563.61923503588</v>
      </c>
      <c r="U18" s="133">
        <f>IF(SER_hh_tes_in!U18=0,0,11630*1000*SER_hh_tes_in!U18/SER_hh_num_in!U18)</f>
        <v>17935.072217419005</v>
      </c>
      <c r="V18" s="133">
        <f>IF(SER_hh_tes_in!V18=0,0,11630*1000*SER_hh_tes_in!V18/SER_hh_num_in!V18)</f>
        <v>17420.592133085287</v>
      </c>
      <c r="W18" s="133">
        <f>IF(SER_hh_tes_in!W18=0,0,11630*1000*SER_hh_tes_in!W18/SER_hh_num_in!W18)</f>
        <v>18160.961849347299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17033.359389067722</v>
      </c>
      <c r="D19" s="131">
        <f>IF(SER_hh_tes_in!D19=0,0,11630*1000*SER_hh_tes_in!D19/SER_hh_num_in!D19)</f>
        <v>16061.540788644437</v>
      </c>
      <c r="E19" s="131">
        <f>IF(SER_hh_tes_in!E19=0,0,11630*1000*SER_hh_tes_in!E19/SER_hh_num_in!E19)</f>
        <v>16080.374463389437</v>
      </c>
      <c r="F19" s="131">
        <f>IF(SER_hh_tes_in!F19=0,0,11630*1000*SER_hh_tes_in!F19/SER_hh_num_in!F19)</f>
        <v>15465.711168790896</v>
      </c>
      <c r="G19" s="131">
        <f>IF(SER_hh_tes_in!G19=0,0,11630*1000*SER_hh_tes_in!G19/SER_hh_num_in!G19)</f>
        <v>15325.529881680684</v>
      </c>
      <c r="H19" s="131">
        <f>IF(SER_hh_tes_in!H19=0,0,11630*1000*SER_hh_tes_in!H19/SER_hh_num_in!H19)</f>
        <v>14826.819095169705</v>
      </c>
      <c r="I19" s="131">
        <f>IF(SER_hh_tes_in!I19=0,0,11630*1000*SER_hh_tes_in!I19/SER_hh_num_in!I19)</f>
        <v>14242.858495886043</v>
      </c>
      <c r="J19" s="131">
        <f>IF(SER_hh_tes_in!J19=0,0,11630*1000*SER_hh_tes_in!J19/SER_hh_num_in!J19)</f>
        <v>14308.220576256695</v>
      </c>
      <c r="K19" s="131">
        <f>IF(SER_hh_tes_in!K19=0,0,11630*1000*SER_hh_tes_in!K19/SER_hh_num_in!K19)</f>
        <v>14354.873462381787</v>
      </c>
      <c r="L19" s="131">
        <f>IF(SER_hh_tes_in!L19=0,0,11630*1000*SER_hh_tes_in!L19/SER_hh_num_in!L19)</f>
        <v>14163.085129976118</v>
      </c>
      <c r="M19" s="131">
        <f>IF(SER_hh_tes_in!M19=0,0,11630*1000*SER_hh_tes_in!M19/SER_hh_num_in!M19)</f>
        <v>14346.006968511101</v>
      </c>
      <c r="N19" s="131">
        <f>IF(SER_hh_tes_in!N19=0,0,11630*1000*SER_hh_tes_in!N19/SER_hh_num_in!N19)</f>
        <v>14145.228269565372</v>
      </c>
      <c r="O19" s="131">
        <f>IF(SER_hh_tes_in!O19=0,0,11630*1000*SER_hh_tes_in!O19/SER_hh_num_in!O19)</f>
        <v>14240.14864804205</v>
      </c>
      <c r="P19" s="131">
        <f>IF(SER_hh_tes_in!P19=0,0,11630*1000*SER_hh_tes_in!P19/SER_hh_num_in!P19)</f>
        <v>15008.494294151929</v>
      </c>
      <c r="Q19" s="131">
        <f>IF(SER_hh_tes_in!Q19=0,0,11630*1000*SER_hh_tes_in!Q19/SER_hh_num_in!Q19)</f>
        <v>14462.172305261347</v>
      </c>
      <c r="R19" s="131">
        <f>IF(SER_hh_tes_in!R19=0,0,11630*1000*SER_hh_tes_in!R19/SER_hh_num_in!R19)</f>
        <v>14203.358382048331</v>
      </c>
      <c r="S19" s="131">
        <f>IF(SER_hh_tes_in!S19=0,0,11630*1000*SER_hh_tes_in!S19/SER_hh_num_in!S19)</f>
        <v>13988.867209859478</v>
      </c>
      <c r="T19" s="131">
        <f>IF(SER_hh_tes_in!T19=0,0,11630*1000*SER_hh_tes_in!T19/SER_hh_num_in!T19)</f>
        <v>13983.964581568454</v>
      </c>
      <c r="U19" s="131">
        <f>IF(SER_hh_tes_in!U19=0,0,11630*1000*SER_hh_tes_in!U19/SER_hh_num_in!U19)</f>
        <v>14197.495627271268</v>
      </c>
      <c r="V19" s="131">
        <f>IF(SER_hh_tes_in!V19=0,0,11630*1000*SER_hh_tes_in!V19/SER_hh_num_in!V19)</f>
        <v>13219.721863070514</v>
      </c>
      <c r="W19" s="131">
        <f>IF(SER_hh_tes_in!W19=0,0,11630*1000*SER_hh_tes_in!W19/SER_hh_num_in!W19)</f>
        <v>13814.411625579414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17244.350631008318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14186.845478009216</v>
      </c>
      <c r="J22" s="133">
        <f>IF(SER_hh_tes_in!J22=0,0,11630*1000*SER_hh_tes_in!J22/SER_hh_num_in!J22)</f>
        <v>14499.041299951723</v>
      </c>
      <c r="K22" s="133">
        <f>IF(SER_hh_tes_in!K22=0,0,11630*1000*SER_hh_tes_in!K22/SER_hh_num_in!K22)</f>
        <v>14259.575490137893</v>
      </c>
      <c r="L22" s="133">
        <f>IF(SER_hh_tes_in!L22=0,0,11630*1000*SER_hh_tes_in!L22/SER_hh_num_in!L22)</f>
        <v>14186.439171253285</v>
      </c>
      <c r="M22" s="133">
        <f>IF(SER_hh_tes_in!M22=0,0,11630*1000*SER_hh_tes_in!M22/SER_hh_num_in!M22)</f>
        <v>14317.444103513231</v>
      </c>
      <c r="N22" s="133">
        <f>IF(SER_hh_tes_in!N22=0,0,11630*1000*SER_hh_tes_in!N22/SER_hh_num_in!N22)</f>
        <v>14319.990562751915</v>
      </c>
      <c r="O22" s="133">
        <f>IF(SER_hh_tes_in!O22=0,0,11630*1000*SER_hh_tes_in!O22/SER_hh_num_in!O22)</f>
        <v>14396.961552945451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13370.947141524992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19046.707262508178</v>
      </c>
      <c r="D23" s="133">
        <f>IF(SER_hh_tes_in!D23=0,0,11630*1000*SER_hh_tes_in!D23/SER_hh_num_in!D23)</f>
        <v>17158.826640218715</v>
      </c>
      <c r="E23" s="133">
        <f>IF(SER_hh_tes_in!E23=0,0,11630*1000*SER_hh_tes_in!E23/SER_hh_num_in!E23)</f>
        <v>16081.854871113319</v>
      </c>
      <c r="F23" s="133">
        <f>IF(SER_hh_tes_in!F23=0,0,11630*1000*SER_hh_tes_in!F23/SER_hh_num_in!F23)</f>
        <v>15343.256672795969</v>
      </c>
      <c r="G23" s="133">
        <f>IF(SER_hh_tes_in!G23=0,0,11630*1000*SER_hh_tes_in!G23/SER_hh_num_in!G23)</f>
        <v>15085.668520211761</v>
      </c>
      <c r="H23" s="133">
        <f>IF(SER_hh_tes_in!H23=0,0,11630*1000*SER_hh_tes_in!H23/SER_hh_num_in!H23)</f>
        <v>14886.266436497772</v>
      </c>
      <c r="I23" s="133">
        <f>IF(SER_hh_tes_in!I23=0,0,11630*1000*SER_hh_tes_in!I23/SER_hh_num_in!I23)</f>
        <v>14511.579588554294</v>
      </c>
      <c r="J23" s="133">
        <f>IF(SER_hh_tes_in!J23=0,0,11630*1000*SER_hh_tes_in!J23/SER_hh_num_in!J23)</f>
        <v>14287.839033166834</v>
      </c>
      <c r="K23" s="133">
        <f>IF(SER_hh_tes_in!K23=0,0,11630*1000*SER_hh_tes_in!K23/SER_hh_num_in!K23)</f>
        <v>14054.139384155833</v>
      </c>
      <c r="L23" s="133">
        <f>IF(SER_hh_tes_in!L23=0,0,11630*1000*SER_hh_tes_in!L23/SER_hh_num_in!L23)</f>
        <v>13259.247692356043</v>
      </c>
      <c r="M23" s="133">
        <f>IF(SER_hh_tes_in!M23=0,0,11630*1000*SER_hh_tes_in!M23/SER_hh_num_in!M23)</f>
        <v>14184.634576172519</v>
      </c>
      <c r="N23" s="133">
        <f>IF(SER_hh_tes_in!N23=0,0,11630*1000*SER_hh_tes_in!N23/SER_hh_num_in!N23)</f>
        <v>12565.044958104425</v>
      </c>
      <c r="O23" s="133">
        <f>IF(SER_hh_tes_in!O23=0,0,11630*1000*SER_hh_tes_in!O23/SER_hh_num_in!O23)</f>
        <v>13957.634409042737</v>
      </c>
      <c r="P23" s="133">
        <f>IF(SER_hh_tes_in!P23=0,0,11630*1000*SER_hh_tes_in!P23/SER_hh_num_in!P23)</f>
        <v>15681.437347350875</v>
      </c>
      <c r="Q23" s="133">
        <f>IF(SER_hh_tes_in!Q23=0,0,11630*1000*SER_hh_tes_in!Q23/SER_hh_num_in!Q23)</f>
        <v>14567.405302477246</v>
      </c>
      <c r="R23" s="133">
        <f>IF(SER_hh_tes_in!R23=0,0,11630*1000*SER_hh_tes_in!R23/SER_hh_num_in!R23)</f>
        <v>14031.327545020997</v>
      </c>
      <c r="S23" s="133">
        <f>IF(SER_hh_tes_in!S23=0,0,11630*1000*SER_hh_tes_in!S23/SER_hh_num_in!S23)</f>
        <v>14000.388846954147</v>
      </c>
      <c r="T23" s="133">
        <f>IF(SER_hh_tes_in!T23=0,0,11630*1000*SER_hh_tes_in!T23/SER_hh_num_in!T23)</f>
        <v>14200.675412849399</v>
      </c>
      <c r="U23" s="133">
        <f>IF(SER_hh_tes_in!U23=0,0,11630*1000*SER_hh_tes_in!U23/SER_hh_num_in!U23)</f>
        <v>14423.96196568147</v>
      </c>
      <c r="V23" s="133">
        <f>IF(SER_hh_tes_in!V23=0,0,11630*1000*SER_hh_tes_in!V23/SER_hh_num_in!V23)</f>
        <v>13849.196911005274</v>
      </c>
      <c r="W23" s="133">
        <f>IF(SER_hh_tes_in!W23=0,0,11630*1000*SER_hh_tes_in!W23/SER_hh_num_in!W23)</f>
        <v>12614.111253762816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16978.620916796794</v>
      </c>
      <c r="D25" s="133">
        <f>IF(SER_hh_tes_in!D25=0,0,11630*1000*SER_hh_tes_in!D25/SER_hh_num_in!D25)</f>
        <v>16266.480827888234</v>
      </c>
      <c r="E25" s="133">
        <f>IF(SER_hh_tes_in!E25=0,0,11630*1000*SER_hh_tes_in!E25/SER_hh_num_in!E25)</f>
        <v>15664.449932796224</v>
      </c>
      <c r="F25" s="133">
        <f>IF(SER_hh_tes_in!F25=0,0,11630*1000*SER_hh_tes_in!F25/SER_hh_num_in!F25)</f>
        <v>15219.467953420541</v>
      </c>
      <c r="G25" s="133">
        <f>IF(SER_hh_tes_in!G25=0,0,11630*1000*SER_hh_tes_in!G25/SER_hh_num_in!G25)</f>
        <v>15217.232992219888</v>
      </c>
      <c r="H25" s="133">
        <f>IF(SER_hh_tes_in!H25=0,0,11630*1000*SER_hh_tes_in!H25/SER_hh_num_in!H25)</f>
        <v>14802.349074885564</v>
      </c>
      <c r="I25" s="133">
        <f>IF(SER_hh_tes_in!I25=0,0,11630*1000*SER_hh_tes_in!I25/SER_hh_num_in!I25)</f>
        <v>14552.952169918601</v>
      </c>
      <c r="J25" s="133">
        <f>IF(SER_hh_tes_in!J25=0,0,11630*1000*SER_hh_tes_in!J25/SER_hh_num_in!J25)</f>
        <v>14254.123511291074</v>
      </c>
      <c r="K25" s="133">
        <f>IF(SER_hh_tes_in!K25=0,0,11630*1000*SER_hh_tes_in!K25/SER_hh_num_in!K25)</f>
        <v>14459.591129293398</v>
      </c>
      <c r="L25" s="133">
        <f>IF(SER_hh_tes_in!L25=0,0,11630*1000*SER_hh_tes_in!L25/SER_hh_num_in!L25)</f>
        <v>14315.376416425624</v>
      </c>
      <c r="M25" s="133">
        <f>IF(SER_hh_tes_in!M25=0,0,11630*1000*SER_hh_tes_in!M25/SER_hh_num_in!M25)</f>
        <v>14407.302100941606</v>
      </c>
      <c r="N25" s="133">
        <f>IF(SER_hh_tes_in!N25=0,0,11630*1000*SER_hh_tes_in!N25/SER_hh_num_in!N25)</f>
        <v>14384.181820167571</v>
      </c>
      <c r="O25" s="133">
        <f>IF(SER_hh_tes_in!O25=0,0,11630*1000*SER_hh_tes_in!O25/SER_hh_num_in!O25)</f>
        <v>14448.94483507551</v>
      </c>
      <c r="P25" s="133">
        <f>IF(SER_hh_tes_in!P25=0,0,11630*1000*SER_hh_tes_in!P25/SER_hh_num_in!P25)</f>
        <v>14325.309163119156</v>
      </c>
      <c r="Q25" s="133">
        <f>IF(SER_hh_tes_in!Q25=0,0,11630*1000*SER_hh_tes_in!Q25/SER_hh_num_in!Q25)</f>
        <v>14267.76604423414</v>
      </c>
      <c r="R25" s="133">
        <f>IF(SER_hh_tes_in!R25=0,0,11630*1000*SER_hh_tes_in!R25/SER_hh_num_in!R25)</f>
        <v>14193.205543251102</v>
      </c>
      <c r="S25" s="133">
        <f>IF(SER_hh_tes_in!S25=0,0,11630*1000*SER_hh_tes_in!S25/SER_hh_num_in!S25)</f>
        <v>14127.340577569701</v>
      </c>
      <c r="T25" s="133">
        <f>IF(SER_hh_tes_in!T25=0,0,11630*1000*SER_hh_tes_in!T25/SER_hh_num_in!T25)</f>
        <v>14184.292007403079</v>
      </c>
      <c r="U25" s="133">
        <f>IF(SER_hh_tes_in!U25=0,0,11630*1000*SER_hh_tes_in!U25/SER_hh_num_in!U25)</f>
        <v>14099.469386482329</v>
      </c>
      <c r="V25" s="133">
        <f>IF(SER_hh_tes_in!V25=0,0,11630*1000*SER_hh_tes_in!V25/SER_hh_num_in!V25)</f>
        <v>12399.290541199454</v>
      </c>
      <c r="W25" s="133">
        <f>IF(SER_hh_tes_in!W25=0,0,11630*1000*SER_hh_tes_in!W25/SER_hh_num_in!W25)</f>
        <v>14099.516413968604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16267.732911549432</v>
      </c>
      <c r="D26" s="65">
        <f>IF(SER_hh_tes_in!D26=0,0,11630*1000*SER_hh_tes_in!D26/SER_hh_num_in!D26)</f>
        <v>15772.323711525318</v>
      </c>
      <c r="E26" s="65">
        <f>IF(SER_hh_tes_in!E26=0,0,11630*1000*SER_hh_tes_in!E26/SER_hh_num_in!E26)</f>
        <v>16298.67929183979</v>
      </c>
      <c r="F26" s="65">
        <f>IF(SER_hh_tes_in!F26=0,0,11630*1000*SER_hh_tes_in!F26/SER_hh_num_in!F26)</f>
        <v>15667.512628885857</v>
      </c>
      <c r="G26" s="65">
        <f>IF(SER_hh_tes_in!G26=0,0,11630*1000*SER_hh_tes_in!G26/SER_hh_num_in!G26)</f>
        <v>15422.574887036553</v>
      </c>
      <c r="H26" s="65">
        <f>IF(SER_hh_tes_in!H26=0,0,11630*1000*SER_hh_tes_in!H26/SER_hh_num_in!H26)</f>
        <v>14837.818243089212</v>
      </c>
      <c r="I26" s="65">
        <f>IF(SER_hh_tes_in!I26=0,0,11630*1000*SER_hh_tes_in!I26/SER_hh_num_in!I26)</f>
        <v>13902.374060821563</v>
      </c>
      <c r="J26" s="65">
        <f>IF(SER_hh_tes_in!J26=0,0,11630*1000*SER_hh_tes_in!J26/SER_hh_num_in!J26)</f>
        <v>0</v>
      </c>
      <c r="K26" s="65">
        <f>IF(SER_hh_tes_in!K26=0,0,11630*1000*SER_hh_tes_in!K26/SER_hh_num_in!K26)</f>
        <v>14231.698092455525</v>
      </c>
      <c r="L26" s="65">
        <f>IF(SER_hh_tes_in!L26=0,0,11630*1000*SER_hh_tes_in!L26/SER_hh_num_in!L26)</f>
        <v>14237.734747016633</v>
      </c>
      <c r="M26" s="65">
        <f>IF(SER_hh_tes_in!M26=0,0,11630*1000*SER_hh_tes_in!M26/SER_hh_num_in!M26)</f>
        <v>14362.880942258947</v>
      </c>
      <c r="N26" s="65">
        <f>IF(SER_hh_tes_in!N26=0,0,11630*1000*SER_hh_tes_in!N26/SER_hh_num_in!N26)</f>
        <v>14770.382379842267</v>
      </c>
      <c r="O26" s="65">
        <f>IF(SER_hh_tes_in!O26=0,0,11630*1000*SER_hh_tes_in!O26/SER_hh_num_in!O26)</f>
        <v>14339.695519170531</v>
      </c>
      <c r="P26" s="65">
        <f>IF(SER_hh_tes_in!P26=0,0,11630*1000*SER_hh_tes_in!P26/SER_hh_num_in!P26)</f>
        <v>13882.210423700382</v>
      </c>
      <c r="Q26" s="65">
        <f>IF(SER_hh_tes_in!Q26=0,0,11630*1000*SER_hh_tes_in!Q26/SER_hh_num_in!Q26)</f>
        <v>14483.08433210506</v>
      </c>
      <c r="R26" s="65">
        <f>IF(SER_hh_tes_in!R26=0,0,11630*1000*SER_hh_tes_in!R26/SER_hh_num_in!R26)</f>
        <v>14335.482525929896</v>
      </c>
      <c r="S26" s="65">
        <f>IF(SER_hh_tes_in!S26=0,0,11630*1000*SER_hh_tes_in!S26/SER_hh_num_in!S26)</f>
        <v>13897.318255772379</v>
      </c>
      <c r="T26" s="65">
        <f>IF(SER_hh_tes_in!T26=0,0,11630*1000*SER_hh_tes_in!T26/SER_hh_num_in!T26)</f>
        <v>13766.086787054355</v>
      </c>
      <c r="U26" s="65">
        <f>IF(SER_hh_tes_in!U26=0,0,11630*1000*SER_hh_tes_in!U26/SER_hh_num_in!U26)</f>
        <v>14158.683972740731</v>
      </c>
      <c r="V26" s="65">
        <f>IF(SER_hh_tes_in!V26=0,0,11630*1000*SER_hh_tes_in!V26/SER_hh_num_in!V26)</f>
        <v>13591.030259272728</v>
      </c>
      <c r="W26" s="65">
        <f>IF(SER_hh_tes_in!W26=0,0,11630*1000*SER_hh_tes_in!W26/SER_hh_num_in!W26)</f>
        <v>14027.656435836316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17309.610699318757</v>
      </c>
      <c r="D29" s="131">
        <f>IF(SER_hh_tes_in!D29=0,0,11630*1000*SER_hh_tes_in!D29/SER_hh_num_in!D29)</f>
        <v>17074.692613069772</v>
      </c>
      <c r="E29" s="131">
        <f>IF(SER_hh_tes_in!E29=0,0,11630*1000*SER_hh_tes_in!E29/SER_hh_num_in!E29)</f>
        <v>16674.438726842443</v>
      </c>
      <c r="F29" s="131">
        <f>IF(SER_hh_tes_in!F29=0,0,11630*1000*SER_hh_tes_in!F29/SER_hh_num_in!F29)</f>
        <v>17501.022766177444</v>
      </c>
      <c r="G29" s="131">
        <f>IF(SER_hh_tes_in!G29=0,0,11630*1000*SER_hh_tes_in!G29/SER_hh_num_in!G29)</f>
        <v>16593.206963967503</v>
      </c>
      <c r="H29" s="131">
        <f>IF(SER_hh_tes_in!H29=0,0,11630*1000*SER_hh_tes_in!H29/SER_hh_num_in!H29)</f>
        <v>16012.033638329085</v>
      </c>
      <c r="I29" s="131">
        <f>IF(SER_hh_tes_in!I29=0,0,11630*1000*SER_hh_tes_in!I29/SER_hh_num_in!I29)</f>
        <v>15861.917103305359</v>
      </c>
      <c r="J29" s="131">
        <f>IF(SER_hh_tes_in!J29=0,0,11630*1000*SER_hh_tes_in!J29/SER_hh_num_in!J29)</f>
        <v>16405.516677509422</v>
      </c>
      <c r="K29" s="131">
        <f>IF(SER_hh_tes_in!K29=0,0,11630*1000*SER_hh_tes_in!K29/SER_hh_num_in!K29)</f>
        <v>17047.013527550676</v>
      </c>
      <c r="L29" s="131">
        <f>IF(SER_hh_tes_in!L29=0,0,11630*1000*SER_hh_tes_in!L29/SER_hh_num_in!L29)</f>
        <v>17129.959965990063</v>
      </c>
      <c r="M29" s="131">
        <f>IF(SER_hh_tes_in!M29=0,0,11630*1000*SER_hh_tes_in!M29/SER_hh_num_in!M29)</f>
        <v>17014.90236429881</v>
      </c>
      <c r="N29" s="131">
        <f>IF(SER_hh_tes_in!N29=0,0,11630*1000*SER_hh_tes_in!N29/SER_hh_num_in!N29)</f>
        <v>16954.64750856924</v>
      </c>
      <c r="O29" s="131">
        <f>IF(SER_hh_tes_in!O29=0,0,11630*1000*SER_hh_tes_in!O29/SER_hh_num_in!O29)</f>
        <v>17086.08087943709</v>
      </c>
      <c r="P29" s="131">
        <f>IF(SER_hh_tes_in!P29=0,0,11630*1000*SER_hh_tes_in!P29/SER_hh_num_in!P29)</f>
        <v>16802.033093808601</v>
      </c>
      <c r="Q29" s="131">
        <f>IF(SER_hh_tes_in!Q29=0,0,11630*1000*SER_hh_tes_in!Q29/SER_hh_num_in!Q29)</f>
        <v>16256.940965670967</v>
      </c>
      <c r="R29" s="131">
        <f>IF(SER_hh_tes_in!R29=0,0,11630*1000*SER_hh_tes_in!R29/SER_hh_num_in!R29)</f>
        <v>17028.21036291264</v>
      </c>
      <c r="S29" s="131">
        <f>IF(SER_hh_tes_in!S29=0,0,11630*1000*SER_hh_tes_in!S29/SER_hh_num_in!S29)</f>
        <v>16403.763366681575</v>
      </c>
      <c r="T29" s="131">
        <f>IF(SER_hh_tes_in!T29=0,0,11630*1000*SER_hh_tes_in!T29/SER_hh_num_in!T29)</f>
        <v>16477.311136354787</v>
      </c>
      <c r="U29" s="131">
        <f>IF(SER_hh_tes_in!U29=0,0,11630*1000*SER_hh_tes_in!U29/SER_hh_num_in!U29)</f>
        <v>16297.698798100264</v>
      </c>
      <c r="V29" s="131">
        <f>IF(SER_hh_tes_in!V29=0,0,11630*1000*SER_hh_tes_in!V29/SER_hh_num_in!V29)</f>
        <v>14881.10305254352</v>
      </c>
      <c r="W29" s="131">
        <f>IF(SER_hh_tes_in!W29=0,0,11630*1000*SER_hh_tes_in!W29/SER_hh_num_in!W29)</f>
        <v>15980.309628831581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23377.796262045358</v>
      </c>
      <c r="G30" s="133">
        <f>IF(SER_hh_tes_in!G30=0,0,11630*1000*SER_hh_tes_in!G30/SER_hh_num_in!G30)</f>
        <v>18130.949589540611</v>
      </c>
      <c r="H30" s="133">
        <f>IF(SER_hh_tes_in!H30=0,0,11630*1000*SER_hh_tes_in!H30/SER_hh_num_in!H30)</f>
        <v>16177.120153344089</v>
      </c>
      <c r="I30" s="133">
        <f>IF(SER_hh_tes_in!I30=0,0,11630*1000*SER_hh_tes_in!I30/SER_hh_num_in!I30)</f>
        <v>16198.945910380402</v>
      </c>
      <c r="J30" s="133">
        <f>IF(SER_hh_tes_in!J30=0,0,11630*1000*SER_hh_tes_in!J30/SER_hh_num_in!J30)</f>
        <v>16467.340236620075</v>
      </c>
      <c r="K30" s="133">
        <f>IF(SER_hh_tes_in!K30=0,0,11630*1000*SER_hh_tes_in!K30/SER_hh_num_in!K30)</f>
        <v>16838.74371334874</v>
      </c>
      <c r="L30" s="133">
        <f>IF(SER_hh_tes_in!L30=0,0,11630*1000*SER_hh_tes_in!L30/SER_hh_num_in!L30)</f>
        <v>16918.256465212264</v>
      </c>
      <c r="M30" s="133">
        <f>IF(SER_hh_tes_in!M30=0,0,11630*1000*SER_hh_tes_in!M30/SER_hh_num_in!M30)</f>
        <v>16959.163150889101</v>
      </c>
      <c r="N30" s="133">
        <f>IF(SER_hh_tes_in!N30=0,0,11630*1000*SER_hh_tes_in!N30/SER_hh_num_in!N30)</f>
        <v>17042.282999615891</v>
      </c>
      <c r="O30" s="133">
        <f>IF(SER_hh_tes_in!O30=0,0,11630*1000*SER_hh_tes_in!O30/SER_hh_num_in!O30)</f>
        <v>16978.526636477876</v>
      </c>
      <c r="P30" s="133">
        <f>IF(SER_hh_tes_in!P30=0,0,11630*1000*SER_hh_tes_in!P30/SER_hh_num_in!P30)</f>
        <v>15310.205094312927</v>
      </c>
      <c r="Q30" s="133">
        <f>IF(SER_hh_tes_in!Q30=0,0,11630*1000*SER_hh_tes_in!Q30/SER_hh_num_in!Q30)</f>
        <v>11915.702193782941</v>
      </c>
      <c r="R30" s="133">
        <f>IF(SER_hh_tes_in!R30=0,0,11630*1000*SER_hh_tes_in!R30/SER_hh_num_in!R30)</f>
        <v>18464.103394102807</v>
      </c>
      <c r="S30" s="133">
        <f>IF(SER_hh_tes_in!S30=0,0,11630*1000*SER_hh_tes_in!S30/SER_hh_num_in!S30)</f>
        <v>26366.133103933429</v>
      </c>
      <c r="T30" s="133">
        <f>IF(SER_hh_tes_in!T30=0,0,11630*1000*SER_hh_tes_in!T30/SER_hh_num_in!T30)</f>
        <v>8484.3425180385038</v>
      </c>
      <c r="U30" s="133">
        <f>IF(SER_hh_tes_in!U30=0,0,11630*1000*SER_hh_tes_in!U30/SER_hh_num_in!U30)</f>
        <v>17130.850270646781</v>
      </c>
      <c r="V30" s="133">
        <f>IF(SER_hh_tes_in!V30=0,0,11630*1000*SER_hh_tes_in!V30/SER_hh_num_in!V30)</f>
        <v>17683.574259457255</v>
      </c>
      <c r="W30" s="133">
        <f>IF(SER_hh_tes_in!W30=0,0,11630*1000*SER_hh_tes_in!W30/SER_hh_num_in!W30)</f>
        <v>12952.405771918791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18091.562262211744</v>
      </c>
      <c r="D31" s="133">
        <f>IF(SER_hh_tes_in!D31=0,0,11630*1000*SER_hh_tes_in!D31/SER_hh_num_in!D31)</f>
        <v>19312.876509278194</v>
      </c>
      <c r="E31" s="133">
        <f>IF(SER_hh_tes_in!E31=0,0,11630*1000*SER_hh_tes_in!E31/SER_hh_num_in!E31)</f>
        <v>17277.811300179947</v>
      </c>
      <c r="F31" s="133">
        <f>IF(SER_hh_tes_in!F31=0,0,11630*1000*SER_hh_tes_in!F31/SER_hh_num_in!F31)</f>
        <v>16512.89011717695</v>
      </c>
      <c r="G31" s="133">
        <f>IF(SER_hh_tes_in!G31=0,0,11630*1000*SER_hh_tes_in!G31/SER_hh_num_in!G31)</f>
        <v>16405.567100744236</v>
      </c>
      <c r="H31" s="133">
        <f>IF(SER_hh_tes_in!H31=0,0,11630*1000*SER_hh_tes_in!H31/SER_hh_num_in!H31)</f>
        <v>16148.332254864523</v>
      </c>
      <c r="I31" s="133">
        <f>IF(SER_hh_tes_in!I31=0,0,11630*1000*SER_hh_tes_in!I31/SER_hh_num_in!I31)</f>
        <v>16351.484784835553</v>
      </c>
      <c r="J31" s="133">
        <f>IF(SER_hh_tes_in!J31=0,0,11630*1000*SER_hh_tes_in!J31/SER_hh_num_in!J31)</f>
        <v>16624.277287908608</v>
      </c>
      <c r="K31" s="133">
        <f>IF(SER_hh_tes_in!K31=0,0,11630*1000*SER_hh_tes_in!K31/SER_hh_num_in!K31)</f>
        <v>15960.387400094942</v>
      </c>
      <c r="L31" s="133">
        <f>IF(SER_hh_tes_in!L31=0,0,11630*1000*SER_hh_tes_in!L31/SER_hh_num_in!L31)</f>
        <v>16857.677009502197</v>
      </c>
      <c r="M31" s="133">
        <f>IF(SER_hh_tes_in!M31=0,0,11630*1000*SER_hh_tes_in!M31/SER_hh_num_in!M31)</f>
        <v>16888.084627035325</v>
      </c>
      <c r="N31" s="133">
        <f>IF(SER_hh_tes_in!N31=0,0,11630*1000*SER_hh_tes_in!N31/SER_hh_num_in!N31)</f>
        <v>17276.462769457154</v>
      </c>
      <c r="O31" s="133">
        <f>IF(SER_hh_tes_in!O31=0,0,11630*1000*SER_hh_tes_in!O31/SER_hh_num_in!O31)</f>
        <v>17030.339301863791</v>
      </c>
      <c r="P31" s="133">
        <f>IF(SER_hh_tes_in!P31=0,0,11630*1000*SER_hh_tes_in!P31/SER_hh_num_in!P31)</f>
        <v>16133.214335044549</v>
      </c>
      <c r="Q31" s="133">
        <f>IF(SER_hh_tes_in!Q31=0,0,11630*1000*SER_hh_tes_in!Q31/SER_hh_num_in!Q31)</f>
        <v>15095.024453521921</v>
      </c>
      <c r="R31" s="133">
        <f>IF(SER_hh_tes_in!R31=0,0,11630*1000*SER_hh_tes_in!R31/SER_hh_num_in!R31)</f>
        <v>18133.946322066342</v>
      </c>
      <c r="S31" s="133">
        <f>IF(SER_hh_tes_in!S31=0,0,11630*1000*SER_hh_tes_in!S31/SER_hh_num_in!S31)</f>
        <v>15961.908167918893</v>
      </c>
      <c r="T31" s="133">
        <f>IF(SER_hh_tes_in!T31=0,0,11630*1000*SER_hh_tes_in!T31/SER_hh_num_in!T31)</f>
        <v>15843.273942309339</v>
      </c>
      <c r="U31" s="133">
        <f>IF(SER_hh_tes_in!U31=0,0,11630*1000*SER_hh_tes_in!U31/SER_hh_num_in!U31)</f>
        <v>17084.684781416756</v>
      </c>
      <c r="V31" s="133">
        <f>IF(SER_hh_tes_in!V31=0,0,11630*1000*SER_hh_tes_in!V31/SER_hh_num_in!V31)</f>
        <v>15487.510429890623</v>
      </c>
      <c r="W31" s="133">
        <f>IF(SER_hh_tes_in!W31=0,0,11630*1000*SER_hh_tes_in!W31/SER_hh_num_in!W31)</f>
        <v>14556.414776750256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16918.320448740236</v>
      </c>
      <c r="D33" s="68">
        <f>IF(SER_hh_tes_in!D33=0,0,11630*1000*SER_hh_tes_in!D33/SER_hh_num_in!D33)</f>
        <v>16268.650170179568</v>
      </c>
      <c r="E33" s="68">
        <f>IF(SER_hh_tes_in!E33=0,0,11630*1000*SER_hh_tes_in!E33/SER_hh_num_in!E33)</f>
        <v>16565.115088157021</v>
      </c>
      <c r="F33" s="68">
        <f>IF(SER_hh_tes_in!F33=0,0,11630*1000*SER_hh_tes_in!F33/SER_hh_num_in!F33)</f>
        <v>16156.746103961617</v>
      </c>
      <c r="G33" s="68">
        <f>IF(SER_hh_tes_in!G33=0,0,11630*1000*SER_hh_tes_in!G33/SER_hh_num_in!G33)</f>
        <v>16528.403197011077</v>
      </c>
      <c r="H33" s="68">
        <f>IF(SER_hh_tes_in!H33=0,0,11630*1000*SER_hh_tes_in!H33/SER_hh_num_in!H33)</f>
        <v>16002.853716979957</v>
      </c>
      <c r="I33" s="68">
        <f>IF(SER_hh_tes_in!I33=0,0,11630*1000*SER_hh_tes_in!I33/SER_hh_num_in!I33)</f>
        <v>15842.838410353274</v>
      </c>
      <c r="J33" s="68">
        <f>IF(SER_hh_tes_in!J33=0,0,11630*1000*SER_hh_tes_in!J33/SER_hh_num_in!J33)</f>
        <v>16392.980341559651</v>
      </c>
      <c r="K33" s="68">
        <f>IF(SER_hh_tes_in!K33=0,0,11630*1000*SER_hh_tes_in!K33/SER_hh_num_in!K33)</f>
        <v>17115.55196061901</v>
      </c>
      <c r="L33" s="68">
        <f>IF(SER_hh_tes_in!L33=0,0,11630*1000*SER_hh_tes_in!L33/SER_hh_num_in!L33)</f>
        <v>17169.385470408026</v>
      </c>
      <c r="M33" s="68">
        <f>IF(SER_hh_tes_in!M33=0,0,11630*1000*SER_hh_tes_in!M33/SER_hh_num_in!M33)</f>
        <v>17040.343937101086</v>
      </c>
      <c r="N33" s="68">
        <f>IF(SER_hh_tes_in!N33=0,0,11630*1000*SER_hh_tes_in!N33/SER_hh_num_in!N33)</f>
        <v>16874.98454886935</v>
      </c>
      <c r="O33" s="68">
        <f>IF(SER_hh_tes_in!O33=0,0,11630*1000*SER_hh_tes_in!O33/SER_hh_num_in!O33)</f>
        <v>17102.912388254845</v>
      </c>
      <c r="P33" s="68">
        <f>IF(SER_hh_tes_in!P33=0,0,11630*1000*SER_hh_tes_in!P33/SER_hh_num_in!P33)</f>
        <v>17047.013848588482</v>
      </c>
      <c r="Q33" s="68">
        <f>IF(SER_hh_tes_in!Q33=0,0,11630*1000*SER_hh_tes_in!Q33/SER_hh_num_in!Q33)</f>
        <v>17031.435123697582</v>
      </c>
      <c r="R33" s="68">
        <f>IF(SER_hh_tes_in!R33=0,0,11630*1000*SER_hh_tes_in!R33/SER_hh_num_in!R33)</f>
        <v>16355.514704231537</v>
      </c>
      <c r="S33" s="68">
        <f>IF(SER_hh_tes_in!S33=0,0,11630*1000*SER_hh_tes_in!S33/SER_hh_num_in!S33)</f>
        <v>16048.543581045393</v>
      </c>
      <c r="T33" s="68">
        <f>IF(SER_hh_tes_in!T33=0,0,11630*1000*SER_hh_tes_in!T33/SER_hh_num_in!T33)</f>
        <v>16948.397180507916</v>
      </c>
      <c r="U33" s="68">
        <f>IF(SER_hh_tes_in!U33=0,0,11630*1000*SER_hh_tes_in!U33/SER_hh_num_in!U33)</f>
        <v>16045.009739354629</v>
      </c>
      <c r="V33" s="68">
        <f>IF(SER_hh_tes_in!V33=0,0,11630*1000*SER_hh_tes_in!V33/SER_hh_num_in!V33)</f>
        <v>14600.459673568426</v>
      </c>
      <c r="W33" s="68">
        <f>IF(SER_hh_tes_in!W33=0,0,11630*1000*SER_hh_tes_in!W33/SER_hh_num_in!W33)</f>
        <v>16408.048912164326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19228.935745927476</v>
      </c>
      <c r="D3" s="126">
        <f>IF(SER_hh_emi_in!D3=0,0,1000000*SER_hh_emi_in!D3/SER_hh_num_in!D3)</f>
        <v>15799.833685955951</v>
      </c>
      <c r="E3" s="126">
        <f>IF(SER_hh_emi_in!E3=0,0,1000000*SER_hh_emi_in!E3/SER_hh_num_in!E3)</f>
        <v>26271.899926629099</v>
      </c>
      <c r="F3" s="126">
        <f>IF(SER_hh_emi_in!F3=0,0,1000000*SER_hh_emi_in!F3/SER_hh_num_in!F3)</f>
        <v>6025.9760121210675</v>
      </c>
      <c r="G3" s="126">
        <f>IF(SER_hh_emi_in!G3=0,0,1000000*SER_hh_emi_in!G3/SER_hh_num_in!G3)</f>
        <v>1507.8434916808853</v>
      </c>
      <c r="H3" s="126">
        <f>IF(SER_hh_emi_in!H3=0,0,1000000*SER_hh_emi_in!H3/SER_hh_num_in!H3)</f>
        <v>1447.6912159484687</v>
      </c>
      <c r="I3" s="126">
        <f>IF(SER_hh_emi_in!I3=0,0,1000000*SER_hh_emi_in!I3/SER_hh_num_in!I3)</f>
        <v>6573.4577085153242</v>
      </c>
      <c r="J3" s="126">
        <f>IF(SER_hh_emi_in!J3=0,0,1000000*SER_hh_emi_in!J3/SER_hh_num_in!J3)</f>
        <v>7376.4007646371474</v>
      </c>
      <c r="K3" s="126">
        <f>IF(SER_hh_emi_in!K3=0,0,1000000*SER_hh_emi_in!K3/SER_hh_num_in!K3)</f>
        <v>12462.3112063436</v>
      </c>
      <c r="L3" s="126">
        <f>IF(SER_hh_emi_in!L3=0,0,1000000*SER_hh_emi_in!L3/SER_hh_num_in!L3)</f>
        <v>12363.078351841996</v>
      </c>
      <c r="M3" s="126">
        <f>IF(SER_hh_emi_in!M3=0,0,1000000*SER_hh_emi_in!M3/SER_hh_num_in!M3)</f>
        <v>23261.172408396025</v>
      </c>
      <c r="N3" s="126">
        <f>IF(SER_hh_emi_in!N3=0,0,1000000*SER_hh_emi_in!N3/SER_hh_num_in!N3)</f>
        <v>18075.176294401037</v>
      </c>
      <c r="O3" s="126">
        <f>IF(SER_hh_emi_in!O3=0,0,1000000*SER_hh_emi_in!O3/SER_hh_num_in!O3)</f>
        <v>19152.58153938469</v>
      </c>
      <c r="P3" s="126">
        <f>IF(SER_hh_emi_in!P3=0,0,1000000*SER_hh_emi_in!P3/SER_hh_num_in!P3)</f>
        <v>20070.413863477428</v>
      </c>
      <c r="Q3" s="126">
        <f>IF(SER_hh_emi_in!Q3=0,0,1000000*SER_hh_emi_in!Q3/SER_hh_num_in!Q3)</f>
        <v>12930.193940496614</v>
      </c>
      <c r="R3" s="126">
        <f>IF(SER_hh_emi_in!R3=0,0,1000000*SER_hh_emi_in!R3/SER_hh_num_in!R3)</f>
        <v>12014.518764264427</v>
      </c>
      <c r="S3" s="126">
        <f>IF(SER_hh_emi_in!S3=0,0,1000000*SER_hh_emi_in!S3/SER_hh_num_in!S3)</f>
        <v>6781.4292196588513</v>
      </c>
      <c r="T3" s="126">
        <f>IF(SER_hh_emi_in!T3=0,0,1000000*SER_hh_emi_in!T3/SER_hh_num_in!T3)</f>
        <v>6428.8159789873343</v>
      </c>
      <c r="U3" s="126">
        <f>IF(SER_hh_emi_in!U3=0,0,1000000*SER_hh_emi_in!U3/SER_hh_num_in!U3)</f>
        <v>4972.6917776169694</v>
      </c>
      <c r="V3" s="126">
        <f>IF(SER_hh_emi_in!V3=0,0,1000000*SER_hh_emi_in!V3/SER_hh_num_in!V3)</f>
        <v>3569.1236883556098</v>
      </c>
      <c r="W3" s="126">
        <f>IF(SER_hh_emi_in!W3=0,0,1000000*SER_hh_emi_in!W3/SER_hh_num_in!W3)</f>
        <v>3010.1164068572439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15068.399701469845</v>
      </c>
      <c r="D4" s="131">
        <f>IF(SER_hh_emi_in!D4=0,0,1000000*SER_hh_emi_in!D4/SER_hh_num_in!D4)</f>
        <v>13347.450482748603</v>
      </c>
      <c r="E4" s="131">
        <f>IF(SER_hh_emi_in!E4=0,0,1000000*SER_hh_emi_in!E4/SER_hh_num_in!E4)</f>
        <v>24879.017327720252</v>
      </c>
      <c r="F4" s="131">
        <f>IF(SER_hh_emi_in!F4=0,0,1000000*SER_hh_emi_in!F4/SER_hh_num_in!F4)</f>
        <v>3598.8608281869479</v>
      </c>
      <c r="G4" s="131">
        <f>IF(SER_hh_emi_in!G4=0,0,1000000*SER_hh_emi_in!G4/SER_hh_num_in!G4)</f>
        <v>741.92083616150126</v>
      </c>
      <c r="H4" s="131">
        <f>IF(SER_hh_emi_in!H4=0,0,1000000*SER_hh_emi_in!H4/SER_hh_num_in!H4)</f>
        <v>846.8394754844262</v>
      </c>
      <c r="I4" s="131">
        <f>IF(SER_hh_emi_in!I4=0,0,1000000*SER_hh_emi_in!I4/SER_hh_num_in!I4)</f>
        <v>5450.3637773544788</v>
      </c>
      <c r="J4" s="131">
        <f>IF(SER_hh_emi_in!J4=0,0,1000000*SER_hh_emi_in!J4/SER_hh_num_in!J4)</f>
        <v>5105.8915053514902</v>
      </c>
      <c r="K4" s="131">
        <f>IF(SER_hh_emi_in!K4=0,0,1000000*SER_hh_emi_in!K4/SER_hh_num_in!K4)</f>
        <v>10463.534914242466</v>
      </c>
      <c r="L4" s="131">
        <f>IF(SER_hh_emi_in!L4=0,0,1000000*SER_hh_emi_in!L4/SER_hh_num_in!L4)</f>
        <v>10309.587383390326</v>
      </c>
      <c r="M4" s="131">
        <f>IF(SER_hh_emi_in!M4=0,0,1000000*SER_hh_emi_in!M4/SER_hh_num_in!M4)</f>
        <v>20964.405730085407</v>
      </c>
      <c r="N4" s="131">
        <f>IF(SER_hh_emi_in!N4=0,0,1000000*SER_hh_emi_in!N4/SER_hh_num_in!N4)</f>
        <v>15319.245337984272</v>
      </c>
      <c r="O4" s="131">
        <f>IF(SER_hh_emi_in!O4=0,0,1000000*SER_hh_emi_in!O4/SER_hh_num_in!O4)</f>
        <v>15865.180995408398</v>
      </c>
      <c r="P4" s="131">
        <f>IF(SER_hh_emi_in!P4=0,0,1000000*SER_hh_emi_in!P4/SER_hh_num_in!P4)</f>
        <v>16367.152463981336</v>
      </c>
      <c r="Q4" s="131">
        <f>IF(SER_hh_emi_in!Q4=0,0,1000000*SER_hh_emi_in!Q4/SER_hh_num_in!Q4)</f>
        <v>10511.030413022649</v>
      </c>
      <c r="R4" s="131">
        <f>IF(SER_hh_emi_in!R4=0,0,1000000*SER_hh_emi_in!R4/SER_hh_num_in!R4)</f>
        <v>8752.8353071445599</v>
      </c>
      <c r="S4" s="131">
        <f>IF(SER_hh_emi_in!S4=0,0,1000000*SER_hh_emi_in!S4/SER_hh_num_in!S4)</f>
        <v>4707.7547990211751</v>
      </c>
      <c r="T4" s="131">
        <f>IF(SER_hh_emi_in!T4=0,0,1000000*SER_hh_emi_in!T4/SER_hh_num_in!T4)</f>
        <v>4306.8345290112111</v>
      </c>
      <c r="U4" s="131">
        <f>IF(SER_hh_emi_in!U4=0,0,1000000*SER_hh_emi_in!U4/SER_hh_num_in!U4)</f>
        <v>2866.7076526202841</v>
      </c>
      <c r="V4" s="131">
        <f>IF(SER_hh_emi_in!V4=0,0,1000000*SER_hh_emi_in!V4/SER_hh_num_in!V4)</f>
        <v>1524.9559527619438</v>
      </c>
      <c r="W4" s="131">
        <f>IF(SER_hh_emi_in!W4=0,0,1000000*SER_hh_emi_in!W4/SER_hh_num_in!W4)</f>
        <v>1404.6973094022615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63274.816245717455</v>
      </c>
      <c r="D5" s="133">
        <f>IF(SER_hh_emi_in!D5=0,0,1000000*SER_hh_emi_in!D5/SER_hh_num_in!D5)</f>
        <v>54583.052216693075</v>
      </c>
      <c r="E5" s="133">
        <f>IF(SER_hh_emi_in!E5=0,0,1000000*SER_hh_emi_in!E5/SER_hh_num_in!E5)</f>
        <v>59264.581953657726</v>
      </c>
      <c r="F5" s="133">
        <f>IF(SER_hh_emi_in!F5=0,0,1000000*SER_hh_emi_in!F5/SER_hh_num_in!F5)</f>
        <v>0</v>
      </c>
      <c r="G5" s="133">
        <f>IF(SER_hh_emi_in!G5=0,0,1000000*SER_hh_emi_in!G5/SER_hh_num_in!G5)</f>
        <v>73290.079248644528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39000.557040428997</v>
      </c>
      <c r="N5" s="133">
        <f>IF(SER_hh_emi_in!N5=0,0,1000000*SER_hh_emi_in!N5/SER_hh_num_in!N5)</f>
        <v>45170.026673772511</v>
      </c>
      <c r="O5" s="133">
        <f>IF(SER_hh_emi_in!O5=0,0,1000000*SER_hh_emi_in!O5/SER_hh_num_in!O5)</f>
        <v>69315.172383947254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30120.34476915203</v>
      </c>
      <c r="W5" s="133">
        <f>IF(SER_hh_emi_in!W5=0,0,1000000*SER_hh_emi_in!W5/SER_hh_num_in!W5)</f>
        <v>24923.253752851531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59806.772294072471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47837.36813185666</v>
      </c>
      <c r="I7" s="133">
        <f>IF(SER_hh_emi_in!I7=0,0,1000000*SER_hh_emi_in!I7/SER_hh_num_in!I7)</f>
        <v>51828.68902584313</v>
      </c>
      <c r="J7" s="133">
        <f>IF(SER_hh_emi_in!J7=0,0,1000000*SER_hh_emi_in!J7/SER_hh_num_in!J7)</f>
        <v>53199.623198354653</v>
      </c>
      <c r="K7" s="133">
        <f>IF(SER_hh_emi_in!K7=0,0,1000000*SER_hh_emi_in!K7/SER_hh_num_in!K7)</f>
        <v>47867.088482490071</v>
      </c>
      <c r="L7" s="133">
        <f>IF(SER_hh_emi_in!L7=0,0,1000000*SER_hh_emi_in!L7/SER_hh_num_in!L7)</f>
        <v>37603.178488170801</v>
      </c>
      <c r="M7" s="133">
        <f>IF(SER_hh_emi_in!M7=0,0,1000000*SER_hh_emi_in!M7/SER_hh_num_in!M7)</f>
        <v>47060.215253481831</v>
      </c>
      <c r="N7" s="133">
        <f>IF(SER_hh_emi_in!N7=0,0,1000000*SER_hh_emi_in!N7/SER_hh_num_in!N7)</f>
        <v>45001.05174416276</v>
      </c>
      <c r="O7" s="133">
        <f>IF(SER_hh_emi_in!O7=0,0,1000000*SER_hh_emi_in!O7/SER_hh_num_in!O7)</f>
        <v>40023.032347276523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0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19803.92819966087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34237.815967231472</v>
      </c>
      <c r="D9" s="133">
        <f>IF(SER_hh_emi_in!D9=0,0,1000000*SER_hh_emi_in!D9/SER_hh_num_in!D9)</f>
        <v>24166.734717665116</v>
      </c>
      <c r="E9" s="133">
        <f>IF(SER_hh_emi_in!E9=0,0,1000000*SER_hh_emi_in!E9/SER_hh_num_in!E9)</f>
        <v>47456.58578897293</v>
      </c>
      <c r="F9" s="133">
        <f>IF(SER_hh_emi_in!F9=0,0,1000000*SER_hh_emi_in!F9/SER_hh_num_in!F9)</f>
        <v>40862.248754495638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0</v>
      </c>
      <c r="L9" s="133">
        <f>IF(SER_hh_emi_in!L9=0,0,1000000*SER_hh_emi_in!L9/SER_hh_num_in!L9)</f>
        <v>0</v>
      </c>
      <c r="M9" s="133">
        <f>IF(SER_hh_emi_in!M9=0,0,1000000*SER_hh_emi_in!M9/SER_hh_num_in!M9)</f>
        <v>26290.888350588415</v>
      </c>
      <c r="N9" s="133">
        <f>IF(SER_hh_emi_in!N9=0,0,1000000*SER_hh_emi_in!N9/SER_hh_num_in!N9)</f>
        <v>24129.193902051717</v>
      </c>
      <c r="O9" s="133">
        <f>IF(SER_hh_emi_in!O9=0,0,1000000*SER_hh_emi_in!O9/SER_hh_num_in!O9)</f>
        <v>23201.874171961055</v>
      </c>
      <c r="P9" s="133">
        <f>IF(SER_hh_emi_in!P9=0,0,1000000*SER_hh_emi_in!P9/SER_hh_num_in!P9)</f>
        <v>28975.149719697354</v>
      </c>
      <c r="Q9" s="133">
        <f>IF(SER_hh_emi_in!Q9=0,0,1000000*SER_hh_emi_in!Q9/SER_hh_num_in!Q9)</f>
        <v>25799.388372427176</v>
      </c>
      <c r="R9" s="133">
        <f>IF(SER_hh_emi_in!R9=0,0,1000000*SER_hh_emi_in!R9/SER_hh_num_in!R9)</f>
        <v>26207.276146315842</v>
      </c>
      <c r="S9" s="133">
        <f>IF(SER_hh_emi_in!S9=0,0,1000000*SER_hh_emi_in!S9/SER_hh_num_in!S9)</f>
        <v>21493.567425978064</v>
      </c>
      <c r="T9" s="133">
        <f>IF(SER_hh_emi_in!T9=0,0,1000000*SER_hh_emi_in!T9/SER_hh_num_in!T9)</f>
        <v>21614.601774547809</v>
      </c>
      <c r="U9" s="133">
        <f>IF(SER_hh_emi_in!U9=0,0,1000000*SER_hh_emi_in!U9/SER_hh_num_in!U9)</f>
        <v>18439.806650712977</v>
      </c>
      <c r="V9" s="133">
        <f>IF(SER_hh_emi_in!V9=0,0,1000000*SER_hh_emi_in!V9/SER_hh_num_in!V9)</f>
        <v>17134.505688399378</v>
      </c>
      <c r="W9" s="133">
        <f>IF(SER_hh_emi_in!W9=0,0,1000000*SER_hh_emi_in!W9/SER_hh_num_in!W9)</f>
        <v>15306.895245281541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1953.9334775045818</v>
      </c>
      <c r="D19" s="131">
        <f>IF(SER_hh_emi_in!D19=0,0,1000000*SER_hh_emi_in!D19/SER_hh_num_in!D19)</f>
        <v>586.41015758331855</v>
      </c>
      <c r="E19" s="131">
        <f>IF(SER_hh_emi_in!E19=0,0,1000000*SER_hh_emi_in!E19/SER_hh_num_in!E19)</f>
        <v>427.87161041956216</v>
      </c>
      <c r="F19" s="131">
        <f>IF(SER_hh_emi_in!F19=0,0,1000000*SER_hh_emi_in!F19/SER_hh_num_in!F19)</f>
        <v>311.93108824563518</v>
      </c>
      <c r="G19" s="131">
        <f>IF(SER_hh_emi_in!G19=0,0,1000000*SER_hh_emi_in!G19/SER_hh_num_in!G19)</f>
        <v>258.10396566579573</v>
      </c>
      <c r="H19" s="131">
        <f>IF(SER_hh_emi_in!H19=0,0,1000000*SER_hh_emi_in!H19/SER_hh_num_in!H19)</f>
        <v>251.71276732064902</v>
      </c>
      <c r="I19" s="131">
        <f>IF(SER_hh_emi_in!I19=0,0,1000000*SER_hh_emi_in!I19/SER_hh_num_in!I19)</f>
        <v>903.97866407466631</v>
      </c>
      <c r="J19" s="131">
        <f>IF(SER_hh_emi_in!J19=0,0,1000000*SER_hh_emi_in!J19/SER_hh_num_in!J19)</f>
        <v>1952.3108744778367</v>
      </c>
      <c r="K19" s="131">
        <f>IF(SER_hh_emi_in!K19=0,0,1000000*SER_hh_emi_in!K19/SER_hh_num_in!K19)</f>
        <v>1657.6383776029677</v>
      </c>
      <c r="L19" s="131">
        <f>IF(SER_hh_emi_in!L19=0,0,1000000*SER_hh_emi_in!L19/SER_hh_num_in!L19)</f>
        <v>1295.9458045548463</v>
      </c>
      <c r="M19" s="131">
        <f>IF(SER_hh_emi_in!M19=0,0,1000000*SER_hh_emi_in!M19/SER_hh_num_in!M19)</f>
        <v>1252.7660004219085</v>
      </c>
      <c r="N19" s="131">
        <f>IF(SER_hh_emi_in!N19=0,0,1000000*SER_hh_emi_in!N19/SER_hh_num_in!N19)</f>
        <v>1450.3457352747869</v>
      </c>
      <c r="O19" s="131">
        <f>IF(SER_hh_emi_in!O19=0,0,1000000*SER_hh_emi_in!O19/SER_hh_num_in!O19)</f>
        <v>2035.3423400245231</v>
      </c>
      <c r="P19" s="131">
        <f>IF(SER_hh_emi_in!P19=0,0,1000000*SER_hh_emi_in!P19/SER_hh_num_in!P19)</f>
        <v>2459.5520163001356</v>
      </c>
      <c r="Q19" s="131">
        <f>IF(SER_hh_emi_in!Q19=0,0,1000000*SER_hh_emi_in!Q19/SER_hh_num_in!Q19)</f>
        <v>1220.0043812529645</v>
      </c>
      <c r="R19" s="131">
        <f>IF(SER_hh_emi_in!R19=0,0,1000000*SER_hh_emi_in!R19/SER_hh_num_in!R19)</f>
        <v>999.62742518939694</v>
      </c>
      <c r="S19" s="131">
        <f>IF(SER_hh_emi_in!S19=0,0,1000000*SER_hh_emi_in!S19/SER_hh_num_in!S19)</f>
        <v>821.10667715741636</v>
      </c>
      <c r="T19" s="131">
        <f>IF(SER_hh_emi_in!T19=0,0,1000000*SER_hh_emi_in!T19/SER_hh_num_in!T19)</f>
        <v>869.10065044100315</v>
      </c>
      <c r="U19" s="131">
        <f>IF(SER_hh_emi_in!U19=0,0,1000000*SER_hh_emi_in!U19/SER_hh_num_in!U19)</f>
        <v>717.65112646781506</v>
      </c>
      <c r="V19" s="131">
        <f>IF(SER_hh_emi_in!V19=0,0,1000000*SER_hh_emi_in!V19/SER_hh_num_in!V19)</f>
        <v>654.51077001108774</v>
      </c>
      <c r="W19" s="131">
        <f>IF(SER_hh_emi_in!W19=0,0,1000000*SER_hh_emi_in!W19/SER_hh_num_in!W19)</f>
        <v>586.64596620586963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9309.6849753911683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7246.1786644204021</v>
      </c>
      <c r="J22" s="133">
        <f>IF(SER_hh_emi_in!J22=0,0,1000000*SER_hh_emi_in!J22/SER_hh_num_in!J22)</f>
        <v>7340.6422990295923</v>
      </c>
      <c r="K22" s="133">
        <f>IF(SER_hh_emi_in!K22=0,0,1000000*SER_hh_emi_in!K22/SER_hh_num_in!K22)</f>
        <v>7141.4690460030906</v>
      </c>
      <c r="L22" s="133">
        <f>IF(SER_hh_emi_in!L22=0,0,1000000*SER_hh_emi_in!L22/SER_hh_num_in!L22)</f>
        <v>7038.538293203027</v>
      </c>
      <c r="M22" s="133">
        <f>IF(SER_hh_emi_in!M22=0,0,1000000*SER_hh_emi_in!M22/SER_hh_num_in!M22)</f>
        <v>6920.81908639418</v>
      </c>
      <c r="N22" s="133">
        <f>IF(SER_hh_emi_in!N22=0,0,1000000*SER_hh_emi_in!N22/SER_hh_num_in!N22)</f>
        <v>6652.1442174469848</v>
      </c>
      <c r="O22" s="133">
        <f>IF(SER_hh_emi_in!O22=0,0,1000000*SER_hh_emi_in!O22/SER_hh_num_in!O22)</f>
        <v>6332.0234920826133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4518.1316183299641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6969.37666163413</v>
      </c>
      <c r="D23" s="133">
        <f>IF(SER_hh_emi_in!D23=0,0,1000000*SER_hh_emi_in!D23/SER_hh_num_in!D23)</f>
        <v>6203.7004123510651</v>
      </c>
      <c r="E23" s="133">
        <f>IF(SER_hh_emi_in!E23=0,0,1000000*SER_hh_emi_in!E23/SER_hh_num_in!E23)</f>
        <v>5742.8714388647268</v>
      </c>
      <c r="F23" s="133">
        <f>IF(SER_hh_emi_in!F23=0,0,1000000*SER_hh_emi_in!F23/SER_hh_num_in!F23)</f>
        <v>5412.0676001643633</v>
      </c>
      <c r="G23" s="133">
        <f>IF(SER_hh_emi_in!G23=0,0,1000000*SER_hh_emi_in!G23/SER_hh_num_in!G23)</f>
        <v>5195.4538650898994</v>
      </c>
      <c r="H23" s="133">
        <f>IF(SER_hh_emi_in!H23=0,0,1000000*SER_hh_emi_in!H23/SER_hh_num_in!H23)</f>
        <v>5050.2098520213722</v>
      </c>
      <c r="I23" s="133">
        <f>IF(SER_hh_emi_in!I23=0,0,1000000*SER_hh_emi_in!I23/SER_hh_num_in!I23)</f>
        <v>4796.7641293593506</v>
      </c>
      <c r="J23" s="133">
        <f>IF(SER_hh_emi_in!J23=0,0,1000000*SER_hh_emi_in!J23/SER_hh_num_in!J23)</f>
        <v>4660.8815958934056</v>
      </c>
      <c r="K23" s="133">
        <f>IF(SER_hh_emi_in!K23=0,0,1000000*SER_hh_emi_in!K23/SER_hh_num_in!K23)</f>
        <v>4486.0192046733509</v>
      </c>
      <c r="L23" s="133">
        <f>IF(SER_hh_emi_in!L23=0,0,1000000*SER_hh_emi_in!L23/SER_hh_num_in!L23)</f>
        <v>4171.4750841714513</v>
      </c>
      <c r="M23" s="133">
        <f>IF(SER_hh_emi_in!M23=0,0,1000000*SER_hh_emi_in!M23/SER_hh_num_in!M23)</f>
        <v>4353.0780880743732</v>
      </c>
      <c r="N23" s="133">
        <f>IF(SER_hh_emi_in!N23=0,0,1000000*SER_hh_emi_in!N23/SER_hh_num_in!N23)</f>
        <v>3782.9088443782343</v>
      </c>
      <c r="O23" s="133">
        <f>IF(SER_hh_emi_in!O23=0,0,1000000*SER_hh_emi_in!O23/SER_hh_num_in!O23)</f>
        <v>3918.8591374647385</v>
      </c>
      <c r="P23" s="133">
        <f>IF(SER_hh_emi_in!P23=0,0,1000000*SER_hh_emi_in!P23/SER_hh_num_in!P23)</f>
        <v>4300.9762653142379</v>
      </c>
      <c r="Q23" s="133">
        <f>IF(SER_hh_emi_in!Q23=0,0,1000000*SER_hh_emi_in!Q23/SER_hh_num_in!Q23)</f>
        <v>3829.6144281527131</v>
      </c>
      <c r="R23" s="133">
        <f>IF(SER_hh_emi_in!R23=0,0,1000000*SER_hh_emi_in!R23/SER_hh_num_in!R23)</f>
        <v>3430.512507216577</v>
      </c>
      <c r="S23" s="133">
        <f>IF(SER_hh_emi_in!S23=0,0,1000000*SER_hh_emi_in!S23/SER_hh_num_in!S23)</f>
        <v>3454.1613417011399</v>
      </c>
      <c r="T23" s="133">
        <f>IF(SER_hh_emi_in!T23=0,0,1000000*SER_hh_emi_in!T23/SER_hh_num_in!T23)</f>
        <v>3474.2096946312649</v>
      </c>
      <c r="U23" s="133">
        <f>IF(SER_hh_emi_in!U23=0,0,1000000*SER_hh_emi_in!U23/SER_hh_num_in!U23)</f>
        <v>3473.0753511447747</v>
      </c>
      <c r="V23" s="133">
        <f>IF(SER_hh_emi_in!V23=0,0,1000000*SER_hh_emi_in!V23/SER_hh_num_in!V23)</f>
        <v>3322.0250061122979</v>
      </c>
      <c r="W23" s="133">
        <f>IF(SER_hh_emi_in!W23=0,0,1000000*SER_hh_emi_in!W23/SER_hh_num_in!W23)</f>
        <v>3020.3537327489653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2206.6025669530504</v>
      </c>
      <c r="D29" s="131">
        <f>IF(SER_hh_emi_in!D29=0,0,1000000*SER_hh_emi_in!D29/SER_hh_num_in!D29)</f>
        <v>1865.9730456240277</v>
      </c>
      <c r="E29" s="131">
        <f>IF(SER_hh_emi_in!E29=0,0,1000000*SER_hh_emi_in!E29/SER_hh_num_in!E29)</f>
        <v>965.0109884892845</v>
      </c>
      <c r="F29" s="131">
        <f>IF(SER_hh_emi_in!F29=0,0,1000000*SER_hh_emi_in!F29/SER_hh_num_in!F29)</f>
        <v>2115.1840956884848</v>
      </c>
      <c r="G29" s="131">
        <f>IF(SER_hh_emi_in!G29=0,0,1000000*SER_hh_emi_in!G29/SER_hh_num_in!G29)</f>
        <v>507.81868985358818</v>
      </c>
      <c r="H29" s="131">
        <f>IF(SER_hh_emi_in!H29=0,0,1000000*SER_hh_emi_in!H29/SER_hh_num_in!H29)</f>
        <v>349.13897314339346</v>
      </c>
      <c r="I29" s="131">
        <f>IF(SER_hh_emi_in!I29=0,0,1000000*SER_hh_emi_in!I29/SER_hh_num_in!I29)</f>
        <v>219.11526708617802</v>
      </c>
      <c r="J29" s="131">
        <f>IF(SER_hh_emi_in!J29=0,0,1000000*SER_hh_emi_in!J29/SER_hh_num_in!J29)</f>
        <v>318.19838480782113</v>
      </c>
      <c r="K29" s="131">
        <f>IF(SER_hh_emi_in!K29=0,0,1000000*SER_hh_emi_in!K29/SER_hh_num_in!K29)</f>
        <v>341.13791449816671</v>
      </c>
      <c r="L29" s="131">
        <f>IF(SER_hh_emi_in!L29=0,0,1000000*SER_hh_emi_in!L29/SER_hh_num_in!L29)</f>
        <v>757.54516389682067</v>
      </c>
      <c r="M29" s="131">
        <f>IF(SER_hh_emi_in!M29=0,0,1000000*SER_hh_emi_in!M29/SER_hh_num_in!M29)</f>
        <v>1044.0006778887071</v>
      </c>
      <c r="N29" s="131">
        <f>IF(SER_hh_emi_in!N29=0,0,1000000*SER_hh_emi_in!N29/SER_hh_num_in!N29)</f>
        <v>1305.5852211419785</v>
      </c>
      <c r="O29" s="131">
        <f>IF(SER_hh_emi_in!O29=0,0,1000000*SER_hh_emi_in!O29/SER_hh_num_in!O29)</f>
        <v>1252.0582039517697</v>
      </c>
      <c r="P29" s="131">
        <f>IF(SER_hh_emi_in!P29=0,0,1000000*SER_hh_emi_in!P29/SER_hh_num_in!P29)</f>
        <v>1243.7093831959594</v>
      </c>
      <c r="Q29" s="131">
        <f>IF(SER_hh_emi_in!Q29=0,0,1000000*SER_hh_emi_in!Q29/SER_hh_num_in!Q29)</f>
        <v>1199.1591462210017</v>
      </c>
      <c r="R29" s="131">
        <f>IF(SER_hh_emi_in!R29=0,0,1000000*SER_hh_emi_in!R29/SER_hh_num_in!R29)</f>
        <v>2262.0560319304682</v>
      </c>
      <c r="S29" s="131">
        <f>IF(SER_hh_emi_in!S29=0,0,1000000*SER_hh_emi_in!S29/SER_hh_num_in!S29)</f>
        <v>1252.5677434802583</v>
      </c>
      <c r="T29" s="131">
        <f>IF(SER_hh_emi_in!T29=0,0,1000000*SER_hh_emi_in!T29/SER_hh_num_in!T29)</f>
        <v>1252.8807995351201</v>
      </c>
      <c r="U29" s="131">
        <f>IF(SER_hh_emi_in!U29=0,0,1000000*SER_hh_emi_in!U29/SER_hh_num_in!U29)</f>
        <v>1388.3329985288708</v>
      </c>
      <c r="V29" s="131">
        <f>IF(SER_hh_emi_in!V29=0,0,1000000*SER_hh_emi_in!V29/SER_hh_num_in!V29)</f>
        <v>1389.6569655825779</v>
      </c>
      <c r="W29" s="131">
        <f>IF(SER_hh_emi_in!W29=0,0,1000000*SER_hh_emi_in!W29/SER_hh_num_in!W29)</f>
        <v>1018.7731312491127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9007.6525279175476</v>
      </c>
      <c r="G30" s="133">
        <f>IF(SER_hh_emi_in!G30=0,0,1000000*SER_hh_emi_in!G30/SER_hh_num_in!G30)</f>
        <v>6981.4516134508503</v>
      </c>
      <c r="H30" s="133">
        <f>IF(SER_hh_emi_in!H30=0,0,1000000*SER_hh_emi_in!H30/SER_hh_num_in!H30)</f>
        <v>6225.110857518991</v>
      </c>
      <c r="I30" s="133">
        <f>IF(SER_hh_emi_in!I30=0,0,1000000*SER_hh_emi_in!I30/SER_hh_num_in!I30)</f>
        <v>6229.5645010064836</v>
      </c>
      <c r="J30" s="133">
        <f>IF(SER_hh_emi_in!J30=0,0,1000000*SER_hh_emi_in!J30/SER_hh_num_in!J30)</f>
        <v>6328.8825768715014</v>
      </c>
      <c r="K30" s="133">
        <f>IF(SER_hh_emi_in!K30=0,0,1000000*SER_hh_emi_in!K30/SER_hh_num_in!K30)</f>
        <v>6467.795113149823</v>
      </c>
      <c r="L30" s="133">
        <f>IF(SER_hh_emi_in!L30=0,0,1000000*SER_hh_emi_in!L30/SER_hh_num_in!L30)</f>
        <v>6494.6569691986306</v>
      </c>
      <c r="M30" s="133">
        <f>IF(SER_hh_emi_in!M30=0,0,1000000*SER_hh_emi_in!M30/SER_hh_num_in!M30)</f>
        <v>6508.3774834902961</v>
      </c>
      <c r="N30" s="133">
        <f>IF(SER_hh_emi_in!N30=0,0,1000000*SER_hh_emi_in!N30/SER_hh_num_in!N30)</f>
        <v>6540.2761890497277</v>
      </c>
      <c r="O30" s="133">
        <f>IF(SER_hh_emi_in!O30=0,0,1000000*SER_hh_emi_in!O30/SER_hh_num_in!O30)</f>
        <v>6515.8085620456841</v>
      </c>
      <c r="P30" s="133">
        <f>IF(SER_hh_emi_in!P30=0,0,1000000*SER_hh_emi_in!P30/SER_hh_num_in!P30)</f>
        <v>5875.5607937070126</v>
      </c>
      <c r="Q30" s="133">
        <f>IF(SER_hh_emi_in!Q30=0,0,1000000*SER_hh_emi_in!Q30/SER_hh_num_in!Q30)</f>
        <v>4572.8605337420249</v>
      </c>
      <c r="R30" s="133">
        <f>IF(SER_hh_emi_in!R30=0,0,1000000*SER_hh_emi_in!R30/SER_hh_num_in!R30)</f>
        <v>7072.3159080992336</v>
      </c>
      <c r="S30" s="133">
        <f>IF(SER_hh_emi_in!S30=0,0,1000000*SER_hh_emi_in!S30/SER_hh_num_in!S30)</f>
        <v>10067.417673219124</v>
      </c>
      <c r="T30" s="133">
        <f>IF(SER_hh_emi_in!T30=0,0,1000000*SER_hh_emi_in!T30/SER_hh_num_in!T30)</f>
        <v>3227.7989242403396</v>
      </c>
      <c r="U30" s="133">
        <f>IF(SER_hh_emi_in!U30=0,0,1000000*SER_hh_emi_in!U30/SER_hh_num_in!U30)</f>
        <v>6492.8197431025865</v>
      </c>
      <c r="V30" s="133">
        <f>IF(SER_hh_emi_in!V30=0,0,1000000*SER_hh_emi_in!V30/SER_hh_num_in!V30)</f>
        <v>6678.9594934090819</v>
      </c>
      <c r="W30" s="133">
        <f>IF(SER_hh_emi_in!W30=0,0,1000000*SER_hh_emi_in!W30/SER_hh_num_in!W30)</f>
        <v>4876.3009981811801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6616.2609301796429</v>
      </c>
      <c r="D31" s="133">
        <f>IF(SER_hh_emi_in!D31=0,0,1000000*SER_hh_emi_in!D31/SER_hh_num_in!D31)</f>
        <v>7047.3265317996611</v>
      </c>
      <c r="E31" s="133">
        <f>IF(SER_hh_emi_in!E31=0,0,1000000*SER_hh_emi_in!E31/SER_hh_num_in!E31)</f>
        <v>6291.0426722607617</v>
      </c>
      <c r="F31" s="133">
        <f>IF(SER_hh_emi_in!F31=0,0,1000000*SER_hh_emi_in!F31/SER_hh_num_in!F31)</f>
        <v>5999.5316499667142</v>
      </c>
      <c r="G31" s="133">
        <f>IF(SER_hh_emi_in!G31=0,0,1000000*SER_hh_emi_in!G31/SER_hh_num_in!G31)</f>
        <v>5881.0213014540295</v>
      </c>
      <c r="H31" s="133">
        <f>IF(SER_hh_emi_in!H31=0,0,1000000*SER_hh_emi_in!H31/SER_hh_num_in!H31)</f>
        <v>5764.0318051104769</v>
      </c>
      <c r="I31" s="133">
        <f>IF(SER_hh_emi_in!I31=0,0,1000000*SER_hh_emi_in!I31/SER_hh_num_in!I31)</f>
        <v>5750.2896223037333</v>
      </c>
      <c r="J31" s="133">
        <f>IF(SER_hh_emi_in!J31=0,0,1000000*SER_hh_emi_in!J31/SER_hh_num_in!J31)</f>
        <v>5838.0687392073014</v>
      </c>
      <c r="K31" s="133">
        <f>IF(SER_hh_emi_in!K31=0,0,1000000*SER_hh_emi_in!K31/SER_hh_num_in!K31)</f>
        <v>5554.8274065002279</v>
      </c>
      <c r="L31" s="133">
        <f>IF(SER_hh_emi_in!L31=0,0,1000000*SER_hh_emi_in!L31/SER_hh_num_in!L31)</f>
        <v>5862.939007129271</v>
      </c>
      <c r="M31" s="133">
        <f>IF(SER_hh_emi_in!M31=0,0,1000000*SER_hh_emi_in!M31/SER_hh_num_in!M31)</f>
        <v>5857.6832413084458</v>
      </c>
      <c r="N31" s="133">
        <f>IF(SER_hh_emi_in!N31=0,0,1000000*SER_hh_emi_in!N31/SER_hh_num_in!N31)</f>
        <v>6070.7984304120637</v>
      </c>
      <c r="O31" s="133">
        <f>IF(SER_hh_emi_in!O31=0,0,1000000*SER_hh_emi_in!O31/SER_hh_num_in!O31)</f>
        <v>5818.5292892827993</v>
      </c>
      <c r="P31" s="133">
        <f>IF(SER_hh_emi_in!P31=0,0,1000000*SER_hh_emi_in!P31/SER_hh_num_in!P31)</f>
        <v>5640.4317915920437</v>
      </c>
      <c r="Q31" s="133">
        <f>IF(SER_hh_emi_in!Q31=0,0,1000000*SER_hh_emi_in!Q31/SER_hh_num_in!Q31)</f>
        <v>5262.4170558608703</v>
      </c>
      <c r="R31" s="133">
        <f>IF(SER_hh_emi_in!R31=0,0,1000000*SER_hh_emi_in!R31/SER_hh_num_in!R31)</f>
        <v>5991.8155106755939</v>
      </c>
      <c r="S31" s="133">
        <f>IF(SER_hh_emi_in!S31=0,0,1000000*SER_hh_emi_in!S31/SER_hh_num_in!S31)</f>
        <v>5388.2559925217856</v>
      </c>
      <c r="T31" s="133">
        <f>IF(SER_hh_emi_in!T31=0,0,1000000*SER_hh_emi_in!T31/SER_hh_num_in!T31)</f>
        <v>5344.0297450785147</v>
      </c>
      <c r="U31" s="133">
        <f>IF(SER_hh_emi_in!U31=0,0,1000000*SER_hh_emi_in!U31/SER_hh_num_in!U31)</f>
        <v>5693.1331190036308</v>
      </c>
      <c r="V31" s="133">
        <f>IF(SER_hh_emi_in!V31=0,0,1000000*SER_hh_emi_in!V31/SER_hh_num_in!V31)</f>
        <v>5144.5102331977932</v>
      </c>
      <c r="W31" s="133">
        <f>IF(SER_hh_emi_in!W31=0,0,1000000*SER_hh_emi_in!W31/SER_hh_num_in!W31)</f>
        <v>4806.723687991087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228.00362786509979</v>
      </c>
      <c r="D3" s="126">
        <f>IF(SER_hh_fech_in!D3=0,0,SER_hh_fech_in!D3/SER_summary!D$27)</f>
        <v>200.69689886524608</v>
      </c>
      <c r="E3" s="126">
        <f>IF(SER_hh_fech_in!E3=0,0,SER_hh_fech_in!E3/SER_summary!E$27)</f>
        <v>260.61626776860209</v>
      </c>
      <c r="F3" s="126">
        <f>IF(SER_hh_fech_in!F3=0,0,SER_hh_fech_in!F3/SER_summary!F$27)</f>
        <v>240.23388749725663</v>
      </c>
      <c r="G3" s="126">
        <f>IF(SER_hh_fech_in!G3=0,0,SER_hh_fech_in!G3/SER_summary!G$27)</f>
        <v>222.05404589136938</v>
      </c>
      <c r="H3" s="126">
        <f>IF(SER_hh_fech_in!H3=0,0,SER_hh_fech_in!H3/SER_summary!H$27)</f>
        <v>207.92075761634283</v>
      </c>
      <c r="I3" s="126">
        <f>IF(SER_hh_fech_in!I3=0,0,SER_hh_fech_in!I3/SER_summary!I$27)</f>
        <v>206.51100371402006</v>
      </c>
      <c r="J3" s="126">
        <f>IF(SER_hh_fech_in!J3=0,0,SER_hh_fech_in!J3/SER_summary!J$27)</f>
        <v>230.96040759976989</v>
      </c>
      <c r="K3" s="126">
        <f>IF(SER_hh_fech_in!K3=0,0,SER_hh_fech_in!K3/SER_summary!K$27)</f>
        <v>223.48031620093315</v>
      </c>
      <c r="L3" s="126">
        <f>IF(SER_hh_fech_in!L3=0,0,SER_hh_fech_in!L3/SER_summary!L$27)</f>
        <v>216.82980745790425</v>
      </c>
      <c r="M3" s="126">
        <f>IF(SER_hh_fech_in!M3=0,0,SER_hh_fech_in!M3/SER_summary!M$27)</f>
        <v>208.63180722545491</v>
      </c>
      <c r="N3" s="126">
        <f>IF(SER_hh_fech_in!N3=0,0,SER_hh_fech_in!N3/SER_summary!N$27)</f>
        <v>197.95192572732711</v>
      </c>
      <c r="O3" s="126">
        <f>IF(SER_hh_fech_in!O3=0,0,SER_hh_fech_in!O3/SER_summary!O$27)</f>
        <v>188.58831164562727</v>
      </c>
      <c r="P3" s="126">
        <f>IF(SER_hh_fech_in!P3=0,0,SER_hh_fech_in!P3/SER_summary!P$27)</f>
        <v>205.75605685095408</v>
      </c>
      <c r="Q3" s="126">
        <f>IF(SER_hh_fech_in!Q3=0,0,SER_hh_fech_in!Q3/SER_summary!Q$27)</f>
        <v>179.58589446149404</v>
      </c>
      <c r="R3" s="126">
        <f>IF(SER_hh_fech_in!R3=0,0,SER_hh_fech_in!R3/SER_summary!R$27)</f>
        <v>190.27454399751781</v>
      </c>
      <c r="S3" s="126">
        <f>IF(SER_hh_fech_in!S3=0,0,SER_hh_fech_in!S3/SER_summary!S$27)</f>
        <v>162.00979270805152</v>
      </c>
      <c r="T3" s="126">
        <f>IF(SER_hh_fech_in!T3=0,0,SER_hh_fech_in!T3/SER_summary!T$27)</f>
        <v>158.85013521448792</v>
      </c>
      <c r="U3" s="126">
        <f>IF(SER_hh_fech_in!U3=0,0,SER_hh_fech_in!U3/SER_summary!U$27)</f>
        <v>141.68235257673859</v>
      </c>
      <c r="V3" s="126">
        <f>IF(SER_hh_fech_in!V3=0,0,SER_hh_fech_in!V3/SER_summary!V$27)</f>
        <v>128.0611178692341</v>
      </c>
      <c r="W3" s="126">
        <f>IF(SER_hh_fech_in!W3=0,0,SER_hh_fech_in!W3/SER_summary!W$27)</f>
        <v>120.7807026925382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167.61269820775883</v>
      </c>
      <c r="D4" s="131">
        <f>IF(SER_hh_fech_in!D4=0,0,SER_hh_fech_in!D4/SER_summary!D$27)</f>
        <v>143.87669338638736</v>
      </c>
      <c r="E4" s="131">
        <f>IF(SER_hh_fech_in!E4=0,0,SER_hh_fech_in!E4/SER_summary!E$27)</f>
        <v>206.01005638620691</v>
      </c>
      <c r="F4" s="131">
        <f>IF(SER_hh_fech_in!F4=0,0,SER_hh_fech_in!F4/SER_summary!F$27)</f>
        <v>184.92952049983629</v>
      </c>
      <c r="G4" s="131">
        <f>IF(SER_hh_fech_in!G4=0,0,SER_hh_fech_in!G4/SER_summary!G$27)</f>
        <v>170.46558533527647</v>
      </c>
      <c r="H4" s="131">
        <f>IF(SER_hh_fech_in!H4=0,0,SER_hh_fech_in!H4/SER_summary!H$27)</f>
        <v>158.26794920251353</v>
      </c>
      <c r="I4" s="131">
        <f>IF(SER_hh_fech_in!I4=0,0,SER_hh_fech_in!I4/SER_summary!I$27)</f>
        <v>157.66471550833677</v>
      </c>
      <c r="J4" s="131">
        <f>IF(SER_hh_fech_in!J4=0,0,SER_hh_fech_in!J4/SER_summary!J$27)</f>
        <v>176.79533100822442</v>
      </c>
      <c r="K4" s="131">
        <f>IF(SER_hh_fech_in!K4=0,0,SER_hh_fech_in!K4/SER_summary!K$27)</f>
        <v>168.62350592303238</v>
      </c>
      <c r="L4" s="131">
        <f>IF(SER_hh_fech_in!L4=0,0,SER_hh_fech_in!L4/SER_summary!L$27)</f>
        <v>160.65576464280531</v>
      </c>
      <c r="M4" s="131">
        <f>IF(SER_hh_fech_in!M4=0,0,SER_hh_fech_in!M4/SER_summary!M$27)</f>
        <v>156.63802991704767</v>
      </c>
      <c r="N4" s="131">
        <f>IF(SER_hh_fech_in!N4=0,0,SER_hh_fech_in!N4/SER_summary!N$27)</f>
        <v>146.05670957617133</v>
      </c>
      <c r="O4" s="131">
        <f>IF(SER_hh_fech_in!O4=0,0,SER_hh_fech_in!O4/SER_summary!O$27)</f>
        <v>134.68483466514019</v>
      </c>
      <c r="P4" s="131">
        <f>IF(SER_hh_fech_in!P4=0,0,SER_hh_fech_in!P4/SER_summary!P$27)</f>
        <v>153.85408471936671</v>
      </c>
      <c r="Q4" s="131">
        <f>IF(SER_hh_fech_in!Q4=0,0,SER_hh_fech_in!Q4/SER_summary!Q$27)</f>
        <v>131.83385092832481</v>
      </c>
      <c r="R4" s="131">
        <f>IF(SER_hh_fech_in!R4=0,0,SER_hh_fech_in!R4/SER_summary!R$27)</f>
        <v>140.19285147303731</v>
      </c>
      <c r="S4" s="131">
        <f>IF(SER_hh_fech_in!S4=0,0,SER_hh_fech_in!S4/SER_summary!S$27)</f>
        <v>116.30473275845877</v>
      </c>
      <c r="T4" s="131">
        <f>IF(SER_hh_fech_in!T4=0,0,SER_hh_fech_in!T4/SER_summary!T$27)</f>
        <v>112.88849047425394</v>
      </c>
      <c r="U4" s="131">
        <f>IF(SER_hh_fech_in!U4=0,0,SER_hh_fech_in!U4/SER_summary!U$27)</f>
        <v>96.336846448451112</v>
      </c>
      <c r="V4" s="131">
        <f>IF(SER_hh_fech_in!V4=0,0,SER_hh_fech_in!V4/SER_summary!V$27)</f>
        <v>87.244139392047217</v>
      </c>
      <c r="W4" s="131">
        <f>IF(SER_hh_fech_in!W4=0,0,SER_hh_fech_in!W4/SER_summary!W$27)</f>
        <v>77.14957914118034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202.68990618995124</v>
      </c>
      <c r="D5" s="133">
        <f>IF(SER_hh_fech_in!D5=0,0,SER_hh_fech_in!D5/SER_summary!D$27)</f>
        <v>173.64863231352808</v>
      </c>
      <c r="E5" s="133">
        <f>IF(SER_hh_fech_in!E5=0,0,SER_hh_fech_in!E5/SER_summary!E$27)</f>
        <v>187.56474909158001</v>
      </c>
      <c r="F5" s="133">
        <f>IF(SER_hh_fech_in!F5=0,0,SER_hh_fech_in!F5/SER_summary!F$27)</f>
        <v>0</v>
      </c>
      <c r="G5" s="133">
        <f>IF(SER_hh_fech_in!G5=0,0,SER_hh_fech_in!G5/SER_summary!G$27)</f>
        <v>233.7206529775261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122.95589062119892</v>
      </c>
      <c r="N5" s="133">
        <f>IF(SER_hh_fech_in!N5=0,0,SER_hh_fech_in!N5/SER_summary!N$27)</f>
        <v>140.68588890145108</v>
      </c>
      <c r="O5" s="133">
        <f>IF(SER_hh_fech_in!O5=0,0,SER_hh_fech_in!O5/SER_summary!O$27)</f>
        <v>218.47011254092035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98.4048497307205</v>
      </c>
      <c r="W5" s="133">
        <f>IF(SER_hh_fech_in!W5=0,0,SER_hh_fech_in!W5/SER_summary!W$27)</f>
        <v>81.481383513711975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243.68384122684643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198.57076372037739</v>
      </c>
      <c r="I7" s="133">
        <f>IF(SER_hh_fech_in!I7=0,0,SER_hh_fech_in!I7/SER_summary!I$27)</f>
        <v>215.69105205868402</v>
      </c>
      <c r="J7" s="133">
        <f>IF(SER_hh_fech_in!J7=0,0,SER_hh_fech_in!J7/SER_summary!J$27)</f>
        <v>221.50006796735181</v>
      </c>
      <c r="K7" s="133">
        <f>IF(SER_hh_fech_in!K7=0,0,SER_hh_fech_in!K7/SER_summary!K$27)</f>
        <v>199.46427754689702</v>
      </c>
      <c r="L7" s="133">
        <f>IF(SER_hh_fech_in!L7=0,0,SER_hh_fech_in!L7/SER_summary!L$27)</f>
        <v>156.32027907803987</v>
      </c>
      <c r="M7" s="133">
        <f>IF(SER_hh_fech_in!M7=0,0,SER_hh_fech_in!M7/SER_summary!M$27)</f>
        <v>195.97833960783754</v>
      </c>
      <c r="N7" s="133">
        <f>IF(SER_hh_fech_in!N7=0,0,SER_hh_fech_in!N7/SER_summary!N$27)</f>
        <v>187.5017473115725</v>
      </c>
      <c r="O7" s="133">
        <f>IF(SER_hh_fech_in!O7=0,0,SER_hh_fech_in!O7/SER_summary!O$27)</f>
        <v>166.69145366971387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0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82.692818247784928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188.36412032763067</v>
      </c>
      <c r="D9" s="133">
        <f>IF(SER_hh_fech_in!D9=0,0,SER_hh_fech_in!D9/SER_summary!D$27)</f>
        <v>132.9566620324438</v>
      </c>
      <c r="E9" s="133">
        <f>IF(SER_hh_fech_in!E9=0,0,SER_hh_fech_in!E9/SER_summary!E$27)</f>
        <v>261.08902636920908</v>
      </c>
      <c r="F9" s="133">
        <f>IF(SER_hh_fech_in!F9=0,0,SER_hh_fech_in!F9/SER_summary!F$27)</f>
        <v>224.80936133940511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0</v>
      </c>
      <c r="L9" s="133">
        <f>IF(SER_hh_fech_in!L9=0,0,SER_hh_fech_in!L9/SER_summary!L$27)</f>
        <v>0</v>
      </c>
      <c r="M9" s="133">
        <f>IF(SER_hh_fech_in!M9=0,0,SER_hh_fech_in!M9/SER_summary!M$27)</f>
        <v>149.5468081747558</v>
      </c>
      <c r="N9" s="133">
        <f>IF(SER_hh_fech_in!N9=0,0,SER_hh_fech_in!N9/SER_summary!N$27)</f>
        <v>135.47813290375998</v>
      </c>
      <c r="O9" s="133">
        <f>IF(SER_hh_fech_in!O9=0,0,SER_hh_fech_in!O9/SER_summary!O$27)</f>
        <v>133.98325271915493</v>
      </c>
      <c r="P9" s="133">
        <f>IF(SER_hh_fech_in!P9=0,0,SER_hh_fech_in!P9/SER_summary!P$27)</f>
        <v>163.51274690428076</v>
      </c>
      <c r="Q9" s="133">
        <f>IF(SER_hh_fech_in!Q9=0,0,SER_hh_fech_in!Q9/SER_summary!Q$27)</f>
        <v>146.00755933409752</v>
      </c>
      <c r="R9" s="133">
        <f>IF(SER_hh_fech_in!R9=0,0,SER_hh_fech_in!R9/SER_summary!R$27)</f>
        <v>155.51443946633597</v>
      </c>
      <c r="S9" s="133">
        <f>IF(SER_hh_fech_in!S9=0,0,SER_hh_fech_in!S9/SER_summary!S$27)</f>
        <v>123.58815749988786</v>
      </c>
      <c r="T9" s="133">
        <f>IF(SER_hh_fech_in!T9=0,0,SER_hh_fech_in!T9/SER_summary!T$27)</f>
        <v>122.94097620754829</v>
      </c>
      <c r="U9" s="133">
        <f>IF(SER_hh_fech_in!U9=0,0,SER_hh_fech_in!U9/SER_summary!U$27)</f>
        <v>104.90777081617965</v>
      </c>
      <c r="V9" s="133">
        <f>IF(SER_hh_fech_in!V9=0,0,SER_hh_fech_in!V9/SER_summary!V$27)</f>
        <v>96.725075958108377</v>
      </c>
      <c r="W9" s="133">
        <f>IF(SER_hh_fech_in!W9=0,0,SER_hh_fech_in!W9/SER_summary!W$27)</f>
        <v>86.050960586885282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213.05554866871486</v>
      </c>
      <c r="D10" s="133">
        <f>IF(SER_hh_fech_in!D10=0,0,SER_hh_fech_in!D10/SER_summary!D$27)</f>
        <v>188.84823598636919</v>
      </c>
      <c r="E10" s="133">
        <f>IF(SER_hh_fech_in!E10=0,0,SER_hh_fech_in!E10/SER_summary!E$27)</f>
        <v>182.73621757739693</v>
      </c>
      <c r="F10" s="133">
        <f>IF(SER_hh_fech_in!F10=0,0,SER_hh_fech_in!F10/SER_summary!F$27)</f>
        <v>319.389382687639</v>
      </c>
      <c r="G10" s="133">
        <f>IF(SER_hh_fech_in!G10=0,0,SER_hh_fech_in!G10/SER_summary!G$27)</f>
        <v>199.78276344757944</v>
      </c>
      <c r="H10" s="133">
        <f>IF(SER_hh_fech_in!H10=0,0,SER_hh_fech_in!H10/SER_summary!H$27)</f>
        <v>225.87024159333481</v>
      </c>
      <c r="I10" s="133">
        <f>IF(SER_hh_fech_in!I10=0,0,SER_hh_fech_in!I10/SER_summary!I$27)</f>
        <v>237.9701662981069</v>
      </c>
      <c r="J10" s="133">
        <f>IF(SER_hh_fech_in!J10=0,0,SER_hh_fech_in!J10/SER_summary!J$27)</f>
        <v>250.57598769383299</v>
      </c>
      <c r="K10" s="133">
        <f>IF(SER_hh_fech_in!K10=0,0,SER_hh_fech_in!K10/SER_summary!K$27)</f>
        <v>0</v>
      </c>
      <c r="L10" s="133">
        <f>IF(SER_hh_fech_in!L10=0,0,SER_hh_fech_in!L10/SER_summary!L$27)</f>
        <v>220.67682537262937</v>
      </c>
      <c r="M10" s="133">
        <f>IF(SER_hh_fech_in!M10=0,0,SER_hh_fech_in!M10/SER_summary!M$27)</f>
        <v>235.84468565813114</v>
      </c>
      <c r="N10" s="133">
        <f>IF(SER_hh_fech_in!N10=0,0,SER_hh_fech_in!N10/SER_summary!N$27)</f>
        <v>0</v>
      </c>
      <c r="O10" s="133">
        <f>IF(SER_hh_fech_in!O10=0,0,SER_hh_fech_in!O10/SER_summary!O$27)</f>
        <v>0</v>
      </c>
      <c r="P10" s="133">
        <f>IF(SER_hh_fech_in!P10=0,0,SER_hh_fech_in!P10/SER_summary!P$27)</f>
        <v>0</v>
      </c>
      <c r="Q10" s="133">
        <f>IF(SER_hh_fech_in!Q10=0,0,SER_hh_fech_in!Q10/SER_summary!Q$27)</f>
        <v>0</v>
      </c>
      <c r="R10" s="133">
        <f>IF(SER_hh_fech_in!R10=0,0,SER_hh_fech_in!R10/SER_summary!R$27)</f>
        <v>177.68102414636914</v>
      </c>
      <c r="S10" s="133">
        <f>IF(SER_hh_fech_in!S10=0,0,SER_hh_fech_in!S10/SER_summary!S$27)</f>
        <v>181.40193689934259</v>
      </c>
      <c r="T10" s="133">
        <f>IF(SER_hh_fech_in!T10=0,0,SER_hh_fech_in!T10/SER_summary!T$27)</f>
        <v>148.90338913069456</v>
      </c>
      <c r="U10" s="133">
        <f>IF(SER_hh_fech_in!U10=0,0,SER_hh_fech_in!U10/SER_summary!U$27)</f>
        <v>149.04421323148179</v>
      </c>
      <c r="V10" s="133">
        <f>IF(SER_hh_fech_in!V10=0,0,SER_hh_fech_in!V10/SER_summary!V$27)</f>
        <v>162.60377715489673</v>
      </c>
      <c r="W10" s="133">
        <f>IF(SER_hh_fech_in!W10=0,0,SER_hh_fech_in!W10/SER_summary!W$27)</f>
        <v>116.11470016686675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112.80948386621104</v>
      </c>
      <c r="D12" s="133">
        <f>IF(SER_hh_fech_in!D12=0,0,SER_hh_fech_in!D12/SER_summary!D$27)</f>
        <v>135.96374498508862</v>
      </c>
      <c r="E12" s="133">
        <f>IF(SER_hh_fech_in!E12=0,0,SER_hh_fech_in!E12/SER_summary!E$27)</f>
        <v>132.83897702639456</v>
      </c>
      <c r="F12" s="133">
        <f>IF(SER_hh_fech_in!F12=0,0,SER_hh_fech_in!F12/SER_summary!F$27)</f>
        <v>160.87300149453122</v>
      </c>
      <c r="G12" s="133">
        <f>IF(SER_hh_fech_in!G12=0,0,SER_hh_fech_in!G12/SER_summary!G$27)</f>
        <v>172.84029978298531</v>
      </c>
      <c r="H12" s="133">
        <f>IF(SER_hh_fech_in!H12=0,0,SER_hh_fech_in!H12/SER_summary!H$27)</f>
        <v>144.9053578654248</v>
      </c>
      <c r="I12" s="133">
        <f>IF(SER_hh_fech_in!I12=0,0,SER_hh_fech_in!I12/SER_summary!I$27)</f>
        <v>133.35316441152108</v>
      </c>
      <c r="J12" s="133">
        <f>IF(SER_hh_fech_in!J12=0,0,SER_hh_fech_in!J12/SER_summary!J$27)</f>
        <v>160.85193838409663</v>
      </c>
      <c r="K12" s="133">
        <f>IF(SER_hh_fech_in!K12=0,0,SER_hh_fech_in!K12/SER_summary!K$27)</f>
        <v>154.12697729598975</v>
      </c>
      <c r="L12" s="133">
        <f>IF(SER_hh_fech_in!L12=0,0,SER_hh_fech_in!L12/SER_summary!L$27)</f>
        <v>159.42063254426097</v>
      </c>
      <c r="M12" s="133">
        <f>IF(SER_hh_fech_in!M12=0,0,SER_hh_fech_in!M12/SER_summary!M$27)</f>
        <v>120.56640673650556</v>
      </c>
      <c r="N12" s="133">
        <f>IF(SER_hh_fech_in!N12=0,0,SER_hh_fech_in!N12/SER_summary!N$27)</f>
        <v>131.97318152915585</v>
      </c>
      <c r="O12" s="133">
        <f>IF(SER_hh_fech_in!O12=0,0,SER_hh_fech_in!O12/SER_summary!O$27)</f>
        <v>119.67642122348488</v>
      </c>
      <c r="P12" s="133">
        <f>IF(SER_hh_fech_in!P12=0,0,SER_hh_fech_in!P12/SER_summary!P$27)</f>
        <v>125.47612389030424</v>
      </c>
      <c r="Q12" s="133">
        <f>IF(SER_hh_fech_in!Q12=0,0,SER_hh_fech_in!Q12/SER_summary!Q$27)</f>
        <v>118.29225248313607</v>
      </c>
      <c r="R12" s="133">
        <f>IF(SER_hh_fech_in!R12=0,0,SER_hh_fech_in!R12/SER_summary!R$27)</f>
        <v>125.60094701685391</v>
      </c>
      <c r="S12" s="133">
        <f>IF(SER_hh_fech_in!S12=0,0,SER_hh_fech_in!S12/SER_summary!S$27)</f>
        <v>112.70779343388868</v>
      </c>
      <c r="T12" s="133">
        <f>IF(SER_hh_fech_in!T12=0,0,SER_hh_fech_in!T12/SER_summary!T$27)</f>
        <v>108.6748605825869</v>
      </c>
      <c r="U12" s="133">
        <f>IF(SER_hh_fech_in!U12=0,0,SER_hh_fech_in!U12/SER_summary!U$27)</f>
        <v>85.313406108875199</v>
      </c>
      <c r="V12" s="133">
        <f>IF(SER_hh_fech_in!V12=0,0,SER_hh_fech_in!V12/SER_summary!V$27)</f>
        <v>85.190912189373861</v>
      </c>
      <c r="W12" s="133">
        <f>IF(SER_hh_fech_in!W12=0,0,SER_hh_fech_in!W12/SER_summary!W$27)</f>
        <v>74.243039495267752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146.8120180146777</v>
      </c>
      <c r="D14" s="65">
        <f>IF(SER_hh_fech_in!D14=0,0,SER_hh_fech_in!D14/SER_summary!D$27)</f>
        <v>157.23018502553842</v>
      </c>
      <c r="E14" s="65">
        <f>IF(SER_hh_fech_in!E14=0,0,SER_hh_fech_in!E14/SER_summary!E$27)</f>
        <v>148.66749312484492</v>
      </c>
      <c r="F14" s="65">
        <f>IF(SER_hh_fech_in!F14=0,0,SER_hh_fech_in!F14/SER_summary!F$27)</f>
        <v>176.11810258680958</v>
      </c>
      <c r="G14" s="65">
        <f>IF(SER_hh_fech_in!G14=0,0,SER_hh_fech_in!G14/SER_summary!G$27)</f>
        <v>156.4088763705071</v>
      </c>
      <c r="H14" s="65">
        <f>IF(SER_hh_fech_in!H14=0,0,SER_hh_fech_in!H14/SER_summary!H$27)</f>
        <v>163.70847691229204</v>
      </c>
      <c r="I14" s="65">
        <f>IF(SER_hh_fech_in!I14=0,0,SER_hh_fech_in!I14/SER_summary!I$27)</f>
        <v>165.75746309088927</v>
      </c>
      <c r="J14" s="65">
        <f>IF(SER_hh_fech_in!J14=0,0,SER_hh_fech_in!J14/SER_summary!J$27)</f>
        <v>180.92875455651935</v>
      </c>
      <c r="K14" s="65">
        <f>IF(SER_hh_fech_in!K14=0,0,SER_hh_fech_in!K14/SER_summary!K$27)</f>
        <v>171.78653474866678</v>
      </c>
      <c r="L14" s="65">
        <f>IF(SER_hh_fech_in!L14=0,0,SER_hh_fech_in!L14/SER_summary!L$27)</f>
        <v>155.9929377693586</v>
      </c>
      <c r="M14" s="65">
        <f>IF(SER_hh_fech_in!M14=0,0,SER_hh_fech_in!M14/SER_summary!M$27)</f>
        <v>123.58981681615661</v>
      </c>
      <c r="N14" s="65">
        <f>IF(SER_hh_fech_in!N14=0,0,SER_hh_fech_in!N14/SER_summary!N$27)</f>
        <v>139.38185467041373</v>
      </c>
      <c r="O14" s="65">
        <f>IF(SER_hh_fech_in!O14=0,0,SER_hh_fech_in!O14/SER_summary!O$27)</f>
        <v>121.77053902879601</v>
      </c>
      <c r="P14" s="65">
        <f>IF(SER_hh_fech_in!P14=0,0,SER_hh_fech_in!P14/SER_summary!P$27)</f>
        <v>140.13675129330699</v>
      </c>
      <c r="Q14" s="65">
        <f>IF(SER_hh_fech_in!Q14=0,0,SER_hh_fech_in!Q14/SER_summary!Q$27)</f>
        <v>124.84556799775608</v>
      </c>
      <c r="R14" s="65">
        <f>IF(SER_hh_fech_in!R14=0,0,SER_hh_fech_in!R14/SER_summary!R$27)</f>
        <v>136.34401468187139</v>
      </c>
      <c r="S14" s="65">
        <f>IF(SER_hh_fech_in!S14=0,0,SER_hh_fech_in!S14/SER_summary!S$27)</f>
        <v>96.915583246567508</v>
      </c>
      <c r="T14" s="65">
        <f>IF(SER_hh_fech_in!T14=0,0,SER_hh_fech_in!T14/SER_summary!T$27)</f>
        <v>105.70498449450959</v>
      </c>
      <c r="U14" s="65">
        <f>IF(SER_hh_fech_in!U14=0,0,SER_hh_fech_in!U14/SER_summary!U$27)</f>
        <v>92.153377531612506</v>
      </c>
      <c r="V14" s="65">
        <f>IF(SER_hh_fech_in!V14=0,0,SER_hh_fech_in!V14/SER_summary!V$27)</f>
        <v>78.919685842010978</v>
      </c>
      <c r="W14" s="65">
        <f>IF(SER_hh_fech_in!W14=0,0,SER_hh_fech_in!W14/SER_summary!W$27)</f>
        <v>73.605748012761211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1.4253862828667279</v>
      </c>
      <c r="D15" s="135">
        <f>IF(SER_hh_fech_in!D15=0,0,SER_hh_fech_in!D15/SER_summary!D$27)</f>
        <v>1.160779608584996</v>
      </c>
      <c r="E15" s="135">
        <f>IF(SER_hh_fech_in!E15=0,0,SER_hh_fech_in!E15/SER_summary!E$27)</f>
        <v>1.9039782553003028</v>
      </c>
      <c r="F15" s="135">
        <f>IF(SER_hh_fech_in!F15=0,0,SER_hh_fech_in!F15/SER_summary!F$27)</f>
        <v>0.91006279628429865</v>
      </c>
      <c r="G15" s="135">
        <f>IF(SER_hh_fech_in!G15=0,0,SER_hh_fech_in!G15/SER_summary!G$27)</f>
        <v>0.64738121910819835</v>
      </c>
      <c r="H15" s="135">
        <f>IF(SER_hh_fech_in!H15=0,0,SER_hh_fech_in!H15/SER_summary!H$27)</f>
        <v>0.59815413733821654</v>
      </c>
      <c r="I15" s="135">
        <f>IF(SER_hh_fech_in!I15=0,0,SER_hh_fech_in!I15/SER_summary!I$27)</f>
        <v>0.76348973007218246</v>
      </c>
      <c r="J15" s="135">
        <f>IF(SER_hh_fech_in!J15=0,0,SER_hh_fech_in!J15/SER_summary!J$27)</f>
        <v>0.83576090109142376</v>
      </c>
      <c r="K15" s="135">
        <f>IF(SER_hh_fech_in!K15=0,0,SER_hh_fech_in!K15/SER_summary!K$27)</f>
        <v>0.90656047340139256</v>
      </c>
      <c r="L15" s="135">
        <f>IF(SER_hh_fech_in!L15=0,0,SER_hh_fech_in!L15/SER_summary!L$27)</f>
        <v>0.81784691137702958</v>
      </c>
      <c r="M15" s="135">
        <f>IF(SER_hh_fech_in!M15=0,0,SER_hh_fech_in!M15/SER_summary!M$27)</f>
        <v>1.1871066538378672</v>
      </c>
      <c r="N15" s="135">
        <f>IF(SER_hh_fech_in!N15=0,0,SER_hh_fech_in!N15/SER_summary!N$27)</f>
        <v>1.1236382321289295</v>
      </c>
      <c r="O15" s="135">
        <f>IF(SER_hh_fech_in!O15=0,0,SER_hh_fech_in!O15/SER_summary!O$27)</f>
        <v>1.3115756591135102</v>
      </c>
      <c r="P15" s="135">
        <f>IF(SER_hh_fech_in!P15=0,0,SER_hh_fech_in!P15/SER_summary!P$27)</f>
        <v>1.7580596219040472</v>
      </c>
      <c r="Q15" s="135">
        <f>IF(SER_hh_fech_in!Q15=0,0,SER_hh_fech_in!Q15/SER_summary!Q$27)</f>
        <v>1.0591027452498933</v>
      </c>
      <c r="R15" s="135">
        <f>IF(SER_hh_fech_in!R15=0,0,SER_hh_fech_in!R15/SER_summary!R$27)</f>
        <v>1.0583716438315751</v>
      </c>
      <c r="S15" s="135">
        <f>IF(SER_hh_fech_in!S15=0,0,SER_hh_fech_in!S15/SER_summary!S$27)</f>
        <v>0.70253311705304877</v>
      </c>
      <c r="T15" s="135">
        <f>IF(SER_hh_fech_in!T15=0,0,SER_hh_fech_in!T15/SER_summary!T$27)</f>
        <v>0.73030461132286295</v>
      </c>
      <c r="U15" s="135">
        <f>IF(SER_hh_fech_in!U15=0,0,SER_hh_fech_in!U15/SER_summary!U$27)</f>
        <v>0.58451112297268826</v>
      </c>
      <c r="V15" s="135">
        <f>IF(SER_hh_fech_in!V15=0,0,SER_hh_fech_in!V15/SER_summary!V$27)</f>
        <v>0.43376898161555061</v>
      </c>
      <c r="W15" s="135">
        <f>IF(SER_hh_fech_in!W15=0,0,SER_hh_fech_in!W15/SER_summary!W$27)</f>
        <v>0.36678434943512966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8.151206274526368</v>
      </c>
      <c r="D16" s="131">
        <f>IF(SER_hh_fech_in!D16=0,0,SER_hh_fech_in!D16/SER_summary!D$27)</f>
        <v>7.7916073955246512</v>
      </c>
      <c r="E16" s="131">
        <f>IF(SER_hh_fech_in!E16=0,0,SER_hh_fech_in!E16/SER_summary!E$27)</f>
        <v>7.8360278393002973</v>
      </c>
      <c r="F16" s="131">
        <f>IF(SER_hh_fech_in!F16=0,0,SER_hh_fech_in!F16/SER_summary!F$27)</f>
        <v>7.1663210493344662</v>
      </c>
      <c r="G16" s="131">
        <f>IF(SER_hh_fech_in!G16=0,0,SER_hh_fech_in!G16/SER_summary!G$27)</f>
        <v>6.9171484612848166</v>
      </c>
      <c r="H16" s="131">
        <f>IF(SER_hh_fech_in!H16=0,0,SER_hh_fech_in!H16/SER_summary!H$27)</f>
        <v>6.7840213162428444</v>
      </c>
      <c r="I16" s="131">
        <f>IF(SER_hh_fech_in!I16=0,0,SER_hh_fech_in!I16/SER_summary!I$27)</f>
        <v>6.4482996103487995</v>
      </c>
      <c r="J16" s="131">
        <f>IF(SER_hh_fech_in!J16=0,0,SER_hh_fech_in!J16/SER_summary!J$27)</f>
        <v>6.2147041989176568</v>
      </c>
      <c r="K16" s="131">
        <f>IF(SER_hh_fech_in!K16=0,0,SER_hh_fech_in!K16/SER_summary!K$27)</f>
        <v>5.9518809138159368</v>
      </c>
      <c r="L16" s="131">
        <f>IF(SER_hh_fech_in!L16=0,0,SER_hh_fech_in!L16/SER_summary!L$27)</f>
        <v>6.6661391315514038</v>
      </c>
      <c r="M16" s="131">
        <f>IF(SER_hh_fech_in!M16=0,0,SER_hh_fech_in!M16/SER_summary!M$27)</f>
        <v>5.8206758687048392</v>
      </c>
      <c r="N16" s="131">
        <f>IF(SER_hh_fech_in!N16=0,0,SER_hh_fech_in!N16/SER_summary!N$27)</f>
        <v>5.3258495693008934</v>
      </c>
      <c r="O16" s="131">
        <f>IF(SER_hh_fech_in!O16=0,0,SER_hh_fech_in!O16/SER_summary!O$27)</f>
        <v>5.0028985323015647</v>
      </c>
      <c r="P16" s="131">
        <f>IF(SER_hh_fech_in!P16=0,0,SER_hh_fech_in!P16/SER_summary!P$27)</f>
        <v>4.8254304055123063</v>
      </c>
      <c r="Q16" s="131">
        <f>IF(SER_hh_fech_in!Q16=0,0,SER_hh_fech_in!Q16/SER_summary!Q$27)</f>
        <v>4.5141024869852746</v>
      </c>
      <c r="R16" s="131">
        <f>IF(SER_hh_fech_in!R16=0,0,SER_hh_fech_in!R16/SER_summary!R$27)</f>
        <v>4.4290330283634649</v>
      </c>
      <c r="S16" s="131">
        <f>IF(SER_hh_fech_in!S16=0,0,SER_hh_fech_in!S16/SER_summary!S$27)</f>
        <v>4.3010636834911304</v>
      </c>
      <c r="T16" s="131">
        <f>IF(SER_hh_fech_in!T16=0,0,SER_hh_fech_in!T16/SER_summary!T$27)</f>
        <v>4.4678863086240765</v>
      </c>
      <c r="U16" s="131">
        <f>IF(SER_hh_fech_in!U16=0,0,SER_hh_fech_in!U16/SER_summary!U$27)</f>
        <v>4.0384640375329717</v>
      </c>
      <c r="V16" s="131">
        <f>IF(SER_hh_fech_in!V16=0,0,SER_hh_fech_in!V16/SER_summary!V$27)</f>
        <v>3.8672646554681376</v>
      </c>
      <c r="W16" s="131">
        <f>IF(SER_hh_fech_in!W16=0,0,SER_hh_fech_in!W16/SER_summary!W$27)</f>
        <v>3.9766836923029536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8.151206274526368</v>
      </c>
      <c r="D18" s="133">
        <f>IF(SER_hh_fech_in!D18=0,0,SER_hh_fech_in!D18/SER_summary!D$27)</f>
        <v>7.7916073955246512</v>
      </c>
      <c r="E18" s="133">
        <f>IF(SER_hh_fech_in!E18=0,0,SER_hh_fech_in!E18/SER_summary!E$27)</f>
        <v>7.8360278393002973</v>
      </c>
      <c r="F18" s="133">
        <f>IF(SER_hh_fech_in!F18=0,0,SER_hh_fech_in!F18/SER_summary!F$27)</f>
        <v>7.1663210493344662</v>
      </c>
      <c r="G18" s="133">
        <f>IF(SER_hh_fech_in!G18=0,0,SER_hh_fech_in!G18/SER_summary!G$27)</f>
        <v>6.9171484612848166</v>
      </c>
      <c r="H18" s="133">
        <f>IF(SER_hh_fech_in!H18=0,0,SER_hh_fech_in!H18/SER_summary!H$27)</f>
        <v>6.7840213162428444</v>
      </c>
      <c r="I18" s="133">
        <f>IF(SER_hh_fech_in!I18=0,0,SER_hh_fech_in!I18/SER_summary!I$27)</f>
        <v>6.4482996103487995</v>
      </c>
      <c r="J18" s="133">
        <f>IF(SER_hh_fech_in!J18=0,0,SER_hh_fech_in!J18/SER_summary!J$27)</f>
        <v>6.2147041989176568</v>
      </c>
      <c r="K18" s="133">
        <f>IF(SER_hh_fech_in!K18=0,0,SER_hh_fech_in!K18/SER_summary!K$27)</f>
        <v>5.9518809138159368</v>
      </c>
      <c r="L18" s="133">
        <f>IF(SER_hh_fech_in!L18=0,0,SER_hh_fech_in!L18/SER_summary!L$27)</f>
        <v>6.6661391315514038</v>
      </c>
      <c r="M18" s="133">
        <f>IF(SER_hh_fech_in!M18=0,0,SER_hh_fech_in!M18/SER_summary!M$27)</f>
        <v>5.8206758687048392</v>
      </c>
      <c r="N18" s="133">
        <f>IF(SER_hh_fech_in!N18=0,0,SER_hh_fech_in!N18/SER_summary!N$27)</f>
        <v>5.3258495693008934</v>
      </c>
      <c r="O18" s="133">
        <f>IF(SER_hh_fech_in!O18=0,0,SER_hh_fech_in!O18/SER_summary!O$27)</f>
        <v>5.0028985323015647</v>
      </c>
      <c r="P18" s="133">
        <f>IF(SER_hh_fech_in!P18=0,0,SER_hh_fech_in!P18/SER_summary!P$27)</f>
        <v>4.8254304055123063</v>
      </c>
      <c r="Q18" s="133">
        <f>IF(SER_hh_fech_in!Q18=0,0,SER_hh_fech_in!Q18/SER_summary!Q$27)</f>
        <v>4.5141024869852746</v>
      </c>
      <c r="R18" s="133">
        <f>IF(SER_hh_fech_in!R18=0,0,SER_hh_fech_in!R18/SER_summary!R$27)</f>
        <v>4.4290330283634649</v>
      </c>
      <c r="S18" s="133">
        <f>IF(SER_hh_fech_in!S18=0,0,SER_hh_fech_in!S18/SER_summary!S$27)</f>
        <v>4.3010636834911304</v>
      </c>
      <c r="T18" s="133">
        <f>IF(SER_hh_fech_in!T18=0,0,SER_hh_fech_in!T18/SER_summary!T$27)</f>
        <v>4.4678863086240765</v>
      </c>
      <c r="U18" s="133">
        <f>IF(SER_hh_fech_in!U18=0,0,SER_hh_fech_in!U18/SER_summary!U$27)</f>
        <v>4.0384640375329717</v>
      </c>
      <c r="V18" s="133">
        <f>IF(SER_hh_fech_in!V18=0,0,SER_hh_fech_in!V18/SER_summary!V$27)</f>
        <v>3.8672646554681376</v>
      </c>
      <c r="W18" s="133">
        <f>IF(SER_hh_fech_in!W18=0,0,SER_hh_fech_in!W18/SER_summary!W$27)</f>
        <v>3.9766836923029536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29.433960417378962</v>
      </c>
      <c r="D19" s="131">
        <f>IF(SER_hh_fech_in!D19=0,0,SER_hh_fech_in!D19/SER_summary!D$27)</f>
        <v>26.71124780971989</v>
      </c>
      <c r="E19" s="131">
        <f>IF(SER_hh_fech_in!E19=0,0,SER_hh_fech_in!E19/SER_summary!E$27)</f>
        <v>26.564837206760703</v>
      </c>
      <c r="F19" s="131">
        <f>IF(SER_hh_fech_in!F19=0,0,SER_hh_fech_in!F19/SER_summary!F$27)</f>
        <v>24.950084094783854</v>
      </c>
      <c r="G19" s="131">
        <f>IF(SER_hh_fech_in!G19=0,0,SER_hh_fech_in!G19/SER_summary!G$27)</f>
        <v>24.635682730090771</v>
      </c>
      <c r="H19" s="131">
        <f>IF(SER_hh_fech_in!H19=0,0,SER_hh_fech_in!H19/SER_summary!H$27)</f>
        <v>23.760995738711383</v>
      </c>
      <c r="I19" s="131">
        <f>IF(SER_hh_fech_in!I19=0,0,SER_hh_fech_in!I19/SER_summary!I$27)</f>
        <v>23.008654815786613</v>
      </c>
      <c r="J19" s="131">
        <f>IF(SER_hh_fech_in!J19=0,0,SER_hh_fech_in!J19/SER_summary!J$27)</f>
        <v>22.819780999661184</v>
      </c>
      <c r="K19" s="131">
        <f>IF(SER_hh_fech_in!K19=0,0,SER_hh_fech_in!K19/SER_summary!K$27)</f>
        <v>22.850639543466642</v>
      </c>
      <c r="L19" s="131">
        <f>IF(SER_hh_fech_in!L19=0,0,SER_hh_fech_in!L19/SER_summary!L$27)</f>
        <v>22.850681566096615</v>
      </c>
      <c r="M19" s="131">
        <f>IF(SER_hh_fech_in!M19=0,0,SER_hh_fech_in!M19/SER_summary!M$27)</f>
        <v>23.124210935790618</v>
      </c>
      <c r="N19" s="131">
        <f>IF(SER_hh_fech_in!N19=0,0,SER_hh_fech_in!N19/SER_summary!N$27)</f>
        <v>22.396945564272343</v>
      </c>
      <c r="O19" s="131">
        <f>IF(SER_hh_fech_in!O19=0,0,SER_hh_fech_in!O19/SER_summary!O$27)</f>
        <v>21.99723740955011</v>
      </c>
      <c r="P19" s="131">
        <f>IF(SER_hh_fech_in!P19=0,0,SER_hh_fech_in!P19/SER_summary!P$27)</f>
        <v>22.411107322359758</v>
      </c>
      <c r="Q19" s="131">
        <f>IF(SER_hh_fech_in!Q19=0,0,SER_hh_fech_in!Q19/SER_summary!Q$27)</f>
        <v>20.602989106219983</v>
      </c>
      <c r="R19" s="131">
        <f>IF(SER_hh_fech_in!R19=0,0,SER_hh_fech_in!R19/SER_summary!R$27)</f>
        <v>19.681111302804688</v>
      </c>
      <c r="S19" s="131">
        <f>IF(SER_hh_fech_in!S19=0,0,SER_hh_fech_in!S19/SER_summary!S$27)</f>
        <v>18.9634300480893</v>
      </c>
      <c r="T19" s="131">
        <f>IF(SER_hh_fech_in!T19=0,0,SER_hh_fech_in!T19/SER_summary!T$27)</f>
        <v>18.632211747706076</v>
      </c>
      <c r="U19" s="131">
        <f>IF(SER_hh_fech_in!U19=0,0,SER_hh_fech_in!U19/SER_summary!U$27)</f>
        <v>18.550643459988461</v>
      </c>
      <c r="V19" s="131">
        <f>IF(SER_hh_fech_in!V19=0,0,SER_hh_fech_in!V19/SER_summary!V$27)</f>
        <v>17.045643647000364</v>
      </c>
      <c r="W19" s="131">
        <f>IF(SER_hh_fech_in!W19=0,0,SER_hh_fech_in!W19/SER_summary!W$27)</f>
        <v>17.616296993262448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37.932490057485097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30.155806155056446</v>
      </c>
      <c r="J22" s="133">
        <f>IF(SER_hh_fech_in!J22=0,0,SER_hh_fech_in!J22/SER_summary!J$27)</f>
        <v>30.563238429278183</v>
      </c>
      <c r="K22" s="133">
        <f>IF(SER_hh_fech_in!K22=0,0,SER_hh_fech_in!K22/SER_summary!K$27)</f>
        <v>29.758817781566325</v>
      </c>
      <c r="L22" s="133">
        <f>IF(SER_hh_fech_in!L22=0,0,SER_hh_fech_in!L22/SER_summary!L$27)</f>
        <v>29.259927339415974</v>
      </c>
      <c r="M22" s="133">
        <f>IF(SER_hh_fech_in!M22=0,0,SER_hh_fech_in!M22/SER_summary!M$27)</f>
        <v>28.821173595830771</v>
      </c>
      <c r="N22" s="133">
        <f>IF(SER_hh_fech_in!N22=0,0,SER_hh_fech_in!N22/SER_summary!N$27)</f>
        <v>27.716878068336992</v>
      </c>
      <c r="O22" s="133">
        <f>IF(SER_hh_fech_in!O22=0,0,SER_hh_fech_in!O22/SER_summary!O$27)</f>
        <v>26.372169689882391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18.865804448863233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38.3429978523477</v>
      </c>
      <c r="D23" s="133">
        <f>IF(SER_hh_fech_in!D23=0,0,SER_hh_fech_in!D23/SER_summary!D$27)</f>
        <v>34.130523163833679</v>
      </c>
      <c r="E23" s="133">
        <f>IF(SER_hh_fech_in!E23=0,0,SER_hh_fech_in!E23/SER_summary!E$27)</f>
        <v>31.595208285825166</v>
      </c>
      <c r="F23" s="133">
        <f>IF(SER_hh_fech_in!F23=0,0,SER_hh_fech_in!F23/SER_summary!F$27)</f>
        <v>29.775244823861502</v>
      </c>
      <c r="G23" s="133">
        <f>IF(SER_hh_fech_in!G23=0,0,SER_hh_fech_in!G23/SER_summary!G$27)</f>
        <v>28.908337678341049</v>
      </c>
      <c r="H23" s="133">
        <f>IF(SER_hh_fech_in!H23=0,0,SER_hh_fech_in!H23/SER_summary!H$27)</f>
        <v>28.161749228521856</v>
      </c>
      <c r="I23" s="133">
        <f>IF(SER_hh_fech_in!I23=0,0,SER_hh_fech_in!I23/SER_summary!I$27)</f>
        <v>27.093681449519792</v>
      </c>
      <c r="J23" s="133">
        <f>IF(SER_hh_fech_in!J23=0,0,SER_hh_fech_in!J23/SER_summary!J$27)</f>
        <v>26.310136888476929</v>
      </c>
      <c r="K23" s="133">
        <f>IF(SER_hh_fech_in!K23=0,0,SER_hh_fech_in!K23/SER_summary!K$27)</f>
        <v>25.502311948685985</v>
      </c>
      <c r="L23" s="133">
        <f>IF(SER_hh_fech_in!L23=0,0,SER_hh_fech_in!L23/SER_summary!L$27)</f>
        <v>23.687470247388372</v>
      </c>
      <c r="M23" s="133">
        <f>IF(SER_hh_fech_in!M23=0,0,SER_hh_fech_in!M23/SER_summary!M$27)</f>
        <v>24.761009408509448</v>
      </c>
      <c r="N23" s="133">
        <f>IF(SER_hh_fech_in!N23=0,0,SER_hh_fech_in!N23/SER_summary!N$27)</f>
        <v>21.239890120734835</v>
      </c>
      <c r="O23" s="133">
        <f>IF(SER_hh_fech_in!O23=0,0,SER_hh_fech_in!O23/SER_summary!O$27)</f>
        <v>22.630132820056087</v>
      </c>
      <c r="P23" s="133">
        <f>IF(SER_hh_fech_in!P23=0,0,SER_hh_fech_in!P23/SER_summary!P$27)</f>
        <v>24.271296276808041</v>
      </c>
      <c r="Q23" s="133">
        <f>IF(SER_hh_fech_in!Q23=0,0,SER_hh_fech_in!Q23/SER_summary!Q$27)</f>
        <v>21.673097353067945</v>
      </c>
      <c r="R23" s="133">
        <f>IF(SER_hh_fech_in!R23=0,0,SER_hh_fech_in!R23/SER_summary!R$27)</f>
        <v>20.356721799836421</v>
      </c>
      <c r="S23" s="133">
        <f>IF(SER_hh_fech_in!S23=0,0,SER_hh_fech_in!S23/SER_summary!S$27)</f>
        <v>19.861450985201387</v>
      </c>
      <c r="T23" s="133">
        <f>IF(SER_hh_fech_in!T23=0,0,SER_hh_fech_in!T23/SER_summary!T$27)</f>
        <v>19.760842039229825</v>
      </c>
      <c r="U23" s="133">
        <f>IF(SER_hh_fech_in!U23=0,0,SER_hh_fech_in!U23/SER_summary!U$27)</f>
        <v>19.759024585603829</v>
      </c>
      <c r="V23" s="133">
        <f>IF(SER_hh_fech_in!V23=0,0,SER_hh_fech_in!V23/SER_summary!V$27)</f>
        <v>18.752984585280082</v>
      </c>
      <c r="W23" s="133">
        <f>IF(SER_hh_fech_in!W23=0,0,SER_hh_fech_in!W23/SER_summary!W$27)</f>
        <v>16.979559593925515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24.468191890383775</v>
      </c>
      <c r="D25" s="133">
        <f>IF(SER_hh_fech_in!D25=0,0,SER_hh_fech_in!D25/SER_summary!D$27)</f>
        <v>23.367559409102864</v>
      </c>
      <c r="E25" s="133">
        <f>IF(SER_hh_fech_in!E25=0,0,SER_hh_fech_in!E25/SER_summary!E$27)</f>
        <v>22.429649222539702</v>
      </c>
      <c r="F25" s="133">
        <f>IF(SER_hh_fech_in!F25=0,0,SER_hh_fech_in!F25/SER_summary!F$27)</f>
        <v>21.72170574940629</v>
      </c>
      <c r="G25" s="133">
        <f>IF(SER_hh_fech_in!G25=0,0,SER_hh_fech_in!G25/SER_summary!G$27)</f>
        <v>21.646512406903369</v>
      </c>
      <c r="H25" s="133">
        <f>IF(SER_hh_fech_in!H25=0,0,SER_hh_fech_in!H25/SER_summary!H$27)</f>
        <v>20.985299478235639</v>
      </c>
      <c r="I25" s="133">
        <f>IF(SER_hh_fech_in!I25=0,0,SER_hh_fech_in!I25/SER_summary!I$27)</f>
        <v>20.560592061583066</v>
      </c>
      <c r="J25" s="133">
        <f>IF(SER_hh_fech_in!J25=0,0,SER_hh_fech_in!J25/SER_summary!J$27)</f>
        <v>20.066156910267626</v>
      </c>
      <c r="K25" s="133">
        <f>IF(SER_hh_fech_in!K25=0,0,SER_hh_fech_in!K25/SER_summary!K$27)</f>
        <v>20.278427843091428</v>
      </c>
      <c r="L25" s="133">
        <f>IF(SER_hh_fech_in!L25=0,0,SER_hh_fech_in!L25/SER_summary!L$27)</f>
        <v>19.996109180833567</v>
      </c>
      <c r="M25" s="133">
        <f>IF(SER_hh_fech_in!M25=0,0,SER_hh_fech_in!M25/SER_summary!M$27)</f>
        <v>20.013991395998673</v>
      </c>
      <c r="N25" s="133">
        <f>IF(SER_hh_fech_in!N25=0,0,SER_hh_fech_in!N25/SER_summary!N$27)</f>
        <v>19.834501878951336</v>
      </c>
      <c r="O25" s="133">
        <f>IF(SER_hh_fech_in!O25=0,0,SER_hh_fech_in!O25/SER_summary!O$27)</f>
        <v>19.733217490130478</v>
      </c>
      <c r="P25" s="133">
        <f>IF(SER_hh_fech_in!P25=0,0,SER_hh_fech_in!P25/SER_summary!P$27)</f>
        <v>19.348622845256035</v>
      </c>
      <c r="Q25" s="133">
        <f>IF(SER_hh_fech_in!Q25=0,0,SER_hh_fech_in!Q25/SER_summary!Q$27)</f>
        <v>19.072470875402953</v>
      </c>
      <c r="R25" s="133">
        <f>IF(SER_hh_fech_in!R25=0,0,SER_hh_fech_in!R25/SER_summary!R$27)</f>
        <v>18.824275027047612</v>
      </c>
      <c r="S25" s="133">
        <f>IF(SER_hh_fech_in!S25=0,0,SER_hh_fech_in!S25/SER_summary!S$27)</f>
        <v>18.595302204723737</v>
      </c>
      <c r="T25" s="133">
        <f>IF(SER_hh_fech_in!T25=0,0,SER_hh_fech_in!T25/SER_summary!T$27)</f>
        <v>18.535022521855776</v>
      </c>
      <c r="U25" s="133">
        <f>IF(SER_hh_fech_in!U25=0,0,SER_hh_fech_in!U25/SER_summary!U$27)</f>
        <v>18.29730985714324</v>
      </c>
      <c r="V25" s="133">
        <f>IF(SER_hh_fech_in!V25=0,0,SER_hh_fech_in!V25/SER_summary!V$27)</f>
        <v>15.986564149429917</v>
      </c>
      <c r="W25" s="133">
        <f>IF(SER_hh_fech_in!W25=0,0,SER_hh_fech_in!W25/SER_summary!W$27)</f>
        <v>18.070710893501115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28.325765865904202</v>
      </c>
      <c r="D26" s="65">
        <f>IF(SER_hh_fech_in!D26=0,0,SER_hh_fech_in!D26/SER_summary!D$27)</f>
        <v>27.341299935947497</v>
      </c>
      <c r="E26" s="65">
        <f>IF(SER_hh_fech_in!E26=0,0,SER_hh_fech_in!E26/SER_summary!E$27)</f>
        <v>28.119381685362423</v>
      </c>
      <c r="F26" s="65">
        <f>IF(SER_hh_fech_in!F26=0,0,SER_hh_fech_in!F26/SER_summary!F$27)</f>
        <v>26.901305610597984</v>
      </c>
      <c r="G26" s="65">
        <f>IF(SER_hh_fech_in!G26=0,0,SER_hh_fech_in!G26/SER_summary!G$27)</f>
        <v>26.346587055101278</v>
      </c>
      <c r="H26" s="65">
        <f>IF(SER_hh_fech_in!H26=0,0,SER_hh_fech_in!H26/SER_summary!H$27)</f>
        <v>25.212784376745777</v>
      </c>
      <c r="I26" s="65">
        <f>IF(SER_hh_fech_in!I26=0,0,SER_hh_fech_in!I26/SER_summary!I$27)</f>
        <v>23.490056842224117</v>
      </c>
      <c r="J26" s="65">
        <f>IF(SER_hh_fech_in!J26=0,0,SER_hh_fech_in!J26/SER_summary!J$27)</f>
        <v>0</v>
      </c>
      <c r="K26" s="65">
        <f>IF(SER_hh_fech_in!K26=0,0,SER_hh_fech_in!K26/SER_summary!K$27)</f>
        <v>23.728721908058798</v>
      </c>
      <c r="L26" s="65">
        <f>IF(SER_hh_fech_in!L26=0,0,SER_hh_fech_in!L26/SER_summary!L$27)</f>
        <v>23.550936530732201</v>
      </c>
      <c r="M26" s="65">
        <f>IF(SER_hh_fech_in!M26=0,0,SER_hh_fech_in!M26/SER_summary!M$27)</f>
        <v>23.422310953164178</v>
      </c>
      <c r="N26" s="65">
        <f>IF(SER_hh_fech_in!N26=0,0,SER_hh_fech_in!N26/SER_summary!N$27)</f>
        <v>23.549260414339798</v>
      </c>
      <c r="O26" s="65">
        <f>IF(SER_hh_fech_in!O26=0,0,SER_hh_fech_in!O26/SER_summary!O$27)</f>
        <v>22.115031880714326</v>
      </c>
      <c r="P26" s="65">
        <f>IF(SER_hh_fech_in!P26=0,0,SER_hh_fech_in!P26/SER_summary!P$27)</f>
        <v>20.53597223773404</v>
      </c>
      <c r="Q26" s="65">
        <f>IF(SER_hh_fech_in!Q26=0,0,SER_hh_fech_in!Q26/SER_summary!Q$27)</f>
        <v>20.600120614720549</v>
      </c>
      <c r="R26" s="65">
        <f>IF(SER_hh_fech_in!R26=0,0,SER_hh_fech_in!R26/SER_summary!R$27)</f>
        <v>19.842629712959191</v>
      </c>
      <c r="S26" s="65">
        <f>IF(SER_hh_fech_in!S26=0,0,SER_hh_fech_in!S26/SER_summary!S$27)</f>
        <v>18.737920542187307</v>
      </c>
      <c r="T26" s="65">
        <f>IF(SER_hh_fech_in!T26=0,0,SER_hh_fech_in!T26/SER_summary!T$27)</f>
        <v>18.106520558394113</v>
      </c>
      <c r="U26" s="65">
        <f>IF(SER_hh_fech_in!U26=0,0,SER_hh_fech_in!U26/SER_summary!U$27)</f>
        <v>18.204203235897776</v>
      </c>
      <c r="V26" s="65">
        <f>IF(SER_hh_fech_in!V26=0,0,SER_hh_fech_in!V26/SER_summary!V$27)</f>
        <v>17.132098791247625</v>
      </c>
      <c r="W26" s="65">
        <f>IF(SER_hh_fech_in!W26=0,0,SER_hh_fech_in!W26/SER_summary!W$27)</f>
        <v>17.413994001258096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29.405229856040496</v>
      </c>
      <c r="D29" s="131">
        <f>IF(SER_hh_fech_in!D29=0,0,SER_hh_fech_in!D29/SER_summary!D$27)</f>
        <v>28.539592838320104</v>
      </c>
      <c r="E29" s="131">
        <f>IF(SER_hh_fech_in!E29=0,0,SER_hh_fech_in!E29/SER_summary!E$27)</f>
        <v>26.685265320015088</v>
      </c>
      <c r="F29" s="131">
        <f>IF(SER_hh_fech_in!F29=0,0,SER_hh_fech_in!F29/SER_summary!F$27)</f>
        <v>28.787882551809052</v>
      </c>
      <c r="G29" s="131">
        <f>IF(SER_hh_fech_in!G29=0,0,SER_hh_fech_in!G29/SER_summary!G$27)</f>
        <v>25.735318315898933</v>
      </c>
      <c r="H29" s="131">
        <f>IF(SER_hh_fech_in!H29=0,0,SER_hh_fech_in!H29/SER_summary!H$27)</f>
        <v>24.648593253163725</v>
      </c>
      <c r="I29" s="131">
        <f>IF(SER_hh_fech_in!I29=0,0,SER_hh_fech_in!I29/SER_summary!I$27)</f>
        <v>24.238078176993067</v>
      </c>
      <c r="J29" s="131">
        <f>IF(SER_hh_fech_in!J29=0,0,SER_hh_fech_in!J29/SER_summary!J$27)</f>
        <v>25.130591392966664</v>
      </c>
      <c r="K29" s="131">
        <f>IF(SER_hh_fech_in!K29=0,0,SER_hh_fech_in!K29/SER_summary!K$27)</f>
        <v>26.05428982061817</v>
      </c>
      <c r="L29" s="131">
        <f>IF(SER_hh_fech_in!L29=0,0,SER_hh_fech_in!L29/SER_summary!L$27)</f>
        <v>26.657222117450921</v>
      </c>
      <c r="M29" s="131">
        <f>IF(SER_hh_fech_in!M29=0,0,SER_hh_fech_in!M29/SER_summary!M$27)</f>
        <v>26.764371867219232</v>
      </c>
      <c r="N29" s="131">
        <f>IF(SER_hh_fech_in!N29=0,0,SER_hh_fech_in!N29/SER_summary!N$27)</f>
        <v>26.894719951980466</v>
      </c>
      <c r="O29" s="131">
        <f>IF(SER_hh_fech_in!O29=0,0,SER_hh_fech_in!O29/SER_summary!O$27)</f>
        <v>26.903341038635414</v>
      </c>
      <c r="P29" s="131">
        <f>IF(SER_hh_fech_in!P29=0,0,SER_hh_fech_in!P29/SER_summary!P$27)</f>
        <v>26.197519717903827</v>
      </c>
      <c r="Q29" s="131">
        <f>IF(SER_hh_fech_in!Q29=0,0,SER_hh_fech_in!Q29/SER_summary!Q$27)</f>
        <v>25.067105844119968</v>
      </c>
      <c r="R29" s="131">
        <f>IF(SER_hh_fech_in!R29=0,0,SER_hh_fech_in!R29/SER_summary!R$27)</f>
        <v>27.405698669739163</v>
      </c>
      <c r="S29" s="131">
        <f>IF(SER_hh_fech_in!S29=0,0,SER_hh_fech_in!S29/SER_summary!S$27)</f>
        <v>24.686706390633084</v>
      </c>
      <c r="T29" s="131">
        <f>IF(SER_hh_fech_in!T29=0,0,SER_hh_fech_in!T29/SER_summary!T$27)</f>
        <v>24.445345309676714</v>
      </c>
      <c r="U29" s="131">
        <f>IF(SER_hh_fech_in!U29=0,0,SER_hh_fech_in!U29/SER_summary!U$27)</f>
        <v>24.049240113308024</v>
      </c>
      <c r="V29" s="131">
        <f>IF(SER_hh_fech_in!V29=0,0,SER_hh_fech_in!V29/SER_summary!V$27)</f>
        <v>21.83403007394255</v>
      </c>
      <c r="W29" s="131">
        <f>IF(SER_hh_fech_in!W29=0,0,SER_hh_fech_in!W29/SER_summary!W$27)</f>
        <v>22.410709109172529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44.059265754522244</v>
      </c>
      <c r="G30" s="133">
        <f>IF(SER_hh_fech_in!G30=0,0,SER_hh_fech_in!G30/SER_summary!G$27)</f>
        <v>34.148478866833209</v>
      </c>
      <c r="H30" s="133">
        <f>IF(SER_hh_fech_in!H30=0,0,SER_hh_fech_in!H30/SER_summary!H$27)</f>
        <v>30.44897799651244</v>
      </c>
      <c r="I30" s="133">
        <f>IF(SER_hh_fech_in!I30=0,0,SER_hh_fech_in!I30/SER_summary!I$27)</f>
        <v>30.470762169623374</v>
      </c>
      <c r="J30" s="133">
        <f>IF(SER_hh_fech_in!J30=0,0,SER_hh_fech_in!J30/SER_summary!J$27)</f>
        <v>30.956558161997901</v>
      </c>
      <c r="K30" s="133">
        <f>IF(SER_hh_fech_in!K30=0,0,SER_hh_fech_in!K30/SER_summary!K$27)</f>
        <v>31.63602313176137</v>
      </c>
      <c r="L30" s="133">
        <f>IF(SER_hh_fech_in!L30=0,0,SER_hh_fech_in!L30/SER_summary!L$27)</f>
        <v>31.767412930673586</v>
      </c>
      <c r="M30" s="133">
        <f>IF(SER_hh_fech_in!M30=0,0,SER_hh_fech_in!M30/SER_summary!M$27)</f>
        <v>31.834524287777057</v>
      </c>
      <c r="N30" s="133">
        <f>IF(SER_hh_fech_in!N30=0,0,SER_hh_fech_in!N30/SER_summary!N$27)</f>
        <v>31.990550904158233</v>
      </c>
      <c r="O30" s="133">
        <f>IF(SER_hh_fech_in!O30=0,0,SER_hh_fech_in!O30/SER_summary!O$27)</f>
        <v>31.870872033640918</v>
      </c>
      <c r="P30" s="133">
        <f>IF(SER_hh_fech_in!P30=0,0,SER_hh_fech_in!P30/SER_summary!P$27)</f>
        <v>28.739218532737627</v>
      </c>
      <c r="Q30" s="133">
        <f>IF(SER_hh_fech_in!Q30=0,0,SER_hh_fech_in!Q30/SER_summary!Q$27)</f>
        <v>22.367301235262591</v>
      </c>
      <c r="R30" s="133">
        <f>IF(SER_hh_fech_in!R30=0,0,SER_hh_fech_in!R30/SER_summary!R$27)</f>
        <v>34.592924752495712</v>
      </c>
      <c r="S30" s="133">
        <f>IF(SER_hh_fech_in!S30=0,0,SER_hh_fech_in!S30/SER_summary!S$27)</f>
        <v>49.242910886204164</v>
      </c>
      <c r="T30" s="133">
        <f>IF(SER_hh_fech_in!T30=0,0,SER_hh_fech_in!T30/SER_summary!T$27)</f>
        <v>15.788181234178253</v>
      </c>
      <c r="U30" s="133">
        <f>IF(SER_hh_fech_in!U30=0,0,SER_hh_fech_in!U30/SER_summary!U$27)</f>
        <v>31.758426479146298</v>
      </c>
      <c r="V30" s="133">
        <f>IF(SER_hh_fech_in!V30=0,0,SER_hh_fech_in!V30/SER_summary!V$27)</f>
        <v>32.668894628402313</v>
      </c>
      <c r="W30" s="133">
        <f>IF(SER_hh_fech_in!W30=0,0,SER_hh_fech_in!W30/SER_summary!W$27)</f>
        <v>23.851524124851696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36.400282400143269</v>
      </c>
      <c r="D31" s="133">
        <f>IF(SER_hh_fech_in!D31=0,0,SER_hh_fech_in!D31/SER_summary!D$27)</f>
        <v>38.771849936179109</v>
      </c>
      <c r="E31" s="133">
        <f>IF(SER_hh_fech_in!E31=0,0,SER_hh_fech_in!E31/SER_summary!E$27)</f>
        <v>34.611048789973587</v>
      </c>
      <c r="F31" s="133">
        <f>IF(SER_hh_fech_in!F31=0,0,SER_hh_fech_in!F31/SER_summary!F$27)</f>
        <v>33.007260238367955</v>
      </c>
      <c r="G31" s="133">
        <f>IF(SER_hh_fech_in!G31=0,0,SER_hh_fech_in!G31/SER_summary!G$27)</f>
        <v>32.722944730259492</v>
      </c>
      <c r="H31" s="133">
        <f>IF(SER_hh_fech_in!H31=0,0,SER_hh_fech_in!H31/SER_summary!H$27)</f>
        <v>32.142271904953404</v>
      </c>
      <c r="I31" s="133">
        <f>IF(SER_hh_fech_in!I31=0,0,SER_hh_fech_in!I31/SER_summary!I$27)</f>
        <v>32.47950307074715</v>
      </c>
      <c r="J31" s="133">
        <f>IF(SER_hh_fech_in!J31=0,0,SER_hh_fech_in!J31/SER_summary!J$27)</f>
        <v>32.95522199667456</v>
      </c>
      <c r="K31" s="133">
        <f>IF(SER_hh_fech_in!K31=0,0,SER_hh_fech_in!K31/SER_summary!K$27)</f>
        <v>31.578318076325349</v>
      </c>
      <c r="L31" s="133">
        <f>IF(SER_hh_fech_in!L31=0,0,SER_hh_fech_in!L31/SER_summary!L$27)</f>
        <v>33.292346350238759</v>
      </c>
      <c r="M31" s="133">
        <f>IF(SER_hh_fech_in!M31=0,0,SER_hh_fech_in!M31/SER_summary!M$27)</f>
        <v>33.319445899089608</v>
      </c>
      <c r="N31" s="133">
        <f>IF(SER_hh_fech_in!N31=0,0,SER_hh_fech_in!N31/SER_summary!N$27)</f>
        <v>34.085698839585717</v>
      </c>
      <c r="O31" s="133">
        <f>IF(SER_hh_fech_in!O31=0,0,SER_hh_fech_in!O31/SER_summary!O$27)</f>
        <v>33.600108096521524</v>
      </c>
      <c r="P31" s="133">
        <f>IF(SER_hh_fech_in!P31=0,0,SER_hh_fech_in!P31/SER_summary!P$27)</f>
        <v>31.830120116427903</v>
      </c>
      <c r="Q31" s="133">
        <f>IF(SER_hh_fech_in!Q31=0,0,SER_hh_fech_in!Q31/SER_summary!Q$27)</f>
        <v>29.781817283139226</v>
      </c>
      <c r="R31" s="133">
        <f>IF(SER_hh_fech_in!R31=0,0,SER_hh_fech_in!R31/SER_summary!R$27)</f>
        <v>35.555539054347882</v>
      </c>
      <c r="S31" s="133">
        <f>IF(SER_hh_fech_in!S31=0,0,SER_hh_fech_in!S31/SER_summary!S$27)</f>
        <v>30.982508257267313</v>
      </c>
      <c r="T31" s="133">
        <f>IF(SER_hh_fech_in!T31=0,0,SER_hh_fech_in!T31/SER_summary!T$27)</f>
        <v>30.396129458918651</v>
      </c>
      <c r="U31" s="133">
        <f>IF(SER_hh_fech_in!U31=0,0,SER_hh_fech_in!U31/SER_summary!U$27)</f>
        <v>32.389379985789709</v>
      </c>
      <c r="V31" s="133">
        <f>IF(SER_hh_fech_in!V31=0,0,SER_hh_fech_in!V31/SER_summary!V$27)</f>
        <v>29.040997862588824</v>
      </c>
      <c r="W31" s="133">
        <f>IF(SER_hh_fech_in!W31=0,0,SER_hh_fech_in!W31/SER_summary!W$27)</f>
        <v>27.022017463330521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25.904890458206854</v>
      </c>
      <c r="D33" s="68">
        <f>IF(SER_hh_fech_in!D33=0,0,SER_hh_fech_in!D33/SER_summary!D$27)</f>
        <v>24.85462596789862</v>
      </c>
      <c r="E33" s="68">
        <f>IF(SER_hh_fech_in!E33=0,0,SER_hh_fech_in!E33/SER_summary!E$27)</f>
        <v>25.249211500770695</v>
      </c>
      <c r="F33" s="68">
        <f>IF(SER_hh_fech_in!F33=0,0,SER_hh_fech_in!F33/SER_summary!F$27)</f>
        <v>24.569842082525344</v>
      </c>
      <c r="G33" s="68">
        <f>IF(SER_hh_fech_in!G33=0,0,SER_hh_fech_in!G33/SER_summary!G$27)</f>
        <v>25.075180002359009</v>
      </c>
      <c r="H33" s="68">
        <f>IF(SER_hh_fech_in!H33=0,0,SER_hh_fech_in!H33/SER_summary!H$27)</f>
        <v>24.218570863408338</v>
      </c>
      <c r="I33" s="68">
        <f>IF(SER_hh_fech_in!I33=0,0,SER_hh_fech_in!I33/SER_summary!I$27)</f>
        <v>23.916001472700184</v>
      </c>
      <c r="J33" s="68">
        <f>IF(SER_hh_fech_in!J33=0,0,SER_hh_fech_in!J33/SER_summary!J$27)</f>
        <v>24.680668334267178</v>
      </c>
      <c r="K33" s="68">
        <f>IF(SER_hh_fech_in!K33=0,0,SER_hh_fech_in!K33/SER_summary!K$27)</f>
        <v>25.695025792807915</v>
      </c>
      <c r="L33" s="68">
        <f>IF(SER_hh_fech_in!L33=0,0,SER_hh_fech_in!L33/SER_summary!L$27)</f>
        <v>25.696986489704997</v>
      </c>
      <c r="M33" s="68">
        <f>IF(SER_hh_fech_in!M33=0,0,SER_hh_fech_in!M33/SER_summary!M$27)</f>
        <v>25.398136836759658</v>
      </c>
      <c r="N33" s="68">
        <f>IF(SER_hh_fech_in!N33=0,0,SER_hh_fech_in!N33/SER_summary!N$27)</f>
        <v>25.01423790792181</v>
      </c>
      <c r="O33" s="68">
        <f>IF(SER_hh_fech_in!O33=0,0,SER_hh_fech_in!O33/SER_summary!O$27)</f>
        <v>25.165563321569852</v>
      </c>
      <c r="P33" s="68">
        <f>IF(SER_hh_fech_in!P33=0,0,SER_hh_fech_in!P33/SER_summary!P$27)</f>
        <v>24.844609980507375</v>
      </c>
      <c r="Q33" s="68">
        <f>IF(SER_hh_fech_in!Q33=0,0,SER_hh_fech_in!Q33/SER_summary!Q$27)</f>
        <v>24.521143976549833</v>
      </c>
      <c r="R33" s="68">
        <f>IF(SER_hh_fech_in!R33=0,0,SER_hh_fech_in!R33/SER_summary!R$27)</f>
        <v>23.166134865132474</v>
      </c>
      <c r="S33" s="68">
        <f>IF(SER_hh_fech_in!S33=0,0,SER_hh_fech_in!S33/SER_summary!S$27)</f>
        <v>22.280410385088828</v>
      </c>
      <c r="T33" s="68">
        <f>IF(SER_hh_fech_in!T33=0,0,SER_hh_fech_in!T33/SER_summary!T$27)</f>
        <v>23.038322079410381</v>
      </c>
      <c r="U33" s="68">
        <f>IF(SER_hh_fech_in!U33=0,0,SER_hh_fech_in!U33/SER_summary!U$27)</f>
        <v>21.383895787884832</v>
      </c>
      <c r="V33" s="68">
        <f>IF(SER_hh_fech_in!V33=0,0,SER_hh_fech_in!V33/SER_summary!V$27)</f>
        <v>19.147059738368448</v>
      </c>
      <c r="W33" s="68">
        <f>IF(SER_hh_fech_in!W33=0,0,SER_hh_fech_in!W33/SER_summary!W$27)</f>
        <v>21.262879197037066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146.45897035530908</v>
      </c>
      <c r="D3" s="126">
        <f>IF(SER_hh_tesh_in!D3=0,0,SER_hh_tesh_in!D3/SER_summary!D$27)</f>
        <v>133.06209340931846</v>
      </c>
      <c r="E3" s="126">
        <f>IF(SER_hh_tesh_in!E3=0,0,SER_hh_tesh_in!E3/SER_summary!E$27)</f>
        <v>169.85054629782036</v>
      </c>
      <c r="F3" s="126">
        <f>IF(SER_hh_tesh_in!F3=0,0,SER_hh_tesh_in!F3/SER_summary!F$27)</f>
        <v>171.32236462787756</v>
      </c>
      <c r="G3" s="126">
        <f>IF(SER_hh_tesh_in!G3=0,0,SER_hh_tesh_in!G3/SER_summary!G$27)</f>
        <v>165.83213282333921</v>
      </c>
      <c r="H3" s="126">
        <f>IF(SER_hh_tesh_in!H3=0,0,SER_hh_tesh_in!H3/SER_summary!H$27)</f>
        <v>153.74029197099478</v>
      </c>
      <c r="I3" s="126">
        <f>IF(SER_hh_tesh_in!I3=0,0,SER_hh_tesh_in!I3/SER_summary!I$27)</f>
        <v>151.70559702990511</v>
      </c>
      <c r="J3" s="126">
        <f>IF(SER_hh_tesh_in!J3=0,0,SER_hh_tesh_in!J3/SER_summary!J$27)</f>
        <v>184.59441660374776</v>
      </c>
      <c r="K3" s="126">
        <f>IF(SER_hh_tesh_in!K3=0,0,SER_hh_tesh_in!K3/SER_summary!K$27)</f>
        <v>176.97806887630938</v>
      </c>
      <c r="L3" s="126">
        <f>IF(SER_hh_tesh_in!L3=0,0,SER_hh_tesh_in!L3/SER_summary!L$27)</f>
        <v>175.13703602464437</v>
      </c>
      <c r="M3" s="126">
        <f>IF(SER_hh_tesh_in!M3=0,0,SER_hh_tesh_in!M3/SER_summary!M$27)</f>
        <v>146.5443664935911</v>
      </c>
      <c r="N3" s="126">
        <f>IF(SER_hh_tesh_in!N3=0,0,SER_hh_tesh_in!N3/SER_summary!N$27)</f>
        <v>148.35682338620811</v>
      </c>
      <c r="O3" s="126">
        <f>IF(SER_hh_tesh_in!O3=0,0,SER_hh_tesh_in!O3/SER_summary!O$27)</f>
        <v>151.58936646255572</v>
      </c>
      <c r="P3" s="126">
        <f>IF(SER_hh_tesh_in!P3=0,0,SER_hh_tesh_in!P3/SER_summary!P$27)</f>
        <v>162.31292788844297</v>
      </c>
      <c r="Q3" s="126">
        <f>IF(SER_hh_tesh_in!Q3=0,0,SER_hh_tesh_in!Q3/SER_summary!Q$27)</f>
        <v>144.69758315966848</v>
      </c>
      <c r="R3" s="126">
        <f>IF(SER_hh_tesh_in!R3=0,0,SER_hh_tesh_in!R3/SER_summary!R$27)</f>
        <v>157.73739993960345</v>
      </c>
      <c r="S3" s="126">
        <f>IF(SER_hh_tesh_in!S3=0,0,SER_hh_tesh_in!S3/SER_summary!S$27)</f>
        <v>134.23927072359282</v>
      </c>
      <c r="T3" s="126">
        <f>IF(SER_hh_tesh_in!T3=0,0,SER_hh_tesh_in!T3/SER_summary!T$27)</f>
        <v>138.18724247850452</v>
      </c>
      <c r="U3" s="126">
        <f>IF(SER_hh_tesh_in!U3=0,0,SER_hh_tesh_in!U3/SER_summary!U$27)</f>
        <v>124.60857765954259</v>
      </c>
      <c r="V3" s="126">
        <f>IF(SER_hh_tesh_in!V3=0,0,SER_hh_tesh_in!V3/SER_summary!V$27)</f>
        <v>112.98617006581271</v>
      </c>
      <c r="W3" s="126">
        <f>IF(SER_hh_tesh_in!W3=0,0,SER_hh_tesh_in!W3/SER_summary!W$27)</f>
        <v>115.63559114480188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104.04978647619299</v>
      </c>
      <c r="D4" s="131">
        <f>IF(SER_hh_tesh_in!D4=0,0,SER_hh_tesh_in!D4/SER_summary!D$27)</f>
        <v>91.785545429548662</v>
      </c>
      <c r="E4" s="131">
        <f>IF(SER_hh_tesh_in!E4=0,0,SER_hh_tesh_in!E4/SER_summary!E$27)</f>
        <v>129.46401617248225</v>
      </c>
      <c r="F4" s="131">
        <f>IF(SER_hh_tesh_in!F4=0,0,SER_hh_tesh_in!F4/SER_summary!F$27)</f>
        <v>129.9198213925402</v>
      </c>
      <c r="G4" s="131">
        <f>IF(SER_hh_tesh_in!G4=0,0,SER_hh_tesh_in!G4/SER_summary!G$27)</f>
        <v>126.53057139270307</v>
      </c>
      <c r="H4" s="131">
        <f>IF(SER_hh_tesh_in!H4=0,0,SER_hh_tesh_in!H4/SER_summary!H$27)</f>
        <v>115.42698558127557</v>
      </c>
      <c r="I4" s="131">
        <f>IF(SER_hh_tesh_in!I4=0,0,SER_hh_tesh_in!I4/SER_summary!I$27)</f>
        <v>112.87815062458108</v>
      </c>
      <c r="J4" s="131">
        <f>IF(SER_hh_tesh_in!J4=0,0,SER_hh_tesh_in!J4/SER_summary!J$27)</f>
        <v>128.90340867418749</v>
      </c>
      <c r="K4" s="131">
        <f>IF(SER_hh_tesh_in!K4=0,0,SER_hh_tesh_in!K4/SER_summary!K$27)</f>
        <v>120.77607561583079</v>
      </c>
      <c r="L4" s="131">
        <f>IF(SER_hh_tesh_in!L4=0,0,SER_hh_tesh_in!L4/SER_summary!L$27)</f>
        <v>115.74217994922365</v>
      </c>
      <c r="M4" s="131">
        <f>IF(SER_hh_tesh_in!M4=0,0,SER_hh_tesh_in!M4/SER_summary!M$27)</f>
        <v>103.63699730990027</v>
      </c>
      <c r="N4" s="131">
        <f>IF(SER_hh_tesh_in!N4=0,0,SER_hh_tesh_in!N4/SER_summary!N$27)</f>
        <v>103.40438936414735</v>
      </c>
      <c r="O4" s="131">
        <f>IF(SER_hh_tesh_in!O4=0,0,SER_hh_tesh_in!O4/SER_summary!O$27)</f>
        <v>95.824888980182635</v>
      </c>
      <c r="P4" s="131">
        <f>IF(SER_hh_tesh_in!P4=0,0,SER_hh_tesh_in!P4/SER_summary!P$27)</f>
        <v>112.47290593170644</v>
      </c>
      <c r="Q4" s="131">
        <f>IF(SER_hh_tesh_in!Q4=0,0,SER_hh_tesh_in!Q4/SER_summary!Q$27)</f>
        <v>101.02226689584637</v>
      </c>
      <c r="R4" s="131">
        <f>IF(SER_hh_tesh_in!R4=0,0,SER_hh_tesh_in!R4/SER_summary!R$27)</f>
        <v>108.96544358493767</v>
      </c>
      <c r="S4" s="131">
        <f>IF(SER_hh_tesh_in!S4=0,0,SER_hh_tesh_in!S4/SER_summary!S$27)</f>
        <v>90.628338281099659</v>
      </c>
      <c r="T4" s="131">
        <f>IF(SER_hh_tesh_in!T4=0,0,SER_hh_tesh_in!T4/SER_summary!T$27)</f>
        <v>90.30959179227294</v>
      </c>
      <c r="U4" s="131">
        <f>IF(SER_hh_tesh_in!U4=0,0,SER_hh_tesh_in!U4/SER_summary!U$27)</f>
        <v>77.176714894187484</v>
      </c>
      <c r="V4" s="131">
        <f>IF(SER_hh_tesh_in!V4=0,0,SER_hh_tesh_in!V4/SER_summary!V$27)</f>
        <v>72.066543499415403</v>
      </c>
      <c r="W4" s="131">
        <f>IF(SER_hh_tesh_in!W4=0,0,SER_hh_tesh_in!W4/SER_summary!W$27)</f>
        <v>64.242007989737729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116.94539386073522</v>
      </c>
      <c r="D5" s="133">
        <f>IF(SER_hh_tesh_in!D5=0,0,SER_hh_tesh_in!D5/SER_summary!D$27)</f>
        <v>101.47878702905187</v>
      </c>
      <c r="E5" s="133">
        <f>IF(SER_hh_tesh_in!E5=0,0,SER_hh_tesh_in!E5/SER_summary!E$27)</f>
        <v>111.00096583412362</v>
      </c>
      <c r="F5" s="133">
        <f>IF(SER_hh_tesh_in!F5=0,0,SER_hh_tesh_in!F5/SER_summary!F$27)</f>
        <v>0</v>
      </c>
      <c r="G5" s="133">
        <f>IF(SER_hh_tesh_in!G5=0,0,SER_hh_tesh_in!G5/SER_summary!G$27)</f>
        <v>141.77522304761737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79.934983171395743</v>
      </c>
      <c r="N5" s="133">
        <f>IF(SER_hh_tesh_in!N5=0,0,SER_hh_tesh_in!N5/SER_summary!N$27)</f>
        <v>92.355575802453089</v>
      </c>
      <c r="O5" s="133">
        <f>IF(SER_hh_tesh_in!O5=0,0,SER_hh_tesh_in!O5/SER_summary!O$27)</f>
        <v>144.69702352430579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71.624854643062349</v>
      </c>
      <c r="W5" s="133">
        <f>IF(SER_hh_tesh_in!W5=0,0,SER_hh_tesh_in!W5/SER_summary!W$27)</f>
        <v>59.928550110334243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121.20861512598262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105.52570927981142</v>
      </c>
      <c r="I7" s="133">
        <f>IF(SER_hh_tesh_in!I7=0,0,SER_hh_tesh_in!I7/SER_summary!I$27)</f>
        <v>116.19822215993963</v>
      </c>
      <c r="J7" s="133">
        <f>IF(SER_hh_tesh_in!J7=0,0,SER_hh_tesh_in!J7/SER_summary!J$27)</f>
        <v>121.03998017312362</v>
      </c>
      <c r="K7" s="133">
        <f>IF(SER_hh_tesh_in!K7=0,0,SER_hh_tesh_in!K7/SER_summary!K$27)</f>
        <v>110.66185743192968</v>
      </c>
      <c r="L7" s="133">
        <f>IF(SER_hh_tesh_in!L7=0,0,SER_hh_tesh_in!L7/SER_summary!L$27)</f>
        <v>88.129731058223598</v>
      </c>
      <c r="M7" s="133">
        <f>IF(SER_hh_tesh_in!M7=0,0,SER_hh_tesh_in!M7/SER_summary!M$27)</f>
        <v>113.30955392428905</v>
      </c>
      <c r="N7" s="133">
        <f>IF(SER_hh_tesh_in!N7=0,0,SER_hh_tesh_in!N7/SER_summary!N$27)</f>
        <v>112.38459226098792</v>
      </c>
      <c r="O7" s="133">
        <f>IF(SER_hh_tesh_in!O7=0,0,SER_hh_tesh_in!O7/SER_summary!O$27)</f>
        <v>104.71217431330945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0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60.50666024449206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106.92998354655772</v>
      </c>
      <c r="D9" s="133">
        <f>IF(SER_hh_tesh_in!D9=0,0,SER_hh_tesh_in!D9/SER_summary!D$27)</f>
        <v>76.468963114255146</v>
      </c>
      <c r="E9" s="133">
        <f>IF(SER_hh_tesh_in!E9=0,0,SER_hh_tesh_in!E9/SER_summary!E$27)</f>
        <v>152.11293138509023</v>
      </c>
      <c r="F9" s="133">
        <f>IF(SER_hh_tesh_in!F9=0,0,SER_hh_tesh_in!F9/SER_summary!F$27)</f>
        <v>132.63408604057918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0</v>
      </c>
      <c r="L9" s="133">
        <f>IF(SER_hh_tesh_in!L9=0,0,SER_hh_tesh_in!L9/SER_summary!L$27)</f>
        <v>0</v>
      </c>
      <c r="M9" s="133">
        <f>IF(SER_hh_tesh_in!M9=0,0,SER_hh_tesh_in!M9/SER_summary!M$27)</f>
        <v>96.460133683580366</v>
      </c>
      <c r="N9" s="133">
        <f>IF(SER_hh_tesh_in!N9=0,0,SER_hh_tesh_in!N9/SER_summary!N$27)</f>
        <v>89.126292073304569</v>
      </c>
      <c r="O9" s="133">
        <f>IF(SER_hh_tesh_in!O9=0,0,SER_hh_tesh_in!O9/SER_summary!O$27)</f>
        <v>90.295112033636272</v>
      </c>
      <c r="P9" s="133">
        <f>IF(SER_hh_tesh_in!P9=0,0,SER_hh_tesh_in!P9/SER_summary!P$27)</f>
        <v>113.11300972586272</v>
      </c>
      <c r="Q9" s="133">
        <f>IF(SER_hh_tesh_in!Q9=0,0,SER_hh_tesh_in!Q9/SER_summary!Q$27)</f>
        <v>103.21221040018057</v>
      </c>
      <c r="R9" s="133">
        <f>IF(SER_hh_tesh_in!R9=0,0,SER_hh_tesh_in!R9/SER_summary!R$27)</f>
        <v>111.26971582258909</v>
      </c>
      <c r="S9" s="133">
        <f>IF(SER_hh_tesh_in!S9=0,0,SER_hh_tesh_in!S9/SER_summary!S$27)</f>
        <v>89.24692259161327</v>
      </c>
      <c r="T9" s="133">
        <f>IF(SER_hh_tesh_in!T9=0,0,SER_hh_tesh_in!T9/SER_summary!T$27)</f>
        <v>89.429824262475108</v>
      </c>
      <c r="U9" s="133">
        <f>IF(SER_hh_tesh_in!U9=0,0,SER_hh_tesh_in!U9/SER_summary!U$27)</f>
        <v>76.774103274674104</v>
      </c>
      <c r="V9" s="133">
        <f>IF(SER_hh_tesh_in!V9=0,0,SER_hh_tesh_in!V9/SER_summary!V$27)</f>
        <v>71.155604083403546</v>
      </c>
      <c r="W9" s="133">
        <f>IF(SER_hh_tesh_in!W9=0,0,SER_hh_tesh_in!W9/SER_summary!W$27)</f>
        <v>63.530819308532358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111.0956237272181</v>
      </c>
      <c r="D10" s="133">
        <f>IF(SER_hh_tesh_in!D10=0,0,SER_hh_tesh_in!D10/SER_summary!D$27)</f>
        <v>98.52234770048544</v>
      </c>
      <c r="E10" s="133">
        <f>IF(SER_hh_tesh_in!E10=0,0,SER_hh_tesh_in!E10/SER_summary!E$27)</f>
        <v>95.381934693755412</v>
      </c>
      <c r="F10" s="133">
        <f>IF(SER_hh_tesh_in!F10=0,0,SER_hh_tesh_in!F10/SER_summary!F$27)</f>
        <v>166.79514003794139</v>
      </c>
      <c r="G10" s="133">
        <f>IF(SER_hh_tesh_in!G10=0,0,SER_hh_tesh_in!G10/SER_summary!G$27)</f>
        <v>104.38639211815484</v>
      </c>
      <c r="H10" s="133">
        <f>IF(SER_hh_tesh_in!H10=0,0,SER_hh_tesh_in!H10/SER_summary!H$27)</f>
        <v>118.07803638110212</v>
      </c>
      <c r="I10" s="133">
        <f>IF(SER_hh_tesh_in!I10=0,0,SER_hh_tesh_in!I10/SER_summary!I$27)</f>
        <v>124.46802689100267</v>
      </c>
      <c r="J10" s="133">
        <f>IF(SER_hh_tesh_in!J10=0,0,SER_hh_tesh_in!J10/SER_summary!J$27)</f>
        <v>131.12942856369574</v>
      </c>
      <c r="K10" s="133">
        <f>IF(SER_hh_tesh_in!K10=0,0,SER_hh_tesh_in!K10/SER_summary!K$27)</f>
        <v>0</v>
      </c>
      <c r="L10" s="133">
        <f>IF(SER_hh_tesh_in!L10=0,0,SER_hh_tesh_in!L10/SER_summary!L$27)</f>
        <v>115.6020113081096</v>
      </c>
      <c r="M10" s="133">
        <f>IF(SER_hh_tesh_in!M10=0,0,SER_hh_tesh_in!M10/SER_summary!M$27)</f>
        <v>123.60619134610019</v>
      </c>
      <c r="N10" s="133">
        <f>IF(SER_hh_tesh_in!N10=0,0,SER_hh_tesh_in!N10/SER_summary!N$27)</f>
        <v>0</v>
      </c>
      <c r="O10" s="133">
        <f>IF(SER_hh_tesh_in!O10=0,0,SER_hh_tesh_in!O10/SER_summary!O$27)</f>
        <v>0</v>
      </c>
      <c r="P10" s="133">
        <f>IF(SER_hh_tesh_in!P10=0,0,SER_hh_tesh_in!P10/SER_summary!P$27)</f>
        <v>0</v>
      </c>
      <c r="Q10" s="133">
        <f>IF(SER_hh_tesh_in!Q10=0,0,SER_hh_tesh_in!Q10/SER_summary!Q$27)</f>
        <v>0</v>
      </c>
      <c r="R10" s="133">
        <f>IF(SER_hh_tesh_in!R10=0,0,SER_hh_tesh_in!R10/SER_summary!R$27)</f>
        <v>93.302461262370429</v>
      </c>
      <c r="S10" s="133">
        <f>IF(SER_hh_tesh_in!S10=0,0,SER_hh_tesh_in!S10/SER_summary!S$27)</f>
        <v>95.312200119567166</v>
      </c>
      <c r="T10" s="133">
        <f>IF(SER_hh_tesh_in!T10=0,0,SER_hh_tesh_in!T10/SER_summary!T$27)</f>
        <v>78.282874628331655</v>
      </c>
      <c r="U10" s="133">
        <f>IF(SER_hh_tesh_in!U10=0,0,SER_hh_tesh_in!U10/SER_summary!U$27)</f>
        <v>78.399378004183049</v>
      </c>
      <c r="V10" s="133">
        <f>IF(SER_hh_tesh_in!V10=0,0,SER_hh_tesh_in!V10/SER_summary!V$27)</f>
        <v>85.570738064674629</v>
      </c>
      <c r="W10" s="133">
        <f>IF(SER_hh_tesh_in!W10=0,0,SER_hh_tesh_in!W10/SER_summary!W$27)</f>
        <v>61.128025541682035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86.736444751505431</v>
      </c>
      <c r="D12" s="133">
        <f>IF(SER_hh_tesh_in!D12=0,0,SER_hh_tesh_in!D12/SER_summary!D$27)</f>
        <v>104.82783326057944</v>
      </c>
      <c r="E12" s="133">
        <f>IF(SER_hh_tesh_in!E12=0,0,SER_hh_tesh_in!E12/SER_summary!E$27)</f>
        <v>102.70826705540358</v>
      </c>
      <c r="F12" s="133">
        <f>IF(SER_hh_tesh_in!F12=0,0,SER_hh_tesh_in!F12/SER_summary!F$27)</f>
        <v>124.73558159886375</v>
      </c>
      <c r="G12" s="133">
        <f>IF(SER_hh_tesh_in!G12=0,0,SER_hh_tesh_in!G12/SER_summary!G$27)</f>
        <v>134.40193975860345</v>
      </c>
      <c r="H12" s="133">
        <f>IF(SER_hh_tesh_in!H12=0,0,SER_hh_tesh_in!H12/SER_summary!H$27)</f>
        <v>113.01108025018897</v>
      </c>
      <c r="I12" s="133">
        <f>IF(SER_hh_tesh_in!I12=0,0,SER_hh_tesh_in!I12/SER_summary!I$27)</f>
        <v>104.31448746982934</v>
      </c>
      <c r="J12" s="133">
        <f>IF(SER_hh_tesh_in!J12=0,0,SER_hh_tesh_in!J12/SER_summary!J$27)</f>
        <v>126.21932094225458</v>
      </c>
      <c r="K12" s="133">
        <f>IF(SER_hh_tesh_in!K12=0,0,SER_hh_tesh_in!K12/SER_summary!K$27)</f>
        <v>121.34188416543883</v>
      </c>
      <c r="L12" s="133">
        <f>IF(SER_hh_tesh_in!L12=0,0,SER_hh_tesh_in!L12/SER_summary!L$27)</f>
        <v>125.94715380295889</v>
      </c>
      <c r="M12" s="133">
        <f>IF(SER_hh_tesh_in!M12=0,0,SER_hh_tesh_in!M12/SER_summary!M$27)</f>
        <v>95.709426355274076</v>
      </c>
      <c r="N12" s="133">
        <f>IF(SER_hh_tesh_in!N12=0,0,SER_hh_tesh_in!N12/SER_summary!N$27)</f>
        <v>105.44317734867057</v>
      </c>
      <c r="O12" s="133">
        <f>IF(SER_hh_tesh_in!O12=0,0,SER_hh_tesh_in!O12/SER_summary!O$27)</f>
        <v>96.424340428161088</v>
      </c>
      <c r="P12" s="133">
        <f>IF(SER_hh_tesh_in!P12=0,0,SER_hh_tesh_in!P12/SER_summary!P$27)</f>
        <v>102.08219965104867</v>
      </c>
      <c r="Q12" s="133">
        <f>IF(SER_hh_tesh_in!Q12=0,0,SER_hh_tesh_in!Q12/SER_summary!Q$27)</f>
        <v>97.113805831993417</v>
      </c>
      <c r="R12" s="133">
        <f>IF(SER_hh_tesh_in!R12=0,0,SER_hh_tesh_in!R12/SER_summary!R$27)</f>
        <v>103.82679903562034</v>
      </c>
      <c r="S12" s="133">
        <f>IF(SER_hh_tesh_in!S12=0,0,SER_hh_tesh_in!S12/SER_summary!S$27)</f>
        <v>93.791061232390163</v>
      </c>
      <c r="T12" s="133">
        <f>IF(SER_hh_tesh_in!T12=0,0,SER_hh_tesh_in!T12/SER_summary!T$27)</f>
        <v>91.01424245267691</v>
      </c>
      <c r="U12" s="133">
        <f>IF(SER_hh_tesh_in!U12=0,0,SER_hh_tesh_in!U12/SER_summary!U$27)</f>
        <v>71.884497787302152</v>
      </c>
      <c r="V12" s="133">
        <f>IF(SER_hh_tesh_in!V12=0,0,SER_hh_tesh_in!V12/SER_summary!V$27)</f>
        <v>72.193366307185443</v>
      </c>
      <c r="W12" s="133">
        <f>IF(SER_hh_tesh_in!W12=0,0,SER_hh_tesh_in!W12/SER_summary!W$27)</f>
        <v>63.246629451471179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102.38626376738992</v>
      </c>
      <c r="D14" s="65">
        <f>IF(SER_hh_tesh_in!D14=0,0,SER_hh_tesh_in!D14/SER_summary!D$27)</f>
        <v>110.32695468968082</v>
      </c>
      <c r="E14" s="65">
        <f>IF(SER_hh_tesh_in!E14=0,0,SER_hh_tesh_in!E14/SER_summary!E$27)</f>
        <v>104.97329734987635</v>
      </c>
      <c r="F14" s="65">
        <f>IF(SER_hh_tesh_in!F14=0,0,SER_hh_tesh_in!F14/SER_summary!F$27)</f>
        <v>125.13423271095755</v>
      </c>
      <c r="G14" s="65">
        <f>IF(SER_hh_tesh_in!G14=0,0,SER_hh_tesh_in!G14/SER_summary!G$27)</f>
        <v>111.83754670321147</v>
      </c>
      <c r="H14" s="65">
        <f>IF(SER_hh_tesh_in!H14=0,0,SER_hh_tesh_in!H14/SER_summary!H$27)</f>
        <v>117.81183083899407</v>
      </c>
      <c r="I14" s="65">
        <f>IF(SER_hh_tesh_in!I14=0,0,SER_hh_tesh_in!I14/SER_summary!I$27)</f>
        <v>120.0692036782485</v>
      </c>
      <c r="J14" s="65">
        <f>IF(SER_hh_tesh_in!J14=0,0,SER_hh_tesh_in!J14/SER_summary!J$27)</f>
        <v>131.94928099162834</v>
      </c>
      <c r="K14" s="65">
        <f>IF(SER_hh_tesh_in!K14=0,0,SER_hh_tesh_in!K14/SER_summary!K$27)</f>
        <v>126.17433878984332</v>
      </c>
      <c r="L14" s="65">
        <f>IF(SER_hh_tesh_in!L14=0,0,SER_hh_tesh_in!L14/SER_summary!L$27)</f>
        <v>115.43010057358146</v>
      </c>
      <c r="M14" s="65">
        <f>IF(SER_hh_tesh_in!M14=0,0,SER_hh_tesh_in!M14/SER_summary!M$27)</f>
        <v>92.354370280058646</v>
      </c>
      <c r="N14" s="65">
        <f>IF(SER_hh_tesh_in!N14=0,0,SER_hh_tesh_in!N14/SER_summary!N$27)</f>
        <v>105.48681064412519</v>
      </c>
      <c r="O14" s="65">
        <f>IF(SER_hh_tesh_in!O14=0,0,SER_hh_tesh_in!O14/SER_summary!O$27)</f>
        <v>93.668524116420429</v>
      </c>
      <c r="P14" s="65">
        <f>IF(SER_hh_tesh_in!P14=0,0,SER_hh_tesh_in!P14/SER_summary!P$27)</f>
        <v>109.87584507601858</v>
      </c>
      <c r="Q14" s="65">
        <f>IF(SER_hh_tesh_in!Q14=0,0,SER_hh_tesh_in!Q14/SER_summary!Q$27)</f>
        <v>99.855844316692725</v>
      </c>
      <c r="R14" s="65">
        <f>IF(SER_hh_tesh_in!R14=0,0,SER_hh_tesh_in!R14/SER_summary!R$27)</f>
        <v>111.36401020964848</v>
      </c>
      <c r="S14" s="65">
        <f>IF(SER_hh_tesh_in!S14=0,0,SER_hh_tesh_in!S14/SER_summary!S$27)</f>
        <v>81.072585183209412</v>
      </c>
      <c r="T14" s="65">
        <f>IF(SER_hh_tesh_in!T14=0,0,SER_hh_tesh_in!T14/SER_summary!T$27)</f>
        <v>90.53656419350412</v>
      </c>
      <c r="U14" s="65">
        <f>IF(SER_hh_tesh_in!U14=0,0,SER_hh_tesh_in!U14/SER_summary!U$27)</f>
        <v>80.55701186964491</v>
      </c>
      <c r="V14" s="65">
        <f>IF(SER_hh_tesh_in!V14=0,0,SER_hh_tesh_in!V14/SER_summary!V$27)</f>
        <v>69.998022102199869</v>
      </c>
      <c r="W14" s="65">
        <f>IF(SER_hh_tesh_in!W14=0,0,SER_hh_tesh_in!W14/SER_summary!W$27)</f>
        <v>65.757748706852382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1.4253862828667279</v>
      </c>
      <c r="D15" s="135">
        <f>IF(SER_hh_tesh_in!D15=0,0,SER_hh_tesh_in!D15/SER_summary!D$27)</f>
        <v>1.160779608584996</v>
      </c>
      <c r="E15" s="135">
        <f>IF(SER_hh_tesh_in!E15=0,0,SER_hh_tesh_in!E15/SER_summary!E$27)</f>
        <v>1.9039782553003028</v>
      </c>
      <c r="F15" s="135">
        <f>IF(SER_hh_tesh_in!F15=0,0,SER_hh_tesh_in!F15/SER_summary!F$27)</f>
        <v>0.91006279628429865</v>
      </c>
      <c r="G15" s="135">
        <f>IF(SER_hh_tesh_in!G15=0,0,SER_hh_tesh_in!G15/SER_summary!G$27)</f>
        <v>0.64738121910819835</v>
      </c>
      <c r="H15" s="135">
        <f>IF(SER_hh_tesh_in!H15=0,0,SER_hh_tesh_in!H15/SER_summary!H$27)</f>
        <v>0.59815413733821654</v>
      </c>
      <c r="I15" s="135">
        <f>IF(SER_hh_tesh_in!I15=0,0,SER_hh_tesh_in!I15/SER_summary!I$27)</f>
        <v>0.76348973007218246</v>
      </c>
      <c r="J15" s="135">
        <f>IF(SER_hh_tesh_in!J15=0,0,SER_hh_tesh_in!J15/SER_summary!J$27)</f>
        <v>0.83576090109142376</v>
      </c>
      <c r="K15" s="135">
        <f>IF(SER_hh_tesh_in!K15=0,0,SER_hh_tesh_in!K15/SER_summary!K$27)</f>
        <v>0.90656047340139256</v>
      </c>
      <c r="L15" s="135">
        <f>IF(SER_hh_tesh_in!L15=0,0,SER_hh_tesh_in!L15/SER_summary!L$27)</f>
        <v>0.81784691137702958</v>
      </c>
      <c r="M15" s="135">
        <f>IF(SER_hh_tesh_in!M15=0,0,SER_hh_tesh_in!M15/SER_summary!M$27)</f>
        <v>1.1871066538378672</v>
      </c>
      <c r="N15" s="135">
        <f>IF(SER_hh_tesh_in!N15=0,0,SER_hh_tesh_in!N15/SER_summary!N$27)</f>
        <v>1.1236382321289295</v>
      </c>
      <c r="O15" s="135">
        <f>IF(SER_hh_tesh_in!O15=0,0,SER_hh_tesh_in!O15/SER_summary!O$27)</f>
        <v>1.3115756591135102</v>
      </c>
      <c r="P15" s="135">
        <f>IF(SER_hh_tesh_in!P15=0,0,SER_hh_tesh_in!P15/SER_summary!P$27)</f>
        <v>1.7580596219040472</v>
      </c>
      <c r="Q15" s="135">
        <f>IF(SER_hh_tesh_in!Q15=0,0,SER_hh_tesh_in!Q15/SER_summary!Q$27)</f>
        <v>1.0591027452498933</v>
      </c>
      <c r="R15" s="135">
        <f>IF(SER_hh_tesh_in!R15=0,0,SER_hh_tesh_in!R15/SER_summary!R$27)</f>
        <v>1.0583716438315751</v>
      </c>
      <c r="S15" s="135">
        <f>IF(SER_hh_tesh_in!S15=0,0,SER_hh_tesh_in!S15/SER_summary!S$27)</f>
        <v>0.70253311705304877</v>
      </c>
      <c r="T15" s="135">
        <f>IF(SER_hh_tesh_in!T15=0,0,SER_hh_tesh_in!T15/SER_summary!T$27)</f>
        <v>0.73030461132286295</v>
      </c>
      <c r="U15" s="135">
        <f>IF(SER_hh_tesh_in!U15=0,0,SER_hh_tesh_in!U15/SER_summary!U$27)</f>
        <v>0.58451112297268826</v>
      </c>
      <c r="V15" s="135">
        <f>IF(SER_hh_tesh_in!V15=0,0,SER_hh_tesh_in!V15/SER_summary!V$27)</f>
        <v>0.43376898161555061</v>
      </c>
      <c r="W15" s="135">
        <f>IF(SER_hh_tesh_in!W15=0,0,SER_hh_tesh_in!W15/SER_summary!W$27)</f>
        <v>0.36678434943512966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22.326753099313834</v>
      </c>
      <c r="D16" s="131">
        <f>IF(SER_hh_tesh_in!D16=0,0,SER_hh_tesh_in!D16/SER_summary!D$27)</f>
        <v>22.135685444349345</v>
      </c>
      <c r="E16" s="131">
        <f>IF(SER_hh_tesh_in!E16=0,0,SER_hh_tesh_in!E16/SER_summary!E$27)</f>
        <v>23.068738839719824</v>
      </c>
      <c r="F16" s="131">
        <f>IF(SER_hh_tesh_in!F16=0,0,SER_hh_tesh_in!F16/SER_summary!F$27)</f>
        <v>21.835857986119596</v>
      </c>
      <c r="G16" s="131">
        <f>IF(SER_hh_tesh_in!G16=0,0,SER_hh_tesh_in!G16/SER_summary!G$27)</f>
        <v>21.796408378987913</v>
      </c>
      <c r="H16" s="131">
        <f>IF(SER_hh_tesh_in!H16=0,0,SER_hh_tesh_in!H16/SER_summary!H$27)</f>
        <v>22.088729891532918</v>
      </c>
      <c r="I16" s="131">
        <f>IF(SER_hh_tesh_in!I16=0,0,SER_hh_tesh_in!I16/SER_summary!I$27)</f>
        <v>21.679147466879176</v>
      </c>
      <c r="J16" s="131">
        <f>IF(SER_hh_tesh_in!J16=0,0,SER_hh_tesh_in!J16/SER_summary!J$27)</f>
        <v>21.564633203153516</v>
      </c>
      <c r="K16" s="131">
        <f>IF(SER_hh_tesh_in!K16=0,0,SER_hh_tesh_in!K16/SER_summary!K$27)</f>
        <v>21.311007716109184</v>
      </c>
      <c r="L16" s="131">
        <f>IF(SER_hh_tesh_in!L16=0,0,SER_hh_tesh_in!L16/SER_summary!L$27)</f>
        <v>24.624805968791659</v>
      </c>
      <c r="M16" s="131">
        <f>IF(SER_hh_tesh_in!M16=0,0,SER_hh_tesh_in!M16/SER_summary!M$27)</f>
        <v>22.290477343331151</v>
      </c>
      <c r="N16" s="131">
        <f>IF(SER_hh_tesh_in!N16=0,0,SER_hh_tesh_in!N16/SER_summary!N$27)</f>
        <v>21.268242321549923</v>
      </c>
      <c r="O16" s="131">
        <f>IF(SER_hh_tesh_in!O16=0,0,SER_hh_tesh_in!O16/SER_summary!O$27)</f>
        <v>20.957555785174019</v>
      </c>
      <c r="P16" s="131">
        <f>IF(SER_hh_tesh_in!P16=0,0,SER_hh_tesh_in!P16/SER_summary!P$27)</f>
        <v>21.23815479278921</v>
      </c>
      <c r="Q16" s="131">
        <f>IF(SER_hh_tesh_in!Q16=0,0,SER_hh_tesh_in!Q16/SER_summary!Q$27)</f>
        <v>20.691162487128715</v>
      </c>
      <c r="R16" s="131">
        <f>IF(SER_hh_tesh_in!R16=0,0,SER_hh_tesh_in!R16/SER_summary!R$27)</f>
        <v>20.807974390307169</v>
      </c>
      <c r="S16" s="131">
        <f>IF(SER_hh_tesh_in!S16=0,0,SER_hh_tesh_in!S16/SER_summary!S$27)</f>
        <v>20.598451658170045</v>
      </c>
      <c r="T16" s="131">
        <f>IF(SER_hh_tesh_in!T16=0,0,SER_hh_tesh_in!T16/SER_summary!T$27)</f>
        <v>21.737354705595422</v>
      </c>
      <c r="U16" s="131">
        <f>IF(SER_hh_tesh_in!U16=0,0,SER_hh_tesh_in!U16/SER_summary!U$27)</f>
        <v>19.927858019354449</v>
      </c>
      <c r="V16" s="131">
        <f>IF(SER_hh_tesh_in!V16=0,0,SER_hh_tesh_in!V16/SER_summary!V$27)</f>
        <v>19.356213481205874</v>
      </c>
      <c r="W16" s="131">
        <f>IF(SER_hh_tesh_in!W16=0,0,SER_hh_tesh_in!W16/SER_summary!W$27)</f>
        <v>20.178846499274776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22.326753099313834</v>
      </c>
      <c r="D18" s="133">
        <f>IF(SER_hh_tesh_in!D18=0,0,SER_hh_tesh_in!D18/SER_summary!D$27)</f>
        <v>22.135685444349345</v>
      </c>
      <c r="E18" s="133">
        <f>IF(SER_hh_tesh_in!E18=0,0,SER_hh_tesh_in!E18/SER_summary!E$27)</f>
        <v>23.068738839719824</v>
      </c>
      <c r="F18" s="133">
        <f>IF(SER_hh_tesh_in!F18=0,0,SER_hh_tesh_in!F18/SER_summary!F$27)</f>
        <v>21.835857986119596</v>
      </c>
      <c r="G18" s="133">
        <f>IF(SER_hh_tesh_in!G18=0,0,SER_hh_tesh_in!G18/SER_summary!G$27)</f>
        <v>21.796408378987913</v>
      </c>
      <c r="H18" s="133">
        <f>IF(SER_hh_tesh_in!H18=0,0,SER_hh_tesh_in!H18/SER_summary!H$27)</f>
        <v>22.088729891532918</v>
      </c>
      <c r="I18" s="133">
        <f>IF(SER_hh_tesh_in!I18=0,0,SER_hh_tesh_in!I18/SER_summary!I$27)</f>
        <v>21.679147466879176</v>
      </c>
      <c r="J18" s="133">
        <f>IF(SER_hh_tesh_in!J18=0,0,SER_hh_tesh_in!J18/SER_summary!J$27)</f>
        <v>21.564633203153516</v>
      </c>
      <c r="K18" s="133">
        <f>IF(SER_hh_tesh_in!K18=0,0,SER_hh_tesh_in!K18/SER_summary!K$27)</f>
        <v>21.311007716109184</v>
      </c>
      <c r="L18" s="133">
        <f>IF(SER_hh_tesh_in!L18=0,0,SER_hh_tesh_in!L18/SER_summary!L$27)</f>
        <v>24.624805968791659</v>
      </c>
      <c r="M18" s="133">
        <f>IF(SER_hh_tesh_in!M18=0,0,SER_hh_tesh_in!M18/SER_summary!M$27)</f>
        <v>22.290477343331151</v>
      </c>
      <c r="N18" s="133">
        <f>IF(SER_hh_tesh_in!N18=0,0,SER_hh_tesh_in!N18/SER_summary!N$27)</f>
        <v>21.268242321549923</v>
      </c>
      <c r="O18" s="133">
        <f>IF(SER_hh_tesh_in!O18=0,0,SER_hh_tesh_in!O18/SER_summary!O$27)</f>
        <v>20.957555785174019</v>
      </c>
      <c r="P18" s="133">
        <f>IF(SER_hh_tesh_in!P18=0,0,SER_hh_tesh_in!P18/SER_summary!P$27)</f>
        <v>21.23815479278921</v>
      </c>
      <c r="Q18" s="133">
        <f>IF(SER_hh_tesh_in!Q18=0,0,SER_hh_tesh_in!Q18/SER_summary!Q$27)</f>
        <v>20.691162487128715</v>
      </c>
      <c r="R18" s="133">
        <f>IF(SER_hh_tesh_in!R18=0,0,SER_hh_tesh_in!R18/SER_summary!R$27)</f>
        <v>20.807974390307169</v>
      </c>
      <c r="S18" s="133">
        <f>IF(SER_hh_tesh_in!S18=0,0,SER_hh_tesh_in!S18/SER_summary!S$27)</f>
        <v>20.598451658170045</v>
      </c>
      <c r="T18" s="133">
        <f>IF(SER_hh_tesh_in!T18=0,0,SER_hh_tesh_in!T18/SER_summary!T$27)</f>
        <v>21.737354705595422</v>
      </c>
      <c r="U18" s="133">
        <f>IF(SER_hh_tesh_in!U18=0,0,SER_hh_tesh_in!U18/SER_summary!U$27)</f>
        <v>19.927858019354449</v>
      </c>
      <c r="V18" s="133">
        <f>IF(SER_hh_tesh_in!V18=0,0,SER_hh_tesh_in!V18/SER_summary!V$27)</f>
        <v>19.356213481205874</v>
      </c>
      <c r="W18" s="133">
        <f>IF(SER_hh_tesh_in!W18=0,0,SER_hh_tesh_in!W18/SER_summary!W$27)</f>
        <v>20.178846499274776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18.925954876741912</v>
      </c>
      <c r="D19" s="131">
        <f>IF(SER_hh_tesh_in!D19=0,0,SER_hh_tesh_in!D19/SER_summary!D$27)</f>
        <v>17.846156431827154</v>
      </c>
      <c r="E19" s="131">
        <f>IF(SER_hh_tesh_in!E19=0,0,SER_hh_tesh_in!E19/SER_summary!E$27)</f>
        <v>17.867082737099373</v>
      </c>
      <c r="F19" s="131">
        <f>IF(SER_hh_tesh_in!F19=0,0,SER_hh_tesh_in!F19/SER_summary!F$27)</f>
        <v>17.184123520878774</v>
      </c>
      <c r="G19" s="131">
        <f>IF(SER_hh_tesh_in!G19=0,0,SER_hh_tesh_in!G19/SER_summary!G$27)</f>
        <v>17.02836653520076</v>
      </c>
      <c r="H19" s="131">
        <f>IF(SER_hh_tesh_in!H19=0,0,SER_hh_tesh_in!H19/SER_summary!H$27)</f>
        <v>16.474243439077448</v>
      </c>
      <c r="I19" s="131">
        <f>IF(SER_hh_tesh_in!I19=0,0,SER_hh_tesh_in!I19/SER_summary!I$27)</f>
        <v>15.825398328762265</v>
      </c>
      <c r="J19" s="131">
        <f>IF(SER_hh_tesh_in!J19=0,0,SER_hh_tesh_in!J19/SER_summary!J$27)</f>
        <v>15.898022862507435</v>
      </c>
      <c r="K19" s="131">
        <f>IF(SER_hh_tesh_in!K19=0,0,SER_hh_tesh_in!K19/SER_summary!K$27)</f>
        <v>15.94985940264643</v>
      </c>
      <c r="L19" s="131">
        <f>IF(SER_hh_tesh_in!L19=0,0,SER_hh_tesh_in!L19/SER_summary!L$27)</f>
        <v>15.736761255529021</v>
      </c>
      <c r="M19" s="131">
        <f>IF(SER_hh_tesh_in!M19=0,0,SER_hh_tesh_in!M19/SER_summary!M$27)</f>
        <v>15.940007742790108</v>
      </c>
      <c r="N19" s="131">
        <f>IF(SER_hh_tesh_in!N19=0,0,SER_hh_tesh_in!N19/SER_summary!N$27)</f>
        <v>15.71692029951708</v>
      </c>
      <c r="O19" s="131">
        <f>IF(SER_hh_tesh_in!O19=0,0,SER_hh_tesh_in!O19/SER_summary!O$27)</f>
        <v>15.822387386713391</v>
      </c>
      <c r="P19" s="131">
        <f>IF(SER_hh_tesh_in!P19=0,0,SER_hh_tesh_in!P19/SER_summary!P$27)</f>
        <v>16.67610477127992</v>
      </c>
      <c r="Q19" s="131">
        <f>IF(SER_hh_tesh_in!Q19=0,0,SER_hh_tesh_in!Q19/SER_summary!Q$27)</f>
        <v>16.069080339179276</v>
      </c>
      <c r="R19" s="131">
        <f>IF(SER_hh_tesh_in!R19=0,0,SER_hh_tesh_in!R19/SER_summary!R$27)</f>
        <v>15.781509313387033</v>
      </c>
      <c r="S19" s="131">
        <f>IF(SER_hh_tesh_in!S19=0,0,SER_hh_tesh_in!S19/SER_summary!S$27)</f>
        <v>15.543185788732755</v>
      </c>
      <c r="T19" s="131">
        <f>IF(SER_hh_tesh_in!T19=0,0,SER_hh_tesh_in!T19/SER_summary!T$27)</f>
        <v>15.537738423964949</v>
      </c>
      <c r="U19" s="131">
        <f>IF(SER_hh_tesh_in!U19=0,0,SER_hh_tesh_in!U19/SER_summary!U$27)</f>
        <v>15.774995141412518</v>
      </c>
      <c r="V19" s="131">
        <f>IF(SER_hh_tesh_in!V19=0,0,SER_hh_tesh_in!V19/SER_summary!V$27)</f>
        <v>14.688579847856126</v>
      </c>
      <c r="W19" s="131">
        <f>IF(SER_hh_tesh_in!W19=0,0,SER_hh_tesh_in!W19/SER_summary!W$27)</f>
        <v>15.349346250643794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19.160389590009238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15.763161642232458</v>
      </c>
      <c r="J22" s="133">
        <f>IF(SER_hh_tesh_in!J22=0,0,SER_hh_tesh_in!J22/SER_summary!J$27)</f>
        <v>16.110045888835245</v>
      </c>
      <c r="K22" s="133">
        <f>IF(SER_hh_tesh_in!K22=0,0,SER_hh_tesh_in!K22/SER_summary!K$27)</f>
        <v>15.843972766819881</v>
      </c>
      <c r="L22" s="133">
        <f>IF(SER_hh_tesh_in!L22=0,0,SER_hh_tesh_in!L22/SER_summary!L$27)</f>
        <v>15.76271019028143</v>
      </c>
      <c r="M22" s="133">
        <f>IF(SER_hh_tesh_in!M22=0,0,SER_hh_tesh_in!M22/SER_summary!M$27)</f>
        <v>15.908271226125809</v>
      </c>
      <c r="N22" s="133">
        <f>IF(SER_hh_tesh_in!N22=0,0,SER_hh_tesh_in!N22/SER_summary!N$27)</f>
        <v>15.911100625279905</v>
      </c>
      <c r="O22" s="133">
        <f>IF(SER_hh_tesh_in!O22=0,0,SER_hh_tesh_in!O22/SER_summary!O$27)</f>
        <v>15.99662394771717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14.856607935027769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21.163008069453529</v>
      </c>
      <c r="D23" s="133">
        <f>IF(SER_hh_tesh_in!D23=0,0,SER_hh_tesh_in!D23/SER_summary!D$27)</f>
        <v>19.065362933576349</v>
      </c>
      <c r="E23" s="133">
        <f>IF(SER_hh_tesh_in!E23=0,0,SER_hh_tesh_in!E23/SER_summary!E$27)</f>
        <v>17.868727634570352</v>
      </c>
      <c r="F23" s="133">
        <f>IF(SER_hh_tesh_in!F23=0,0,SER_hh_tesh_in!F23/SER_summary!F$27)</f>
        <v>17.048062969773298</v>
      </c>
      <c r="G23" s="133">
        <f>IF(SER_hh_tesh_in!G23=0,0,SER_hh_tesh_in!G23/SER_summary!G$27)</f>
        <v>16.7618539113464</v>
      </c>
      <c r="H23" s="133">
        <f>IF(SER_hh_tesh_in!H23=0,0,SER_hh_tesh_in!H23/SER_summary!H$27)</f>
        <v>16.540296040553077</v>
      </c>
      <c r="I23" s="133">
        <f>IF(SER_hh_tesh_in!I23=0,0,SER_hh_tesh_in!I23/SER_summary!I$27)</f>
        <v>16.123977320615879</v>
      </c>
      <c r="J23" s="133">
        <f>IF(SER_hh_tesh_in!J23=0,0,SER_hh_tesh_in!J23/SER_summary!J$27)</f>
        <v>15.8753767035187</v>
      </c>
      <c r="K23" s="133">
        <f>IF(SER_hh_tesh_in!K23=0,0,SER_hh_tesh_in!K23/SER_summary!K$27)</f>
        <v>15.615710426839815</v>
      </c>
      <c r="L23" s="133">
        <f>IF(SER_hh_tesh_in!L23=0,0,SER_hh_tesh_in!L23/SER_summary!L$27)</f>
        <v>14.73249743595116</v>
      </c>
      <c r="M23" s="133">
        <f>IF(SER_hh_tesh_in!M23=0,0,SER_hh_tesh_in!M23/SER_summary!M$27)</f>
        <v>15.760705084636127</v>
      </c>
      <c r="N23" s="133">
        <f>IF(SER_hh_tesh_in!N23=0,0,SER_hh_tesh_in!N23/SER_summary!N$27)</f>
        <v>13.961161064560471</v>
      </c>
      <c r="O23" s="133">
        <f>IF(SER_hh_tesh_in!O23=0,0,SER_hh_tesh_in!O23/SER_summary!O$27)</f>
        <v>15.508482676714154</v>
      </c>
      <c r="P23" s="133">
        <f>IF(SER_hh_tesh_in!P23=0,0,SER_hh_tesh_in!P23/SER_summary!P$27)</f>
        <v>17.423819274834305</v>
      </c>
      <c r="Q23" s="133">
        <f>IF(SER_hh_tesh_in!Q23=0,0,SER_hh_tesh_in!Q23/SER_summary!Q$27)</f>
        <v>16.186005891641386</v>
      </c>
      <c r="R23" s="133">
        <f>IF(SER_hh_tesh_in!R23=0,0,SER_hh_tesh_in!R23/SER_summary!R$27)</f>
        <v>15.590363938912219</v>
      </c>
      <c r="S23" s="133">
        <f>IF(SER_hh_tesh_in!S23=0,0,SER_hh_tesh_in!S23/SER_summary!S$27)</f>
        <v>15.555987607726832</v>
      </c>
      <c r="T23" s="133">
        <f>IF(SER_hh_tesh_in!T23=0,0,SER_hh_tesh_in!T23/SER_summary!T$27)</f>
        <v>15.778528236499334</v>
      </c>
      <c r="U23" s="133">
        <f>IF(SER_hh_tesh_in!U23=0,0,SER_hh_tesh_in!U23/SER_summary!U$27)</f>
        <v>16.026624406312742</v>
      </c>
      <c r="V23" s="133">
        <f>IF(SER_hh_tesh_in!V23=0,0,SER_hh_tesh_in!V23/SER_summary!V$27)</f>
        <v>15.387996567783638</v>
      </c>
      <c r="W23" s="133">
        <f>IF(SER_hh_tesh_in!W23=0,0,SER_hh_tesh_in!W23/SER_summary!W$27)</f>
        <v>14.015679170847573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18.865134351996435</v>
      </c>
      <c r="D25" s="133">
        <f>IF(SER_hh_tesh_in!D25=0,0,SER_hh_tesh_in!D25/SER_summary!D$27)</f>
        <v>18.07386758654248</v>
      </c>
      <c r="E25" s="133">
        <f>IF(SER_hh_tesh_in!E25=0,0,SER_hh_tesh_in!E25/SER_summary!E$27)</f>
        <v>17.404944369773581</v>
      </c>
      <c r="F25" s="133">
        <f>IF(SER_hh_tesh_in!F25=0,0,SER_hh_tesh_in!F25/SER_summary!F$27)</f>
        <v>16.910519948245046</v>
      </c>
      <c r="G25" s="133">
        <f>IF(SER_hh_tesh_in!G25=0,0,SER_hh_tesh_in!G25/SER_summary!G$27)</f>
        <v>16.908036658022098</v>
      </c>
      <c r="H25" s="133">
        <f>IF(SER_hh_tesh_in!H25=0,0,SER_hh_tesh_in!H25/SER_summary!H$27)</f>
        <v>16.447054527650625</v>
      </c>
      <c r="I25" s="133">
        <f>IF(SER_hh_tesh_in!I25=0,0,SER_hh_tesh_in!I25/SER_summary!I$27)</f>
        <v>16.169946855465106</v>
      </c>
      <c r="J25" s="133">
        <f>IF(SER_hh_tesh_in!J25=0,0,SER_hh_tesh_in!J25/SER_summary!J$27)</f>
        <v>15.837915012545634</v>
      </c>
      <c r="K25" s="133">
        <f>IF(SER_hh_tesh_in!K25=0,0,SER_hh_tesh_in!K25/SER_summary!K$27)</f>
        <v>16.066212365881555</v>
      </c>
      <c r="L25" s="133">
        <f>IF(SER_hh_tesh_in!L25=0,0,SER_hh_tesh_in!L25/SER_summary!L$27)</f>
        <v>15.905973796028473</v>
      </c>
      <c r="M25" s="133">
        <f>IF(SER_hh_tesh_in!M25=0,0,SER_hh_tesh_in!M25/SER_summary!M$27)</f>
        <v>16.008113445490668</v>
      </c>
      <c r="N25" s="133">
        <f>IF(SER_hh_tesh_in!N25=0,0,SER_hh_tesh_in!N25/SER_summary!N$27)</f>
        <v>15.982424244630634</v>
      </c>
      <c r="O25" s="133">
        <f>IF(SER_hh_tesh_in!O25=0,0,SER_hh_tesh_in!O25/SER_summary!O$27)</f>
        <v>16.0543831500839</v>
      </c>
      <c r="P25" s="133">
        <f>IF(SER_hh_tesh_in!P25=0,0,SER_hh_tesh_in!P25/SER_summary!P$27)</f>
        <v>15.917010181243507</v>
      </c>
      <c r="Q25" s="133">
        <f>IF(SER_hh_tesh_in!Q25=0,0,SER_hh_tesh_in!Q25/SER_summary!Q$27)</f>
        <v>15.85307338248238</v>
      </c>
      <c r="R25" s="133">
        <f>IF(SER_hh_tesh_in!R25=0,0,SER_hh_tesh_in!R25/SER_summary!R$27)</f>
        <v>15.770228381390114</v>
      </c>
      <c r="S25" s="133">
        <f>IF(SER_hh_tesh_in!S25=0,0,SER_hh_tesh_in!S25/SER_summary!S$27)</f>
        <v>15.69704508618856</v>
      </c>
      <c r="T25" s="133">
        <f>IF(SER_hh_tesh_in!T25=0,0,SER_hh_tesh_in!T25/SER_summary!T$27)</f>
        <v>15.760324452670087</v>
      </c>
      <c r="U25" s="133">
        <f>IF(SER_hh_tesh_in!U25=0,0,SER_hh_tesh_in!U25/SER_summary!U$27)</f>
        <v>15.666077096091476</v>
      </c>
      <c r="V25" s="133">
        <f>IF(SER_hh_tesh_in!V25=0,0,SER_hh_tesh_in!V25/SER_summary!V$27)</f>
        <v>13.776989490221617</v>
      </c>
      <c r="W25" s="133">
        <f>IF(SER_hh_tesh_in!W25=0,0,SER_hh_tesh_in!W25/SER_summary!W$27)</f>
        <v>15.666129348854005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18.075258790610476</v>
      </c>
      <c r="D26" s="65">
        <f>IF(SER_hh_tesh_in!D26=0,0,SER_hh_tesh_in!D26/SER_summary!D$27)</f>
        <v>17.524804123917018</v>
      </c>
      <c r="E26" s="65">
        <f>IF(SER_hh_tesh_in!E26=0,0,SER_hh_tesh_in!E26/SER_summary!E$27)</f>
        <v>18.109643657599765</v>
      </c>
      <c r="F26" s="65">
        <f>IF(SER_hh_tesh_in!F26=0,0,SER_hh_tesh_in!F26/SER_summary!F$27)</f>
        <v>17.408347365428732</v>
      </c>
      <c r="G26" s="65">
        <f>IF(SER_hh_tesh_in!G26=0,0,SER_hh_tesh_in!G26/SER_summary!G$27)</f>
        <v>17.136194318929505</v>
      </c>
      <c r="H26" s="65">
        <f>IF(SER_hh_tesh_in!H26=0,0,SER_hh_tesh_in!H26/SER_summary!H$27)</f>
        <v>16.486464714543565</v>
      </c>
      <c r="I26" s="65">
        <f>IF(SER_hh_tesh_in!I26=0,0,SER_hh_tesh_in!I26/SER_summary!I$27)</f>
        <v>15.447082289801733</v>
      </c>
      <c r="J26" s="65">
        <f>IF(SER_hh_tesh_in!J26=0,0,SER_hh_tesh_in!J26/SER_summary!J$27)</f>
        <v>0</v>
      </c>
      <c r="K26" s="65">
        <f>IF(SER_hh_tesh_in!K26=0,0,SER_hh_tesh_in!K26/SER_summary!K$27)</f>
        <v>15.812997880506138</v>
      </c>
      <c r="L26" s="65">
        <f>IF(SER_hh_tesh_in!L26=0,0,SER_hh_tesh_in!L26/SER_summary!L$27)</f>
        <v>15.819705274462928</v>
      </c>
      <c r="M26" s="65">
        <f>IF(SER_hh_tesh_in!M26=0,0,SER_hh_tesh_in!M26/SER_summary!M$27)</f>
        <v>15.958756602509938</v>
      </c>
      <c r="N26" s="65">
        <f>IF(SER_hh_tesh_in!N26=0,0,SER_hh_tesh_in!N26/SER_summary!N$27)</f>
        <v>16.411535977602519</v>
      </c>
      <c r="O26" s="65">
        <f>IF(SER_hh_tesh_in!O26=0,0,SER_hh_tesh_in!O26/SER_summary!O$27)</f>
        <v>15.932995021300592</v>
      </c>
      <c r="P26" s="65">
        <f>IF(SER_hh_tesh_in!P26=0,0,SER_hh_tesh_in!P26/SER_summary!P$27)</f>
        <v>15.424678248555979</v>
      </c>
      <c r="Q26" s="65">
        <f>IF(SER_hh_tesh_in!Q26=0,0,SER_hh_tesh_in!Q26/SER_summary!Q$27)</f>
        <v>16.092315924561181</v>
      </c>
      <c r="R26" s="65">
        <f>IF(SER_hh_tesh_in!R26=0,0,SER_hh_tesh_in!R26/SER_summary!R$27)</f>
        <v>15.928313917699885</v>
      </c>
      <c r="S26" s="65">
        <f>IF(SER_hh_tesh_in!S26=0,0,SER_hh_tesh_in!S26/SER_summary!S$27)</f>
        <v>15.44146472863598</v>
      </c>
      <c r="T26" s="65">
        <f>IF(SER_hh_tesh_in!T26=0,0,SER_hh_tesh_in!T26/SER_summary!T$27)</f>
        <v>15.295651985615951</v>
      </c>
      <c r="U26" s="65">
        <f>IF(SER_hh_tesh_in!U26=0,0,SER_hh_tesh_in!U26/SER_summary!U$27)</f>
        <v>15.731871080823034</v>
      </c>
      <c r="V26" s="65">
        <f>IF(SER_hh_tesh_in!V26=0,0,SER_hh_tesh_in!V26/SER_summary!V$27)</f>
        <v>15.101144732525253</v>
      </c>
      <c r="W26" s="65">
        <f>IF(SER_hh_tesh_in!W26=0,0,SER_hh_tesh_in!W26/SER_summary!W$27)</f>
        <v>15.586284928707018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19.232900777020838</v>
      </c>
      <c r="D29" s="131">
        <f>IF(SER_hh_tesh_in!D29=0,0,SER_hh_tesh_in!D29/SER_summary!D$27)</f>
        <v>18.971880681188637</v>
      </c>
      <c r="E29" s="131">
        <f>IF(SER_hh_tesh_in!E29=0,0,SER_hh_tesh_in!E29/SER_summary!E$27)</f>
        <v>18.527154140936045</v>
      </c>
      <c r="F29" s="131">
        <f>IF(SER_hh_tesh_in!F29=0,0,SER_hh_tesh_in!F29/SER_summary!F$27)</f>
        <v>19.445580851308272</v>
      </c>
      <c r="G29" s="131">
        <f>IF(SER_hh_tesh_in!G29=0,0,SER_hh_tesh_in!G29/SER_summary!G$27)</f>
        <v>18.43689662663056</v>
      </c>
      <c r="H29" s="131">
        <f>IF(SER_hh_tesh_in!H29=0,0,SER_hh_tesh_in!H29/SER_summary!H$27)</f>
        <v>17.791148487032313</v>
      </c>
      <c r="I29" s="131">
        <f>IF(SER_hh_tesh_in!I29=0,0,SER_hh_tesh_in!I29/SER_summary!I$27)</f>
        <v>17.624352337005948</v>
      </c>
      <c r="J29" s="131">
        <f>IF(SER_hh_tesh_in!J29=0,0,SER_hh_tesh_in!J29/SER_summary!J$27)</f>
        <v>18.228351863899352</v>
      </c>
      <c r="K29" s="131">
        <f>IF(SER_hh_tesh_in!K29=0,0,SER_hh_tesh_in!K29/SER_summary!K$27)</f>
        <v>18.941126141722975</v>
      </c>
      <c r="L29" s="131">
        <f>IF(SER_hh_tesh_in!L29=0,0,SER_hh_tesh_in!L29/SER_summary!L$27)</f>
        <v>19.033288851100071</v>
      </c>
      <c r="M29" s="131">
        <f>IF(SER_hh_tesh_in!M29=0,0,SER_hh_tesh_in!M29/SER_summary!M$27)</f>
        <v>18.905447071443117</v>
      </c>
      <c r="N29" s="131">
        <f>IF(SER_hh_tesh_in!N29=0,0,SER_hh_tesh_in!N29/SER_summary!N$27)</f>
        <v>18.838497231743599</v>
      </c>
      <c r="O29" s="131">
        <f>IF(SER_hh_tesh_in!O29=0,0,SER_hh_tesh_in!O29/SER_summary!O$27)</f>
        <v>18.984534310485657</v>
      </c>
      <c r="P29" s="131">
        <f>IF(SER_hh_tesh_in!P29=0,0,SER_hh_tesh_in!P29/SER_summary!P$27)</f>
        <v>18.668925659787334</v>
      </c>
      <c r="Q29" s="131">
        <f>IF(SER_hh_tesh_in!Q29=0,0,SER_hh_tesh_in!Q29/SER_summary!Q$27)</f>
        <v>18.063267739634409</v>
      </c>
      <c r="R29" s="131">
        <f>IF(SER_hh_tesh_in!R29=0,0,SER_hh_tesh_in!R29/SER_summary!R$27)</f>
        <v>18.9202337365696</v>
      </c>
      <c r="S29" s="131">
        <f>IF(SER_hh_tesh_in!S29=0,0,SER_hh_tesh_in!S29/SER_summary!S$27)</f>
        <v>18.226403740757306</v>
      </c>
      <c r="T29" s="131">
        <f>IF(SER_hh_tesh_in!T29=0,0,SER_hh_tesh_in!T29/SER_summary!T$27)</f>
        <v>18.308123484838653</v>
      </c>
      <c r="U29" s="131">
        <f>IF(SER_hh_tesh_in!U29=0,0,SER_hh_tesh_in!U29/SER_summary!U$27)</f>
        <v>18.108554220111401</v>
      </c>
      <c r="V29" s="131">
        <f>IF(SER_hh_tesh_in!V29=0,0,SER_hh_tesh_in!V29/SER_summary!V$27)</f>
        <v>16.534558947270579</v>
      </c>
      <c r="W29" s="131">
        <f>IF(SER_hh_tesh_in!W29=0,0,SER_hh_tesh_in!W29/SER_summary!W$27)</f>
        <v>17.755899587590644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25.975329180050398</v>
      </c>
      <c r="G30" s="133">
        <f>IF(SER_hh_tesh_in!G30=0,0,SER_hh_tesh_in!G30/SER_summary!G$27)</f>
        <v>20.145499543934012</v>
      </c>
      <c r="H30" s="133">
        <f>IF(SER_hh_tesh_in!H30=0,0,SER_hh_tesh_in!H30/SER_summary!H$27)</f>
        <v>17.974577948160096</v>
      </c>
      <c r="I30" s="133">
        <f>IF(SER_hh_tesh_in!I30=0,0,SER_hh_tesh_in!I30/SER_summary!I$27)</f>
        <v>17.998828789311553</v>
      </c>
      <c r="J30" s="133">
        <f>IF(SER_hh_tesh_in!J30=0,0,SER_hh_tesh_in!J30/SER_summary!J$27)</f>
        <v>18.297044707355635</v>
      </c>
      <c r="K30" s="133">
        <f>IF(SER_hh_tesh_in!K30=0,0,SER_hh_tesh_in!K30/SER_summary!K$27)</f>
        <v>18.709715237054155</v>
      </c>
      <c r="L30" s="133">
        <f>IF(SER_hh_tesh_in!L30=0,0,SER_hh_tesh_in!L30/SER_summary!L$27)</f>
        <v>18.798062739124738</v>
      </c>
      <c r="M30" s="133">
        <f>IF(SER_hh_tesh_in!M30=0,0,SER_hh_tesh_in!M30/SER_summary!M$27)</f>
        <v>18.843514612098996</v>
      </c>
      <c r="N30" s="133">
        <f>IF(SER_hh_tesh_in!N30=0,0,SER_hh_tesh_in!N30/SER_summary!N$27)</f>
        <v>18.93586999957321</v>
      </c>
      <c r="O30" s="133">
        <f>IF(SER_hh_tesh_in!O30=0,0,SER_hh_tesh_in!O30/SER_summary!O$27)</f>
        <v>18.865029596086533</v>
      </c>
      <c r="P30" s="133">
        <f>IF(SER_hh_tesh_in!P30=0,0,SER_hh_tesh_in!P30/SER_summary!P$27)</f>
        <v>17.011338993681029</v>
      </c>
      <c r="Q30" s="133">
        <f>IF(SER_hh_tesh_in!Q30=0,0,SER_hh_tesh_in!Q30/SER_summary!Q$27)</f>
        <v>13.239669104203269</v>
      </c>
      <c r="R30" s="133">
        <f>IF(SER_hh_tesh_in!R30=0,0,SER_hh_tesh_in!R30/SER_summary!R$27)</f>
        <v>20.515670437892009</v>
      </c>
      <c r="S30" s="133">
        <f>IF(SER_hh_tesh_in!S30=0,0,SER_hh_tesh_in!S30/SER_summary!S$27)</f>
        <v>29.295703448814926</v>
      </c>
      <c r="T30" s="133">
        <f>IF(SER_hh_tesh_in!T30=0,0,SER_hh_tesh_in!T30/SER_summary!T$27)</f>
        <v>9.4270472422650045</v>
      </c>
      <c r="U30" s="133">
        <f>IF(SER_hh_tesh_in!U30=0,0,SER_hh_tesh_in!U30/SER_summary!U$27)</f>
        <v>19.034278078496421</v>
      </c>
      <c r="V30" s="133">
        <f>IF(SER_hh_tesh_in!V30=0,0,SER_hh_tesh_in!V30/SER_summary!V$27)</f>
        <v>19.648415843841395</v>
      </c>
      <c r="W30" s="133">
        <f>IF(SER_hh_tesh_in!W30=0,0,SER_hh_tesh_in!W30/SER_summary!W$27)</f>
        <v>14.391561968798657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20.101735846901935</v>
      </c>
      <c r="D31" s="133">
        <f>IF(SER_hh_tesh_in!D31=0,0,SER_hh_tesh_in!D31/SER_summary!D$27)</f>
        <v>21.458751676975773</v>
      </c>
      <c r="E31" s="133">
        <f>IF(SER_hh_tesh_in!E31=0,0,SER_hh_tesh_in!E31/SER_summary!E$27)</f>
        <v>19.19756811131105</v>
      </c>
      <c r="F31" s="133">
        <f>IF(SER_hh_tesh_in!F31=0,0,SER_hh_tesh_in!F31/SER_summary!F$27)</f>
        <v>18.347655685752166</v>
      </c>
      <c r="G31" s="133">
        <f>IF(SER_hh_tesh_in!G31=0,0,SER_hh_tesh_in!G31/SER_summary!G$27)</f>
        <v>18.228407889715818</v>
      </c>
      <c r="H31" s="133">
        <f>IF(SER_hh_tesh_in!H31=0,0,SER_hh_tesh_in!H31/SER_summary!H$27)</f>
        <v>17.942591394293913</v>
      </c>
      <c r="I31" s="133">
        <f>IF(SER_hh_tesh_in!I31=0,0,SER_hh_tesh_in!I31/SER_summary!I$27)</f>
        <v>18.168316427595055</v>
      </c>
      <c r="J31" s="133">
        <f>IF(SER_hh_tesh_in!J31=0,0,SER_hh_tesh_in!J31/SER_summary!J$27)</f>
        <v>18.471419208787339</v>
      </c>
      <c r="K31" s="133">
        <f>IF(SER_hh_tesh_in!K31=0,0,SER_hh_tesh_in!K31/SER_summary!K$27)</f>
        <v>17.733763777883269</v>
      </c>
      <c r="L31" s="133">
        <f>IF(SER_hh_tesh_in!L31=0,0,SER_hh_tesh_in!L31/SER_summary!L$27)</f>
        <v>18.730752232780222</v>
      </c>
      <c r="M31" s="133">
        <f>IF(SER_hh_tesh_in!M31=0,0,SER_hh_tesh_in!M31/SER_summary!M$27)</f>
        <v>18.76453847448369</v>
      </c>
      <c r="N31" s="133">
        <f>IF(SER_hh_tesh_in!N31=0,0,SER_hh_tesh_in!N31/SER_summary!N$27)</f>
        <v>19.196069743841282</v>
      </c>
      <c r="O31" s="133">
        <f>IF(SER_hh_tesh_in!O31=0,0,SER_hh_tesh_in!O31/SER_summary!O$27)</f>
        <v>18.922599224293105</v>
      </c>
      <c r="P31" s="133">
        <f>IF(SER_hh_tesh_in!P31=0,0,SER_hh_tesh_in!P31/SER_summary!P$27)</f>
        <v>17.925793705605056</v>
      </c>
      <c r="Q31" s="133">
        <f>IF(SER_hh_tesh_in!Q31=0,0,SER_hh_tesh_in!Q31/SER_summary!Q$27)</f>
        <v>16.772249392802138</v>
      </c>
      <c r="R31" s="133">
        <f>IF(SER_hh_tesh_in!R31=0,0,SER_hh_tesh_in!R31/SER_summary!R$27)</f>
        <v>20.14882924674038</v>
      </c>
      <c r="S31" s="133">
        <f>IF(SER_hh_tesh_in!S31=0,0,SER_hh_tesh_in!S31/SER_summary!S$27)</f>
        <v>17.735453519909882</v>
      </c>
      <c r="T31" s="133">
        <f>IF(SER_hh_tesh_in!T31=0,0,SER_hh_tesh_in!T31/SER_summary!T$27)</f>
        <v>17.603637713677042</v>
      </c>
      <c r="U31" s="133">
        <f>IF(SER_hh_tesh_in!U31=0,0,SER_hh_tesh_in!U31/SER_summary!U$27)</f>
        <v>18.982983090463058</v>
      </c>
      <c r="V31" s="133">
        <f>IF(SER_hh_tesh_in!V31=0,0,SER_hh_tesh_in!V31/SER_summary!V$27)</f>
        <v>17.208344922100693</v>
      </c>
      <c r="W31" s="133">
        <f>IF(SER_hh_tesh_in!W31=0,0,SER_hh_tesh_in!W31/SER_summary!W$27)</f>
        <v>16.173794196389174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18.798133831933594</v>
      </c>
      <c r="D33" s="68">
        <f>IF(SER_hh_tesh_in!D33=0,0,SER_hh_tesh_in!D33/SER_summary!D$27)</f>
        <v>18.076277966866186</v>
      </c>
      <c r="E33" s="68">
        <f>IF(SER_hh_tesh_in!E33=0,0,SER_hh_tesh_in!E33/SER_summary!E$27)</f>
        <v>18.405683431285578</v>
      </c>
      <c r="F33" s="68">
        <f>IF(SER_hh_tesh_in!F33=0,0,SER_hh_tesh_in!F33/SER_summary!F$27)</f>
        <v>17.951940115512908</v>
      </c>
      <c r="G33" s="68">
        <f>IF(SER_hh_tesh_in!G33=0,0,SER_hh_tesh_in!G33/SER_summary!G$27)</f>
        <v>18.36489244112342</v>
      </c>
      <c r="H33" s="68">
        <f>IF(SER_hh_tesh_in!H33=0,0,SER_hh_tesh_in!H33/SER_summary!H$27)</f>
        <v>17.780948574422172</v>
      </c>
      <c r="I33" s="68">
        <f>IF(SER_hh_tesh_in!I33=0,0,SER_hh_tesh_in!I33/SER_summary!I$27)</f>
        <v>17.603153789281411</v>
      </c>
      <c r="J33" s="68">
        <f>IF(SER_hh_tesh_in!J33=0,0,SER_hh_tesh_in!J33/SER_summary!J$27)</f>
        <v>18.214422601732942</v>
      </c>
      <c r="K33" s="68">
        <f>IF(SER_hh_tesh_in!K33=0,0,SER_hh_tesh_in!K33/SER_summary!K$27)</f>
        <v>19.017279956243346</v>
      </c>
      <c r="L33" s="68">
        <f>IF(SER_hh_tesh_in!L33=0,0,SER_hh_tesh_in!L33/SER_summary!L$27)</f>
        <v>19.077094967120033</v>
      </c>
      <c r="M33" s="68">
        <f>IF(SER_hh_tesh_in!M33=0,0,SER_hh_tesh_in!M33/SER_summary!M$27)</f>
        <v>18.933715485667868</v>
      </c>
      <c r="N33" s="68">
        <f>IF(SER_hh_tesh_in!N33=0,0,SER_hh_tesh_in!N33/SER_summary!N$27)</f>
        <v>18.749982832077055</v>
      </c>
      <c r="O33" s="68">
        <f>IF(SER_hh_tesh_in!O33=0,0,SER_hh_tesh_in!O33/SER_summary!O$27)</f>
        <v>19.003235986949829</v>
      </c>
      <c r="P33" s="68">
        <f>IF(SER_hh_tesh_in!P33=0,0,SER_hh_tesh_in!P33/SER_summary!P$27)</f>
        <v>18.941126498431647</v>
      </c>
      <c r="Q33" s="68">
        <f>IF(SER_hh_tesh_in!Q33=0,0,SER_hh_tesh_in!Q33/SER_summary!Q$27)</f>
        <v>18.923816804108426</v>
      </c>
      <c r="R33" s="68">
        <f>IF(SER_hh_tesh_in!R33=0,0,SER_hh_tesh_in!R33/SER_summary!R$27)</f>
        <v>18.172794115812817</v>
      </c>
      <c r="S33" s="68">
        <f>IF(SER_hh_tesh_in!S33=0,0,SER_hh_tesh_in!S33/SER_summary!S$27)</f>
        <v>17.831715090050437</v>
      </c>
      <c r="T33" s="68">
        <f>IF(SER_hh_tesh_in!T33=0,0,SER_hh_tesh_in!T33/SER_summary!T$27)</f>
        <v>18.831552422786572</v>
      </c>
      <c r="U33" s="68">
        <f>IF(SER_hh_tesh_in!U33=0,0,SER_hh_tesh_in!U33/SER_summary!U$27)</f>
        <v>17.827788599282918</v>
      </c>
      <c r="V33" s="68">
        <f>IF(SER_hh_tesh_in!V33=0,0,SER_hh_tesh_in!V33/SER_summary!V$27)</f>
        <v>16.222732970631586</v>
      </c>
      <c r="W33" s="68">
        <f>IF(SER_hh_tesh_in!W33=0,0,SER_hh_tesh_in!W33/SER_summary!W$27)</f>
        <v>18.231165457960362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21.365484162141637</v>
      </c>
      <c r="D3" s="126">
        <f>IF(SER_hh_emih_in!D3=0,0,SER_hh_emih_in!D3/SER_summary!D$27)</f>
        <v>17.555370762173279</v>
      </c>
      <c r="E3" s="126">
        <f>IF(SER_hh_emih_in!E3=0,0,SER_hh_emih_in!E3/SER_summary!E$27)</f>
        <v>29.190999918476773</v>
      </c>
      <c r="F3" s="126">
        <f>IF(SER_hh_emih_in!F3=0,0,SER_hh_emih_in!F3/SER_summary!F$27)</f>
        <v>6.6955289023567417</v>
      </c>
      <c r="G3" s="126">
        <f>IF(SER_hh_emih_in!G3=0,0,SER_hh_emih_in!G3/SER_summary!G$27)</f>
        <v>1.6753816574232059</v>
      </c>
      <c r="H3" s="126">
        <f>IF(SER_hh_emih_in!H3=0,0,SER_hh_emih_in!H3/SER_summary!H$27)</f>
        <v>1.6085457954982982</v>
      </c>
      <c r="I3" s="126">
        <f>IF(SER_hh_emih_in!I3=0,0,SER_hh_emih_in!I3/SER_summary!I$27)</f>
        <v>7.3038418983503579</v>
      </c>
      <c r="J3" s="126">
        <f>IF(SER_hh_emih_in!J3=0,0,SER_hh_emih_in!J3/SER_summary!J$27)</f>
        <v>8.1960008495968282</v>
      </c>
      <c r="K3" s="126">
        <f>IF(SER_hh_emih_in!K3=0,0,SER_hh_emih_in!K3/SER_summary!K$27)</f>
        <v>13.847012451492889</v>
      </c>
      <c r="L3" s="126">
        <f>IF(SER_hh_emih_in!L3=0,0,SER_hh_emih_in!L3/SER_summary!L$27)</f>
        <v>13.736753724268885</v>
      </c>
      <c r="M3" s="126">
        <f>IF(SER_hh_emih_in!M3=0,0,SER_hh_emih_in!M3/SER_summary!M$27)</f>
        <v>25.84574712044002</v>
      </c>
      <c r="N3" s="126">
        <f>IF(SER_hh_emih_in!N3=0,0,SER_hh_emih_in!N3/SER_summary!N$27)</f>
        <v>20.083529216001153</v>
      </c>
      <c r="O3" s="126">
        <f>IF(SER_hh_emih_in!O3=0,0,SER_hh_emih_in!O3/SER_summary!O$27)</f>
        <v>21.280646154871881</v>
      </c>
      <c r="P3" s="126">
        <f>IF(SER_hh_emih_in!P3=0,0,SER_hh_emih_in!P3/SER_summary!P$27)</f>
        <v>22.300459848308254</v>
      </c>
      <c r="Q3" s="126">
        <f>IF(SER_hh_emih_in!Q3=0,0,SER_hh_emih_in!Q3/SER_summary!Q$27)</f>
        <v>14.366882156107351</v>
      </c>
      <c r="R3" s="126">
        <f>IF(SER_hh_emih_in!R3=0,0,SER_hh_emih_in!R3/SER_summary!R$27)</f>
        <v>13.349465293627141</v>
      </c>
      <c r="S3" s="126">
        <f>IF(SER_hh_emih_in!S3=0,0,SER_hh_emih_in!S3/SER_summary!S$27)</f>
        <v>7.5349213551765022</v>
      </c>
      <c r="T3" s="126">
        <f>IF(SER_hh_emih_in!T3=0,0,SER_hh_emih_in!T3/SER_summary!T$27)</f>
        <v>7.1431288655414829</v>
      </c>
      <c r="U3" s="126">
        <f>IF(SER_hh_emih_in!U3=0,0,SER_hh_emih_in!U3/SER_summary!U$27)</f>
        <v>5.5252130862410764</v>
      </c>
      <c r="V3" s="126">
        <f>IF(SER_hh_emih_in!V3=0,0,SER_hh_emih_in!V3/SER_summary!V$27)</f>
        <v>3.9656929870617885</v>
      </c>
      <c r="W3" s="126">
        <f>IF(SER_hh_emih_in!W3=0,0,SER_hh_emih_in!W3/SER_summary!W$27)</f>
        <v>3.3445737853969377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16.742666334966493</v>
      </c>
      <c r="D4" s="131">
        <f>IF(SER_hh_emih_in!D4=0,0,SER_hh_emih_in!D4/SER_summary!D$27)</f>
        <v>14.830500536387337</v>
      </c>
      <c r="E4" s="131">
        <f>IF(SER_hh_emih_in!E4=0,0,SER_hh_emih_in!E4/SER_summary!E$27)</f>
        <v>27.643352586355832</v>
      </c>
      <c r="F4" s="131">
        <f>IF(SER_hh_emih_in!F4=0,0,SER_hh_emih_in!F4/SER_summary!F$27)</f>
        <v>3.9987342535410533</v>
      </c>
      <c r="G4" s="131">
        <f>IF(SER_hh_emih_in!G4=0,0,SER_hh_emih_in!G4/SER_summary!G$27)</f>
        <v>0.82435648462389033</v>
      </c>
      <c r="H4" s="131">
        <f>IF(SER_hh_emih_in!H4=0,0,SER_hh_emih_in!H4/SER_summary!H$27)</f>
        <v>0.94093275053825121</v>
      </c>
      <c r="I4" s="131">
        <f>IF(SER_hh_emih_in!I4=0,0,SER_hh_emih_in!I4/SER_summary!I$27)</f>
        <v>6.0559597526160864</v>
      </c>
      <c r="J4" s="131">
        <f>IF(SER_hh_emih_in!J4=0,0,SER_hh_emih_in!J4/SER_summary!J$27)</f>
        <v>5.6732127837238764</v>
      </c>
      <c r="K4" s="131">
        <f>IF(SER_hh_emih_in!K4=0,0,SER_hh_emih_in!K4/SER_summary!K$27)</f>
        <v>11.62614990471385</v>
      </c>
      <c r="L4" s="131">
        <f>IF(SER_hh_emih_in!L4=0,0,SER_hh_emih_in!L4/SER_summary!L$27)</f>
        <v>11.455097092655919</v>
      </c>
      <c r="M4" s="131">
        <f>IF(SER_hh_emih_in!M4=0,0,SER_hh_emih_in!M4/SER_summary!M$27)</f>
        <v>23.293784144539337</v>
      </c>
      <c r="N4" s="131">
        <f>IF(SER_hh_emih_in!N4=0,0,SER_hh_emih_in!N4/SER_summary!N$27)</f>
        <v>17.021383708871411</v>
      </c>
      <c r="O4" s="131">
        <f>IF(SER_hh_emih_in!O4=0,0,SER_hh_emih_in!O4/SER_summary!O$27)</f>
        <v>17.627978883787112</v>
      </c>
      <c r="P4" s="131">
        <f>IF(SER_hh_emih_in!P4=0,0,SER_hh_emih_in!P4/SER_summary!P$27)</f>
        <v>18.185724959979261</v>
      </c>
      <c r="Q4" s="131">
        <f>IF(SER_hh_emih_in!Q4=0,0,SER_hh_emih_in!Q4/SER_summary!Q$27)</f>
        <v>11.678922681136278</v>
      </c>
      <c r="R4" s="131">
        <f>IF(SER_hh_emih_in!R4=0,0,SER_hh_emih_in!R4/SER_summary!R$27)</f>
        <v>9.7253725634939556</v>
      </c>
      <c r="S4" s="131">
        <f>IF(SER_hh_emih_in!S4=0,0,SER_hh_emih_in!S4/SER_summary!S$27)</f>
        <v>5.2308386655790837</v>
      </c>
      <c r="T4" s="131">
        <f>IF(SER_hh_emih_in!T4=0,0,SER_hh_emih_in!T4/SER_summary!T$27)</f>
        <v>4.7853716989013453</v>
      </c>
      <c r="U4" s="131">
        <f>IF(SER_hh_emih_in!U4=0,0,SER_hh_emih_in!U4/SER_summary!U$27)</f>
        <v>3.1852307251336485</v>
      </c>
      <c r="V4" s="131">
        <f>IF(SER_hh_emih_in!V4=0,0,SER_hh_emih_in!V4/SER_summary!V$27)</f>
        <v>1.6943955030688265</v>
      </c>
      <c r="W4" s="131">
        <f>IF(SER_hh_emih_in!W4=0,0,SER_hh_emih_in!W4/SER_summary!W$27)</f>
        <v>1.5607747882247349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70.305351384130503</v>
      </c>
      <c r="D5" s="133">
        <f>IF(SER_hh_emih_in!D5=0,0,SER_hh_emih_in!D5/SER_summary!D$27)</f>
        <v>60.647835796325637</v>
      </c>
      <c r="E5" s="133">
        <f>IF(SER_hh_emih_in!E5=0,0,SER_hh_emih_in!E5/SER_summary!E$27)</f>
        <v>65.849535504064136</v>
      </c>
      <c r="F5" s="133">
        <f>IF(SER_hh_emih_in!F5=0,0,SER_hh_emih_in!F5/SER_summary!F$27)</f>
        <v>0</v>
      </c>
      <c r="G5" s="133">
        <f>IF(SER_hh_emih_in!G5=0,0,SER_hh_emih_in!G5/SER_summary!G$27)</f>
        <v>81.433421387382808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43.333952267143317</v>
      </c>
      <c r="N5" s="133">
        <f>IF(SER_hh_emih_in!N5=0,0,SER_hh_emih_in!N5/SER_summary!N$27)</f>
        <v>50.1889185264139</v>
      </c>
      <c r="O5" s="133">
        <f>IF(SER_hh_emih_in!O5=0,0,SER_hh_emih_in!O5/SER_summary!O$27)</f>
        <v>77.016858204385841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33.467049743502258</v>
      </c>
      <c r="W5" s="133">
        <f>IF(SER_hh_emih_in!W5=0,0,SER_hh_emih_in!W5/SER_summary!W$27)</f>
        <v>27.692504169835036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66.451969215636069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53.152631257618502</v>
      </c>
      <c r="I7" s="133">
        <f>IF(SER_hh_emih_in!I7=0,0,SER_hh_emih_in!I7/SER_summary!I$27)</f>
        <v>57.5874322509368</v>
      </c>
      <c r="J7" s="133">
        <f>IF(SER_hh_emih_in!J7=0,0,SER_hh_emih_in!J7/SER_summary!J$27)</f>
        <v>59.110692442616269</v>
      </c>
      <c r="K7" s="133">
        <f>IF(SER_hh_emih_in!K7=0,0,SER_hh_emih_in!K7/SER_summary!K$27)</f>
        <v>53.185653869433409</v>
      </c>
      <c r="L7" s="133">
        <f>IF(SER_hh_emih_in!L7=0,0,SER_hh_emih_in!L7/SER_summary!L$27)</f>
        <v>41.781309431300897</v>
      </c>
      <c r="M7" s="133">
        <f>IF(SER_hh_emih_in!M7=0,0,SER_hh_emih_in!M7/SER_summary!M$27)</f>
        <v>52.289128059424243</v>
      </c>
      <c r="N7" s="133">
        <f>IF(SER_hh_emih_in!N7=0,0,SER_hh_emih_in!N7/SER_summary!N$27)</f>
        <v>50.001168604625292</v>
      </c>
      <c r="O7" s="133">
        <f>IF(SER_hh_emih_in!O7=0,0,SER_hh_emih_in!O7/SER_summary!O$27)</f>
        <v>44.470035941418367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0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22.004364666289856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38.042017741368298</v>
      </c>
      <c r="D9" s="133">
        <f>IF(SER_hh_emih_in!D9=0,0,SER_hh_emih_in!D9/SER_summary!D$27)</f>
        <v>26.85192746407235</v>
      </c>
      <c r="E9" s="133">
        <f>IF(SER_hh_emih_in!E9=0,0,SER_hh_emih_in!E9/SER_summary!E$27)</f>
        <v>52.729539765525473</v>
      </c>
      <c r="F9" s="133">
        <f>IF(SER_hh_emih_in!F9=0,0,SER_hh_emih_in!F9/SER_summary!F$27)</f>
        <v>45.402498616106264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0</v>
      </c>
      <c r="L9" s="133">
        <f>IF(SER_hh_emih_in!L9=0,0,SER_hh_emih_in!L9/SER_summary!L$27)</f>
        <v>0</v>
      </c>
      <c r="M9" s="133">
        <f>IF(SER_hh_emih_in!M9=0,0,SER_hh_emih_in!M9/SER_summary!M$27)</f>
        <v>29.212098167320455</v>
      </c>
      <c r="N9" s="133">
        <f>IF(SER_hh_emih_in!N9=0,0,SER_hh_emih_in!N9/SER_summary!N$27)</f>
        <v>26.810215446724129</v>
      </c>
      <c r="O9" s="133">
        <f>IF(SER_hh_emih_in!O9=0,0,SER_hh_emih_in!O9/SER_summary!O$27)</f>
        <v>25.779860191067844</v>
      </c>
      <c r="P9" s="133">
        <f>IF(SER_hh_emih_in!P9=0,0,SER_hh_emih_in!P9/SER_summary!P$27)</f>
        <v>32.194610799663728</v>
      </c>
      <c r="Q9" s="133">
        <f>IF(SER_hh_emih_in!Q9=0,0,SER_hh_emih_in!Q9/SER_summary!Q$27)</f>
        <v>28.665987080474643</v>
      </c>
      <c r="R9" s="133">
        <f>IF(SER_hh_emih_in!R9=0,0,SER_hh_emih_in!R9/SER_summary!R$27)</f>
        <v>29.119195718128715</v>
      </c>
      <c r="S9" s="133">
        <f>IF(SER_hh_emih_in!S9=0,0,SER_hh_emih_in!S9/SER_summary!S$27)</f>
        <v>23.881741584420073</v>
      </c>
      <c r="T9" s="133">
        <f>IF(SER_hh_emih_in!T9=0,0,SER_hh_emih_in!T9/SER_summary!T$27)</f>
        <v>24.016224193942012</v>
      </c>
      <c r="U9" s="133">
        <f>IF(SER_hh_emih_in!U9=0,0,SER_hh_emih_in!U9/SER_summary!U$27)</f>
        <v>20.488674056347751</v>
      </c>
      <c r="V9" s="133">
        <f>IF(SER_hh_emih_in!V9=0,0,SER_hh_emih_in!V9/SER_summary!V$27)</f>
        <v>19.038339653777086</v>
      </c>
      <c r="W9" s="133">
        <f>IF(SER_hh_emih_in!W9=0,0,SER_hh_emih_in!W9/SER_summary!W$27)</f>
        <v>17.007661383646155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2.1710371972273128</v>
      </c>
      <c r="D19" s="131">
        <f>IF(SER_hh_emih_in!D19=0,0,SER_hh_emih_in!D19/SER_summary!D$27)</f>
        <v>0.65156684175924284</v>
      </c>
      <c r="E19" s="131">
        <f>IF(SER_hh_emih_in!E19=0,0,SER_hh_emih_in!E19/SER_summary!E$27)</f>
        <v>0.47541290046618012</v>
      </c>
      <c r="F19" s="131">
        <f>IF(SER_hh_emih_in!F19=0,0,SER_hh_emih_in!F19/SER_summary!F$27)</f>
        <v>0.34659009805070573</v>
      </c>
      <c r="G19" s="131">
        <f>IF(SER_hh_emih_in!G19=0,0,SER_hh_emih_in!G19/SER_summary!G$27)</f>
        <v>0.28678218407310635</v>
      </c>
      <c r="H19" s="131">
        <f>IF(SER_hh_emih_in!H19=0,0,SER_hh_emih_in!H19/SER_summary!H$27)</f>
        <v>0.2796808525784989</v>
      </c>
      <c r="I19" s="131">
        <f>IF(SER_hh_emih_in!I19=0,0,SER_hh_emih_in!I19/SER_summary!I$27)</f>
        <v>1.0044207378607402</v>
      </c>
      <c r="J19" s="131">
        <f>IF(SER_hh_emih_in!J19=0,0,SER_hh_emih_in!J19/SER_summary!J$27)</f>
        <v>2.1692343049753737</v>
      </c>
      <c r="K19" s="131">
        <f>IF(SER_hh_emih_in!K19=0,0,SER_hh_emih_in!K19/SER_summary!K$27)</f>
        <v>1.841820419558853</v>
      </c>
      <c r="L19" s="131">
        <f>IF(SER_hh_emih_in!L19=0,0,SER_hh_emih_in!L19/SER_summary!L$27)</f>
        <v>1.4399397828387184</v>
      </c>
      <c r="M19" s="131">
        <f>IF(SER_hh_emih_in!M19=0,0,SER_hh_emih_in!M19/SER_summary!M$27)</f>
        <v>1.3919622226910091</v>
      </c>
      <c r="N19" s="131">
        <f>IF(SER_hh_emih_in!N19=0,0,SER_hh_emih_in!N19/SER_summary!N$27)</f>
        <v>1.61149526141643</v>
      </c>
      <c r="O19" s="131">
        <f>IF(SER_hh_emih_in!O19=0,0,SER_hh_emih_in!O19/SER_summary!O$27)</f>
        <v>2.2614914889161368</v>
      </c>
      <c r="P19" s="131">
        <f>IF(SER_hh_emih_in!P19=0,0,SER_hh_emih_in!P19/SER_summary!P$27)</f>
        <v>2.7328355736668173</v>
      </c>
      <c r="Q19" s="131">
        <f>IF(SER_hh_emih_in!Q19=0,0,SER_hh_emih_in!Q19/SER_summary!Q$27)</f>
        <v>1.3555604236144052</v>
      </c>
      <c r="R19" s="131">
        <f>IF(SER_hh_emih_in!R19=0,0,SER_hh_emih_in!R19/SER_summary!R$27)</f>
        <v>1.1106971390993299</v>
      </c>
      <c r="S19" s="131">
        <f>IF(SER_hh_emih_in!S19=0,0,SER_hh_emih_in!S19/SER_summary!S$27)</f>
        <v>0.91234075239712942</v>
      </c>
      <c r="T19" s="131">
        <f>IF(SER_hh_emih_in!T19=0,0,SER_hh_emih_in!T19/SER_summary!T$27)</f>
        <v>0.9656673893788924</v>
      </c>
      <c r="U19" s="131">
        <f>IF(SER_hh_emih_in!U19=0,0,SER_hh_emih_in!U19/SER_summary!U$27)</f>
        <v>0.7973901405197944</v>
      </c>
      <c r="V19" s="131">
        <f>IF(SER_hh_emih_in!V19=0,0,SER_hh_emih_in!V19/SER_summary!V$27)</f>
        <v>0.72723418890120861</v>
      </c>
      <c r="W19" s="131">
        <f>IF(SER_hh_emih_in!W19=0,0,SER_hh_emih_in!W19/SER_summary!W$27)</f>
        <v>0.65182885133985513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10.344094417101298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8.0513096271337776</v>
      </c>
      <c r="J22" s="133">
        <f>IF(SER_hh_emih_in!J22=0,0,SER_hh_emih_in!J22/SER_summary!J$27)</f>
        <v>8.1562692211439902</v>
      </c>
      <c r="K22" s="133">
        <f>IF(SER_hh_emih_in!K22=0,0,SER_hh_emih_in!K22/SER_summary!K$27)</f>
        <v>7.9349656066701009</v>
      </c>
      <c r="L22" s="133">
        <f>IF(SER_hh_emih_in!L22=0,0,SER_hh_emih_in!L22/SER_summary!L$27)</f>
        <v>7.82059810355892</v>
      </c>
      <c r="M22" s="133">
        <f>IF(SER_hh_emih_in!M22=0,0,SER_hh_emih_in!M22/SER_summary!M$27)</f>
        <v>7.6897989848824206</v>
      </c>
      <c r="N22" s="133">
        <f>IF(SER_hh_emih_in!N22=0,0,SER_hh_emih_in!N22/SER_summary!N$27)</f>
        <v>7.3912713527188725</v>
      </c>
      <c r="O22" s="133">
        <f>IF(SER_hh_emih_in!O22=0,0,SER_hh_emih_in!O22/SER_summary!O$27)</f>
        <v>7.0355816578695709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5.020146242588849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7.7437518462601433</v>
      </c>
      <c r="D23" s="133">
        <f>IF(SER_hh_emih_in!D23=0,0,SER_hh_emih_in!D23/SER_summary!D$27)</f>
        <v>6.8930004581678501</v>
      </c>
      <c r="E23" s="133">
        <f>IF(SER_hh_emih_in!E23=0,0,SER_hh_emih_in!E23/SER_summary!E$27)</f>
        <v>6.3809682654052509</v>
      </c>
      <c r="F23" s="133">
        <f>IF(SER_hh_emih_in!F23=0,0,SER_hh_emih_in!F23/SER_summary!F$27)</f>
        <v>6.0134084446270704</v>
      </c>
      <c r="G23" s="133">
        <f>IF(SER_hh_emih_in!G23=0,0,SER_hh_emih_in!G23/SER_summary!G$27)</f>
        <v>5.7727265167665545</v>
      </c>
      <c r="H23" s="133">
        <f>IF(SER_hh_emih_in!H23=0,0,SER_hh_emih_in!H23/SER_summary!H$27)</f>
        <v>5.6113442800237463</v>
      </c>
      <c r="I23" s="133">
        <f>IF(SER_hh_emih_in!I23=0,0,SER_hh_emih_in!I23/SER_summary!I$27)</f>
        <v>5.3297379215103886</v>
      </c>
      <c r="J23" s="133">
        <f>IF(SER_hh_emih_in!J23=0,0,SER_hh_emih_in!J23/SER_summary!J$27)</f>
        <v>5.1787573287704491</v>
      </c>
      <c r="K23" s="133">
        <f>IF(SER_hh_emih_in!K23=0,0,SER_hh_emih_in!K23/SER_summary!K$27)</f>
        <v>4.98446578297039</v>
      </c>
      <c r="L23" s="133">
        <f>IF(SER_hh_emih_in!L23=0,0,SER_hh_emih_in!L23/SER_summary!L$27)</f>
        <v>4.6349723157460572</v>
      </c>
      <c r="M23" s="133">
        <f>IF(SER_hh_emih_in!M23=0,0,SER_hh_emih_in!M23/SER_summary!M$27)</f>
        <v>4.8367534311937472</v>
      </c>
      <c r="N23" s="133">
        <f>IF(SER_hh_emih_in!N23=0,0,SER_hh_emih_in!N23/SER_summary!N$27)</f>
        <v>4.2032320493091495</v>
      </c>
      <c r="O23" s="133">
        <f>IF(SER_hh_emih_in!O23=0,0,SER_hh_emih_in!O23/SER_summary!O$27)</f>
        <v>4.3542879305163771</v>
      </c>
      <c r="P23" s="133">
        <f>IF(SER_hh_emih_in!P23=0,0,SER_hh_emih_in!P23/SER_summary!P$27)</f>
        <v>4.7788625170158197</v>
      </c>
      <c r="Q23" s="133">
        <f>IF(SER_hh_emih_in!Q23=0,0,SER_hh_emih_in!Q23/SER_summary!Q$27)</f>
        <v>4.2551271423919044</v>
      </c>
      <c r="R23" s="133">
        <f>IF(SER_hh_emih_in!R23=0,0,SER_hh_emih_in!R23/SER_summary!R$27)</f>
        <v>3.8116805635739746</v>
      </c>
      <c r="S23" s="133">
        <f>IF(SER_hh_emih_in!S23=0,0,SER_hh_emih_in!S23/SER_summary!S$27)</f>
        <v>3.8379570463346004</v>
      </c>
      <c r="T23" s="133">
        <f>IF(SER_hh_emih_in!T23=0,0,SER_hh_emih_in!T23/SER_summary!T$27)</f>
        <v>3.8602329940347389</v>
      </c>
      <c r="U23" s="133">
        <f>IF(SER_hh_emih_in!U23=0,0,SER_hh_emih_in!U23/SER_summary!U$27)</f>
        <v>3.8589726123830825</v>
      </c>
      <c r="V23" s="133">
        <f>IF(SER_hh_emih_in!V23=0,0,SER_hh_emih_in!V23/SER_summary!V$27)</f>
        <v>3.6911388956803308</v>
      </c>
      <c r="W23" s="133">
        <f>IF(SER_hh_emih_in!W23=0,0,SER_hh_emih_in!W23/SER_summary!W$27)</f>
        <v>3.355948591943295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2.4517806299478333</v>
      </c>
      <c r="D29" s="131">
        <f>IF(SER_hh_emih_in!D29=0,0,SER_hh_emih_in!D29/SER_summary!D$27)</f>
        <v>2.0733033840266972</v>
      </c>
      <c r="E29" s="131">
        <f>IF(SER_hh_emih_in!E29=0,0,SER_hh_emih_in!E29/SER_summary!E$27)</f>
        <v>1.0722344316547605</v>
      </c>
      <c r="F29" s="131">
        <f>IF(SER_hh_emih_in!F29=0,0,SER_hh_emih_in!F29/SER_summary!F$27)</f>
        <v>2.3502045507649831</v>
      </c>
      <c r="G29" s="131">
        <f>IF(SER_hh_emih_in!G29=0,0,SER_hh_emih_in!G29/SER_summary!G$27)</f>
        <v>0.56424298872620904</v>
      </c>
      <c r="H29" s="131">
        <f>IF(SER_hh_emih_in!H29=0,0,SER_hh_emih_in!H29/SER_summary!H$27)</f>
        <v>0.38793219238154825</v>
      </c>
      <c r="I29" s="131">
        <f>IF(SER_hh_emih_in!I29=0,0,SER_hh_emih_in!I29/SER_summary!I$27)</f>
        <v>0.24346140787353107</v>
      </c>
      <c r="J29" s="131">
        <f>IF(SER_hh_emih_in!J29=0,0,SER_hh_emih_in!J29/SER_summary!J$27)</f>
        <v>0.35355376089757895</v>
      </c>
      <c r="K29" s="131">
        <f>IF(SER_hh_emih_in!K29=0,0,SER_hh_emih_in!K29/SER_summary!K$27)</f>
        <v>0.37904212722018521</v>
      </c>
      <c r="L29" s="131">
        <f>IF(SER_hh_emih_in!L29=0,0,SER_hh_emih_in!L29/SER_summary!L$27)</f>
        <v>0.84171684877424524</v>
      </c>
      <c r="M29" s="131">
        <f>IF(SER_hh_emih_in!M29=0,0,SER_hh_emih_in!M29/SER_summary!M$27)</f>
        <v>1.1600007532096741</v>
      </c>
      <c r="N29" s="131">
        <f>IF(SER_hh_emih_in!N29=0,0,SER_hh_emih_in!N29/SER_summary!N$27)</f>
        <v>1.4506502457133095</v>
      </c>
      <c r="O29" s="131">
        <f>IF(SER_hh_emih_in!O29=0,0,SER_hh_emih_in!O29/SER_summary!O$27)</f>
        <v>1.391175782168633</v>
      </c>
      <c r="P29" s="131">
        <f>IF(SER_hh_emih_in!P29=0,0,SER_hh_emih_in!P29/SER_summary!P$27)</f>
        <v>1.3818993146621772</v>
      </c>
      <c r="Q29" s="131">
        <f>IF(SER_hh_emih_in!Q29=0,0,SER_hh_emih_in!Q29/SER_summary!Q$27)</f>
        <v>1.3323990513566688</v>
      </c>
      <c r="R29" s="131">
        <f>IF(SER_hh_emih_in!R29=0,0,SER_hh_emih_in!R29/SER_summary!R$27)</f>
        <v>2.5133955910338535</v>
      </c>
      <c r="S29" s="131">
        <f>IF(SER_hh_emih_in!S29=0,0,SER_hh_emih_in!S29/SER_summary!S$27)</f>
        <v>1.3917419372002873</v>
      </c>
      <c r="T29" s="131">
        <f>IF(SER_hh_emih_in!T29=0,0,SER_hh_emih_in!T29/SER_summary!T$27)</f>
        <v>1.3920897772612446</v>
      </c>
      <c r="U29" s="131">
        <f>IF(SER_hh_emih_in!U29=0,0,SER_hh_emih_in!U29/SER_summary!U$27)</f>
        <v>1.5425922205876341</v>
      </c>
      <c r="V29" s="131">
        <f>IF(SER_hh_emih_in!V29=0,0,SER_hh_emih_in!V29/SER_summary!V$27)</f>
        <v>1.5440632950917532</v>
      </c>
      <c r="W29" s="131">
        <f>IF(SER_hh_emih_in!W29=0,0,SER_hh_emih_in!W29/SER_summary!W$27)</f>
        <v>1.1319701458323475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10.008502808797274</v>
      </c>
      <c r="G30" s="133">
        <f>IF(SER_hh_emih_in!G30=0,0,SER_hh_emih_in!G30/SER_summary!G$27)</f>
        <v>7.7571684593898338</v>
      </c>
      <c r="H30" s="133">
        <f>IF(SER_hh_emih_in!H30=0,0,SER_hh_emih_in!H30/SER_summary!H$27)</f>
        <v>6.9167898416877671</v>
      </c>
      <c r="I30" s="133">
        <f>IF(SER_hh_emih_in!I30=0,0,SER_hh_emih_in!I30/SER_summary!I$27)</f>
        <v>6.9217383344516463</v>
      </c>
      <c r="J30" s="133">
        <f>IF(SER_hh_emih_in!J30=0,0,SER_hh_emih_in!J30/SER_summary!J$27)</f>
        <v>7.0320917520794444</v>
      </c>
      <c r="K30" s="133">
        <f>IF(SER_hh_emih_in!K30=0,0,SER_hh_emih_in!K30/SER_summary!K$27)</f>
        <v>7.1864390146109143</v>
      </c>
      <c r="L30" s="133">
        <f>IF(SER_hh_emih_in!L30=0,0,SER_hh_emih_in!L30/SER_summary!L$27)</f>
        <v>7.2162855213318124</v>
      </c>
      <c r="M30" s="133">
        <f>IF(SER_hh_emih_in!M30=0,0,SER_hh_emih_in!M30/SER_summary!M$27)</f>
        <v>7.2315305372114382</v>
      </c>
      <c r="N30" s="133">
        <f>IF(SER_hh_emih_in!N30=0,0,SER_hh_emih_in!N30/SER_summary!N$27)</f>
        <v>7.2669735433885867</v>
      </c>
      <c r="O30" s="133">
        <f>IF(SER_hh_emih_in!O30=0,0,SER_hh_emih_in!O30/SER_summary!O$27)</f>
        <v>7.2397872911618721</v>
      </c>
      <c r="P30" s="133">
        <f>IF(SER_hh_emih_in!P30=0,0,SER_hh_emih_in!P30/SER_summary!P$27)</f>
        <v>6.5284008818966806</v>
      </c>
      <c r="Q30" s="133">
        <f>IF(SER_hh_emih_in!Q30=0,0,SER_hh_emih_in!Q30/SER_summary!Q$27)</f>
        <v>5.080956148602251</v>
      </c>
      <c r="R30" s="133">
        <f>IF(SER_hh_emih_in!R30=0,0,SER_hh_emih_in!R30/SER_summary!R$27)</f>
        <v>7.8581287867769261</v>
      </c>
      <c r="S30" s="133">
        <f>IF(SER_hh_emih_in!S30=0,0,SER_hh_emih_in!S30/SER_summary!S$27)</f>
        <v>11.186019636910141</v>
      </c>
      <c r="T30" s="133">
        <f>IF(SER_hh_emih_in!T30=0,0,SER_hh_emih_in!T30/SER_summary!T$27)</f>
        <v>3.5864432491559328</v>
      </c>
      <c r="U30" s="133">
        <f>IF(SER_hh_emih_in!U30=0,0,SER_hh_emih_in!U30/SER_summary!U$27)</f>
        <v>7.214244159002873</v>
      </c>
      <c r="V30" s="133">
        <f>IF(SER_hh_emih_in!V30=0,0,SER_hh_emih_in!V30/SER_summary!V$27)</f>
        <v>7.4210661037878687</v>
      </c>
      <c r="W30" s="133">
        <f>IF(SER_hh_emih_in!W30=0,0,SER_hh_emih_in!W30/SER_summary!W$27)</f>
        <v>5.4181122202013112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7.3514010335329356</v>
      </c>
      <c r="D31" s="133">
        <f>IF(SER_hh_emih_in!D31=0,0,SER_hh_emih_in!D31/SER_summary!D$27)</f>
        <v>7.8303628131107343</v>
      </c>
      <c r="E31" s="133">
        <f>IF(SER_hh_emih_in!E31=0,0,SER_hh_emih_in!E31/SER_summary!E$27)</f>
        <v>6.9900474136230679</v>
      </c>
      <c r="F31" s="133">
        <f>IF(SER_hh_emih_in!F31=0,0,SER_hh_emih_in!F31/SER_summary!F$27)</f>
        <v>6.6661462777407934</v>
      </c>
      <c r="G31" s="133">
        <f>IF(SER_hh_emih_in!G31=0,0,SER_hh_emih_in!G31/SER_summary!G$27)</f>
        <v>6.5344681127266995</v>
      </c>
      <c r="H31" s="133">
        <f>IF(SER_hh_emih_in!H31=0,0,SER_hh_emih_in!H31/SER_summary!H$27)</f>
        <v>6.4044797834560843</v>
      </c>
      <c r="I31" s="133">
        <f>IF(SER_hh_emih_in!I31=0,0,SER_hh_emih_in!I31/SER_summary!I$27)</f>
        <v>6.3892106914485911</v>
      </c>
      <c r="J31" s="133">
        <f>IF(SER_hh_emih_in!J31=0,0,SER_hh_emih_in!J31/SER_summary!J$27)</f>
        <v>6.4867430435636662</v>
      </c>
      <c r="K31" s="133">
        <f>IF(SER_hh_emih_in!K31=0,0,SER_hh_emih_in!K31/SER_summary!K$27)</f>
        <v>6.1720304516669202</v>
      </c>
      <c r="L31" s="133">
        <f>IF(SER_hh_emih_in!L31=0,0,SER_hh_emih_in!L31/SER_summary!L$27)</f>
        <v>6.51437667458808</v>
      </c>
      <c r="M31" s="133">
        <f>IF(SER_hh_emih_in!M31=0,0,SER_hh_emih_in!M31/SER_summary!M$27)</f>
        <v>6.50853693478716</v>
      </c>
      <c r="N31" s="133">
        <f>IF(SER_hh_emih_in!N31=0,0,SER_hh_emih_in!N31/SER_summary!N$27)</f>
        <v>6.7453315893467378</v>
      </c>
      <c r="O31" s="133">
        <f>IF(SER_hh_emih_in!O31=0,0,SER_hh_emih_in!O31/SER_summary!O$27)</f>
        <v>6.4650325436475553</v>
      </c>
      <c r="P31" s="133">
        <f>IF(SER_hh_emih_in!P31=0,0,SER_hh_emih_in!P31/SER_summary!P$27)</f>
        <v>6.267146435102271</v>
      </c>
      <c r="Q31" s="133">
        <f>IF(SER_hh_emih_in!Q31=0,0,SER_hh_emih_in!Q31/SER_summary!Q$27)</f>
        <v>5.8471300620676345</v>
      </c>
      <c r="R31" s="133">
        <f>IF(SER_hh_emih_in!R31=0,0,SER_hh_emih_in!R31/SER_summary!R$27)</f>
        <v>6.6575727896395485</v>
      </c>
      <c r="S31" s="133">
        <f>IF(SER_hh_emih_in!S31=0,0,SER_hh_emih_in!S31/SER_summary!S$27)</f>
        <v>5.9869511028019851</v>
      </c>
      <c r="T31" s="133">
        <f>IF(SER_hh_emih_in!T31=0,0,SER_hh_emih_in!T31/SER_summary!T$27)</f>
        <v>5.9378108278650163</v>
      </c>
      <c r="U31" s="133">
        <f>IF(SER_hh_emih_in!U31=0,0,SER_hh_emih_in!U31/SER_summary!U$27)</f>
        <v>6.325703465559589</v>
      </c>
      <c r="V31" s="133">
        <f>IF(SER_hh_emih_in!V31=0,0,SER_hh_emih_in!V31/SER_summary!V$27)</f>
        <v>5.7161224813308813</v>
      </c>
      <c r="W31" s="133">
        <f>IF(SER_hh_emih_in!W31=0,0,SER_hh_emih_in!W31/SER_summary!W$27)</f>
        <v>5.3408040977678741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58.185184247196524</v>
      </c>
      <c r="C3" s="180">
        <f t="shared" ref="C3:W3" si="1">SUM(C4:C9)</f>
        <v>62.928023010971046</v>
      </c>
      <c r="D3" s="180">
        <f t="shared" si="1"/>
        <v>67.94174044045036</v>
      </c>
      <c r="E3" s="180">
        <f t="shared" si="1"/>
        <v>74.152264272801006</v>
      </c>
      <c r="F3" s="180">
        <f t="shared" si="1"/>
        <v>80.231282772718359</v>
      </c>
      <c r="G3" s="180">
        <f t="shared" si="1"/>
        <v>86.920452274840045</v>
      </c>
      <c r="H3" s="180">
        <f t="shared" si="1"/>
        <v>94.381525093685696</v>
      </c>
      <c r="I3" s="180">
        <f t="shared" si="1"/>
        <v>99.978808355174422</v>
      </c>
      <c r="J3" s="180">
        <f t="shared" si="1"/>
        <v>104.27462638477587</v>
      </c>
      <c r="K3" s="180">
        <f t="shared" si="1"/>
        <v>107.29198889515268</v>
      </c>
      <c r="L3" s="180">
        <f t="shared" si="1"/>
        <v>108.87071620977719</v>
      </c>
      <c r="M3" s="180">
        <f t="shared" si="1"/>
        <v>109.78406703372036</v>
      </c>
      <c r="N3" s="180">
        <f t="shared" si="1"/>
        <v>112.60949897888995</v>
      </c>
      <c r="O3" s="180">
        <f t="shared" si="1"/>
        <v>115.47379764248271</v>
      </c>
      <c r="P3" s="180">
        <f t="shared" si="1"/>
        <v>121.46464468400845</v>
      </c>
      <c r="Q3" s="180">
        <f t="shared" si="1"/>
        <v>126.07542504233683</v>
      </c>
      <c r="R3" s="180">
        <f t="shared" si="1"/>
        <v>129.30716834408858</v>
      </c>
      <c r="S3" s="180">
        <f t="shared" si="1"/>
        <v>128.90587416154682</v>
      </c>
      <c r="T3" s="180">
        <f t="shared" si="1"/>
        <v>131.73210776032346</v>
      </c>
      <c r="U3" s="180">
        <f t="shared" si="1"/>
        <v>133.66857630986561</v>
      </c>
      <c r="V3" s="180">
        <f t="shared" si="1"/>
        <v>134.65845813362728</v>
      </c>
      <c r="W3" s="180">
        <f t="shared" si="1"/>
        <v>153.76464405211766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3.210657481135986</v>
      </c>
      <c r="C4" s="181">
        <f t="shared" ref="C4:R9" si="3">C12*C44/11630</f>
        <v>3.370322533274507</v>
      </c>
      <c r="D4" s="181">
        <f t="shared" si="3"/>
        <v>3.5173763128945095</v>
      </c>
      <c r="E4" s="181">
        <f t="shared" si="3"/>
        <v>3.700157118537406</v>
      </c>
      <c r="F4" s="181">
        <f t="shared" si="3"/>
        <v>3.8205793629749039</v>
      </c>
      <c r="G4" s="181">
        <f t="shared" si="3"/>
        <v>4.0427799336750487</v>
      </c>
      <c r="H4" s="181">
        <f t="shared" si="3"/>
        <v>4.2927178278160012</v>
      </c>
      <c r="I4" s="181">
        <f t="shared" si="3"/>
        <v>4.4632024885761741</v>
      </c>
      <c r="J4" s="181">
        <f t="shared" si="3"/>
        <v>4.4246349207001616</v>
      </c>
      <c r="K4" s="181">
        <f t="shared" si="3"/>
        <v>4.4108482112757361</v>
      </c>
      <c r="L4" s="181">
        <f t="shared" si="3"/>
        <v>4.4429149003305568</v>
      </c>
      <c r="M4" s="181">
        <f t="shared" si="3"/>
        <v>4.5686923748896717</v>
      </c>
      <c r="N4" s="181">
        <f t="shared" si="3"/>
        <v>4.6732897231875228</v>
      </c>
      <c r="O4" s="181">
        <f t="shared" si="3"/>
        <v>4.7314215110218028</v>
      </c>
      <c r="P4" s="181">
        <f t="shared" si="3"/>
        <v>4.8070234960919489</v>
      </c>
      <c r="Q4" s="181">
        <f t="shared" si="3"/>
        <v>4.9296850518096491</v>
      </c>
      <c r="R4" s="181">
        <f t="shared" si="3"/>
        <v>4.9722846308872208</v>
      </c>
      <c r="S4" s="181">
        <f t="shared" ref="D4:W9" si="4">S12*S44/11630</f>
        <v>5.0425656211681202</v>
      </c>
      <c r="T4" s="181">
        <f t="shared" si="4"/>
        <v>5.0934220190041968</v>
      </c>
      <c r="U4" s="181">
        <f t="shared" si="4"/>
        <v>5.1296046312998147</v>
      </c>
      <c r="V4" s="181">
        <f t="shared" si="4"/>
        <v>5.1637377769034094</v>
      </c>
      <c r="W4" s="181">
        <f t="shared" si="4"/>
        <v>5.1831934062110196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11.393250114635018</v>
      </c>
      <c r="C5" s="181">
        <f t="shared" si="3"/>
        <v>11.641424930754928</v>
      </c>
      <c r="D5" s="181">
        <f t="shared" si="4"/>
        <v>11.917125788836268</v>
      </c>
      <c r="E5" s="181">
        <f t="shared" si="4"/>
        <v>12.218837190194803</v>
      </c>
      <c r="F5" s="181">
        <f t="shared" si="4"/>
        <v>12.537266993258489</v>
      </c>
      <c r="G5" s="181">
        <f t="shared" si="4"/>
        <v>12.820363456109538</v>
      </c>
      <c r="H5" s="181">
        <f t="shared" si="4"/>
        <v>13.080596355569352</v>
      </c>
      <c r="I5" s="181">
        <f t="shared" si="4"/>
        <v>13.20353065259817</v>
      </c>
      <c r="J5" s="181">
        <f t="shared" si="4"/>
        <v>13.46469686894647</v>
      </c>
      <c r="K5" s="181">
        <f t="shared" si="4"/>
        <v>13.656015031402337</v>
      </c>
      <c r="L5" s="181">
        <f t="shared" si="4"/>
        <v>13.780002870369543</v>
      </c>
      <c r="M5" s="181">
        <f t="shared" si="4"/>
        <v>13.894102834982066</v>
      </c>
      <c r="N5" s="181">
        <f t="shared" si="4"/>
        <v>14.046973192796342</v>
      </c>
      <c r="O5" s="181">
        <f t="shared" si="4"/>
        <v>14.247005578739287</v>
      </c>
      <c r="P5" s="181">
        <f t="shared" si="4"/>
        <v>14.541007825411551</v>
      </c>
      <c r="Q5" s="181">
        <f t="shared" si="4"/>
        <v>14.726570880406998</v>
      </c>
      <c r="R5" s="181">
        <f t="shared" si="4"/>
        <v>14.739336481805001</v>
      </c>
      <c r="S5" s="181">
        <f t="shared" si="4"/>
        <v>14.081676965981719</v>
      </c>
      <c r="T5" s="181">
        <f t="shared" si="4"/>
        <v>13.577772547885466</v>
      </c>
      <c r="U5" s="181">
        <f t="shared" si="4"/>
        <v>12.9287715852471</v>
      </c>
      <c r="V5" s="181">
        <f t="shared" si="4"/>
        <v>12.246879653946234</v>
      </c>
      <c r="W5" s="181">
        <f t="shared" si="4"/>
        <v>11.582652277522175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18.641878473690834</v>
      </c>
      <c r="C6" s="181">
        <f t="shared" si="3"/>
        <v>19.37955420764429</v>
      </c>
      <c r="D6" s="181">
        <f t="shared" si="4"/>
        <v>20.096490691807112</v>
      </c>
      <c r="E6" s="181">
        <f t="shared" si="4"/>
        <v>20.926361113001303</v>
      </c>
      <c r="F6" s="181">
        <f t="shared" si="4"/>
        <v>21.512071283389592</v>
      </c>
      <c r="G6" s="181">
        <f t="shared" si="4"/>
        <v>22.498278983777713</v>
      </c>
      <c r="H6" s="181">
        <f t="shared" si="4"/>
        <v>23.563121208212493</v>
      </c>
      <c r="I6" s="181">
        <f t="shared" si="4"/>
        <v>24.37126010299307</v>
      </c>
      <c r="J6" s="181">
        <f t="shared" si="4"/>
        <v>23.877259729142203</v>
      </c>
      <c r="K6" s="181">
        <f t="shared" si="4"/>
        <v>23.669166347008677</v>
      </c>
      <c r="L6" s="181">
        <f t="shared" si="4"/>
        <v>23.797915180464056</v>
      </c>
      <c r="M6" s="181">
        <f t="shared" si="4"/>
        <v>24.357018200037697</v>
      </c>
      <c r="N6" s="181">
        <f t="shared" si="4"/>
        <v>24.436765663674564</v>
      </c>
      <c r="O6" s="181">
        <f t="shared" si="4"/>
        <v>24.44707722536641</v>
      </c>
      <c r="P6" s="181">
        <f t="shared" si="4"/>
        <v>25.025512670554019</v>
      </c>
      <c r="Q6" s="181">
        <f t="shared" si="4"/>
        <v>25.844030357369654</v>
      </c>
      <c r="R6" s="181">
        <f t="shared" si="4"/>
        <v>25.700765152667174</v>
      </c>
      <c r="S6" s="181">
        <f t="shared" si="4"/>
        <v>24.560948734755929</v>
      </c>
      <c r="T6" s="181">
        <f t="shared" si="4"/>
        <v>23.36537710813564</v>
      </c>
      <c r="U6" s="181">
        <f t="shared" si="4"/>
        <v>21.958896525462023</v>
      </c>
      <c r="V6" s="181">
        <f t="shared" si="4"/>
        <v>20.529800553529711</v>
      </c>
      <c r="W6" s="181">
        <f t="shared" si="4"/>
        <v>21.437506151915908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11.138277828288846</v>
      </c>
      <c r="C7" s="181">
        <f t="shared" si="3"/>
        <v>11.859087526257028</v>
      </c>
      <c r="D7" s="181">
        <f t="shared" si="4"/>
        <v>12.436521517849238</v>
      </c>
      <c r="E7" s="181">
        <f t="shared" si="4"/>
        <v>13.002787824742533</v>
      </c>
      <c r="F7" s="181">
        <f t="shared" si="4"/>
        <v>13.60343317279694</v>
      </c>
      <c r="G7" s="181">
        <f t="shared" si="4"/>
        <v>14.074379445122045</v>
      </c>
      <c r="H7" s="181">
        <f t="shared" si="4"/>
        <v>14.429571049016172</v>
      </c>
      <c r="I7" s="181">
        <f t="shared" si="4"/>
        <v>14.82392039591476</v>
      </c>
      <c r="J7" s="181">
        <f t="shared" si="4"/>
        <v>15.073018041726213</v>
      </c>
      <c r="K7" s="181">
        <f t="shared" si="4"/>
        <v>15.314783193897807</v>
      </c>
      <c r="L7" s="181">
        <f t="shared" si="4"/>
        <v>15.394996189437443</v>
      </c>
      <c r="M7" s="181">
        <f t="shared" si="4"/>
        <v>15.336549358063426</v>
      </c>
      <c r="N7" s="181">
        <f t="shared" si="4"/>
        <v>15.308135189653431</v>
      </c>
      <c r="O7" s="181">
        <f t="shared" si="4"/>
        <v>15.31265680283008</v>
      </c>
      <c r="P7" s="181">
        <f t="shared" si="4"/>
        <v>15.371121010355715</v>
      </c>
      <c r="Q7" s="181">
        <f t="shared" si="4"/>
        <v>15.523707148403052</v>
      </c>
      <c r="R7" s="181">
        <f t="shared" si="4"/>
        <v>15.571343255994575</v>
      </c>
      <c r="S7" s="181">
        <f t="shared" si="4"/>
        <v>15.586219398229025</v>
      </c>
      <c r="T7" s="181">
        <f t="shared" si="4"/>
        <v>15.628561073411209</v>
      </c>
      <c r="U7" s="181">
        <f t="shared" si="4"/>
        <v>15.661212467569211</v>
      </c>
      <c r="V7" s="181">
        <f t="shared" si="4"/>
        <v>15.695159878938989</v>
      </c>
      <c r="W7" s="181">
        <f t="shared" si="4"/>
        <v>15.632815761158572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3.2509643371005725</v>
      </c>
      <c r="C8" s="55">
        <f t="shared" si="3"/>
        <v>3.6293461970076524</v>
      </c>
      <c r="D8" s="55">
        <f t="shared" si="4"/>
        <v>4.1054704628621765</v>
      </c>
      <c r="E8" s="55">
        <f t="shared" si="4"/>
        <v>4.7372046713090636</v>
      </c>
      <c r="F8" s="55">
        <f t="shared" si="4"/>
        <v>5.378657222815904</v>
      </c>
      <c r="G8" s="55">
        <f t="shared" si="4"/>
        <v>6.2089025199323427</v>
      </c>
      <c r="H8" s="55">
        <f t="shared" si="4"/>
        <v>7.2900198961446465</v>
      </c>
      <c r="I8" s="55">
        <f t="shared" si="4"/>
        <v>8.1368380580637822</v>
      </c>
      <c r="J8" s="55">
        <f t="shared" si="4"/>
        <v>8.5557012069178331</v>
      </c>
      <c r="K8" s="55">
        <f t="shared" si="4"/>
        <v>8.782867521167578</v>
      </c>
      <c r="L8" s="55">
        <f t="shared" si="4"/>
        <v>9.1540072335029166</v>
      </c>
      <c r="M8" s="55">
        <f t="shared" si="4"/>
        <v>9.6015605141809033</v>
      </c>
      <c r="N8" s="55">
        <f t="shared" si="4"/>
        <v>9.9515213263843822</v>
      </c>
      <c r="O8" s="55">
        <f t="shared" si="4"/>
        <v>10.12434716502173</v>
      </c>
      <c r="P8" s="55">
        <f t="shared" si="4"/>
        <v>10.319235752872714</v>
      </c>
      <c r="Q8" s="55">
        <f t="shared" si="4"/>
        <v>10.555308238607674</v>
      </c>
      <c r="R8" s="55">
        <f t="shared" si="4"/>
        <v>10.941860934182525</v>
      </c>
      <c r="S8" s="55">
        <f t="shared" si="4"/>
        <v>10.935910080705336</v>
      </c>
      <c r="T8" s="55">
        <f t="shared" si="4"/>
        <v>10.989101842772991</v>
      </c>
      <c r="U8" s="55">
        <f t="shared" si="4"/>
        <v>10.871923788546093</v>
      </c>
      <c r="V8" s="55">
        <f t="shared" si="4"/>
        <v>10.768157102894282</v>
      </c>
      <c r="W8" s="55">
        <f t="shared" si="4"/>
        <v>12.152280177464831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10.550156012345278</v>
      </c>
      <c r="C9" s="63">
        <f t="shared" si="3"/>
        <v>13.048287616032642</v>
      </c>
      <c r="D9" s="63">
        <f t="shared" si="4"/>
        <v>15.868755666201055</v>
      </c>
      <c r="E9" s="63">
        <f t="shared" si="4"/>
        <v>19.566916355015884</v>
      </c>
      <c r="F9" s="63">
        <f t="shared" si="4"/>
        <v>23.379274737482536</v>
      </c>
      <c r="G9" s="63">
        <f t="shared" si="4"/>
        <v>27.275747936223365</v>
      </c>
      <c r="H9" s="63">
        <f t="shared" si="4"/>
        <v>31.725498756927028</v>
      </c>
      <c r="I9" s="63">
        <f t="shared" si="4"/>
        <v>34.98005665702847</v>
      </c>
      <c r="J9" s="63">
        <f t="shared" si="4"/>
        <v>38.879315617342975</v>
      </c>
      <c r="K9" s="63">
        <f t="shared" si="4"/>
        <v>41.458308590400549</v>
      </c>
      <c r="L9" s="63">
        <f t="shared" si="4"/>
        <v>42.300879835672674</v>
      </c>
      <c r="M9" s="63">
        <f t="shared" si="4"/>
        <v>42.026143751566615</v>
      </c>
      <c r="N9" s="63">
        <f t="shared" si="4"/>
        <v>44.192813883193708</v>
      </c>
      <c r="O9" s="63">
        <f t="shared" si="4"/>
        <v>46.611289359503402</v>
      </c>
      <c r="P9" s="63">
        <f t="shared" si="4"/>
        <v>51.400743928722513</v>
      </c>
      <c r="Q9" s="63">
        <f t="shared" si="4"/>
        <v>54.496123365739805</v>
      </c>
      <c r="R9" s="63">
        <f t="shared" si="4"/>
        <v>57.38157788855208</v>
      </c>
      <c r="S9" s="63">
        <f t="shared" si="4"/>
        <v>58.69855336070669</v>
      </c>
      <c r="T9" s="63">
        <f t="shared" si="4"/>
        <v>63.077873169113964</v>
      </c>
      <c r="U9" s="63">
        <f t="shared" si="4"/>
        <v>67.118167311741345</v>
      </c>
      <c r="V9" s="63">
        <f t="shared" si="4"/>
        <v>70.254723167414653</v>
      </c>
      <c r="W9" s="63">
        <f t="shared" si="4"/>
        <v>87.776196277845173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264.6357611492175</v>
      </c>
      <c r="C11" s="180">
        <f t="shared" ref="C11:W11" si="6">SUM(C12:C17)</f>
        <v>290.58019093613689</v>
      </c>
      <c r="D11" s="180">
        <f t="shared" si="6"/>
        <v>318.49561404154076</v>
      </c>
      <c r="E11" s="180">
        <f t="shared" si="6"/>
        <v>354.28252624203463</v>
      </c>
      <c r="F11" s="180">
        <f t="shared" si="6"/>
        <v>389.17518344863896</v>
      </c>
      <c r="G11" s="180">
        <f t="shared" si="6"/>
        <v>428.14117718036601</v>
      </c>
      <c r="H11" s="180">
        <f t="shared" si="6"/>
        <v>473.40822452444672</v>
      </c>
      <c r="I11" s="180">
        <f t="shared" si="6"/>
        <v>506.33723149243519</v>
      </c>
      <c r="J11" s="180">
        <f t="shared" si="6"/>
        <v>531.92249830464596</v>
      </c>
      <c r="K11" s="180">
        <f t="shared" si="6"/>
        <v>547.62868934472885</v>
      </c>
      <c r="L11" s="180">
        <f t="shared" si="6"/>
        <v>555.05897783086016</v>
      </c>
      <c r="M11" s="180">
        <f t="shared" si="6"/>
        <v>558.29018011453957</v>
      </c>
      <c r="N11" s="180">
        <f t="shared" si="6"/>
        <v>573.46223145406179</v>
      </c>
      <c r="O11" s="180">
        <f t="shared" si="6"/>
        <v>587.82597020776097</v>
      </c>
      <c r="P11" s="180">
        <f t="shared" si="6"/>
        <v>618.81153470452045</v>
      </c>
      <c r="Q11" s="180">
        <f t="shared" si="6"/>
        <v>640.73501999391192</v>
      </c>
      <c r="R11" s="180">
        <f t="shared" si="6"/>
        <v>645.64171651468291</v>
      </c>
      <c r="S11" s="180">
        <f t="shared" si="6"/>
        <v>653.39390656032469</v>
      </c>
      <c r="T11" s="180">
        <f t="shared" si="6"/>
        <v>674.88025540464264</v>
      </c>
      <c r="U11" s="180">
        <f t="shared" si="6"/>
        <v>692.01649260000909</v>
      </c>
      <c r="V11" s="180">
        <f t="shared" si="6"/>
        <v>709.90928538971639</v>
      </c>
      <c r="W11" s="180">
        <f t="shared" si="6"/>
        <v>740.02773269122758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4.2625509709602198</v>
      </c>
      <c r="C12" s="181">
        <f t="shared" ref="C12:W12" si="7">C20*C52</f>
        <v>4.4745263769386447</v>
      </c>
      <c r="D12" s="181">
        <f t="shared" si="7"/>
        <v>4.669758735041456</v>
      </c>
      <c r="E12" s="181">
        <f t="shared" si="7"/>
        <v>4.9124232064600521</v>
      </c>
      <c r="F12" s="181">
        <f t="shared" si="7"/>
        <v>5.0722988574655403</v>
      </c>
      <c r="G12" s="181">
        <f t="shared" si="7"/>
        <v>5.3672980169681317</v>
      </c>
      <c r="H12" s="181">
        <f t="shared" si="7"/>
        <v>5.6991219563356283</v>
      </c>
      <c r="I12" s="181">
        <f t="shared" si="7"/>
        <v>5.9254617513859476</v>
      </c>
      <c r="J12" s="181">
        <f t="shared" si="7"/>
        <v>5.8742584620711069</v>
      </c>
      <c r="K12" s="181">
        <f t="shared" si="7"/>
        <v>5.8559548741023759</v>
      </c>
      <c r="L12" s="181">
        <f t="shared" si="7"/>
        <v>5.8985274304616881</v>
      </c>
      <c r="M12" s="181">
        <f t="shared" si="7"/>
        <v>6.0655128219140275</v>
      </c>
      <c r="N12" s="181">
        <f t="shared" si="7"/>
        <v>6.204378936149646</v>
      </c>
      <c r="O12" s="181">
        <f t="shared" si="7"/>
        <v>6.2815561841533754</v>
      </c>
      <c r="P12" s="181">
        <f t="shared" si="7"/>
        <v>6.3819273127339438</v>
      </c>
      <c r="Q12" s="181">
        <f t="shared" si="7"/>
        <v>6.5447759306559634</v>
      </c>
      <c r="R12" s="181">
        <f t="shared" si="7"/>
        <v>6.6013322211436529</v>
      </c>
      <c r="S12" s="181">
        <f t="shared" si="7"/>
        <v>6.6946390609800526</v>
      </c>
      <c r="T12" s="181">
        <f t="shared" si="7"/>
        <v>6.7621573151847967</v>
      </c>
      <c r="U12" s="181">
        <f t="shared" si="7"/>
        <v>6.8101942764859427</v>
      </c>
      <c r="V12" s="181">
        <f t="shared" si="7"/>
        <v>6.8555103134003037</v>
      </c>
      <c r="W12" s="181">
        <f t="shared" si="7"/>
        <v>6.8813401043646314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34.229627072186425</v>
      </c>
      <c r="C13" s="181">
        <f t="shared" ref="C13:W13" si="8">C21*C53/1000</f>
        <v>34.950920084165794</v>
      </c>
      <c r="D13" s="181">
        <f t="shared" si="8"/>
        <v>35.745347705108557</v>
      </c>
      <c r="E13" s="181">
        <f t="shared" si="8"/>
        <v>36.606258734732769</v>
      </c>
      <c r="F13" s="181">
        <f t="shared" si="8"/>
        <v>37.541347944690983</v>
      </c>
      <c r="G13" s="181">
        <f t="shared" si="8"/>
        <v>38.351299649925629</v>
      </c>
      <c r="H13" s="181">
        <f t="shared" si="8"/>
        <v>39.096213047231963</v>
      </c>
      <c r="I13" s="181">
        <f t="shared" si="8"/>
        <v>39.413314301133497</v>
      </c>
      <c r="J13" s="181">
        <f t="shared" si="8"/>
        <v>40.215810929973777</v>
      </c>
      <c r="K13" s="181">
        <f t="shared" si="8"/>
        <v>40.81222811328297</v>
      </c>
      <c r="L13" s="181">
        <f t="shared" si="8"/>
        <v>41.188845592916849</v>
      </c>
      <c r="M13" s="181">
        <f t="shared" si="8"/>
        <v>41.530825728735813</v>
      </c>
      <c r="N13" s="181">
        <f t="shared" si="8"/>
        <v>42.035624713500042</v>
      </c>
      <c r="O13" s="181">
        <f t="shared" si="8"/>
        <v>42.81855998131406</v>
      </c>
      <c r="P13" s="181">
        <f t="shared" si="8"/>
        <v>43.875737497076273</v>
      </c>
      <c r="Q13" s="181">
        <f t="shared" si="8"/>
        <v>44.607186686973812</v>
      </c>
      <c r="R13" s="181">
        <f t="shared" si="8"/>
        <v>43.871296593961702</v>
      </c>
      <c r="S13" s="181">
        <f t="shared" si="8"/>
        <v>42.910812376636436</v>
      </c>
      <c r="T13" s="181">
        <f t="shared" si="8"/>
        <v>41.737142449997371</v>
      </c>
      <c r="U13" s="181">
        <f t="shared" si="8"/>
        <v>40.323085281456606</v>
      </c>
      <c r="V13" s="181">
        <f t="shared" si="8"/>
        <v>38.631540004864959</v>
      </c>
      <c r="W13" s="181">
        <f t="shared" si="8"/>
        <v>36.968825953826439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95.281199584547494</v>
      </c>
      <c r="C14" s="181">
        <f t="shared" ref="C14:W14" si="9">C22*C54</f>
        <v>98.100558401955794</v>
      </c>
      <c r="D14" s="181">
        <f t="shared" si="9"/>
        <v>100.82115515427924</v>
      </c>
      <c r="E14" s="181">
        <f t="shared" si="9"/>
        <v>103.89719543663576</v>
      </c>
      <c r="F14" s="181">
        <f t="shared" si="9"/>
        <v>106.12652205734737</v>
      </c>
      <c r="G14" s="181">
        <f t="shared" si="9"/>
        <v>110.15819684978129</v>
      </c>
      <c r="H14" s="181">
        <f t="shared" si="9"/>
        <v>114.94509922161079</v>
      </c>
      <c r="I14" s="181">
        <f t="shared" si="9"/>
        <v>118.49042378651085</v>
      </c>
      <c r="J14" s="181">
        <f t="shared" si="9"/>
        <v>115.7271198503615</v>
      </c>
      <c r="K14" s="181">
        <f t="shared" si="9"/>
        <v>114.23970418324075</v>
      </c>
      <c r="L14" s="181">
        <f t="shared" si="9"/>
        <v>114.45894052590664</v>
      </c>
      <c r="M14" s="181">
        <f t="shared" si="9"/>
        <v>116.4979534861329</v>
      </c>
      <c r="N14" s="181">
        <f t="shared" si="9"/>
        <v>116.17846045988107</v>
      </c>
      <c r="O14" s="181">
        <f t="shared" si="9"/>
        <v>115.63286113854225</v>
      </c>
      <c r="P14" s="181">
        <f t="shared" si="9"/>
        <v>117.86719460872985</v>
      </c>
      <c r="Q14" s="181">
        <f t="shared" si="9"/>
        <v>121.16744806303332</v>
      </c>
      <c r="R14" s="181">
        <f t="shared" si="9"/>
        <v>118.5733285038575</v>
      </c>
      <c r="S14" s="181">
        <f t="shared" si="9"/>
        <v>115.06347995354608</v>
      </c>
      <c r="T14" s="181">
        <f t="shared" si="9"/>
        <v>110.60096083635109</v>
      </c>
      <c r="U14" s="181">
        <f t="shared" si="9"/>
        <v>105.28200387486974</v>
      </c>
      <c r="V14" s="181">
        <f t="shared" si="9"/>
        <v>100.47514711002823</v>
      </c>
      <c r="W14" s="181">
        <f t="shared" si="9"/>
        <v>93.059555801957842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14.787462459246495</v>
      </c>
      <c r="C15" s="181">
        <f t="shared" ref="C15:W15" si="10">C23*C55/1000</f>
        <v>15.74442784593256</v>
      </c>
      <c r="D15" s="181">
        <f t="shared" si="10"/>
        <v>16.511043978605784</v>
      </c>
      <c r="E15" s="181">
        <f t="shared" si="10"/>
        <v>17.262833607506355</v>
      </c>
      <c r="F15" s="181">
        <f t="shared" si="10"/>
        <v>18.060265730551187</v>
      </c>
      <c r="G15" s="181">
        <f t="shared" si="10"/>
        <v>18.685506044151769</v>
      </c>
      <c r="H15" s="181">
        <f t="shared" si="10"/>
        <v>19.157067500006633</v>
      </c>
      <c r="I15" s="181">
        <f t="shared" si="10"/>
        <v>19.680615776768114</v>
      </c>
      <c r="J15" s="181">
        <f t="shared" si="10"/>
        <v>20.011324180967559</v>
      </c>
      <c r="K15" s="181">
        <f t="shared" si="10"/>
        <v>20.332297779113194</v>
      </c>
      <c r="L15" s="181">
        <f t="shared" si="10"/>
        <v>20.438790603100163</v>
      </c>
      <c r="M15" s="181">
        <f t="shared" si="10"/>
        <v>20.361195095237171</v>
      </c>
      <c r="N15" s="181">
        <f t="shared" si="10"/>
        <v>20.323471718683727</v>
      </c>
      <c r="O15" s="181">
        <f t="shared" si="10"/>
        <v>20.3294747279582</v>
      </c>
      <c r="P15" s="181">
        <f t="shared" si="10"/>
        <v>20.407093304844416</v>
      </c>
      <c r="Q15" s="181">
        <f t="shared" si="10"/>
        <v>20.609670563462046</v>
      </c>
      <c r="R15" s="181">
        <f t="shared" si="10"/>
        <v>20.672913477992797</v>
      </c>
      <c r="S15" s="181">
        <f t="shared" si="10"/>
        <v>20.692663424817763</v>
      </c>
      <c r="T15" s="181">
        <f t="shared" si="10"/>
        <v>20.748877315499129</v>
      </c>
      <c r="U15" s="181">
        <f t="shared" si="10"/>
        <v>20.792226141304788</v>
      </c>
      <c r="V15" s="181">
        <f t="shared" si="10"/>
        <v>20.837295592700958</v>
      </c>
      <c r="W15" s="181">
        <f t="shared" si="10"/>
        <v>20.754525947748199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41.632966922322971</v>
      </c>
      <c r="C16" s="55">
        <f t="shared" ref="C16:W16" si="11">C24*C56</f>
        <v>46.257687581773432</v>
      </c>
      <c r="D16" s="55">
        <f t="shared" si="11"/>
        <v>52.098956608731996</v>
      </c>
      <c r="E16" s="55">
        <f t="shared" si="11"/>
        <v>59.875635701256435</v>
      </c>
      <c r="F16" s="55">
        <f t="shared" si="11"/>
        <v>67.731800775622204</v>
      </c>
      <c r="G16" s="55">
        <f t="shared" si="11"/>
        <v>77.91757624266458</v>
      </c>
      <c r="H16" s="55">
        <f t="shared" si="11"/>
        <v>91.190137508198987</v>
      </c>
      <c r="I16" s="55">
        <f t="shared" si="11"/>
        <v>101.47484173965259</v>
      </c>
      <c r="J16" s="55">
        <f t="shared" si="11"/>
        <v>106.39400075063055</v>
      </c>
      <c r="K16" s="55">
        <f t="shared" si="11"/>
        <v>108.92405682689358</v>
      </c>
      <c r="L16" s="55">
        <f t="shared" si="11"/>
        <v>113.23610112824143</v>
      </c>
      <c r="M16" s="55">
        <f t="shared" si="11"/>
        <v>118.57937849937993</v>
      </c>
      <c r="N16" s="55">
        <f t="shared" si="11"/>
        <v>122.71096691930184</v>
      </c>
      <c r="O16" s="55">
        <f t="shared" si="11"/>
        <v>124.65721607990208</v>
      </c>
      <c r="P16" s="55">
        <f t="shared" si="11"/>
        <v>126.87668293053119</v>
      </c>
      <c r="Q16" s="55">
        <f t="shared" si="11"/>
        <v>129.60275775177612</v>
      </c>
      <c r="R16" s="55">
        <f t="shared" si="11"/>
        <v>130.94748197050365</v>
      </c>
      <c r="S16" s="55">
        <f t="shared" si="11"/>
        <v>133.9288504051716</v>
      </c>
      <c r="T16" s="55">
        <f t="shared" si="11"/>
        <v>135.73120636178598</v>
      </c>
      <c r="U16" s="55">
        <f t="shared" si="11"/>
        <v>136.87828969047126</v>
      </c>
      <c r="V16" s="55">
        <f t="shared" si="11"/>
        <v>138.38844966113817</v>
      </c>
      <c r="W16" s="55">
        <f t="shared" si="11"/>
        <v>138.52527707091446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74.441954139953893</v>
      </c>
      <c r="C17" s="63">
        <f t="shared" ref="C17:W17" si="12">C25*C57/1000</f>
        <v>91.052070645370691</v>
      </c>
      <c r="D17" s="63">
        <f t="shared" si="12"/>
        <v>108.64935185977376</v>
      </c>
      <c r="E17" s="63">
        <f t="shared" si="12"/>
        <v>131.72817955544326</v>
      </c>
      <c r="F17" s="63">
        <f t="shared" si="12"/>
        <v>154.64294808296165</v>
      </c>
      <c r="G17" s="63">
        <f t="shared" si="12"/>
        <v>177.66130037687464</v>
      </c>
      <c r="H17" s="63">
        <f t="shared" si="12"/>
        <v>203.32058529106271</v>
      </c>
      <c r="I17" s="63">
        <f t="shared" si="12"/>
        <v>221.35257413698426</v>
      </c>
      <c r="J17" s="63">
        <f t="shared" si="12"/>
        <v>243.69998413064141</v>
      </c>
      <c r="K17" s="63">
        <f t="shared" si="12"/>
        <v>257.46444756809609</v>
      </c>
      <c r="L17" s="63">
        <f t="shared" si="12"/>
        <v>259.83777255023347</v>
      </c>
      <c r="M17" s="63">
        <f t="shared" si="12"/>
        <v>255.25531448313973</v>
      </c>
      <c r="N17" s="63">
        <f t="shared" si="12"/>
        <v>266.00932870654543</v>
      </c>
      <c r="O17" s="63">
        <f t="shared" si="12"/>
        <v>278.10630209589095</v>
      </c>
      <c r="P17" s="63">
        <f t="shared" si="12"/>
        <v>303.40289905060479</v>
      </c>
      <c r="Q17" s="63">
        <f t="shared" si="12"/>
        <v>318.20318099801068</v>
      </c>
      <c r="R17" s="63">
        <f t="shared" si="12"/>
        <v>324.97536374722353</v>
      </c>
      <c r="S17" s="63">
        <f t="shared" si="12"/>
        <v>334.10346133917284</v>
      </c>
      <c r="T17" s="63">
        <f t="shared" si="12"/>
        <v>359.29991112582434</v>
      </c>
      <c r="U17" s="63">
        <f t="shared" si="12"/>
        <v>381.9306933354207</v>
      </c>
      <c r="V17" s="63">
        <f t="shared" si="12"/>
        <v>404.72134270758369</v>
      </c>
      <c r="W17" s="63">
        <f t="shared" si="12"/>
        <v>443.8382078124161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5.4250593181100228</v>
      </c>
      <c r="C20" s="182">
        <v>5.7562311901401113</v>
      </c>
      <c r="D20" s="182">
        <v>6.0724218171684141</v>
      </c>
      <c r="E20" s="182">
        <v>6.4679219142546511</v>
      </c>
      <c r="F20" s="182">
        <v>6.7512423229233667</v>
      </c>
      <c r="G20" s="182">
        <v>7.2493133885687495</v>
      </c>
      <c r="H20" s="182">
        <v>7.8168965648673474</v>
      </c>
      <c r="I20" s="182">
        <v>8.2341305687185358</v>
      </c>
      <c r="J20" s="182">
        <v>8.2225344154884752</v>
      </c>
      <c r="K20" s="182">
        <v>8.2697017006841929</v>
      </c>
      <c r="L20" s="182">
        <v>8.4235566298615385</v>
      </c>
      <c r="M20" s="182">
        <v>8.7944376411372271</v>
      </c>
      <c r="N20" s="182">
        <v>9.1355981671286273</v>
      </c>
      <c r="O20" s="182">
        <v>9.390294274178455</v>
      </c>
      <c r="P20" s="182">
        <v>9.7092495393545288</v>
      </c>
      <c r="Q20" s="182">
        <v>10.171093143322571</v>
      </c>
      <c r="R20" s="182">
        <v>10.444098201457004</v>
      </c>
      <c r="S20" s="182">
        <v>10.797220636741841</v>
      </c>
      <c r="T20" s="182">
        <v>11.112817663627274</v>
      </c>
      <c r="U20" s="182">
        <v>11.399781369404533</v>
      </c>
      <c r="V20" s="182">
        <v>11.674555592945822</v>
      </c>
      <c r="W20" s="182">
        <v>11.930927751935256</v>
      </c>
      <c r="DA20" s="191" t="s">
        <v>921</v>
      </c>
    </row>
    <row r="21" spans="1:105" ht="12" customHeight="1" x14ac:dyDescent="0.25">
      <c r="A21" s="132" t="s">
        <v>163</v>
      </c>
      <c r="B21" s="182">
        <v>166.97856141597526</v>
      </c>
      <c r="C21" s="182">
        <v>172.28380052859902</v>
      </c>
      <c r="D21" s="182">
        <v>178.37875013156267</v>
      </c>
      <c r="E21" s="182">
        <v>185.27968425221087</v>
      </c>
      <c r="F21" s="182">
        <v>193.21578019626421</v>
      </c>
      <c r="G21" s="182">
        <v>201.06914309431025</v>
      </c>
      <c r="H21" s="182">
        <v>209.3750407792617</v>
      </c>
      <c r="I21" s="182">
        <v>216.01927400743455</v>
      </c>
      <c r="J21" s="182">
        <v>223.73699263079592</v>
      </c>
      <c r="K21" s="182">
        <v>230.58304562385288</v>
      </c>
      <c r="L21" s="182">
        <v>236.43057932780923</v>
      </c>
      <c r="M21" s="182">
        <v>242.44541070065821</v>
      </c>
      <c r="N21" s="182">
        <v>250.27078378997106</v>
      </c>
      <c r="O21" s="182">
        <v>261.28950391772742</v>
      </c>
      <c r="P21" s="182">
        <v>275.94198456476443</v>
      </c>
      <c r="Q21" s="182">
        <v>291.01969108107124</v>
      </c>
      <c r="R21" s="182">
        <v>297.04773003079424</v>
      </c>
      <c r="S21" s="182">
        <v>302.7831534992747</v>
      </c>
      <c r="T21" s="182">
        <v>308.69721855013381</v>
      </c>
      <c r="U21" s="182">
        <v>314.29751140854063</v>
      </c>
      <c r="V21" s="182">
        <v>319.34879020544963</v>
      </c>
      <c r="W21" s="182">
        <v>323.54864437275683</v>
      </c>
      <c r="DA21" s="191" t="s">
        <v>922</v>
      </c>
    </row>
    <row r="22" spans="1:105" ht="12" customHeight="1" x14ac:dyDescent="0.25">
      <c r="A22" s="132" t="s">
        <v>167</v>
      </c>
      <c r="B22" s="182">
        <v>2.0250325496466735</v>
      </c>
      <c r="C22" s="182">
        <v>2.1077390136321394</v>
      </c>
      <c r="D22" s="182">
        <v>2.2006116023342615</v>
      </c>
      <c r="E22" s="182">
        <v>2.3101763374127242</v>
      </c>
      <c r="F22" s="182">
        <v>2.409370364802351</v>
      </c>
      <c r="G22" s="182">
        <v>2.5632183348050943</v>
      </c>
      <c r="H22" s="182">
        <v>2.7528706074209683</v>
      </c>
      <c r="I22" s="182">
        <v>2.9031557040625047</v>
      </c>
      <c r="J22" s="182">
        <v>2.8907985027829328</v>
      </c>
      <c r="K22" s="182">
        <v>2.920786247424902</v>
      </c>
      <c r="L22" s="182">
        <v>3.0056976880102133</v>
      </c>
      <c r="M22" s="182">
        <v>3.1774509275940086</v>
      </c>
      <c r="N22" s="182">
        <v>3.3043119811680377</v>
      </c>
      <c r="O22" s="182">
        <v>3.4414394268229636</v>
      </c>
      <c r="P22" s="182">
        <v>3.6520100076794244</v>
      </c>
      <c r="Q22" s="182">
        <v>3.9547561206048218</v>
      </c>
      <c r="R22" s="182">
        <v>4.1127379648307141</v>
      </c>
      <c r="S22" s="182">
        <v>4.30524818751576</v>
      </c>
      <c r="T22" s="182">
        <v>4.4792262323816168</v>
      </c>
      <c r="U22" s="182">
        <v>4.633409578910797</v>
      </c>
      <c r="V22" s="182">
        <v>4.7661201674719527</v>
      </c>
      <c r="W22" s="182">
        <v>4.8591063398708645</v>
      </c>
      <c r="DA22" s="191" t="s">
        <v>923</v>
      </c>
    </row>
    <row r="23" spans="1:105" ht="12" customHeight="1" x14ac:dyDescent="0.25">
      <c r="A23" s="132" t="s">
        <v>180</v>
      </c>
      <c r="B23" s="182">
        <v>21.163107021838549</v>
      </c>
      <c r="C23" s="182">
        <v>22.864016479518014</v>
      </c>
      <c r="D23" s="182">
        <v>24.340550218257206</v>
      </c>
      <c r="E23" s="182">
        <v>25.843323341888741</v>
      </c>
      <c r="F23" s="182">
        <v>27.470264736892496</v>
      </c>
      <c r="G23" s="182">
        <v>28.868288905410711</v>
      </c>
      <c r="H23" s="182">
        <v>30.073214188601824</v>
      </c>
      <c r="I23" s="182">
        <v>31.434145542552145</v>
      </c>
      <c r="J23" s="182">
        <v>32.532560777199691</v>
      </c>
      <c r="K23" s="182">
        <v>33.715038201687143</v>
      </c>
      <c r="L23" s="182">
        <v>34.588506362269818</v>
      </c>
      <c r="M23" s="182">
        <v>35.181373051150281</v>
      </c>
      <c r="N23" s="182">
        <v>35.79634792000541</v>
      </c>
      <c r="O23" s="182">
        <v>36.545720222761432</v>
      </c>
      <c r="P23" s="182">
        <v>37.522197769395959</v>
      </c>
      <c r="Q23" s="182">
        <v>38.719192534789876</v>
      </c>
      <c r="R23" s="182">
        <v>39.589308906295543</v>
      </c>
      <c r="S23" s="182">
        <v>40.419781159456775</v>
      </c>
      <c r="T23" s="182">
        <v>41.277085053416968</v>
      </c>
      <c r="U23" s="182">
        <v>42.097750231370462</v>
      </c>
      <c r="V23" s="182">
        <v>42.854449143620478</v>
      </c>
      <c r="W23" s="182">
        <v>43.518974970232129</v>
      </c>
      <c r="DA23" s="191" t="s">
        <v>924</v>
      </c>
    </row>
    <row r="24" spans="1:105" ht="12" customHeight="1" x14ac:dyDescent="0.25">
      <c r="A24" s="60" t="s">
        <v>166</v>
      </c>
      <c r="B24" s="36">
        <v>0.76055266592419346</v>
      </c>
      <c r="C24" s="36">
        <v>0.85200848096074755</v>
      </c>
      <c r="D24" s="36">
        <v>0.96862774212132596</v>
      </c>
      <c r="E24" s="36">
        <v>1.1254762282743014</v>
      </c>
      <c r="F24" s="36">
        <v>1.2864879100297966</v>
      </c>
      <c r="G24" s="36">
        <v>1.4975868730478343</v>
      </c>
      <c r="H24" s="36">
        <v>1.776076348956233</v>
      </c>
      <c r="I24" s="36">
        <v>1.9973250174920398</v>
      </c>
      <c r="J24" s="36">
        <v>2.109847861971188</v>
      </c>
      <c r="K24" s="36">
        <v>2.1742292107203389</v>
      </c>
      <c r="L24" s="36">
        <v>2.2818887646564181</v>
      </c>
      <c r="M24" s="36">
        <v>2.4195505669535815</v>
      </c>
      <c r="N24" s="36">
        <v>2.5366224740563492</v>
      </c>
      <c r="O24" s="36">
        <v>2.6087057519510406</v>
      </c>
      <c r="P24" s="36">
        <v>2.6954553458157822</v>
      </c>
      <c r="Q24" s="36">
        <v>2.80545027495568</v>
      </c>
      <c r="R24" s="36">
        <v>2.8791557831260821</v>
      </c>
      <c r="S24" s="36">
        <v>3.0072665954826125</v>
      </c>
      <c r="T24" s="36">
        <v>3.1206857391339744</v>
      </c>
      <c r="U24" s="36">
        <v>3.2199313743384814</v>
      </c>
      <c r="V24" s="36">
        <v>3.3494435880718951</v>
      </c>
      <c r="W24" s="36">
        <v>3.4641596321859338</v>
      </c>
      <c r="DA24" s="89" t="s">
        <v>925</v>
      </c>
    </row>
    <row r="25" spans="1:105" ht="12" customHeight="1" x14ac:dyDescent="0.25">
      <c r="A25" s="62" t="s">
        <v>164</v>
      </c>
      <c r="B25" s="38">
        <v>180.55209030155507</v>
      </c>
      <c r="C25" s="38">
        <v>228.1931553461842</v>
      </c>
      <c r="D25" s="38">
        <v>282.16585582815094</v>
      </c>
      <c r="E25" s="38">
        <v>356.69789532717556</v>
      </c>
      <c r="F25" s="38">
        <v>436.0464111515796</v>
      </c>
      <c r="G25" s="38">
        <v>522.2413639328397</v>
      </c>
      <c r="H25" s="38">
        <v>633.05089085833458</v>
      </c>
      <c r="I25" s="38">
        <v>725.34933727830855</v>
      </c>
      <c r="J25" s="38">
        <v>844.12626665796699</v>
      </c>
      <c r="K25" s="38">
        <v>943.34549522317513</v>
      </c>
      <c r="L25" s="38">
        <v>1004.2837520713144</v>
      </c>
      <c r="M25" s="38">
        <v>1063.8063564554573</v>
      </c>
      <c r="N25" s="38">
        <v>1187.8527183523447</v>
      </c>
      <c r="O25" s="38">
        <v>1333.7184173824937</v>
      </c>
      <c r="P25" s="38">
        <v>1526.9845286478862</v>
      </c>
      <c r="Q25" s="38">
        <v>1639.6712481015131</v>
      </c>
      <c r="R25" s="38">
        <v>1711.5704502275673</v>
      </c>
      <c r="S25" s="38">
        <v>1802.0659794125011</v>
      </c>
      <c r="T25" s="38">
        <v>1991.6955658885199</v>
      </c>
      <c r="U25" s="38">
        <v>2174.5823777036626</v>
      </c>
      <c r="V25" s="38">
        <v>2353.3395619099665</v>
      </c>
      <c r="W25" s="38">
        <v>2639.1291649045884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0.56647474462226199</v>
      </c>
      <c r="D28" s="183">
        <v>0.55814918121174628</v>
      </c>
      <c r="E28" s="183">
        <v>0.64430259277021751</v>
      </c>
      <c r="F28" s="183">
        <v>0.53916043080591525</v>
      </c>
      <c r="G28" s="183">
        <v>0.76114767485391877</v>
      </c>
      <c r="H28" s="183">
        <v>0.83810106374447102</v>
      </c>
      <c r="I28" s="183">
        <v>0.69540365051167718</v>
      </c>
      <c r="J28" s="183">
        <v>0.27444168720185402</v>
      </c>
      <c r="K28" s="183">
        <v>0.34129587593593413</v>
      </c>
      <c r="L28" s="183">
        <v>0.45630312190665023</v>
      </c>
      <c r="M28" s="183">
        <v>0.68188413088066469</v>
      </c>
      <c r="N28" s="183">
        <v>0.66096055366289974</v>
      </c>
      <c r="O28" s="183">
        <v>0.58354186856049672</v>
      </c>
      <c r="P28" s="183">
        <v>0.65710262448341439</v>
      </c>
      <c r="Q28" s="183">
        <v>0.80955566229365239</v>
      </c>
      <c r="R28" s="183">
        <v>0.63055235867432735</v>
      </c>
      <c r="S28" s="183">
        <v>0.72078317371010669</v>
      </c>
      <c r="T28" s="183">
        <v>0.69365726779706272</v>
      </c>
      <c r="U28" s="183">
        <v>0.85343845039952093</v>
      </c>
      <c r="V28" s="183">
        <v>0.83292340475303561</v>
      </c>
      <c r="W28" s="183">
        <v>0.9006747517596505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26.25176949787334</v>
      </c>
      <c r="D29" s="183">
        <v>27.943120906705161</v>
      </c>
      <c r="E29" s="183">
        <v>29.689557369383266</v>
      </c>
      <c r="F29" s="183">
        <v>31.705652780320662</v>
      </c>
      <c r="G29" s="183">
        <v>32.646077491890736</v>
      </c>
      <c r="H29" s="183">
        <v>34.165811740815116</v>
      </c>
      <c r="I29" s="183">
        <v>33.617284220446294</v>
      </c>
      <c r="J29" s="183">
        <v>33.969488121234718</v>
      </c>
      <c r="K29" s="183">
        <v>34.789173899762119</v>
      </c>
      <c r="L29" s="183">
        <v>35.53709107333961</v>
      </c>
      <c r="M29" s="183">
        <v>37.72048415316965</v>
      </c>
      <c r="N29" s="183">
        <v>40.471450581203584</v>
      </c>
      <c r="O29" s="183">
        <v>45.184531868571469</v>
      </c>
      <c r="P29" s="183">
        <v>48.269764867483303</v>
      </c>
      <c r="Q29" s="183">
        <v>49.047194637541537</v>
      </c>
      <c r="R29" s="183">
        <v>40.817212849485145</v>
      </c>
      <c r="S29" s="183">
        <v>41.272514541820101</v>
      </c>
      <c r="T29" s="183">
        <v>43.634549204028758</v>
      </c>
      <c r="U29" s="183">
        <v>46.07174343961043</v>
      </c>
      <c r="V29" s="183">
        <v>50.235810665480471</v>
      </c>
      <c r="W29" s="183">
        <v>52.469619034790526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0.3989478940499398</v>
      </c>
      <c r="D30" s="183">
        <v>0.41732944998072341</v>
      </c>
      <c r="E30" s="183">
        <v>0.44245045093580382</v>
      </c>
      <c r="F30" s="183">
        <v>0.44072756557762838</v>
      </c>
      <c r="G30" s="183">
        <v>0.50425398669468136</v>
      </c>
      <c r="H30" s="183">
        <v>0.54916126018219158</v>
      </c>
      <c r="I30" s="183">
        <v>0.54923299069147591</v>
      </c>
      <c r="J30" s="183">
        <v>0.40497224870115156</v>
      </c>
      <c r="K30" s="183">
        <v>0.472438195577773</v>
      </c>
      <c r="L30" s="183">
        <v>0.5256390061629399</v>
      </c>
      <c r="M30" s="183">
        <v>0.67600722627847665</v>
      </c>
      <c r="N30" s="183">
        <v>0.67602231375622068</v>
      </c>
      <c r="O30" s="183">
        <v>0.68636043634640176</v>
      </c>
      <c r="P30" s="183">
        <v>0.61554282955761241</v>
      </c>
      <c r="Q30" s="183">
        <v>0.77518430850317044</v>
      </c>
      <c r="R30" s="183">
        <v>0.68362085038883214</v>
      </c>
      <c r="S30" s="183">
        <v>0.86851744896352256</v>
      </c>
      <c r="T30" s="183">
        <v>0.85000035862207746</v>
      </c>
      <c r="U30" s="183">
        <v>0.84054378287558196</v>
      </c>
      <c r="V30" s="183">
        <v>0.74825341811876811</v>
      </c>
      <c r="W30" s="183">
        <v>0.86817048090208226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3.6242782798399382</v>
      </c>
      <c r="D31" s="183">
        <v>3.4404167579655365</v>
      </c>
      <c r="E31" s="183">
        <v>3.5080237384737174</v>
      </c>
      <c r="F31" s="183">
        <v>3.6744309801568527</v>
      </c>
      <c r="G31" s="183">
        <v>3.4886424534752507</v>
      </c>
      <c r="H31" s="183">
        <v>3.3395807388719199</v>
      </c>
      <c r="I31" s="183">
        <v>3.5405515874744324</v>
      </c>
      <c r="J31" s="183">
        <v>3.323947392422653</v>
      </c>
      <c r="K31" s="183">
        <v>3.4548886037885751</v>
      </c>
      <c r="L31" s="183">
        <v>3.1937458298009425</v>
      </c>
      <c r="M31" s="183">
        <v>4.217144968720401</v>
      </c>
      <c r="N31" s="183">
        <v>4.0553916268206649</v>
      </c>
      <c r="O31" s="183">
        <v>4.2573960412297396</v>
      </c>
      <c r="P31" s="183">
        <v>4.6509085267913832</v>
      </c>
      <c r="Q31" s="183">
        <v>4.685637218869168</v>
      </c>
      <c r="R31" s="183">
        <v>4.20969711037759</v>
      </c>
      <c r="S31" s="183">
        <v>4.3710238406356652</v>
      </c>
      <c r="T31" s="183">
        <v>4.1812512863828459</v>
      </c>
      <c r="U31" s="183">
        <v>4.2755537817420688</v>
      </c>
      <c r="V31" s="183">
        <v>3.950444742050955</v>
      </c>
      <c r="W31" s="183">
        <v>4.8816707953320488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0.11311822177282482</v>
      </c>
      <c r="D32" s="41">
        <v>0.14071937050268413</v>
      </c>
      <c r="E32" s="41">
        <v>0.183660616373435</v>
      </c>
      <c r="F32" s="41">
        <v>0.1908410205669544</v>
      </c>
      <c r="G32" s="41">
        <v>0.24428504135693263</v>
      </c>
      <c r="H32" s="41">
        <v>0.3154100326286231</v>
      </c>
      <c r="I32" s="41">
        <v>0.26232395000206221</v>
      </c>
      <c r="J32" s="41">
        <v>0.15822038799987981</v>
      </c>
      <c r="K32" s="41">
        <v>0.11522130429625399</v>
      </c>
      <c r="L32" s="41">
        <v>0.16422060472557742</v>
      </c>
      <c r="M32" s="41">
        <v>0.20058775162157216</v>
      </c>
      <c r="N32" s="41">
        <v>0.18707900638942521</v>
      </c>
      <c r="O32" s="41">
        <v>0.1499683794013098</v>
      </c>
      <c r="P32" s="41">
        <v>0.17339922080982451</v>
      </c>
      <c r="Q32" s="41">
        <v>0.20639536650832069</v>
      </c>
      <c r="R32" s="41">
        <v>0.18682372994322716</v>
      </c>
      <c r="S32" s="41">
        <v>0.26883018285921478</v>
      </c>
      <c r="T32" s="41">
        <v>0.29707976002479697</v>
      </c>
      <c r="U32" s="41">
        <v>0.2900866557714612</v>
      </c>
      <c r="V32" s="41">
        <v>0.37379725509034634</v>
      </c>
      <c r="W32" s="41">
        <v>0.43012607674266201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83.751483104940149</v>
      </c>
      <c r="D33" s="42">
        <v>90.083118542277759</v>
      </c>
      <c r="E33" s="42">
        <v>110.64245755933564</v>
      </c>
      <c r="F33" s="42">
        <v>115.45893388471507</v>
      </c>
      <c r="G33" s="42">
        <v>122.30537084157112</v>
      </c>
      <c r="H33" s="42">
        <v>194.561010030435</v>
      </c>
      <c r="I33" s="42">
        <v>182.38156496225167</v>
      </c>
      <c r="J33" s="42">
        <v>229.41938693899408</v>
      </c>
      <c r="K33" s="42">
        <v>214.67816244992321</v>
      </c>
      <c r="L33" s="42">
        <v>183.24362768971037</v>
      </c>
      <c r="M33" s="42">
        <v>254.08361441457782</v>
      </c>
      <c r="N33" s="42">
        <v>306.42792685913912</v>
      </c>
      <c r="O33" s="42">
        <v>375.2850859691431</v>
      </c>
      <c r="P33" s="42">
        <v>407.94427371531583</v>
      </c>
      <c r="Q33" s="42">
        <v>295.93034714333726</v>
      </c>
      <c r="R33" s="42">
        <v>325.98281654063203</v>
      </c>
      <c r="S33" s="42">
        <v>396.92345604407296</v>
      </c>
      <c r="T33" s="42">
        <v>564.91467244516207</v>
      </c>
      <c r="U33" s="42">
        <v>590.83108553045849</v>
      </c>
      <c r="V33" s="42">
        <v>474.68753134964118</v>
      </c>
      <c r="W33" s="42">
        <v>611.7724195352539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0.23530287259217353</v>
      </c>
      <c r="D36" s="183">
        <v>0.24195855418344347</v>
      </c>
      <c r="E36" s="183">
        <v>0.2488024956839805</v>
      </c>
      <c r="F36" s="183">
        <v>0.2558400221371997</v>
      </c>
      <c r="G36" s="183">
        <v>0.26307660920853593</v>
      </c>
      <c r="H36" s="183">
        <v>0.27051788744587313</v>
      </c>
      <c r="I36" s="183">
        <v>0.27816964666048882</v>
      </c>
      <c r="J36" s="183">
        <v>0.2860378404319146</v>
      </c>
      <c r="K36" s="183">
        <v>0.29412859074021647</v>
      </c>
      <c r="L36" s="183">
        <v>0.30244819272930457</v>
      </c>
      <c r="M36" s="183">
        <v>0.31100311960497606</v>
      </c>
      <c r="N36" s="183">
        <v>0.31980002767149962</v>
      </c>
      <c r="O36" s="183">
        <v>0.32884576151066902</v>
      </c>
      <c r="P36" s="183">
        <v>0.33814735930734052</v>
      </c>
      <c r="Q36" s="183">
        <v>0.34771205832561058</v>
      </c>
      <c r="R36" s="183">
        <v>0.3575473005398937</v>
      </c>
      <c r="S36" s="183">
        <v>0.36766073842527014</v>
      </c>
      <c r="T36" s="183">
        <v>0.37806024091162982</v>
      </c>
      <c r="U36" s="183">
        <v>0.56647474462226199</v>
      </c>
      <c r="V36" s="183">
        <v>0.55814918121174628</v>
      </c>
      <c r="W36" s="183">
        <v>0.64430259277021662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20.946530385249588</v>
      </c>
      <c r="D37" s="183">
        <v>21.848171303741509</v>
      </c>
      <c r="E37" s="183">
        <v>22.788623248735064</v>
      </c>
      <c r="F37" s="183">
        <v>23.769556836267327</v>
      </c>
      <c r="G37" s="183">
        <v>24.792714593844693</v>
      </c>
      <c r="H37" s="183">
        <v>25.859914055863669</v>
      </c>
      <c r="I37" s="183">
        <v>26.973050992273443</v>
      </c>
      <c r="J37" s="183">
        <v>26.25176949787334</v>
      </c>
      <c r="K37" s="183">
        <v>27.943120906705161</v>
      </c>
      <c r="L37" s="183">
        <v>29.689557369383266</v>
      </c>
      <c r="M37" s="183">
        <v>31.70565278032069</v>
      </c>
      <c r="N37" s="183">
        <v>32.646077491890708</v>
      </c>
      <c r="O37" s="183">
        <v>34.165811740815116</v>
      </c>
      <c r="P37" s="183">
        <v>33.617284220446322</v>
      </c>
      <c r="Q37" s="183">
        <v>33.969488121234747</v>
      </c>
      <c r="R37" s="183">
        <v>34.789173899762147</v>
      </c>
      <c r="S37" s="183">
        <v>35.537091073339639</v>
      </c>
      <c r="T37" s="183">
        <v>37.72048415316965</v>
      </c>
      <c r="U37" s="183">
        <v>40.471450581203612</v>
      </c>
      <c r="V37" s="183">
        <v>45.184531868571469</v>
      </c>
      <c r="W37" s="183">
        <v>48.269764867483332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0.31624143006447358</v>
      </c>
      <c r="D38" s="183">
        <v>0.32445686127860141</v>
      </c>
      <c r="E38" s="183">
        <v>0.33288571585734106</v>
      </c>
      <c r="F38" s="183">
        <v>0.34153353818800181</v>
      </c>
      <c r="G38" s="183">
        <v>0.35040601669193805</v>
      </c>
      <c r="H38" s="183">
        <v>0.35950898756631755</v>
      </c>
      <c r="I38" s="183">
        <v>0.39894789404993958</v>
      </c>
      <c r="J38" s="183">
        <v>0.41732944998072341</v>
      </c>
      <c r="K38" s="183">
        <v>0.44245045093580382</v>
      </c>
      <c r="L38" s="183">
        <v>0.4407275655776286</v>
      </c>
      <c r="M38" s="183">
        <v>0.50425398669468136</v>
      </c>
      <c r="N38" s="183">
        <v>0.54916126018219158</v>
      </c>
      <c r="O38" s="183">
        <v>0.54923299069147591</v>
      </c>
      <c r="P38" s="183">
        <v>0.40497224870115156</v>
      </c>
      <c r="Q38" s="183">
        <v>0.472438195577773</v>
      </c>
      <c r="R38" s="183">
        <v>0.52563900616294035</v>
      </c>
      <c r="S38" s="183">
        <v>0.67600722627847709</v>
      </c>
      <c r="T38" s="183">
        <v>0.67602231375622068</v>
      </c>
      <c r="U38" s="183">
        <v>0.68636043634640131</v>
      </c>
      <c r="V38" s="183">
        <v>0.61554282955761241</v>
      </c>
      <c r="W38" s="183">
        <v>0.77518430850317088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1.923368822160473</v>
      </c>
      <c r="D39" s="183">
        <v>1.9638830192263441</v>
      </c>
      <c r="E39" s="183">
        <v>2.0052506148421827</v>
      </c>
      <c r="F39" s="183">
        <v>2.0474895851530981</v>
      </c>
      <c r="G39" s="183">
        <v>2.0906182849570349</v>
      </c>
      <c r="H39" s="183">
        <v>2.1346554556808073</v>
      </c>
      <c r="I39" s="183">
        <v>2.1796202335241119</v>
      </c>
      <c r="J39" s="183">
        <v>2.2255321577751062</v>
      </c>
      <c r="K39" s="183">
        <v>2.2724111793011232</v>
      </c>
      <c r="L39" s="183">
        <v>2.3202776692182638</v>
      </c>
      <c r="M39" s="183">
        <v>3.6242782798399347</v>
      </c>
      <c r="N39" s="183">
        <v>3.4404167579655365</v>
      </c>
      <c r="O39" s="183">
        <v>3.5080237384737174</v>
      </c>
      <c r="P39" s="183">
        <v>3.6744309801568562</v>
      </c>
      <c r="Q39" s="183">
        <v>3.4886424534752507</v>
      </c>
      <c r="R39" s="183">
        <v>3.3395807388719234</v>
      </c>
      <c r="S39" s="183">
        <v>3.5405515874744324</v>
      </c>
      <c r="T39" s="183">
        <v>3.323947392422653</v>
      </c>
      <c r="U39" s="183">
        <v>3.4548886037885751</v>
      </c>
      <c r="V39" s="183">
        <v>3.1937458298009389</v>
      </c>
      <c r="W39" s="183">
        <v>4.2171449687203975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2.1662406736270734E-2</v>
      </c>
      <c r="D40" s="41">
        <v>2.4100109342105713E-2</v>
      </c>
      <c r="E40" s="41">
        <v>2.6812130220459585E-2</v>
      </c>
      <c r="F40" s="41">
        <v>2.9829338811459216E-2</v>
      </c>
      <c r="G40" s="41">
        <v>3.3186078338894864E-2</v>
      </c>
      <c r="H40" s="41">
        <v>3.6920556720224429E-2</v>
      </c>
      <c r="I40" s="41">
        <v>4.1075281466255387E-2</v>
      </c>
      <c r="J40" s="41">
        <v>4.5697543520731632E-2</v>
      </c>
      <c r="K40" s="41">
        <v>5.0839955547103077E-2</v>
      </c>
      <c r="L40" s="41">
        <v>5.6561050789498246E-2</v>
      </c>
      <c r="M40" s="41">
        <v>6.2925949324408759E-2</v>
      </c>
      <c r="N40" s="41">
        <v>7.0007099286657493E-2</v>
      </c>
      <c r="O40" s="41">
        <v>7.7885101506618426E-2</v>
      </c>
      <c r="P40" s="41">
        <v>8.6649626945082936E-2</v>
      </c>
      <c r="Q40" s="41">
        <v>9.6400437368422853E-2</v>
      </c>
      <c r="R40" s="41">
        <v>0.11311822177282504</v>
      </c>
      <c r="S40" s="41">
        <v>0.14071937050268435</v>
      </c>
      <c r="T40" s="41">
        <v>0.18366061637343511</v>
      </c>
      <c r="U40" s="41">
        <v>0.19084102056695418</v>
      </c>
      <c r="V40" s="41">
        <v>0.24428504135693263</v>
      </c>
      <c r="W40" s="41">
        <v>0.31541003262862333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36.110418060311019</v>
      </c>
      <c r="D41" s="42">
        <v>36.110418060311019</v>
      </c>
      <c r="E41" s="42">
        <v>36.110418060311019</v>
      </c>
      <c r="F41" s="42">
        <v>36.110418060311019</v>
      </c>
      <c r="G41" s="42">
        <v>36.110418060311076</v>
      </c>
      <c r="H41" s="42">
        <v>83.751483104940121</v>
      </c>
      <c r="I41" s="42">
        <v>90.083118542277703</v>
      </c>
      <c r="J41" s="42">
        <v>110.64245755933564</v>
      </c>
      <c r="K41" s="42">
        <v>115.45893388471507</v>
      </c>
      <c r="L41" s="42">
        <v>122.30537084157118</v>
      </c>
      <c r="M41" s="42">
        <v>194.561010030435</v>
      </c>
      <c r="N41" s="42">
        <v>182.38156496225156</v>
      </c>
      <c r="O41" s="42">
        <v>229.41938693899397</v>
      </c>
      <c r="P41" s="42">
        <v>214.67816244992332</v>
      </c>
      <c r="Q41" s="42">
        <v>183.24362768971037</v>
      </c>
      <c r="R41" s="42">
        <v>254.08361441457782</v>
      </c>
      <c r="S41" s="42">
        <v>306.42792685913923</v>
      </c>
      <c r="T41" s="42">
        <v>375.28508596914344</v>
      </c>
      <c r="U41" s="42">
        <v>407.94427371531583</v>
      </c>
      <c r="V41" s="42">
        <v>295.93034714333726</v>
      </c>
      <c r="W41" s="42">
        <v>325.98281654063203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8759.9999999999982</v>
      </c>
      <c r="D44" s="185">
        <v>8759.9999999999982</v>
      </c>
      <c r="E44" s="185">
        <v>8759.9999999999945</v>
      </c>
      <c r="F44" s="185">
        <v>8760</v>
      </c>
      <c r="G44" s="185">
        <v>8759.9999999999964</v>
      </c>
      <c r="H44" s="185">
        <v>8759.9999999999982</v>
      </c>
      <c r="I44" s="185">
        <v>8760</v>
      </c>
      <c r="J44" s="185">
        <v>8759.9999999999982</v>
      </c>
      <c r="K44" s="185">
        <v>8760</v>
      </c>
      <c r="L44" s="185">
        <v>8759.9999999999982</v>
      </c>
      <c r="M44" s="185">
        <v>8760</v>
      </c>
      <c r="N44" s="185">
        <v>8759.9999999999982</v>
      </c>
      <c r="O44" s="185">
        <v>8760</v>
      </c>
      <c r="P44" s="185">
        <v>8760.0000000000018</v>
      </c>
      <c r="Q44" s="185">
        <v>8759.9999999999964</v>
      </c>
      <c r="R44" s="185">
        <v>8759.9999999999964</v>
      </c>
      <c r="S44" s="185">
        <v>8759.9999999999964</v>
      </c>
      <c r="T44" s="185">
        <v>8759.9999999999982</v>
      </c>
      <c r="U44" s="185">
        <v>8759.9999999999982</v>
      </c>
      <c r="V44" s="185">
        <v>8759.9999999999982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3871.0178920082976</v>
      </c>
      <c r="C45" s="185">
        <v>3873.7112390359348</v>
      </c>
      <c r="D45" s="185">
        <v>3877.3205975657152</v>
      </c>
      <c r="E45" s="185">
        <v>3881.9885296590919</v>
      </c>
      <c r="F45" s="185">
        <v>3883.9419230873982</v>
      </c>
      <c r="G45" s="185">
        <v>3887.7646482794767</v>
      </c>
      <c r="H45" s="185">
        <v>3891.1015609488109</v>
      </c>
      <c r="I45" s="185">
        <v>3896.0707621916627</v>
      </c>
      <c r="J45" s="185">
        <v>3893.8522179378456</v>
      </c>
      <c r="K45" s="185">
        <v>3891.4673899786158</v>
      </c>
      <c r="L45" s="185">
        <v>3890.8940290853297</v>
      </c>
      <c r="M45" s="185">
        <v>3890.8067233307124</v>
      </c>
      <c r="N45" s="185">
        <v>3886.3773131877638</v>
      </c>
      <c r="O45" s="185">
        <v>3869.6461289927984</v>
      </c>
      <c r="P45" s="185">
        <v>3854.3379702917896</v>
      </c>
      <c r="Q45" s="185">
        <v>3839.5162766260628</v>
      </c>
      <c r="R45" s="185">
        <v>3907.3037861157177</v>
      </c>
      <c r="S45" s="185">
        <v>3816.5183561878885</v>
      </c>
      <c r="T45" s="185">
        <v>3783.4285114533018</v>
      </c>
      <c r="U45" s="185">
        <v>3728.9213483267522</v>
      </c>
      <c r="V45" s="185">
        <v>3686.9151568241391</v>
      </c>
      <c r="W45" s="185">
        <v>3643.7793874176359</v>
      </c>
      <c r="DA45" s="194" t="s">
        <v>940</v>
      </c>
    </row>
    <row r="46" spans="1:105" ht="12" customHeight="1" x14ac:dyDescent="0.25">
      <c r="A46" s="132" t="s">
        <v>5</v>
      </c>
      <c r="B46" s="185">
        <v>2275.4231432260995</v>
      </c>
      <c r="C46" s="185">
        <v>2297.4814731575443</v>
      </c>
      <c r="D46" s="185">
        <v>2318.1859639285899</v>
      </c>
      <c r="E46" s="185">
        <v>2342.4460951174806</v>
      </c>
      <c r="F46" s="185">
        <v>2357.4256856417924</v>
      </c>
      <c r="G46" s="185">
        <v>2375.2656821184551</v>
      </c>
      <c r="H46" s="185">
        <v>2384.0868510902924</v>
      </c>
      <c r="I46" s="185">
        <v>2392.0730970503664</v>
      </c>
      <c r="J46" s="185">
        <v>2399.5458541523221</v>
      </c>
      <c r="K46" s="185">
        <v>2409.6036188449275</v>
      </c>
      <c r="L46" s="185">
        <v>2418.0702029663894</v>
      </c>
      <c r="M46" s="185">
        <v>2431.5630720513655</v>
      </c>
      <c r="N46" s="185">
        <v>2446.2330069064346</v>
      </c>
      <c r="O46" s="185">
        <v>2458.8123594932235</v>
      </c>
      <c r="P46" s="185">
        <v>2469.2766577222569</v>
      </c>
      <c r="Q46" s="185">
        <v>2480.5843307011764</v>
      </c>
      <c r="R46" s="185">
        <v>2520.8021272321394</v>
      </c>
      <c r="S46" s="185">
        <v>2482.4890912436576</v>
      </c>
      <c r="T46" s="185">
        <v>2456.934675004245</v>
      </c>
      <c r="U46" s="185">
        <v>2425.6943940262677</v>
      </c>
      <c r="V46" s="185">
        <v>2376.3247659253261</v>
      </c>
      <c r="W46" s="185">
        <v>2679.125151611101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</v>
      </c>
      <c r="D47" s="185">
        <v>8759.9999999999982</v>
      </c>
      <c r="E47" s="185">
        <v>8760</v>
      </c>
      <c r="F47" s="185">
        <v>8760</v>
      </c>
      <c r="G47" s="185">
        <v>8759.9999999999945</v>
      </c>
      <c r="H47" s="185">
        <v>8759.9999999999982</v>
      </c>
      <c r="I47" s="185">
        <v>8759.9999999999982</v>
      </c>
      <c r="J47" s="185">
        <v>8760.0000000000018</v>
      </c>
      <c r="K47" s="185">
        <v>8759.9999999999964</v>
      </c>
      <c r="L47" s="185">
        <v>8760.0000000000018</v>
      </c>
      <c r="M47" s="185">
        <v>8760</v>
      </c>
      <c r="N47" s="185">
        <v>8759.9999999999982</v>
      </c>
      <c r="O47" s="185">
        <v>8760</v>
      </c>
      <c r="P47" s="185">
        <v>8759.9999999999945</v>
      </c>
      <c r="Q47" s="185">
        <v>8759.9999999999982</v>
      </c>
      <c r="R47" s="185">
        <v>8760</v>
      </c>
      <c r="S47" s="185">
        <v>8759.9999999999982</v>
      </c>
      <c r="T47" s="185">
        <v>8760</v>
      </c>
      <c r="U47" s="185">
        <v>8759.9999999999982</v>
      </c>
      <c r="V47" s="185">
        <v>8760.0000000000018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908.14366679707348</v>
      </c>
      <c r="C48" s="44">
        <v>912.48176201160572</v>
      </c>
      <c r="D48" s="44">
        <v>916.46022475399423</v>
      </c>
      <c r="E48" s="44">
        <v>920.13537196012294</v>
      </c>
      <c r="F48" s="44">
        <v>923.55116481508196</v>
      </c>
      <c r="G48" s="44">
        <v>926.74258862885495</v>
      </c>
      <c r="H48" s="44">
        <v>929.7379487396795</v>
      </c>
      <c r="I48" s="44">
        <v>932.56047501972455</v>
      </c>
      <c r="J48" s="44">
        <v>935.2294709705676</v>
      </c>
      <c r="K48" s="44">
        <v>937.76115439320643</v>
      </c>
      <c r="L48" s="44">
        <v>940.1692840437014</v>
      </c>
      <c r="M48" s="44">
        <v>941.69956187203172</v>
      </c>
      <c r="N48" s="44">
        <v>943.16095725952289</v>
      </c>
      <c r="O48" s="44">
        <v>944.55949869545009</v>
      </c>
      <c r="P48" s="44">
        <v>945.90045258056</v>
      </c>
      <c r="Q48" s="44">
        <v>947.18844679310018</v>
      </c>
      <c r="R48" s="44">
        <v>971.79297188171302</v>
      </c>
      <c r="S48" s="44">
        <v>949.64329085058637</v>
      </c>
      <c r="T48" s="44">
        <v>941.59079446178009</v>
      </c>
      <c r="U48" s="44">
        <v>923.74381610638409</v>
      </c>
      <c r="V48" s="44">
        <v>904.94306001195298</v>
      </c>
      <c r="W48" s="44">
        <v>1020.2543640577973</v>
      </c>
      <c r="DA48" s="95" t="s">
        <v>943</v>
      </c>
    </row>
    <row r="49" spans="1:105" ht="12" customHeight="1" x14ac:dyDescent="0.25">
      <c r="A49" s="62" t="s">
        <v>3</v>
      </c>
      <c r="B49" s="186">
        <v>1648.241449880504</v>
      </c>
      <c r="C49" s="186">
        <v>1666.6461717878028</v>
      </c>
      <c r="D49" s="186">
        <v>1698.6169290370819</v>
      </c>
      <c r="E49" s="186">
        <v>1727.5213092355484</v>
      </c>
      <c r="F49" s="186">
        <v>1758.2500111874133</v>
      </c>
      <c r="G49" s="186">
        <v>1785.5151787438367</v>
      </c>
      <c r="H49" s="186">
        <v>1814.7082845294167</v>
      </c>
      <c r="I49" s="186">
        <v>1837.8736299198463</v>
      </c>
      <c r="J49" s="186">
        <v>1855.422528001905</v>
      </c>
      <c r="K49" s="186">
        <v>1872.7250828634626</v>
      </c>
      <c r="L49" s="186">
        <v>1893.3322421156629</v>
      </c>
      <c r="M49" s="186">
        <v>1914.8046058136192</v>
      </c>
      <c r="N49" s="186">
        <v>1932.1218092638126</v>
      </c>
      <c r="O49" s="186">
        <v>1949.2161492410637</v>
      </c>
      <c r="P49" s="186">
        <v>1970.2865521773965</v>
      </c>
      <c r="Q49" s="186">
        <v>1991.7774321291786</v>
      </c>
      <c r="R49" s="186">
        <v>2053.5333606486724</v>
      </c>
      <c r="S49" s="186">
        <v>2043.2717842812065</v>
      </c>
      <c r="T49" s="186">
        <v>2041.7362828122027</v>
      </c>
      <c r="U49" s="186">
        <v>2043.7851669334784</v>
      </c>
      <c r="V49" s="186">
        <v>2018.8271391147523</v>
      </c>
      <c r="W49" s="186">
        <v>2300.020919205735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0.7857150901061859</v>
      </c>
      <c r="C52" s="181">
        <v>0.77733611266397573</v>
      </c>
      <c r="D52" s="181">
        <v>0.76901092770577273</v>
      </c>
      <c r="E52" s="181">
        <v>0.75950564518003283</v>
      </c>
      <c r="F52" s="181">
        <v>0.75131340497776355</v>
      </c>
      <c r="G52" s="181">
        <v>0.74038708623518501</v>
      </c>
      <c r="H52" s="181">
        <v>0.729077314640448</v>
      </c>
      <c r="I52" s="181">
        <v>0.71962202954332277</v>
      </c>
      <c r="J52" s="181">
        <v>0.71440971423676736</v>
      </c>
      <c r="K52" s="181">
        <v>0.70812165735287458</v>
      </c>
      <c r="L52" s="181">
        <v>0.7002419155765377</v>
      </c>
      <c r="M52" s="181">
        <v>0.6896987697703072</v>
      </c>
      <c r="N52" s="181">
        <v>0.67914315216643539</v>
      </c>
      <c r="O52" s="181">
        <v>0.66894135590899151</v>
      </c>
      <c r="P52" s="181">
        <v>0.65730387161912562</v>
      </c>
      <c r="Q52" s="181">
        <v>0.64346829179837739</v>
      </c>
      <c r="R52" s="181">
        <v>0.63206340019119445</v>
      </c>
      <c r="S52" s="181">
        <v>0.62003355180118103</v>
      </c>
      <c r="T52" s="181">
        <v>0.60850069891073855</v>
      </c>
      <c r="U52" s="181">
        <v>0.59739691980089904</v>
      </c>
      <c r="V52" s="181">
        <v>0.58721809655372614</v>
      </c>
      <c r="W52" s="181">
        <v>0.5767648792650214</v>
      </c>
      <c r="DA52" s="190" t="s">
        <v>945</v>
      </c>
    </row>
    <row r="53" spans="1:105" ht="12" customHeight="1" x14ac:dyDescent="0.25">
      <c r="A53" s="132" t="s">
        <v>100</v>
      </c>
      <c r="B53" s="181">
        <v>204.99414285235056</v>
      </c>
      <c r="C53" s="181">
        <v>202.86829044245493</v>
      </c>
      <c r="D53" s="181">
        <v>200.3901679922339</v>
      </c>
      <c r="E53" s="181">
        <v>197.57297667294554</v>
      </c>
      <c r="F53" s="181">
        <v>194.29752531888096</v>
      </c>
      <c r="G53" s="181">
        <v>190.73687319559116</v>
      </c>
      <c r="H53" s="181">
        <v>186.72814534971252</v>
      </c>
      <c r="I53" s="181">
        <v>182.45276715343948</v>
      </c>
      <c r="J53" s="181">
        <v>179.74591710158856</v>
      </c>
      <c r="K53" s="181">
        <v>176.99578910003393</v>
      </c>
      <c r="L53" s="181">
        <v>174.21116045995396</v>
      </c>
      <c r="M53" s="181">
        <v>171.29969838865281</v>
      </c>
      <c r="N53" s="181">
        <v>167.96057484990587</v>
      </c>
      <c r="O53" s="181">
        <v>163.87401460563987</v>
      </c>
      <c r="P53" s="181">
        <v>159.00348606349357</v>
      </c>
      <c r="Q53" s="181">
        <v>153.27892941288053</v>
      </c>
      <c r="R53" s="181">
        <v>147.69106833239783</v>
      </c>
      <c r="S53" s="181">
        <v>141.72126778096731</v>
      </c>
      <c r="T53" s="181">
        <v>135.20414160524442</v>
      </c>
      <c r="U53" s="181">
        <v>128.29591014178447</v>
      </c>
      <c r="V53" s="181">
        <v>120.9697396380045</v>
      </c>
      <c r="W53" s="181">
        <v>114.26048786418362</v>
      </c>
      <c r="DA53" s="190" t="s">
        <v>946</v>
      </c>
    </row>
    <row r="54" spans="1:105" ht="12" customHeight="1" x14ac:dyDescent="0.25">
      <c r="A54" s="132" t="s">
        <v>140</v>
      </c>
      <c r="B54" s="181">
        <v>47.051687935175217</v>
      </c>
      <c r="C54" s="181">
        <v>46.543029173666532</v>
      </c>
      <c r="D54" s="181">
        <v>45.815061161785621</v>
      </c>
      <c r="E54" s="181">
        <v>44.97370774431667</v>
      </c>
      <c r="F54" s="181">
        <v>44.047409069071577</v>
      </c>
      <c r="G54" s="181">
        <v>42.976517198702723</v>
      </c>
      <c r="H54" s="181">
        <v>41.754632023659589</v>
      </c>
      <c r="I54" s="181">
        <v>40.814353711963278</v>
      </c>
      <c r="J54" s="181">
        <v>40.032925068610822</v>
      </c>
      <c r="K54" s="181">
        <v>39.112654780526874</v>
      </c>
      <c r="L54" s="181">
        <v>38.080656275741099</v>
      </c>
      <c r="M54" s="181">
        <v>36.663966223499187</v>
      </c>
      <c r="N54" s="181">
        <v>35.159652333679844</v>
      </c>
      <c r="O54" s="181">
        <v>33.600144241181994</v>
      </c>
      <c r="P54" s="181">
        <v>32.274608875901059</v>
      </c>
      <c r="Q54" s="181">
        <v>30.638412172051343</v>
      </c>
      <c r="R54" s="181">
        <v>28.83075204834698</v>
      </c>
      <c r="S54" s="181">
        <v>26.726329108552669</v>
      </c>
      <c r="T54" s="181">
        <v>24.69197917193485</v>
      </c>
      <c r="U54" s="181">
        <v>22.722360732810287</v>
      </c>
      <c r="V54" s="181">
        <v>21.081119145034545</v>
      </c>
      <c r="W54" s="181">
        <v>19.151578354720879</v>
      </c>
      <c r="DA54" s="190" t="s">
        <v>947</v>
      </c>
    </row>
    <row r="55" spans="1:105" ht="12" customHeight="1" x14ac:dyDescent="0.25">
      <c r="A55" s="132" t="s">
        <v>181</v>
      </c>
      <c r="B55" s="181">
        <v>698.73778193282658</v>
      </c>
      <c r="C55" s="181">
        <v>688.61163829359089</v>
      </c>
      <c r="D55" s="181">
        <v>678.33487043449338</v>
      </c>
      <c r="E55" s="181">
        <v>667.98040558218372</v>
      </c>
      <c r="F55" s="181">
        <v>657.44782234647687</v>
      </c>
      <c r="G55" s="181">
        <v>647.26752961965781</v>
      </c>
      <c r="H55" s="181">
        <v>637.01430049560292</v>
      </c>
      <c r="I55" s="181">
        <v>626.09036883559077</v>
      </c>
      <c r="J55" s="181">
        <v>615.11678462743123</v>
      </c>
      <c r="K55" s="181">
        <v>603.06316894802569</v>
      </c>
      <c r="L55" s="181">
        <v>590.91278440966187</v>
      </c>
      <c r="M55" s="181">
        <v>578.7493019568617</v>
      </c>
      <c r="N55" s="181">
        <v>567.75265912882696</v>
      </c>
      <c r="O55" s="181">
        <v>556.27511522666839</v>
      </c>
      <c r="P55" s="181">
        <v>543.86721775367198</v>
      </c>
      <c r="Q55" s="181">
        <v>532.28564993817713</v>
      </c>
      <c r="R55" s="181">
        <v>522.18424744225229</v>
      </c>
      <c r="S55" s="181">
        <v>511.943974738132</v>
      </c>
      <c r="T55" s="181">
        <v>502.67302762895832</v>
      </c>
      <c r="U55" s="181">
        <v>493.90349904757636</v>
      </c>
      <c r="V55" s="181">
        <v>486.23412525658136</v>
      </c>
      <c r="W55" s="181">
        <v>476.90750901060329</v>
      </c>
      <c r="DA55" s="190" t="s">
        <v>948</v>
      </c>
    </row>
    <row r="56" spans="1:105" ht="12" customHeight="1" x14ac:dyDescent="0.25">
      <c r="A56" s="60" t="s">
        <v>99</v>
      </c>
      <c r="B56" s="55">
        <v>54.74041284403657</v>
      </c>
      <c r="C56" s="55">
        <v>54.292520104508846</v>
      </c>
      <c r="D56" s="55">
        <v>53.78635604079809</v>
      </c>
      <c r="E56" s="55">
        <v>53.200266871086264</v>
      </c>
      <c r="F56" s="55">
        <v>52.648610412556039</v>
      </c>
      <c r="G56" s="55">
        <v>52.028752151178757</v>
      </c>
      <c r="H56" s="55">
        <v>51.343590922647969</v>
      </c>
      <c r="I56" s="55">
        <v>50.805372611349171</v>
      </c>
      <c r="J56" s="55">
        <v>50.427333016907106</v>
      </c>
      <c r="K56" s="55">
        <v>50.097780072969492</v>
      </c>
      <c r="L56" s="55">
        <v>49.623847964075182</v>
      </c>
      <c r="M56" s="55">
        <v>49.008844914814645</v>
      </c>
      <c r="N56" s="55">
        <v>48.375731183628986</v>
      </c>
      <c r="O56" s="55">
        <v>47.785081160139065</v>
      </c>
      <c r="P56" s="55">
        <v>47.07059351863677</v>
      </c>
      <c r="Q56" s="55">
        <v>46.19677593602102</v>
      </c>
      <c r="R56" s="55">
        <v>45.481207629663466</v>
      </c>
      <c r="S56" s="55">
        <v>44.535077337790341</v>
      </c>
      <c r="T56" s="55">
        <v>43.494032308249317</v>
      </c>
      <c r="U56" s="55">
        <v>42.509691598191971</v>
      </c>
      <c r="V56" s="55">
        <v>41.316847417275469</v>
      </c>
      <c r="W56" s="55">
        <v>39.988133278807084</v>
      </c>
      <c r="DA56" s="101" t="s">
        <v>949</v>
      </c>
    </row>
    <row r="57" spans="1:105" ht="12" customHeight="1" x14ac:dyDescent="0.25">
      <c r="A57" s="62" t="s">
        <v>98</v>
      </c>
      <c r="B57" s="63">
        <v>412.30181282101017</v>
      </c>
      <c r="C57" s="63">
        <v>399.01315404153399</v>
      </c>
      <c r="D57" s="63">
        <v>385.05492289593354</v>
      </c>
      <c r="E57" s="63">
        <v>369.29900983749189</v>
      </c>
      <c r="F57" s="63">
        <v>354.64790932358869</v>
      </c>
      <c r="G57" s="63">
        <v>340.19002064287253</v>
      </c>
      <c r="H57" s="63">
        <v>321.17573520098279</v>
      </c>
      <c r="I57" s="63">
        <v>305.16685238529931</v>
      </c>
      <c r="J57" s="63">
        <v>288.70086592079315</v>
      </c>
      <c r="K57" s="63">
        <v>272.92699108844056</v>
      </c>
      <c r="L57" s="63">
        <v>258.72943977668012</v>
      </c>
      <c r="M57" s="63">
        <v>239.94528039260456</v>
      </c>
      <c r="N57" s="63">
        <v>223.9413393568889</v>
      </c>
      <c r="O57" s="63">
        <v>208.51950342088855</v>
      </c>
      <c r="P57" s="63">
        <v>198.69415397368951</v>
      </c>
      <c r="Q57" s="63">
        <v>194.0652318972117</v>
      </c>
      <c r="R57" s="63">
        <v>189.86969756577381</v>
      </c>
      <c r="S57" s="63">
        <v>185.40023792474861</v>
      </c>
      <c r="T57" s="63">
        <v>180.39901141494795</v>
      </c>
      <c r="U57" s="63">
        <v>175.63404231148775</v>
      </c>
      <c r="V57" s="63">
        <v>171.97745249270892</v>
      </c>
      <c r="W57" s="63">
        <v>168.17600809942246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0.70057213933528939</v>
      </c>
      <c r="D60" s="181">
        <v>0.69039399908898236</v>
      </c>
      <c r="E60" s="181">
        <v>0.68004125957295314</v>
      </c>
      <c r="F60" s="181">
        <v>0.66936109631105267</v>
      </c>
      <c r="G60" s="181">
        <v>0.65913939933928489</v>
      </c>
      <c r="H60" s="181">
        <v>0.64953255547154354</v>
      </c>
      <c r="I60" s="181">
        <v>0.63977501946331838</v>
      </c>
      <c r="J60" s="181">
        <v>0.63234182832529606</v>
      </c>
      <c r="K60" s="181">
        <v>0.62349913729244533</v>
      </c>
      <c r="L60" s="181">
        <v>0.61408886310314492</v>
      </c>
      <c r="M60" s="181">
        <v>0.60324799620253444</v>
      </c>
      <c r="N60" s="181">
        <v>0.59025885831073011</v>
      </c>
      <c r="O60" s="181">
        <v>0.57503384627376142</v>
      </c>
      <c r="P60" s="181">
        <v>0.55707981954216768</v>
      </c>
      <c r="Q60" s="181">
        <v>0.53863032459670968</v>
      </c>
      <c r="R60" s="181">
        <v>0.53522375312043602</v>
      </c>
      <c r="S60" s="181">
        <v>0.53023356259760523</v>
      </c>
      <c r="T60" s="181">
        <v>0.52557063463919396</v>
      </c>
      <c r="U60" s="181">
        <v>0.52129522030827857</v>
      </c>
      <c r="V60" s="181">
        <v>0.51704500049085711</v>
      </c>
      <c r="W60" s="181">
        <v>0.51514948852671216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191.04270492854221</v>
      </c>
      <c r="D61" s="181">
        <v>188.71101720707372</v>
      </c>
      <c r="E61" s="181">
        <v>186.34313911964969</v>
      </c>
      <c r="F61" s="181">
        <v>183.17582608467313</v>
      </c>
      <c r="G61" s="181">
        <v>180.49068785817983</v>
      </c>
      <c r="H61" s="181">
        <v>176.9618225168887</v>
      </c>
      <c r="I61" s="181">
        <v>173.91109537097995</v>
      </c>
      <c r="J61" s="181">
        <v>171.262683208873</v>
      </c>
      <c r="K61" s="181">
        <v>168.71892303237195</v>
      </c>
      <c r="L61" s="181">
        <v>166.27874202541989</v>
      </c>
      <c r="M61" s="181">
        <v>163.03314799556347</v>
      </c>
      <c r="N61" s="181">
        <v>158.06480556736165</v>
      </c>
      <c r="O61" s="181">
        <v>151.13533987916668</v>
      </c>
      <c r="P61" s="181">
        <v>143.021128379023</v>
      </c>
      <c r="Q61" s="181">
        <v>133.52761398833019</v>
      </c>
      <c r="R61" s="181">
        <v>125.77296444694416</v>
      </c>
      <c r="S61" s="181">
        <v>119.90009904965193</v>
      </c>
      <c r="T61" s="181">
        <v>114.03851854872649</v>
      </c>
      <c r="U61" s="181">
        <v>108.15858976854032</v>
      </c>
      <c r="V61" s="181">
        <v>102.26637604907066</v>
      </c>
      <c r="W61" s="181">
        <v>99.884128821748234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44.364319654134853</v>
      </c>
      <c r="D62" s="181">
        <v>43.09985729131138</v>
      </c>
      <c r="E62" s="181">
        <v>42.352482777042916</v>
      </c>
      <c r="F62" s="181">
        <v>41.520107903726256</v>
      </c>
      <c r="G62" s="181">
        <v>40.691536173921541</v>
      </c>
      <c r="H62" s="181">
        <v>39.519187965827371</v>
      </c>
      <c r="I62" s="181">
        <v>38.680080807107352</v>
      </c>
      <c r="J62" s="181">
        <v>37.591553125694503</v>
      </c>
      <c r="K62" s="181">
        <v>36.51580163778862</v>
      </c>
      <c r="L62" s="181">
        <v>35.230057519466598</v>
      </c>
      <c r="M62" s="181">
        <v>33.369291663998368</v>
      </c>
      <c r="N62" s="181">
        <v>31.630485567299942</v>
      </c>
      <c r="O62" s="181">
        <v>30.157299349477885</v>
      </c>
      <c r="P62" s="181">
        <v>28.361745817453183</v>
      </c>
      <c r="Q62" s="181">
        <v>26.512034189417751</v>
      </c>
      <c r="R62" s="181">
        <v>23.293866553898123</v>
      </c>
      <c r="S62" s="181">
        <v>21.931665014994557</v>
      </c>
      <c r="T62" s="181">
        <v>19.906338567519267</v>
      </c>
      <c r="U62" s="181">
        <v>18.297464679876029</v>
      </c>
      <c r="V62" s="181">
        <v>16.907390197607285</v>
      </c>
      <c r="W62" s="181">
        <v>15.130808834247141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634.85628686957261</v>
      </c>
      <c r="D63" s="181">
        <v>621.68497248216443</v>
      </c>
      <c r="E63" s="181">
        <v>613.71705445515181</v>
      </c>
      <c r="F63" s="181">
        <v>606.37700540238552</v>
      </c>
      <c r="G63" s="181">
        <v>597.9501553166167</v>
      </c>
      <c r="H63" s="181">
        <v>587.83602722873809</v>
      </c>
      <c r="I63" s="181">
        <v>578.02611644754404</v>
      </c>
      <c r="J63" s="181">
        <v>567.32901731304389</v>
      </c>
      <c r="K63" s="181">
        <v>552.49050377969024</v>
      </c>
      <c r="L63" s="181">
        <v>540.98184017120093</v>
      </c>
      <c r="M63" s="181">
        <v>527.20510201783316</v>
      </c>
      <c r="N63" s="181">
        <v>518.10828997464057</v>
      </c>
      <c r="O63" s="181">
        <v>507.10269472269158</v>
      </c>
      <c r="P63" s="181">
        <v>495.75454299080025</v>
      </c>
      <c r="Q63" s="181">
        <v>488.43123114632135</v>
      </c>
      <c r="R63" s="181">
        <v>481.35738404634952</v>
      </c>
      <c r="S63" s="181">
        <v>472.72248021289914</v>
      </c>
      <c r="T63" s="181">
        <v>464.45084626921766</v>
      </c>
      <c r="U63" s="181">
        <v>456.58225125170077</v>
      </c>
      <c r="V63" s="181">
        <v>448.76667393164985</v>
      </c>
      <c r="W63" s="181">
        <v>438.48321368829221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51.366876674021938</v>
      </c>
      <c r="D64" s="55">
        <v>50.885098024193269</v>
      </c>
      <c r="E64" s="55">
        <v>50.334069179120966</v>
      </c>
      <c r="F64" s="55">
        <v>49.722200015381731</v>
      </c>
      <c r="G64" s="55">
        <v>49.132746849001471</v>
      </c>
      <c r="H64" s="55">
        <v>48.48801940564298</v>
      </c>
      <c r="I64" s="55">
        <v>47.777498381306344</v>
      </c>
      <c r="J64" s="55">
        <v>46.900791377573732</v>
      </c>
      <c r="K64" s="55">
        <v>46.111752200123661</v>
      </c>
      <c r="L64" s="55">
        <v>45.111388944384295</v>
      </c>
      <c r="M64" s="55">
        <v>43.810600321891577</v>
      </c>
      <c r="N64" s="55">
        <v>42.569212284084315</v>
      </c>
      <c r="O64" s="55">
        <v>41.406807196704293</v>
      </c>
      <c r="P64" s="55">
        <v>40.154178143747494</v>
      </c>
      <c r="Q64" s="55">
        <v>38.775456525645573</v>
      </c>
      <c r="R64" s="55">
        <v>38.299492084283258</v>
      </c>
      <c r="S64" s="55">
        <v>37.725999695172113</v>
      </c>
      <c r="T64" s="55">
        <v>37.184431971106996</v>
      </c>
      <c r="U64" s="55">
        <v>36.665315390565318</v>
      </c>
      <c r="V64" s="55">
        <v>36.149422936208943</v>
      </c>
      <c r="W64" s="55">
        <v>35.874214624376862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376.09491994237447</v>
      </c>
      <c r="D65" s="63">
        <v>360.61886586605777</v>
      </c>
      <c r="E65" s="63">
        <v>343.15234279118494</v>
      </c>
      <c r="F65" s="63">
        <v>327.41649419052641</v>
      </c>
      <c r="G65" s="63">
        <v>309.93522901791806</v>
      </c>
      <c r="H65" s="63">
        <v>293.77824590165585</v>
      </c>
      <c r="I65" s="63">
        <v>276.98885519910544</v>
      </c>
      <c r="J65" s="63">
        <v>262.90118425499941</v>
      </c>
      <c r="K65" s="63">
        <v>240.20898168900956</v>
      </c>
      <c r="L65" s="63">
        <v>219.81701962508689</v>
      </c>
      <c r="M65" s="63">
        <v>206.92138806997946</v>
      </c>
      <c r="N65" s="63">
        <v>199.95460511628517</v>
      </c>
      <c r="O65" s="63">
        <v>192.95091815243862</v>
      </c>
      <c r="P65" s="63">
        <v>188.41843040875079</v>
      </c>
      <c r="Q65" s="63">
        <v>186.12606170048602</v>
      </c>
      <c r="R65" s="63">
        <v>182.05719417826216</v>
      </c>
      <c r="S65" s="63">
        <v>177.3635990306741</v>
      </c>
      <c r="T65" s="63">
        <v>172.78370779578154</v>
      </c>
      <c r="U65" s="63">
        <v>168.39838727839728</v>
      </c>
      <c r="V65" s="63">
        <v>164.04686089437749</v>
      </c>
      <c r="W65" s="63">
        <v>160.9493643230069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420.58290684300152</v>
      </c>
      <c r="C68" s="188">
        <f>1000000*C20/SER_summary!C$8</f>
        <v>431.3880809792912</v>
      </c>
      <c r="D68" s="188">
        <f>1000000*D20/SER_summary!D$8</f>
        <v>439.37976787593061</v>
      </c>
      <c r="E68" s="188">
        <f>1000000*E20/SER_summary!E$8</f>
        <v>450.84460694678972</v>
      </c>
      <c r="F68" s="188">
        <f>1000000*F20/SER_summary!F$8</f>
        <v>458.54498702104877</v>
      </c>
      <c r="G68" s="188">
        <f>1000000*G20/SER_summary!G$8</f>
        <v>469.00496859129777</v>
      </c>
      <c r="H68" s="188">
        <f>1000000*H20/SER_summary!H$8</f>
        <v>477.77155646722315</v>
      </c>
      <c r="I68" s="188">
        <f>1000000*I20/SER_summary!I$8</f>
        <v>487.03447956000167</v>
      </c>
      <c r="J68" s="188">
        <f>1000000*J20/SER_summary!J$8</f>
        <v>495.72320358683066</v>
      </c>
      <c r="K68" s="188">
        <f>1000000*K20/SER_summary!K$8</f>
        <v>504.32636036872543</v>
      </c>
      <c r="L68" s="188">
        <f>1000000*L20/SER_summary!L$8</f>
        <v>512.21872405716545</v>
      </c>
      <c r="M68" s="188">
        <f>1000000*M20/SER_summary!M$8</f>
        <v>521.08528576457138</v>
      </c>
      <c r="N68" s="188">
        <f>1000000*N20/SER_summary!N$8</f>
        <v>532.82846839048511</v>
      </c>
      <c r="O68" s="188">
        <f>1000000*O20/SER_summary!O$8</f>
        <v>545.13047958163372</v>
      </c>
      <c r="P68" s="188">
        <f>1000000*P20/SER_summary!P$8</f>
        <v>557.42001821411395</v>
      </c>
      <c r="Q68" s="188">
        <f>1000000*Q20/SER_summary!Q$8</f>
        <v>571.19841320148987</v>
      </c>
      <c r="R68" s="188">
        <f>1000000*R20/SER_summary!R$8</f>
        <v>580.8022014885463</v>
      </c>
      <c r="S68" s="188">
        <f>1000000*S20/SER_summary!S$8</f>
        <v>590.43686635561278</v>
      </c>
      <c r="T68" s="188">
        <f>1000000*T20/SER_summary!T$8</f>
        <v>599.93911001757579</v>
      </c>
      <c r="U68" s="188">
        <f>1000000*U20/SER_summary!U$8</f>
        <v>609.20989010753965</v>
      </c>
      <c r="V68" s="188">
        <f>1000000*V20/SER_summary!V$8</f>
        <v>618.06485328886197</v>
      </c>
      <c r="W68" s="188">
        <f>1000000*W20/SER_summary!W$8</f>
        <v>626.29814754547965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0.11916400457875131</v>
      </c>
      <c r="C69" s="188">
        <f>1000*C21/SER_summary!C$3</f>
        <v>0.12370311371172885</v>
      </c>
      <c r="D69" s="188">
        <f>1000*D21/SER_summary!D$3</f>
        <v>0.12893202805296866</v>
      </c>
      <c r="E69" s="188">
        <f>1000*E21/SER_summary!E$3</f>
        <v>0.1347302440042546</v>
      </c>
      <c r="F69" s="188">
        <f>1000*F21/SER_summary!F$3</f>
        <v>0.14142051615463072</v>
      </c>
      <c r="G69" s="188">
        <f>1000*G21/SER_summary!G$3</f>
        <v>0.14797007991633385</v>
      </c>
      <c r="H69" s="188">
        <f>1000*H21/SER_summary!H$3</f>
        <v>0.15501224607926387</v>
      </c>
      <c r="I69" s="188">
        <f>1000*I21/SER_summary!I$3</f>
        <v>0.16085788729591827</v>
      </c>
      <c r="J69" s="188">
        <f>1000*J21/SER_summary!J$3</f>
        <v>0.16716251205193802</v>
      </c>
      <c r="K69" s="188">
        <f>1000*K21/SER_summary!K$3</f>
        <v>0.1726256948387058</v>
      </c>
      <c r="L69" s="188">
        <f>1000*L21/SER_summary!L$3</f>
        <v>0.17732869767853146</v>
      </c>
      <c r="M69" s="188">
        <f>1000*M21/SER_summary!M$3</f>
        <v>0.18233639479314878</v>
      </c>
      <c r="N69" s="188">
        <f>1000*N21/SER_summary!N$3</f>
        <v>0.18885268132688537</v>
      </c>
      <c r="O69" s="188">
        <f>1000*O21/SER_summary!O$3</f>
        <v>0.19792050435603747</v>
      </c>
      <c r="P69" s="188">
        <f>1000*P21/SER_summary!P$3</f>
        <v>0.20971120234984023</v>
      </c>
      <c r="Q69" s="188">
        <f>1000*Q21/SER_summary!Q$3</f>
        <v>0.22132963036731484</v>
      </c>
      <c r="R69" s="188">
        <f>1000*R21/SER_summary!R$3</f>
        <v>0.22572976511978793</v>
      </c>
      <c r="S69" s="188">
        <f>1000*S21/SER_summary!S$3</f>
        <v>0.2301422153555315</v>
      </c>
      <c r="T69" s="188">
        <f>1000*T21/SER_summary!T$3</f>
        <v>0.23401523466559765</v>
      </c>
      <c r="U69" s="188">
        <f>1000*U21/SER_summary!U$3</f>
        <v>0.23723789753214825</v>
      </c>
      <c r="V69" s="188">
        <f>1000*V21/SER_summary!V$3</f>
        <v>0.24029688286729756</v>
      </c>
      <c r="W69" s="188">
        <f>1000*W21/SER_summary!W$3</f>
        <v>0.24325722021186649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156.99258316659387</v>
      </c>
      <c r="C70" s="188">
        <f>1000000*C22/SER_summary!C$8</f>
        <v>157.95986267080784</v>
      </c>
      <c r="D70" s="188">
        <f>1000000*D22/SER_summary!D$8</f>
        <v>159.22876310815599</v>
      </c>
      <c r="E70" s="188">
        <f>1000000*E22/SER_summary!E$8</f>
        <v>161.03016650884192</v>
      </c>
      <c r="F70" s="188">
        <f>1000000*F22/SER_summary!F$8</f>
        <v>163.64465231916017</v>
      </c>
      <c r="G70" s="188">
        <f>1000000*G22/SER_summary!G$8</f>
        <v>165.83117188774861</v>
      </c>
      <c r="H70" s="188">
        <f>1000000*H22/SER_summary!H$8</f>
        <v>168.25645113070595</v>
      </c>
      <c r="I70" s="188">
        <f>1000000*I22/SER_summary!I$8</f>
        <v>171.71660269528383</v>
      </c>
      <c r="J70" s="188">
        <f>1000000*J22/SER_summary!J$8</f>
        <v>174.28153198413059</v>
      </c>
      <c r="K70" s="188">
        <f>1000000*K22/SER_summary!K$8</f>
        <v>178.12365559170743</v>
      </c>
      <c r="L70" s="188">
        <f>1000000*L22/SER_summary!L$8</f>
        <v>182.77014120097039</v>
      </c>
      <c r="M70" s="188">
        <f>1000000*M22/SER_summary!M$8</f>
        <v>188.26933479672965</v>
      </c>
      <c r="N70" s="188">
        <f>1000000*N22/SER_summary!N$8</f>
        <v>192.72208122563165</v>
      </c>
      <c r="O70" s="188">
        <f>1000000*O22/SER_summary!O$8</f>
        <v>199.78431670175499</v>
      </c>
      <c r="P70" s="188">
        <f>1000000*P22/SER_summary!P$8</f>
        <v>209.66640899973459</v>
      </c>
      <c r="Q70" s="188">
        <f>1000000*Q22/SER_summary!Q$8</f>
        <v>222.09514639745274</v>
      </c>
      <c r="R70" s="188">
        <f>1000000*R22/SER_summary!R$8</f>
        <v>228.7116817597491</v>
      </c>
      <c r="S70" s="188">
        <f>1000000*S22/SER_summary!S$8</f>
        <v>235.42885102022436</v>
      </c>
      <c r="T70" s="188">
        <f>1000000*T22/SER_summary!T$8</f>
        <v>241.81652941341173</v>
      </c>
      <c r="U70" s="188">
        <f>1000000*U22/SER_summary!U$8</f>
        <v>247.61167332272385</v>
      </c>
      <c r="V70" s="188">
        <f>1000000*V22/SER_summary!V$8</f>
        <v>252.32406823653122</v>
      </c>
      <c r="W70" s="188">
        <f>1000000*W22/SER_summary!W$8</f>
        <v>255.07230977020944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1.5103020176155968E-2</v>
      </c>
      <c r="C71" s="188">
        <f>1000*C23/SER_summary!C$3</f>
        <v>1.6416807742775298E-2</v>
      </c>
      <c r="D71" s="188">
        <f>1000*D23/SER_summary!D$3</f>
        <v>1.7593331611811411E-2</v>
      </c>
      <c r="E71" s="188">
        <f>1000*E23/SER_summary!E$3</f>
        <v>1.8792547460270027E-2</v>
      </c>
      <c r="F71" s="188">
        <f>1000*F23/SER_summary!F$3</f>
        <v>2.0106323686655075E-2</v>
      </c>
      <c r="G71" s="188">
        <f>1000*G23/SER_summary!G$3</f>
        <v>2.124464724245554E-2</v>
      </c>
      <c r="H71" s="188">
        <f>1000*H23/SER_summary!H$3</f>
        <v>2.2264910186275137E-2</v>
      </c>
      <c r="I71" s="188">
        <f>1000*I23/SER_summary!I$3</f>
        <v>2.3407310593745081E-2</v>
      </c>
      <c r="J71" s="188">
        <f>1000*J23/SER_summary!J$3</f>
        <v>2.4306327349152515E-2</v>
      </c>
      <c r="K71" s="188">
        <f>1000*K23/SER_summary!K$3</f>
        <v>2.5240719153193845E-2</v>
      </c>
      <c r="L71" s="188">
        <f>1000*L23/SER_summary!L$3</f>
        <v>2.5942222893946421E-2</v>
      </c>
      <c r="M71" s="188">
        <f>1000*M23/SER_summary!M$3</f>
        <v>2.6458924124325225E-2</v>
      </c>
      <c r="N71" s="188">
        <f>1000*N23/SER_summary!N$3</f>
        <v>2.7011687836788544E-2</v>
      </c>
      <c r="O71" s="188">
        <f>1000*O23/SER_summary!O$3</f>
        <v>2.768250262674574E-2</v>
      </c>
      <c r="P71" s="188">
        <f>1000*P23/SER_summary!P$3</f>
        <v>2.8516230400530737E-2</v>
      </c>
      <c r="Q71" s="188">
        <f>1000*Q23/SER_summary!Q$3</f>
        <v>2.9447164004646757E-2</v>
      </c>
      <c r="R71" s="188">
        <f>1000*R23/SER_summary!R$3</f>
        <v>3.0084341663699627E-2</v>
      </c>
      <c r="S71" s="188">
        <f>1000*S23/SER_summary!S$3</f>
        <v>3.0722640519184101E-2</v>
      </c>
      <c r="T71" s="188">
        <f>1000*T23/SER_summary!T$3</f>
        <v>3.1291071524567247E-2</v>
      </c>
      <c r="U71" s="188">
        <f>1000*U23/SER_summary!U$3</f>
        <v>3.1776203734371809E-2</v>
      </c>
      <c r="V71" s="188">
        <f>1000*V23/SER_summary!V$3</f>
        <v>3.2246217496493902E-2</v>
      </c>
      <c r="W71" s="188">
        <f>1000*W23/SER_summary!W$3</f>
        <v>3.271936094262258E-2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58.962572072489237</v>
      </c>
      <c r="C72" s="188">
        <f>1000000*C24/SER_summary!C$8</f>
        <v>63.851900912060394</v>
      </c>
      <c r="D72" s="188">
        <f>1000000*D24/SER_summary!D$8</f>
        <v>70.08660552667456</v>
      </c>
      <c r="E72" s="188">
        <f>1000000*E24/SER_summary!E$8</f>
        <v>78.450991599943606</v>
      </c>
      <c r="F72" s="188">
        <f>1000000*F24/SER_summary!F$8</f>
        <v>87.378374792494512</v>
      </c>
      <c r="G72" s="188">
        <f>1000000*G24/SER_summary!G$8</f>
        <v>96.888580574278521</v>
      </c>
      <c r="H72" s="188">
        <f>1000000*H24/SER_summary!H$8</f>
        <v>108.55443136592693</v>
      </c>
      <c r="I72" s="188">
        <f>1000000*I24/SER_summary!I$8</f>
        <v>118.13829551136166</v>
      </c>
      <c r="J72" s="188">
        <f>1000000*J24/SER_summary!J$8</f>
        <v>127.19929019051104</v>
      </c>
      <c r="K72" s="188">
        <f>1000000*K24/SER_summary!K$8</f>
        <v>132.59500090060499</v>
      </c>
      <c r="L72" s="188">
        <f>1000000*L24/SER_summary!L$8</f>
        <v>138.75684616747264</v>
      </c>
      <c r="M72" s="188">
        <f>1000000*M24/SER_summary!M$8</f>
        <v>143.36245818667285</v>
      </c>
      <c r="N72" s="188">
        <f>1000000*N24/SER_summary!N$8</f>
        <v>147.94703565219731</v>
      </c>
      <c r="O72" s="188">
        <f>1000000*O24/SER_summary!O$8</f>
        <v>151.44200768647943</v>
      </c>
      <c r="P72" s="188">
        <f>1000000*P24/SER_summary!P$8</f>
        <v>154.7494234101074</v>
      </c>
      <c r="Q72" s="188">
        <f>1000000*Q24/SER_summary!Q$8</f>
        <v>157.55128016130749</v>
      </c>
      <c r="R72" s="188">
        <f>1000000*R24/SER_summary!R$8</f>
        <v>160.11147970964359</v>
      </c>
      <c r="S72" s="188">
        <f>1000000*S24/SER_summary!S$8</f>
        <v>164.44982692031655</v>
      </c>
      <c r="T72" s="188">
        <f>1000000*T24/SER_summary!T$8</f>
        <v>168.47405236463456</v>
      </c>
      <c r="U72" s="188">
        <f>1000000*U24/SER_summary!U$8</f>
        <v>172.07470697458038</v>
      </c>
      <c r="V72" s="188">
        <f>1000000*V24/SER_summary!V$8</f>
        <v>177.32352579757699</v>
      </c>
      <c r="W72" s="188">
        <f>1000000*W24/SER_summary!W$8</f>
        <v>181.84644191546303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0.12885073348906695</v>
      </c>
      <c r="C73" s="52">
        <f>1000*C25/SER_summary!C$3</f>
        <v>0.16384711596457593</v>
      </c>
      <c r="D73" s="52">
        <f>1000*D25/SER_summary!D$3</f>
        <v>0.20394927093273699</v>
      </c>
      <c r="E73" s="52">
        <f>1000*E25/SER_summary!E$3</f>
        <v>0.25938080943518754</v>
      </c>
      <c r="F73" s="52">
        <f>1000*F25/SER_summary!F$3</f>
        <v>0.31915565317590455</v>
      </c>
      <c r="G73" s="52">
        <f>1000*G25/SER_summary!G$3</f>
        <v>0.38432598442273963</v>
      </c>
      <c r="H73" s="52">
        <f>1000*H25/SER_summary!H$3</f>
        <v>0.46868356471335942</v>
      </c>
      <c r="I73" s="52">
        <f>1000*I25/SER_summary!I$3</f>
        <v>0.5401284791933314</v>
      </c>
      <c r="J73" s="52">
        <f>1000*J25/SER_summary!J$3</f>
        <v>0.63067919866259747</v>
      </c>
      <c r="K73" s="52">
        <f>1000*K25/SER_summary!K$3</f>
        <v>0.70623436838245102</v>
      </c>
      <c r="L73" s="52">
        <f>1000*L25/SER_summary!L$3</f>
        <v>0.75323729426554953</v>
      </c>
      <c r="M73" s="52">
        <f>1000*M25/SER_summary!M$3</f>
        <v>0.80005892969289683</v>
      </c>
      <c r="N73" s="52">
        <f>1000*N25/SER_summary!N$3</f>
        <v>0.89634581985617812</v>
      </c>
      <c r="O73" s="52">
        <f>1000*O25/SER_summary!O$3</f>
        <v>1.0102595698616195</v>
      </c>
      <c r="P73" s="52">
        <f>1000*P25/SER_summary!P$3</f>
        <v>1.1604822005518132</v>
      </c>
      <c r="Q73" s="52">
        <f>1000*Q25/SER_summary!Q$3</f>
        <v>1.2470215672283291</v>
      </c>
      <c r="R73" s="52">
        <f>1000*R25/SER_summary!R$3</f>
        <v>1.3006407949179959</v>
      </c>
      <c r="S73" s="52">
        <f>1000*S25/SER_summary!S$3</f>
        <v>1.3697309507671207</v>
      </c>
      <c r="T73" s="52">
        <f>1000*T25/SER_summary!T$3</f>
        <v>1.509851975417581</v>
      </c>
      <c r="U73" s="52">
        <f>1000*U25/SER_summary!U$3</f>
        <v>1.6414172323060208</v>
      </c>
      <c r="V73" s="52">
        <f>1000*V25/SER_summary!V$3</f>
        <v>1.770791618441542</v>
      </c>
      <c r="W73" s="52">
        <f>1000*W25/SER_summary!W$3</f>
        <v>1.9842061946491369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3.210657481135986</v>
      </c>
      <c r="C3" s="199">
        <f>'SER_se-appl'!C4</f>
        <v>3.370322533274507</v>
      </c>
      <c r="D3" s="199">
        <f>'SER_se-appl'!D4</f>
        <v>3.5173763128945095</v>
      </c>
      <c r="E3" s="199">
        <f>'SER_se-appl'!E4</f>
        <v>3.700157118537406</v>
      </c>
      <c r="F3" s="199">
        <f>'SER_se-appl'!F4</f>
        <v>3.8205793629749039</v>
      </c>
      <c r="G3" s="199">
        <f>'SER_se-appl'!G4</f>
        <v>4.0427799336750487</v>
      </c>
      <c r="H3" s="199">
        <f>'SER_se-appl'!H4</f>
        <v>4.2927178278160012</v>
      </c>
      <c r="I3" s="199">
        <f>'SER_se-appl'!I4</f>
        <v>4.4632024885761741</v>
      </c>
      <c r="J3" s="199">
        <f>'SER_se-appl'!J4</f>
        <v>4.4246349207001616</v>
      </c>
      <c r="K3" s="199">
        <f>'SER_se-appl'!K4</f>
        <v>4.4108482112757361</v>
      </c>
      <c r="L3" s="199">
        <f>'SER_se-appl'!L4</f>
        <v>4.4429149003305568</v>
      </c>
      <c r="M3" s="199">
        <f>'SER_se-appl'!M4</f>
        <v>4.5686923748896717</v>
      </c>
      <c r="N3" s="199">
        <f>'SER_se-appl'!N4</f>
        <v>4.6732897231875228</v>
      </c>
      <c r="O3" s="199">
        <f>'SER_se-appl'!O4</f>
        <v>4.7314215110218028</v>
      </c>
      <c r="P3" s="199">
        <f>'SER_se-appl'!P4</f>
        <v>4.8070234960919489</v>
      </c>
      <c r="Q3" s="199">
        <f>'SER_se-appl'!Q4</f>
        <v>4.9296850518096491</v>
      </c>
      <c r="R3" s="199">
        <f>'SER_se-appl'!R4</f>
        <v>4.9722846308872208</v>
      </c>
      <c r="S3" s="199">
        <f>'SER_se-appl'!S4</f>
        <v>5.0425656211681202</v>
      </c>
      <c r="T3" s="199">
        <f>'SER_se-appl'!T4</f>
        <v>5.0934220190041968</v>
      </c>
      <c r="U3" s="199">
        <f>'SER_se-appl'!U4</f>
        <v>5.1296046312998147</v>
      </c>
      <c r="V3" s="199">
        <f>'SER_se-appl'!V4</f>
        <v>5.1637377769034094</v>
      </c>
      <c r="W3" s="199">
        <f>'SER_se-appl'!W4</f>
        <v>5.1831934062110196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4.2625509709602198</v>
      </c>
      <c r="C5" s="59">
        <f>'SER_se-appl'!C12</f>
        <v>4.4745263769386447</v>
      </c>
      <c r="D5" s="59">
        <f>'SER_se-appl'!D12</f>
        <v>4.669758735041456</v>
      </c>
      <c r="E5" s="59">
        <f>'SER_se-appl'!E12</f>
        <v>4.9124232064600521</v>
      </c>
      <c r="F5" s="59">
        <f>'SER_se-appl'!F12</f>
        <v>5.0722988574655403</v>
      </c>
      <c r="G5" s="59">
        <f>'SER_se-appl'!G12</f>
        <v>5.3672980169681317</v>
      </c>
      <c r="H5" s="59">
        <f>'SER_se-appl'!H12</f>
        <v>5.6991219563356283</v>
      </c>
      <c r="I5" s="59">
        <f>'SER_se-appl'!I12</f>
        <v>5.9254617513859476</v>
      </c>
      <c r="J5" s="59">
        <f>'SER_se-appl'!J12</f>
        <v>5.8742584620711069</v>
      </c>
      <c r="K5" s="59">
        <f>'SER_se-appl'!K12</f>
        <v>5.8559548741023759</v>
      </c>
      <c r="L5" s="59">
        <f>'SER_se-appl'!L12</f>
        <v>5.8985274304616881</v>
      </c>
      <c r="M5" s="59">
        <f>'SER_se-appl'!M12</f>
        <v>6.0655128219140275</v>
      </c>
      <c r="N5" s="59">
        <f>'SER_se-appl'!N12</f>
        <v>6.204378936149646</v>
      </c>
      <c r="O5" s="59">
        <f>'SER_se-appl'!O12</f>
        <v>6.2815561841533754</v>
      </c>
      <c r="P5" s="59">
        <f>'SER_se-appl'!P12</f>
        <v>6.3819273127339438</v>
      </c>
      <c r="Q5" s="59">
        <f>'SER_se-appl'!Q12</f>
        <v>6.5447759306559634</v>
      </c>
      <c r="R5" s="59">
        <f>'SER_se-appl'!R12</f>
        <v>6.6013322211436529</v>
      </c>
      <c r="S5" s="59">
        <f>'SER_se-appl'!S12</f>
        <v>6.6946390609800526</v>
      </c>
      <c r="T5" s="59">
        <f>'SER_se-appl'!T12</f>
        <v>6.7621573151847967</v>
      </c>
      <c r="U5" s="59">
        <f>'SER_se-appl'!U12</f>
        <v>6.8101942764859427</v>
      </c>
      <c r="V5" s="59">
        <f>'SER_se-appl'!V12</f>
        <v>6.8555103134003037</v>
      </c>
      <c r="W5" s="59">
        <f>'SER_se-appl'!W12</f>
        <v>6.8813401043646314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420.58290684300152</v>
      </c>
      <c r="C6" s="202">
        <f>'SER_se-appl'!C68</f>
        <v>431.3880809792912</v>
      </c>
      <c r="D6" s="202">
        <f>'SER_se-appl'!D68</f>
        <v>439.37976787593061</v>
      </c>
      <c r="E6" s="202">
        <f>'SER_se-appl'!E68</f>
        <v>450.84460694678972</v>
      </c>
      <c r="F6" s="202">
        <f>'SER_se-appl'!F68</f>
        <v>458.54498702104877</v>
      </c>
      <c r="G6" s="202">
        <f>'SER_se-appl'!G68</f>
        <v>469.00496859129777</v>
      </c>
      <c r="H6" s="202">
        <f>'SER_se-appl'!H68</f>
        <v>477.77155646722315</v>
      </c>
      <c r="I6" s="202">
        <f>'SER_se-appl'!I68</f>
        <v>487.03447956000167</v>
      </c>
      <c r="J6" s="202">
        <f>'SER_se-appl'!J68</f>
        <v>495.72320358683066</v>
      </c>
      <c r="K6" s="202">
        <f>'SER_se-appl'!K68</f>
        <v>504.32636036872543</v>
      </c>
      <c r="L6" s="202">
        <f>'SER_se-appl'!L68</f>
        <v>512.21872405716545</v>
      </c>
      <c r="M6" s="202">
        <f>'SER_se-appl'!M68</f>
        <v>521.08528576457138</v>
      </c>
      <c r="N6" s="202">
        <f>'SER_se-appl'!N68</f>
        <v>532.82846839048511</v>
      </c>
      <c r="O6" s="202">
        <f>'SER_se-appl'!O68</f>
        <v>545.13047958163372</v>
      </c>
      <c r="P6" s="202">
        <f>'SER_se-appl'!P68</f>
        <v>557.42001821411395</v>
      </c>
      <c r="Q6" s="202">
        <f>'SER_se-appl'!Q68</f>
        <v>571.19841320148987</v>
      </c>
      <c r="R6" s="202">
        <f>'SER_se-appl'!R68</f>
        <v>580.8022014885463</v>
      </c>
      <c r="S6" s="202">
        <f>'SER_se-appl'!S68</f>
        <v>590.43686635561278</v>
      </c>
      <c r="T6" s="202">
        <f>'SER_se-appl'!T68</f>
        <v>599.93911001757579</v>
      </c>
      <c r="U6" s="202">
        <f>'SER_se-appl'!U68</f>
        <v>609.20989010753965</v>
      </c>
      <c r="V6" s="202">
        <f>'SER_se-appl'!V68</f>
        <v>618.06485328886197</v>
      </c>
      <c r="W6" s="202">
        <f>'SER_se-appl'!W68</f>
        <v>626.29814754547965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5.4250593181100228</v>
      </c>
      <c r="C8" s="34">
        <f>'SER_se-appl'!C20</f>
        <v>5.7562311901401113</v>
      </c>
      <c r="D8" s="34">
        <f>'SER_se-appl'!D20</f>
        <v>6.0724218171684141</v>
      </c>
      <c r="E8" s="34">
        <f>'SER_se-appl'!E20</f>
        <v>6.4679219142546511</v>
      </c>
      <c r="F8" s="34">
        <f>'SER_se-appl'!F20</f>
        <v>6.7512423229233667</v>
      </c>
      <c r="G8" s="34">
        <f>'SER_se-appl'!G20</f>
        <v>7.2493133885687495</v>
      </c>
      <c r="H8" s="34">
        <f>'SER_se-appl'!H20</f>
        <v>7.8168965648673474</v>
      </c>
      <c r="I8" s="34">
        <f>'SER_se-appl'!I20</f>
        <v>8.2341305687185358</v>
      </c>
      <c r="J8" s="34">
        <f>'SER_se-appl'!J20</f>
        <v>8.2225344154884752</v>
      </c>
      <c r="K8" s="34">
        <f>'SER_se-appl'!K20</f>
        <v>8.2697017006841929</v>
      </c>
      <c r="L8" s="34">
        <f>'SER_se-appl'!L20</f>
        <v>8.4235566298615385</v>
      </c>
      <c r="M8" s="34">
        <f>'SER_se-appl'!M20</f>
        <v>8.7944376411372271</v>
      </c>
      <c r="N8" s="34">
        <f>'SER_se-appl'!N20</f>
        <v>9.1355981671286273</v>
      </c>
      <c r="O8" s="34">
        <f>'SER_se-appl'!O20</f>
        <v>9.390294274178455</v>
      </c>
      <c r="P8" s="34">
        <f>'SER_se-appl'!P20</f>
        <v>9.7092495393545288</v>
      </c>
      <c r="Q8" s="34">
        <f>'SER_se-appl'!Q20</f>
        <v>10.171093143322571</v>
      </c>
      <c r="R8" s="34">
        <f>'SER_se-appl'!R20</f>
        <v>10.444098201457004</v>
      </c>
      <c r="S8" s="34">
        <f>'SER_se-appl'!S20</f>
        <v>10.797220636741841</v>
      </c>
      <c r="T8" s="34">
        <f>'SER_se-appl'!T20</f>
        <v>11.112817663627274</v>
      </c>
      <c r="U8" s="34">
        <f>'SER_se-appl'!U20</f>
        <v>11.399781369404533</v>
      </c>
      <c r="V8" s="34">
        <f>'SER_se-appl'!V20</f>
        <v>11.674555592945822</v>
      </c>
      <c r="W8" s="34">
        <f>'SER_se-appl'!W20</f>
        <v>11.930927751935256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0.56647474462226199</v>
      </c>
      <c r="D9" s="36">
        <f>'SER_se-appl'!D28</f>
        <v>0.55814918121174628</v>
      </c>
      <c r="E9" s="36">
        <f>'SER_se-appl'!E28</f>
        <v>0.64430259277021751</v>
      </c>
      <c r="F9" s="36">
        <f>'SER_se-appl'!F28</f>
        <v>0.53916043080591525</v>
      </c>
      <c r="G9" s="36">
        <f>'SER_se-appl'!G28</f>
        <v>0.76114767485391877</v>
      </c>
      <c r="H9" s="36">
        <f>'SER_se-appl'!H28</f>
        <v>0.83810106374447102</v>
      </c>
      <c r="I9" s="36">
        <f>'SER_se-appl'!I28</f>
        <v>0.69540365051167718</v>
      </c>
      <c r="J9" s="36">
        <f>'SER_se-appl'!J28</f>
        <v>0.27444168720185402</v>
      </c>
      <c r="K9" s="36">
        <f>'SER_se-appl'!K28</f>
        <v>0.34129587593593413</v>
      </c>
      <c r="L9" s="36">
        <f>'SER_se-appl'!L28</f>
        <v>0.45630312190665023</v>
      </c>
      <c r="M9" s="36">
        <f>'SER_se-appl'!M28</f>
        <v>0.68188413088066469</v>
      </c>
      <c r="N9" s="36">
        <f>'SER_se-appl'!N28</f>
        <v>0.66096055366289974</v>
      </c>
      <c r="O9" s="36">
        <f>'SER_se-appl'!O28</f>
        <v>0.58354186856049672</v>
      </c>
      <c r="P9" s="36">
        <f>'SER_se-appl'!P28</f>
        <v>0.65710262448341439</v>
      </c>
      <c r="Q9" s="36">
        <f>'SER_se-appl'!Q28</f>
        <v>0.80955566229365239</v>
      </c>
      <c r="R9" s="36">
        <f>'SER_se-appl'!R28</f>
        <v>0.63055235867432735</v>
      </c>
      <c r="S9" s="36">
        <f>'SER_se-appl'!S28</f>
        <v>0.72078317371010669</v>
      </c>
      <c r="T9" s="36">
        <f>'SER_se-appl'!T28</f>
        <v>0.69365726779706272</v>
      </c>
      <c r="U9" s="36">
        <f>'SER_se-appl'!U28</f>
        <v>0.85343845039952093</v>
      </c>
      <c r="V9" s="36">
        <f>'SER_se-appl'!V28</f>
        <v>0.83292340475303561</v>
      </c>
      <c r="W9" s="36">
        <f>'SER_se-appl'!W28</f>
        <v>0.9006747517596505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0.23530287259217353</v>
      </c>
      <c r="D10" s="38">
        <f>'SER_se-appl'!D36</f>
        <v>0.24195855418344347</v>
      </c>
      <c r="E10" s="38">
        <f>'SER_se-appl'!E36</f>
        <v>0.2488024956839805</v>
      </c>
      <c r="F10" s="38">
        <f>'SER_se-appl'!F36</f>
        <v>0.2558400221371997</v>
      </c>
      <c r="G10" s="38">
        <f>'SER_se-appl'!G36</f>
        <v>0.26307660920853593</v>
      </c>
      <c r="H10" s="38">
        <f>'SER_se-appl'!H36</f>
        <v>0.27051788744587313</v>
      </c>
      <c r="I10" s="38">
        <f>'SER_se-appl'!I36</f>
        <v>0.27816964666048882</v>
      </c>
      <c r="J10" s="38">
        <f>'SER_se-appl'!J36</f>
        <v>0.2860378404319146</v>
      </c>
      <c r="K10" s="38">
        <f>'SER_se-appl'!K36</f>
        <v>0.29412859074021647</v>
      </c>
      <c r="L10" s="38">
        <f>'SER_se-appl'!L36</f>
        <v>0.30244819272930457</v>
      </c>
      <c r="M10" s="38">
        <f>'SER_se-appl'!M36</f>
        <v>0.31100311960497606</v>
      </c>
      <c r="N10" s="38">
        <f>'SER_se-appl'!N36</f>
        <v>0.31980002767149962</v>
      </c>
      <c r="O10" s="38">
        <f>'SER_se-appl'!O36</f>
        <v>0.32884576151066902</v>
      </c>
      <c r="P10" s="38">
        <f>'SER_se-appl'!P36</f>
        <v>0.33814735930734052</v>
      </c>
      <c r="Q10" s="38">
        <f>'SER_se-appl'!Q36</f>
        <v>0.34771205832561058</v>
      </c>
      <c r="R10" s="38">
        <f>'SER_se-appl'!R36</f>
        <v>0.3575473005398937</v>
      </c>
      <c r="S10" s="38">
        <f>'SER_se-appl'!S36</f>
        <v>0.36766073842527014</v>
      </c>
      <c r="T10" s="38">
        <f>'SER_se-appl'!T36</f>
        <v>0.37806024091162982</v>
      </c>
      <c r="U10" s="38">
        <f>'SER_se-appl'!U36</f>
        <v>0.56647474462226199</v>
      </c>
      <c r="V10" s="38">
        <f>'SER_se-appl'!V36</f>
        <v>0.55814918121174628</v>
      </c>
      <c r="W10" s="38">
        <f>'SER_se-appl'!W36</f>
        <v>0.64430259277021662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8759.9999999999982</v>
      </c>
      <c r="D12" s="205">
        <f>'SER_se-appl'!D44</f>
        <v>8759.9999999999982</v>
      </c>
      <c r="E12" s="205">
        <f>'SER_se-appl'!E44</f>
        <v>8759.9999999999945</v>
      </c>
      <c r="F12" s="205">
        <f>'SER_se-appl'!F44</f>
        <v>8760</v>
      </c>
      <c r="G12" s="205">
        <f>'SER_se-appl'!G44</f>
        <v>8759.9999999999964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8759.9999999999982</v>
      </c>
      <c r="K12" s="205">
        <f>'SER_se-appl'!K44</f>
        <v>8760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8760</v>
      </c>
      <c r="P12" s="205">
        <f>'SER_se-appl'!P44</f>
        <v>8760.0000000000018</v>
      </c>
      <c r="Q12" s="205">
        <f>'SER_se-appl'!Q44</f>
        <v>8759.9999999999964</v>
      </c>
      <c r="R12" s="205">
        <f>'SER_se-appl'!R44</f>
        <v>8759.9999999999964</v>
      </c>
      <c r="S12" s="205">
        <f>'SER_se-appl'!S44</f>
        <v>8759.9999999999964</v>
      </c>
      <c r="T12" s="205">
        <f>'SER_se-appl'!T44</f>
        <v>8759.9999999999982</v>
      </c>
      <c r="U12" s="205">
        <f>'SER_se-appl'!U44</f>
        <v>8759.9999999999982</v>
      </c>
      <c r="V12" s="205">
        <f>'SER_se-appl'!V44</f>
        <v>8759.9999999999982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0.7857150901061859</v>
      </c>
      <c r="C14" s="59">
        <f>'SER_se-appl'!C52</f>
        <v>0.77733611266397573</v>
      </c>
      <c r="D14" s="59">
        <f>'SER_se-appl'!D52</f>
        <v>0.76901092770577273</v>
      </c>
      <c r="E14" s="59">
        <f>'SER_se-appl'!E52</f>
        <v>0.75950564518003283</v>
      </c>
      <c r="F14" s="59">
        <f>'SER_se-appl'!F52</f>
        <v>0.75131340497776355</v>
      </c>
      <c r="G14" s="59">
        <f>'SER_se-appl'!G52</f>
        <v>0.74038708623518501</v>
      </c>
      <c r="H14" s="59">
        <f>'SER_se-appl'!H52</f>
        <v>0.729077314640448</v>
      </c>
      <c r="I14" s="59">
        <f>'SER_se-appl'!I52</f>
        <v>0.71962202954332277</v>
      </c>
      <c r="J14" s="59">
        <f>'SER_se-appl'!J52</f>
        <v>0.71440971423676736</v>
      </c>
      <c r="K14" s="59">
        <f>'SER_se-appl'!K52</f>
        <v>0.70812165735287458</v>
      </c>
      <c r="L14" s="59">
        <f>'SER_se-appl'!L52</f>
        <v>0.7002419155765377</v>
      </c>
      <c r="M14" s="59">
        <f>'SER_se-appl'!M52</f>
        <v>0.6896987697703072</v>
      </c>
      <c r="N14" s="59">
        <f>'SER_se-appl'!N52</f>
        <v>0.67914315216643539</v>
      </c>
      <c r="O14" s="59">
        <f>'SER_se-appl'!O52</f>
        <v>0.66894135590899151</v>
      </c>
      <c r="P14" s="59">
        <f>'SER_se-appl'!P52</f>
        <v>0.65730387161912562</v>
      </c>
      <c r="Q14" s="59">
        <f>'SER_se-appl'!Q52</f>
        <v>0.64346829179837739</v>
      </c>
      <c r="R14" s="59">
        <f>'SER_se-appl'!R52</f>
        <v>0.63206340019119445</v>
      </c>
      <c r="S14" s="59">
        <f>'SER_se-appl'!S52</f>
        <v>0.62003355180118103</v>
      </c>
      <c r="T14" s="59">
        <f>'SER_se-appl'!T52</f>
        <v>0.60850069891073855</v>
      </c>
      <c r="U14" s="59">
        <f>'SER_se-appl'!U52</f>
        <v>0.59739691980089904</v>
      </c>
      <c r="V14" s="59">
        <f>'SER_se-appl'!V52</f>
        <v>0.58721809655372614</v>
      </c>
      <c r="W14" s="59">
        <f>'SER_se-appl'!W52</f>
        <v>0.5767648792650214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0.70057213933528939</v>
      </c>
      <c r="D15" s="63">
        <f>'SER_se-appl'!D60</f>
        <v>0.69039399908898236</v>
      </c>
      <c r="E15" s="63">
        <f>'SER_se-appl'!E60</f>
        <v>0.68004125957295314</v>
      </c>
      <c r="F15" s="63">
        <f>'SER_se-appl'!F60</f>
        <v>0.66936109631105267</v>
      </c>
      <c r="G15" s="63">
        <f>'SER_se-appl'!G60</f>
        <v>0.65913939933928489</v>
      </c>
      <c r="H15" s="63">
        <f>'SER_se-appl'!H60</f>
        <v>0.64953255547154354</v>
      </c>
      <c r="I15" s="63">
        <f>'SER_se-appl'!I60</f>
        <v>0.63977501946331838</v>
      </c>
      <c r="J15" s="63">
        <f>'SER_se-appl'!J60</f>
        <v>0.63234182832529606</v>
      </c>
      <c r="K15" s="63">
        <f>'SER_se-appl'!K60</f>
        <v>0.62349913729244533</v>
      </c>
      <c r="L15" s="63">
        <f>'SER_se-appl'!L60</f>
        <v>0.61408886310314492</v>
      </c>
      <c r="M15" s="63">
        <f>'SER_se-appl'!M60</f>
        <v>0.60324799620253444</v>
      </c>
      <c r="N15" s="63">
        <f>'SER_se-appl'!N60</f>
        <v>0.59025885831073011</v>
      </c>
      <c r="O15" s="63">
        <f>'SER_se-appl'!O60</f>
        <v>0.57503384627376142</v>
      </c>
      <c r="P15" s="63">
        <f>'SER_se-appl'!P60</f>
        <v>0.55707981954216768</v>
      </c>
      <c r="Q15" s="63">
        <f>'SER_se-appl'!Q60</f>
        <v>0.53863032459670968</v>
      </c>
      <c r="R15" s="63">
        <f>'SER_se-appl'!R60</f>
        <v>0.53522375312043602</v>
      </c>
      <c r="S15" s="63">
        <f>'SER_se-appl'!S60</f>
        <v>0.53023356259760523</v>
      </c>
      <c r="T15" s="63">
        <f>'SER_se-appl'!T60</f>
        <v>0.52557063463919396</v>
      </c>
      <c r="U15" s="63">
        <f>'SER_se-appl'!U60</f>
        <v>0.52129522030827857</v>
      </c>
      <c r="V15" s="63">
        <f>'SER_se-appl'!V60</f>
        <v>0.51704500049085711</v>
      </c>
      <c r="W15" s="63">
        <f>'SER_se-appl'!W60</f>
        <v>0.51514948852671216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11.393250114635018</v>
      </c>
      <c r="C3" s="199">
        <f>'SER_se-appl'!C5</f>
        <v>11.641424930754928</v>
      </c>
      <c r="D3" s="199">
        <f>'SER_se-appl'!D5</f>
        <v>11.917125788836268</v>
      </c>
      <c r="E3" s="199">
        <f>'SER_se-appl'!E5</f>
        <v>12.218837190194803</v>
      </c>
      <c r="F3" s="199">
        <f>'SER_se-appl'!F5</f>
        <v>12.537266993258489</v>
      </c>
      <c r="G3" s="199">
        <f>'SER_se-appl'!G5</f>
        <v>12.820363456109538</v>
      </c>
      <c r="H3" s="199">
        <f>'SER_se-appl'!H5</f>
        <v>13.080596355569352</v>
      </c>
      <c r="I3" s="199">
        <f>'SER_se-appl'!I5</f>
        <v>13.20353065259817</v>
      </c>
      <c r="J3" s="199">
        <f>'SER_se-appl'!J5</f>
        <v>13.46469686894647</v>
      </c>
      <c r="K3" s="199">
        <f>'SER_se-appl'!K5</f>
        <v>13.656015031402337</v>
      </c>
      <c r="L3" s="199">
        <f>'SER_se-appl'!L5</f>
        <v>13.780002870369543</v>
      </c>
      <c r="M3" s="199">
        <f>'SER_se-appl'!M5</f>
        <v>13.894102834982066</v>
      </c>
      <c r="N3" s="199">
        <f>'SER_se-appl'!N5</f>
        <v>14.046973192796342</v>
      </c>
      <c r="O3" s="199">
        <f>'SER_se-appl'!O5</f>
        <v>14.247005578739287</v>
      </c>
      <c r="P3" s="199">
        <f>'SER_se-appl'!P5</f>
        <v>14.541007825411551</v>
      </c>
      <c r="Q3" s="199">
        <f>'SER_se-appl'!Q5</f>
        <v>14.726570880406998</v>
      </c>
      <c r="R3" s="199">
        <f>'SER_se-appl'!R5</f>
        <v>14.739336481805001</v>
      </c>
      <c r="S3" s="199">
        <f>'SER_se-appl'!S5</f>
        <v>14.081676965981719</v>
      </c>
      <c r="T3" s="199">
        <f>'SER_se-appl'!T5</f>
        <v>13.577772547885466</v>
      </c>
      <c r="U3" s="199">
        <f>'SER_se-appl'!U5</f>
        <v>12.9287715852471</v>
      </c>
      <c r="V3" s="199">
        <f>'SER_se-appl'!V5</f>
        <v>12.246879653946234</v>
      </c>
      <c r="W3" s="199">
        <f>'SER_se-appl'!W5</f>
        <v>11.582652277522175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34.229627072186425</v>
      </c>
      <c r="C5" s="59">
        <f>'SER_se-appl'!C13</f>
        <v>34.950920084165794</v>
      </c>
      <c r="D5" s="59">
        <f>'SER_se-appl'!D13</f>
        <v>35.745347705108557</v>
      </c>
      <c r="E5" s="59">
        <f>'SER_se-appl'!E13</f>
        <v>36.606258734732769</v>
      </c>
      <c r="F5" s="59">
        <f>'SER_se-appl'!F13</f>
        <v>37.541347944690983</v>
      </c>
      <c r="G5" s="59">
        <f>'SER_se-appl'!G13</f>
        <v>38.351299649925629</v>
      </c>
      <c r="H5" s="59">
        <f>'SER_se-appl'!H13</f>
        <v>39.096213047231963</v>
      </c>
      <c r="I5" s="59">
        <f>'SER_se-appl'!I13</f>
        <v>39.413314301133497</v>
      </c>
      <c r="J5" s="59">
        <f>'SER_se-appl'!J13</f>
        <v>40.215810929973777</v>
      </c>
      <c r="K5" s="59">
        <f>'SER_se-appl'!K13</f>
        <v>40.81222811328297</v>
      </c>
      <c r="L5" s="59">
        <f>'SER_se-appl'!L13</f>
        <v>41.188845592916849</v>
      </c>
      <c r="M5" s="59">
        <f>'SER_se-appl'!M13</f>
        <v>41.530825728735813</v>
      </c>
      <c r="N5" s="59">
        <f>'SER_se-appl'!N13</f>
        <v>42.035624713500042</v>
      </c>
      <c r="O5" s="59">
        <f>'SER_se-appl'!O13</f>
        <v>42.81855998131406</v>
      </c>
      <c r="P5" s="59">
        <f>'SER_se-appl'!P13</f>
        <v>43.875737497076273</v>
      </c>
      <c r="Q5" s="59">
        <f>'SER_se-appl'!Q13</f>
        <v>44.607186686973812</v>
      </c>
      <c r="R5" s="59">
        <f>'SER_se-appl'!R13</f>
        <v>43.871296593961702</v>
      </c>
      <c r="S5" s="59">
        <f>'SER_se-appl'!S13</f>
        <v>42.910812376636436</v>
      </c>
      <c r="T5" s="59">
        <f>'SER_se-appl'!T13</f>
        <v>41.737142449997371</v>
      </c>
      <c r="U5" s="59">
        <f>'SER_se-appl'!U13</f>
        <v>40.323085281456606</v>
      </c>
      <c r="V5" s="59">
        <f>'SER_se-appl'!V13</f>
        <v>38.631540004864959</v>
      </c>
      <c r="W5" s="59">
        <f>'SER_se-appl'!W13</f>
        <v>36.968825953826439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0.11916400457875131</v>
      </c>
      <c r="C6" s="202">
        <f>'SER_se-appl'!C69</f>
        <v>0.12370311371172885</v>
      </c>
      <c r="D6" s="202">
        <f>'SER_se-appl'!D69</f>
        <v>0.12893202805296866</v>
      </c>
      <c r="E6" s="202">
        <f>'SER_se-appl'!E69</f>
        <v>0.1347302440042546</v>
      </c>
      <c r="F6" s="202">
        <f>'SER_se-appl'!F69</f>
        <v>0.14142051615463072</v>
      </c>
      <c r="G6" s="202">
        <f>'SER_se-appl'!G69</f>
        <v>0.14797007991633385</v>
      </c>
      <c r="H6" s="202">
        <f>'SER_se-appl'!H69</f>
        <v>0.15501224607926387</v>
      </c>
      <c r="I6" s="202">
        <f>'SER_se-appl'!I69</f>
        <v>0.16085788729591827</v>
      </c>
      <c r="J6" s="202">
        <f>'SER_se-appl'!J69</f>
        <v>0.16716251205193802</v>
      </c>
      <c r="K6" s="202">
        <f>'SER_se-appl'!K69</f>
        <v>0.1726256948387058</v>
      </c>
      <c r="L6" s="202">
        <f>'SER_se-appl'!L69</f>
        <v>0.17732869767853146</v>
      </c>
      <c r="M6" s="202">
        <f>'SER_se-appl'!M69</f>
        <v>0.18233639479314878</v>
      </c>
      <c r="N6" s="202">
        <f>'SER_se-appl'!N69</f>
        <v>0.18885268132688537</v>
      </c>
      <c r="O6" s="202">
        <f>'SER_se-appl'!O69</f>
        <v>0.19792050435603747</v>
      </c>
      <c r="P6" s="202">
        <f>'SER_se-appl'!P69</f>
        <v>0.20971120234984023</v>
      </c>
      <c r="Q6" s="202">
        <f>'SER_se-appl'!Q69</f>
        <v>0.22132963036731484</v>
      </c>
      <c r="R6" s="202">
        <f>'SER_se-appl'!R69</f>
        <v>0.22572976511978793</v>
      </c>
      <c r="S6" s="202">
        <f>'SER_se-appl'!S69</f>
        <v>0.2301422153555315</v>
      </c>
      <c r="T6" s="202">
        <f>'SER_se-appl'!T69</f>
        <v>0.23401523466559765</v>
      </c>
      <c r="U6" s="202">
        <f>'SER_se-appl'!U69</f>
        <v>0.23723789753214825</v>
      </c>
      <c r="V6" s="202">
        <f>'SER_se-appl'!V69</f>
        <v>0.24029688286729756</v>
      </c>
      <c r="W6" s="202">
        <f>'SER_se-appl'!W69</f>
        <v>0.24325722021186649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166.97856141597526</v>
      </c>
      <c r="C8" s="34">
        <f>'SER_se-appl'!C21</f>
        <v>172.28380052859902</v>
      </c>
      <c r="D8" s="34">
        <f>'SER_se-appl'!D21</f>
        <v>178.37875013156267</v>
      </c>
      <c r="E8" s="34">
        <f>'SER_se-appl'!E21</f>
        <v>185.27968425221087</v>
      </c>
      <c r="F8" s="34">
        <f>'SER_se-appl'!F21</f>
        <v>193.21578019626421</v>
      </c>
      <c r="G8" s="34">
        <f>'SER_se-appl'!G21</f>
        <v>201.06914309431025</v>
      </c>
      <c r="H8" s="34">
        <f>'SER_se-appl'!H21</f>
        <v>209.3750407792617</v>
      </c>
      <c r="I8" s="34">
        <f>'SER_se-appl'!I21</f>
        <v>216.01927400743455</v>
      </c>
      <c r="J8" s="34">
        <f>'SER_se-appl'!J21</f>
        <v>223.73699263079592</v>
      </c>
      <c r="K8" s="34">
        <f>'SER_se-appl'!K21</f>
        <v>230.58304562385288</v>
      </c>
      <c r="L8" s="34">
        <f>'SER_se-appl'!L21</f>
        <v>236.43057932780923</v>
      </c>
      <c r="M8" s="34">
        <f>'SER_se-appl'!M21</f>
        <v>242.44541070065821</v>
      </c>
      <c r="N8" s="34">
        <f>'SER_se-appl'!N21</f>
        <v>250.27078378997106</v>
      </c>
      <c r="O8" s="34">
        <f>'SER_se-appl'!O21</f>
        <v>261.28950391772742</v>
      </c>
      <c r="P8" s="34">
        <f>'SER_se-appl'!P21</f>
        <v>275.94198456476443</v>
      </c>
      <c r="Q8" s="34">
        <f>'SER_se-appl'!Q21</f>
        <v>291.01969108107124</v>
      </c>
      <c r="R8" s="34">
        <f>'SER_se-appl'!R21</f>
        <v>297.04773003079424</v>
      </c>
      <c r="S8" s="34">
        <f>'SER_se-appl'!S21</f>
        <v>302.7831534992747</v>
      </c>
      <c r="T8" s="34">
        <f>'SER_se-appl'!T21</f>
        <v>308.69721855013381</v>
      </c>
      <c r="U8" s="34">
        <f>'SER_se-appl'!U21</f>
        <v>314.29751140854063</v>
      </c>
      <c r="V8" s="34">
        <f>'SER_se-appl'!V21</f>
        <v>319.34879020544963</v>
      </c>
      <c r="W8" s="34">
        <f>'SER_se-appl'!W21</f>
        <v>323.54864437275683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26.25176949787334</v>
      </c>
      <c r="D9" s="36">
        <f>'SER_se-appl'!D29</f>
        <v>27.943120906705161</v>
      </c>
      <c r="E9" s="36">
        <f>'SER_se-appl'!E29</f>
        <v>29.689557369383266</v>
      </c>
      <c r="F9" s="36">
        <f>'SER_se-appl'!F29</f>
        <v>31.705652780320662</v>
      </c>
      <c r="G9" s="36">
        <f>'SER_se-appl'!G29</f>
        <v>32.646077491890736</v>
      </c>
      <c r="H9" s="36">
        <f>'SER_se-appl'!H29</f>
        <v>34.165811740815116</v>
      </c>
      <c r="I9" s="36">
        <f>'SER_se-appl'!I29</f>
        <v>33.617284220446294</v>
      </c>
      <c r="J9" s="36">
        <f>'SER_se-appl'!J29</f>
        <v>33.969488121234718</v>
      </c>
      <c r="K9" s="36">
        <f>'SER_se-appl'!K29</f>
        <v>34.789173899762119</v>
      </c>
      <c r="L9" s="36">
        <f>'SER_se-appl'!L29</f>
        <v>35.53709107333961</v>
      </c>
      <c r="M9" s="36">
        <f>'SER_se-appl'!M29</f>
        <v>37.72048415316965</v>
      </c>
      <c r="N9" s="36">
        <f>'SER_se-appl'!N29</f>
        <v>40.471450581203584</v>
      </c>
      <c r="O9" s="36">
        <f>'SER_se-appl'!O29</f>
        <v>45.184531868571469</v>
      </c>
      <c r="P9" s="36">
        <f>'SER_se-appl'!P29</f>
        <v>48.269764867483303</v>
      </c>
      <c r="Q9" s="36">
        <f>'SER_se-appl'!Q29</f>
        <v>49.047194637541537</v>
      </c>
      <c r="R9" s="36">
        <f>'SER_se-appl'!R29</f>
        <v>40.817212849485145</v>
      </c>
      <c r="S9" s="36">
        <f>'SER_se-appl'!S29</f>
        <v>41.272514541820101</v>
      </c>
      <c r="T9" s="36">
        <f>'SER_se-appl'!T29</f>
        <v>43.634549204028758</v>
      </c>
      <c r="U9" s="36">
        <f>'SER_se-appl'!U29</f>
        <v>46.07174343961043</v>
      </c>
      <c r="V9" s="36">
        <f>'SER_se-appl'!V29</f>
        <v>50.235810665480471</v>
      </c>
      <c r="W9" s="36">
        <f>'SER_se-appl'!W29</f>
        <v>52.469619034790526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20.946530385249588</v>
      </c>
      <c r="D10" s="38">
        <f>'SER_se-appl'!D37</f>
        <v>21.848171303741509</v>
      </c>
      <c r="E10" s="38">
        <f>'SER_se-appl'!E37</f>
        <v>22.788623248735064</v>
      </c>
      <c r="F10" s="38">
        <f>'SER_se-appl'!F37</f>
        <v>23.769556836267327</v>
      </c>
      <c r="G10" s="38">
        <f>'SER_se-appl'!G37</f>
        <v>24.792714593844693</v>
      </c>
      <c r="H10" s="38">
        <f>'SER_se-appl'!H37</f>
        <v>25.859914055863669</v>
      </c>
      <c r="I10" s="38">
        <f>'SER_se-appl'!I37</f>
        <v>26.973050992273443</v>
      </c>
      <c r="J10" s="38">
        <f>'SER_se-appl'!J37</f>
        <v>26.25176949787334</v>
      </c>
      <c r="K10" s="38">
        <f>'SER_se-appl'!K37</f>
        <v>27.943120906705161</v>
      </c>
      <c r="L10" s="38">
        <f>'SER_se-appl'!L37</f>
        <v>29.689557369383266</v>
      </c>
      <c r="M10" s="38">
        <f>'SER_se-appl'!M37</f>
        <v>31.70565278032069</v>
      </c>
      <c r="N10" s="38">
        <f>'SER_se-appl'!N37</f>
        <v>32.646077491890708</v>
      </c>
      <c r="O10" s="38">
        <f>'SER_se-appl'!O37</f>
        <v>34.165811740815116</v>
      </c>
      <c r="P10" s="38">
        <f>'SER_se-appl'!P37</f>
        <v>33.617284220446322</v>
      </c>
      <c r="Q10" s="38">
        <f>'SER_se-appl'!Q37</f>
        <v>33.969488121234747</v>
      </c>
      <c r="R10" s="38">
        <f>'SER_se-appl'!R37</f>
        <v>34.789173899762147</v>
      </c>
      <c r="S10" s="38">
        <f>'SER_se-appl'!S37</f>
        <v>35.537091073339639</v>
      </c>
      <c r="T10" s="38">
        <f>'SER_se-appl'!T37</f>
        <v>37.72048415316965</v>
      </c>
      <c r="U10" s="38">
        <f>'SER_se-appl'!U37</f>
        <v>40.471450581203612</v>
      </c>
      <c r="V10" s="38">
        <f>'SER_se-appl'!V37</f>
        <v>45.184531868571469</v>
      </c>
      <c r="W10" s="38">
        <f>'SER_se-appl'!W37</f>
        <v>48.269764867483332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3871.0178920082976</v>
      </c>
      <c r="C12" s="205">
        <f>'SER_se-appl'!C45</f>
        <v>3873.7112390359348</v>
      </c>
      <c r="D12" s="205">
        <f>'SER_se-appl'!D45</f>
        <v>3877.3205975657152</v>
      </c>
      <c r="E12" s="205">
        <f>'SER_se-appl'!E45</f>
        <v>3881.9885296590919</v>
      </c>
      <c r="F12" s="205">
        <f>'SER_se-appl'!F45</f>
        <v>3883.9419230873982</v>
      </c>
      <c r="G12" s="205">
        <f>'SER_se-appl'!G45</f>
        <v>3887.7646482794767</v>
      </c>
      <c r="H12" s="205">
        <f>'SER_se-appl'!H45</f>
        <v>3891.1015609488109</v>
      </c>
      <c r="I12" s="205">
        <f>'SER_se-appl'!I45</f>
        <v>3896.0707621916627</v>
      </c>
      <c r="J12" s="205">
        <f>'SER_se-appl'!J45</f>
        <v>3893.8522179378456</v>
      </c>
      <c r="K12" s="205">
        <f>'SER_se-appl'!K45</f>
        <v>3891.4673899786158</v>
      </c>
      <c r="L12" s="205">
        <f>'SER_se-appl'!L45</f>
        <v>3890.8940290853297</v>
      </c>
      <c r="M12" s="205">
        <f>'SER_se-appl'!M45</f>
        <v>3890.8067233307124</v>
      </c>
      <c r="N12" s="205">
        <f>'SER_se-appl'!N45</f>
        <v>3886.3773131877638</v>
      </c>
      <c r="O12" s="205">
        <f>'SER_se-appl'!O45</f>
        <v>3869.6461289927984</v>
      </c>
      <c r="P12" s="205">
        <f>'SER_se-appl'!P45</f>
        <v>3854.3379702917896</v>
      </c>
      <c r="Q12" s="205">
        <f>'SER_se-appl'!Q45</f>
        <v>3839.5162766260628</v>
      </c>
      <c r="R12" s="205">
        <f>'SER_se-appl'!R45</f>
        <v>3907.3037861157177</v>
      </c>
      <c r="S12" s="205">
        <f>'SER_se-appl'!S45</f>
        <v>3816.5183561878885</v>
      </c>
      <c r="T12" s="205">
        <f>'SER_se-appl'!T45</f>
        <v>3783.4285114533018</v>
      </c>
      <c r="U12" s="205">
        <f>'SER_se-appl'!U45</f>
        <v>3728.9213483267522</v>
      </c>
      <c r="V12" s="205">
        <f>'SER_se-appl'!V45</f>
        <v>3686.9151568241391</v>
      </c>
      <c r="W12" s="205">
        <f>'SER_se-appl'!W45</f>
        <v>3643.7793874176359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204.99414285235056</v>
      </c>
      <c r="C14" s="59">
        <f>'SER_se-appl'!C53</f>
        <v>202.86829044245493</v>
      </c>
      <c r="D14" s="59">
        <f>'SER_se-appl'!D53</f>
        <v>200.3901679922339</v>
      </c>
      <c r="E14" s="59">
        <f>'SER_se-appl'!E53</f>
        <v>197.57297667294554</v>
      </c>
      <c r="F14" s="59">
        <f>'SER_se-appl'!F53</f>
        <v>194.29752531888096</v>
      </c>
      <c r="G14" s="59">
        <f>'SER_se-appl'!G53</f>
        <v>190.73687319559116</v>
      </c>
      <c r="H14" s="59">
        <f>'SER_se-appl'!H53</f>
        <v>186.72814534971252</v>
      </c>
      <c r="I14" s="59">
        <f>'SER_se-appl'!I53</f>
        <v>182.45276715343948</v>
      </c>
      <c r="J14" s="59">
        <f>'SER_se-appl'!J53</f>
        <v>179.74591710158856</v>
      </c>
      <c r="K14" s="59">
        <f>'SER_se-appl'!K53</f>
        <v>176.99578910003393</v>
      </c>
      <c r="L14" s="59">
        <f>'SER_se-appl'!L53</f>
        <v>174.21116045995396</v>
      </c>
      <c r="M14" s="59">
        <f>'SER_se-appl'!M53</f>
        <v>171.29969838865281</v>
      </c>
      <c r="N14" s="59">
        <f>'SER_se-appl'!N53</f>
        <v>167.96057484990587</v>
      </c>
      <c r="O14" s="59">
        <f>'SER_se-appl'!O53</f>
        <v>163.87401460563987</v>
      </c>
      <c r="P14" s="59">
        <f>'SER_se-appl'!P53</f>
        <v>159.00348606349357</v>
      </c>
      <c r="Q14" s="59">
        <f>'SER_se-appl'!Q53</f>
        <v>153.27892941288053</v>
      </c>
      <c r="R14" s="59">
        <f>'SER_se-appl'!R53</f>
        <v>147.69106833239783</v>
      </c>
      <c r="S14" s="59">
        <f>'SER_se-appl'!S53</f>
        <v>141.72126778096731</v>
      </c>
      <c r="T14" s="59">
        <f>'SER_se-appl'!T53</f>
        <v>135.20414160524442</v>
      </c>
      <c r="U14" s="59">
        <f>'SER_se-appl'!U53</f>
        <v>128.29591014178447</v>
      </c>
      <c r="V14" s="59">
        <f>'SER_se-appl'!V53</f>
        <v>120.9697396380045</v>
      </c>
      <c r="W14" s="59">
        <f>'SER_se-appl'!W53</f>
        <v>114.26048786418362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191.04270492854221</v>
      </c>
      <c r="D15" s="63">
        <f>'SER_se-appl'!D61</f>
        <v>188.71101720707372</v>
      </c>
      <c r="E15" s="63">
        <f>'SER_se-appl'!E61</f>
        <v>186.34313911964969</v>
      </c>
      <c r="F15" s="63">
        <f>'SER_se-appl'!F61</f>
        <v>183.17582608467313</v>
      </c>
      <c r="G15" s="63">
        <f>'SER_se-appl'!G61</f>
        <v>180.49068785817983</v>
      </c>
      <c r="H15" s="63">
        <f>'SER_se-appl'!H61</f>
        <v>176.9618225168887</v>
      </c>
      <c r="I15" s="63">
        <f>'SER_se-appl'!I61</f>
        <v>173.91109537097995</v>
      </c>
      <c r="J15" s="63">
        <f>'SER_se-appl'!J61</f>
        <v>171.262683208873</v>
      </c>
      <c r="K15" s="63">
        <f>'SER_se-appl'!K61</f>
        <v>168.71892303237195</v>
      </c>
      <c r="L15" s="63">
        <f>'SER_se-appl'!L61</f>
        <v>166.27874202541989</v>
      </c>
      <c r="M15" s="63">
        <f>'SER_se-appl'!M61</f>
        <v>163.03314799556347</v>
      </c>
      <c r="N15" s="63">
        <f>'SER_se-appl'!N61</f>
        <v>158.06480556736165</v>
      </c>
      <c r="O15" s="63">
        <f>'SER_se-appl'!O61</f>
        <v>151.13533987916668</v>
      </c>
      <c r="P15" s="63">
        <f>'SER_se-appl'!P61</f>
        <v>143.021128379023</v>
      </c>
      <c r="Q15" s="63">
        <f>'SER_se-appl'!Q61</f>
        <v>133.52761398833019</v>
      </c>
      <c r="R15" s="63">
        <f>'SER_se-appl'!R61</f>
        <v>125.77296444694416</v>
      </c>
      <c r="S15" s="63">
        <f>'SER_se-appl'!S61</f>
        <v>119.90009904965193</v>
      </c>
      <c r="T15" s="63">
        <f>'SER_se-appl'!T61</f>
        <v>114.03851854872649</v>
      </c>
      <c r="U15" s="63">
        <f>'SER_se-appl'!U61</f>
        <v>108.15858976854032</v>
      </c>
      <c r="V15" s="63">
        <f>'SER_se-appl'!V61</f>
        <v>102.26637604907066</v>
      </c>
      <c r="W15" s="63">
        <f>'SER_se-appl'!W61</f>
        <v>99.884128821748234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18.641878473690834</v>
      </c>
      <c r="C3" s="199">
        <f>'SER_se-appl'!C6</f>
        <v>19.37955420764429</v>
      </c>
      <c r="D3" s="199">
        <f>'SER_se-appl'!D6</f>
        <v>20.096490691807112</v>
      </c>
      <c r="E3" s="199">
        <f>'SER_se-appl'!E6</f>
        <v>20.926361113001303</v>
      </c>
      <c r="F3" s="199">
        <f>'SER_se-appl'!F6</f>
        <v>21.512071283389592</v>
      </c>
      <c r="G3" s="199">
        <f>'SER_se-appl'!G6</f>
        <v>22.498278983777713</v>
      </c>
      <c r="H3" s="199">
        <f>'SER_se-appl'!H6</f>
        <v>23.563121208212493</v>
      </c>
      <c r="I3" s="199">
        <f>'SER_se-appl'!I6</f>
        <v>24.37126010299307</v>
      </c>
      <c r="J3" s="199">
        <f>'SER_se-appl'!J6</f>
        <v>23.877259729142203</v>
      </c>
      <c r="K3" s="199">
        <f>'SER_se-appl'!K6</f>
        <v>23.669166347008677</v>
      </c>
      <c r="L3" s="199">
        <f>'SER_se-appl'!L6</f>
        <v>23.797915180464056</v>
      </c>
      <c r="M3" s="199">
        <f>'SER_se-appl'!M6</f>
        <v>24.357018200037697</v>
      </c>
      <c r="N3" s="199">
        <f>'SER_se-appl'!N6</f>
        <v>24.436765663674564</v>
      </c>
      <c r="O3" s="199">
        <f>'SER_se-appl'!O6</f>
        <v>24.44707722536641</v>
      </c>
      <c r="P3" s="199">
        <f>'SER_se-appl'!P6</f>
        <v>25.025512670554019</v>
      </c>
      <c r="Q3" s="199">
        <f>'SER_se-appl'!Q6</f>
        <v>25.844030357369654</v>
      </c>
      <c r="R3" s="199">
        <f>'SER_se-appl'!R6</f>
        <v>25.700765152667174</v>
      </c>
      <c r="S3" s="199">
        <f>'SER_se-appl'!S6</f>
        <v>24.560948734755929</v>
      </c>
      <c r="T3" s="199">
        <f>'SER_se-appl'!T6</f>
        <v>23.36537710813564</v>
      </c>
      <c r="U3" s="199">
        <f>'SER_se-appl'!U6</f>
        <v>21.958896525462023</v>
      </c>
      <c r="V3" s="199">
        <f>'SER_se-appl'!V6</f>
        <v>20.529800553529711</v>
      </c>
      <c r="W3" s="199">
        <f>'SER_se-appl'!W6</f>
        <v>21.437506151915908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95.281199584547494</v>
      </c>
      <c r="C5" s="59">
        <f>'SER_se-appl'!C14</f>
        <v>98.100558401955794</v>
      </c>
      <c r="D5" s="59">
        <f>'SER_se-appl'!D14</f>
        <v>100.82115515427924</v>
      </c>
      <c r="E5" s="59">
        <f>'SER_se-appl'!E14</f>
        <v>103.89719543663576</v>
      </c>
      <c r="F5" s="59">
        <f>'SER_se-appl'!F14</f>
        <v>106.12652205734737</v>
      </c>
      <c r="G5" s="59">
        <f>'SER_se-appl'!G14</f>
        <v>110.15819684978129</v>
      </c>
      <c r="H5" s="59">
        <f>'SER_se-appl'!H14</f>
        <v>114.94509922161079</v>
      </c>
      <c r="I5" s="59">
        <f>'SER_se-appl'!I14</f>
        <v>118.49042378651085</v>
      </c>
      <c r="J5" s="59">
        <f>'SER_se-appl'!J14</f>
        <v>115.7271198503615</v>
      </c>
      <c r="K5" s="59">
        <f>'SER_se-appl'!K14</f>
        <v>114.23970418324075</v>
      </c>
      <c r="L5" s="59">
        <f>'SER_se-appl'!L14</f>
        <v>114.45894052590664</v>
      </c>
      <c r="M5" s="59">
        <f>'SER_se-appl'!M14</f>
        <v>116.4979534861329</v>
      </c>
      <c r="N5" s="59">
        <f>'SER_se-appl'!N14</f>
        <v>116.17846045988107</v>
      </c>
      <c r="O5" s="59">
        <f>'SER_se-appl'!O14</f>
        <v>115.63286113854225</v>
      </c>
      <c r="P5" s="59">
        <f>'SER_se-appl'!P14</f>
        <v>117.86719460872985</v>
      </c>
      <c r="Q5" s="59">
        <f>'SER_se-appl'!Q14</f>
        <v>121.16744806303332</v>
      </c>
      <c r="R5" s="59">
        <f>'SER_se-appl'!R14</f>
        <v>118.5733285038575</v>
      </c>
      <c r="S5" s="59">
        <f>'SER_se-appl'!S14</f>
        <v>115.06347995354608</v>
      </c>
      <c r="T5" s="59">
        <f>'SER_se-appl'!T14</f>
        <v>110.60096083635109</v>
      </c>
      <c r="U5" s="59">
        <f>'SER_se-appl'!U14</f>
        <v>105.28200387486974</v>
      </c>
      <c r="V5" s="59">
        <f>'SER_se-appl'!V14</f>
        <v>100.47514711002823</v>
      </c>
      <c r="W5" s="59">
        <f>'SER_se-appl'!W14</f>
        <v>93.059555801957842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156.99258316659387</v>
      </c>
      <c r="C6" s="202">
        <f>'SER_se-appl'!C70</f>
        <v>157.95986267080784</v>
      </c>
      <c r="D6" s="202">
        <f>'SER_se-appl'!D70</f>
        <v>159.22876310815599</v>
      </c>
      <c r="E6" s="202">
        <f>'SER_se-appl'!E70</f>
        <v>161.03016650884192</v>
      </c>
      <c r="F6" s="202">
        <f>'SER_se-appl'!F70</f>
        <v>163.64465231916017</v>
      </c>
      <c r="G6" s="202">
        <f>'SER_se-appl'!G70</f>
        <v>165.83117188774861</v>
      </c>
      <c r="H6" s="202">
        <f>'SER_se-appl'!H70</f>
        <v>168.25645113070595</v>
      </c>
      <c r="I6" s="202">
        <f>'SER_se-appl'!I70</f>
        <v>171.71660269528383</v>
      </c>
      <c r="J6" s="202">
        <f>'SER_se-appl'!J70</f>
        <v>174.28153198413059</v>
      </c>
      <c r="K6" s="202">
        <f>'SER_se-appl'!K70</f>
        <v>178.12365559170743</v>
      </c>
      <c r="L6" s="202">
        <f>'SER_se-appl'!L70</f>
        <v>182.77014120097039</v>
      </c>
      <c r="M6" s="202">
        <f>'SER_se-appl'!M70</f>
        <v>188.26933479672965</v>
      </c>
      <c r="N6" s="202">
        <f>'SER_se-appl'!N70</f>
        <v>192.72208122563165</v>
      </c>
      <c r="O6" s="202">
        <f>'SER_se-appl'!O70</f>
        <v>199.78431670175499</v>
      </c>
      <c r="P6" s="202">
        <f>'SER_se-appl'!P70</f>
        <v>209.66640899973459</v>
      </c>
      <c r="Q6" s="202">
        <f>'SER_se-appl'!Q70</f>
        <v>222.09514639745274</v>
      </c>
      <c r="R6" s="202">
        <f>'SER_se-appl'!R70</f>
        <v>228.7116817597491</v>
      </c>
      <c r="S6" s="202">
        <f>'SER_se-appl'!S70</f>
        <v>235.42885102022436</v>
      </c>
      <c r="T6" s="202">
        <f>'SER_se-appl'!T70</f>
        <v>241.81652941341173</v>
      </c>
      <c r="U6" s="202">
        <f>'SER_se-appl'!U70</f>
        <v>247.61167332272385</v>
      </c>
      <c r="V6" s="202">
        <f>'SER_se-appl'!V70</f>
        <v>252.32406823653122</v>
      </c>
      <c r="W6" s="202">
        <f>'SER_se-appl'!W70</f>
        <v>255.07230977020944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2.0250325496466735</v>
      </c>
      <c r="C8" s="34">
        <f>'SER_se-appl'!C22</f>
        <v>2.1077390136321394</v>
      </c>
      <c r="D8" s="34">
        <f>'SER_se-appl'!D22</f>
        <v>2.2006116023342615</v>
      </c>
      <c r="E8" s="34">
        <f>'SER_se-appl'!E22</f>
        <v>2.3101763374127242</v>
      </c>
      <c r="F8" s="34">
        <f>'SER_se-appl'!F22</f>
        <v>2.409370364802351</v>
      </c>
      <c r="G8" s="34">
        <f>'SER_se-appl'!G22</f>
        <v>2.5632183348050943</v>
      </c>
      <c r="H8" s="34">
        <f>'SER_se-appl'!H22</f>
        <v>2.7528706074209683</v>
      </c>
      <c r="I8" s="34">
        <f>'SER_se-appl'!I22</f>
        <v>2.9031557040625047</v>
      </c>
      <c r="J8" s="34">
        <f>'SER_se-appl'!J22</f>
        <v>2.8907985027829328</v>
      </c>
      <c r="K8" s="34">
        <f>'SER_se-appl'!K22</f>
        <v>2.920786247424902</v>
      </c>
      <c r="L8" s="34">
        <f>'SER_se-appl'!L22</f>
        <v>3.0056976880102133</v>
      </c>
      <c r="M8" s="34">
        <f>'SER_se-appl'!M22</f>
        <v>3.1774509275940086</v>
      </c>
      <c r="N8" s="34">
        <f>'SER_se-appl'!N22</f>
        <v>3.3043119811680377</v>
      </c>
      <c r="O8" s="34">
        <f>'SER_se-appl'!O22</f>
        <v>3.4414394268229636</v>
      </c>
      <c r="P8" s="34">
        <f>'SER_se-appl'!P22</f>
        <v>3.6520100076794244</v>
      </c>
      <c r="Q8" s="34">
        <f>'SER_se-appl'!Q22</f>
        <v>3.9547561206048218</v>
      </c>
      <c r="R8" s="34">
        <f>'SER_se-appl'!R22</f>
        <v>4.1127379648307141</v>
      </c>
      <c r="S8" s="34">
        <f>'SER_se-appl'!S22</f>
        <v>4.30524818751576</v>
      </c>
      <c r="T8" s="34">
        <f>'SER_se-appl'!T22</f>
        <v>4.4792262323816168</v>
      </c>
      <c r="U8" s="34">
        <f>'SER_se-appl'!U22</f>
        <v>4.633409578910797</v>
      </c>
      <c r="V8" s="34">
        <f>'SER_se-appl'!V22</f>
        <v>4.7661201674719527</v>
      </c>
      <c r="W8" s="34">
        <f>'SER_se-appl'!W22</f>
        <v>4.8591063398708645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0.3989478940499398</v>
      </c>
      <c r="D9" s="36">
        <f>'SER_se-appl'!D30</f>
        <v>0.41732944998072341</v>
      </c>
      <c r="E9" s="36">
        <f>'SER_se-appl'!E30</f>
        <v>0.44245045093580382</v>
      </c>
      <c r="F9" s="36">
        <f>'SER_se-appl'!F30</f>
        <v>0.44072756557762838</v>
      </c>
      <c r="G9" s="36">
        <f>'SER_se-appl'!G30</f>
        <v>0.50425398669468136</v>
      </c>
      <c r="H9" s="36">
        <f>'SER_se-appl'!H30</f>
        <v>0.54916126018219158</v>
      </c>
      <c r="I9" s="36">
        <f>'SER_se-appl'!I30</f>
        <v>0.54923299069147591</v>
      </c>
      <c r="J9" s="36">
        <f>'SER_se-appl'!J30</f>
        <v>0.40497224870115156</v>
      </c>
      <c r="K9" s="36">
        <f>'SER_se-appl'!K30</f>
        <v>0.472438195577773</v>
      </c>
      <c r="L9" s="36">
        <f>'SER_se-appl'!L30</f>
        <v>0.5256390061629399</v>
      </c>
      <c r="M9" s="36">
        <f>'SER_se-appl'!M30</f>
        <v>0.67600722627847665</v>
      </c>
      <c r="N9" s="36">
        <f>'SER_se-appl'!N30</f>
        <v>0.67602231375622068</v>
      </c>
      <c r="O9" s="36">
        <f>'SER_se-appl'!O30</f>
        <v>0.68636043634640176</v>
      </c>
      <c r="P9" s="36">
        <f>'SER_se-appl'!P30</f>
        <v>0.61554282955761241</v>
      </c>
      <c r="Q9" s="36">
        <f>'SER_se-appl'!Q30</f>
        <v>0.77518430850317044</v>
      </c>
      <c r="R9" s="36">
        <f>'SER_se-appl'!R30</f>
        <v>0.68362085038883214</v>
      </c>
      <c r="S9" s="36">
        <f>'SER_se-appl'!S30</f>
        <v>0.86851744896352256</v>
      </c>
      <c r="T9" s="36">
        <f>'SER_se-appl'!T30</f>
        <v>0.85000035862207746</v>
      </c>
      <c r="U9" s="36">
        <f>'SER_se-appl'!U30</f>
        <v>0.84054378287558196</v>
      </c>
      <c r="V9" s="36">
        <f>'SER_se-appl'!V30</f>
        <v>0.74825341811876811</v>
      </c>
      <c r="W9" s="36">
        <f>'SER_se-appl'!W30</f>
        <v>0.86817048090208226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0.31624143006447358</v>
      </c>
      <c r="D10" s="38">
        <f>'SER_se-appl'!D38</f>
        <v>0.32445686127860141</v>
      </c>
      <c r="E10" s="38">
        <f>'SER_se-appl'!E38</f>
        <v>0.33288571585734106</v>
      </c>
      <c r="F10" s="38">
        <f>'SER_se-appl'!F38</f>
        <v>0.34153353818800181</v>
      </c>
      <c r="G10" s="38">
        <f>'SER_se-appl'!G38</f>
        <v>0.35040601669193805</v>
      </c>
      <c r="H10" s="38">
        <f>'SER_se-appl'!H38</f>
        <v>0.35950898756631755</v>
      </c>
      <c r="I10" s="38">
        <f>'SER_se-appl'!I38</f>
        <v>0.39894789404993958</v>
      </c>
      <c r="J10" s="38">
        <f>'SER_se-appl'!J38</f>
        <v>0.41732944998072341</v>
      </c>
      <c r="K10" s="38">
        <f>'SER_se-appl'!K38</f>
        <v>0.44245045093580382</v>
      </c>
      <c r="L10" s="38">
        <f>'SER_se-appl'!L38</f>
        <v>0.4407275655776286</v>
      </c>
      <c r="M10" s="38">
        <f>'SER_se-appl'!M38</f>
        <v>0.50425398669468136</v>
      </c>
      <c r="N10" s="38">
        <f>'SER_se-appl'!N38</f>
        <v>0.54916126018219158</v>
      </c>
      <c r="O10" s="38">
        <f>'SER_se-appl'!O38</f>
        <v>0.54923299069147591</v>
      </c>
      <c r="P10" s="38">
        <f>'SER_se-appl'!P38</f>
        <v>0.40497224870115156</v>
      </c>
      <c r="Q10" s="38">
        <f>'SER_se-appl'!Q38</f>
        <v>0.472438195577773</v>
      </c>
      <c r="R10" s="38">
        <f>'SER_se-appl'!R38</f>
        <v>0.52563900616294035</v>
      </c>
      <c r="S10" s="38">
        <f>'SER_se-appl'!S38</f>
        <v>0.67600722627847709</v>
      </c>
      <c r="T10" s="38">
        <f>'SER_se-appl'!T38</f>
        <v>0.67602231375622068</v>
      </c>
      <c r="U10" s="38">
        <f>'SER_se-appl'!U38</f>
        <v>0.68636043634640131</v>
      </c>
      <c r="V10" s="38">
        <f>'SER_se-appl'!V38</f>
        <v>0.61554282955761241</v>
      </c>
      <c r="W10" s="38">
        <f>'SER_se-appl'!W38</f>
        <v>0.77518430850317088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2275.4231432260995</v>
      </c>
      <c r="C12" s="205">
        <f>'SER_se-appl'!C46</f>
        <v>2297.4814731575443</v>
      </c>
      <c r="D12" s="205">
        <f>'SER_se-appl'!D46</f>
        <v>2318.1859639285899</v>
      </c>
      <c r="E12" s="205">
        <f>'SER_se-appl'!E46</f>
        <v>2342.4460951174806</v>
      </c>
      <c r="F12" s="205">
        <f>'SER_se-appl'!F46</f>
        <v>2357.4256856417924</v>
      </c>
      <c r="G12" s="205">
        <f>'SER_se-appl'!G46</f>
        <v>2375.2656821184551</v>
      </c>
      <c r="H12" s="205">
        <f>'SER_se-appl'!H46</f>
        <v>2384.0868510902924</v>
      </c>
      <c r="I12" s="205">
        <f>'SER_se-appl'!I46</f>
        <v>2392.0730970503664</v>
      </c>
      <c r="J12" s="205">
        <f>'SER_se-appl'!J46</f>
        <v>2399.5458541523221</v>
      </c>
      <c r="K12" s="205">
        <f>'SER_se-appl'!K46</f>
        <v>2409.6036188449275</v>
      </c>
      <c r="L12" s="205">
        <f>'SER_se-appl'!L46</f>
        <v>2418.0702029663894</v>
      </c>
      <c r="M12" s="205">
        <f>'SER_se-appl'!M46</f>
        <v>2431.5630720513655</v>
      </c>
      <c r="N12" s="205">
        <f>'SER_se-appl'!N46</f>
        <v>2446.2330069064346</v>
      </c>
      <c r="O12" s="205">
        <f>'SER_se-appl'!O46</f>
        <v>2458.8123594932235</v>
      </c>
      <c r="P12" s="205">
        <f>'SER_se-appl'!P46</f>
        <v>2469.2766577222569</v>
      </c>
      <c r="Q12" s="205">
        <f>'SER_se-appl'!Q46</f>
        <v>2480.5843307011764</v>
      </c>
      <c r="R12" s="205">
        <f>'SER_se-appl'!R46</f>
        <v>2520.8021272321394</v>
      </c>
      <c r="S12" s="205">
        <f>'SER_se-appl'!S46</f>
        <v>2482.4890912436576</v>
      </c>
      <c r="T12" s="205">
        <f>'SER_se-appl'!T46</f>
        <v>2456.934675004245</v>
      </c>
      <c r="U12" s="205">
        <f>'SER_se-appl'!U46</f>
        <v>2425.6943940262677</v>
      </c>
      <c r="V12" s="205">
        <f>'SER_se-appl'!V46</f>
        <v>2376.3247659253261</v>
      </c>
      <c r="W12" s="205">
        <f>'SER_se-appl'!W46</f>
        <v>2679.125151611101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47.051687935175217</v>
      </c>
      <c r="C14" s="59">
        <f>'SER_se-appl'!C54</f>
        <v>46.543029173666532</v>
      </c>
      <c r="D14" s="59">
        <f>'SER_se-appl'!D54</f>
        <v>45.815061161785621</v>
      </c>
      <c r="E14" s="59">
        <f>'SER_se-appl'!E54</f>
        <v>44.97370774431667</v>
      </c>
      <c r="F14" s="59">
        <f>'SER_se-appl'!F54</f>
        <v>44.047409069071577</v>
      </c>
      <c r="G14" s="59">
        <f>'SER_se-appl'!G54</f>
        <v>42.976517198702723</v>
      </c>
      <c r="H14" s="59">
        <f>'SER_se-appl'!H54</f>
        <v>41.754632023659589</v>
      </c>
      <c r="I14" s="59">
        <f>'SER_se-appl'!I54</f>
        <v>40.814353711963278</v>
      </c>
      <c r="J14" s="59">
        <f>'SER_se-appl'!J54</f>
        <v>40.032925068610822</v>
      </c>
      <c r="K14" s="59">
        <f>'SER_se-appl'!K54</f>
        <v>39.112654780526874</v>
      </c>
      <c r="L14" s="59">
        <f>'SER_se-appl'!L54</f>
        <v>38.080656275741099</v>
      </c>
      <c r="M14" s="59">
        <f>'SER_se-appl'!M54</f>
        <v>36.663966223499187</v>
      </c>
      <c r="N14" s="59">
        <f>'SER_se-appl'!N54</f>
        <v>35.159652333679844</v>
      </c>
      <c r="O14" s="59">
        <f>'SER_se-appl'!O54</f>
        <v>33.600144241181994</v>
      </c>
      <c r="P14" s="59">
        <f>'SER_se-appl'!P54</f>
        <v>32.274608875901059</v>
      </c>
      <c r="Q14" s="59">
        <f>'SER_se-appl'!Q54</f>
        <v>30.638412172051343</v>
      </c>
      <c r="R14" s="59">
        <f>'SER_se-appl'!R54</f>
        <v>28.83075204834698</v>
      </c>
      <c r="S14" s="59">
        <f>'SER_se-appl'!S54</f>
        <v>26.726329108552669</v>
      </c>
      <c r="T14" s="59">
        <f>'SER_se-appl'!T54</f>
        <v>24.69197917193485</v>
      </c>
      <c r="U14" s="59">
        <f>'SER_se-appl'!U54</f>
        <v>22.722360732810287</v>
      </c>
      <c r="V14" s="59">
        <f>'SER_se-appl'!V54</f>
        <v>21.081119145034545</v>
      </c>
      <c r="W14" s="59">
        <f>'SER_se-appl'!W54</f>
        <v>19.151578354720879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44.364319654134853</v>
      </c>
      <c r="D15" s="63">
        <f>'SER_se-appl'!D62</f>
        <v>43.09985729131138</v>
      </c>
      <c r="E15" s="63">
        <f>'SER_se-appl'!E62</f>
        <v>42.352482777042916</v>
      </c>
      <c r="F15" s="63">
        <f>'SER_se-appl'!F62</f>
        <v>41.520107903726256</v>
      </c>
      <c r="G15" s="63">
        <f>'SER_se-appl'!G62</f>
        <v>40.691536173921541</v>
      </c>
      <c r="H15" s="63">
        <f>'SER_se-appl'!H62</f>
        <v>39.519187965827371</v>
      </c>
      <c r="I15" s="63">
        <f>'SER_se-appl'!I62</f>
        <v>38.680080807107352</v>
      </c>
      <c r="J15" s="63">
        <f>'SER_se-appl'!J62</f>
        <v>37.591553125694503</v>
      </c>
      <c r="K15" s="63">
        <f>'SER_se-appl'!K62</f>
        <v>36.51580163778862</v>
      </c>
      <c r="L15" s="63">
        <f>'SER_se-appl'!L62</f>
        <v>35.230057519466598</v>
      </c>
      <c r="M15" s="63">
        <f>'SER_se-appl'!M62</f>
        <v>33.369291663998368</v>
      </c>
      <c r="N15" s="63">
        <f>'SER_se-appl'!N62</f>
        <v>31.630485567299942</v>
      </c>
      <c r="O15" s="63">
        <f>'SER_se-appl'!O62</f>
        <v>30.157299349477885</v>
      </c>
      <c r="P15" s="63">
        <f>'SER_se-appl'!P62</f>
        <v>28.361745817453183</v>
      </c>
      <c r="Q15" s="63">
        <f>'SER_se-appl'!Q62</f>
        <v>26.512034189417751</v>
      </c>
      <c r="R15" s="63">
        <f>'SER_se-appl'!R62</f>
        <v>23.293866553898123</v>
      </c>
      <c r="S15" s="63">
        <f>'SER_se-appl'!S62</f>
        <v>21.931665014994557</v>
      </c>
      <c r="T15" s="63">
        <f>'SER_se-appl'!T62</f>
        <v>19.906338567519267</v>
      </c>
      <c r="U15" s="63">
        <f>'SER_se-appl'!U62</f>
        <v>18.297464679876029</v>
      </c>
      <c r="V15" s="63">
        <f>'SER_se-appl'!V62</f>
        <v>16.907390197607285</v>
      </c>
      <c r="W15" s="63">
        <f>'SER_se-appl'!W62</f>
        <v>15.130808834247141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11.138277828288846</v>
      </c>
      <c r="C3" s="199">
        <f>'SER_se-appl'!C7</f>
        <v>11.859087526257028</v>
      </c>
      <c r="D3" s="199">
        <f>'SER_se-appl'!D7</f>
        <v>12.436521517849238</v>
      </c>
      <c r="E3" s="199">
        <f>'SER_se-appl'!E7</f>
        <v>13.002787824742533</v>
      </c>
      <c r="F3" s="199">
        <f>'SER_se-appl'!F7</f>
        <v>13.60343317279694</v>
      </c>
      <c r="G3" s="199">
        <f>'SER_se-appl'!G7</f>
        <v>14.074379445122045</v>
      </c>
      <c r="H3" s="199">
        <f>'SER_se-appl'!H7</f>
        <v>14.429571049016172</v>
      </c>
      <c r="I3" s="199">
        <f>'SER_se-appl'!I7</f>
        <v>14.82392039591476</v>
      </c>
      <c r="J3" s="199">
        <f>'SER_se-appl'!J7</f>
        <v>15.073018041726213</v>
      </c>
      <c r="K3" s="199">
        <f>'SER_se-appl'!K7</f>
        <v>15.314783193897807</v>
      </c>
      <c r="L3" s="199">
        <f>'SER_se-appl'!L7</f>
        <v>15.394996189437443</v>
      </c>
      <c r="M3" s="199">
        <f>'SER_se-appl'!M7</f>
        <v>15.336549358063426</v>
      </c>
      <c r="N3" s="199">
        <f>'SER_se-appl'!N7</f>
        <v>15.308135189653431</v>
      </c>
      <c r="O3" s="199">
        <f>'SER_se-appl'!O7</f>
        <v>15.31265680283008</v>
      </c>
      <c r="P3" s="199">
        <f>'SER_se-appl'!P7</f>
        <v>15.371121010355715</v>
      </c>
      <c r="Q3" s="199">
        <f>'SER_se-appl'!Q7</f>
        <v>15.523707148403052</v>
      </c>
      <c r="R3" s="199">
        <f>'SER_se-appl'!R7</f>
        <v>15.571343255994575</v>
      </c>
      <c r="S3" s="199">
        <f>'SER_se-appl'!S7</f>
        <v>15.586219398229025</v>
      </c>
      <c r="T3" s="199">
        <f>'SER_se-appl'!T7</f>
        <v>15.628561073411209</v>
      </c>
      <c r="U3" s="199">
        <f>'SER_se-appl'!U7</f>
        <v>15.661212467569211</v>
      </c>
      <c r="V3" s="199">
        <f>'SER_se-appl'!V7</f>
        <v>15.695159878938989</v>
      </c>
      <c r="W3" s="199">
        <f>'SER_se-appl'!W7</f>
        <v>15.632815761158572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14.787462459246495</v>
      </c>
      <c r="C5" s="59">
        <f>'SER_se-appl'!C15</f>
        <v>15.74442784593256</v>
      </c>
      <c r="D5" s="59">
        <f>'SER_se-appl'!D15</f>
        <v>16.511043978605784</v>
      </c>
      <c r="E5" s="59">
        <f>'SER_se-appl'!E15</f>
        <v>17.262833607506355</v>
      </c>
      <c r="F5" s="59">
        <f>'SER_se-appl'!F15</f>
        <v>18.060265730551187</v>
      </c>
      <c r="G5" s="59">
        <f>'SER_se-appl'!G15</f>
        <v>18.685506044151769</v>
      </c>
      <c r="H5" s="59">
        <f>'SER_se-appl'!H15</f>
        <v>19.157067500006633</v>
      </c>
      <c r="I5" s="59">
        <f>'SER_se-appl'!I15</f>
        <v>19.680615776768114</v>
      </c>
      <c r="J5" s="59">
        <f>'SER_se-appl'!J15</f>
        <v>20.011324180967559</v>
      </c>
      <c r="K5" s="59">
        <f>'SER_se-appl'!K15</f>
        <v>20.332297779113194</v>
      </c>
      <c r="L5" s="59">
        <f>'SER_se-appl'!L15</f>
        <v>20.438790603100163</v>
      </c>
      <c r="M5" s="59">
        <f>'SER_se-appl'!M15</f>
        <v>20.361195095237171</v>
      </c>
      <c r="N5" s="59">
        <f>'SER_se-appl'!N15</f>
        <v>20.323471718683727</v>
      </c>
      <c r="O5" s="59">
        <f>'SER_se-appl'!O15</f>
        <v>20.3294747279582</v>
      </c>
      <c r="P5" s="59">
        <f>'SER_se-appl'!P15</f>
        <v>20.407093304844416</v>
      </c>
      <c r="Q5" s="59">
        <f>'SER_se-appl'!Q15</f>
        <v>20.609670563462046</v>
      </c>
      <c r="R5" s="59">
        <f>'SER_se-appl'!R15</f>
        <v>20.672913477992797</v>
      </c>
      <c r="S5" s="59">
        <f>'SER_se-appl'!S15</f>
        <v>20.692663424817763</v>
      </c>
      <c r="T5" s="59">
        <f>'SER_se-appl'!T15</f>
        <v>20.748877315499129</v>
      </c>
      <c r="U5" s="59">
        <f>'SER_se-appl'!U15</f>
        <v>20.792226141304788</v>
      </c>
      <c r="V5" s="59">
        <f>'SER_se-appl'!V15</f>
        <v>20.837295592700958</v>
      </c>
      <c r="W5" s="59">
        <f>'SER_se-appl'!W15</f>
        <v>20.754525947748199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1.5103020176155968E-2</v>
      </c>
      <c r="C6" s="202">
        <f>'SER_se-appl'!C71</f>
        <v>1.6416807742775298E-2</v>
      </c>
      <c r="D6" s="202">
        <f>'SER_se-appl'!D71</f>
        <v>1.7593331611811411E-2</v>
      </c>
      <c r="E6" s="202">
        <f>'SER_se-appl'!E71</f>
        <v>1.8792547460270027E-2</v>
      </c>
      <c r="F6" s="202">
        <f>'SER_se-appl'!F71</f>
        <v>2.0106323686655075E-2</v>
      </c>
      <c r="G6" s="202">
        <f>'SER_se-appl'!G71</f>
        <v>2.124464724245554E-2</v>
      </c>
      <c r="H6" s="202">
        <f>'SER_se-appl'!H71</f>
        <v>2.2264910186275137E-2</v>
      </c>
      <c r="I6" s="202">
        <f>'SER_se-appl'!I71</f>
        <v>2.3407310593745081E-2</v>
      </c>
      <c r="J6" s="202">
        <f>'SER_se-appl'!J71</f>
        <v>2.4306327349152515E-2</v>
      </c>
      <c r="K6" s="202">
        <f>'SER_se-appl'!K71</f>
        <v>2.5240719153193845E-2</v>
      </c>
      <c r="L6" s="202">
        <f>'SER_se-appl'!L71</f>
        <v>2.5942222893946421E-2</v>
      </c>
      <c r="M6" s="202">
        <f>'SER_se-appl'!M71</f>
        <v>2.6458924124325225E-2</v>
      </c>
      <c r="N6" s="202">
        <f>'SER_se-appl'!N71</f>
        <v>2.7011687836788544E-2</v>
      </c>
      <c r="O6" s="202">
        <f>'SER_se-appl'!O71</f>
        <v>2.768250262674574E-2</v>
      </c>
      <c r="P6" s="202">
        <f>'SER_se-appl'!P71</f>
        <v>2.8516230400530737E-2</v>
      </c>
      <c r="Q6" s="202">
        <f>'SER_se-appl'!Q71</f>
        <v>2.9447164004646757E-2</v>
      </c>
      <c r="R6" s="202">
        <f>'SER_se-appl'!R71</f>
        <v>3.0084341663699627E-2</v>
      </c>
      <c r="S6" s="202">
        <f>'SER_se-appl'!S71</f>
        <v>3.0722640519184101E-2</v>
      </c>
      <c r="T6" s="202">
        <f>'SER_se-appl'!T71</f>
        <v>3.1291071524567247E-2</v>
      </c>
      <c r="U6" s="202">
        <f>'SER_se-appl'!U71</f>
        <v>3.1776203734371809E-2</v>
      </c>
      <c r="V6" s="202">
        <f>'SER_se-appl'!V71</f>
        <v>3.2246217496493902E-2</v>
      </c>
      <c r="W6" s="202">
        <f>'SER_se-appl'!W71</f>
        <v>3.271936094262258E-2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21.163107021838549</v>
      </c>
      <c r="C8" s="34">
        <f>'SER_se-appl'!C23</f>
        <v>22.864016479518014</v>
      </c>
      <c r="D8" s="34">
        <f>'SER_se-appl'!D23</f>
        <v>24.340550218257206</v>
      </c>
      <c r="E8" s="34">
        <f>'SER_se-appl'!E23</f>
        <v>25.843323341888741</v>
      </c>
      <c r="F8" s="34">
        <f>'SER_se-appl'!F23</f>
        <v>27.470264736892496</v>
      </c>
      <c r="G8" s="34">
        <f>'SER_se-appl'!G23</f>
        <v>28.868288905410711</v>
      </c>
      <c r="H8" s="34">
        <f>'SER_se-appl'!H23</f>
        <v>30.073214188601824</v>
      </c>
      <c r="I8" s="34">
        <f>'SER_se-appl'!I23</f>
        <v>31.434145542552145</v>
      </c>
      <c r="J8" s="34">
        <f>'SER_se-appl'!J23</f>
        <v>32.532560777199691</v>
      </c>
      <c r="K8" s="34">
        <f>'SER_se-appl'!K23</f>
        <v>33.715038201687143</v>
      </c>
      <c r="L8" s="34">
        <f>'SER_se-appl'!L23</f>
        <v>34.588506362269818</v>
      </c>
      <c r="M8" s="34">
        <f>'SER_se-appl'!M23</f>
        <v>35.181373051150281</v>
      </c>
      <c r="N8" s="34">
        <f>'SER_se-appl'!N23</f>
        <v>35.79634792000541</v>
      </c>
      <c r="O8" s="34">
        <f>'SER_se-appl'!O23</f>
        <v>36.545720222761432</v>
      </c>
      <c r="P8" s="34">
        <f>'SER_se-appl'!P23</f>
        <v>37.522197769395959</v>
      </c>
      <c r="Q8" s="34">
        <f>'SER_se-appl'!Q23</f>
        <v>38.719192534789876</v>
      </c>
      <c r="R8" s="34">
        <f>'SER_se-appl'!R23</f>
        <v>39.589308906295543</v>
      </c>
      <c r="S8" s="34">
        <f>'SER_se-appl'!S23</f>
        <v>40.419781159456775</v>
      </c>
      <c r="T8" s="34">
        <f>'SER_se-appl'!T23</f>
        <v>41.277085053416968</v>
      </c>
      <c r="U8" s="34">
        <f>'SER_se-appl'!U23</f>
        <v>42.097750231370462</v>
      </c>
      <c r="V8" s="34">
        <f>'SER_se-appl'!V23</f>
        <v>42.854449143620478</v>
      </c>
      <c r="W8" s="34">
        <f>'SER_se-appl'!W23</f>
        <v>43.518974970232129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3.6242782798399382</v>
      </c>
      <c r="D9" s="36">
        <f>'SER_se-appl'!D31</f>
        <v>3.4404167579655365</v>
      </c>
      <c r="E9" s="36">
        <f>'SER_se-appl'!E31</f>
        <v>3.5080237384737174</v>
      </c>
      <c r="F9" s="36">
        <f>'SER_se-appl'!F31</f>
        <v>3.6744309801568527</v>
      </c>
      <c r="G9" s="36">
        <f>'SER_se-appl'!G31</f>
        <v>3.4886424534752507</v>
      </c>
      <c r="H9" s="36">
        <f>'SER_se-appl'!H31</f>
        <v>3.3395807388719199</v>
      </c>
      <c r="I9" s="36">
        <f>'SER_se-appl'!I31</f>
        <v>3.5405515874744324</v>
      </c>
      <c r="J9" s="36">
        <f>'SER_se-appl'!J31</f>
        <v>3.323947392422653</v>
      </c>
      <c r="K9" s="36">
        <f>'SER_se-appl'!K31</f>
        <v>3.4548886037885751</v>
      </c>
      <c r="L9" s="36">
        <f>'SER_se-appl'!L31</f>
        <v>3.1937458298009425</v>
      </c>
      <c r="M9" s="36">
        <f>'SER_se-appl'!M31</f>
        <v>4.217144968720401</v>
      </c>
      <c r="N9" s="36">
        <f>'SER_se-appl'!N31</f>
        <v>4.0553916268206649</v>
      </c>
      <c r="O9" s="36">
        <f>'SER_se-appl'!O31</f>
        <v>4.2573960412297396</v>
      </c>
      <c r="P9" s="36">
        <f>'SER_se-appl'!P31</f>
        <v>4.6509085267913832</v>
      </c>
      <c r="Q9" s="36">
        <f>'SER_se-appl'!Q31</f>
        <v>4.685637218869168</v>
      </c>
      <c r="R9" s="36">
        <f>'SER_se-appl'!R31</f>
        <v>4.20969711037759</v>
      </c>
      <c r="S9" s="36">
        <f>'SER_se-appl'!S31</f>
        <v>4.3710238406356652</v>
      </c>
      <c r="T9" s="36">
        <f>'SER_se-appl'!T31</f>
        <v>4.1812512863828459</v>
      </c>
      <c r="U9" s="36">
        <f>'SER_se-appl'!U31</f>
        <v>4.2755537817420688</v>
      </c>
      <c r="V9" s="36">
        <f>'SER_se-appl'!V31</f>
        <v>3.950444742050955</v>
      </c>
      <c r="W9" s="36">
        <f>'SER_se-appl'!W31</f>
        <v>4.8816707953320488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1.923368822160473</v>
      </c>
      <c r="D10" s="38">
        <f>'SER_se-appl'!D39</f>
        <v>1.9638830192263441</v>
      </c>
      <c r="E10" s="38">
        <f>'SER_se-appl'!E39</f>
        <v>2.0052506148421827</v>
      </c>
      <c r="F10" s="38">
        <f>'SER_se-appl'!F39</f>
        <v>2.0474895851530981</v>
      </c>
      <c r="G10" s="38">
        <f>'SER_se-appl'!G39</f>
        <v>2.0906182849570349</v>
      </c>
      <c r="H10" s="38">
        <f>'SER_se-appl'!H39</f>
        <v>2.1346554556808073</v>
      </c>
      <c r="I10" s="38">
        <f>'SER_se-appl'!I39</f>
        <v>2.1796202335241119</v>
      </c>
      <c r="J10" s="38">
        <f>'SER_se-appl'!J39</f>
        <v>2.2255321577751062</v>
      </c>
      <c r="K10" s="38">
        <f>'SER_se-appl'!K39</f>
        <v>2.2724111793011232</v>
      </c>
      <c r="L10" s="38">
        <f>'SER_se-appl'!L39</f>
        <v>2.3202776692182638</v>
      </c>
      <c r="M10" s="38">
        <f>'SER_se-appl'!M39</f>
        <v>3.6242782798399347</v>
      </c>
      <c r="N10" s="38">
        <f>'SER_se-appl'!N39</f>
        <v>3.4404167579655365</v>
      </c>
      <c r="O10" s="38">
        <f>'SER_se-appl'!O39</f>
        <v>3.5080237384737174</v>
      </c>
      <c r="P10" s="38">
        <f>'SER_se-appl'!P39</f>
        <v>3.6744309801568562</v>
      </c>
      <c r="Q10" s="38">
        <f>'SER_se-appl'!Q39</f>
        <v>3.4886424534752507</v>
      </c>
      <c r="R10" s="38">
        <f>'SER_se-appl'!R39</f>
        <v>3.3395807388719234</v>
      </c>
      <c r="S10" s="38">
        <f>'SER_se-appl'!S39</f>
        <v>3.5405515874744324</v>
      </c>
      <c r="T10" s="38">
        <f>'SER_se-appl'!T39</f>
        <v>3.323947392422653</v>
      </c>
      <c r="U10" s="38">
        <f>'SER_se-appl'!U39</f>
        <v>3.4548886037885751</v>
      </c>
      <c r="V10" s="38">
        <f>'SER_se-appl'!V39</f>
        <v>3.1937458298009389</v>
      </c>
      <c r="W10" s="38">
        <f>'SER_se-appl'!W39</f>
        <v>4.2171449687203975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</v>
      </c>
      <c r="D12" s="205">
        <f>'SER_se-appl'!D47</f>
        <v>8759.9999999999982</v>
      </c>
      <c r="E12" s="205">
        <f>'SER_se-appl'!E47</f>
        <v>8760</v>
      </c>
      <c r="F12" s="205">
        <f>'SER_se-appl'!F47</f>
        <v>8760</v>
      </c>
      <c r="G12" s="205">
        <f>'SER_se-appl'!G47</f>
        <v>8759.9999999999945</v>
      </c>
      <c r="H12" s="205">
        <f>'SER_se-appl'!H47</f>
        <v>8759.9999999999982</v>
      </c>
      <c r="I12" s="205">
        <f>'SER_se-appl'!I47</f>
        <v>8759.9999999999982</v>
      </c>
      <c r="J12" s="205">
        <f>'SER_se-appl'!J47</f>
        <v>8760.0000000000018</v>
      </c>
      <c r="K12" s="205">
        <f>'SER_se-appl'!K47</f>
        <v>8759.9999999999964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8759.9999999999945</v>
      </c>
      <c r="Q12" s="205">
        <f>'SER_se-appl'!Q47</f>
        <v>8759.9999999999982</v>
      </c>
      <c r="R12" s="205">
        <f>'SER_se-appl'!R47</f>
        <v>8760</v>
      </c>
      <c r="S12" s="205">
        <f>'SER_se-appl'!S47</f>
        <v>8759.9999999999982</v>
      </c>
      <c r="T12" s="205">
        <f>'SER_se-appl'!T47</f>
        <v>8760</v>
      </c>
      <c r="U12" s="205">
        <f>'SER_se-appl'!U47</f>
        <v>8759.9999999999982</v>
      </c>
      <c r="V12" s="205">
        <f>'SER_se-appl'!V47</f>
        <v>8760.0000000000018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698.73778193282658</v>
      </c>
      <c r="C14" s="59">
        <f>'SER_se-appl'!C55</f>
        <v>688.61163829359089</v>
      </c>
      <c r="D14" s="59">
        <f>'SER_se-appl'!D55</f>
        <v>678.33487043449338</v>
      </c>
      <c r="E14" s="59">
        <f>'SER_se-appl'!E55</f>
        <v>667.98040558218372</v>
      </c>
      <c r="F14" s="59">
        <f>'SER_se-appl'!F55</f>
        <v>657.44782234647687</v>
      </c>
      <c r="G14" s="59">
        <f>'SER_se-appl'!G55</f>
        <v>647.26752961965781</v>
      </c>
      <c r="H14" s="59">
        <f>'SER_se-appl'!H55</f>
        <v>637.01430049560292</v>
      </c>
      <c r="I14" s="59">
        <f>'SER_se-appl'!I55</f>
        <v>626.09036883559077</v>
      </c>
      <c r="J14" s="59">
        <f>'SER_se-appl'!J55</f>
        <v>615.11678462743123</v>
      </c>
      <c r="K14" s="59">
        <f>'SER_se-appl'!K55</f>
        <v>603.06316894802569</v>
      </c>
      <c r="L14" s="59">
        <f>'SER_se-appl'!L55</f>
        <v>590.91278440966187</v>
      </c>
      <c r="M14" s="59">
        <f>'SER_se-appl'!M55</f>
        <v>578.7493019568617</v>
      </c>
      <c r="N14" s="59">
        <f>'SER_se-appl'!N55</f>
        <v>567.75265912882696</v>
      </c>
      <c r="O14" s="59">
        <f>'SER_se-appl'!O55</f>
        <v>556.27511522666839</v>
      </c>
      <c r="P14" s="59">
        <f>'SER_se-appl'!P55</f>
        <v>543.86721775367198</v>
      </c>
      <c r="Q14" s="59">
        <f>'SER_se-appl'!Q55</f>
        <v>532.28564993817713</v>
      </c>
      <c r="R14" s="59">
        <f>'SER_se-appl'!R55</f>
        <v>522.18424744225229</v>
      </c>
      <c r="S14" s="59">
        <f>'SER_se-appl'!S55</f>
        <v>511.943974738132</v>
      </c>
      <c r="T14" s="59">
        <f>'SER_se-appl'!T55</f>
        <v>502.67302762895832</v>
      </c>
      <c r="U14" s="59">
        <f>'SER_se-appl'!U55</f>
        <v>493.90349904757636</v>
      </c>
      <c r="V14" s="59">
        <f>'SER_se-appl'!V55</f>
        <v>486.23412525658136</v>
      </c>
      <c r="W14" s="59">
        <f>'SER_se-appl'!W55</f>
        <v>476.90750901060329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634.85628686957261</v>
      </c>
      <c r="D15" s="63">
        <f>'SER_se-appl'!D63</f>
        <v>621.68497248216443</v>
      </c>
      <c r="E15" s="63">
        <f>'SER_se-appl'!E63</f>
        <v>613.71705445515181</v>
      </c>
      <c r="F15" s="63">
        <f>'SER_se-appl'!F63</f>
        <v>606.37700540238552</v>
      </c>
      <c r="G15" s="63">
        <f>'SER_se-appl'!G63</f>
        <v>597.9501553166167</v>
      </c>
      <c r="H15" s="63">
        <f>'SER_se-appl'!H63</f>
        <v>587.83602722873809</v>
      </c>
      <c r="I15" s="63">
        <f>'SER_se-appl'!I63</f>
        <v>578.02611644754404</v>
      </c>
      <c r="J15" s="63">
        <f>'SER_se-appl'!J63</f>
        <v>567.32901731304389</v>
      </c>
      <c r="K15" s="63">
        <f>'SER_se-appl'!K63</f>
        <v>552.49050377969024</v>
      </c>
      <c r="L15" s="63">
        <f>'SER_se-appl'!L63</f>
        <v>540.98184017120093</v>
      </c>
      <c r="M15" s="63">
        <f>'SER_se-appl'!M63</f>
        <v>527.20510201783316</v>
      </c>
      <c r="N15" s="63">
        <f>'SER_se-appl'!N63</f>
        <v>518.10828997464057</v>
      </c>
      <c r="O15" s="63">
        <f>'SER_se-appl'!O63</f>
        <v>507.10269472269158</v>
      </c>
      <c r="P15" s="63">
        <f>'SER_se-appl'!P63</f>
        <v>495.75454299080025</v>
      </c>
      <c r="Q15" s="63">
        <f>'SER_se-appl'!Q63</f>
        <v>488.43123114632135</v>
      </c>
      <c r="R15" s="63">
        <f>'SER_se-appl'!R63</f>
        <v>481.35738404634952</v>
      </c>
      <c r="S15" s="63">
        <f>'SER_se-appl'!S63</f>
        <v>472.72248021289914</v>
      </c>
      <c r="T15" s="63">
        <f>'SER_se-appl'!T63</f>
        <v>464.45084626921766</v>
      </c>
      <c r="U15" s="63">
        <f>'SER_se-appl'!U63</f>
        <v>456.58225125170077</v>
      </c>
      <c r="V15" s="63">
        <f>'SER_se-appl'!V63</f>
        <v>448.76667393164985</v>
      </c>
      <c r="W15" s="63">
        <f>'SER_se-appl'!W63</f>
        <v>438.48321368829221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3.2509643371005725</v>
      </c>
      <c r="C3" s="199">
        <f>'SER_se-appl'!C8</f>
        <v>3.6293461970076524</v>
      </c>
      <c r="D3" s="199">
        <f>'SER_se-appl'!D8</f>
        <v>4.1054704628621765</v>
      </c>
      <c r="E3" s="199">
        <f>'SER_se-appl'!E8</f>
        <v>4.7372046713090636</v>
      </c>
      <c r="F3" s="199">
        <f>'SER_se-appl'!F8</f>
        <v>5.378657222815904</v>
      </c>
      <c r="G3" s="199">
        <f>'SER_se-appl'!G8</f>
        <v>6.2089025199323427</v>
      </c>
      <c r="H3" s="199">
        <f>'SER_se-appl'!H8</f>
        <v>7.2900198961446465</v>
      </c>
      <c r="I3" s="199">
        <f>'SER_se-appl'!I8</f>
        <v>8.1368380580637822</v>
      </c>
      <c r="J3" s="199">
        <f>'SER_se-appl'!J8</f>
        <v>8.5557012069178331</v>
      </c>
      <c r="K3" s="199">
        <f>'SER_se-appl'!K8</f>
        <v>8.782867521167578</v>
      </c>
      <c r="L3" s="199">
        <f>'SER_se-appl'!L8</f>
        <v>9.1540072335029166</v>
      </c>
      <c r="M3" s="199">
        <f>'SER_se-appl'!M8</f>
        <v>9.6015605141809033</v>
      </c>
      <c r="N3" s="199">
        <f>'SER_se-appl'!N8</f>
        <v>9.9515213263843822</v>
      </c>
      <c r="O3" s="199">
        <f>'SER_se-appl'!O8</f>
        <v>10.12434716502173</v>
      </c>
      <c r="P3" s="199">
        <f>'SER_se-appl'!P8</f>
        <v>10.319235752872714</v>
      </c>
      <c r="Q3" s="199">
        <f>'SER_se-appl'!Q8</f>
        <v>10.555308238607674</v>
      </c>
      <c r="R3" s="199">
        <f>'SER_se-appl'!R8</f>
        <v>10.941860934182525</v>
      </c>
      <c r="S3" s="199">
        <f>'SER_se-appl'!S8</f>
        <v>10.935910080705336</v>
      </c>
      <c r="T3" s="199">
        <f>'SER_se-appl'!T8</f>
        <v>10.989101842772991</v>
      </c>
      <c r="U3" s="199">
        <f>'SER_se-appl'!U8</f>
        <v>10.871923788546093</v>
      </c>
      <c r="V3" s="199">
        <f>'SER_se-appl'!V8</f>
        <v>10.768157102894282</v>
      </c>
      <c r="W3" s="199">
        <f>'SER_se-appl'!W8</f>
        <v>12.152280177464831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41.632966922322971</v>
      </c>
      <c r="C5" s="59">
        <f>'SER_se-appl'!C16</f>
        <v>46.257687581773432</v>
      </c>
      <c r="D5" s="59">
        <f>'SER_se-appl'!D16</f>
        <v>52.098956608731996</v>
      </c>
      <c r="E5" s="59">
        <f>'SER_se-appl'!E16</f>
        <v>59.875635701256435</v>
      </c>
      <c r="F5" s="59">
        <f>'SER_se-appl'!F16</f>
        <v>67.731800775622204</v>
      </c>
      <c r="G5" s="59">
        <f>'SER_se-appl'!G16</f>
        <v>77.91757624266458</v>
      </c>
      <c r="H5" s="59">
        <f>'SER_se-appl'!H16</f>
        <v>91.190137508198987</v>
      </c>
      <c r="I5" s="59">
        <f>'SER_se-appl'!I16</f>
        <v>101.47484173965259</v>
      </c>
      <c r="J5" s="59">
        <f>'SER_se-appl'!J16</f>
        <v>106.39400075063055</v>
      </c>
      <c r="K5" s="59">
        <f>'SER_se-appl'!K16</f>
        <v>108.92405682689358</v>
      </c>
      <c r="L5" s="59">
        <f>'SER_se-appl'!L16</f>
        <v>113.23610112824143</v>
      </c>
      <c r="M5" s="59">
        <f>'SER_se-appl'!M16</f>
        <v>118.57937849937993</v>
      </c>
      <c r="N5" s="59">
        <f>'SER_se-appl'!N16</f>
        <v>122.71096691930184</v>
      </c>
      <c r="O5" s="59">
        <f>'SER_se-appl'!O16</f>
        <v>124.65721607990208</v>
      </c>
      <c r="P5" s="59">
        <f>'SER_se-appl'!P16</f>
        <v>126.87668293053119</v>
      </c>
      <c r="Q5" s="59">
        <f>'SER_se-appl'!Q16</f>
        <v>129.60275775177612</v>
      </c>
      <c r="R5" s="59">
        <f>'SER_se-appl'!R16</f>
        <v>130.94748197050365</v>
      </c>
      <c r="S5" s="59">
        <f>'SER_se-appl'!S16</f>
        <v>133.9288504051716</v>
      </c>
      <c r="T5" s="59">
        <f>'SER_se-appl'!T16</f>
        <v>135.73120636178598</v>
      </c>
      <c r="U5" s="59">
        <f>'SER_se-appl'!U16</f>
        <v>136.87828969047126</v>
      </c>
      <c r="V5" s="59">
        <f>'SER_se-appl'!V16</f>
        <v>138.38844966113817</v>
      </c>
      <c r="W5" s="59">
        <f>'SER_se-appl'!W16</f>
        <v>138.52527707091446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58.962572072489237</v>
      </c>
      <c r="C6" s="202">
        <f>'SER_se-appl'!C72</f>
        <v>63.851900912060394</v>
      </c>
      <c r="D6" s="202">
        <f>'SER_se-appl'!D72</f>
        <v>70.08660552667456</v>
      </c>
      <c r="E6" s="202">
        <f>'SER_se-appl'!E72</f>
        <v>78.450991599943606</v>
      </c>
      <c r="F6" s="202">
        <f>'SER_se-appl'!F72</f>
        <v>87.378374792494512</v>
      </c>
      <c r="G6" s="202">
        <f>'SER_se-appl'!G72</f>
        <v>96.888580574278521</v>
      </c>
      <c r="H6" s="202">
        <f>'SER_se-appl'!H72</f>
        <v>108.55443136592693</v>
      </c>
      <c r="I6" s="202">
        <f>'SER_se-appl'!I72</f>
        <v>118.13829551136166</v>
      </c>
      <c r="J6" s="202">
        <f>'SER_se-appl'!J72</f>
        <v>127.19929019051104</v>
      </c>
      <c r="K6" s="202">
        <f>'SER_se-appl'!K72</f>
        <v>132.59500090060499</v>
      </c>
      <c r="L6" s="202">
        <f>'SER_se-appl'!L72</f>
        <v>138.75684616747264</v>
      </c>
      <c r="M6" s="202">
        <f>'SER_se-appl'!M72</f>
        <v>143.36245818667285</v>
      </c>
      <c r="N6" s="202">
        <f>'SER_se-appl'!N72</f>
        <v>147.94703565219731</v>
      </c>
      <c r="O6" s="202">
        <f>'SER_se-appl'!O72</f>
        <v>151.44200768647943</v>
      </c>
      <c r="P6" s="202">
        <f>'SER_se-appl'!P72</f>
        <v>154.7494234101074</v>
      </c>
      <c r="Q6" s="202">
        <f>'SER_se-appl'!Q72</f>
        <v>157.55128016130749</v>
      </c>
      <c r="R6" s="202">
        <f>'SER_se-appl'!R72</f>
        <v>160.11147970964359</v>
      </c>
      <c r="S6" s="202">
        <f>'SER_se-appl'!S72</f>
        <v>164.44982692031655</v>
      </c>
      <c r="T6" s="202">
        <f>'SER_se-appl'!T72</f>
        <v>168.47405236463456</v>
      </c>
      <c r="U6" s="202">
        <f>'SER_se-appl'!U72</f>
        <v>172.07470697458038</v>
      </c>
      <c r="V6" s="202">
        <f>'SER_se-appl'!V72</f>
        <v>177.32352579757699</v>
      </c>
      <c r="W6" s="202">
        <f>'SER_se-appl'!W72</f>
        <v>181.84644191546303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0.76055266592419346</v>
      </c>
      <c r="C8" s="34">
        <f>'SER_se-appl'!C24</f>
        <v>0.85200848096074755</v>
      </c>
      <c r="D8" s="34">
        <f>'SER_se-appl'!D24</f>
        <v>0.96862774212132596</v>
      </c>
      <c r="E8" s="34">
        <f>'SER_se-appl'!E24</f>
        <v>1.1254762282743014</v>
      </c>
      <c r="F8" s="34">
        <f>'SER_se-appl'!F24</f>
        <v>1.2864879100297966</v>
      </c>
      <c r="G8" s="34">
        <f>'SER_se-appl'!G24</f>
        <v>1.4975868730478343</v>
      </c>
      <c r="H8" s="34">
        <f>'SER_se-appl'!H24</f>
        <v>1.776076348956233</v>
      </c>
      <c r="I8" s="34">
        <f>'SER_se-appl'!I24</f>
        <v>1.9973250174920398</v>
      </c>
      <c r="J8" s="34">
        <f>'SER_se-appl'!J24</f>
        <v>2.109847861971188</v>
      </c>
      <c r="K8" s="34">
        <f>'SER_se-appl'!K24</f>
        <v>2.1742292107203389</v>
      </c>
      <c r="L8" s="34">
        <f>'SER_se-appl'!L24</f>
        <v>2.2818887646564181</v>
      </c>
      <c r="M8" s="34">
        <f>'SER_se-appl'!M24</f>
        <v>2.4195505669535815</v>
      </c>
      <c r="N8" s="34">
        <f>'SER_se-appl'!N24</f>
        <v>2.5366224740563492</v>
      </c>
      <c r="O8" s="34">
        <f>'SER_se-appl'!O24</f>
        <v>2.6087057519510406</v>
      </c>
      <c r="P8" s="34">
        <f>'SER_se-appl'!P24</f>
        <v>2.6954553458157822</v>
      </c>
      <c r="Q8" s="34">
        <f>'SER_se-appl'!Q24</f>
        <v>2.80545027495568</v>
      </c>
      <c r="R8" s="34">
        <f>'SER_se-appl'!R24</f>
        <v>2.8791557831260821</v>
      </c>
      <c r="S8" s="34">
        <f>'SER_se-appl'!S24</f>
        <v>3.0072665954826125</v>
      </c>
      <c r="T8" s="34">
        <f>'SER_se-appl'!T24</f>
        <v>3.1206857391339744</v>
      </c>
      <c r="U8" s="34">
        <f>'SER_se-appl'!U24</f>
        <v>3.2199313743384814</v>
      </c>
      <c r="V8" s="34">
        <f>'SER_se-appl'!V24</f>
        <v>3.3494435880718951</v>
      </c>
      <c r="W8" s="34">
        <f>'SER_se-appl'!W24</f>
        <v>3.4641596321859338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0.11311822177282482</v>
      </c>
      <c r="D9" s="36">
        <f>'SER_se-appl'!D32</f>
        <v>0.14071937050268413</v>
      </c>
      <c r="E9" s="36">
        <f>'SER_se-appl'!E32</f>
        <v>0.183660616373435</v>
      </c>
      <c r="F9" s="36">
        <f>'SER_se-appl'!F32</f>
        <v>0.1908410205669544</v>
      </c>
      <c r="G9" s="36">
        <f>'SER_se-appl'!G32</f>
        <v>0.24428504135693263</v>
      </c>
      <c r="H9" s="36">
        <f>'SER_se-appl'!H32</f>
        <v>0.3154100326286231</v>
      </c>
      <c r="I9" s="36">
        <f>'SER_se-appl'!I32</f>
        <v>0.26232395000206221</v>
      </c>
      <c r="J9" s="36">
        <f>'SER_se-appl'!J32</f>
        <v>0.15822038799987981</v>
      </c>
      <c r="K9" s="36">
        <f>'SER_se-appl'!K32</f>
        <v>0.11522130429625399</v>
      </c>
      <c r="L9" s="36">
        <f>'SER_se-appl'!L32</f>
        <v>0.16422060472557742</v>
      </c>
      <c r="M9" s="36">
        <f>'SER_se-appl'!M32</f>
        <v>0.20058775162157216</v>
      </c>
      <c r="N9" s="36">
        <f>'SER_se-appl'!N32</f>
        <v>0.18707900638942521</v>
      </c>
      <c r="O9" s="36">
        <f>'SER_se-appl'!O32</f>
        <v>0.1499683794013098</v>
      </c>
      <c r="P9" s="36">
        <f>'SER_se-appl'!P32</f>
        <v>0.17339922080982451</v>
      </c>
      <c r="Q9" s="36">
        <f>'SER_se-appl'!Q32</f>
        <v>0.20639536650832069</v>
      </c>
      <c r="R9" s="36">
        <f>'SER_se-appl'!R32</f>
        <v>0.18682372994322716</v>
      </c>
      <c r="S9" s="36">
        <f>'SER_se-appl'!S32</f>
        <v>0.26883018285921478</v>
      </c>
      <c r="T9" s="36">
        <f>'SER_se-appl'!T32</f>
        <v>0.29707976002479697</v>
      </c>
      <c r="U9" s="36">
        <f>'SER_se-appl'!U32</f>
        <v>0.2900866557714612</v>
      </c>
      <c r="V9" s="36">
        <f>'SER_se-appl'!V32</f>
        <v>0.37379725509034634</v>
      </c>
      <c r="W9" s="36">
        <f>'SER_se-appl'!W32</f>
        <v>0.43012607674266201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2.1662406736270734E-2</v>
      </c>
      <c r="D10" s="38">
        <f>'SER_se-appl'!D40</f>
        <v>2.4100109342105713E-2</v>
      </c>
      <c r="E10" s="38">
        <f>'SER_se-appl'!E40</f>
        <v>2.6812130220459585E-2</v>
      </c>
      <c r="F10" s="38">
        <f>'SER_se-appl'!F40</f>
        <v>2.9829338811459216E-2</v>
      </c>
      <c r="G10" s="38">
        <f>'SER_se-appl'!G40</f>
        <v>3.3186078338894864E-2</v>
      </c>
      <c r="H10" s="38">
        <f>'SER_se-appl'!H40</f>
        <v>3.6920556720224429E-2</v>
      </c>
      <c r="I10" s="38">
        <f>'SER_se-appl'!I40</f>
        <v>4.1075281466255387E-2</v>
      </c>
      <c r="J10" s="38">
        <f>'SER_se-appl'!J40</f>
        <v>4.5697543520731632E-2</v>
      </c>
      <c r="K10" s="38">
        <f>'SER_se-appl'!K40</f>
        <v>5.0839955547103077E-2</v>
      </c>
      <c r="L10" s="38">
        <f>'SER_se-appl'!L40</f>
        <v>5.6561050789498246E-2</v>
      </c>
      <c r="M10" s="38">
        <f>'SER_se-appl'!M40</f>
        <v>6.2925949324408759E-2</v>
      </c>
      <c r="N10" s="38">
        <f>'SER_se-appl'!N40</f>
        <v>7.0007099286657493E-2</v>
      </c>
      <c r="O10" s="38">
        <f>'SER_se-appl'!O40</f>
        <v>7.7885101506618426E-2</v>
      </c>
      <c r="P10" s="38">
        <f>'SER_se-appl'!P40</f>
        <v>8.6649626945082936E-2</v>
      </c>
      <c r="Q10" s="38">
        <f>'SER_se-appl'!Q40</f>
        <v>9.6400437368422853E-2</v>
      </c>
      <c r="R10" s="38">
        <f>'SER_se-appl'!R40</f>
        <v>0.11311822177282504</v>
      </c>
      <c r="S10" s="38">
        <f>'SER_se-appl'!S40</f>
        <v>0.14071937050268435</v>
      </c>
      <c r="T10" s="38">
        <f>'SER_se-appl'!T40</f>
        <v>0.18366061637343511</v>
      </c>
      <c r="U10" s="38">
        <f>'SER_se-appl'!U40</f>
        <v>0.19084102056695418</v>
      </c>
      <c r="V10" s="38">
        <f>'SER_se-appl'!V40</f>
        <v>0.24428504135693263</v>
      </c>
      <c r="W10" s="38">
        <f>'SER_se-appl'!W40</f>
        <v>0.31541003262862333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908.14366679707348</v>
      </c>
      <c r="C12" s="205">
        <f>'SER_se-appl'!C48</f>
        <v>912.48176201160572</v>
      </c>
      <c r="D12" s="205">
        <f>'SER_se-appl'!D48</f>
        <v>916.46022475399423</v>
      </c>
      <c r="E12" s="205">
        <f>'SER_se-appl'!E48</f>
        <v>920.13537196012294</v>
      </c>
      <c r="F12" s="205">
        <f>'SER_se-appl'!F48</f>
        <v>923.55116481508196</v>
      </c>
      <c r="G12" s="205">
        <f>'SER_se-appl'!G48</f>
        <v>926.74258862885495</v>
      </c>
      <c r="H12" s="205">
        <f>'SER_se-appl'!H48</f>
        <v>929.7379487396795</v>
      </c>
      <c r="I12" s="205">
        <f>'SER_se-appl'!I48</f>
        <v>932.56047501972455</v>
      </c>
      <c r="J12" s="205">
        <f>'SER_se-appl'!J48</f>
        <v>935.2294709705676</v>
      </c>
      <c r="K12" s="205">
        <f>'SER_se-appl'!K48</f>
        <v>937.76115439320643</v>
      </c>
      <c r="L12" s="205">
        <f>'SER_se-appl'!L48</f>
        <v>940.1692840437014</v>
      </c>
      <c r="M12" s="205">
        <f>'SER_se-appl'!M48</f>
        <v>941.69956187203172</v>
      </c>
      <c r="N12" s="205">
        <f>'SER_se-appl'!N48</f>
        <v>943.16095725952289</v>
      </c>
      <c r="O12" s="205">
        <f>'SER_se-appl'!O48</f>
        <v>944.55949869545009</v>
      </c>
      <c r="P12" s="205">
        <f>'SER_se-appl'!P48</f>
        <v>945.90045258056</v>
      </c>
      <c r="Q12" s="205">
        <f>'SER_se-appl'!Q48</f>
        <v>947.18844679310018</v>
      </c>
      <c r="R12" s="205">
        <f>'SER_se-appl'!R48</f>
        <v>971.79297188171302</v>
      </c>
      <c r="S12" s="205">
        <f>'SER_se-appl'!S48</f>
        <v>949.64329085058637</v>
      </c>
      <c r="T12" s="205">
        <f>'SER_se-appl'!T48</f>
        <v>941.59079446178009</v>
      </c>
      <c r="U12" s="205">
        <f>'SER_se-appl'!U48</f>
        <v>923.74381610638409</v>
      </c>
      <c r="V12" s="205">
        <f>'SER_se-appl'!V48</f>
        <v>904.94306001195298</v>
      </c>
      <c r="W12" s="205">
        <f>'SER_se-appl'!W48</f>
        <v>1020.2543640577973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54.74041284403657</v>
      </c>
      <c r="C14" s="59">
        <f>'SER_se-appl'!C56</f>
        <v>54.292520104508846</v>
      </c>
      <c r="D14" s="59">
        <f>'SER_se-appl'!D56</f>
        <v>53.78635604079809</v>
      </c>
      <c r="E14" s="59">
        <f>'SER_se-appl'!E56</f>
        <v>53.200266871086264</v>
      </c>
      <c r="F14" s="59">
        <f>'SER_se-appl'!F56</f>
        <v>52.648610412556039</v>
      </c>
      <c r="G14" s="59">
        <f>'SER_se-appl'!G56</f>
        <v>52.028752151178757</v>
      </c>
      <c r="H14" s="59">
        <f>'SER_se-appl'!H56</f>
        <v>51.343590922647969</v>
      </c>
      <c r="I14" s="59">
        <f>'SER_se-appl'!I56</f>
        <v>50.805372611349171</v>
      </c>
      <c r="J14" s="59">
        <f>'SER_se-appl'!J56</f>
        <v>50.427333016907106</v>
      </c>
      <c r="K14" s="59">
        <f>'SER_se-appl'!K56</f>
        <v>50.097780072969492</v>
      </c>
      <c r="L14" s="59">
        <f>'SER_se-appl'!L56</f>
        <v>49.623847964075182</v>
      </c>
      <c r="M14" s="59">
        <f>'SER_se-appl'!M56</f>
        <v>49.008844914814645</v>
      </c>
      <c r="N14" s="59">
        <f>'SER_se-appl'!N56</f>
        <v>48.375731183628986</v>
      </c>
      <c r="O14" s="59">
        <f>'SER_se-appl'!O56</f>
        <v>47.785081160139065</v>
      </c>
      <c r="P14" s="59">
        <f>'SER_se-appl'!P56</f>
        <v>47.07059351863677</v>
      </c>
      <c r="Q14" s="59">
        <f>'SER_se-appl'!Q56</f>
        <v>46.19677593602102</v>
      </c>
      <c r="R14" s="59">
        <f>'SER_se-appl'!R56</f>
        <v>45.481207629663466</v>
      </c>
      <c r="S14" s="59">
        <f>'SER_se-appl'!S56</f>
        <v>44.535077337790341</v>
      </c>
      <c r="T14" s="59">
        <f>'SER_se-appl'!T56</f>
        <v>43.494032308249317</v>
      </c>
      <c r="U14" s="59">
        <f>'SER_se-appl'!U56</f>
        <v>42.509691598191971</v>
      </c>
      <c r="V14" s="59">
        <f>'SER_se-appl'!V56</f>
        <v>41.316847417275469</v>
      </c>
      <c r="W14" s="59">
        <f>'SER_se-appl'!W56</f>
        <v>39.988133278807084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51.366876674021938</v>
      </c>
      <c r="D15" s="63">
        <f>'SER_se-appl'!D64</f>
        <v>50.885098024193269</v>
      </c>
      <c r="E15" s="63">
        <f>'SER_se-appl'!E64</f>
        <v>50.334069179120966</v>
      </c>
      <c r="F15" s="63">
        <f>'SER_se-appl'!F64</f>
        <v>49.722200015381731</v>
      </c>
      <c r="G15" s="63">
        <f>'SER_se-appl'!G64</f>
        <v>49.132746849001471</v>
      </c>
      <c r="H15" s="63">
        <f>'SER_se-appl'!H64</f>
        <v>48.48801940564298</v>
      </c>
      <c r="I15" s="63">
        <f>'SER_se-appl'!I64</f>
        <v>47.777498381306344</v>
      </c>
      <c r="J15" s="63">
        <f>'SER_se-appl'!J64</f>
        <v>46.900791377573732</v>
      </c>
      <c r="K15" s="63">
        <f>'SER_se-appl'!K64</f>
        <v>46.111752200123661</v>
      </c>
      <c r="L15" s="63">
        <f>'SER_se-appl'!L64</f>
        <v>45.111388944384295</v>
      </c>
      <c r="M15" s="63">
        <f>'SER_se-appl'!M64</f>
        <v>43.810600321891577</v>
      </c>
      <c r="N15" s="63">
        <f>'SER_se-appl'!N64</f>
        <v>42.569212284084315</v>
      </c>
      <c r="O15" s="63">
        <f>'SER_se-appl'!O64</f>
        <v>41.406807196704293</v>
      </c>
      <c r="P15" s="63">
        <f>'SER_se-appl'!P64</f>
        <v>40.154178143747494</v>
      </c>
      <c r="Q15" s="63">
        <f>'SER_se-appl'!Q64</f>
        <v>38.775456525645573</v>
      </c>
      <c r="R15" s="63">
        <f>'SER_se-appl'!R64</f>
        <v>38.299492084283258</v>
      </c>
      <c r="S15" s="63">
        <f>'SER_se-appl'!S64</f>
        <v>37.725999695172113</v>
      </c>
      <c r="T15" s="63">
        <f>'SER_se-appl'!T64</f>
        <v>37.184431971106996</v>
      </c>
      <c r="U15" s="63">
        <f>'SER_se-appl'!U64</f>
        <v>36.665315390565318</v>
      </c>
      <c r="V15" s="63">
        <f>'SER_se-appl'!V64</f>
        <v>36.149422936208943</v>
      </c>
      <c r="W15" s="63">
        <f>'SER_se-appl'!W64</f>
        <v>35.874214624376862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10.550156012345278</v>
      </c>
      <c r="C3" s="199">
        <f>'SER_se-appl'!C9</f>
        <v>13.048287616032642</v>
      </c>
      <c r="D3" s="199">
        <f>'SER_se-appl'!D9</f>
        <v>15.868755666201055</v>
      </c>
      <c r="E3" s="199">
        <f>'SER_se-appl'!E9</f>
        <v>19.566916355015884</v>
      </c>
      <c r="F3" s="199">
        <f>'SER_se-appl'!F9</f>
        <v>23.379274737482536</v>
      </c>
      <c r="G3" s="199">
        <f>'SER_se-appl'!G9</f>
        <v>27.275747936223365</v>
      </c>
      <c r="H3" s="199">
        <f>'SER_se-appl'!H9</f>
        <v>31.725498756927028</v>
      </c>
      <c r="I3" s="199">
        <f>'SER_se-appl'!I9</f>
        <v>34.98005665702847</v>
      </c>
      <c r="J3" s="199">
        <f>'SER_se-appl'!J9</f>
        <v>38.879315617342975</v>
      </c>
      <c r="K3" s="199">
        <f>'SER_se-appl'!K9</f>
        <v>41.458308590400549</v>
      </c>
      <c r="L3" s="199">
        <f>'SER_se-appl'!L9</f>
        <v>42.300879835672674</v>
      </c>
      <c r="M3" s="199">
        <f>'SER_se-appl'!M9</f>
        <v>42.026143751566615</v>
      </c>
      <c r="N3" s="199">
        <f>'SER_se-appl'!N9</f>
        <v>44.192813883193708</v>
      </c>
      <c r="O3" s="199">
        <f>'SER_se-appl'!O9</f>
        <v>46.611289359503402</v>
      </c>
      <c r="P3" s="199">
        <f>'SER_se-appl'!P9</f>
        <v>51.400743928722513</v>
      </c>
      <c r="Q3" s="199">
        <f>'SER_se-appl'!Q9</f>
        <v>54.496123365739805</v>
      </c>
      <c r="R3" s="199">
        <f>'SER_se-appl'!R9</f>
        <v>57.38157788855208</v>
      </c>
      <c r="S3" s="199">
        <f>'SER_se-appl'!S9</f>
        <v>58.69855336070669</v>
      </c>
      <c r="T3" s="199">
        <f>'SER_se-appl'!T9</f>
        <v>63.077873169113964</v>
      </c>
      <c r="U3" s="199">
        <f>'SER_se-appl'!U9</f>
        <v>67.118167311741345</v>
      </c>
      <c r="V3" s="199">
        <f>'SER_se-appl'!V9</f>
        <v>70.254723167414653</v>
      </c>
      <c r="W3" s="199">
        <f>'SER_se-appl'!W9</f>
        <v>87.776196277845173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74.441954139953893</v>
      </c>
      <c r="C5" s="59">
        <f>'SER_se-appl'!C17</f>
        <v>91.052070645370691</v>
      </c>
      <c r="D5" s="59">
        <f>'SER_se-appl'!D17</f>
        <v>108.64935185977376</v>
      </c>
      <c r="E5" s="59">
        <f>'SER_se-appl'!E17</f>
        <v>131.72817955544326</v>
      </c>
      <c r="F5" s="59">
        <f>'SER_se-appl'!F17</f>
        <v>154.64294808296165</v>
      </c>
      <c r="G5" s="59">
        <f>'SER_se-appl'!G17</f>
        <v>177.66130037687464</v>
      </c>
      <c r="H5" s="59">
        <f>'SER_se-appl'!H17</f>
        <v>203.32058529106271</v>
      </c>
      <c r="I5" s="59">
        <f>'SER_se-appl'!I17</f>
        <v>221.35257413698426</v>
      </c>
      <c r="J5" s="59">
        <f>'SER_se-appl'!J17</f>
        <v>243.69998413064141</v>
      </c>
      <c r="K5" s="59">
        <f>'SER_se-appl'!K17</f>
        <v>257.46444756809609</v>
      </c>
      <c r="L5" s="59">
        <f>'SER_se-appl'!L17</f>
        <v>259.83777255023347</v>
      </c>
      <c r="M5" s="59">
        <f>'SER_se-appl'!M17</f>
        <v>255.25531448313973</v>
      </c>
      <c r="N5" s="59">
        <f>'SER_se-appl'!N17</f>
        <v>266.00932870654543</v>
      </c>
      <c r="O5" s="59">
        <f>'SER_se-appl'!O17</f>
        <v>278.10630209589095</v>
      </c>
      <c r="P5" s="59">
        <f>'SER_se-appl'!P17</f>
        <v>303.40289905060479</v>
      </c>
      <c r="Q5" s="59">
        <f>'SER_se-appl'!Q17</f>
        <v>318.20318099801068</v>
      </c>
      <c r="R5" s="59">
        <f>'SER_se-appl'!R17</f>
        <v>324.97536374722353</v>
      </c>
      <c r="S5" s="59">
        <f>'SER_se-appl'!S17</f>
        <v>334.10346133917284</v>
      </c>
      <c r="T5" s="59">
        <f>'SER_se-appl'!T17</f>
        <v>359.29991112582434</v>
      </c>
      <c r="U5" s="59">
        <f>'SER_se-appl'!U17</f>
        <v>381.9306933354207</v>
      </c>
      <c r="V5" s="59">
        <f>'SER_se-appl'!V17</f>
        <v>404.72134270758369</v>
      </c>
      <c r="W5" s="59">
        <f>'SER_se-appl'!W17</f>
        <v>443.8382078124161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0.12885073348906695</v>
      </c>
      <c r="C6" s="202">
        <f>'SER_se-appl'!C73</f>
        <v>0.16384711596457593</v>
      </c>
      <c r="D6" s="202">
        <f>'SER_se-appl'!D73</f>
        <v>0.20394927093273699</v>
      </c>
      <c r="E6" s="202">
        <f>'SER_se-appl'!E73</f>
        <v>0.25938080943518754</v>
      </c>
      <c r="F6" s="202">
        <f>'SER_se-appl'!F73</f>
        <v>0.31915565317590455</v>
      </c>
      <c r="G6" s="202">
        <f>'SER_se-appl'!G73</f>
        <v>0.38432598442273963</v>
      </c>
      <c r="H6" s="202">
        <f>'SER_se-appl'!H73</f>
        <v>0.46868356471335942</v>
      </c>
      <c r="I6" s="202">
        <f>'SER_se-appl'!I73</f>
        <v>0.5401284791933314</v>
      </c>
      <c r="J6" s="202">
        <f>'SER_se-appl'!J73</f>
        <v>0.63067919866259747</v>
      </c>
      <c r="K6" s="202">
        <f>'SER_se-appl'!K73</f>
        <v>0.70623436838245102</v>
      </c>
      <c r="L6" s="202">
        <f>'SER_se-appl'!L73</f>
        <v>0.75323729426554953</v>
      </c>
      <c r="M6" s="202">
        <f>'SER_se-appl'!M73</f>
        <v>0.80005892969289683</v>
      </c>
      <c r="N6" s="202">
        <f>'SER_se-appl'!N73</f>
        <v>0.89634581985617812</v>
      </c>
      <c r="O6" s="202">
        <f>'SER_se-appl'!O73</f>
        <v>1.0102595698616195</v>
      </c>
      <c r="P6" s="202">
        <f>'SER_se-appl'!P73</f>
        <v>1.1604822005518132</v>
      </c>
      <c r="Q6" s="202">
        <f>'SER_se-appl'!Q73</f>
        <v>1.2470215672283291</v>
      </c>
      <c r="R6" s="202">
        <f>'SER_se-appl'!R73</f>
        <v>1.3006407949179959</v>
      </c>
      <c r="S6" s="202">
        <f>'SER_se-appl'!S73</f>
        <v>1.3697309507671207</v>
      </c>
      <c r="T6" s="202">
        <f>'SER_se-appl'!T73</f>
        <v>1.509851975417581</v>
      </c>
      <c r="U6" s="202">
        <f>'SER_se-appl'!U73</f>
        <v>1.6414172323060208</v>
      </c>
      <c r="V6" s="202">
        <f>'SER_se-appl'!V73</f>
        <v>1.770791618441542</v>
      </c>
      <c r="W6" s="202">
        <f>'SER_se-appl'!W73</f>
        <v>1.9842061946491369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180.55209030155507</v>
      </c>
      <c r="C8" s="34">
        <f>'SER_se-appl'!C25</f>
        <v>228.1931553461842</v>
      </c>
      <c r="D8" s="34">
        <f>'SER_se-appl'!D25</f>
        <v>282.16585582815094</v>
      </c>
      <c r="E8" s="34">
        <f>'SER_se-appl'!E25</f>
        <v>356.69789532717556</v>
      </c>
      <c r="F8" s="34">
        <f>'SER_se-appl'!F25</f>
        <v>436.0464111515796</v>
      </c>
      <c r="G8" s="34">
        <f>'SER_se-appl'!G25</f>
        <v>522.2413639328397</v>
      </c>
      <c r="H8" s="34">
        <f>'SER_se-appl'!H25</f>
        <v>633.05089085833458</v>
      </c>
      <c r="I8" s="34">
        <f>'SER_se-appl'!I25</f>
        <v>725.34933727830855</v>
      </c>
      <c r="J8" s="34">
        <f>'SER_se-appl'!J25</f>
        <v>844.12626665796699</v>
      </c>
      <c r="K8" s="34">
        <f>'SER_se-appl'!K25</f>
        <v>943.34549522317513</v>
      </c>
      <c r="L8" s="34">
        <f>'SER_se-appl'!L25</f>
        <v>1004.2837520713144</v>
      </c>
      <c r="M8" s="34">
        <f>'SER_se-appl'!M25</f>
        <v>1063.8063564554573</v>
      </c>
      <c r="N8" s="34">
        <f>'SER_se-appl'!N25</f>
        <v>1187.8527183523447</v>
      </c>
      <c r="O8" s="34">
        <f>'SER_se-appl'!O25</f>
        <v>1333.7184173824937</v>
      </c>
      <c r="P8" s="34">
        <f>'SER_se-appl'!P25</f>
        <v>1526.9845286478862</v>
      </c>
      <c r="Q8" s="34">
        <f>'SER_se-appl'!Q25</f>
        <v>1639.6712481015131</v>
      </c>
      <c r="R8" s="34">
        <f>'SER_se-appl'!R25</f>
        <v>1711.5704502275673</v>
      </c>
      <c r="S8" s="34">
        <f>'SER_se-appl'!S25</f>
        <v>1802.0659794125011</v>
      </c>
      <c r="T8" s="34">
        <f>'SER_se-appl'!T25</f>
        <v>1991.6955658885199</v>
      </c>
      <c r="U8" s="34">
        <f>'SER_se-appl'!U25</f>
        <v>2174.5823777036626</v>
      </c>
      <c r="V8" s="34">
        <f>'SER_se-appl'!V25</f>
        <v>2353.3395619099665</v>
      </c>
      <c r="W8" s="34">
        <f>'SER_se-appl'!W25</f>
        <v>2639.1291649045884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83.751483104940149</v>
      </c>
      <c r="D9" s="36">
        <f>'SER_se-appl'!D33</f>
        <v>90.083118542277759</v>
      </c>
      <c r="E9" s="36">
        <f>'SER_se-appl'!E33</f>
        <v>110.64245755933564</v>
      </c>
      <c r="F9" s="36">
        <f>'SER_se-appl'!F33</f>
        <v>115.45893388471507</v>
      </c>
      <c r="G9" s="36">
        <f>'SER_se-appl'!G33</f>
        <v>122.30537084157112</v>
      </c>
      <c r="H9" s="36">
        <f>'SER_se-appl'!H33</f>
        <v>194.561010030435</v>
      </c>
      <c r="I9" s="36">
        <f>'SER_se-appl'!I33</f>
        <v>182.38156496225167</v>
      </c>
      <c r="J9" s="36">
        <f>'SER_se-appl'!J33</f>
        <v>229.41938693899408</v>
      </c>
      <c r="K9" s="36">
        <f>'SER_se-appl'!K33</f>
        <v>214.67816244992321</v>
      </c>
      <c r="L9" s="36">
        <f>'SER_se-appl'!L33</f>
        <v>183.24362768971037</v>
      </c>
      <c r="M9" s="36">
        <f>'SER_se-appl'!M33</f>
        <v>254.08361441457782</v>
      </c>
      <c r="N9" s="36">
        <f>'SER_se-appl'!N33</f>
        <v>306.42792685913912</v>
      </c>
      <c r="O9" s="36">
        <f>'SER_se-appl'!O33</f>
        <v>375.2850859691431</v>
      </c>
      <c r="P9" s="36">
        <f>'SER_se-appl'!P33</f>
        <v>407.94427371531583</v>
      </c>
      <c r="Q9" s="36">
        <f>'SER_se-appl'!Q33</f>
        <v>295.93034714333726</v>
      </c>
      <c r="R9" s="36">
        <f>'SER_se-appl'!R33</f>
        <v>325.98281654063203</v>
      </c>
      <c r="S9" s="36">
        <f>'SER_se-appl'!S33</f>
        <v>396.92345604407296</v>
      </c>
      <c r="T9" s="36">
        <f>'SER_se-appl'!T33</f>
        <v>564.91467244516207</v>
      </c>
      <c r="U9" s="36">
        <f>'SER_se-appl'!U33</f>
        <v>590.83108553045849</v>
      </c>
      <c r="V9" s="36">
        <f>'SER_se-appl'!V33</f>
        <v>474.68753134964118</v>
      </c>
      <c r="W9" s="36">
        <f>'SER_se-appl'!W33</f>
        <v>611.7724195352539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36.110418060311019</v>
      </c>
      <c r="D10" s="38">
        <f>'SER_se-appl'!D41</f>
        <v>36.110418060311019</v>
      </c>
      <c r="E10" s="38">
        <f>'SER_se-appl'!E41</f>
        <v>36.110418060311019</v>
      </c>
      <c r="F10" s="38">
        <f>'SER_se-appl'!F41</f>
        <v>36.110418060311019</v>
      </c>
      <c r="G10" s="38">
        <f>'SER_se-appl'!G41</f>
        <v>36.110418060311076</v>
      </c>
      <c r="H10" s="38">
        <f>'SER_se-appl'!H41</f>
        <v>83.751483104940121</v>
      </c>
      <c r="I10" s="38">
        <f>'SER_se-appl'!I41</f>
        <v>90.083118542277703</v>
      </c>
      <c r="J10" s="38">
        <f>'SER_se-appl'!J41</f>
        <v>110.64245755933564</v>
      </c>
      <c r="K10" s="38">
        <f>'SER_se-appl'!K41</f>
        <v>115.45893388471507</v>
      </c>
      <c r="L10" s="38">
        <f>'SER_se-appl'!L41</f>
        <v>122.30537084157118</v>
      </c>
      <c r="M10" s="38">
        <f>'SER_se-appl'!M41</f>
        <v>194.561010030435</v>
      </c>
      <c r="N10" s="38">
        <f>'SER_se-appl'!N41</f>
        <v>182.38156496225156</v>
      </c>
      <c r="O10" s="38">
        <f>'SER_se-appl'!O41</f>
        <v>229.41938693899397</v>
      </c>
      <c r="P10" s="38">
        <f>'SER_se-appl'!P41</f>
        <v>214.67816244992332</v>
      </c>
      <c r="Q10" s="38">
        <f>'SER_se-appl'!Q41</f>
        <v>183.24362768971037</v>
      </c>
      <c r="R10" s="38">
        <f>'SER_se-appl'!R41</f>
        <v>254.08361441457782</v>
      </c>
      <c r="S10" s="38">
        <f>'SER_se-appl'!S41</f>
        <v>306.42792685913923</v>
      </c>
      <c r="T10" s="38">
        <f>'SER_se-appl'!T41</f>
        <v>375.28508596914344</v>
      </c>
      <c r="U10" s="38">
        <f>'SER_se-appl'!U41</f>
        <v>407.94427371531583</v>
      </c>
      <c r="V10" s="38">
        <f>'SER_se-appl'!V41</f>
        <v>295.93034714333726</v>
      </c>
      <c r="W10" s="38">
        <f>'SER_se-appl'!W41</f>
        <v>325.98281654063203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1648.241449880504</v>
      </c>
      <c r="C12" s="205">
        <f>'SER_se-appl'!C49</f>
        <v>1666.6461717878028</v>
      </c>
      <c r="D12" s="205">
        <f>'SER_se-appl'!D49</f>
        <v>1698.6169290370819</v>
      </c>
      <c r="E12" s="205">
        <f>'SER_se-appl'!E49</f>
        <v>1727.5213092355484</v>
      </c>
      <c r="F12" s="205">
        <f>'SER_se-appl'!F49</f>
        <v>1758.2500111874133</v>
      </c>
      <c r="G12" s="205">
        <f>'SER_se-appl'!G49</f>
        <v>1785.5151787438367</v>
      </c>
      <c r="H12" s="205">
        <f>'SER_se-appl'!H49</f>
        <v>1814.7082845294167</v>
      </c>
      <c r="I12" s="205">
        <f>'SER_se-appl'!I49</f>
        <v>1837.8736299198463</v>
      </c>
      <c r="J12" s="205">
        <f>'SER_se-appl'!J49</f>
        <v>1855.422528001905</v>
      </c>
      <c r="K12" s="205">
        <f>'SER_se-appl'!K49</f>
        <v>1872.7250828634626</v>
      </c>
      <c r="L12" s="205">
        <f>'SER_se-appl'!L49</f>
        <v>1893.3322421156629</v>
      </c>
      <c r="M12" s="205">
        <f>'SER_se-appl'!M49</f>
        <v>1914.8046058136192</v>
      </c>
      <c r="N12" s="205">
        <f>'SER_se-appl'!N49</f>
        <v>1932.1218092638126</v>
      </c>
      <c r="O12" s="205">
        <f>'SER_se-appl'!O49</f>
        <v>1949.2161492410637</v>
      </c>
      <c r="P12" s="205">
        <f>'SER_se-appl'!P49</f>
        <v>1970.2865521773965</v>
      </c>
      <c r="Q12" s="205">
        <f>'SER_se-appl'!Q49</f>
        <v>1991.7774321291786</v>
      </c>
      <c r="R12" s="205">
        <f>'SER_se-appl'!R49</f>
        <v>2053.5333606486724</v>
      </c>
      <c r="S12" s="205">
        <f>'SER_se-appl'!S49</f>
        <v>2043.2717842812065</v>
      </c>
      <c r="T12" s="205">
        <f>'SER_se-appl'!T49</f>
        <v>2041.7362828122027</v>
      </c>
      <c r="U12" s="205">
        <f>'SER_se-appl'!U49</f>
        <v>2043.7851669334784</v>
      </c>
      <c r="V12" s="205">
        <f>'SER_se-appl'!V49</f>
        <v>2018.8271391147523</v>
      </c>
      <c r="W12" s="205">
        <f>'SER_se-appl'!W49</f>
        <v>2300.020919205735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412.30181282101017</v>
      </c>
      <c r="C14" s="59">
        <f>'SER_se-appl'!C57</f>
        <v>399.01315404153399</v>
      </c>
      <c r="D14" s="59">
        <f>'SER_se-appl'!D57</f>
        <v>385.05492289593354</v>
      </c>
      <c r="E14" s="59">
        <f>'SER_se-appl'!E57</f>
        <v>369.29900983749189</v>
      </c>
      <c r="F14" s="59">
        <f>'SER_se-appl'!F57</f>
        <v>354.64790932358869</v>
      </c>
      <c r="G14" s="59">
        <f>'SER_se-appl'!G57</f>
        <v>340.19002064287253</v>
      </c>
      <c r="H14" s="59">
        <f>'SER_se-appl'!H57</f>
        <v>321.17573520098279</v>
      </c>
      <c r="I14" s="59">
        <f>'SER_se-appl'!I57</f>
        <v>305.16685238529931</v>
      </c>
      <c r="J14" s="59">
        <f>'SER_se-appl'!J57</f>
        <v>288.70086592079315</v>
      </c>
      <c r="K14" s="59">
        <f>'SER_se-appl'!K57</f>
        <v>272.92699108844056</v>
      </c>
      <c r="L14" s="59">
        <f>'SER_se-appl'!L57</f>
        <v>258.72943977668012</v>
      </c>
      <c r="M14" s="59">
        <f>'SER_se-appl'!M57</f>
        <v>239.94528039260456</v>
      </c>
      <c r="N14" s="59">
        <f>'SER_se-appl'!N57</f>
        <v>223.9413393568889</v>
      </c>
      <c r="O14" s="59">
        <f>'SER_se-appl'!O57</f>
        <v>208.51950342088855</v>
      </c>
      <c r="P14" s="59">
        <f>'SER_se-appl'!P57</f>
        <v>198.69415397368951</v>
      </c>
      <c r="Q14" s="59">
        <f>'SER_se-appl'!Q57</f>
        <v>194.0652318972117</v>
      </c>
      <c r="R14" s="59">
        <f>'SER_se-appl'!R57</f>
        <v>189.86969756577381</v>
      </c>
      <c r="S14" s="59">
        <f>'SER_se-appl'!S57</f>
        <v>185.40023792474861</v>
      </c>
      <c r="T14" s="59">
        <f>'SER_se-appl'!T57</f>
        <v>180.39901141494795</v>
      </c>
      <c r="U14" s="59">
        <f>'SER_se-appl'!U57</f>
        <v>175.63404231148775</v>
      </c>
      <c r="V14" s="59">
        <f>'SER_se-appl'!V57</f>
        <v>171.97745249270892</v>
      </c>
      <c r="W14" s="59">
        <f>'SER_se-appl'!W57</f>
        <v>168.17600809942246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376.09491994237447</v>
      </c>
      <c r="D15" s="63">
        <f>'SER_se-appl'!D65</f>
        <v>360.61886586605777</v>
      </c>
      <c r="E15" s="63">
        <f>'SER_se-appl'!E65</f>
        <v>343.15234279118494</v>
      </c>
      <c r="F15" s="63">
        <f>'SER_se-appl'!F65</f>
        <v>327.41649419052641</v>
      </c>
      <c r="G15" s="63">
        <f>'SER_se-appl'!G65</f>
        <v>309.93522901791806</v>
      </c>
      <c r="H15" s="63">
        <f>'SER_se-appl'!H65</f>
        <v>293.77824590165585</v>
      </c>
      <c r="I15" s="63">
        <f>'SER_se-appl'!I65</f>
        <v>276.98885519910544</v>
      </c>
      <c r="J15" s="63">
        <f>'SER_se-appl'!J65</f>
        <v>262.90118425499941</v>
      </c>
      <c r="K15" s="63">
        <f>'SER_se-appl'!K65</f>
        <v>240.20898168900956</v>
      </c>
      <c r="L15" s="63">
        <f>'SER_se-appl'!L65</f>
        <v>219.81701962508689</v>
      </c>
      <c r="M15" s="63">
        <f>'SER_se-appl'!M65</f>
        <v>206.92138806997946</v>
      </c>
      <c r="N15" s="63">
        <f>'SER_se-appl'!N65</f>
        <v>199.95460511628517</v>
      </c>
      <c r="O15" s="63">
        <f>'SER_se-appl'!O65</f>
        <v>192.95091815243862</v>
      </c>
      <c r="P15" s="63">
        <f>'SER_se-appl'!P65</f>
        <v>188.41843040875079</v>
      </c>
      <c r="Q15" s="63">
        <f>'SER_se-appl'!Q65</f>
        <v>186.12606170048602</v>
      </c>
      <c r="R15" s="63">
        <f>'SER_se-appl'!R65</f>
        <v>182.05719417826216</v>
      </c>
      <c r="S15" s="63">
        <f>'SER_se-appl'!S65</f>
        <v>177.3635990306741</v>
      </c>
      <c r="T15" s="63">
        <f>'SER_se-appl'!T65</f>
        <v>172.78370779578154</v>
      </c>
      <c r="U15" s="63">
        <f>'SER_se-appl'!U65</f>
        <v>168.39838727839728</v>
      </c>
      <c r="V15" s="63">
        <f>'SER_se-appl'!V65</f>
        <v>164.04686089437749</v>
      </c>
      <c r="W15" s="63">
        <f>'SER_se-appl'!W65</f>
        <v>160.9493643230069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472.50300486689918</v>
      </c>
      <c r="C3" s="220">
        <v>449.13429869914808</v>
      </c>
      <c r="D3" s="220">
        <v>487.64230209265202</v>
      </c>
      <c r="E3" s="220">
        <v>509.710782084323</v>
      </c>
      <c r="F3" s="220">
        <v>570.788039095513</v>
      </c>
      <c r="G3" s="220">
        <v>567.84784297004683</v>
      </c>
      <c r="H3" s="220">
        <v>598.16359430854425</v>
      </c>
      <c r="I3" s="220">
        <v>800.37793552718267</v>
      </c>
      <c r="J3" s="220">
        <v>663.26410888184898</v>
      </c>
      <c r="K3" s="220">
        <v>419.86797965588141</v>
      </c>
      <c r="L3" s="220">
        <v>554.94225039469154</v>
      </c>
      <c r="M3" s="220">
        <v>690.10885210507388</v>
      </c>
      <c r="N3" s="220">
        <v>641.28169972038393</v>
      </c>
      <c r="O3" s="220">
        <v>603.29955269057132</v>
      </c>
      <c r="P3" s="220">
        <v>638.46060947626904</v>
      </c>
      <c r="Q3" s="220">
        <v>589.70000000000005</v>
      </c>
      <c r="R3" s="220">
        <v>451.46527341294791</v>
      </c>
      <c r="S3" s="220">
        <v>540.39928922337208</v>
      </c>
      <c r="T3" s="220">
        <v>491.23697786804229</v>
      </c>
      <c r="U3" s="220">
        <v>561.91911361201369</v>
      </c>
      <c r="V3" s="220">
        <v>480.34322738814473</v>
      </c>
      <c r="W3" s="220">
        <v>504.49858263834682</v>
      </c>
      <c r="DA3" s="211" t="s">
        <v>972</v>
      </c>
    </row>
    <row r="5" spans="1:105" x14ac:dyDescent="0.25">
      <c r="A5" s="219" t="s">
        <v>120</v>
      </c>
      <c r="B5" s="220">
        <v>459.40862845667078</v>
      </c>
      <c r="C5" s="220">
        <v>813.787178988042</v>
      </c>
      <c r="D5" s="220">
        <v>851.26253971778317</v>
      </c>
      <c r="E5" s="220">
        <v>835.85552716002792</v>
      </c>
      <c r="F5" s="220">
        <v>778.19445747783902</v>
      </c>
      <c r="G5" s="220">
        <v>674.01331248140445</v>
      </c>
      <c r="H5" s="220">
        <v>671.54095148990416</v>
      </c>
      <c r="I5" s="220">
        <v>679.67605429193122</v>
      </c>
      <c r="J5" s="220">
        <v>681.52959848377554</v>
      </c>
      <c r="K5" s="220">
        <v>593.44794634877462</v>
      </c>
      <c r="L5" s="220">
        <v>657.89826397528168</v>
      </c>
      <c r="M5" s="220">
        <v>820.4091921799095</v>
      </c>
      <c r="N5" s="220">
        <v>820.61111879205441</v>
      </c>
      <c r="O5" s="220">
        <v>828.30034486516922</v>
      </c>
      <c r="P5" s="220">
        <v>1008.258421682589</v>
      </c>
      <c r="Q5" s="220">
        <v>996.68703619162454</v>
      </c>
      <c r="R5" s="220">
        <v>970.33131530079743</v>
      </c>
      <c r="S5" s="220">
        <v>1065.794231270497</v>
      </c>
      <c r="T5" s="220">
        <v>883.89112035736707</v>
      </c>
      <c r="U5" s="220">
        <v>798.68036722163208</v>
      </c>
      <c r="V5" s="220">
        <v>739.93163453627858</v>
      </c>
      <c r="W5" s="220">
        <v>621.81877254406288</v>
      </c>
      <c r="DA5" s="211" t="s">
        <v>973</v>
      </c>
    </row>
    <row r="6" spans="1:105" x14ac:dyDescent="0.25">
      <c r="A6" s="221" t="s">
        <v>119</v>
      </c>
      <c r="B6" s="222">
        <v>574.26078557083849</v>
      </c>
      <c r="C6" s="222">
        <v>861.3911783562578</v>
      </c>
      <c r="D6" s="222">
        <v>918.81725691334168</v>
      </c>
      <c r="E6" s="222">
        <v>890.10421763479974</v>
      </c>
      <c r="F6" s="222">
        <v>861.3911783562578</v>
      </c>
      <c r="G6" s="222">
        <v>861.3911783562578</v>
      </c>
      <c r="H6" s="222">
        <v>832.67813907771585</v>
      </c>
      <c r="I6" s="222">
        <v>803.96509979917391</v>
      </c>
      <c r="J6" s="222">
        <v>803.96509979917391</v>
      </c>
      <c r="K6" s="222">
        <v>775.25206052063197</v>
      </c>
      <c r="L6" s="222">
        <v>746.53902124209003</v>
      </c>
      <c r="M6" s="222">
        <v>890.10421763479962</v>
      </c>
      <c r="N6" s="222">
        <v>890.10421763479962</v>
      </c>
      <c r="O6" s="222">
        <v>890.10421763479962</v>
      </c>
      <c r="P6" s="222">
        <v>1062.382453306051</v>
      </c>
      <c r="Q6" s="222">
        <v>1062.382453306051</v>
      </c>
      <c r="R6" s="222">
        <v>1033.669414027509</v>
      </c>
      <c r="S6" s="222">
        <v>1148.521571141677</v>
      </c>
      <c r="T6" s="222">
        <v>1119.8085318631349</v>
      </c>
      <c r="U6" s="222">
        <v>1091.095492584594</v>
      </c>
      <c r="V6" s="222">
        <v>1091.095492584594</v>
      </c>
      <c r="W6" s="222">
        <v>1062.382453306052</v>
      </c>
      <c r="DA6" s="212" t="s">
        <v>974</v>
      </c>
    </row>
    <row r="7" spans="1:105" x14ac:dyDescent="0.25">
      <c r="A7" s="225" t="s">
        <v>118</v>
      </c>
      <c r="B7" s="226"/>
      <c r="C7" s="226">
        <v>315.84343206396119</v>
      </c>
      <c r="D7" s="226">
        <v>57.426078557083883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143.56519639270971</v>
      </c>
      <c r="N7" s="226">
        <v>28.713039278541931</v>
      </c>
      <c r="O7" s="226">
        <v>28.713039278541931</v>
      </c>
      <c r="P7" s="226">
        <v>172.27823567125159</v>
      </c>
      <c r="Q7" s="226">
        <v>28.713039278541931</v>
      </c>
      <c r="R7" s="226">
        <v>0</v>
      </c>
      <c r="S7" s="226">
        <v>114.85215711416799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28.713039278541828</v>
      </c>
      <c r="D8" s="228">
        <f t="shared" ref="D8" si="1">IF(C6=0,0,C6+D7-D6)</f>
        <v>0</v>
      </c>
      <c r="E8" s="228">
        <f t="shared" ref="E8" si="2">IF(D6=0,0,D6+E7-E6)</f>
        <v>28.713039278541942</v>
      </c>
      <c r="F8" s="228">
        <f t="shared" ref="F8" si="3">IF(E6=0,0,E6+F7-F6)</f>
        <v>28.713039278541942</v>
      </c>
      <c r="G8" s="228">
        <f t="shared" ref="G8" si="4">IF(F6=0,0,F6+G7-G6)</f>
        <v>0</v>
      </c>
      <c r="H8" s="228">
        <f t="shared" ref="H8" si="5">IF(G6=0,0,G6+H7-H6)</f>
        <v>28.713039278541942</v>
      </c>
      <c r="I8" s="228">
        <f t="shared" ref="I8" si="6">IF(H6=0,0,H6+I7-I6)</f>
        <v>28.713039278541942</v>
      </c>
      <c r="J8" s="228">
        <f t="shared" ref="J8" si="7">IF(I6=0,0,I6+J7-J6)</f>
        <v>0</v>
      </c>
      <c r="K8" s="228">
        <f t="shared" ref="K8" si="8">IF(J6=0,0,J6+K7-K6)</f>
        <v>28.713039278541942</v>
      </c>
      <c r="L8" s="228">
        <f t="shared" ref="L8" si="9">IF(K6=0,0,K6+L7-L6)</f>
        <v>28.713039278541942</v>
      </c>
      <c r="M8" s="228">
        <f t="shared" ref="M8" si="10">IF(L6=0,0,L6+M7-M6)</f>
        <v>1.1368683772161603E-13</v>
      </c>
      <c r="N8" s="228">
        <f t="shared" ref="N8" si="11">IF(M6=0,0,M6+N7-N6)</f>
        <v>28.713039278541942</v>
      </c>
      <c r="O8" s="228">
        <f t="shared" ref="O8" si="12">IF(N6=0,0,N6+O7-O6)</f>
        <v>28.713039278541942</v>
      </c>
      <c r="P8" s="228">
        <f t="shared" ref="P8" si="13">IF(O6=0,0,O6+P7-P6)</f>
        <v>2.2737367544323206E-13</v>
      </c>
      <c r="Q8" s="228">
        <f t="shared" ref="Q8" si="14">IF(P6=0,0,P6+Q7-Q6)</f>
        <v>28.713039278541828</v>
      </c>
      <c r="R8" s="228">
        <f t="shared" ref="R8" si="15">IF(Q6=0,0,Q6+R7-R6)</f>
        <v>28.713039278542055</v>
      </c>
      <c r="S8" s="228">
        <f t="shared" ref="S8" si="16">IF(R6=0,0,R6+S7-S6)</f>
        <v>0</v>
      </c>
      <c r="T8" s="228">
        <f t="shared" ref="T8" si="17">IF(S6=0,0,S6+T7-T6)</f>
        <v>28.713039278542055</v>
      </c>
      <c r="U8" s="228">
        <f t="shared" ref="U8" si="18">IF(T6=0,0,T6+U7-U6)</f>
        <v>28.713039278540919</v>
      </c>
      <c r="V8" s="228">
        <f t="shared" ref="V8" si="19">IF(U6=0,0,U6+V7-V6)</f>
        <v>0</v>
      </c>
      <c r="W8" s="228">
        <f t="shared" ref="W8" si="20">IF(V6=0,0,V6+W7-W6)</f>
        <v>28.713039278542055</v>
      </c>
      <c r="DA8" s="214" t="s">
        <v>976</v>
      </c>
    </row>
    <row r="9" spans="1:105" x14ac:dyDescent="0.25">
      <c r="A9" s="223" t="s">
        <v>116</v>
      </c>
      <c r="B9" s="224">
        <f>B6-B5</f>
        <v>114.85215711416771</v>
      </c>
      <c r="C9" s="224">
        <f t="shared" ref="C9:W9" si="21">C6-C5</f>
        <v>47.603999368215796</v>
      </c>
      <c r="D9" s="224">
        <f t="shared" si="21"/>
        <v>67.55471719555851</v>
      </c>
      <c r="E9" s="224">
        <f t="shared" si="21"/>
        <v>54.24869047477182</v>
      </c>
      <c r="F9" s="224">
        <f t="shared" si="21"/>
        <v>83.196720878418773</v>
      </c>
      <c r="G9" s="224">
        <f t="shared" si="21"/>
        <v>187.37786587485334</v>
      </c>
      <c r="H9" s="224">
        <f t="shared" si="21"/>
        <v>161.1371875878117</v>
      </c>
      <c r="I9" s="224">
        <f t="shared" si="21"/>
        <v>124.28904550724269</v>
      </c>
      <c r="J9" s="224">
        <f t="shared" si="21"/>
        <v>122.43550131539837</v>
      </c>
      <c r="K9" s="224">
        <f t="shared" si="21"/>
        <v>181.80411417185735</v>
      </c>
      <c r="L9" s="224">
        <f t="shared" si="21"/>
        <v>88.64075726680835</v>
      </c>
      <c r="M9" s="224">
        <f t="shared" si="21"/>
        <v>69.695025454890128</v>
      </c>
      <c r="N9" s="224">
        <f t="shared" si="21"/>
        <v>69.493098842745212</v>
      </c>
      <c r="O9" s="224">
        <f t="shared" si="21"/>
        <v>61.803872769630402</v>
      </c>
      <c r="P9" s="224">
        <f t="shared" si="21"/>
        <v>54.124031623462088</v>
      </c>
      <c r="Q9" s="224">
        <f t="shared" si="21"/>
        <v>65.695417114426505</v>
      </c>
      <c r="R9" s="224">
        <f t="shared" si="21"/>
        <v>63.338098726711564</v>
      </c>
      <c r="S9" s="224">
        <f t="shared" si="21"/>
        <v>82.727339871179993</v>
      </c>
      <c r="T9" s="224">
        <f t="shared" si="21"/>
        <v>235.91741150576786</v>
      </c>
      <c r="U9" s="224">
        <f t="shared" si="21"/>
        <v>292.41512536296193</v>
      </c>
      <c r="V9" s="224">
        <f t="shared" si="21"/>
        <v>351.16385804831543</v>
      </c>
      <c r="W9" s="224">
        <f t="shared" si="21"/>
        <v>440.56368076198908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58.096302665520199</v>
      </c>
      <c r="C12" s="230">
        <f t="shared" ref="C12:W12" si="22">SUM(C13,C14,C18,C19,C26,C27)</f>
        <v>99.565262252794469</v>
      </c>
      <c r="D12" s="230">
        <f t="shared" si="22"/>
        <v>108.80034393809112</v>
      </c>
      <c r="E12" s="230">
        <f t="shared" si="22"/>
        <v>113.20232158211522</v>
      </c>
      <c r="F12" s="230">
        <f t="shared" si="22"/>
        <v>104.93456577815992</v>
      </c>
      <c r="G12" s="230">
        <f t="shared" si="22"/>
        <v>104.08555460017195</v>
      </c>
      <c r="H12" s="230">
        <f t="shared" si="22"/>
        <v>98.669647463456585</v>
      </c>
      <c r="I12" s="230">
        <f t="shared" si="22"/>
        <v>93.277730008598439</v>
      </c>
      <c r="J12" s="230">
        <f t="shared" si="22"/>
        <v>94.955631986242466</v>
      </c>
      <c r="K12" s="230">
        <f t="shared" si="22"/>
        <v>92.791659501289757</v>
      </c>
      <c r="L12" s="230">
        <f t="shared" si="22"/>
        <v>95.122785898538254</v>
      </c>
      <c r="M12" s="230">
        <f t="shared" si="22"/>
        <v>108.95055889939812</v>
      </c>
      <c r="N12" s="230">
        <f t="shared" si="22"/>
        <v>110.81779879621668</v>
      </c>
      <c r="O12" s="230">
        <f t="shared" si="22"/>
        <v>110.12269991401547</v>
      </c>
      <c r="P12" s="230">
        <f t="shared" si="22"/>
        <v>131.23430782459158</v>
      </c>
      <c r="Q12" s="230">
        <f t="shared" si="22"/>
        <v>132.47781599312123</v>
      </c>
      <c r="R12" s="230">
        <f t="shared" si="22"/>
        <v>131.36870163370594</v>
      </c>
      <c r="S12" s="230">
        <f t="shared" si="22"/>
        <v>133.11994840928634</v>
      </c>
      <c r="T12" s="230">
        <f t="shared" si="22"/>
        <v>124.87601031814273</v>
      </c>
      <c r="U12" s="230">
        <f t="shared" si="22"/>
        <v>113.42218400687875</v>
      </c>
      <c r="V12" s="230">
        <f t="shared" si="22"/>
        <v>109.973086844368</v>
      </c>
      <c r="W12" s="230">
        <f t="shared" si="22"/>
        <v>88.634135855545992</v>
      </c>
      <c r="DA12" s="211" t="s">
        <v>978</v>
      </c>
    </row>
    <row r="13" spans="1:105" x14ac:dyDescent="0.25">
      <c r="A13" s="58" t="s">
        <v>29</v>
      </c>
      <c r="B13" s="59">
        <v>0.63714531384350814</v>
      </c>
      <c r="C13" s="59">
        <v>0</v>
      </c>
      <c r="D13" s="59">
        <v>0.64858125537403266</v>
      </c>
      <c r="E13" s="59">
        <v>0.64617368873602743</v>
      </c>
      <c r="F13" s="59">
        <v>0.7642304385210662</v>
      </c>
      <c r="G13" s="59">
        <v>0.64858125537403266</v>
      </c>
      <c r="H13" s="59">
        <v>0</v>
      </c>
      <c r="I13" s="59">
        <v>0.64858125537403266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3.0807394668959587</v>
      </c>
      <c r="S13" s="59">
        <v>1.050902837489252</v>
      </c>
      <c r="T13" s="59">
        <v>0.52545141874462586</v>
      </c>
      <c r="U13" s="59">
        <v>0.29785038693035248</v>
      </c>
      <c r="V13" s="59">
        <v>0.14299226139294929</v>
      </c>
      <c r="W13" s="59">
        <v>0.29785038693035248</v>
      </c>
      <c r="DA13" s="9" t="s">
        <v>979</v>
      </c>
    </row>
    <row r="14" spans="1:105" x14ac:dyDescent="0.25">
      <c r="A14" s="60" t="s">
        <v>28</v>
      </c>
      <c r="B14" s="55">
        <f>SUM(B15:B17)</f>
        <v>29.215649183147033</v>
      </c>
      <c r="C14" s="55">
        <f t="shared" ref="C14:W14" si="23">SUM(C15:C17)</f>
        <v>69.504127257093714</v>
      </c>
      <c r="D14" s="55">
        <f t="shared" si="23"/>
        <v>77.648753224419593</v>
      </c>
      <c r="E14" s="55">
        <f t="shared" si="23"/>
        <v>82.927257093723128</v>
      </c>
      <c r="F14" s="55">
        <f t="shared" si="23"/>
        <v>73.812983662940667</v>
      </c>
      <c r="G14" s="55">
        <f t="shared" si="23"/>
        <v>70.762854686156487</v>
      </c>
      <c r="H14" s="55">
        <f t="shared" si="23"/>
        <v>60.619088564058472</v>
      </c>
      <c r="I14" s="55">
        <f t="shared" si="23"/>
        <v>63.767067927772999</v>
      </c>
      <c r="J14" s="55">
        <f t="shared" si="23"/>
        <v>66.633276010318141</v>
      </c>
      <c r="K14" s="55">
        <f t="shared" si="23"/>
        <v>63.704987102321589</v>
      </c>
      <c r="L14" s="55">
        <f t="shared" si="23"/>
        <v>64.598280309544279</v>
      </c>
      <c r="M14" s="55">
        <f t="shared" si="23"/>
        <v>79.668013757523639</v>
      </c>
      <c r="N14" s="55">
        <f t="shared" si="23"/>
        <v>80.828288907996566</v>
      </c>
      <c r="O14" s="55">
        <f t="shared" si="23"/>
        <v>79.81797076526226</v>
      </c>
      <c r="P14" s="55">
        <f t="shared" si="23"/>
        <v>101.07523645743765</v>
      </c>
      <c r="Q14" s="55">
        <f t="shared" si="23"/>
        <v>102.91109200343938</v>
      </c>
      <c r="R14" s="55">
        <f t="shared" si="23"/>
        <v>96.963284608770422</v>
      </c>
      <c r="S14" s="55">
        <f t="shared" si="23"/>
        <v>98.983920894239048</v>
      </c>
      <c r="T14" s="55">
        <f t="shared" si="23"/>
        <v>98.770937231298362</v>
      </c>
      <c r="U14" s="55">
        <f t="shared" si="23"/>
        <v>91.515993121238182</v>
      </c>
      <c r="V14" s="55">
        <f t="shared" si="23"/>
        <v>87.748409286328439</v>
      </c>
      <c r="W14" s="55">
        <f t="shared" si="23"/>
        <v>64.259415305245057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1.086758383490972</v>
      </c>
      <c r="J15" s="55">
        <v>1.086758383490972</v>
      </c>
      <c r="K15" s="55">
        <v>1.086758383490972</v>
      </c>
      <c r="L15" s="55">
        <v>0</v>
      </c>
      <c r="M15" s="55">
        <v>0</v>
      </c>
      <c r="N15" s="55">
        <v>1.086758383490972</v>
      </c>
      <c r="O15" s="55">
        <v>1.086758383490972</v>
      </c>
      <c r="P15" s="55">
        <v>1.086758383490972</v>
      </c>
      <c r="Q15" s="55">
        <v>2.1735167669819431</v>
      </c>
      <c r="R15" s="55">
        <v>2.1735167669819431</v>
      </c>
      <c r="S15" s="55">
        <v>2.1735167669819431</v>
      </c>
      <c r="T15" s="55">
        <v>1.086758383490972</v>
      </c>
      <c r="U15" s="55">
        <v>2.1735167669819431</v>
      </c>
      <c r="V15" s="55">
        <v>2.586500429922614</v>
      </c>
      <c r="W15" s="55">
        <v>1.086758383490972</v>
      </c>
      <c r="DA15" s="10" t="s">
        <v>980</v>
      </c>
    </row>
    <row r="16" spans="1:105" x14ac:dyDescent="0.25">
      <c r="A16" s="61" t="s">
        <v>172</v>
      </c>
      <c r="B16" s="55">
        <v>26.268271711092002</v>
      </c>
      <c r="C16" s="55">
        <v>64.660361134995696</v>
      </c>
      <c r="D16" s="55">
        <v>73.753224419604464</v>
      </c>
      <c r="E16" s="55">
        <v>80.82545141874462</v>
      </c>
      <c r="F16" s="55">
        <v>69.71195184866724</v>
      </c>
      <c r="G16" s="55">
        <v>69.71195184866724</v>
      </c>
      <c r="H16" s="55">
        <v>60.619088564058472</v>
      </c>
      <c r="I16" s="55">
        <v>61.629406706792771</v>
      </c>
      <c r="J16" s="55">
        <v>63.65004299226139</v>
      </c>
      <c r="K16" s="55">
        <v>60.619088564058472</v>
      </c>
      <c r="L16" s="55">
        <v>63.65004299226139</v>
      </c>
      <c r="M16" s="55">
        <v>77.794496990541703</v>
      </c>
      <c r="N16" s="55">
        <v>78.804815133276009</v>
      </c>
      <c r="O16" s="55">
        <v>77.794496990541703</v>
      </c>
      <c r="P16" s="55">
        <v>98.000859845227851</v>
      </c>
      <c r="Q16" s="55">
        <v>96.990541702493545</v>
      </c>
      <c r="R16" s="55">
        <v>90.928632846087694</v>
      </c>
      <c r="S16" s="55">
        <v>92.949269131556321</v>
      </c>
      <c r="T16" s="55">
        <v>94.969905417024933</v>
      </c>
      <c r="U16" s="55">
        <v>85.877042132416165</v>
      </c>
      <c r="V16" s="55">
        <v>82.846087704213232</v>
      </c>
      <c r="W16" s="55">
        <v>60.619088564058472</v>
      </c>
      <c r="DA16" s="10" t="s">
        <v>981</v>
      </c>
    </row>
    <row r="17" spans="1:105" x14ac:dyDescent="0.25">
      <c r="A17" s="61" t="s">
        <v>113</v>
      </c>
      <c r="B17" s="55">
        <v>2.9473774720550301</v>
      </c>
      <c r="C17" s="55">
        <v>4.8437661220980219</v>
      </c>
      <c r="D17" s="55">
        <v>3.8955288048151329</v>
      </c>
      <c r="E17" s="55">
        <v>2.101805674978503</v>
      </c>
      <c r="F17" s="55">
        <v>4.1010318142734317</v>
      </c>
      <c r="G17" s="55">
        <v>1.050902837489252</v>
      </c>
      <c r="H17" s="55">
        <v>0</v>
      </c>
      <c r="I17" s="55">
        <v>1.050902837489252</v>
      </c>
      <c r="J17" s="55">
        <v>1.8964746345657779</v>
      </c>
      <c r="K17" s="55">
        <v>1.999140154772141</v>
      </c>
      <c r="L17" s="55">
        <v>0.94823731728288907</v>
      </c>
      <c r="M17" s="55">
        <v>1.873516766981943</v>
      </c>
      <c r="N17" s="55">
        <v>0.93671539122957859</v>
      </c>
      <c r="O17" s="55">
        <v>0.93671539122957859</v>
      </c>
      <c r="P17" s="55">
        <v>1.9876182287188304</v>
      </c>
      <c r="Q17" s="55">
        <v>3.7470335339638861</v>
      </c>
      <c r="R17" s="55">
        <v>3.8611349957007741</v>
      </c>
      <c r="S17" s="55">
        <v>3.8611349957007741</v>
      </c>
      <c r="T17" s="55">
        <v>2.714273430782459</v>
      </c>
      <c r="U17" s="55">
        <v>3.4654342218400678</v>
      </c>
      <c r="V17" s="55">
        <v>2.3158211521926049</v>
      </c>
      <c r="W17" s="55">
        <v>2.5535683576956147</v>
      </c>
      <c r="DA17" s="10" t="s">
        <v>982</v>
      </c>
    </row>
    <row r="18" spans="1:105" x14ac:dyDescent="0.25">
      <c r="A18" s="60" t="s">
        <v>153</v>
      </c>
      <c r="B18" s="55">
        <v>2.5580395528804809</v>
      </c>
      <c r="C18" s="55">
        <v>3.611349957007739</v>
      </c>
      <c r="D18" s="55">
        <v>4.062768701633706</v>
      </c>
      <c r="E18" s="55">
        <v>5.4815133276010313</v>
      </c>
      <c r="F18" s="55">
        <v>6.0619088564058474</v>
      </c>
      <c r="G18" s="55">
        <v>6.44883920894239</v>
      </c>
      <c r="H18" s="55">
        <v>7.1152192605331033</v>
      </c>
      <c r="I18" s="55">
        <v>7.0077386070507304</v>
      </c>
      <c r="J18" s="55">
        <v>6.4058469475494411</v>
      </c>
      <c r="K18" s="55">
        <v>7.6956147893379194</v>
      </c>
      <c r="L18" s="55">
        <v>8.16852966466036</v>
      </c>
      <c r="M18" s="55">
        <v>6.9647463456577814</v>
      </c>
      <c r="N18" s="55">
        <v>8.2545141874462598</v>
      </c>
      <c r="O18" s="55">
        <v>7.265692175408426</v>
      </c>
      <c r="P18" s="55">
        <v>5.4385210662080823</v>
      </c>
      <c r="Q18" s="55">
        <v>6.0404127257093716</v>
      </c>
      <c r="R18" s="55">
        <v>4.6216680997420463</v>
      </c>
      <c r="S18" s="55">
        <v>4.260017196904557</v>
      </c>
      <c r="T18" s="55">
        <v>4.2989681857265687</v>
      </c>
      <c r="U18" s="55">
        <v>4.0859845227858989</v>
      </c>
      <c r="V18" s="55">
        <v>3.5835769561478932</v>
      </c>
      <c r="W18" s="55">
        <v>2.970077386070507</v>
      </c>
      <c r="DA18" s="10" t="s">
        <v>983</v>
      </c>
    </row>
    <row r="19" spans="1:105" x14ac:dyDescent="0.25">
      <c r="A19" s="60" t="s">
        <v>51</v>
      </c>
      <c r="B19" s="55">
        <f>SUM(B20:B25)</f>
        <v>5.1590713671539117</v>
      </c>
      <c r="C19" s="55">
        <f t="shared" ref="C19:W19" si="24">SUM(C20:C25)</f>
        <v>7.452020636285468</v>
      </c>
      <c r="D19" s="55">
        <f t="shared" si="24"/>
        <v>7.452020636285468</v>
      </c>
      <c r="E19" s="55">
        <f t="shared" si="24"/>
        <v>4.5380911435941522</v>
      </c>
      <c r="F19" s="55">
        <f t="shared" si="24"/>
        <v>3.0572656921754078</v>
      </c>
      <c r="G19" s="55">
        <f t="shared" si="24"/>
        <v>5.0157351676698188</v>
      </c>
      <c r="H19" s="55">
        <f t="shared" si="24"/>
        <v>10.12708512467756</v>
      </c>
      <c r="I19" s="55">
        <f t="shared" si="24"/>
        <v>2.7705932932072228</v>
      </c>
      <c r="J19" s="55">
        <f t="shared" si="24"/>
        <v>3.6304385210662078</v>
      </c>
      <c r="K19" s="55">
        <f t="shared" si="24"/>
        <v>4.7769561478933786</v>
      </c>
      <c r="L19" s="55">
        <f t="shared" si="24"/>
        <v>4.3470335339638861</v>
      </c>
      <c r="M19" s="55">
        <f t="shared" si="24"/>
        <v>3.893207222699913</v>
      </c>
      <c r="N19" s="55">
        <f t="shared" si="24"/>
        <v>1.1942390369733451</v>
      </c>
      <c r="O19" s="55">
        <f t="shared" si="24"/>
        <v>4.275322441960447</v>
      </c>
      <c r="P19" s="55">
        <f t="shared" si="24"/>
        <v>5.8994840928632843</v>
      </c>
      <c r="Q19" s="55">
        <f t="shared" si="24"/>
        <v>4.0603611349957003</v>
      </c>
      <c r="R19" s="55">
        <f t="shared" si="24"/>
        <v>6.3533104041272566</v>
      </c>
      <c r="S19" s="55">
        <f t="shared" si="24"/>
        <v>5.5614789337919177</v>
      </c>
      <c r="T19" s="55">
        <f t="shared" si="24"/>
        <v>5.4690455717970767</v>
      </c>
      <c r="U19" s="55">
        <f t="shared" si="24"/>
        <v>4.1039552880481516</v>
      </c>
      <c r="V19" s="55">
        <f t="shared" si="24"/>
        <v>5.0516766981943251</v>
      </c>
      <c r="W19" s="55">
        <f t="shared" si="24"/>
        <v>5.7633705932932076</v>
      </c>
      <c r="DA19" s="10"/>
    </row>
    <row r="20" spans="1:105" x14ac:dyDescent="0.25">
      <c r="A20" s="61" t="s">
        <v>171</v>
      </c>
      <c r="B20" s="55">
        <v>5.1590713671539117</v>
      </c>
      <c r="C20" s="55">
        <v>7.452020636285468</v>
      </c>
      <c r="D20" s="55">
        <v>7.452020636285468</v>
      </c>
      <c r="E20" s="55">
        <v>4.5380911435941522</v>
      </c>
      <c r="F20" s="55">
        <v>3.0572656921754078</v>
      </c>
      <c r="G20" s="55">
        <v>5.0157351676698188</v>
      </c>
      <c r="H20" s="55">
        <v>10.12708512467756</v>
      </c>
      <c r="I20" s="55">
        <v>2.7705932932072228</v>
      </c>
      <c r="J20" s="55">
        <v>3.6304385210662078</v>
      </c>
      <c r="K20" s="55">
        <v>4.7769561478933786</v>
      </c>
      <c r="L20" s="55">
        <v>4.3470335339638861</v>
      </c>
      <c r="M20" s="55">
        <v>3.893207222699913</v>
      </c>
      <c r="N20" s="55">
        <v>1.1942390369733451</v>
      </c>
      <c r="O20" s="55">
        <v>4.275322441960447</v>
      </c>
      <c r="P20" s="55">
        <v>4.3231298366294064</v>
      </c>
      <c r="Q20" s="55">
        <v>4.0603611349957003</v>
      </c>
      <c r="R20" s="55">
        <v>3.8693035253654342</v>
      </c>
      <c r="S20" s="55">
        <v>3.8417884780739464</v>
      </c>
      <c r="T20" s="55">
        <v>3.7732588134135856</v>
      </c>
      <c r="U20" s="55">
        <v>4.1039552880481516</v>
      </c>
      <c r="V20" s="55">
        <v>5.0397248495270848</v>
      </c>
      <c r="W20" s="55">
        <v>5.7562338779019777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1.5763542562338779</v>
      </c>
      <c r="Q21" s="55">
        <v>0</v>
      </c>
      <c r="R21" s="55">
        <v>2.4840068787618228</v>
      </c>
      <c r="S21" s="55">
        <v>1.7196904557179711</v>
      </c>
      <c r="T21" s="55">
        <v>1.6957867583834909</v>
      </c>
      <c r="U21" s="55">
        <v>0</v>
      </c>
      <c r="V21" s="55">
        <v>1.19518486672399E-2</v>
      </c>
      <c r="W21" s="55">
        <v>7.1367153912295783E-3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1.265864144453998</v>
      </c>
      <c r="C26" s="55">
        <v>1.4569217540842649</v>
      </c>
      <c r="D26" s="55">
        <v>1.791315563198624</v>
      </c>
      <c r="E26" s="55">
        <v>1.5525365434221841</v>
      </c>
      <c r="F26" s="55">
        <v>2.1496130696474629</v>
      </c>
      <c r="G26" s="55">
        <v>2.2929492691315558</v>
      </c>
      <c r="H26" s="55">
        <v>2.1496130696474629</v>
      </c>
      <c r="I26" s="55">
        <v>2.3167669819432501</v>
      </c>
      <c r="J26" s="55">
        <v>1.863026655202064</v>
      </c>
      <c r="K26" s="55">
        <v>1.4808254514187451</v>
      </c>
      <c r="L26" s="55">
        <v>1.671883061049011</v>
      </c>
      <c r="M26" s="55">
        <v>2.1735167669819431</v>
      </c>
      <c r="N26" s="55">
        <v>1.6241616509028369</v>
      </c>
      <c r="O26" s="55">
        <v>1.050902837489252</v>
      </c>
      <c r="P26" s="55">
        <v>1.1942390369733451</v>
      </c>
      <c r="Q26" s="55">
        <v>1.8391229578675841</v>
      </c>
      <c r="R26" s="55">
        <v>1.863026655202064</v>
      </c>
      <c r="S26" s="55">
        <v>1.7674978503869301</v>
      </c>
      <c r="T26" s="55">
        <v>1.6241616509028369</v>
      </c>
      <c r="U26" s="55">
        <v>1.5525365434221841</v>
      </c>
      <c r="V26" s="55">
        <v>1.4808254514187451</v>
      </c>
      <c r="W26" s="55">
        <v>1.671883061049011</v>
      </c>
      <c r="DA26" s="10" t="s">
        <v>990</v>
      </c>
    </row>
    <row r="27" spans="1:105" x14ac:dyDescent="0.25">
      <c r="A27" s="62" t="s">
        <v>24</v>
      </c>
      <c r="B27" s="63">
        <v>19.260533104041269</v>
      </c>
      <c r="C27" s="63">
        <v>17.540842648323299</v>
      </c>
      <c r="D27" s="63">
        <v>17.19690455717971</v>
      </c>
      <c r="E27" s="63">
        <v>18.05674978503869</v>
      </c>
      <c r="F27" s="63">
        <v>19.088564058469476</v>
      </c>
      <c r="G27" s="63">
        <v>18.916595012897677</v>
      </c>
      <c r="H27" s="63">
        <v>18.658641444539985</v>
      </c>
      <c r="I27" s="63">
        <v>16.766981943250215</v>
      </c>
      <c r="J27" s="63">
        <v>16.42304385210662</v>
      </c>
      <c r="K27" s="63">
        <v>15.133276010318138</v>
      </c>
      <c r="L27" s="63">
        <v>16.337059329320724</v>
      </c>
      <c r="M27" s="63">
        <v>16.251074806534827</v>
      </c>
      <c r="N27" s="63">
        <v>18.916595012897677</v>
      </c>
      <c r="O27" s="63">
        <v>17.712811693895098</v>
      </c>
      <c r="P27" s="63">
        <v>17.626827171109205</v>
      </c>
      <c r="Q27" s="63">
        <v>17.626827171109198</v>
      </c>
      <c r="R27" s="63">
        <v>18.486672398968182</v>
      </c>
      <c r="S27" s="63">
        <v>21.49613069647463</v>
      </c>
      <c r="T27" s="63">
        <v>14.187446259673264</v>
      </c>
      <c r="U27" s="63">
        <v>11.865864144453994</v>
      </c>
      <c r="V27" s="63">
        <v>11.965606190885644</v>
      </c>
      <c r="W27" s="63">
        <v>13.671539122957865</v>
      </c>
      <c r="DA27" s="11" t="s">
        <v>991</v>
      </c>
    </row>
    <row r="29" spans="1:105" x14ac:dyDescent="0.25">
      <c r="A29" s="219" t="s">
        <v>84</v>
      </c>
      <c r="B29" s="220">
        <v>99.250643037182755</v>
      </c>
      <c r="C29" s="220">
        <v>224.4260736</v>
      </c>
      <c r="D29" s="220">
        <v>253.22275784603579</v>
      </c>
      <c r="E29" s="220">
        <v>272.31696161165962</v>
      </c>
      <c r="F29" s="220">
        <v>246.10434065242879</v>
      </c>
      <c r="G29" s="220">
        <v>237.07066196127093</v>
      </c>
      <c r="H29" s="220">
        <v>204.77799000000002</v>
      </c>
      <c r="I29" s="220">
        <v>216.17897500127813</v>
      </c>
      <c r="J29" s="220">
        <v>221.53186908000001</v>
      </c>
      <c r="K29" s="220">
        <v>215.13428172000005</v>
      </c>
      <c r="L29" s="220">
        <v>219.72813192000001</v>
      </c>
      <c r="M29" s="220">
        <v>263.78115696000003</v>
      </c>
      <c r="N29" s="220">
        <v>269.78027940000004</v>
      </c>
      <c r="O29" s="220">
        <v>264.32330940000003</v>
      </c>
      <c r="P29" s="220">
        <v>325.76940396000003</v>
      </c>
      <c r="Q29" s="220">
        <v>332.97769440000002</v>
      </c>
      <c r="R29" s="220">
        <v>329.94908908154724</v>
      </c>
      <c r="S29" s="220">
        <v>321.96788794903927</v>
      </c>
      <c r="T29" s="220">
        <v>319.759218939915</v>
      </c>
      <c r="U29" s="220">
        <v>295.5790381367766</v>
      </c>
      <c r="V29" s="220">
        <v>281.73876891010377</v>
      </c>
      <c r="W29" s="220">
        <v>208.86727533275854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122.95435598739849</v>
      </c>
      <c r="C31" s="59">
        <f t="shared" si="25"/>
        <v>221.68260705354885</v>
      </c>
      <c r="D31" s="59">
        <f t="shared" si="25"/>
        <v>223.11506502038262</v>
      </c>
      <c r="E31" s="59">
        <f t="shared" si="25"/>
        <v>222.09128305900308</v>
      </c>
      <c r="F31" s="59">
        <f t="shared" si="25"/>
        <v>183.84156392702661</v>
      </c>
      <c r="G31" s="59">
        <f t="shared" si="25"/>
        <v>183.29831818285575</v>
      </c>
      <c r="H31" s="59">
        <f t="shared" si="25"/>
        <v>164.95428408262654</v>
      </c>
      <c r="I31" s="59">
        <f t="shared" si="25"/>
        <v>116.54210575802475</v>
      </c>
      <c r="J31" s="59">
        <f t="shared" si="25"/>
        <v>143.16413433906681</v>
      </c>
      <c r="K31" s="59">
        <f t="shared" si="25"/>
        <v>221.00199109572642</v>
      </c>
      <c r="L31" s="59">
        <f t="shared" si="25"/>
        <v>171.41024283316702</v>
      </c>
      <c r="M31" s="59">
        <f t="shared" si="25"/>
        <v>157.87445497483583</v>
      </c>
      <c r="N31" s="59">
        <f t="shared" si="25"/>
        <v>172.80673820028892</v>
      </c>
      <c r="O31" s="59">
        <f t="shared" si="25"/>
        <v>182.53403209548995</v>
      </c>
      <c r="P31" s="59">
        <f t="shared" si="25"/>
        <v>205.54801013055987</v>
      </c>
      <c r="Q31" s="59">
        <f t="shared" si="25"/>
        <v>224.65290146366155</v>
      </c>
      <c r="R31" s="59">
        <f t="shared" si="25"/>
        <v>290.98296008593587</v>
      </c>
      <c r="S31" s="59">
        <f t="shared" si="25"/>
        <v>246.33627590554008</v>
      </c>
      <c r="T31" s="59">
        <f t="shared" si="25"/>
        <v>254.20726847580138</v>
      </c>
      <c r="U31" s="59">
        <f t="shared" si="25"/>
        <v>201.84788390236707</v>
      </c>
      <c r="V31" s="59">
        <f t="shared" si="25"/>
        <v>228.94688750447079</v>
      </c>
      <c r="W31" s="59">
        <f t="shared" si="25"/>
        <v>175.6875815032447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154.42655608236757</v>
      </c>
      <c r="H32" s="55">
        <f t="shared" si="26"/>
        <v>146.93020171673024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156.36023356757104</v>
      </c>
      <c r="L32" s="55">
        <f t="shared" si="26"/>
        <v>144.58585940593417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132.95020410976798</v>
      </c>
      <c r="P32" s="55">
        <f t="shared" si="26"/>
        <v>130.15939664117741</v>
      </c>
      <c r="Q32" s="55">
        <f t="shared" si="26"/>
        <v>132.91816907674803</v>
      </c>
      <c r="R32" s="55">
        <f t="shared" si="26"/>
        <v>135.38540863538179</v>
      </c>
      <c r="S32" s="55">
        <f t="shared" si="26"/>
        <v>124.90211009173748</v>
      </c>
      <c r="T32" s="55">
        <f t="shared" si="26"/>
        <v>141.27985612939969</v>
      </c>
      <c r="U32" s="55">
        <f t="shared" si="26"/>
        <v>142.01198459584063</v>
      </c>
      <c r="V32" s="55">
        <f t="shared" si="26"/>
        <v>148.6260104466125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56.496161953137452</v>
      </c>
      <c r="C33" s="55">
        <f>IF(AGR_ued!C$5=0,"",AGR_ued!C$5/C$5*1000)</f>
        <v>49.310374675448898</v>
      </c>
      <c r="D33" s="55">
        <f>IF(AGR_ued!D$5=0,"",AGR_ued!D$5/D$5*1000)</f>
        <v>51.130350946063004</v>
      </c>
      <c r="E33" s="55">
        <f>IF(AGR_ued!E$5=0,"",AGR_ued!E$5/E$5*1000)</f>
        <v>54.587740677765332</v>
      </c>
      <c r="F33" s="55">
        <f>IF(AGR_ued!F$5=0,"",AGR_ued!F$5/F$5*1000)</f>
        <v>55.218129105790197</v>
      </c>
      <c r="G33" s="55">
        <f>IF(AGR_ued!G$5=0,"",AGR_ued!G$5/G$5*1000)</f>
        <v>63.334769191677324</v>
      </c>
      <c r="H33" s="55">
        <f>IF(AGR_ued!H$5=0,"",AGR_ued!H$5/H$5*1000)</f>
        <v>60.193984475765951</v>
      </c>
      <c r="I33" s="55">
        <f>IF(AGR_ued!I$5=0,"",AGR_ued!I$5/I$5*1000)</f>
        <v>56.499757520967883</v>
      </c>
      <c r="J33" s="55">
        <f>IF(AGR_ued!J$5=0,"",AGR_ued!J$5/J$5*1000)</f>
        <v>56.878233398548687</v>
      </c>
      <c r="K33" s="55">
        <f>IF(AGR_ued!K$5=0,"",AGR_ued!K$5/K$5*1000)</f>
        <v>63.342981811239653</v>
      </c>
      <c r="L33" s="55">
        <f>IF(AGR_ued!L$5=0,"",AGR_ued!L$5/L$5*1000)</f>
        <v>59.066293875770079</v>
      </c>
      <c r="M33" s="55">
        <f>IF(AGR_ued!M$5=0,"",AGR_ued!M$5/M$5*1000)</f>
        <v>53.568887664836595</v>
      </c>
      <c r="N33" s="55">
        <f>IF(AGR_ued!N$5=0,"",AGR_ued!N$5/N$5*1000)</f>
        <v>55.271998044329074</v>
      </c>
      <c r="O33" s="55">
        <f>IF(AGR_ued!O$5=0,"",AGR_ued!O$5/O$5*1000)</f>
        <v>53.720327873073963</v>
      </c>
      <c r="P33" s="55">
        <f>IF(AGR_ued!P$5=0,"",AGR_ued!P$5/P$5*1000)</f>
        <v>51.80264883875676</v>
      </c>
      <c r="Q33" s="55">
        <f>IF(AGR_ued!Q$5=0,"",AGR_ued!Q$5/Q$5*1000)</f>
        <v>52.856706625013565</v>
      </c>
      <c r="R33" s="55">
        <f>IF(AGR_ued!R$5=0,"",AGR_ued!R$5/R$5*1000)</f>
        <v>53.925474153132939</v>
      </c>
      <c r="S33" s="55">
        <f>IF(AGR_ued!S$5=0,"",AGR_ued!S$5/S$5*1000)</f>
        <v>50.348665179414041</v>
      </c>
      <c r="T33" s="55">
        <f>IF(AGR_ued!T$5=0,"",AGR_ued!T$5/T$5*1000)</f>
        <v>55.685394435262943</v>
      </c>
      <c r="U33" s="55">
        <f>IF(AGR_ued!U$5=0,"",AGR_ued!U$5/U$5*1000)</f>
        <v>55.549792698476857</v>
      </c>
      <c r="V33" s="55">
        <f>IF(AGR_ued!V$5=0,"",AGR_ued!V$5/V$5*1000)</f>
        <v>58.192234489281901</v>
      </c>
      <c r="W33" s="55">
        <f>IF(AGR_ued!W$5=0,"",AGR_ued!W$5/W$5*1000)</f>
        <v>57.018859039426893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1.7083814026617465</v>
      </c>
      <c r="C34" s="218">
        <f t="shared" si="27"/>
        <v>2.2540599856020678</v>
      </c>
      <c r="D34" s="218">
        <f t="shared" si="27"/>
        <v>2.3274076963407673</v>
      </c>
      <c r="E34" s="218">
        <f t="shared" si="27"/>
        <v>2.4055775341508796</v>
      </c>
      <c r="F34" s="218">
        <f t="shared" si="27"/>
        <v>2.3453124223405384</v>
      </c>
      <c r="G34" s="218">
        <f t="shared" si="27"/>
        <v>2.2776519073366144</v>
      </c>
      <c r="H34" s="218">
        <f t="shared" si="27"/>
        <v>2.0753899022071791</v>
      </c>
      <c r="I34" s="218">
        <f t="shared" si="27"/>
        <v>2.317584004042021</v>
      </c>
      <c r="J34" s="218">
        <f t="shared" si="27"/>
        <v>2.3330039982472699</v>
      </c>
      <c r="K34" s="218">
        <f t="shared" si="27"/>
        <v>2.3184657206934616</v>
      </c>
      <c r="L34" s="218">
        <f t="shared" si="27"/>
        <v>2.3099421431408746</v>
      </c>
      <c r="M34" s="218">
        <f t="shared" si="27"/>
        <v>2.4211088004015484</v>
      </c>
      <c r="N34" s="218">
        <f t="shared" si="27"/>
        <v>2.4344489994436738</v>
      </c>
      <c r="O34" s="218">
        <f t="shared" si="27"/>
        <v>2.4002617953100081</v>
      </c>
      <c r="P34" s="218">
        <f t="shared" si="27"/>
        <v>2.4823493898822937</v>
      </c>
      <c r="Q34" s="218">
        <f t="shared" si="27"/>
        <v>2.5134600227504471</v>
      </c>
      <c r="R34" s="218">
        <f t="shared" si="27"/>
        <v>2.5116263233044736</v>
      </c>
      <c r="S34" s="218">
        <f t="shared" si="27"/>
        <v>2.4186299033044025</v>
      </c>
      <c r="T34" s="218">
        <f t="shared" si="27"/>
        <v>2.5606136689126626</v>
      </c>
      <c r="U34" s="218">
        <f t="shared" si="27"/>
        <v>2.6060072879468668</v>
      </c>
      <c r="V34" s="218">
        <f t="shared" si="27"/>
        <v>2.5618883400882946</v>
      </c>
      <c r="W34" s="218">
        <f t="shared" si="27"/>
        <v>2.3565105398349675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58.096302665520177</v>
      </c>
      <c r="C5" s="80">
        <f t="shared" ref="C5:W5" si="1">SUM(C6:C9,C16:C17,C25:C27)</f>
        <v>99.565262252794469</v>
      </c>
      <c r="D5" s="80">
        <f t="shared" si="1"/>
        <v>108.8003439380911</v>
      </c>
      <c r="E5" s="80">
        <f t="shared" si="1"/>
        <v>113.20232158211518</v>
      </c>
      <c r="F5" s="80">
        <f t="shared" si="1"/>
        <v>104.93456577815992</v>
      </c>
      <c r="G5" s="80">
        <f t="shared" si="1"/>
        <v>104.08555460017193</v>
      </c>
      <c r="H5" s="80">
        <f t="shared" si="1"/>
        <v>98.669647463456585</v>
      </c>
      <c r="I5" s="80">
        <f t="shared" si="1"/>
        <v>93.277730008598482</v>
      </c>
      <c r="J5" s="80">
        <f t="shared" si="1"/>
        <v>94.955631986242409</v>
      </c>
      <c r="K5" s="80">
        <f t="shared" si="1"/>
        <v>92.791659501289729</v>
      </c>
      <c r="L5" s="80">
        <f t="shared" si="1"/>
        <v>95.122785898538254</v>
      </c>
      <c r="M5" s="80">
        <f t="shared" si="1"/>
        <v>108.9505588993981</v>
      </c>
      <c r="N5" s="80">
        <f t="shared" si="1"/>
        <v>110.81779879621665</v>
      </c>
      <c r="O5" s="80">
        <f t="shared" si="1"/>
        <v>110.12269991401544</v>
      </c>
      <c r="P5" s="80">
        <f t="shared" si="1"/>
        <v>131.23430782459155</v>
      </c>
      <c r="Q5" s="80">
        <f t="shared" si="1"/>
        <v>132.47781599312123</v>
      </c>
      <c r="R5" s="80">
        <f t="shared" si="1"/>
        <v>131.36870163370591</v>
      </c>
      <c r="S5" s="80">
        <f t="shared" si="1"/>
        <v>133.11994840928631</v>
      </c>
      <c r="T5" s="80">
        <f t="shared" si="1"/>
        <v>124.87601031814272</v>
      </c>
      <c r="U5" s="80">
        <f t="shared" si="1"/>
        <v>113.42218400687869</v>
      </c>
      <c r="V5" s="80">
        <f t="shared" si="1"/>
        <v>109.97308684436798</v>
      </c>
      <c r="W5" s="80">
        <f t="shared" si="1"/>
        <v>88.634135855545992</v>
      </c>
      <c r="DA5" s="103"/>
    </row>
    <row r="6" spans="1:105" x14ac:dyDescent="0.25">
      <c r="A6" s="239" t="s">
        <v>125</v>
      </c>
      <c r="B6" s="240">
        <v>2.3459048816509691</v>
      </c>
      <c r="C6" s="240">
        <v>2.7843635236566109</v>
      </c>
      <c r="D6" s="240">
        <v>2.8369211010103692</v>
      </c>
      <c r="E6" s="240">
        <v>2.9987605955690091</v>
      </c>
      <c r="F6" s="240">
        <v>3.0406058529517921</v>
      </c>
      <c r="G6" s="240">
        <v>3.0235703079304961</v>
      </c>
      <c r="H6" s="240">
        <v>2.9157308870937362</v>
      </c>
      <c r="I6" s="240">
        <v>2.6958310773057259</v>
      </c>
      <c r="J6" s="240">
        <v>2.6630932639125771</v>
      </c>
      <c r="K6" s="240">
        <v>2.4895912383877739</v>
      </c>
      <c r="L6" s="240">
        <v>2.6628637528865058</v>
      </c>
      <c r="M6" s="240">
        <v>2.7610103314524701</v>
      </c>
      <c r="N6" s="240">
        <v>3.102891636044292</v>
      </c>
      <c r="O6" s="240">
        <v>2.9368820447437209</v>
      </c>
      <c r="P6" s="240">
        <v>3.0657950714338682</v>
      </c>
      <c r="Q6" s="240">
        <v>3.0654040581174891</v>
      </c>
      <c r="R6" s="240">
        <v>3.15786482451092</v>
      </c>
      <c r="S6" s="240">
        <v>3.5430696056960622</v>
      </c>
      <c r="T6" s="240">
        <v>2.5551239307775919</v>
      </c>
      <c r="U6" s="240">
        <v>2.1621590959061159</v>
      </c>
      <c r="V6" s="240">
        <v>2.164324943471065</v>
      </c>
      <c r="W6" s="240">
        <v>2.273334700645631</v>
      </c>
      <c r="DA6" s="268" t="s">
        <v>993</v>
      </c>
    </row>
    <row r="7" spans="1:105" x14ac:dyDescent="0.25">
      <c r="A7" s="241" t="s">
        <v>124</v>
      </c>
      <c r="B7" s="242">
        <v>1.5248381730731291</v>
      </c>
      <c r="C7" s="242">
        <v>1.8098362903767971</v>
      </c>
      <c r="D7" s="242">
        <v>1.8439987156567399</v>
      </c>
      <c r="E7" s="242">
        <v>1.949194387119856</v>
      </c>
      <c r="F7" s="242">
        <v>1.976393804418664</v>
      </c>
      <c r="G7" s="242">
        <v>1.9653207001548221</v>
      </c>
      <c r="H7" s="242">
        <v>1.895225076610928</v>
      </c>
      <c r="I7" s="242">
        <v>1.752290200248722</v>
      </c>
      <c r="J7" s="242">
        <v>1.731010621543174</v>
      </c>
      <c r="K7" s="242">
        <v>1.6182343049520529</v>
      </c>
      <c r="L7" s="242">
        <v>1.7308614393762289</v>
      </c>
      <c r="M7" s="242">
        <v>1.794656715444106</v>
      </c>
      <c r="N7" s="242">
        <v>2.0168795634287902</v>
      </c>
      <c r="O7" s="242">
        <v>1.908973329083419</v>
      </c>
      <c r="P7" s="242">
        <v>1.9927667964320139</v>
      </c>
      <c r="Q7" s="242">
        <v>1.9925126377763669</v>
      </c>
      <c r="R7" s="242">
        <v>2.052612135932097</v>
      </c>
      <c r="S7" s="242">
        <v>2.3029952437024388</v>
      </c>
      <c r="T7" s="242">
        <v>1.660830555005435</v>
      </c>
      <c r="U7" s="242">
        <v>1.4054034123389749</v>
      </c>
      <c r="V7" s="242">
        <v>1.4068112132561921</v>
      </c>
      <c r="W7" s="242">
        <v>1.477667555419659</v>
      </c>
      <c r="DA7" s="269" t="s">
        <v>994</v>
      </c>
    </row>
    <row r="8" spans="1:105" x14ac:dyDescent="0.25">
      <c r="A8" s="241" t="s">
        <v>123</v>
      </c>
      <c r="B8" s="242">
        <v>2.1113143934858711</v>
      </c>
      <c r="C8" s="242">
        <v>2.5059271712909501</v>
      </c>
      <c r="D8" s="242">
        <v>2.5532289909093322</v>
      </c>
      <c r="E8" s="242">
        <v>2.6988845360121081</v>
      </c>
      <c r="F8" s="242">
        <v>2.736545267656612</v>
      </c>
      <c r="G8" s="242">
        <v>2.721213277137446</v>
      </c>
      <c r="H8" s="242">
        <v>2.624157798384362</v>
      </c>
      <c r="I8" s="242">
        <v>2.426247969575154</v>
      </c>
      <c r="J8" s="242">
        <v>2.396783937521318</v>
      </c>
      <c r="K8" s="242">
        <v>2.2406321145489958</v>
      </c>
      <c r="L8" s="242">
        <v>2.3965773775978558</v>
      </c>
      <c r="M8" s="242">
        <v>2.484909298307223</v>
      </c>
      <c r="N8" s="242">
        <v>2.7926024724398628</v>
      </c>
      <c r="O8" s="242">
        <v>2.6431938402693489</v>
      </c>
      <c r="P8" s="242">
        <v>2.7592155642904812</v>
      </c>
      <c r="Q8" s="242">
        <v>2.7588636523057399</v>
      </c>
      <c r="R8" s="242">
        <v>2.842078342059827</v>
      </c>
      <c r="S8" s="242">
        <v>3.188762645126455</v>
      </c>
      <c r="T8" s="242">
        <v>2.2996115376998332</v>
      </c>
      <c r="U8" s="242">
        <v>1.9459431863155039</v>
      </c>
      <c r="V8" s="242">
        <v>1.9478924491239591</v>
      </c>
      <c r="W8" s="242">
        <v>2.046001230581068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12.779474269356335</v>
      </c>
      <c r="C9" s="244">
        <f t="shared" ref="C9:W9" si="3">SUM(C10:C15)</f>
        <v>19.294627511018287</v>
      </c>
      <c r="D9" s="244">
        <f t="shared" si="3"/>
        <v>21.268677137801113</v>
      </c>
      <c r="E9" s="244">
        <f t="shared" si="3"/>
        <v>22.428960345154373</v>
      </c>
      <c r="F9" s="244">
        <f t="shared" si="3"/>
        <v>20.979982016498251</v>
      </c>
      <c r="G9" s="244">
        <f t="shared" si="3"/>
        <v>20.950987829823944</v>
      </c>
      <c r="H9" s="244">
        <f t="shared" si="3"/>
        <v>19.676690537034588</v>
      </c>
      <c r="I9" s="244">
        <f t="shared" si="3"/>
        <v>18.932864450351165</v>
      </c>
      <c r="J9" s="244">
        <f t="shared" si="3"/>
        <v>19.011895846211946</v>
      </c>
      <c r="K9" s="244">
        <f t="shared" si="3"/>
        <v>18.430030108491291</v>
      </c>
      <c r="L9" s="244">
        <f t="shared" si="3"/>
        <v>19.118312040660044</v>
      </c>
      <c r="M9" s="244">
        <f t="shared" si="3"/>
        <v>21.995505759973767</v>
      </c>
      <c r="N9" s="244">
        <f t="shared" si="3"/>
        <v>22.294606718664273</v>
      </c>
      <c r="O9" s="244">
        <f t="shared" si="3"/>
        <v>21.773975945745526</v>
      </c>
      <c r="P9" s="244">
        <f t="shared" si="3"/>
        <v>26.090155830401219</v>
      </c>
      <c r="Q9" s="244">
        <f t="shared" si="3"/>
        <v>26.346391817333185</v>
      </c>
      <c r="R9" s="244">
        <f t="shared" si="3"/>
        <v>25.870438097653995</v>
      </c>
      <c r="S9" s="244">
        <f t="shared" si="3"/>
        <v>26.174660171190524</v>
      </c>
      <c r="T9" s="244">
        <f t="shared" si="3"/>
        <v>25.175623843637329</v>
      </c>
      <c r="U9" s="244">
        <f t="shared" si="3"/>
        <v>22.789743860701144</v>
      </c>
      <c r="V9" s="244">
        <f t="shared" si="3"/>
        <v>21.980377330448526</v>
      </c>
      <c r="W9" s="244">
        <f t="shared" si="3"/>
        <v>17.401672102353849</v>
      </c>
      <c r="DA9" s="270"/>
    </row>
    <row r="10" spans="1:105" x14ac:dyDescent="0.25">
      <c r="A10" s="254" t="s">
        <v>173</v>
      </c>
      <c r="B10" s="255">
        <v>3.2920612510648581</v>
      </c>
      <c r="C10" s="255">
        <v>12.91035199327488</v>
      </c>
      <c r="D10" s="255">
        <v>14.99267688630874</v>
      </c>
      <c r="E10" s="255">
        <v>15.937402843386071</v>
      </c>
      <c r="F10" s="255">
        <v>12.93232876111295</v>
      </c>
      <c r="G10" s="255">
        <v>12.756796499722149</v>
      </c>
      <c r="H10" s="255">
        <v>11.02809305256236</v>
      </c>
      <c r="I10" s="255">
        <v>11.066797696969079</v>
      </c>
      <c r="J10" s="255">
        <v>11.900015632173121</v>
      </c>
      <c r="K10" s="255">
        <v>11.582653371637569</v>
      </c>
      <c r="L10" s="255">
        <v>11.725329144876451</v>
      </c>
      <c r="M10" s="255">
        <v>15.031149768136119</v>
      </c>
      <c r="N10" s="255">
        <v>14.612621083209291</v>
      </c>
      <c r="O10" s="255">
        <v>15.211752348948011</v>
      </c>
      <c r="P10" s="255">
        <v>20.1302857722516</v>
      </c>
      <c r="Q10" s="255">
        <v>20.048954414116992</v>
      </c>
      <c r="R10" s="255">
        <v>18.71252347673974</v>
      </c>
      <c r="S10" s="255">
        <v>18.534243857877929</v>
      </c>
      <c r="T10" s="255">
        <v>19.984812181579159</v>
      </c>
      <c r="U10" s="255">
        <v>18.65921504682743</v>
      </c>
      <c r="V10" s="255">
        <v>18.01351090070548</v>
      </c>
      <c r="W10" s="255">
        <v>12.34810081799316</v>
      </c>
      <c r="DA10" s="271" t="s">
        <v>996</v>
      </c>
    </row>
    <row r="11" spans="1:105" x14ac:dyDescent="0.25">
      <c r="A11" s="254" t="s">
        <v>176</v>
      </c>
      <c r="B11" s="256">
        <v>0.69054017867430317</v>
      </c>
      <c r="C11" s="256">
        <v>1.3083287330445259</v>
      </c>
      <c r="D11" s="256">
        <v>1.472385635740977</v>
      </c>
      <c r="E11" s="256">
        <v>1.876074150171676</v>
      </c>
      <c r="F11" s="256">
        <v>2.0125053913135078</v>
      </c>
      <c r="G11" s="256">
        <v>2.1024985881792571</v>
      </c>
      <c r="H11" s="256">
        <v>2.4189974066730251</v>
      </c>
      <c r="I11" s="256">
        <v>2.2614732137947891</v>
      </c>
      <c r="J11" s="256">
        <v>2.14127602576322</v>
      </c>
      <c r="K11" s="256">
        <v>2.68123146645822</v>
      </c>
      <c r="L11" s="256">
        <v>2.698359269266025</v>
      </c>
      <c r="M11" s="256">
        <v>2.344816074729088</v>
      </c>
      <c r="N11" s="256">
        <v>2.6556871511381059</v>
      </c>
      <c r="O11" s="256">
        <v>2.4829192882736209</v>
      </c>
      <c r="P11" s="256">
        <v>2.4677792067542068</v>
      </c>
      <c r="Q11" s="256">
        <v>2.1585075643199469</v>
      </c>
      <c r="R11" s="256">
        <v>2.5975396886178541</v>
      </c>
      <c r="S11" s="256">
        <v>2.0921357939438132</v>
      </c>
      <c r="T11" s="256">
        <v>2.1548234046611099</v>
      </c>
      <c r="U11" s="256">
        <v>1.5229236050718971</v>
      </c>
      <c r="V11" s="256">
        <v>1.342059504032685</v>
      </c>
      <c r="W11" s="256">
        <v>1.0768226031302439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1.265864144429325</v>
      </c>
      <c r="C14" s="255">
        <v>1.456921754086689</v>
      </c>
      <c r="D14" s="255">
        <v>1.791315563198645</v>
      </c>
      <c r="E14" s="255">
        <v>1.5525365434207929</v>
      </c>
      <c r="F14" s="255">
        <v>2.1496130696507119</v>
      </c>
      <c r="G14" s="255">
        <v>2.2929492691296378</v>
      </c>
      <c r="H14" s="255">
        <v>2.149613069639416</v>
      </c>
      <c r="I14" s="255">
        <v>2.3167669819468188</v>
      </c>
      <c r="J14" s="255">
        <v>1.863026655202948</v>
      </c>
      <c r="K14" s="255">
        <v>1.4808254514186161</v>
      </c>
      <c r="L14" s="255">
        <v>1.6718830610492661</v>
      </c>
      <c r="M14" s="255">
        <v>2.1735167669777851</v>
      </c>
      <c r="N14" s="255">
        <v>1.62416165090227</v>
      </c>
      <c r="O14" s="255">
        <v>1.050902837488314</v>
      </c>
      <c r="P14" s="255">
        <v>1.1942390369715421</v>
      </c>
      <c r="Q14" s="255">
        <v>1.839122957864862</v>
      </c>
      <c r="R14" s="255">
        <v>1.8630266551996131</v>
      </c>
      <c r="S14" s="255">
        <v>1.767497850386454</v>
      </c>
      <c r="T14" s="255">
        <v>1.6241616508973289</v>
      </c>
      <c r="U14" s="255">
        <v>1.5525365434181411</v>
      </c>
      <c r="V14" s="255">
        <v>1.4808254514125401</v>
      </c>
      <c r="W14" s="255">
        <v>1.671883061048635</v>
      </c>
      <c r="DA14" s="271" t="s">
        <v>1000</v>
      </c>
    </row>
    <row r="15" spans="1:105" x14ac:dyDescent="0.25">
      <c r="A15" s="254" t="s">
        <v>24</v>
      </c>
      <c r="B15" s="256">
        <v>7.5310086951878494</v>
      </c>
      <c r="C15" s="256">
        <v>3.6190250306121938</v>
      </c>
      <c r="D15" s="256">
        <v>3.0122990525527511</v>
      </c>
      <c r="E15" s="256">
        <v>3.0629468081758322</v>
      </c>
      <c r="F15" s="256">
        <v>3.8855347944210812</v>
      </c>
      <c r="G15" s="256">
        <v>3.798743472792899</v>
      </c>
      <c r="H15" s="256">
        <v>4.0799870081597884</v>
      </c>
      <c r="I15" s="256">
        <v>3.2878265576404799</v>
      </c>
      <c r="J15" s="256">
        <v>3.107577533072658</v>
      </c>
      <c r="K15" s="256">
        <v>2.6853198189768861</v>
      </c>
      <c r="L15" s="256">
        <v>3.0227405654683022</v>
      </c>
      <c r="M15" s="256">
        <v>2.446023150130777</v>
      </c>
      <c r="N15" s="256">
        <v>3.4021368334146049</v>
      </c>
      <c r="O15" s="256">
        <v>3.0284014710355791</v>
      </c>
      <c r="P15" s="256">
        <v>2.2978518144238729</v>
      </c>
      <c r="Q15" s="256">
        <v>2.2998068810313819</v>
      </c>
      <c r="R15" s="256">
        <v>2.697348277096788</v>
      </c>
      <c r="S15" s="256">
        <v>3.780782668982325</v>
      </c>
      <c r="T15" s="256">
        <v>1.4118266064997329</v>
      </c>
      <c r="U15" s="256">
        <v>1.0550686653836721</v>
      </c>
      <c r="V15" s="256">
        <v>1.1439814742978189</v>
      </c>
      <c r="W15" s="256">
        <v>2.304865620181809</v>
      </c>
      <c r="DA15" s="272" t="s">
        <v>1001</v>
      </c>
    </row>
    <row r="16" spans="1:105" x14ac:dyDescent="0.25">
      <c r="A16" s="257" t="s">
        <v>175</v>
      </c>
      <c r="B16" s="258">
        <v>11.80476420359574</v>
      </c>
      <c r="C16" s="258">
        <v>24.345936449794159</v>
      </c>
      <c r="D16" s="258">
        <v>27.16399093968624</v>
      </c>
      <c r="E16" s="258">
        <v>28.737415054588599</v>
      </c>
      <c r="F16" s="258">
        <v>25.800447551036971</v>
      </c>
      <c r="G16" s="258">
        <v>25.654284148470829</v>
      </c>
      <c r="H16" s="258">
        <v>23.638760662921371</v>
      </c>
      <c r="I16" s="258">
        <v>22.929986713572671</v>
      </c>
      <c r="J16" s="258">
        <v>23.5286910919924</v>
      </c>
      <c r="K16" s="258">
        <v>22.962384260842569</v>
      </c>
      <c r="L16" s="258">
        <v>23.61672972616784</v>
      </c>
      <c r="M16" s="258">
        <v>27.80491643640508</v>
      </c>
      <c r="N16" s="258">
        <v>28.0040615979443</v>
      </c>
      <c r="O16" s="258">
        <v>27.916428389261561</v>
      </c>
      <c r="P16" s="258">
        <v>34.205847062071697</v>
      </c>
      <c r="Q16" s="258">
        <v>34.295048797579703</v>
      </c>
      <c r="R16" s="258">
        <v>33.33430315623562</v>
      </c>
      <c r="S16" s="258">
        <v>33.531621724532727</v>
      </c>
      <c r="T16" s="258">
        <v>33.025665113907372</v>
      </c>
      <c r="U16" s="258">
        <v>30.041820943468601</v>
      </c>
      <c r="V16" s="258">
        <v>29.011129625158759</v>
      </c>
      <c r="W16" s="258">
        <v>22.210881750316879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19.514155964931327</v>
      </c>
      <c r="C17" s="258">
        <f t="shared" ref="C17:W17" si="5">SUM(C18:C24)</f>
        <v>37.3246060925267</v>
      </c>
      <c r="D17" s="258">
        <f t="shared" si="5"/>
        <v>40.963283119255138</v>
      </c>
      <c r="E17" s="258">
        <f t="shared" si="5"/>
        <v>41.520009412067694</v>
      </c>
      <c r="F17" s="258">
        <f t="shared" si="5"/>
        <v>37.993335935093839</v>
      </c>
      <c r="G17" s="258">
        <f t="shared" si="5"/>
        <v>37.432746587341498</v>
      </c>
      <c r="H17" s="258">
        <f t="shared" si="5"/>
        <v>36.233156967715985</v>
      </c>
      <c r="I17" s="258">
        <f t="shared" si="5"/>
        <v>33.529535418924723</v>
      </c>
      <c r="J17" s="258">
        <f t="shared" si="5"/>
        <v>34.578344653502789</v>
      </c>
      <c r="K17" s="258">
        <f t="shared" si="5"/>
        <v>34.538875442095559</v>
      </c>
      <c r="L17" s="258">
        <f t="shared" si="5"/>
        <v>34.535273935058832</v>
      </c>
      <c r="M17" s="258">
        <f t="shared" si="5"/>
        <v>40.002138633968649</v>
      </c>
      <c r="N17" s="258">
        <f t="shared" si="5"/>
        <v>39.623458485187555</v>
      </c>
      <c r="O17" s="258">
        <f t="shared" si="5"/>
        <v>40.383510992450141</v>
      </c>
      <c r="P17" s="258">
        <f t="shared" si="5"/>
        <v>49.036390999842283</v>
      </c>
      <c r="Q17" s="258">
        <f t="shared" si="5"/>
        <v>49.919275655653301</v>
      </c>
      <c r="R17" s="258">
        <f t="shared" si="5"/>
        <v>49.969172106868498</v>
      </c>
      <c r="S17" s="258">
        <f t="shared" si="5"/>
        <v>49.25493792739254</v>
      </c>
      <c r="T17" s="258">
        <f t="shared" si="5"/>
        <v>47.552944928254867</v>
      </c>
      <c r="U17" s="258">
        <f t="shared" si="5"/>
        <v>44.00703746861037</v>
      </c>
      <c r="V17" s="258">
        <f t="shared" si="5"/>
        <v>42.58522484314885</v>
      </c>
      <c r="W17" s="258">
        <f t="shared" si="5"/>
        <v>33.386902471938583</v>
      </c>
      <c r="DA17" s="273"/>
    </row>
    <row r="18" spans="1:105" x14ac:dyDescent="0.25">
      <c r="A18" s="61" t="s">
        <v>29</v>
      </c>
      <c r="B18" s="55">
        <v>0.63714531385771933</v>
      </c>
      <c r="C18" s="55">
        <v>0</v>
      </c>
      <c r="D18" s="55">
        <v>0.64858125537014599</v>
      </c>
      <c r="E18" s="55">
        <v>0.64617368872769232</v>
      </c>
      <c r="F18" s="55">
        <v>0.76423043851273276</v>
      </c>
      <c r="G18" s="55">
        <v>0.64858125537853628</v>
      </c>
      <c r="H18" s="55">
        <v>0</v>
      </c>
      <c r="I18" s="55">
        <v>0.64858125536391398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3.0807394668730752</v>
      </c>
      <c r="S18" s="55">
        <v>1.0509028374774461</v>
      </c>
      <c r="T18" s="55">
        <v>0.52545141874076595</v>
      </c>
      <c r="U18" s="55">
        <v>0.29785038692882881</v>
      </c>
      <c r="V18" s="55">
        <v>0.14299226139167209</v>
      </c>
      <c r="W18" s="55">
        <v>0.29785038692804688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1.0867583834740171</v>
      </c>
      <c r="J19" s="55">
        <v>1.086758383481546</v>
      </c>
      <c r="K19" s="55">
        <v>1.0867583834803589</v>
      </c>
      <c r="L19" s="55">
        <v>0</v>
      </c>
      <c r="M19" s="55">
        <v>0</v>
      </c>
      <c r="N19" s="55">
        <v>1.0867583834801069</v>
      </c>
      <c r="O19" s="55">
        <v>1.086758383478448</v>
      </c>
      <c r="P19" s="55">
        <v>1.0867583834855099</v>
      </c>
      <c r="Q19" s="55">
        <v>2.1735167669704478</v>
      </c>
      <c r="R19" s="55">
        <v>2.1735167669657982</v>
      </c>
      <c r="S19" s="55">
        <v>2.1735167669575248</v>
      </c>
      <c r="T19" s="55">
        <v>1.086758383482989</v>
      </c>
      <c r="U19" s="55">
        <v>2.173516766970824</v>
      </c>
      <c r="V19" s="55">
        <v>2.5865004298995111</v>
      </c>
      <c r="W19" s="55">
        <v>1.0867583834825589</v>
      </c>
      <c r="DA19" s="101" t="s">
        <v>1004</v>
      </c>
    </row>
    <row r="20" spans="1:105" x14ac:dyDescent="0.25">
      <c r="A20" s="61" t="s">
        <v>173</v>
      </c>
      <c r="B20" s="55">
        <v>8.9030624374494849</v>
      </c>
      <c r="C20" s="55">
        <v>22.725798110315729</v>
      </c>
      <c r="D20" s="55">
        <v>26.376769356975171</v>
      </c>
      <c r="E20" s="55">
        <v>30.62849972747183</v>
      </c>
      <c r="F20" s="55">
        <v>26.021404525159099</v>
      </c>
      <c r="G20" s="55">
        <v>26.37118670597021</v>
      </c>
      <c r="H20" s="55">
        <v>21.40984998895793</v>
      </c>
      <c r="I20" s="55">
        <v>23.226434256264561</v>
      </c>
      <c r="J20" s="55">
        <v>23.700102192686948</v>
      </c>
      <c r="K20" s="55">
        <v>21.661637433185359</v>
      </c>
      <c r="L20" s="55">
        <v>23.769832688517699</v>
      </c>
      <c r="M20" s="55">
        <v>29.615484373479831</v>
      </c>
      <c r="N20" s="55">
        <v>30.806918637274581</v>
      </c>
      <c r="O20" s="55">
        <v>29.301941888764269</v>
      </c>
      <c r="P20" s="55">
        <v>37.09178843537908</v>
      </c>
      <c r="Q20" s="55">
        <v>36.05645905839885</v>
      </c>
      <c r="R20" s="55">
        <v>32.476342062171717</v>
      </c>
      <c r="S20" s="55">
        <v>34.440022990634908</v>
      </c>
      <c r="T20" s="55">
        <v>35.613271342469297</v>
      </c>
      <c r="U20" s="55">
        <v>31.40321988716429</v>
      </c>
      <c r="V20" s="55">
        <v>30.24671684944698</v>
      </c>
      <c r="W20" s="55">
        <v>21.792099967678169</v>
      </c>
      <c r="DA20" s="101" t="s">
        <v>1005</v>
      </c>
    </row>
    <row r="21" spans="1:105" x14ac:dyDescent="0.25">
      <c r="A21" s="61" t="s">
        <v>129</v>
      </c>
      <c r="B21" s="55">
        <v>2.9473774721207691</v>
      </c>
      <c r="C21" s="55">
        <v>4.8437661220522674</v>
      </c>
      <c r="D21" s="55">
        <v>3.895528804791788</v>
      </c>
      <c r="E21" s="55">
        <v>2.1018056749513918</v>
      </c>
      <c r="F21" s="55">
        <v>4.1010318142287128</v>
      </c>
      <c r="G21" s="55">
        <v>1.050902837496549</v>
      </c>
      <c r="H21" s="55">
        <v>0</v>
      </c>
      <c r="I21" s="55">
        <v>1.0509028374728571</v>
      </c>
      <c r="J21" s="55">
        <v>1.8964746345493291</v>
      </c>
      <c r="K21" s="55">
        <v>1.999140154752618</v>
      </c>
      <c r="L21" s="55">
        <v>0.94823731727404659</v>
      </c>
      <c r="M21" s="55">
        <v>1.8735167669607951</v>
      </c>
      <c r="N21" s="55">
        <v>0.93671539122021341</v>
      </c>
      <c r="O21" s="55">
        <v>0.93671539121878311</v>
      </c>
      <c r="P21" s="55">
        <v>1.9876182287088411</v>
      </c>
      <c r="Q21" s="55">
        <v>3.747033533944069</v>
      </c>
      <c r="R21" s="55">
        <v>3.861134995672094</v>
      </c>
      <c r="S21" s="55">
        <v>3.8611349956573968</v>
      </c>
      <c r="T21" s="55">
        <v>2.7142734307625198</v>
      </c>
      <c r="U21" s="55">
        <v>3.4654342218223388</v>
      </c>
      <c r="V21" s="55">
        <v>2.3158211521719201</v>
      </c>
      <c r="W21" s="55">
        <v>2.5535683576758479</v>
      </c>
      <c r="DA21" s="101" t="s">
        <v>1006</v>
      </c>
    </row>
    <row r="22" spans="1:105" x14ac:dyDescent="0.25">
      <c r="A22" s="61" t="s">
        <v>176</v>
      </c>
      <c r="B22" s="55">
        <v>1.867499374234372</v>
      </c>
      <c r="C22" s="55">
        <v>2.303021223943635</v>
      </c>
      <c r="D22" s="55">
        <v>2.5903830658772238</v>
      </c>
      <c r="E22" s="55">
        <v>3.6054391773811658</v>
      </c>
      <c r="F22" s="55">
        <v>4.0494034650512241</v>
      </c>
      <c r="G22" s="55">
        <v>4.3463406207915574</v>
      </c>
      <c r="H22" s="55">
        <v>4.6962218539237206</v>
      </c>
      <c r="I22" s="55">
        <v>4.7462653931853778</v>
      </c>
      <c r="J22" s="55">
        <v>4.2645709217502494</v>
      </c>
      <c r="K22" s="55">
        <v>5.014383322830497</v>
      </c>
      <c r="L22" s="55">
        <v>5.4701703953437368</v>
      </c>
      <c r="M22" s="55">
        <v>4.6199302708720609</v>
      </c>
      <c r="N22" s="55">
        <v>5.59882703625125</v>
      </c>
      <c r="O22" s="55">
        <v>4.7827728870774706</v>
      </c>
      <c r="P22" s="55">
        <v>4.5470961156611747</v>
      </c>
      <c r="Q22" s="55">
        <v>3.8819051613657001</v>
      </c>
      <c r="R22" s="55">
        <v>4.508135289849112</v>
      </c>
      <c r="S22" s="55">
        <v>3.8875718586344772</v>
      </c>
      <c r="T22" s="55">
        <v>3.8399315394134348</v>
      </c>
      <c r="U22" s="55">
        <v>2.563060917696923</v>
      </c>
      <c r="V22" s="55">
        <v>2.253469300756695</v>
      </c>
      <c r="W22" s="55">
        <v>1.90039149831654</v>
      </c>
      <c r="DA22" s="101" t="s">
        <v>1007</v>
      </c>
    </row>
    <row r="23" spans="1:105" x14ac:dyDescent="0.25">
      <c r="A23" s="61" t="s">
        <v>171</v>
      </c>
      <c r="B23" s="55">
        <v>5.1590713672689814</v>
      </c>
      <c r="C23" s="55">
        <v>7.4520206362150736</v>
      </c>
      <c r="D23" s="55">
        <v>7.4520206362408103</v>
      </c>
      <c r="E23" s="55">
        <v>4.538091143535615</v>
      </c>
      <c r="F23" s="55">
        <v>3.0572656921420709</v>
      </c>
      <c r="G23" s="55">
        <v>5.0157351677046478</v>
      </c>
      <c r="H23" s="55">
        <v>10.127085124834331</v>
      </c>
      <c r="I23" s="55">
        <v>2.7705932931639978</v>
      </c>
      <c r="J23" s="55">
        <v>3.6304385210347201</v>
      </c>
      <c r="K23" s="55">
        <v>4.7769561478467297</v>
      </c>
      <c r="L23" s="55">
        <v>4.3470335339233497</v>
      </c>
      <c r="M23" s="55">
        <v>3.89320722265597</v>
      </c>
      <c r="N23" s="55">
        <v>1.1942390369614051</v>
      </c>
      <c r="O23" s="55">
        <v>4.2753224419111753</v>
      </c>
      <c r="P23" s="55">
        <v>4.3231298366076789</v>
      </c>
      <c r="Q23" s="55">
        <v>4.0603611349742268</v>
      </c>
      <c r="R23" s="55">
        <v>3.869303525336695</v>
      </c>
      <c r="S23" s="55">
        <v>3.8417884780307849</v>
      </c>
      <c r="T23" s="55">
        <v>3.7732588133858669</v>
      </c>
      <c r="U23" s="55">
        <v>4.1039552880271559</v>
      </c>
      <c r="V23" s="55">
        <v>5.0397248494820683</v>
      </c>
      <c r="W23" s="55">
        <v>5.7562338778574187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2.2683838193819419</v>
      </c>
      <c r="C25" s="258">
        <v>4.6782745811722561</v>
      </c>
      <c r="D25" s="258">
        <v>5.2197872362967583</v>
      </c>
      <c r="E25" s="258">
        <v>5.5221337924594591</v>
      </c>
      <c r="F25" s="258">
        <v>4.9577710107718929</v>
      </c>
      <c r="G25" s="258">
        <v>4.9296844948831744</v>
      </c>
      <c r="H25" s="258">
        <v>4.5423848603159671</v>
      </c>
      <c r="I25" s="258">
        <v>4.4061880392212878</v>
      </c>
      <c r="J25" s="258">
        <v>4.5212340749724076</v>
      </c>
      <c r="K25" s="258">
        <v>4.4124134979214551</v>
      </c>
      <c r="L25" s="258">
        <v>4.5381514322190037</v>
      </c>
      <c r="M25" s="258">
        <v>5.3429464117882537</v>
      </c>
      <c r="N25" s="258">
        <v>5.3812138141990662</v>
      </c>
      <c r="O25" s="258">
        <v>5.3643743628395981</v>
      </c>
      <c r="P25" s="258">
        <v>6.572938575107008</v>
      </c>
      <c r="Q25" s="258">
        <v>6.5900794319676166</v>
      </c>
      <c r="R25" s="258">
        <v>6.4054641503931853</v>
      </c>
      <c r="S25" s="258">
        <v>6.443380557690201</v>
      </c>
      <c r="T25" s="258">
        <v>6.3461567784551791</v>
      </c>
      <c r="U25" s="258">
        <v>5.7727862545679898</v>
      </c>
      <c r="V25" s="258">
        <v>5.574730328256531</v>
      </c>
      <c r="W25" s="258">
        <v>4.2680060277085277</v>
      </c>
      <c r="DA25" s="273" t="s">
        <v>1010</v>
      </c>
    </row>
    <row r="26" spans="1:105" x14ac:dyDescent="0.25">
      <c r="A26" s="257" t="s">
        <v>177</v>
      </c>
      <c r="B26" s="258">
        <v>2.3459048816509691</v>
      </c>
      <c r="C26" s="258">
        <v>2.7843635236566109</v>
      </c>
      <c r="D26" s="258">
        <v>2.8369211010103692</v>
      </c>
      <c r="E26" s="258">
        <v>2.9987605955690091</v>
      </c>
      <c r="F26" s="258">
        <v>3.0406058529517921</v>
      </c>
      <c r="G26" s="258">
        <v>3.0235703079304961</v>
      </c>
      <c r="H26" s="258">
        <v>2.9157308870937362</v>
      </c>
      <c r="I26" s="258">
        <v>2.6958310773057259</v>
      </c>
      <c r="J26" s="258">
        <v>2.6630932639125771</v>
      </c>
      <c r="K26" s="258">
        <v>2.4895912383877739</v>
      </c>
      <c r="L26" s="258">
        <v>2.6628637528865058</v>
      </c>
      <c r="M26" s="258">
        <v>2.7610103314524701</v>
      </c>
      <c r="N26" s="258">
        <v>3.102891636044292</v>
      </c>
      <c r="O26" s="258">
        <v>2.9368820447437209</v>
      </c>
      <c r="P26" s="258">
        <v>3.0657950714338682</v>
      </c>
      <c r="Q26" s="258">
        <v>3.0654040581174891</v>
      </c>
      <c r="R26" s="258">
        <v>3.15786482451092</v>
      </c>
      <c r="S26" s="258">
        <v>3.5430696056960622</v>
      </c>
      <c r="T26" s="258">
        <v>2.5551239307775919</v>
      </c>
      <c r="U26" s="258">
        <v>2.1621590959061159</v>
      </c>
      <c r="V26" s="258">
        <v>2.164324943471065</v>
      </c>
      <c r="W26" s="258">
        <v>2.273334700645631</v>
      </c>
      <c r="DA26" s="273" t="s">
        <v>1011</v>
      </c>
    </row>
    <row r="27" spans="1:105" x14ac:dyDescent="0.25">
      <c r="A27" s="129" t="s">
        <v>33</v>
      </c>
      <c r="B27" s="259">
        <v>3.401562078393904</v>
      </c>
      <c r="C27" s="259">
        <v>4.0373271093020859</v>
      </c>
      <c r="D27" s="259">
        <v>4.1135355964650353</v>
      </c>
      <c r="E27" s="259">
        <v>4.3482028635750636</v>
      </c>
      <c r="F27" s="259">
        <v>4.4088784867800994</v>
      </c>
      <c r="G27" s="259">
        <v>4.3841769464992204</v>
      </c>
      <c r="H27" s="259">
        <v>4.227809786285917</v>
      </c>
      <c r="I27" s="259">
        <v>3.9089550620933031</v>
      </c>
      <c r="J27" s="259">
        <v>3.8614852326732358</v>
      </c>
      <c r="K27" s="259">
        <v>3.6099072956622722</v>
      </c>
      <c r="L27" s="259">
        <v>3.861152441685435</v>
      </c>
      <c r="M27" s="259">
        <v>4.0034649806060809</v>
      </c>
      <c r="N27" s="259">
        <v>4.4991928722642234</v>
      </c>
      <c r="O27" s="259">
        <v>4.2584789648783961</v>
      </c>
      <c r="P27" s="259">
        <v>4.4454028535791084</v>
      </c>
      <c r="Q27" s="259">
        <v>4.4448358842703586</v>
      </c>
      <c r="R27" s="259">
        <v>4.5789039955408324</v>
      </c>
      <c r="S27" s="259">
        <v>5.1374509282592902</v>
      </c>
      <c r="T27" s="259">
        <v>3.7049296996275092</v>
      </c>
      <c r="U27" s="259">
        <v>3.1351306890638679</v>
      </c>
      <c r="V27" s="259">
        <v>3.1382711680330448</v>
      </c>
      <c r="W27" s="259">
        <v>3.296335315936163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1.0000000000000002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0.99999999999999989</v>
      </c>
      <c r="P31" s="236">
        <f t="shared" si="6"/>
        <v>0.99999999999999978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0.99999999999999989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4.0379589991416963E-2</v>
      </c>
      <c r="C32" s="245">
        <f t="shared" si="8"/>
        <v>2.7965210562968842E-2</v>
      </c>
      <c r="D32" s="245">
        <f t="shared" si="8"/>
        <v>2.6074560045734933E-2</v>
      </c>
      <c r="E32" s="245">
        <f t="shared" si="8"/>
        <v>2.6490274701599256E-2</v>
      </c>
      <c r="F32" s="245">
        <f t="shared" si="8"/>
        <v>2.8976208462899406E-2</v>
      </c>
      <c r="G32" s="245">
        <f t="shared" si="8"/>
        <v>2.9048894628510742E-2</v>
      </c>
      <c r="H32" s="245">
        <f t="shared" si="8"/>
        <v>2.9550433816778458E-2</v>
      </c>
      <c r="I32" s="245">
        <f t="shared" si="8"/>
        <v>2.890112224061649E-2</v>
      </c>
      <c r="J32" s="245">
        <f t="shared" si="8"/>
        <v>2.8045658885177214E-2</v>
      </c>
      <c r="K32" s="245">
        <f t="shared" si="8"/>
        <v>2.6829903159056773E-2</v>
      </c>
      <c r="L32" s="245">
        <f t="shared" si="8"/>
        <v>2.7993963041902728E-2</v>
      </c>
      <c r="M32" s="245">
        <f t="shared" si="8"/>
        <v>2.5341864781087627E-2</v>
      </c>
      <c r="N32" s="245">
        <f t="shared" si="8"/>
        <v>2.7999939267429535E-2</v>
      </c>
      <c r="O32" s="245">
        <f t="shared" si="8"/>
        <v>2.6669179442901949E-2</v>
      </c>
      <c r="P32" s="245">
        <f t="shared" si="8"/>
        <v>2.3361231695081027E-2</v>
      </c>
      <c r="Q32" s="245">
        <f t="shared" si="8"/>
        <v>2.3138999047785155E-2</v>
      </c>
      <c r="R32" s="245">
        <f t="shared" si="8"/>
        <v>2.4038182498872251E-2</v>
      </c>
      <c r="S32" s="245">
        <f t="shared" si="8"/>
        <v>2.6615617328836806E-2</v>
      </c>
      <c r="T32" s="245">
        <f t="shared" si="8"/>
        <v>2.0461287354296333E-2</v>
      </c>
      <c r="U32" s="245">
        <f t="shared" si="8"/>
        <v>1.9062929486307438E-2</v>
      </c>
      <c r="V32" s="245">
        <f t="shared" si="8"/>
        <v>1.9680496433950066E-2</v>
      </c>
      <c r="W32" s="245">
        <f t="shared" si="8"/>
        <v>2.5648523322331061E-2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2.6246733494421012E-2</v>
      </c>
      <c r="C33" s="246">
        <f t="shared" si="9"/>
        <v>1.8177386865929748E-2</v>
      </c>
      <c r="D33" s="246">
        <f t="shared" si="9"/>
        <v>1.6948464029727706E-2</v>
      </c>
      <c r="E33" s="246">
        <f t="shared" si="9"/>
        <v>1.7218678556039518E-2</v>
      </c>
      <c r="F33" s="246">
        <f t="shared" si="9"/>
        <v>1.8834535500884608E-2</v>
      </c>
      <c r="G33" s="246">
        <f t="shared" si="9"/>
        <v>1.8881781508531981E-2</v>
      </c>
      <c r="H33" s="246">
        <f t="shared" si="9"/>
        <v>1.9207781980905992E-2</v>
      </c>
      <c r="I33" s="246">
        <f t="shared" si="9"/>
        <v>1.878572945640072E-2</v>
      </c>
      <c r="J33" s="246">
        <f t="shared" si="9"/>
        <v>1.8229678275365178E-2</v>
      </c>
      <c r="K33" s="246">
        <f t="shared" si="9"/>
        <v>1.7439437053386901E-2</v>
      </c>
      <c r="L33" s="246">
        <f t="shared" si="9"/>
        <v>1.8196075977236773E-2</v>
      </c>
      <c r="M33" s="246">
        <f t="shared" si="9"/>
        <v>1.6472212107706961E-2</v>
      </c>
      <c r="N33" s="246">
        <f t="shared" si="9"/>
        <v>1.81999605238292E-2</v>
      </c>
      <c r="O33" s="246">
        <f t="shared" si="9"/>
        <v>1.7334966637886272E-2</v>
      </c>
      <c r="P33" s="246">
        <f t="shared" si="9"/>
        <v>1.5184800601802665E-2</v>
      </c>
      <c r="Q33" s="246">
        <f t="shared" si="9"/>
        <v>1.5040349381060343E-2</v>
      </c>
      <c r="R33" s="246">
        <f t="shared" si="9"/>
        <v>1.5624818624266956E-2</v>
      </c>
      <c r="S33" s="246">
        <f t="shared" si="9"/>
        <v>1.7300151263743912E-2</v>
      </c>
      <c r="T33" s="246">
        <f t="shared" si="9"/>
        <v>1.3299836780292618E-2</v>
      </c>
      <c r="U33" s="246">
        <f t="shared" si="9"/>
        <v>1.2390904166099831E-2</v>
      </c>
      <c r="V33" s="246">
        <f t="shared" si="9"/>
        <v>1.2792322682067541E-2</v>
      </c>
      <c r="W33" s="246">
        <f t="shared" si="9"/>
        <v>1.6671540159515177E-2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3.6341630992275248E-2</v>
      </c>
      <c r="C34" s="246">
        <f t="shared" si="10"/>
        <v>2.5168689506671962E-2</v>
      </c>
      <c r="D34" s="246">
        <f t="shared" si="10"/>
        <v>2.3467104041161438E-2</v>
      </c>
      <c r="E34" s="246">
        <f t="shared" si="10"/>
        <v>2.3841247231439329E-2</v>
      </c>
      <c r="F34" s="246">
        <f t="shared" si="10"/>
        <v>2.6078587616609458E-2</v>
      </c>
      <c r="G34" s="246">
        <f t="shared" si="10"/>
        <v>2.6144005165659664E-2</v>
      </c>
      <c r="H34" s="246">
        <f t="shared" si="10"/>
        <v>2.6595390435100605E-2</v>
      </c>
      <c r="I34" s="246">
        <f t="shared" si="10"/>
        <v>2.6011010016554849E-2</v>
      </c>
      <c r="J34" s="246">
        <f t="shared" si="10"/>
        <v>2.5241092996659477E-2</v>
      </c>
      <c r="K34" s="246">
        <f t="shared" si="10"/>
        <v>2.414691284315109E-2</v>
      </c>
      <c r="L34" s="246">
        <f t="shared" si="10"/>
        <v>2.5194566737712462E-2</v>
      </c>
      <c r="M34" s="246">
        <f t="shared" si="10"/>
        <v>2.2807678302978866E-2</v>
      </c>
      <c r="N34" s="246">
        <f t="shared" si="10"/>
        <v>2.5199945340686581E-2</v>
      </c>
      <c r="O34" s="246">
        <f t="shared" si="10"/>
        <v>2.4002261498611756E-2</v>
      </c>
      <c r="P34" s="246">
        <f t="shared" si="10"/>
        <v>2.1025108525572923E-2</v>
      </c>
      <c r="Q34" s="246">
        <f t="shared" si="10"/>
        <v>2.0825099143006637E-2</v>
      </c>
      <c r="R34" s="246">
        <f t="shared" si="10"/>
        <v>2.163436424898502E-2</v>
      </c>
      <c r="S34" s="246">
        <f t="shared" si="10"/>
        <v>2.3954055595953119E-2</v>
      </c>
      <c r="T34" s="246">
        <f t="shared" si="10"/>
        <v>1.8415158618866702E-2</v>
      </c>
      <c r="U34" s="246">
        <f t="shared" si="10"/>
        <v>1.7156636537676691E-2</v>
      </c>
      <c r="V34" s="246">
        <f t="shared" si="10"/>
        <v>1.7712446790555066E-2</v>
      </c>
      <c r="W34" s="246">
        <f t="shared" si="10"/>
        <v>2.3083670990097956E-2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0.21997052623007762</v>
      </c>
      <c r="C35" s="247">
        <f t="shared" si="11"/>
        <v>0.19378874794734699</v>
      </c>
      <c r="D35" s="247">
        <f t="shared" si="11"/>
        <v>0.19548354690774952</v>
      </c>
      <c r="E35" s="247">
        <f t="shared" si="11"/>
        <v>0.19813162867763945</v>
      </c>
      <c r="F35" s="247">
        <f t="shared" si="11"/>
        <v>0.19993394798861239</v>
      </c>
      <c r="G35" s="247">
        <f t="shared" si="11"/>
        <v>0.20128621988232492</v>
      </c>
      <c r="H35" s="247">
        <f t="shared" si="11"/>
        <v>0.19941989297490975</v>
      </c>
      <c r="I35" s="247">
        <f t="shared" si="11"/>
        <v>0.2029730402809535</v>
      </c>
      <c r="J35" s="247">
        <f t="shared" si="11"/>
        <v>0.20021872793144563</v>
      </c>
      <c r="K35" s="247">
        <f t="shared" si="11"/>
        <v>0.19861731331828514</v>
      </c>
      <c r="L35" s="247">
        <f t="shared" si="11"/>
        <v>0.20098561937675369</v>
      </c>
      <c r="M35" s="247">
        <f t="shared" si="11"/>
        <v>0.201885203547086</v>
      </c>
      <c r="N35" s="247">
        <f t="shared" si="11"/>
        <v>0.20118254432811761</v>
      </c>
      <c r="O35" s="247">
        <f t="shared" si="11"/>
        <v>0.1977246831284267</v>
      </c>
      <c r="P35" s="247">
        <f t="shared" si="11"/>
        <v>0.19880590878166901</v>
      </c>
      <c r="Q35" s="247">
        <f t="shared" si="11"/>
        <v>0.19887398973048584</v>
      </c>
      <c r="R35" s="247">
        <f t="shared" si="11"/>
        <v>0.19692999760162272</v>
      </c>
      <c r="S35" s="247">
        <f t="shared" si="11"/>
        <v>0.19662462676679199</v>
      </c>
      <c r="T35" s="247">
        <f t="shared" si="11"/>
        <v>0.20160496623409233</v>
      </c>
      <c r="U35" s="247">
        <f t="shared" si="11"/>
        <v>0.20092845205060605</v>
      </c>
      <c r="V35" s="247">
        <f t="shared" si="11"/>
        <v>0.19987051342438697</v>
      </c>
      <c r="W35" s="247">
        <f t="shared" si="11"/>
        <v>0.19633149163562355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0.20319303745644041</v>
      </c>
      <c r="C36" s="260">
        <f t="shared" si="12"/>
        <v>0.24452239565221301</v>
      </c>
      <c r="D36" s="260">
        <f t="shared" si="12"/>
        <v>0.24966824512193569</v>
      </c>
      <c r="E36" s="260">
        <f t="shared" si="12"/>
        <v>0.25385888427864911</v>
      </c>
      <c r="F36" s="260">
        <f t="shared" si="12"/>
        <v>0.24587177122914086</v>
      </c>
      <c r="G36" s="260">
        <f t="shared" si="12"/>
        <v>0.24647305043449758</v>
      </c>
      <c r="H36" s="260">
        <f t="shared" si="12"/>
        <v>0.23957479600478204</v>
      </c>
      <c r="I36" s="260">
        <f t="shared" si="12"/>
        <v>0.24582487922314308</v>
      </c>
      <c r="J36" s="260">
        <f t="shared" si="12"/>
        <v>0.24778615654310363</v>
      </c>
      <c r="K36" s="260">
        <f t="shared" si="12"/>
        <v>0.24746172645531153</v>
      </c>
      <c r="L36" s="260">
        <f t="shared" si="12"/>
        <v>0.24827626212880669</v>
      </c>
      <c r="M36" s="260">
        <f t="shared" si="12"/>
        <v>0.2552067352135326</v>
      </c>
      <c r="N36" s="260">
        <f t="shared" si="12"/>
        <v>0.25270364419925989</v>
      </c>
      <c r="O36" s="260">
        <f t="shared" si="12"/>
        <v>0.25350294181907002</v>
      </c>
      <c r="P36" s="260">
        <f t="shared" si="12"/>
        <v>0.26064714043976522</v>
      </c>
      <c r="Q36" s="260">
        <f t="shared" si="12"/>
        <v>0.25887389930522736</v>
      </c>
      <c r="R36" s="260">
        <f t="shared" si="12"/>
        <v>0.25374615674577755</v>
      </c>
      <c r="S36" s="260">
        <f t="shared" si="12"/>
        <v>0.2518902848537582</v>
      </c>
      <c r="T36" s="260">
        <f t="shared" si="12"/>
        <v>0.26446765099052183</v>
      </c>
      <c r="U36" s="260">
        <f t="shared" si="12"/>
        <v>0.26486724097683273</v>
      </c>
      <c r="V36" s="260">
        <f t="shared" si="12"/>
        <v>0.26380208519757936</v>
      </c>
      <c r="W36" s="260">
        <f t="shared" si="12"/>
        <v>0.25059060525524496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0.33589325085420396</v>
      </c>
      <c r="C37" s="260">
        <f t="shared" si="13"/>
        <v>0.37487578747857031</v>
      </c>
      <c r="D37" s="260">
        <f t="shared" si="13"/>
        <v>0.37649957377491206</v>
      </c>
      <c r="E37" s="260">
        <f t="shared" si="13"/>
        <v>0.36677701333138946</v>
      </c>
      <c r="F37" s="260">
        <f t="shared" si="13"/>
        <v>0.36206692859829231</v>
      </c>
      <c r="G37" s="260">
        <f t="shared" si="13"/>
        <v>0.35963440586096146</v>
      </c>
      <c r="H37" s="260">
        <f t="shared" si="13"/>
        <v>0.36721684833358043</v>
      </c>
      <c r="I37" s="260">
        <f t="shared" si="13"/>
        <v>0.35945917011310119</v>
      </c>
      <c r="J37" s="260">
        <f t="shared" si="13"/>
        <v>0.36415264613806847</v>
      </c>
      <c r="K37" s="260">
        <f t="shared" si="13"/>
        <v>0.37221961141470367</v>
      </c>
      <c r="L37" s="260">
        <f t="shared" si="13"/>
        <v>0.36305995045073142</v>
      </c>
      <c r="M37" s="260">
        <f t="shared" si="13"/>
        <v>0.3671586363398604</v>
      </c>
      <c r="N37" s="260">
        <f t="shared" si="13"/>
        <v>0.35755500393985729</v>
      </c>
      <c r="O37" s="260">
        <f t="shared" si="13"/>
        <v>0.36671377494360258</v>
      </c>
      <c r="P37" s="260">
        <f t="shared" si="13"/>
        <v>0.37365527210601496</v>
      </c>
      <c r="Q37" s="260">
        <f t="shared" si="13"/>
        <v>0.37681233858992141</v>
      </c>
      <c r="R37" s="260">
        <f t="shared" si="13"/>
        <v>0.38037349448879432</v>
      </c>
      <c r="S37" s="260">
        <f t="shared" si="13"/>
        <v>0.37000418431619952</v>
      </c>
      <c r="T37" s="260">
        <f t="shared" si="13"/>
        <v>0.38080128286534548</v>
      </c>
      <c r="U37" s="260">
        <f t="shared" si="13"/>
        <v>0.38799321185652258</v>
      </c>
      <c r="V37" s="260">
        <f t="shared" si="13"/>
        <v>0.38723315008348114</v>
      </c>
      <c r="W37" s="260">
        <f t="shared" si="13"/>
        <v>0.37668221334443697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3.9045235502193409E-2</v>
      </c>
      <c r="C38" s="260">
        <f t="shared" si="14"/>
        <v>4.6987016107025346E-2</v>
      </c>
      <c r="D38" s="260">
        <f t="shared" si="14"/>
        <v>4.7975833966727985E-2</v>
      </c>
      <c r="E38" s="260">
        <f t="shared" si="14"/>
        <v>4.8781100204325675E-2</v>
      </c>
      <c r="F38" s="260">
        <f t="shared" si="14"/>
        <v>4.7246309869457298E-2</v>
      </c>
      <c r="G38" s="260">
        <f t="shared" si="14"/>
        <v>4.736185067966224E-2</v>
      </c>
      <c r="H38" s="260">
        <f t="shared" si="14"/>
        <v>4.6036293602835565E-2</v>
      </c>
      <c r="I38" s="260">
        <f t="shared" si="14"/>
        <v>4.7237299179719736E-2</v>
      </c>
      <c r="J38" s="260">
        <f t="shared" si="14"/>
        <v>4.7614174961496378E-2</v>
      </c>
      <c r="K38" s="260">
        <f t="shared" si="14"/>
        <v>4.7551833016415947E-2</v>
      </c>
      <c r="L38" s="260">
        <f t="shared" si="14"/>
        <v>4.7708352834194494E-2</v>
      </c>
      <c r="M38" s="260">
        <f t="shared" si="14"/>
        <v>4.904010099408284E-2</v>
      </c>
      <c r="N38" s="260">
        <f t="shared" si="14"/>
        <v>4.8559111195617635E-2</v>
      </c>
      <c r="O38" s="260">
        <f t="shared" si="14"/>
        <v>4.8712702894390877E-2</v>
      </c>
      <c r="P38" s="260">
        <f t="shared" si="14"/>
        <v>5.0085520197145635E-2</v>
      </c>
      <c r="Q38" s="260">
        <f t="shared" si="14"/>
        <v>4.9744777135439788E-2</v>
      </c>
      <c r="R38" s="260">
        <f t="shared" si="14"/>
        <v>4.8759438669444106E-2</v>
      </c>
      <c r="S38" s="260">
        <f t="shared" si="14"/>
        <v>4.8402817419066227E-2</v>
      </c>
      <c r="T38" s="260">
        <f t="shared" si="14"/>
        <v>5.0819663138558582E-2</v>
      </c>
      <c r="U38" s="260">
        <f t="shared" si="14"/>
        <v>5.089644768450137E-2</v>
      </c>
      <c r="V38" s="260">
        <f t="shared" si="14"/>
        <v>5.0691769124802263E-2</v>
      </c>
      <c r="W38" s="260">
        <f t="shared" si="14"/>
        <v>4.815307315303928E-2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4.0379589991416963E-2</v>
      </c>
      <c r="C39" s="260">
        <f t="shared" si="15"/>
        <v>2.7965210562968842E-2</v>
      </c>
      <c r="D39" s="260">
        <f t="shared" si="15"/>
        <v>2.6074560045734933E-2</v>
      </c>
      <c r="E39" s="260">
        <f t="shared" si="15"/>
        <v>2.6490274701599256E-2</v>
      </c>
      <c r="F39" s="260">
        <f t="shared" si="15"/>
        <v>2.8976208462899406E-2</v>
      </c>
      <c r="G39" s="260">
        <f t="shared" si="15"/>
        <v>2.9048894628510742E-2</v>
      </c>
      <c r="H39" s="260">
        <f t="shared" si="15"/>
        <v>2.9550433816778458E-2</v>
      </c>
      <c r="I39" s="260">
        <f t="shared" si="15"/>
        <v>2.890112224061649E-2</v>
      </c>
      <c r="J39" s="260">
        <f t="shared" si="15"/>
        <v>2.8045658885177214E-2</v>
      </c>
      <c r="K39" s="260">
        <f t="shared" si="15"/>
        <v>2.6829903159056773E-2</v>
      </c>
      <c r="L39" s="260">
        <f t="shared" si="15"/>
        <v>2.7993963041902728E-2</v>
      </c>
      <c r="M39" s="260">
        <f t="shared" si="15"/>
        <v>2.5341864781087627E-2</v>
      </c>
      <c r="N39" s="260">
        <f t="shared" si="15"/>
        <v>2.7999939267429535E-2</v>
      </c>
      <c r="O39" s="260">
        <f t="shared" si="15"/>
        <v>2.6669179442901949E-2</v>
      </c>
      <c r="P39" s="260">
        <f t="shared" si="15"/>
        <v>2.3361231695081027E-2</v>
      </c>
      <c r="Q39" s="260">
        <f t="shared" si="15"/>
        <v>2.3138999047785155E-2</v>
      </c>
      <c r="R39" s="260">
        <f t="shared" si="15"/>
        <v>2.4038182498872251E-2</v>
      </c>
      <c r="S39" s="260">
        <f t="shared" si="15"/>
        <v>2.6615617328836806E-2</v>
      </c>
      <c r="T39" s="260">
        <f t="shared" si="15"/>
        <v>2.0461287354296333E-2</v>
      </c>
      <c r="U39" s="260">
        <f t="shared" si="15"/>
        <v>1.9062929486307438E-2</v>
      </c>
      <c r="V39" s="260">
        <f t="shared" si="15"/>
        <v>1.9680496433950066E-2</v>
      </c>
      <c r="W39" s="260">
        <f t="shared" si="15"/>
        <v>2.5648523322331061E-2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5.8550405487554573E-2</v>
      </c>
      <c r="C40" s="262">
        <f t="shared" si="16"/>
        <v>4.0549555316304824E-2</v>
      </c>
      <c r="D40" s="262">
        <f t="shared" si="16"/>
        <v>3.7808112066315652E-2</v>
      </c>
      <c r="E40" s="262">
        <f t="shared" si="16"/>
        <v>3.8410898317318927E-2</v>
      </c>
      <c r="F40" s="262">
        <f t="shared" si="16"/>
        <v>4.2015502271204153E-2</v>
      </c>
      <c r="G40" s="262">
        <f t="shared" si="16"/>
        <v>4.2120897211340588E-2</v>
      </c>
      <c r="H40" s="262">
        <f t="shared" si="16"/>
        <v>4.2848129034328761E-2</v>
      </c>
      <c r="I40" s="262">
        <f t="shared" si="16"/>
        <v>4.1906627248893921E-2</v>
      </c>
      <c r="J40" s="262">
        <f t="shared" si="16"/>
        <v>4.0666205383506952E-2</v>
      </c>
      <c r="K40" s="262">
        <f t="shared" si="16"/>
        <v>3.8903359580632325E-2</v>
      </c>
      <c r="L40" s="262">
        <f t="shared" si="16"/>
        <v>4.0591246410758973E-2</v>
      </c>
      <c r="M40" s="262">
        <f t="shared" si="16"/>
        <v>3.6745703932577055E-2</v>
      </c>
      <c r="N40" s="262">
        <f t="shared" si="16"/>
        <v>4.0599911937772827E-2</v>
      </c>
      <c r="O40" s="262">
        <f t="shared" si="16"/>
        <v>3.8670310192207832E-2</v>
      </c>
      <c r="P40" s="262">
        <f t="shared" si="16"/>
        <v>3.3873785957867483E-2</v>
      </c>
      <c r="Q40" s="262">
        <f t="shared" si="16"/>
        <v>3.3551548619288468E-2</v>
      </c>
      <c r="R40" s="262">
        <f t="shared" si="16"/>
        <v>3.4855364623364755E-2</v>
      </c>
      <c r="S40" s="262">
        <f t="shared" si="16"/>
        <v>3.8592645126813367E-2</v>
      </c>
      <c r="T40" s="262">
        <f t="shared" si="16"/>
        <v>2.9668866663729688E-2</v>
      </c>
      <c r="U40" s="262">
        <f t="shared" si="16"/>
        <v>2.7641247755145787E-2</v>
      </c>
      <c r="V40" s="262">
        <f t="shared" si="16"/>
        <v>2.8536719829227602E-2</v>
      </c>
      <c r="W40" s="262">
        <f t="shared" si="16"/>
        <v>3.7190358817380018E-2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</v>
      </c>
      <c r="C44" s="237">
        <f t="shared" si="17"/>
        <v>122.34803499436489</v>
      </c>
      <c r="D44" s="237">
        <f t="shared" si="17"/>
        <v>127.81056238438659</v>
      </c>
      <c r="E44" s="237">
        <f t="shared" si="17"/>
        <v>135.43288032890175</v>
      </c>
      <c r="F44" s="237">
        <f t="shared" si="17"/>
        <v>134.84363036747558</v>
      </c>
      <c r="G44" s="237">
        <f t="shared" si="17"/>
        <v>154.42655608236754</v>
      </c>
      <c r="H44" s="237">
        <f t="shared" si="17"/>
        <v>146.93020171673024</v>
      </c>
      <c r="I44" s="237">
        <f t="shared" si="17"/>
        <v>137.23851152262938</v>
      </c>
      <c r="J44" s="237">
        <f t="shared" si="17"/>
        <v>139.32723127138391</v>
      </c>
      <c r="K44" s="237">
        <f t="shared" si="17"/>
        <v>156.36023356757099</v>
      </c>
      <c r="L44" s="237">
        <f t="shared" si="17"/>
        <v>144.58585940593423</v>
      </c>
      <c r="M44" s="237">
        <f t="shared" si="17"/>
        <v>132.80026593791024</v>
      </c>
      <c r="N44" s="237">
        <f t="shared" si="17"/>
        <v>135.04301399101351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132.91816907674803</v>
      </c>
      <c r="R44" s="237">
        <f t="shared" si="17"/>
        <v>135.38540863538176</v>
      </c>
      <c r="S44" s="237">
        <f t="shared" si="17"/>
        <v>124.90211009173744</v>
      </c>
      <c r="T44" s="237">
        <f t="shared" si="17"/>
        <v>141.27985612939969</v>
      </c>
      <c r="U44" s="237">
        <f t="shared" si="17"/>
        <v>142.01198459584054</v>
      </c>
      <c r="V44" s="237">
        <f t="shared" si="17"/>
        <v>148.6260104466125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5.1063579052308192</v>
      </c>
      <c r="C45" s="248">
        <f>IF(C$6=0,0,C$6/AGR!C$5*1000)</f>
        <v>3.4214885605828953</v>
      </c>
      <c r="D45" s="248">
        <f>IF(D$6=0,0,D$6/AGR!D$5*1000)</f>
        <v>3.3326041833708393</v>
      </c>
      <c r="E45" s="248">
        <f>IF(E$6=0,0,E$6/AGR!E$5*1000)</f>
        <v>3.5876542035414265</v>
      </c>
      <c r="F45" s="248">
        <f>IF(F$6=0,0,F$6/AGR!F$5*1000)</f>
        <v>3.9072571434221257</v>
      </c>
      <c r="G45" s="248">
        <f>IF(G$6=0,0,G$6/AGR!G$5*1000)</f>
        <v>4.4859207554805005</v>
      </c>
      <c r="H45" s="248">
        <f>IF(H$6=0,0,H$6/AGR!H$5*1000)</f>
        <v>4.3418512015161452</v>
      </c>
      <c r="I45" s="248">
        <f>IF(I$6=0,0,I$6/AGR!I$5*1000)</f>
        <v>3.9663469976357675</v>
      </c>
      <c r="J45" s="248">
        <f>IF(J$6=0,0,J$6/AGR!J$5*1000)</f>
        <v>3.9075240016534281</v>
      </c>
      <c r="K45" s="248">
        <f>IF(K$6=0,0,K$6/AGR!K$5*1000)</f>
        <v>4.1951299245454274</v>
      </c>
      <c r="L45" s="248">
        <f>IF(L$6=0,0,L$6/AGR!L$5*1000)</f>
        <v>4.0475312045914658</v>
      </c>
      <c r="M45" s="248">
        <f>IF(M$6=0,0,M$6/AGR!M$5*1000)</f>
        <v>3.365406382290999</v>
      </c>
      <c r="N45" s="248">
        <f>IF(N$6=0,0,N$6/AGR!N$5*1000)</f>
        <v>3.7811961902390152</v>
      </c>
      <c r="O45" s="248">
        <f>IF(O$6=0,0,O$6/AGR!O$5*1000)</f>
        <v>3.5456728503738422</v>
      </c>
      <c r="P45" s="248">
        <f>IF(P$6=0,0,P$6/AGR!P$5*1000)</f>
        <v>3.0406838222264954</v>
      </c>
      <c r="Q45" s="248">
        <f>IF(Q$6=0,0,Q$6/AGR!Q$5*1000)</f>
        <v>3.0755933877002191</v>
      </c>
      <c r="R45" s="248">
        <f>IF(R$6=0,0,R$6/AGR!R$5*1000)</f>
        <v>3.2544191604617017</v>
      </c>
      <c r="S45" s="248">
        <f>IF(S$6=0,0,S$6/AGR!S$5*1000)</f>
        <v>3.32434676576593</v>
      </c>
      <c r="T45" s="248">
        <f>IF(T$6=0,0,T$6/AGR!T$5*1000)</f>
        <v>2.8907677336372908</v>
      </c>
      <c r="U45" s="248">
        <f>IF(U$6=0,0,U$6/AGR!U$5*1000)</f>
        <v>2.7071644485610871</v>
      </c>
      <c r="V45" s="248">
        <f>IF(V$6=0,0,V$6/AGR!V$5*1000)</f>
        <v>2.9250336685867819</v>
      </c>
      <c r="W45" s="248">
        <f>IF(W$6=0,0,W$6/AGR!W$5*1000)</f>
        <v>3.6559441448586045</v>
      </c>
      <c r="DA45" s="282"/>
    </row>
    <row r="46" spans="1:105" x14ac:dyDescent="0.25">
      <c r="A46" s="241" t="s">
        <v>124</v>
      </c>
      <c r="B46" s="249">
        <f>IF(B$7=0,0,B$7/AGR!B$5*1000)</f>
        <v>3.3191326384000304</v>
      </c>
      <c r="C46" s="249">
        <f>IF(C$7=0,0,C$7/AGR!C$5*1000)</f>
        <v>2.2239675643788819</v>
      </c>
      <c r="D46" s="249">
        <f>IF(D$7=0,0,D$7/AGR!D$5*1000)</f>
        <v>2.1661927191910451</v>
      </c>
      <c r="E46" s="249">
        <f>IF(E$7=0,0,E$7/AGR!E$5*1000)</f>
        <v>2.3319752323019274</v>
      </c>
      <c r="F46" s="249">
        <f>IF(F$7=0,0,F$7/AGR!F$5*1000)</f>
        <v>2.5397171432243808</v>
      </c>
      <c r="G46" s="249">
        <f>IF(G$7=0,0,G$7/AGR!G$5*1000)</f>
        <v>2.9158484910623246</v>
      </c>
      <c r="H46" s="249">
        <f>IF(H$7=0,0,H$7/AGR!H$5*1000)</f>
        <v>2.822203280985494</v>
      </c>
      <c r="I46" s="249">
        <f>IF(I$7=0,0,I$7/AGR!I$5*1000)</f>
        <v>2.5781255484632486</v>
      </c>
      <c r="J46" s="249">
        <f>IF(J$7=0,0,J$7/AGR!J$5*1000)</f>
        <v>2.5398906010747266</v>
      </c>
      <c r="K46" s="249">
        <f>IF(K$7=0,0,K$7/AGR!K$5*1000)</f>
        <v>2.7268344509545277</v>
      </c>
      <c r="L46" s="249">
        <f>IF(L$7=0,0,L$7/AGR!L$5*1000)</f>
        <v>2.630895282984453</v>
      </c>
      <c r="M46" s="249">
        <f>IF(M$7=0,0,M$7/AGR!M$5*1000)</f>
        <v>2.18751414848915</v>
      </c>
      <c r="N46" s="249">
        <f>IF(N$7=0,0,N$7/AGR!N$5*1000)</f>
        <v>2.4577775236553605</v>
      </c>
      <c r="O46" s="249">
        <f>IF(O$7=0,0,O$7/AGR!O$5*1000)</f>
        <v>2.3046873527429979</v>
      </c>
      <c r="P46" s="249">
        <f>IF(P$7=0,0,P$7/AGR!P$5*1000)</f>
        <v>1.9764444844472215</v>
      </c>
      <c r="Q46" s="249">
        <f>IF(Q$7=0,0,Q$7/AGR!Q$5*1000)</f>
        <v>1.999135702005141</v>
      </c>
      <c r="R46" s="249">
        <f>IF(R$7=0,0,R$7/AGR!R$5*1000)</f>
        <v>2.1153724543001053</v>
      </c>
      <c r="S46" s="249">
        <f>IF(S$7=0,0,S$7/AGR!S$5*1000)</f>
        <v>2.1608253977478529</v>
      </c>
      <c r="T46" s="249">
        <f>IF(T$7=0,0,T$7/AGR!T$5*1000)</f>
        <v>1.8789990268642391</v>
      </c>
      <c r="U46" s="249">
        <f>IF(U$7=0,0,U$7/AGR!U$5*1000)</f>
        <v>1.7596568915647057</v>
      </c>
      <c r="V46" s="249">
        <f>IF(V$7=0,0,V$7/AGR!V$5*1000)</f>
        <v>1.9012718845814081</v>
      </c>
      <c r="W46" s="249">
        <f>IF(W$7=0,0,W$7/AGR!W$5*1000)</f>
        <v>2.376363694158091</v>
      </c>
      <c r="DA46" s="283"/>
    </row>
    <row r="47" spans="1:105" x14ac:dyDescent="0.25">
      <c r="A47" s="241" t="s">
        <v>123</v>
      </c>
      <c r="B47" s="249">
        <f>IF(B$8=0,0,B$8/AGR!B$5*1000)</f>
        <v>4.5957221147077343</v>
      </c>
      <c r="C47" s="249">
        <f>IF(C$8=0,0,C$8/AGR!C$5*1000)</f>
        <v>3.0793397045246063</v>
      </c>
      <c r="D47" s="249">
        <f>IF(D$8=0,0,D$8/AGR!D$5*1000)</f>
        <v>2.9993437650337551</v>
      </c>
      <c r="E47" s="249">
        <f>IF(E$8=0,0,E$8/AGR!E$5*1000)</f>
        <v>3.2288887831872839</v>
      </c>
      <c r="F47" s="249">
        <f>IF(F$8=0,0,F$8/AGR!F$5*1000)</f>
        <v>3.5165314290799121</v>
      </c>
      <c r="G47" s="249">
        <f>IF(G$8=0,0,G$8/AGR!G$5*1000)</f>
        <v>4.0373286799324495</v>
      </c>
      <c r="H47" s="249">
        <f>IF(H$8=0,0,H$8/AGR!H$5*1000)</f>
        <v>3.9076660813645301</v>
      </c>
      <c r="I47" s="249">
        <f>IF(I$8=0,0,I$8/AGR!I$5*1000)</f>
        <v>3.5697122978721914</v>
      </c>
      <c r="J47" s="249">
        <f>IF(J$8=0,0,J$8/AGR!J$5*1000)</f>
        <v>3.5167716014880837</v>
      </c>
      <c r="K47" s="249">
        <f>IF(K$8=0,0,K$8/AGR!K$5*1000)</f>
        <v>3.7756169320908839</v>
      </c>
      <c r="L47" s="249">
        <f>IF(L$8=0,0,L$8/AGR!L$5*1000)</f>
        <v>3.6427780841323196</v>
      </c>
      <c r="M47" s="249">
        <f>IF(M$8=0,0,M$8/AGR!M$5*1000)</f>
        <v>3.0288657440618989</v>
      </c>
      <c r="N47" s="249">
        <f>IF(N$8=0,0,N$8/AGR!N$5*1000)</f>
        <v>3.4030765712151134</v>
      </c>
      <c r="O47" s="249">
        <f>IF(O$8=0,0,O$8/AGR!O$5*1000)</f>
        <v>3.1911055653364579</v>
      </c>
      <c r="P47" s="249">
        <f>IF(P$8=0,0,P$8/AGR!P$5*1000)</f>
        <v>2.7366154400038458</v>
      </c>
      <c r="Q47" s="249">
        <f>IF(Q$8=0,0,Q$8/AGR!Q$5*1000)</f>
        <v>2.7680340489301964</v>
      </c>
      <c r="R47" s="249">
        <f>IF(R$8=0,0,R$8/AGR!R$5*1000)</f>
        <v>2.9289772444155306</v>
      </c>
      <c r="S47" s="249">
        <f>IF(S$8=0,0,S$8/AGR!S$5*1000)</f>
        <v>2.991912089189336</v>
      </c>
      <c r="T47" s="249">
        <f>IF(T$8=0,0,T$8/AGR!T$5*1000)</f>
        <v>2.6016909602735625</v>
      </c>
      <c r="U47" s="249">
        <f>IF(U$8=0,0,U$8/AGR!U$5*1000)</f>
        <v>2.4364480037049776</v>
      </c>
      <c r="V47" s="249">
        <f>IF(V$8=0,0,V$8/AGR!V$5*1000)</f>
        <v>2.6325303017281043</v>
      </c>
      <c r="W47" s="249">
        <f>IF(W$8=0,0,W$8/AGR!W$5*1000)</f>
        <v>3.290349730372744</v>
      </c>
      <c r="DA47" s="283"/>
    </row>
    <row r="48" spans="1:105" x14ac:dyDescent="0.25">
      <c r="A48" s="243" t="s">
        <v>122</v>
      </c>
      <c r="B48" s="250">
        <f>IF(B$9=0,0,B$9/AGR!B$5*1000)</f>
        <v>27.817227360938944</v>
      </c>
      <c r="C48" s="250">
        <f>IF(C$9=0,0,C$9/AGR!C$5*1000)</f>
        <v>23.70967251537617</v>
      </c>
      <c r="D48" s="250">
        <f>IF(D$9=0,0,D$9/AGR!D$5*1000)</f>
        <v>24.984862067174085</v>
      </c>
      <c r="E48" s="250">
        <f>IF(E$9=0,0,E$9/AGR!E$5*1000)</f>
        <v>26.833537156069145</v>
      </c>
      <c r="F48" s="250">
        <f>IF(F$9=0,0,F$9/AGR!F$5*1000)</f>
        <v>26.959819380486536</v>
      </c>
      <c r="G48" s="250">
        <f>IF(G$9=0,0,G$9/AGR!G$5*1000)</f>
        <v>31.083937723265617</v>
      </c>
      <c r="H48" s="250">
        <f>IF(H$9=0,0,H$9/AGR!H$5*1000)</f>
        <v>29.300805101132248</v>
      </c>
      <c r="I48" s="250">
        <f>IF(I$9=0,0,I$9/AGR!I$5*1000)</f>
        <v>27.855717927380759</v>
      </c>
      <c r="J48" s="250">
        <f>IF(J$9=0,0,J$9/AGR!J$5*1000)</f>
        <v>27.895921011366816</v>
      </c>
      <c r="K48" s="250">
        <f>IF(K$9=0,0,K$9/AGR!K$5*1000)</f>
        <v>31.055849501010485</v>
      </c>
      <c r="L48" s="250">
        <f>IF(L$9=0,0,L$9/AGR!L$5*1000)</f>
        <v>29.059678505821914</v>
      </c>
      <c r="M48" s="250">
        <f>IF(M$9=0,0,M$9/AGR!M$5*1000)</f>
        <v>26.81040871998216</v>
      </c>
      <c r="N48" s="250">
        <f>IF(N$9=0,0,N$9/AGR!N$5*1000)</f>
        <v>27.168297148449682</v>
      </c>
      <c r="O48" s="250">
        <f>IF(O$9=0,0,O$9/AGR!O$5*1000)</f>
        <v>26.287536979463525</v>
      </c>
      <c r="P48" s="250">
        <f>IF(P$9=0,0,P$9/AGR!P$5*1000)</f>
        <v>25.87645713572298</v>
      </c>
      <c r="Q48" s="250">
        <f>IF(Q$9=0,0,Q$9/AGR!Q$5*1000)</f>
        <v>26.433966591964168</v>
      </c>
      <c r="R48" s="250">
        <f>IF(R$9=0,0,R$9/AGR!R$5*1000)</f>
        <v>26.661448197860441</v>
      </c>
      <c r="S48" s="250">
        <f>IF(S$9=0,0,S$9/AGR!S$5*1000)</f>
        <v>24.558830779172641</v>
      </c>
      <c r="T48" s="250">
        <f>IF(T$9=0,0,T$9/AGR!T$5*1000)</f>
        <v>28.482720624525047</v>
      </c>
      <c r="U48" s="250">
        <f>IF(U$9=0,0,U$9/AGR!U$5*1000)</f>
        <v>28.534248237476756</v>
      </c>
      <c r="V48" s="250">
        <f>IF(V$9=0,0,V$9/AGR!V$5*1000)</f>
        <v>29.705957016182737</v>
      </c>
      <c r="W48" s="250">
        <f>IF(W$9=0,0,W$9/AGR!W$5*1000)</f>
        <v>27.985118608043866</v>
      </c>
      <c r="DA48" s="284"/>
    </row>
    <row r="49" spans="1:105" x14ac:dyDescent="0.25">
      <c r="A49" s="128" t="s">
        <v>175</v>
      </c>
      <c r="B49" s="263">
        <f>IF(B$16=0,0,B$16/AGR!B$5*1000)</f>
        <v>25.695564846599542</v>
      </c>
      <c r="C49" s="263">
        <f>IF(C$16=0,0,C$16/AGR!C$5*1000)</f>
        <v>29.916834620162902</v>
      </c>
      <c r="D49" s="263">
        <f>IF(D$16=0,0,D$16/AGR!D$5*1000)</f>
        <v>31.910238818557485</v>
      </c>
      <c r="E49" s="263">
        <f>IF(E$16=0,0,E$16/AGR!E$5*1000)</f>
        <v>34.380839894938816</v>
      </c>
      <c r="F49" s="263">
        <f>IF(F$16=0,0,F$16/AGR!F$5*1000)</f>
        <v>33.154242237418785</v>
      </c>
      <c r="G49" s="263">
        <f>IF(G$16=0,0,G$16/AGR!G$5*1000)</f>
        <v>38.061984345715153</v>
      </c>
      <c r="H49" s="263">
        <f>IF(H$16=0,0,H$16/AGR!H$5*1000)</f>
        <v>35.200773103227128</v>
      </c>
      <c r="I49" s="263">
        <f>IF(I$16=0,0,I$16/AGR!I$5*1000)</f>
        <v>33.736640519814301</v>
      </c>
      <c r="J49" s="263">
        <f>IF(J$16=0,0,J$16/AGR!J$5*1000)</f>
        <v>34.523359138528335</v>
      </c>
      <c r="K49" s="263">
        <f>IF(K$16=0,0,K$16/AGR!K$5*1000)</f>
        <v>38.693173347586871</v>
      </c>
      <c r="L49" s="263">
        <f>IF(L$16=0,0,L$16/AGR!L$5*1000)</f>
        <v>35.89723672998651</v>
      </c>
      <c r="M49" s="263">
        <f>IF(M$16=0,0,M$16/AGR!M$5*1000)</f>
        <v>33.891522305502974</v>
      </c>
      <c r="N49" s="263">
        <f>IF(N$16=0,0,N$16/AGR!N$5*1000)</f>
        <v>34.125861759180744</v>
      </c>
      <c r="O49" s="263">
        <f>IF(O$16=0,0,O$16/AGR!O$5*1000)</f>
        <v>33.703267857271989</v>
      </c>
      <c r="P49" s="263">
        <f>IF(P$16=0,0,P$16/AGR!P$5*1000)</f>
        <v>33.925674535888064</v>
      </c>
      <c r="Q49" s="263">
        <f>IF(Q$16=0,0,Q$16/AGR!Q$5*1000)</f>
        <v>34.409044717409252</v>
      </c>
      <c r="R49" s="263">
        <f>IF(R$16=0,0,R$16/AGR!R$5*1000)</f>
        <v>34.353527120684724</v>
      </c>
      <c r="S49" s="263">
        <f>IF(S$16=0,0,S$16/AGR!S$5*1000)</f>
        <v>31.461628089843213</v>
      </c>
      <c r="T49" s="263">
        <f>IF(T$16=0,0,T$16/AGR!T$5*1000)</f>
        <v>37.363951682821217</v>
      </c>
      <c r="U49" s="263">
        <f>IF(U$16=0,0,U$16/AGR!U$5*1000)</f>
        <v>37.614322545544752</v>
      </c>
      <c r="V49" s="263">
        <f>IF(V$16=0,0,V$16/AGR!V$5*1000)</f>
        <v>39.207851470413587</v>
      </c>
      <c r="W49" s="263">
        <f>IF(W$16=0,0,W$16/AGR!W$5*1000)</f>
        <v>35.719220343646001</v>
      </c>
      <c r="DA49" s="285"/>
    </row>
    <row r="50" spans="1:105" x14ac:dyDescent="0.25">
      <c r="A50" s="128" t="s">
        <v>121</v>
      </c>
      <c r="B50" s="263">
        <f>IF(B$17=0,0,B$17/AGR!B$5*1000)</f>
        <v>42.476685800366525</v>
      </c>
      <c r="C50" s="263">
        <f>IF(C$17=0,0,C$17/AGR!C$5*1000)</f>
        <v>45.865315964968225</v>
      </c>
      <c r="D50" s="263">
        <f>IF(D$17=0,0,D$17/AGR!D$5*1000)</f>
        <v>48.120622261653367</v>
      </c>
      <c r="E50" s="263">
        <f>IF(E$17=0,0,E$17/AGR!E$5*1000)</f>
        <v>49.673667353902076</v>
      </c>
      <c r="F50" s="263">
        <f>IF(F$17=0,0,F$17/AGR!F$5*1000)</f>
        <v>48.822419088195304</v>
      </c>
      <c r="G50" s="263">
        <f>IF(G$17=0,0,G$17/AGR!G$5*1000)</f>
        <v>55.537102745836705</v>
      </c>
      <c r="H50" s="263">
        <f>IF(H$17=0,0,H$17/AGR!H$5*1000)</f>
        <v>53.95524559943491</v>
      </c>
      <c r="I50" s="263">
        <f>IF(I$17=0,0,I$17/AGR!I$5*1000)</f>
        <v>49.331641459481638</v>
      </c>
      <c r="J50" s="263">
        <f>IF(J$17=0,0,J$17/AGR!J$5*1000)</f>
        <v>50.736379946565094</v>
      </c>
      <c r="K50" s="263">
        <f>IF(K$17=0,0,K$17/AGR!K$5*1000)</f>
        <v>58.200345379233575</v>
      </c>
      <c r="L50" s="263">
        <f>IF(L$17=0,0,L$17/AGR!L$5*1000)</f>
        <v>52.493334951794886</v>
      </c>
      <c r="M50" s="263">
        <f>IF(M$17=0,0,M$17/AGR!M$5*1000)</f>
        <v>48.758764547333939</v>
      </c>
      <c r="N50" s="263">
        <f>IF(N$17=0,0,N$17/AGR!N$5*1000)</f>
        <v>48.285305399607033</v>
      </c>
      <c r="O50" s="263">
        <f>IF(O$17=0,0,O$17/AGR!O$5*1000)</f>
        <v>48.754671228615472</v>
      </c>
      <c r="P50" s="263">
        <f>IF(P$17=0,0,P$17/AGR!P$5*1000)</f>
        <v>48.634744769113851</v>
      </c>
      <c r="Q50" s="263">
        <f>IF(Q$17=0,0,Q$17/AGR!Q$5*1000)</f>
        <v>50.085206130899998</v>
      </c>
      <c r="R50" s="263">
        <f>IF(R$17=0,0,R$17/AGR!R$5*1000)</f>
        <v>51.497020985433544</v>
      </c>
      <c r="S50" s="263">
        <f>IF(S$17=0,0,S$17/AGR!S$5*1000)</f>
        <v>46.214303363865469</v>
      </c>
      <c r="T50" s="263">
        <f>IF(T$17=0,0,T$17/AGR!T$5*1000)</f>
        <v>53.799550457106839</v>
      </c>
      <c r="U50" s="263">
        <f>IF(U$17=0,0,U$17/AGR!U$5*1000)</f>
        <v>55.099686025459185</v>
      </c>
      <c r="V50" s="263">
        <f>IF(V$17=0,0,V$17/AGR!V$5*1000)</f>
        <v>57.552918209582124</v>
      </c>
      <c r="W50" s="263">
        <f>IF(W$17=0,0,W$17/AGR!W$5*1000)</f>
        <v>53.692336008676456</v>
      </c>
      <c r="DA50" s="285"/>
    </row>
    <row r="51" spans="1:105" x14ac:dyDescent="0.25">
      <c r="A51" s="128" t="s">
        <v>174</v>
      </c>
      <c r="B51" s="263">
        <f>IF(B$25=0,0,B$25/AGR!B$5*1000)</f>
        <v>4.9376169250506035</v>
      </c>
      <c r="C51" s="263">
        <f>IF(C$25=0,0,C$25/AGR!C$5*1000)</f>
        <v>5.7487690909431244</v>
      </c>
      <c r="D51" s="263">
        <f>IF(D$25=0,0,D$25/AGR!D$5*1000)</f>
        <v>6.1318183201474605</v>
      </c>
      <c r="E51" s="263">
        <f>IF(E$25=0,0,E$25/AGR!E$5*1000)</f>
        <v>6.6065649062846052</v>
      </c>
      <c r="F51" s="263">
        <f>IF(F$25=0,0,F$25/AGR!F$5*1000)</f>
        <v>6.3708639442643138</v>
      </c>
      <c r="G51" s="263">
        <f>IF(G$25=0,0,G$25/AGR!G$5*1000)</f>
        <v>7.313927490147579</v>
      </c>
      <c r="H51" s="263">
        <f>IF(H$25=0,0,H$25/AGR!H$5*1000)</f>
        <v>6.7641219053552488</v>
      </c>
      <c r="I51" s="263">
        <f>IF(I$25=0,0,I$25/AGR!I$5*1000)</f>
        <v>6.4827766277738581</v>
      </c>
      <c r="J51" s="263">
        <f>IF(J$25=0,0,J$25/AGR!J$5*1000)</f>
        <v>6.6339511666565425</v>
      </c>
      <c r="K51" s="263">
        <f>IF(K$25=0,0,K$25/AGR!K$5*1000)</f>
        <v>7.4352157170129303</v>
      </c>
      <c r="L51" s="263">
        <f>IF(L$25=0,0,L$25/AGR!L$5*1000)</f>
        <v>6.8979531953735469</v>
      </c>
      <c r="M51" s="263">
        <f>IF(M$25=0,0,M$25/AGR!M$5*1000)</f>
        <v>6.5125384536361777</v>
      </c>
      <c r="N51" s="263">
        <f>IF(N$25=0,0,N$25/AGR!N$5*1000)</f>
        <v>6.5575687325809726</v>
      </c>
      <c r="O51" s="263">
        <f>IF(O$25=0,0,O$25/AGR!O$5*1000)</f>
        <v>6.476363792547752</v>
      </c>
      <c r="P51" s="263">
        <f>IF(P$25=0,0,P$25/AGR!P$5*1000)</f>
        <v>6.519101089319979</v>
      </c>
      <c r="Q51" s="263">
        <f>IF(Q$25=0,0,Q$25/AGR!Q$5*1000)</f>
        <v>6.6119846979735355</v>
      </c>
      <c r="R51" s="263">
        <f>IF(R$25=0,0,R$25/AGR!R$5*1000)</f>
        <v>6.6013165290945253</v>
      </c>
      <c r="S51" s="263">
        <f>IF(S$25=0,0,S$25/AGR!S$5*1000)</f>
        <v>6.0456140300264769</v>
      </c>
      <c r="T51" s="263">
        <f>IF(T$25=0,0,T$25/AGR!T$5*1000)</f>
        <v>7.1797946967601129</v>
      </c>
      <c r="U51" s="263">
        <f>IF(U$25=0,0,U$25/AGR!U$5*1000)</f>
        <v>7.2279055445544138</v>
      </c>
      <c r="V51" s="263">
        <f>IF(V$25=0,0,V$25/AGR!V$5*1000)</f>
        <v>7.5341154075001295</v>
      </c>
      <c r="W51" s="263">
        <f>IF(W$25=0,0,W$25/AGR!W$5*1000)</f>
        <v>6.8637458631985764</v>
      </c>
      <c r="DA51" s="285"/>
    </row>
    <row r="52" spans="1:105" x14ac:dyDescent="0.25">
      <c r="A52" s="128" t="s">
        <v>177</v>
      </c>
      <c r="B52" s="263">
        <f>IF(B$26=0,0,B$26/AGR!B$5*1000)</f>
        <v>5.1063579052308192</v>
      </c>
      <c r="C52" s="263">
        <f>IF(C$26=0,0,C$26/AGR!C$5*1000)</f>
        <v>3.4214885605828953</v>
      </c>
      <c r="D52" s="263">
        <f>IF(D$26=0,0,D$26/AGR!D$5*1000)</f>
        <v>3.3326041833708393</v>
      </c>
      <c r="E52" s="263">
        <f>IF(E$26=0,0,E$26/AGR!E$5*1000)</f>
        <v>3.5876542035414265</v>
      </c>
      <c r="F52" s="263">
        <f>IF(F$26=0,0,F$26/AGR!F$5*1000)</f>
        <v>3.9072571434221257</v>
      </c>
      <c r="G52" s="263">
        <f>IF(G$26=0,0,G$26/AGR!G$5*1000)</f>
        <v>4.4859207554805005</v>
      </c>
      <c r="H52" s="263">
        <f>IF(H$26=0,0,H$26/AGR!H$5*1000)</f>
        <v>4.3418512015161452</v>
      </c>
      <c r="I52" s="263">
        <f>IF(I$26=0,0,I$26/AGR!I$5*1000)</f>
        <v>3.9663469976357675</v>
      </c>
      <c r="J52" s="263">
        <f>IF(J$26=0,0,J$26/AGR!J$5*1000)</f>
        <v>3.9075240016534281</v>
      </c>
      <c r="K52" s="263">
        <f>IF(K$26=0,0,K$26/AGR!K$5*1000)</f>
        <v>4.1951299245454274</v>
      </c>
      <c r="L52" s="263">
        <f>IF(L$26=0,0,L$26/AGR!L$5*1000)</f>
        <v>4.0475312045914658</v>
      </c>
      <c r="M52" s="263">
        <f>IF(M$26=0,0,M$26/AGR!M$5*1000)</f>
        <v>3.365406382290999</v>
      </c>
      <c r="N52" s="263">
        <f>IF(N$26=0,0,N$26/AGR!N$5*1000)</f>
        <v>3.7811961902390152</v>
      </c>
      <c r="O52" s="263">
        <f>IF(O$26=0,0,O$26/AGR!O$5*1000)</f>
        <v>3.5456728503738422</v>
      </c>
      <c r="P52" s="263">
        <f>IF(P$26=0,0,P$26/AGR!P$5*1000)</f>
        <v>3.0406838222264954</v>
      </c>
      <c r="Q52" s="263">
        <f>IF(Q$26=0,0,Q$26/AGR!Q$5*1000)</f>
        <v>3.0755933877002191</v>
      </c>
      <c r="R52" s="263">
        <f>IF(R$26=0,0,R$26/AGR!R$5*1000)</f>
        <v>3.2544191604617017</v>
      </c>
      <c r="S52" s="263">
        <f>IF(S$26=0,0,S$26/AGR!S$5*1000)</f>
        <v>3.32434676576593</v>
      </c>
      <c r="T52" s="263">
        <f>IF(T$26=0,0,T$26/AGR!T$5*1000)</f>
        <v>2.8907677336372908</v>
      </c>
      <c r="U52" s="263">
        <f>IF(U$26=0,0,U$26/AGR!U$5*1000)</f>
        <v>2.7071644485610871</v>
      </c>
      <c r="V52" s="263">
        <f>IF(V$26=0,0,V$26/AGR!V$5*1000)</f>
        <v>2.9250336685867819</v>
      </c>
      <c r="W52" s="263">
        <f>IF(W$26=0,0,W$26/AGR!W$5*1000)</f>
        <v>3.6559441448586045</v>
      </c>
      <c r="DA52" s="285"/>
    </row>
    <row r="53" spans="1:105" x14ac:dyDescent="0.25">
      <c r="A53" s="261" t="s">
        <v>33</v>
      </c>
      <c r="B53" s="264">
        <f>IF(B$27=0,0,B$27/AGR!B$5*1000)</f>
        <v>7.404218962584685</v>
      </c>
      <c r="C53" s="264">
        <f>IF(C$27=0,0,C$27/AGR!C$5*1000)</f>
        <v>4.9611584128451982</v>
      </c>
      <c r="D53" s="264">
        <f>IF(D$27=0,0,D$27/AGR!D$5*1000)</f>
        <v>4.832276065887716</v>
      </c>
      <c r="E53" s="264">
        <f>IF(E$27=0,0,E$27/AGR!E$5*1000)</f>
        <v>5.2020985951350687</v>
      </c>
      <c r="F53" s="264">
        <f>IF(F$27=0,0,F$27/AGR!F$5*1000)</f>
        <v>5.6655228579620838</v>
      </c>
      <c r="G53" s="264">
        <f>IF(G$27=0,0,G$27/AGR!G$5*1000)</f>
        <v>6.5045850954467266</v>
      </c>
      <c r="H53" s="264">
        <f>IF(H$27=0,0,H$27/AGR!H$5*1000)</f>
        <v>6.2956842421984112</v>
      </c>
      <c r="I53" s="264">
        <f>IF(I$27=0,0,I$27/AGR!I$5*1000)</f>
        <v>5.7512031465718634</v>
      </c>
      <c r="J53" s="264">
        <f>IF(J$27=0,0,J$27/AGR!J$5*1000)</f>
        <v>5.6659098023974694</v>
      </c>
      <c r="K53" s="264">
        <f>IF(K$27=0,0,K$27/AGR!K$5*1000)</f>
        <v>6.0829383905908703</v>
      </c>
      <c r="L53" s="264">
        <f>IF(L$27=0,0,L$27/AGR!L$5*1000)</f>
        <v>5.8689202466576269</v>
      </c>
      <c r="M53" s="264">
        <f>IF(M$27=0,0,M$27/AGR!M$5*1000)</f>
        <v>4.879839254321948</v>
      </c>
      <c r="N53" s="264">
        <f>IF(N$27=0,0,N$27/AGR!N$5*1000)</f>
        <v>5.4827344758465717</v>
      </c>
      <c r="O53" s="264">
        <f>IF(O$27=0,0,O$27/AGR!O$5*1000)</f>
        <v>5.1412256330420716</v>
      </c>
      <c r="P53" s="264">
        <f>IF(P$27=0,0,P$27/AGR!P$5*1000)</f>
        <v>4.408991542228418</v>
      </c>
      <c r="Q53" s="264">
        <f>IF(Q$27=0,0,Q$27/AGR!Q$5*1000)</f>
        <v>4.4596104121653166</v>
      </c>
      <c r="R53" s="264">
        <f>IF(R$27=0,0,R$27/AGR!R$5*1000)</f>
        <v>4.7189077826694659</v>
      </c>
      <c r="S53" s="264">
        <f>IF(S$27=0,0,S$27/AGR!S$5*1000)</f>
        <v>4.820302810360598</v>
      </c>
      <c r="T53" s="264">
        <f>IF(T$27=0,0,T$27/AGR!T$5*1000)</f>
        <v>4.1916132137740725</v>
      </c>
      <c r="U53" s="264">
        <f>IF(U$27=0,0,U$27/AGR!U$5*1000)</f>
        <v>3.9253884504135756</v>
      </c>
      <c r="V53" s="264">
        <f>IF(V$27=0,0,V$27/AGR!V$5*1000)</f>
        <v>4.2412988194508348</v>
      </c>
      <c r="W53" s="264">
        <f>IF(W$27=0,0,W$27/AGR!W$5*1000)</f>
        <v>5.3011190100449737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25.954824275956824</v>
      </c>
      <c r="C5" s="80">
        <f t="shared" ref="C5:W5" si="1">SUM(C6:C9,C16:C17,C25:C27)</f>
        <v>40.128150701976942</v>
      </c>
      <c r="D5" s="80">
        <f t="shared" si="1"/>
        <v>43.525352403007147</v>
      </c>
      <c r="E5" s="80">
        <f t="shared" si="1"/>
        <v>45.62746476068844</v>
      </c>
      <c r="F5" s="80">
        <f t="shared" si="1"/>
        <v>42.970442022421679</v>
      </c>
      <c r="G5" s="80">
        <f t="shared" si="1"/>
        <v>42.688477578127639</v>
      </c>
      <c r="H5" s="80">
        <f t="shared" si="1"/>
        <v>40.422725608824386</v>
      </c>
      <c r="I5" s="80">
        <f t="shared" si="1"/>
        <v>38.401532260302318</v>
      </c>
      <c r="J5" s="80">
        <f t="shared" si="1"/>
        <v>38.764199570579358</v>
      </c>
      <c r="K5" s="80">
        <f t="shared" si="1"/>
        <v>37.590762471487956</v>
      </c>
      <c r="L5" s="80">
        <f t="shared" si="1"/>
        <v>38.85961220032295</v>
      </c>
      <c r="M5" s="80">
        <f t="shared" si="1"/>
        <v>43.948407855084909</v>
      </c>
      <c r="N5" s="80">
        <f t="shared" si="1"/>
        <v>45.356816153029122</v>
      </c>
      <c r="O5" s="80">
        <f t="shared" si="1"/>
        <v>44.496566103537127</v>
      </c>
      <c r="P5" s="80">
        <f t="shared" si="1"/>
        <v>52.230456957142287</v>
      </c>
      <c r="Q5" s="80">
        <f t="shared" si="1"/>
        <v>52.681594268934973</v>
      </c>
      <c r="R5" s="80">
        <f t="shared" si="1"/>
        <v>52.325576263228641</v>
      </c>
      <c r="S5" s="80">
        <f t="shared" si="1"/>
        <v>53.661316900389224</v>
      </c>
      <c r="T5" s="80">
        <f t="shared" si="1"/>
        <v>49.219825674926454</v>
      </c>
      <c r="U5" s="80">
        <f t="shared" si="1"/>
        <v>44.366528831505029</v>
      </c>
      <c r="V5" s="80">
        <f t="shared" si="1"/>
        <v>43.058275182972764</v>
      </c>
      <c r="W5" s="80">
        <f t="shared" si="1"/>
        <v>35.455396939759375</v>
      </c>
      <c r="DA5" s="103"/>
    </row>
    <row r="6" spans="1:105" x14ac:dyDescent="0.25">
      <c r="A6" s="239" t="s">
        <v>125</v>
      </c>
      <c r="B6" s="240">
        <v>1.136143411269106</v>
      </c>
      <c r="C6" s="240">
        <v>1.3484929831230721</v>
      </c>
      <c r="D6" s="240">
        <v>1.373947103488222</v>
      </c>
      <c r="E6" s="240">
        <v>1.452327466163676</v>
      </c>
      <c r="F6" s="240">
        <v>1.4725935109808259</v>
      </c>
      <c r="G6" s="240">
        <v>1.464343039111863</v>
      </c>
      <c r="H6" s="240">
        <v>1.4121154111218761</v>
      </c>
      <c r="I6" s="240">
        <v>1.305615901280647</v>
      </c>
      <c r="J6" s="240">
        <v>1.289760675744047</v>
      </c>
      <c r="K6" s="240">
        <v>1.205732041555299</v>
      </c>
      <c r="L6" s="240">
        <v>1.289649521433349</v>
      </c>
      <c r="M6" s="240">
        <v>1.337182816345907</v>
      </c>
      <c r="N6" s="240">
        <v>1.502759091277704</v>
      </c>
      <c r="O6" s="240">
        <v>1.422359112216796</v>
      </c>
      <c r="P6" s="240">
        <v>1.4847928822500001</v>
      </c>
      <c r="Q6" s="240">
        <v>1.4846035108877611</v>
      </c>
      <c r="R6" s="240">
        <v>1.5293831144260159</v>
      </c>
      <c r="S6" s="240">
        <v>1.7159413493979541</v>
      </c>
      <c r="T6" s="240">
        <v>1.2374701300275901</v>
      </c>
      <c r="U6" s="240">
        <v>1.0471536293494059</v>
      </c>
      <c r="V6" s="240">
        <v>1.0482025693383961</v>
      </c>
      <c r="W6" s="240">
        <v>1.100997002031151</v>
      </c>
      <c r="DA6" s="268" t="s">
        <v>1014</v>
      </c>
    </row>
    <row r="7" spans="1:105" x14ac:dyDescent="0.25">
      <c r="A7" s="241" t="s">
        <v>124</v>
      </c>
      <c r="B7" s="242">
        <v>0.7323104884277305</v>
      </c>
      <c r="C7" s="242">
        <v>0.8691821343303302</v>
      </c>
      <c r="D7" s="242">
        <v>0.88558879490875153</v>
      </c>
      <c r="E7" s="242">
        <v>0.93610949599690763</v>
      </c>
      <c r="F7" s="242">
        <v>0.94917214022944085</v>
      </c>
      <c r="G7" s="242">
        <v>0.94385423139487734</v>
      </c>
      <c r="H7" s="242">
        <v>0.91019048843478179</v>
      </c>
      <c r="I7" s="242">
        <v>0.84154536204001906</v>
      </c>
      <c r="J7" s="242">
        <v>0.83132574729625253</v>
      </c>
      <c r="K7" s="242">
        <v>0.77716440680496612</v>
      </c>
      <c r="L7" s="242">
        <v>0.83125410188005699</v>
      </c>
      <c r="M7" s="242">
        <v>0.86189207422468594</v>
      </c>
      <c r="N7" s="242">
        <v>0.96861561067674751</v>
      </c>
      <c r="O7" s="242">
        <v>0.91679314939969359</v>
      </c>
      <c r="P7" s="242">
        <v>0.95703534433204718</v>
      </c>
      <c r="Q7" s="242">
        <v>0.95691328347828464</v>
      </c>
      <c r="R7" s="242">
        <v>0.9857763416216837</v>
      </c>
      <c r="S7" s="242">
        <v>1.1060239712936351</v>
      </c>
      <c r="T7" s="242">
        <v>0.79762145020316155</v>
      </c>
      <c r="U7" s="242">
        <v>0.67495139976312446</v>
      </c>
      <c r="V7" s="242">
        <v>0.67562750257554205</v>
      </c>
      <c r="W7" s="242">
        <v>0.70965658412283528</v>
      </c>
      <c r="DA7" s="269" t="s">
        <v>1015</v>
      </c>
    </row>
    <row r="8" spans="1:105" x14ac:dyDescent="0.25">
      <c r="A8" s="241" t="s">
        <v>123</v>
      </c>
      <c r="B8" s="242">
        <v>1.455271006753694</v>
      </c>
      <c r="C8" s="242">
        <v>1.727266753197749</v>
      </c>
      <c r="D8" s="242">
        <v>1.759870597925806</v>
      </c>
      <c r="E8" s="242">
        <v>1.860266963533397</v>
      </c>
      <c r="F8" s="242">
        <v>1.8862254711931159</v>
      </c>
      <c r="G8" s="242">
        <v>1.875657551347921</v>
      </c>
      <c r="H8" s="242">
        <v>1.8087598762732171</v>
      </c>
      <c r="I8" s="242">
        <v>1.67234606850198</v>
      </c>
      <c r="J8" s="242">
        <v>1.6520373206801009</v>
      </c>
      <c r="K8" s="242">
        <v>1.544406159103938</v>
      </c>
      <c r="L8" s="242">
        <v>1.651894944599732</v>
      </c>
      <c r="M8" s="242">
        <v>1.7127797107794249</v>
      </c>
      <c r="N8" s="242">
        <v>1.924864162376398</v>
      </c>
      <c r="O8" s="242">
        <v>1.82188089696253</v>
      </c>
      <c r="P8" s="242">
        <v>1.901851483836029</v>
      </c>
      <c r="Q8" s="242">
        <v>1.9016089205731139</v>
      </c>
      <c r="R8" s="242">
        <v>1.958966520042317</v>
      </c>
      <c r="S8" s="242">
        <v>2.1979264856003091</v>
      </c>
      <c r="T8" s="242">
        <v>1.5850590551251511</v>
      </c>
      <c r="U8" s="242">
        <v>1.3412851769362999</v>
      </c>
      <c r="V8" s="242">
        <v>1.3426287502375771</v>
      </c>
      <c r="W8" s="242">
        <v>1.410252437928512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9.876670276821562</v>
      </c>
      <c r="C9" s="244">
        <f t="shared" ref="C9:W9" si="3">SUM(C10:C15)</f>
        <v>13.050906401335229</v>
      </c>
      <c r="D9" s="244">
        <f t="shared" si="3"/>
        <v>14.172403614096346</v>
      </c>
      <c r="E9" s="244">
        <f t="shared" si="3"/>
        <v>14.911360732334025</v>
      </c>
      <c r="F9" s="244">
        <f t="shared" si="3"/>
        <v>14.26820586860342</v>
      </c>
      <c r="G9" s="244">
        <f t="shared" si="3"/>
        <v>14.248151406923173</v>
      </c>
      <c r="H9" s="244">
        <f t="shared" si="3"/>
        <v>13.532970700836861</v>
      </c>
      <c r="I9" s="244">
        <f t="shared" si="3"/>
        <v>12.887042603938212</v>
      </c>
      <c r="J9" s="244">
        <f t="shared" si="3"/>
        <v>12.845810145780565</v>
      </c>
      <c r="K9" s="244">
        <f t="shared" si="3"/>
        <v>12.387941300348794</v>
      </c>
      <c r="L9" s="244">
        <f t="shared" si="3"/>
        <v>12.912992602085886</v>
      </c>
      <c r="M9" s="244">
        <f t="shared" si="3"/>
        <v>14.581569395004301</v>
      </c>
      <c r="N9" s="244">
        <f t="shared" si="3"/>
        <v>14.967626699828299</v>
      </c>
      <c r="O9" s="244">
        <f t="shared" si="3"/>
        <v>14.494309107906719</v>
      </c>
      <c r="P9" s="244">
        <f t="shared" si="3"/>
        <v>17.011514085852546</v>
      </c>
      <c r="Q9" s="244">
        <f t="shared" si="3"/>
        <v>17.205948177479431</v>
      </c>
      <c r="R9" s="244">
        <f t="shared" si="3"/>
        <v>17.036750871018125</v>
      </c>
      <c r="S9" s="244">
        <f t="shared" si="3"/>
        <v>17.44011807753532</v>
      </c>
      <c r="T9" s="244">
        <f t="shared" si="3"/>
        <v>16.249575492879131</v>
      </c>
      <c r="U9" s="244">
        <f t="shared" si="3"/>
        <v>14.634784035702502</v>
      </c>
      <c r="V9" s="244">
        <f t="shared" si="3"/>
        <v>14.134984216091715</v>
      </c>
      <c r="W9" s="244">
        <f t="shared" si="3"/>
        <v>11.566909464972809</v>
      </c>
      <c r="DA9" s="270"/>
    </row>
    <row r="10" spans="1:105" x14ac:dyDescent="0.25">
      <c r="A10" s="254" t="s">
        <v>173</v>
      </c>
      <c r="B10" s="255">
        <v>2.0434863296408721</v>
      </c>
      <c r="C10" s="255">
        <v>8.0138629864724944</v>
      </c>
      <c r="D10" s="255">
        <v>9.3064277743874193</v>
      </c>
      <c r="E10" s="255">
        <v>9.8928489954142016</v>
      </c>
      <c r="F10" s="255">
        <v>8.0275046599475139</v>
      </c>
      <c r="G10" s="255">
        <v>7.9185462447761621</v>
      </c>
      <c r="H10" s="255">
        <v>6.8454854500745359</v>
      </c>
      <c r="I10" s="255">
        <v>6.8695106445368701</v>
      </c>
      <c r="J10" s="255">
        <v>7.3867153167313191</v>
      </c>
      <c r="K10" s="255">
        <v>7.1897185443478913</v>
      </c>
      <c r="L10" s="255">
        <v>7.2782819002363297</v>
      </c>
      <c r="M10" s="255">
        <v>9.3303091065013675</v>
      </c>
      <c r="N10" s="255">
        <v>9.0705151412663927</v>
      </c>
      <c r="O10" s="255">
        <v>9.4424148289777001</v>
      </c>
      <c r="P10" s="255">
        <v>12.495503774133709</v>
      </c>
      <c r="Q10" s="255">
        <v>12.44501883298463</v>
      </c>
      <c r="R10" s="255">
        <v>11.615453966852151</v>
      </c>
      <c r="S10" s="255">
        <v>11.504790180180541</v>
      </c>
      <c r="T10" s="255">
        <v>12.405203724653539</v>
      </c>
      <c r="U10" s="255">
        <v>11.58236374177047</v>
      </c>
      <c r="V10" s="255">
        <v>11.181554797172049</v>
      </c>
      <c r="W10" s="255">
        <v>7.664855934996444</v>
      </c>
      <c r="DA10" s="271" t="s">
        <v>1017</v>
      </c>
    </row>
    <row r="11" spans="1:105" x14ac:dyDescent="0.25">
      <c r="A11" s="254" t="s">
        <v>176</v>
      </c>
      <c r="B11" s="256">
        <v>0.47554096622425668</v>
      </c>
      <c r="C11" s="256">
        <v>0.90098147662512529</v>
      </c>
      <c r="D11" s="256">
        <v>1.013959374846491</v>
      </c>
      <c r="E11" s="256">
        <v>1.2919597463448651</v>
      </c>
      <c r="F11" s="256">
        <v>1.3859132138466621</v>
      </c>
      <c r="G11" s="256">
        <v>1.447887090404151</v>
      </c>
      <c r="H11" s="256">
        <v>1.665844218176654</v>
      </c>
      <c r="I11" s="256">
        <v>1.557365075038563</v>
      </c>
      <c r="J11" s="256">
        <v>1.474591199311732</v>
      </c>
      <c r="K11" s="256">
        <v>1.8464318827591339</v>
      </c>
      <c r="L11" s="256">
        <v>1.8582269558744431</v>
      </c>
      <c r="M11" s="256">
        <v>1.614759193209468</v>
      </c>
      <c r="N11" s="256">
        <v>1.8288407725471489</v>
      </c>
      <c r="O11" s="256">
        <v>1.709864065649652</v>
      </c>
      <c r="P11" s="256">
        <v>1.6994378381587649</v>
      </c>
      <c r="Q11" s="256">
        <v>1.486457710121468</v>
      </c>
      <c r="R11" s="256">
        <v>1.788797482722283</v>
      </c>
      <c r="S11" s="256">
        <v>1.440750745068001</v>
      </c>
      <c r="T11" s="256">
        <v>1.483920611053241</v>
      </c>
      <c r="U11" s="256">
        <v>1.048762381983275</v>
      </c>
      <c r="V11" s="256">
        <v>0.92421019513067648</v>
      </c>
      <c r="W11" s="256">
        <v>0.74155462195951027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0.89553255180250335</v>
      </c>
      <c r="C14" s="255">
        <v>1.0306957993521679</v>
      </c>
      <c r="D14" s="255">
        <v>1.2672618973010059</v>
      </c>
      <c r="E14" s="255">
        <v>1.0983382526590599</v>
      </c>
      <c r="F14" s="255">
        <v>1.5207386085812249</v>
      </c>
      <c r="G14" s="255">
        <v>1.622141458997612</v>
      </c>
      <c r="H14" s="255">
        <v>1.5207386085732331</v>
      </c>
      <c r="I14" s="255">
        <v>1.638991242784549</v>
      </c>
      <c r="J14" s="255">
        <v>1.31799373728381</v>
      </c>
      <c r="K14" s="255">
        <v>1.04760641267776</v>
      </c>
      <c r="L14" s="255">
        <v>1.182769660208526</v>
      </c>
      <c r="M14" s="255">
        <v>1.5376492219033819</v>
      </c>
      <c r="N14" s="255">
        <v>1.149009263097492</v>
      </c>
      <c r="O14" s="255">
        <v>0.74345869096140249</v>
      </c>
      <c r="P14" s="255">
        <v>0.84486154138083336</v>
      </c>
      <c r="Q14" s="255">
        <v>1.3010831239538609</v>
      </c>
      <c r="R14" s="255">
        <v>1.3179937372814501</v>
      </c>
      <c r="S14" s="255">
        <v>1.250412113517599</v>
      </c>
      <c r="T14" s="255">
        <v>1.149009263093997</v>
      </c>
      <c r="U14" s="255">
        <v>1.098338252657183</v>
      </c>
      <c r="V14" s="255">
        <v>1.047606412673461</v>
      </c>
      <c r="W14" s="255">
        <v>1.1827696602080799</v>
      </c>
      <c r="DA14" s="271" t="s">
        <v>1021</v>
      </c>
    </row>
    <row r="15" spans="1:105" x14ac:dyDescent="0.25">
      <c r="A15" s="254" t="s">
        <v>24</v>
      </c>
      <c r="B15" s="256">
        <v>6.4621104291539293</v>
      </c>
      <c r="C15" s="256">
        <v>3.105366138885441</v>
      </c>
      <c r="D15" s="256">
        <v>2.5847545675614292</v>
      </c>
      <c r="E15" s="256">
        <v>2.628213737915897</v>
      </c>
      <c r="F15" s="256">
        <v>3.3340493862280209</v>
      </c>
      <c r="G15" s="256">
        <v>3.259576612745247</v>
      </c>
      <c r="H15" s="256">
        <v>3.5009024240124398</v>
      </c>
      <c r="I15" s="256">
        <v>2.8211756415782299</v>
      </c>
      <c r="J15" s="256">
        <v>2.6665098924537038</v>
      </c>
      <c r="K15" s="256">
        <v>2.3041844605640089</v>
      </c>
      <c r="L15" s="256">
        <v>2.5937140857665861</v>
      </c>
      <c r="M15" s="256">
        <v>2.0988518733900849</v>
      </c>
      <c r="N15" s="256">
        <v>2.9192615229172652</v>
      </c>
      <c r="O15" s="256">
        <v>2.5985715223179642</v>
      </c>
      <c r="P15" s="256">
        <v>1.971710932179239</v>
      </c>
      <c r="Q15" s="256">
        <v>1.9733885104194751</v>
      </c>
      <c r="R15" s="256">
        <v>2.3145056841622411</v>
      </c>
      <c r="S15" s="256">
        <v>3.2441650387691792</v>
      </c>
      <c r="T15" s="256">
        <v>1.2114418940783549</v>
      </c>
      <c r="U15" s="256">
        <v>0.90531965929157399</v>
      </c>
      <c r="V15" s="256">
        <v>0.98161281111552712</v>
      </c>
      <c r="W15" s="256">
        <v>1.9777292478087749</v>
      </c>
      <c r="DA15" s="272" t="s">
        <v>1022</v>
      </c>
    </row>
    <row r="16" spans="1:105" x14ac:dyDescent="0.25">
      <c r="A16" s="257" t="s">
        <v>175</v>
      </c>
      <c r="B16" s="258">
        <v>4.0910811084554748</v>
      </c>
      <c r="C16" s="258">
        <v>8.4373731621908892</v>
      </c>
      <c r="D16" s="258">
        <v>9.414003384307815</v>
      </c>
      <c r="E16" s="258">
        <v>9.959292181360162</v>
      </c>
      <c r="F16" s="258">
        <v>8.9414512433541447</v>
      </c>
      <c r="G16" s="258">
        <v>8.8907965818401298</v>
      </c>
      <c r="H16" s="258">
        <v>8.1922930020000457</v>
      </c>
      <c r="I16" s="258">
        <v>7.946658979639599</v>
      </c>
      <c r="J16" s="258">
        <v>8.1541470861243059</v>
      </c>
      <c r="K16" s="258">
        <v>7.9578867340707973</v>
      </c>
      <c r="L16" s="258">
        <v>8.1846579194520608</v>
      </c>
      <c r="M16" s="258">
        <v>9.636123720329028</v>
      </c>
      <c r="N16" s="258">
        <v>9.7051398390893873</v>
      </c>
      <c r="O16" s="258">
        <v>9.6747695107768497</v>
      </c>
      <c r="P16" s="258">
        <v>11.85444218121131</v>
      </c>
      <c r="Q16" s="258">
        <v>11.885356101107069</v>
      </c>
      <c r="R16" s="258">
        <v>11.55239829902437</v>
      </c>
      <c r="S16" s="258">
        <v>11.62078139022258</v>
      </c>
      <c r="T16" s="258">
        <v>11.445436123199199</v>
      </c>
      <c r="U16" s="258">
        <v>10.411349520051401</v>
      </c>
      <c r="V16" s="258">
        <v>10.05415121365049</v>
      </c>
      <c r="W16" s="258">
        <v>7.6974446218232657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5.2693623480684</v>
      </c>
      <c r="C17" s="258">
        <f t="shared" ref="C17:W17" si="5">SUM(C18:C24)</f>
        <v>10.184823500542871</v>
      </c>
      <c r="D17" s="258">
        <f t="shared" si="5"/>
        <v>11.21435583632384</v>
      </c>
      <c r="E17" s="258">
        <f t="shared" si="5"/>
        <v>11.533396797635483</v>
      </c>
      <c r="F17" s="258">
        <f t="shared" si="5"/>
        <v>10.564268743862087</v>
      </c>
      <c r="G17" s="258">
        <f t="shared" si="5"/>
        <v>10.404613702865641</v>
      </c>
      <c r="H17" s="258">
        <f t="shared" si="5"/>
        <v>9.9300136211004855</v>
      </c>
      <c r="I17" s="258">
        <f t="shared" si="5"/>
        <v>9.4115424170982998</v>
      </c>
      <c r="J17" s="258">
        <f t="shared" si="5"/>
        <v>9.6661128371660237</v>
      </c>
      <c r="K17" s="258">
        <f t="shared" si="5"/>
        <v>9.6293432619420951</v>
      </c>
      <c r="L17" s="258">
        <f t="shared" si="5"/>
        <v>9.6603315272579238</v>
      </c>
      <c r="M17" s="258">
        <f t="shared" si="5"/>
        <v>11.175818024631997</v>
      </c>
      <c r="N17" s="258">
        <f t="shared" si="5"/>
        <v>11.22105888772885</v>
      </c>
      <c r="O17" s="258">
        <f t="shared" si="5"/>
        <v>11.305023368082397</v>
      </c>
      <c r="P17" s="258">
        <f t="shared" si="5"/>
        <v>13.709932886448106</v>
      </c>
      <c r="Q17" s="258">
        <f t="shared" si="5"/>
        <v>13.932591908905115</v>
      </c>
      <c r="R17" s="258">
        <f t="shared" si="5"/>
        <v>13.880434831959636</v>
      </c>
      <c r="S17" s="258">
        <f t="shared" si="5"/>
        <v>13.722518300520434</v>
      </c>
      <c r="T17" s="258">
        <f t="shared" si="5"/>
        <v>13.267823369325908</v>
      </c>
      <c r="U17" s="258">
        <f t="shared" si="5"/>
        <v>12.23561032811619</v>
      </c>
      <c r="V17" s="258">
        <f t="shared" si="5"/>
        <v>11.826707804872898</v>
      </c>
      <c r="W17" s="258">
        <f t="shared" si="5"/>
        <v>9.1790253398956665</v>
      </c>
      <c r="DA17" s="273"/>
    </row>
    <row r="18" spans="1:105" x14ac:dyDescent="0.25">
      <c r="A18" s="61" t="s">
        <v>29</v>
      </c>
      <c r="B18" s="55">
        <v>0.16141528653399509</v>
      </c>
      <c r="C18" s="55">
        <v>0</v>
      </c>
      <c r="D18" s="55">
        <v>0.16431248397995571</v>
      </c>
      <c r="E18" s="55">
        <v>0.16370254767345069</v>
      </c>
      <c r="F18" s="55">
        <v>0.19361121007645141</v>
      </c>
      <c r="G18" s="55">
        <v>0.16431248398208129</v>
      </c>
      <c r="H18" s="55">
        <v>0</v>
      </c>
      <c r="I18" s="55">
        <v>0.16431248397837689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0.78047885304379994</v>
      </c>
      <c r="S18" s="55">
        <v>0.26623719729451051</v>
      </c>
      <c r="T18" s="55">
        <v>0.13311859864777281</v>
      </c>
      <c r="U18" s="55">
        <v>7.5457834350664943E-2</v>
      </c>
      <c r="V18" s="55">
        <v>3.6225859851234672E-2</v>
      </c>
      <c r="W18" s="55">
        <v>7.5457834350466838E-2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0.31955158116095278</v>
      </c>
      <c r="J19" s="55">
        <v>0.31955158116316662</v>
      </c>
      <c r="K19" s="55">
        <v>0.31955158116281751</v>
      </c>
      <c r="L19" s="55">
        <v>0</v>
      </c>
      <c r="M19" s="55">
        <v>0</v>
      </c>
      <c r="N19" s="55">
        <v>0.31955158116274329</v>
      </c>
      <c r="O19" s="55">
        <v>0.31955158116225552</v>
      </c>
      <c r="P19" s="55">
        <v>0.31955158116433219</v>
      </c>
      <c r="Q19" s="55">
        <v>0.63910316232849618</v>
      </c>
      <c r="R19" s="55">
        <v>0.63910316232712883</v>
      </c>
      <c r="S19" s="55">
        <v>0.63910316232469622</v>
      </c>
      <c r="T19" s="55">
        <v>0.31955158116359073</v>
      </c>
      <c r="U19" s="55">
        <v>0.63910316232860653</v>
      </c>
      <c r="V19" s="55">
        <v>0.76053731410449577</v>
      </c>
      <c r="W19" s="55">
        <v>0.31955158116346449</v>
      </c>
      <c r="DA19" s="101" t="s">
        <v>1025</v>
      </c>
    </row>
    <row r="20" spans="1:105" x14ac:dyDescent="0.25">
      <c r="A20" s="61" t="s">
        <v>173</v>
      </c>
      <c r="B20" s="55">
        <v>2.5024667177289048</v>
      </c>
      <c r="C20" s="55">
        <v>6.3877518330853817</v>
      </c>
      <c r="D20" s="55">
        <v>7.4139643410106677</v>
      </c>
      <c r="E20" s="55">
        <v>8.6090378137260988</v>
      </c>
      <c r="F20" s="55">
        <v>7.3140786364546289</v>
      </c>
      <c r="G20" s="55">
        <v>7.4123951732737501</v>
      </c>
      <c r="H20" s="55">
        <v>6.0178660326552134</v>
      </c>
      <c r="I20" s="55">
        <v>6.5284702995379114</v>
      </c>
      <c r="J20" s="55">
        <v>6.661608560049979</v>
      </c>
      <c r="K20" s="55">
        <v>6.0886382757511139</v>
      </c>
      <c r="L20" s="55">
        <v>6.6812083602595322</v>
      </c>
      <c r="M20" s="55">
        <v>8.3243001489367288</v>
      </c>
      <c r="N20" s="55">
        <v>8.6591876792057327</v>
      </c>
      <c r="O20" s="55">
        <v>8.2361698411794464</v>
      </c>
      <c r="P20" s="55">
        <v>10.425734595563391</v>
      </c>
      <c r="Q20" s="55">
        <v>10.13472492041141</v>
      </c>
      <c r="R20" s="55">
        <v>9.1284280768726411</v>
      </c>
      <c r="S20" s="55">
        <v>9.6803781729483305</v>
      </c>
      <c r="T20" s="55">
        <v>10.010154019486921</v>
      </c>
      <c r="U20" s="55">
        <v>8.8267956278271331</v>
      </c>
      <c r="V20" s="55">
        <v>8.5017265427596982</v>
      </c>
      <c r="W20" s="55">
        <v>6.1253085959664961</v>
      </c>
      <c r="DA20" s="101" t="s">
        <v>1026</v>
      </c>
    </row>
    <row r="21" spans="1:105" x14ac:dyDescent="0.25">
      <c r="A21" s="61" t="s">
        <v>129</v>
      </c>
      <c r="B21" s="55">
        <v>0.77226911533963949</v>
      </c>
      <c r="C21" s="55">
        <v>1.269159112930937</v>
      </c>
      <c r="D21" s="55">
        <v>1.0207028493340431</v>
      </c>
      <c r="E21" s="55">
        <v>0.55071317622666438</v>
      </c>
      <c r="F21" s="55">
        <v>1.0745485575267211</v>
      </c>
      <c r="G21" s="55">
        <v>0.2753565881187961</v>
      </c>
      <c r="H21" s="55">
        <v>0</v>
      </c>
      <c r="I21" s="55">
        <v>0.27535658811258817</v>
      </c>
      <c r="J21" s="55">
        <v>0.49691252720122059</v>
      </c>
      <c r="K21" s="55">
        <v>0.52381285171453407</v>
      </c>
      <c r="L21" s="55">
        <v>0.24845626360044851</v>
      </c>
      <c r="M21" s="55">
        <v>0.49089712799959612</v>
      </c>
      <c r="N21" s="55">
        <v>0.24543729920760471</v>
      </c>
      <c r="O21" s="55">
        <v>0.2454372992072299</v>
      </c>
      <c r="P21" s="55">
        <v>0.52079388732432508</v>
      </c>
      <c r="Q21" s="55">
        <v>0.98179425600508219</v>
      </c>
      <c r="R21" s="55">
        <v>1.0116910153245651</v>
      </c>
      <c r="S21" s="55">
        <v>1.0116910153207139</v>
      </c>
      <c r="T21" s="55">
        <v>0.71119141032742816</v>
      </c>
      <c r="U21" s="55">
        <v>0.90800986506447423</v>
      </c>
      <c r="V21" s="55">
        <v>0.60678931334362596</v>
      </c>
      <c r="W21" s="55">
        <v>0.66908361592471977</v>
      </c>
      <c r="DA21" s="101" t="s">
        <v>1027</v>
      </c>
    </row>
    <row r="22" spans="1:105" x14ac:dyDescent="0.25">
      <c r="A22" s="61" t="s">
        <v>176</v>
      </c>
      <c r="B22" s="55">
        <v>0.56840612905511612</v>
      </c>
      <c r="C22" s="55">
        <v>0.70096482874070898</v>
      </c>
      <c r="D22" s="55">
        <v>0.78842843620702119</v>
      </c>
      <c r="E22" s="55">
        <v>1.097378534436765</v>
      </c>
      <c r="F22" s="55">
        <v>1.2325068379183699</v>
      </c>
      <c r="G22" s="55">
        <v>1.322884859777786</v>
      </c>
      <c r="H22" s="55">
        <v>1.429377338488905</v>
      </c>
      <c r="I22" s="55">
        <v>1.4446089657806671</v>
      </c>
      <c r="J22" s="55">
        <v>1.297996820323889</v>
      </c>
      <c r="K22" s="55">
        <v>1.5262153516367989</v>
      </c>
      <c r="L22" s="55">
        <v>1.664942126668157</v>
      </c>
      <c r="M22" s="55">
        <v>1.406156659542408</v>
      </c>
      <c r="N22" s="55">
        <v>1.7041010277336279</v>
      </c>
      <c r="O22" s="55">
        <v>1.4557206606872399</v>
      </c>
      <c r="P22" s="55">
        <v>1.383988309288801</v>
      </c>
      <c r="Q22" s="55">
        <v>1.1815257967813579</v>
      </c>
      <c r="R22" s="55">
        <v>1.3721298998616469</v>
      </c>
      <c r="S22" s="55">
        <v>1.1832505553025721</v>
      </c>
      <c r="T22" s="55">
        <v>1.168750390103596</v>
      </c>
      <c r="U22" s="55">
        <v>0.78011246207664076</v>
      </c>
      <c r="V22" s="55">
        <v>0.68588283340806133</v>
      </c>
      <c r="W22" s="55">
        <v>0.57841742286538067</v>
      </c>
      <c r="DA22" s="101" t="s">
        <v>1028</v>
      </c>
    </row>
    <row r="23" spans="1:105" x14ac:dyDescent="0.25">
      <c r="A23" s="61" t="s">
        <v>171</v>
      </c>
      <c r="B23" s="55">
        <v>1.2648050994107449</v>
      </c>
      <c r="C23" s="55">
        <v>1.8269477257858431</v>
      </c>
      <c r="D23" s="55">
        <v>1.8269477257921529</v>
      </c>
      <c r="E23" s="55">
        <v>1.1125647255725051</v>
      </c>
      <c r="F23" s="55">
        <v>0.74952350188591665</v>
      </c>
      <c r="G23" s="55">
        <v>1.2296645977132279</v>
      </c>
      <c r="H23" s="55">
        <v>2.482770249956368</v>
      </c>
      <c r="I23" s="55">
        <v>0.67924249852780305</v>
      </c>
      <c r="J23" s="55">
        <v>0.89004334842776933</v>
      </c>
      <c r="K23" s="55">
        <v>1.171125201676831</v>
      </c>
      <c r="L23" s="55">
        <v>1.0657247767297851</v>
      </c>
      <c r="M23" s="55">
        <v>0.95446408815326611</v>
      </c>
      <c r="N23" s="55">
        <v>0.29278130041913969</v>
      </c>
      <c r="O23" s="55">
        <v>1.048143985846226</v>
      </c>
      <c r="P23" s="55">
        <v>1.059864513107257</v>
      </c>
      <c r="Q23" s="55">
        <v>0.99544377337876899</v>
      </c>
      <c r="R23" s="55">
        <v>0.94860382452985459</v>
      </c>
      <c r="S23" s="55">
        <v>0.94185819732961196</v>
      </c>
      <c r="T23" s="55">
        <v>0.92505736959660001</v>
      </c>
      <c r="U23" s="55">
        <v>1.006131376468669</v>
      </c>
      <c r="V23" s="55">
        <v>1.2355459414057819</v>
      </c>
      <c r="W23" s="55">
        <v>1.4112062896251381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0.55029473025483699</v>
      </c>
      <c r="C25" s="258">
        <v>1.134918097505075</v>
      </c>
      <c r="D25" s="258">
        <v>1.266285442808442</v>
      </c>
      <c r="E25" s="258">
        <v>1.3396326934568641</v>
      </c>
      <c r="F25" s="258">
        <v>1.202722060405687</v>
      </c>
      <c r="G25" s="258">
        <v>1.195908459659323</v>
      </c>
      <c r="H25" s="258">
        <v>1.1019521608571079</v>
      </c>
      <c r="I25" s="258">
        <v>1.068911723747006</v>
      </c>
      <c r="J25" s="258">
        <v>1.096821121913935</v>
      </c>
      <c r="K25" s="258">
        <v>1.0704219783550879</v>
      </c>
      <c r="L25" s="258">
        <v>1.100925159538916</v>
      </c>
      <c r="M25" s="258">
        <v>1.2961630343678661</v>
      </c>
      <c r="N25" s="258">
        <v>1.3054464500346861</v>
      </c>
      <c r="O25" s="258">
        <v>1.3013613118564289</v>
      </c>
      <c r="P25" s="258">
        <v>1.5945508997483719</v>
      </c>
      <c r="Q25" s="258">
        <v>1.5987091568836289</v>
      </c>
      <c r="R25" s="258">
        <v>1.5539227253693171</v>
      </c>
      <c r="S25" s="258">
        <v>1.5631209919710549</v>
      </c>
      <c r="T25" s="258">
        <v>1.539535153934585</v>
      </c>
      <c r="U25" s="258">
        <v>1.400439302922676</v>
      </c>
      <c r="V25" s="258">
        <v>1.35239226096545</v>
      </c>
      <c r="W25" s="258">
        <v>1.0353896927301369</v>
      </c>
      <c r="DA25" s="273" t="s">
        <v>1031</v>
      </c>
    </row>
    <row r="26" spans="1:105" x14ac:dyDescent="0.25">
      <c r="A26" s="257" t="s">
        <v>177</v>
      </c>
      <c r="B26" s="258">
        <v>1.1266315206580479</v>
      </c>
      <c r="C26" s="258">
        <v>1.337203283585124</v>
      </c>
      <c r="D26" s="258">
        <v>1.362444299859618</v>
      </c>
      <c r="E26" s="258">
        <v>1.440168455379859</v>
      </c>
      <c r="F26" s="258">
        <v>1.4602648311222171</v>
      </c>
      <c r="G26" s="258">
        <v>1.4520834329151959</v>
      </c>
      <c r="H26" s="258">
        <v>1.4002930591304339</v>
      </c>
      <c r="I26" s="258">
        <v>1.2946851723692601</v>
      </c>
      <c r="J26" s="258">
        <v>1.2789626881480809</v>
      </c>
      <c r="K26" s="258">
        <v>1.1956375489307181</v>
      </c>
      <c r="L26" s="258">
        <v>1.278852464430857</v>
      </c>
      <c r="M26" s="258">
        <v>1.3259878064995161</v>
      </c>
      <c r="N26" s="258">
        <v>1.490177862579612</v>
      </c>
      <c r="O26" s="258">
        <v>1.410450999076452</v>
      </c>
      <c r="P26" s="258">
        <v>1.47236206820315</v>
      </c>
      <c r="Q26" s="258">
        <v>1.4721742822742849</v>
      </c>
      <c r="R26" s="258">
        <v>1.516578987110283</v>
      </c>
      <c r="S26" s="258">
        <v>1.7015753404517471</v>
      </c>
      <c r="T26" s="258">
        <v>1.22710992338948</v>
      </c>
      <c r="U26" s="258">
        <v>1.038386768866346</v>
      </c>
      <c r="V26" s="258">
        <v>1.039426927039296</v>
      </c>
      <c r="W26" s="258">
        <v>1.091779360188978</v>
      </c>
      <c r="DA26" s="273" t="s">
        <v>1032</v>
      </c>
    </row>
    <row r="27" spans="1:105" x14ac:dyDescent="0.25">
      <c r="A27" s="129" t="s">
        <v>33</v>
      </c>
      <c r="B27" s="259">
        <v>1.7170593852479701</v>
      </c>
      <c r="C27" s="259">
        <v>2.037984386166606</v>
      </c>
      <c r="D27" s="259">
        <v>2.0764533292883129</v>
      </c>
      <c r="E27" s="259">
        <v>2.194909974828064</v>
      </c>
      <c r="F27" s="259">
        <v>2.2255381526707469</v>
      </c>
      <c r="G27" s="259">
        <v>2.2130691720695199</v>
      </c>
      <c r="H27" s="259">
        <v>2.134137289069578</v>
      </c>
      <c r="I27" s="259">
        <v>1.973184031687286</v>
      </c>
      <c r="J27" s="259">
        <v>1.949221947726046</v>
      </c>
      <c r="K27" s="259">
        <v>1.8222290403762671</v>
      </c>
      <c r="L27" s="259">
        <v>1.9490539596441701</v>
      </c>
      <c r="M27" s="259">
        <v>2.0208912729021828</v>
      </c>
      <c r="N27" s="259">
        <v>2.271127549437435</v>
      </c>
      <c r="O27" s="259">
        <v>2.149618647259262</v>
      </c>
      <c r="P27" s="259">
        <v>2.2439751252607318</v>
      </c>
      <c r="Q27" s="259">
        <v>2.2436889273462741</v>
      </c>
      <c r="R27" s="259">
        <v>2.3113645726568919</v>
      </c>
      <c r="S27" s="259">
        <v>2.5933109933961909</v>
      </c>
      <c r="T27" s="259">
        <v>1.8701949768422479</v>
      </c>
      <c r="U27" s="259">
        <v>1.5825686697970851</v>
      </c>
      <c r="V27" s="259">
        <v>1.584153938201402</v>
      </c>
      <c r="W27" s="259">
        <v>1.6639424360660131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</v>
      </c>
      <c r="E31" s="236">
        <f t="shared" si="6"/>
        <v>0.99999999999999989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1.0000000000000002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0.99999999999999978</v>
      </c>
      <c r="DA31" s="275"/>
    </row>
    <row r="32" spans="1:105" x14ac:dyDescent="0.25">
      <c r="A32" s="239" t="s">
        <v>125</v>
      </c>
      <c r="B32" s="245">
        <f t="shared" ref="B32:W32" si="8">IF(B$6=0,0,B$6/B$5)</f>
        <v>4.3773881849069933E-2</v>
      </c>
      <c r="C32" s="245">
        <f t="shared" si="8"/>
        <v>3.3604663049090815E-2</v>
      </c>
      <c r="D32" s="245">
        <f t="shared" si="8"/>
        <v>3.1566593436548412E-2</v>
      </c>
      <c r="E32" s="245">
        <f t="shared" si="8"/>
        <v>3.1830115343488632E-2</v>
      </c>
      <c r="F32" s="245">
        <f t="shared" si="8"/>
        <v>3.4269917684636261E-2</v>
      </c>
      <c r="G32" s="245">
        <f t="shared" si="8"/>
        <v>3.430300451525474E-2</v>
      </c>
      <c r="H32" s="245">
        <f t="shared" si="8"/>
        <v>3.4933701027166947E-2</v>
      </c>
      <c r="I32" s="245">
        <f t="shared" si="8"/>
        <v>3.3999057444651259E-2</v>
      </c>
      <c r="J32" s="245">
        <f t="shared" si="8"/>
        <v>3.327195427821833E-2</v>
      </c>
      <c r="K32" s="245">
        <f t="shared" si="8"/>
        <v>3.2075221737516743E-2</v>
      </c>
      <c r="L32" s="245">
        <f t="shared" si="8"/>
        <v>3.3187400707581714E-2</v>
      </c>
      <c r="M32" s="245">
        <f t="shared" si="8"/>
        <v>3.042619474987858E-2</v>
      </c>
      <c r="N32" s="245">
        <f t="shared" si="8"/>
        <v>3.313193514746611E-2</v>
      </c>
      <c r="O32" s="245">
        <f t="shared" si="8"/>
        <v>3.1965592780961352E-2</v>
      </c>
      <c r="P32" s="245">
        <f t="shared" si="8"/>
        <v>2.8427721462753949E-2</v>
      </c>
      <c r="Q32" s="245">
        <f t="shared" si="8"/>
        <v>2.8180686850686198E-2</v>
      </c>
      <c r="R32" s="245">
        <f t="shared" si="8"/>
        <v>2.9228213497971108E-2</v>
      </c>
      <c r="S32" s="245">
        <f t="shared" si="8"/>
        <v>3.1977250066062161E-2</v>
      </c>
      <c r="T32" s="245">
        <f t="shared" si="8"/>
        <v>2.5141700789443909E-2</v>
      </c>
      <c r="U32" s="245">
        <f t="shared" si="8"/>
        <v>2.3602333942470022E-2</v>
      </c>
      <c r="V32" s="245">
        <f t="shared" si="8"/>
        <v>2.4343812307486574E-2</v>
      </c>
      <c r="W32" s="245">
        <f t="shared" si="8"/>
        <v>3.105301581877095E-2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2.8214812038088202E-2</v>
      </c>
      <c r="C33" s="246">
        <f t="shared" si="9"/>
        <v>2.1660159242960313E-2</v>
      </c>
      <c r="D33" s="246">
        <f t="shared" si="9"/>
        <v>2.0346504876260729E-2</v>
      </c>
      <c r="E33" s="246">
        <f t="shared" si="9"/>
        <v>2.0516360067488075E-2</v>
      </c>
      <c r="F33" s="246">
        <f t="shared" si="9"/>
        <v>2.2088954536101105E-2</v>
      </c>
      <c r="G33" s="246">
        <f t="shared" si="9"/>
        <v>2.2110280922233716E-2</v>
      </c>
      <c r="H33" s="246">
        <f t="shared" si="9"/>
        <v>2.2516801495347082E-2</v>
      </c>
      <c r="I33" s="246">
        <f t="shared" si="9"/>
        <v>2.1914369362546732E-2</v>
      </c>
      <c r="J33" s="246">
        <f t="shared" si="9"/>
        <v>2.1445709095131143E-2</v>
      </c>
      <c r="K33" s="246">
        <f t="shared" si="9"/>
        <v>2.0674345389892903E-2</v>
      </c>
      <c r="L33" s="246">
        <f t="shared" si="9"/>
        <v>2.139120940257733E-2</v>
      </c>
      <c r="M33" s="246">
        <f t="shared" si="9"/>
        <v>1.9611451615418725E-2</v>
      </c>
      <c r="N33" s="246">
        <f t="shared" si="9"/>
        <v>2.1355458624096109E-2</v>
      </c>
      <c r="O33" s="246">
        <f t="shared" si="9"/>
        <v>2.060368315313248E-2</v>
      </c>
      <c r="P33" s="246">
        <f t="shared" si="9"/>
        <v>1.83233193827376E-2</v>
      </c>
      <c r="Q33" s="246">
        <f t="shared" si="9"/>
        <v>1.8164091211691987E-2</v>
      </c>
      <c r="R33" s="246">
        <f t="shared" si="9"/>
        <v>1.8839283043203287E-2</v>
      </c>
      <c r="S33" s="246">
        <f t="shared" si="9"/>
        <v>2.0611196951180539E-2</v>
      </c>
      <c r="T33" s="246">
        <f t="shared" si="9"/>
        <v>1.6205287996570162E-2</v>
      </c>
      <c r="U33" s="246">
        <f t="shared" si="9"/>
        <v>1.5213076558827745E-2</v>
      </c>
      <c r="V33" s="246">
        <f t="shared" si="9"/>
        <v>1.5691002477561306E-2</v>
      </c>
      <c r="W33" s="246">
        <f t="shared" si="9"/>
        <v>2.0015474240172235E-2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5.6069383914179691E-2</v>
      </c>
      <c r="C34" s="246">
        <f t="shared" si="10"/>
        <v>4.3043766607282354E-2</v>
      </c>
      <c r="D34" s="246">
        <f t="shared" si="10"/>
        <v>4.0433230307498153E-2</v>
      </c>
      <c r="E34" s="246">
        <f t="shared" si="10"/>
        <v>4.0770772018351539E-2</v>
      </c>
      <c r="F34" s="246">
        <f t="shared" si="10"/>
        <v>4.3895882434928098E-2</v>
      </c>
      <c r="G34" s="246">
        <f t="shared" si="10"/>
        <v>4.3938262916852169E-2</v>
      </c>
      <c r="H34" s="246">
        <f t="shared" si="10"/>
        <v>4.474611370289093E-2</v>
      </c>
      <c r="I34" s="246">
        <f t="shared" si="10"/>
        <v>4.3548941150735591E-2</v>
      </c>
      <c r="J34" s="246">
        <f t="shared" si="10"/>
        <v>4.2617604361265805E-2</v>
      </c>
      <c r="K34" s="246">
        <f t="shared" si="10"/>
        <v>4.1084725543286002E-2</v>
      </c>
      <c r="L34" s="246">
        <f t="shared" si="10"/>
        <v>4.2509300815565101E-2</v>
      </c>
      <c r="M34" s="246">
        <f t="shared" si="10"/>
        <v>3.897250877499657E-2</v>
      </c>
      <c r="N34" s="246">
        <f t="shared" si="10"/>
        <v>4.2438255716232574E-2</v>
      </c>
      <c r="O34" s="246">
        <f t="shared" si="10"/>
        <v>4.0944303268779764E-2</v>
      </c>
      <c r="P34" s="246">
        <f t="shared" si="10"/>
        <v>3.6412690882574386E-2</v>
      </c>
      <c r="Q34" s="246">
        <f t="shared" si="10"/>
        <v>3.6096267528760904E-2</v>
      </c>
      <c r="R34" s="246">
        <f t="shared" si="10"/>
        <v>3.7438030499416866E-2</v>
      </c>
      <c r="S34" s="246">
        <f t="shared" si="10"/>
        <v>4.0959234930448882E-2</v>
      </c>
      <c r="T34" s="246">
        <f t="shared" si="10"/>
        <v>3.22036706426738E-2</v>
      </c>
      <c r="U34" s="246">
        <f t="shared" si="10"/>
        <v>3.0231916092201525E-2</v>
      </c>
      <c r="V34" s="246">
        <f t="shared" si="10"/>
        <v>3.1181665882624918E-2</v>
      </c>
      <c r="W34" s="246">
        <f t="shared" si="10"/>
        <v>3.9775395557539707E-2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0.38053312061799571</v>
      </c>
      <c r="C35" s="247">
        <f t="shared" si="11"/>
        <v>0.32523069648191555</v>
      </c>
      <c r="D35" s="247">
        <f t="shared" si="11"/>
        <v>0.32561261039019596</v>
      </c>
      <c r="E35" s="247">
        <f t="shared" si="11"/>
        <v>0.32680669001757262</v>
      </c>
      <c r="F35" s="247">
        <f t="shared" si="11"/>
        <v>0.33204698851267039</v>
      </c>
      <c r="G35" s="247">
        <f t="shared" si="11"/>
        <v>0.33377042741443463</v>
      </c>
      <c r="H35" s="247">
        <f t="shared" si="11"/>
        <v>0.33478620001523546</v>
      </c>
      <c r="I35" s="247">
        <f t="shared" si="11"/>
        <v>0.33558667702591194</v>
      </c>
      <c r="J35" s="247">
        <f t="shared" si="11"/>
        <v>0.33138334566645034</v>
      </c>
      <c r="K35" s="247">
        <f t="shared" si="11"/>
        <v>0.32954748682591545</v>
      </c>
      <c r="L35" s="247">
        <f t="shared" si="11"/>
        <v>0.33229854522270735</v>
      </c>
      <c r="M35" s="247">
        <f t="shared" si="11"/>
        <v>0.3317883424374653</v>
      </c>
      <c r="N35" s="247">
        <f t="shared" si="11"/>
        <v>0.32999729631218166</v>
      </c>
      <c r="O35" s="247">
        <f t="shared" si="11"/>
        <v>0.32573994753169361</v>
      </c>
      <c r="P35" s="247">
        <f t="shared" si="11"/>
        <v>0.32570103876003514</v>
      </c>
      <c r="Q35" s="247">
        <f t="shared" si="11"/>
        <v>0.32660264777949882</v>
      </c>
      <c r="R35" s="247">
        <f t="shared" si="11"/>
        <v>0.32559127080250733</v>
      </c>
      <c r="S35" s="247">
        <f t="shared" si="11"/>
        <v>0.32500354230793804</v>
      </c>
      <c r="T35" s="247">
        <f t="shared" si="11"/>
        <v>0.3301428899850205</v>
      </c>
      <c r="U35" s="247">
        <f t="shared" si="11"/>
        <v>0.32986092040877052</v>
      </c>
      <c r="V35" s="247">
        <f t="shared" si="11"/>
        <v>0.32827567188946161</v>
      </c>
      <c r="W35" s="247">
        <f t="shared" si="11"/>
        <v>0.326238329375514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0.1576231480112634</v>
      </c>
      <c r="C36" s="260">
        <f t="shared" si="12"/>
        <v>0.21026070263873925</v>
      </c>
      <c r="D36" s="260">
        <f t="shared" si="12"/>
        <v>0.21628781536660013</v>
      </c>
      <c r="E36" s="260">
        <f t="shared" si="12"/>
        <v>0.21827406439511091</v>
      </c>
      <c r="F36" s="260">
        <f t="shared" si="12"/>
        <v>0.20808376229149697</v>
      </c>
      <c r="G36" s="260">
        <f t="shared" si="12"/>
        <v>0.20827157786473793</v>
      </c>
      <c r="H36" s="260">
        <f t="shared" si="12"/>
        <v>0.20266552733919671</v>
      </c>
      <c r="I36" s="260">
        <f t="shared" si="12"/>
        <v>0.20693598697504262</v>
      </c>
      <c r="J36" s="260">
        <f t="shared" si="12"/>
        <v>0.21035252053322448</v>
      </c>
      <c r="K36" s="260">
        <f t="shared" si="12"/>
        <v>0.2116979335044544</v>
      </c>
      <c r="L36" s="260">
        <f t="shared" si="12"/>
        <v>0.21062119398566825</v>
      </c>
      <c r="M36" s="260">
        <f t="shared" si="12"/>
        <v>0.21925990475247925</v>
      </c>
      <c r="N36" s="260">
        <f t="shared" si="12"/>
        <v>0.21397312823601347</v>
      </c>
      <c r="O36" s="260">
        <f t="shared" si="12"/>
        <v>0.21742732884746765</v>
      </c>
      <c r="P36" s="260">
        <f t="shared" si="12"/>
        <v>0.22696416749595882</v>
      </c>
      <c r="Q36" s="260">
        <f t="shared" si="12"/>
        <v>0.22560737323994709</v>
      </c>
      <c r="R36" s="260">
        <f t="shared" si="12"/>
        <v>0.22077918914660327</v>
      </c>
      <c r="S36" s="260">
        <f t="shared" si="12"/>
        <v>0.21655788678824411</v>
      </c>
      <c r="T36" s="260">
        <f t="shared" si="12"/>
        <v>0.23253711215457898</v>
      </c>
      <c r="U36" s="260">
        <f t="shared" si="12"/>
        <v>0.23466675879899393</v>
      </c>
      <c r="V36" s="260">
        <f t="shared" si="12"/>
        <v>0.23350102090541627</v>
      </c>
      <c r="W36" s="260">
        <f t="shared" si="12"/>
        <v>0.21710219842980852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0.20302053645378207</v>
      </c>
      <c r="C37" s="260">
        <f t="shared" si="13"/>
        <v>0.25380744744963063</v>
      </c>
      <c r="D37" s="260">
        <f t="shared" si="13"/>
        <v>0.2576511209487426</v>
      </c>
      <c r="E37" s="260">
        <f t="shared" si="13"/>
        <v>0.25277312377812383</v>
      </c>
      <c r="F37" s="260">
        <f t="shared" si="13"/>
        <v>0.24584966424943278</v>
      </c>
      <c r="G37" s="260">
        <f t="shared" si="13"/>
        <v>0.24373353872419823</v>
      </c>
      <c r="H37" s="260">
        <f t="shared" si="13"/>
        <v>0.24565423215629817</v>
      </c>
      <c r="I37" s="260">
        <f t="shared" si="13"/>
        <v>0.24508247101450964</v>
      </c>
      <c r="J37" s="260">
        <f t="shared" si="13"/>
        <v>0.24935669881604516</v>
      </c>
      <c r="K37" s="260">
        <f t="shared" si="13"/>
        <v>0.25616248857005258</v>
      </c>
      <c r="L37" s="260">
        <f t="shared" si="13"/>
        <v>0.24859567505353644</v>
      </c>
      <c r="M37" s="260">
        <f t="shared" si="13"/>
        <v>0.25429403635014586</v>
      </c>
      <c r="N37" s="260">
        <f t="shared" si="13"/>
        <v>0.24739520626558484</v>
      </c>
      <c r="O37" s="260">
        <f t="shared" si="13"/>
        <v>0.25406507418521307</v>
      </c>
      <c r="P37" s="260">
        <f t="shared" si="13"/>
        <v>0.26248923875389019</v>
      </c>
      <c r="Q37" s="260">
        <f t="shared" si="13"/>
        <v>0.264467924751488</v>
      </c>
      <c r="R37" s="260">
        <f t="shared" si="13"/>
        <v>0.26527055836199159</v>
      </c>
      <c r="S37" s="260">
        <f t="shared" si="13"/>
        <v>0.25572459069525555</v>
      </c>
      <c r="T37" s="260">
        <f t="shared" si="13"/>
        <v>0.26956258351977053</v>
      </c>
      <c r="U37" s="260">
        <f t="shared" si="13"/>
        <v>0.27578471091539586</v>
      </c>
      <c r="V37" s="260">
        <f t="shared" si="13"/>
        <v>0.27466747691625432</v>
      </c>
      <c r="W37" s="260">
        <f t="shared" si="13"/>
        <v>0.25888936895816805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2.1202021034856355E-2</v>
      </c>
      <c r="C38" s="260">
        <f t="shared" si="14"/>
        <v>2.8282342386866145E-2</v>
      </c>
      <c r="D38" s="260">
        <f t="shared" si="14"/>
        <v>2.9093054344137944E-2</v>
      </c>
      <c r="E38" s="260">
        <f t="shared" si="14"/>
        <v>2.9360226356715317E-2</v>
      </c>
      <c r="F38" s="260">
        <f t="shared" si="14"/>
        <v>2.798952032604447E-2</v>
      </c>
      <c r="G38" s="260">
        <f t="shared" si="14"/>
        <v>2.8014783555365592E-2</v>
      </c>
      <c r="H38" s="260">
        <f t="shared" si="14"/>
        <v>2.7260709025928448E-2</v>
      </c>
      <c r="I38" s="260">
        <f t="shared" si="14"/>
        <v>2.7835132111433906E-2</v>
      </c>
      <c r="J38" s="260">
        <f t="shared" si="14"/>
        <v>2.8294692888393421E-2</v>
      </c>
      <c r="K38" s="260">
        <f t="shared" si="14"/>
        <v>2.8475665508700104E-2</v>
      </c>
      <c r="L38" s="260">
        <f t="shared" si="14"/>
        <v>2.8330832378449897E-2</v>
      </c>
      <c r="M38" s="260">
        <f t="shared" si="14"/>
        <v>2.949283256498899E-2</v>
      </c>
      <c r="N38" s="260">
        <f t="shared" si="14"/>
        <v>2.8781703848661844E-2</v>
      </c>
      <c r="O38" s="260">
        <f t="shared" si="14"/>
        <v>2.9246331252356594E-2</v>
      </c>
      <c r="P38" s="260">
        <f t="shared" si="14"/>
        <v>3.0529139368946762E-2</v>
      </c>
      <c r="Q38" s="260">
        <f t="shared" si="14"/>
        <v>3.0346635842536527E-2</v>
      </c>
      <c r="R38" s="260">
        <f t="shared" si="14"/>
        <v>2.9697192775329704E-2</v>
      </c>
      <c r="S38" s="260">
        <f t="shared" si="14"/>
        <v>2.9129381876196875E-2</v>
      </c>
      <c r="T38" s="260">
        <f t="shared" si="14"/>
        <v>3.1278760800627019E-2</v>
      </c>
      <c r="U38" s="260">
        <f t="shared" si="14"/>
        <v>3.1565221346057007E-2</v>
      </c>
      <c r="V38" s="260">
        <f t="shared" si="14"/>
        <v>3.1408416970223847E-2</v>
      </c>
      <c r="W38" s="260">
        <f t="shared" si="14"/>
        <v>2.9202597688846064E-2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4.3407403135520349E-2</v>
      </c>
      <c r="C39" s="260">
        <f t="shared" si="15"/>
        <v>3.3323321912246649E-2</v>
      </c>
      <c r="D39" s="260">
        <f t="shared" si="15"/>
        <v>3.1302315194247282E-2</v>
      </c>
      <c r="E39" s="260">
        <f t="shared" si="15"/>
        <v>3.15636308730586E-2</v>
      </c>
      <c r="F39" s="260">
        <f t="shared" si="15"/>
        <v>3.3983006978617093E-2</v>
      </c>
      <c r="G39" s="260">
        <f t="shared" si="15"/>
        <v>3.4015816803436488E-2</v>
      </c>
      <c r="H39" s="260">
        <f t="shared" si="15"/>
        <v>3.464123306976475E-2</v>
      </c>
      <c r="I39" s="260">
        <f t="shared" si="15"/>
        <v>3.371441440391805E-2</v>
      </c>
      <c r="J39" s="260">
        <f t="shared" si="15"/>
        <v>3.2993398607894069E-2</v>
      </c>
      <c r="K39" s="260">
        <f t="shared" si="15"/>
        <v>3.1806685215219871E-2</v>
      </c>
      <c r="L39" s="260">
        <f t="shared" si="15"/>
        <v>3.2909552927042049E-2</v>
      </c>
      <c r="M39" s="260">
        <f t="shared" si="15"/>
        <v>3.01714640237211E-2</v>
      </c>
      <c r="N39" s="260">
        <f t="shared" si="15"/>
        <v>3.2854551729378643E-2</v>
      </c>
      <c r="O39" s="260">
        <f t="shared" si="15"/>
        <v>3.1697974081742283E-2</v>
      </c>
      <c r="P39" s="260">
        <f t="shared" si="15"/>
        <v>2.8189722127288624E-2</v>
      </c>
      <c r="Q39" s="260">
        <f t="shared" si="15"/>
        <v>2.794475571029538E-2</v>
      </c>
      <c r="R39" s="260">
        <f t="shared" si="15"/>
        <v>2.8983512374158912E-2</v>
      </c>
      <c r="S39" s="260">
        <f t="shared" si="15"/>
        <v>3.1709533771046995E-2</v>
      </c>
      <c r="T39" s="260">
        <f t="shared" si="15"/>
        <v>2.4931212302415649E-2</v>
      </c>
      <c r="U39" s="260">
        <f t="shared" si="15"/>
        <v>2.3404733167427316E-2</v>
      </c>
      <c r="V39" s="260">
        <f t="shared" si="15"/>
        <v>2.4140003811632785E-2</v>
      </c>
      <c r="W39" s="260">
        <f t="shared" si="15"/>
        <v>3.0793037292572691E-2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6.6155692945244218E-2</v>
      </c>
      <c r="C40" s="262">
        <f t="shared" si="16"/>
        <v>5.0786900231268403E-2</v>
      </c>
      <c r="D40" s="262">
        <f t="shared" si="16"/>
        <v>4.7706755135768913E-2</v>
      </c>
      <c r="E40" s="262">
        <f t="shared" si="16"/>
        <v>4.8105017150090426E-2</v>
      </c>
      <c r="F40" s="262">
        <f t="shared" si="16"/>
        <v>5.1792302986072999E-2</v>
      </c>
      <c r="G40" s="262">
        <f t="shared" si="16"/>
        <v>5.1842307283486579E-2</v>
      </c>
      <c r="H40" s="262">
        <f t="shared" si="16"/>
        <v>5.2795482168171516E-2</v>
      </c>
      <c r="I40" s="262">
        <f t="shared" si="16"/>
        <v>5.1382950511250039E-2</v>
      </c>
      <c r="J40" s="262">
        <f t="shared" si="16"/>
        <v>5.028407575337724E-2</v>
      </c>
      <c r="K40" s="262">
        <f t="shared" si="16"/>
        <v>4.8475447704962121E-2</v>
      </c>
      <c r="L40" s="262">
        <f t="shared" si="16"/>
        <v>5.0156289506871919E-2</v>
      </c>
      <c r="M40" s="262">
        <f t="shared" si="16"/>
        <v>4.5983264730905651E-2</v>
      </c>
      <c r="N40" s="262">
        <f t="shared" si="16"/>
        <v>5.0072464120384678E-2</v>
      </c>
      <c r="O40" s="262">
        <f t="shared" si="16"/>
        <v>4.8309764898653254E-2</v>
      </c>
      <c r="P40" s="262">
        <f t="shared" si="16"/>
        <v>4.2962961765814649E-2</v>
      </c>
      <c r="Q40" s="262">
        <f t="shared" si="16"/>
        <v>4.2589617085094969E-2</v>
      </c>
      <c r="R40" s="262">
        <f t="shared" si="16"/>
        <v>4.4172749498817922E-2</v>
      </c>
      <c r="S40" s="262">
        <f t="shared" si="16"/>
        <v>4.8327382613626853E-2</v>
      </c>
      <c r="T40" s="262">
        <f t="shared" si="16"/>
        <v>3.7996781808899455E-2</v>
      </c>
      <c r="U40" s="262">
        <f t="shared" si="16"/>
        <v>3.5670328769856124E-2</v>
      </c>
      <c r="V40" s="262">
        <f t="shared" si="16"/>
        <v>3.6790928839338412E-2</v>
      </c>
      <c r="W40" s="262">
        <f t="shared" si="16"/>
        <v>4.6930582638607624E-2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0.44675518208770387</v>
      </c>
      <c r="C44" s="238">
        <f>IF(C$5=0,0,C$5/AGR_fec!C$5)</f>
        <v>0.40303364641467287</v>
      </c>
      <c r="D44" s="238">
        <f>IF(D$5=0,0,D$5/AGR_fec!D$5)</f>
        <v>0.40004793025078739</v>
      </c>
      <c r="E44" s="238">
        <f>IF(E$5=0,0,E$5/AGR_fec!E$5)</f>
        <v>0.40306121043278248</v>
      </c>
      <c r="F44" s="238">
        <f>IF(F$5=0,0,F$5/AGR_fec!F$5)</f>
        <v>0.40949749688071935</v>
      </c>
      <c r="G44" s="238">
        <f>IF(G$5=0,0,G$5/AGR_fec!G$5)</f>
        <v>0.41012874209210509</v>
      </c>
      <c r="H44" s="238">
        <f>IF(H$5=0,0,H$5/AGR_fec!H$5)</f>
        <v>0.40967740990252749</v>
      </c>
      <c r="I44" s="238">
        <f>IF(I$5=0,0,I$5/AGR_fec!I$5)</f>
        <v>0.41169025293349665</v>
      </c>
      <c r="J44" s="238">
        <f>IF(J$5=0,0,J$5/AGR_fec!J$5)</f>
        <v>0.40823486463863129</v>
      </c>
      <c r="K44" s="238">
        <f>IF(K$5=0,0,K$5/AGR_fec!K$5)</f>
        <v>0.40510928108754723</v>
      </c>
      <c r="L44" s="238">
        <f>IF(L$5=0,0,L$5/AGR_fec!L$5)</f>
        <v>0.40852054356116269</v>
      </c>
      <c r="M44" s="238">
        <f>IF(M$5=0,0,M$5/AGR_fec!M$5)</f>
        <v>0.40337937041392913</v>
      </c>
      <c r="N44" s="238">
        <f>IF(N$5=0,0,N$5/AGR_fec!N$5)</f>
        <v>0.40929179830070417</v>
      </c>
      <c r="O44" s="238">
        <f>IF(O$5=0,0,O$5/AGR_fec!O$5)</f>
        <v>0.40406352312720584</v>
      </c>
      <c r="P44" s="238">
        <f>IF(P$5=0,0,P$5/AGR_fec!P$5)</f>
        <v>0.39799392264828937</v>
      </c>
      <c r="Q44" s="238">
        <f>IF(Q$5=0,0,Q$5/AGR_fec!Q$5)</f>
        <v>0.39766351727651073</v>
      </c>
      <c r="R44" s="238">
        <f>IF(R$5=0,0,R$5/AGR_fec!R$5)</f>
        <v>0.3983108275601866</v>
      </c>
      <c r="S44" s="238">
        <f>IF(S$5=0,0,S$5/AGR_fec!S$5)</f>
        <v>0.40310500072764349</v>
      </c>
      <c r="T44" s="238">
        <f>IF(T$5=0,0,T$5/AGR_fec!T$5)</f>
        <v>0.39414956923696265</v>
      </c>
      <c r="U44" s="238">
        <f>IF(U$5=0,0,U$5/AGR_fec!U$5)</f>
        <v>0.39116270965840633</v>
      </c>
      <c r="V44" s="238">
        <f>IF(V$5=0,0,V$5/AGR_fec!V$5)</f>
        <v>0.391534660147424</v>
      </c>
      <c r="W44" s="238">
        <f>IF(W$5=0,0,W$5/AGR_fec!W$5)</f>
        <v>0.40001966056896882</v>
      </c>
      <c r="DA44" s="287"/>
    </row>
    <row r="45" spans="1:105" x14ac:dyDescent="0.25">
      <c r="A45" s="239" t="s">
        <v>125</v>
      </c>
      <c r="B45" s="251">
        <f>IF(B$6=0,0,B$6/AGR_fec!B$6)</f>
        <v>0.48430924039406337</v>
      </c>
      <c r="C45" s="251">
        <f>IF(C$6=0,0,C$6/AGR_fec!C$6)</f>
        <v>0.48430924039406381</v>
      </c>
      <c r="D45" s="251">
        <f>IF(D$6=0,0,D$6/AGR_fec!D$6)</f>
        <v>0.48430924039406342</v>
      </c>
      <c r="E45" s="251">
        <f>IF(E$6=0,0,E$6/AGR_fec!E$6)</f>
        <v>0.48430924039406342</v>
      </c>
      <c r="F45" s="251">
        <f>IF(F$6=0,0,F$6/AGR_fec!F$6)</f>
        <v>0.48430924039406348</v>
      </c>
      <c r="G45" s="251">
        <f>IF(G$6=0,0,G$6/AGR_fec!G$6)</f>
        <v>0.48430924039406342</v>
      </c>
      <c r="H45" s="251">
        <f>IF(H$6=0,0,H$6/AGR_fec!H$6)</f>
        <v>0.48430924039406342</v>
      </c>
      <c r="I45" s="251">
        <f>IF(I$6=0,0,I$6/AGR_fec!I$6)</f>
        <v>0.48430924039406387</v>
      </c>
      <c r="J45" s="251">
        <f>IF(J$6=0,0,J$6/AGR_fec!J$6)</f>
        <v>0.48430924039406331</v>
      </c>
      <c r="K45" s="251">
        <f>IF(K$6=0,0,K$6/AGR_fec!K$6)</f>
        <v>0.48430924039406364</v>
      </c>
      <c r="L45" s="251">
        <f>IF(L$6=0,0,L$6/AGR_fec!L$6)</f>
        <v>0.48430924039406353</v>
      </c>
      <c r="M45" s="251">
        <f>IF(M$6=0,0,M$6/AGR_fec!M$6)</f>
        <v>0.48430924039406337</v>
      </c>
      <c r="N45" s="251">
        <f>IF(N$6=0,0,N$6/AGR_fec!N$6)</f>
        <v>0.48430924039406353</v>
      </c>
      <c r="O45" s="251">
        <f>IF(O$6=0,0,O$6/AGR_fec!O$6)</f>
        <v>0.48430924039406364</v>
      </c>
      <c r="P45" s="251">
        <f>IF(P$6=0,0,P$6/AGR_fec!P$6)</f>
        <v>0.48430924039406342</v>
      </c>
      <c r="Q45" s="251">
        <f>IF(Q$6=0,0,Q$6/AGR_fec!Q$6)</f>
        <v>0.48430924039406359</v>
      </c>
      <c r="R45" s="251">
        <f>IF(R$6=0,0,R$6/AGR_fec!R$6)</f>
        <v>0.48430924039406337</v>
      </c>
      <c r="S45" s="251">
        <f>IF(S$6=0,0,S$6/AGR_fec!S$6)</f>
        <v>0.48430924039406353</v>
      </c>
      <c r="T45" s="251">
        <f>IF(T$6=0,0,T$6/AGR_fec!T$6)</f>
        <v>0.48430924039406381</v>
      </c>
      <c r="U45" s="251">
        <f>IF(U$6=0,0,U$6/AGR_fec!U$6)</f>
        <v>0.48430924039406342</v>
      </c>
      <c r="V45" s="251">
        <f>IF(V$6=0,0,V$6/AGR_fec!V$6)</f>
        <v>0.48430924039406359</v>
      </c>
      <c r="W45" s="251">
        <f>IF(W$6=0,0,W$6/AGR_fec!W$6)</f>
        <v>0.48430924039406337</v>
      </c>
      <c r="DA45" s="288"/>
    </row>
    <row r="46" spans="1:105" x14ac:dyDescent="0.25">
      <c r="A46" s="241" t="s">
        <v>124</v>
      </c>
      <c r="B46" s="252">
        <f>IF(B$7=0,0,B$7/AGR_fec!B$7)</f>
        <v>0.48025456167053204</v>
      </c>
      <c r="C46" s="252">
        <f>IF(C$7=0,0,C$7/AGR_fec!C$7)</f>
        <v>0.48025456167053193</v>
      </c>
      <c r="D46" s="252">
        <f>IF(D$7=0,0,D$7/AGR_fec!D$7)</f>
        <v>0.48025456167053199</v>
      </c>
      <c r="E46" s="252">
        <f>IF(E$7=0,0,E$7/AGR_fec!E$7)</f>
        <v>0.48025456167053193</v>
      </c>
      <c r="F46" s="252">
        <f>IF(F$7=0,0,F$7/AGR_fec!F$7)</f>
        <v>0.4802545616705321</v>
      </c>
      <c r="G46" s="252">
        <f>IF(G$7=0,0,G$7/AGR_fec!G$7)</f>
        <v>0.4802545616705321</v>
      </c>
      <c r="H46" s="252">
        <f>IF(H$7=0,0,H$7/AGR_fec!H$7)</f>
        <v>0.4802545616705321</v>
      </c>
      <c r="I46" s="252">
        <f>IF(I$7=0,0,I$7/AGR_fec!I$7)</f>
        <v>0.48025456167053221</v>
      </c>
      <c r="J46" s="252">
        <f>IF(J$7=0,0,J$7/AGR_fec!J$7)</f>
        <v>0.48025456167053221</v>
      </c>
      <c r="K46" s="252">
        <f>IF(K$7=0,0,K$7/AGR_fec!K$7)</f>
        <v>0.48025456167053199</v>
      </c>
      <c r="L46" s="252">
        <f>IF(L$7=0,0,L$7/AGR_fec!L$7)</f>
        <v>0.48025456167053204</v>
      </c>
      <c r="M46" s="252">
        <f>IF(M$7=0,0,M$7/AGR_fec!M$7)</f>
        <v>0.4802545616705321</v>
      </c>
      <c r="N46" s="252">
        <f>IF(N$7=0,0,N$7/AGR_fec!N$7)</f>
        <v>0.48025456167053199</v>
      </c>
      <c r="O46" s="252">
        <f>IF(O$7=0,0,O$7/AGR_fec!O$7)</f>
        <v>0.48025456167053199</v>
      </c>
      <c r="P46" s="252">
        <f>IF(P$7=0,0,P$7/AGR_fec!P$7)</f>
        <v>0.48025456167053204</v>
      </c>
      <c r="Q46" s="252">
        <f>IF(Q$7=0,0,Q$7/AGR_fec!Q$7)</f>
        <v>0.48025456167053204</v>
      </c>
      <c r="R46" s="252">
        <f>IF(R$7=0,0,R$7/AGR_fec!R$7)</f>
        <v>0.48025456167053199</v>
      </c>
      <c r="S46" s="252">
        <f>IF(S$7=0,0,S$7/AGR_fec!S$7)</f>
        <v>0.4802545616705321</v>
      </c>
      <c r="T46" s="252">
        <f>IF(T$7=0,0,T$7/AGR_fec!T$7)</f>
        <v>0.48025456167053199</v>
      </c>
      <c r="U46" s="252">
        <f>IF(U$7=0,0,U$7/AGR_fec!U$7)</f>
        <v>0.4802545616705321</v>
      </c>
      <c r="V46" s="252">
        <f>IF(V$7=0,0,V$7/AGR_fec!V$7)</f>
        <v>0.48025456167053215</v>
      </c>
      <c r="W46" s="252">
        <f>IF(W$7=0,0,W$7/AGR_fec!W$7)</f>
        <v>0.48025456167053227</v>
      </c>
      <c r="DA46" s="289"/>
    </row>
    <row r="47" spans="1:105" x14ac:dyDescent="0.25">
      <c r="A47" s="241" t="s">
        <v>123</v>
      </c>
      <c r="B47" s="252">
        <f>IF(B$8=0,0,B$8/AGR_fec!B$8)</f>
        <v>0.68927252674623163</v>
      </c>
      <c r="C47" s="252">
        <f>IF(C$8=0,0,C$8/AGR_fec!C$8)</f>
        <v>0.6892725267462313</v>
      </c>
      <c r="D47" s="252">
        <f>IF(D$8=0,0,D$8/AGR_fec!D$8)</f>
        <v>0.68927252674623141</v>
      </c>
      <c r="E47" s="252">
        <f>IF(E$8=0,0,E$8/AGR_fec!E$8)</f>
        <v>0.68927252674623174</v>
      </c>
      <c r="F47" s="252">
        <f>IF(F$8=0,0,F$8/AGR_fec!F$8)</f>
        <v>0.68927252674623174</v>
      </c>
      <c r="G47" s="252">
        <f>IF(G$8=0,0,G$8/AGR_fec!G$8)</f>
        <v>0.68927252674623163</v>
      </c>
      <c r="H47" s="252">
        <f>IF(H$8=0,0,H$8/AGR_fec!H$8)</f>
        <v>0.68927252674623152</v>
      </c>
      <c r="I47" s="252">
        <f>IF(I$8=0,0,I$8/AGR_fec!I$8)</f>
        <v>0.68927252674623141</v>
      </c>
      <c r="J47" s="252">
        <f>IF(J$8=0,0,J$8/AGR_fec!J$8)</f>
        <v>0.68927252674623152</v>
      </c>
      <c r="K47" s="252">
        <f>IF(K$8=0,0,K$8/AGR_fec!K$8)</f>
        <v>0.68927252674623152</v>
      </c>
      <c r="L47" s="252">
        <f>IF(L$8=0,0,L$8/AGR_fec!L$8)</f>
        <v>0.68927252674623174</v>
      </c>
      <c r="M47" s="252">
        <f>IF(M$8=0,0,M$8/AGR_fec!M$8)</f>
        <v>0.68927252674623163</v>
      </c>
      <c r="N47" s="252">
        <f>IF(N$8=0,0,N$8/AGR_fec!N$8)</f>
        <v>0.68927252674623163</v>
      </c>
      <c r="O47" s="252">
        <f>IF(O$8=0,0,O$8/AGR_fec!O$8)</f>
        <v>0.68927252674623185</v>
      </c>
      <c r="P47" s="252">
        <f>IF(P$8=0,0,P$8/AGR_fec!P$8)</f>
        <v>0.68927252674623152</v>
      </c>
      <c r="Q47" s="252">
        <f>IF(Q$8=0,0,Q$8/AGR_fec!Q$8)</f>
        <v>0.68927252674623141</v>
      </c>
      <c r="R47" s="252">
        <f>IF(R$8=0,0,R$8/AGR_fec!R$8)</f>
        <v>0.68927252674623141</v>
      </c>
      <c r="S47" s="252">
        <f>IF(S$8=0,0,S$8/AGR_fec!S$8)</f>
        <v>0.68927252674623174</v>
      </c>
      <c r="T47" s="252">
        <f>IF(T$8=0,0,T$8/AGR_fec!T$8)</f>
        <v>0.68927252674623163</v>
      </c>
      <c r="U47" s="252">
        <f>IF(U$8=0,0,U$8/AGR_fec!U$8)</f>
        <v>0.68927252674623141</v>
      </c>
      <c r="V47" s="252">
        <f>IF(V$8=0,0,V$8/AGR_fec!V$8)</f>
        <v>0.68927252674623185</v>
      </c>
      <c r="W47" s="252">
        <f>IF(W$8=0,0,W$8/AGR_fec!W$8)</f>
        <v>0.68927252674623163</v>
      </c>
      <c r="DA47" s="289"/>
    </row>
    <row r="48" spans="1:105" x14ac:dyDescent="0.25">
      <c r="A48" s="243" t="s">
        <v>122</v>
      </c>
      <c r="B48" s="253">
        <f>IF(B$9=0,0,B$9/AGR_fec!B$9)</f>
        <v>0.77285419326713989</v>
      </c>
      <c r="C48" s="253">
        <f>IF(C$9=0,0,C$9/AGR_fec!C$9)</f>
        <v>0.67640105484713031</v>
      </c>
      <c r="D48" s="253">
        <f>IF(D$9=0,0,D$9/AGR_fec!D$9)</f>
        <v>0.66635096871669264</v>
      </c>
      <c r="E48" s="253">
        <f>IF(E$9=0,0,E$9/AGR_fec!E$9)</f>
        <v>0.6648262114189134</v>
      </c>
      <c r="F48" s="253">
        <f>IF(F$9=0,0,F$9/AGR_fec!F$9)</f>
        <v>0.6800866586722133</v>
      </c>
      <c r="G48" s="253">
        <f>IF(G$9=0,0,G$9/AGR_fec!G$9)</f>
        <v>0.68007062591295975</v>
      </c>
      <c r="H48" s="253">
        <f>IF(H$9=0,0,H$9/AGR_fec!H$9)</f>
        <v>0.68776660767041631</v>
      </c>
      <c r="I48" s="253">
        <f>IF(I$9=0,0,I$9/AGR_fec!I$9)</f>
        <v>0.68067051542743096</v>
      </c>
      <c r="J48" s="253">
        <f>IF(J$9=0,0,J$9/AGR_fec!J$9)</f>
        <v>0.6756722343574193</v>
      </c>
      <c r="K48" s="253">
        <f>IF(K$9=0,0,K$9/AGR_fec!K$9)</f>
        <v>0.67216066536110985</v>
      </c>
      <c r="L48" s="253">
        <f>IF(L$9=0,0,L$9/AGR_fec!L$9)</f>
        <v>0.67542535003210857</v>
      </c>
      <c r="M48" s="253">
        <f>IF(M$9=0,0,M$9/AGR_fec!M$9)</f>
        <v>0.66293403544005125</v>
      </c>
      <c r="N48" s="253">
        <f>IF(N$9=0,0,N$9/AGR_fec!N$9)</f>
        <v>0.67135639074978259</v>
      </c>
      <c r="O48" s="253">
        <f>IF(O$9=0,0,O$9/AGR_fec!O$9)</f>
        <v>0.66567121889095315</v>
      </c>
      <c r="P48" s="253">
        <f>IF(P$9=0,0,P$9/AGR_fec!P$9)</f>
        <v>0.65202807512671501</v>
      </c>
      <c r="Q48" s="253">
        <f>IF(Q$9=0,0,Q$9/AGR_fec!Q$9)</f>
        <v>0.6530665867559029</v>
      </c>
      <c r="R48" s="253">
        <f>IF(R$9=0,0,R$9/AGR_fec!R$9)</f>
        <v>0.65854125881861525</v>
      </c>
      <c r="S48" s="253">
        <f>IF(S$9=0,0,S$9/AGR_fec!S$9)</f>
        <v>0.66629778432542974</v>
      </c>
      <c r="T48" s="253">
        <f>IF(T$9=0,0,T$9/AGR_fec!T$9)</f>
        <v>0.64544877194715111</v>
      </c>
      <c r="U48" s="253">
        <f>IF(U$9=0,0,U$9/AGR_fec!U$9)</f>
        <v>0.64216535846806366</v>
      </c>
      <c r="V48" s="253">
        <f>IF(V$9=0,0,V$9/AGR_fec!V$9)</f>
        <v>0.64307286465510738</v>
      </c>
      <c r="W48" s="253">
        <f>IF(W$9=0,0,W$9/AGR_fec!W$9)</f>
        <v>0.66470103544866832</v>
      </c>
      <c r="DA48" s="290"/>
    </row>
    <row r="49" spans="1:105" x14ac:dyDescent="0.25">
      <c r="A49" s="128" t="s">
        <v>175</v>
      </c>
      <c r="B49" s="265">
        <f>IF(B$16=0,0,B$16/AGR_fec!B$16)</f>
        <v>0.34656186586169407</v>
      </c>
      <c r="C49" s="265">
        <f>IF(C$16=0,0,C$16/AGR_fec!C$16)</f>
        <v>0.34656186586169396</v>
      </c>
      <c r="D49" s="265">
        <f>IF(D$16=0,0,D$16/AGR_fec!D$16)</f>
        <v>0.34656186586169402</v>
      </c>
      <c r="E49" s="265">
        <f>IF(E$16=0,0,E$16/AGR_fec!E$16)</f>
        <v>0.34656186586169407</v>
      </c>
      <c r="F49" s="265">
        <f>IF(F$16=0,0,F$16/AGR_fec!F$16)</f>
        <v>0.34656186586169396</v>
      </c>
      <c r="G49" s="265">
        <f>IF(G$16=0,0,G$16/AGR_fec!G$16)</f>
        <v>0.34656186586169396</v>
      </c>
      <c r="H49" s="265">
        <f>IF(H$16=0,0,H$16/AGR_fec!H$16)</f>
        <v>0.34656186586169402</v>
      </c>
      <c r="I49" s="265">
        <f>IF(I$16=0,0,I$16/AGR_fec!I$16)</f>
        <v>0.34656186586169407</v>
      </c>
      <c r="J49" s="265">
        <f>IF(J$16=0,0,J$16/AGR_fec!J$16)</f>
        <v>0.34656186586169407</v>
      </c>
      <c r="K49" s="265">
        <f>IF(K$16=0,0,K$16/AGR_fec!K$16)</f>
        <v>0.34656186586169407</v>
      </c>
      <c r="L49" s="265">
        <f>IF(L$16=0,0,L$16/AGR_fec!L$16)</f>
        <v>0.34656186586169402</v>
      </c>
      <c r="M49" s="265">
        <f>IF(M$16=0,0,M$16/AGR_fec!M$16)</f>
        <v>0.34656186586169402</v>
      </c>
      <c r="N49" s="265">
        <f>IF(N$16=0,0,N$16/AGR_fec!N$16)</f>
        <v>0.34656186586169396</v>
      </c>
      <c r="O49" s="265">
        <f>IF(O$16=0,0,O$16/AGR_fec!O$16)</f>
        <v>0.34656186586169391</v>
      </c>
      <c r="P49" s="265">
        <f>IF(P$16=0,0,P$16/AGR_fec!P$16)</f>
        <v>0.34656186586169396</v>
      </c>
      <c r="Q49" s="265">
        <f>IF(Q$16=0,0,Q$16/AGR_fec!Q$16)</f>
        <v>0.34656186586169407</v>
      </c>
      <c r="R49" s="265">
        <f>IF(R$16=0,0,R$16/AGR_fec!R$16)</f>
        <v>0.34656186586169396</v>
      </c>
      <c r="S49" s="265">
        <f>IF(S$16=0,0,S$16/AGR_fec!S$16)</f>
        <v>0.34656186586169413</v>
      </c>
      <c r="T49" s="265">
        <f>IF(T$16=0,0,T$16/AGR_fec!T$16)</f>
        <v>0.34656186586169418</v>
      </c>
      <c r="U49" s="265">
        <f>IF(U$16=0,0,U$16/AGR_fec!U$16)</f>
        <v>0.34656186586169418</v>
      </c>
      <c r="V49" s="265">
        <f>IF(V$16=0,0,V$16/AGR_fec!V$16)</f>
        <v>0.34656186586169413</v>
      </c>
      <c r="W49" s="265">
        <f>IF(W$16=0,0,W$16/AGR_fec!W$16)</f>
        <v>0.34656186586169402</v>
      </c>
      <c r="DA49" s="291"/>
    </row>
    <row r="50" spans="1:105" x14ac:dyDescent="0.25">
      <c r="A50" s="128" t="s">
        <v>121</v>
      </c>
      <c r="B50" s="265">
        <f>IF(B$17=0,0,B$17/AGR_fec!B$17)</f>
        <v>0.27002768439167507</v>
      </c>
      <c r="C50" s="265">
        <f>IF(C$17=0,0,C$17/AGR_fec!C$17)</f>
        <v>0.27287156025960368</v>
      </c>
      <c r="D50" s="265">
        <f>IF(D$17=0,0,D$17/AGR_fec!D$17)</f>
        <v>0.27376604076572264</v>
      </c>
      <c r="E50" s="265">
        <f>IF(E$17=0,0,E$17/AGR_fec!E$17)</f>
        <v>0.27777924333233239</v>
      </c>
      <c r="F50" s="265">
        <f>IF(F$17=0,0,F$17/AGR_fec!F$17)</f>
        <v>0.27805583489456215</v>
      </c>
      <c r="G50" s="265">
        <f>IF(G$17=0,0,G$17/AGR_fec!G$17)</f>
        <v>0.27795485641398626</v>
      </c>
      <c r="H50" s="265">
        <f>IF(H$17=0,0,H$17/AGR_fec!H$17)</f>
        <v>0.27405874762577831</v>
      </c>
      <c r="I50" s="265">
        <f>IF(I$17=0,0,I$17/AGR_fec!I$17)</f>
        <v>0.28069408953952407</v>
      </c>
      <c r="J50" s="265">
        <f>IF(J$17=0,0,J$17/AGR_fec!J$17)</f>
        <v>0.27954238220558791</v>
      </c>
      <c r="K50" s="265">
        <f>IF(K$17=0,0,K$17/AGR_fec!K$17)</f>
        <v>0.27879724335801531</v>
      </c>
      <c r="L50" s="265">
        <f>IF(L$17=0,0,L$17/AGR_fec!L$17)</f>
        <v>0.27972361086301217</v>
      </c>
      <c r="M50" s="265">
        <f>IF(M$17=0,0,M$17/AGR_fec!M$17)</f>
        <v>0.27938051329940194</v>
      </c>
      <c r="N50" s="265">
        <f>IF(N$17=0,0,N$17/AGR_fec!N$17)</f>
        <v>0.28319231376341419</v>
      </c>
      <c r="O50" s="265">
        <f>IF(O$17=0,0,O$17/AGR_fec!O$17)</f>
        <v>0.27994156749263122</v>
      </c>
      <c r="P50" s="265">
        <f>IF(P$17=0,0,P$17/AGR_fec!P$17)</f>
        <v>0.27958690692576055</v>
      </c>
      <c r="Q50" s="265">
        <f>IF(Q$17=0,0,Q$17/AGR_fec!Q$17)</f>
        <v>0.27910244541633816</v>
      </c>
      <c r="R50" s="265">
        <f>IF(R$17=0,0,R$17/AGR_fec!R$17)</f>
        <v>0.27777996406011507</v>
      </c>
      <c r="S50" s="265">
        <f>IF(S$17=0,0,S$17/AGR_fec!S$17)</f>
        <v>0.27860187989169755</v>
      </c>
      <c r="T50" s="265">
        <f>IF(T$17=0,0,T$17/AGR_fec!T$17)</f>
        <v>0.2790116025273226</v>
      </c>
      <c r="U50" s="265">
        <f>IF(U$17=0,0,U$17/AGR_fec!U$17)</f>
        <v>0.27803758289441061</v>
      </c>
      <c r="V50" s="265">
        <f>IF(V$17=0,0,V$17/AGR_fec!V$17)</f>
        <v>0.27771857136913974</v>
      </c>
      <c r="W50" s="265">
        <f>IF(W$17=0,0,W$17/AGR_fec!W$17)</f>
        <v>0.2749289290197125</v>
      </c>
      <c r="DA50" s="291"/>
    </row>
    <row r="51" spans="1:105" x14ac:dyDescent="0.25">
      <c r="A51" s="128" t="s">
        <v>174</v>
      </c>
      <c r="B51" s="265">
        <f>IF(B$25=0,0,B$25/AGR_fec!B$25)</f>
        <v>0.24259330610318572</v>
      </c>
      <c r="C51" s="265">
        <f>IF(C$25=0,0,C$25/AGR_fec!C$25)</f>
        <v>0.24259330610318591</v>
      </c>
      <c r="D51" s="265">
        <f>IF(D$25=0,0,D$25/AGR_fec!D$25)</f>
        <v>0.24259330610318586</v>
      </c>
      <c r="E51" s="265">
        <f>IF(E$25=0,0,E$25/AGR_fec!E$25)</f>
        <v>0.24259330610318583</v>
      </c>
      <c r="F51" s="265">
        <f>IF(F$25=0,0,F$25/AGR_fec!F$25)</f>
        <v>0.24259330610318586</v>
      </c>
      <c r="G51" s="265">
        <f>IF(G$25=0,0,G$25/AGR_fec!G$25)</f>
        <v>0.24259330610318586</v>
      </c>
      <c r="H51" s="265">
        <f>IF(H$25=0,0,H$25/AGR_fec!H$25)</f>
        <v>0.24259330610318572</v>
      </c>
      <c r="I51" s="265">
        <f>IF(I$25=0,0,I$25/AGR_fec!I$25)</f>
        <v>0.24259330610318583</v>
      </c>
      <c r="J51" s="265">
        <f>IF(J$25=0,0,J$25/AGR_fec!J$25)</f>
        <v>0.24259330610318572</v>
      </c>
      <c r="K51" s="265">
        <f>IF(K$25=0,0,K$25/AGR_fec!K$25)</f>
        <v>0.24259330610318569</v>
      </c>
      <c r="L51" s="265">
        <f>IF(L$25=0,0,L$25/AGR_fec!L$25)</f>
        <v>0.24259330610318583</v>
      </c>
      <c r="M51" s="265">
        <f>IF(M$25=0,0,M$25/AGR_fec!M$25)</f>
        <v>0.2425933061031858</v>
      </c>
      <c r="N51" s="265">
        <f>IF(N$25=0,0,N$25/AGR_fec!N$25)</f>
        <v>0.2425933061031858</v>
      </c>
      <c r="O51" s="265">
        <f>IF(O$25=0,0,O$25/AGR_fec!O$25)</f>
        <v>0.2425933061031858</v>
      </c>
      <c r="P51" s="265">
        <f>IF(P$25=0,0,P$25/AGR_fec!P$25)</f>
        <v>0.24259330610318575</v>
      </c>
      <c r="Q51" s="265">
        <f>IF(Q$25=0,0,Q$25/AGR_fec!Q$25)</f>
        <v>0.2425933061031858</v>
      </c>
      <c r="R51" s="265">
        <f>IF(R$25=0,0,R$25/AGR_fec!R$25)</f>
        <v>0.24259330610318583</v>
      </c>
      <c r="S51" s="265">
        <f>IF(S$25=0,0,S$25/AGR_fec!S$25)</f>
        <v>0.2425933061031858</v>
      </c>
      <c r="T51" s="265">
        <f>IF(T$25=0,0,T$25/AGR_fec!T$25)</f>
        <v>0.24259330610318583</v>
      </c>
      <c r="U51" s="265">
        <f>IF(U$25=0,0,U$25/AGR_fec!U$25)</f>
        <v>0.24259330610318583</v>
      </c>
      <c r="V51" s="265">
        <f>IF(V$25=0,0,V$25/AGR_fec!V$25)</f>
        <v>0.24259330610318577</v>
      </c>
      <c r="W51" s="265">
        <f>IF(W$25=0,0,W$25/AGR_fec!W$25)</f>
        <v>0.2425933061031858</v>
      </c>
      <c r="DA51" s="291"/>
    </row>
    <row r="52" spans="1:105" x14ac:dyDescent="0.25">
      <c r="A52" s="128" t="s">
        <v>177</v>
      </c>
      <c r="B52" s="265">
        <f>IF(B$26=0,0,B$26/AGR_fec!B$26)</f>
        <v>0.48025456167053221</v>
      </c>
      <c r="C52" s="265">
        <f>IF(C$26=0,0,C$26/AGR_fec!C$26)</f>
        <v>0.48025456167053215</v>
      </c>
      <c r="D52" s="265">
        <f>IF(D$26=0,0,D$26/AGR_fec!D$26)</f>
        <v>0.48025456167053204</v>
      </c>
      <c r="E52" s="265">
        <f>IF(E$26=0,0,E$26/AGR_fec!E$26)</f>
        <v>0.48025456167053238</v>
      </c>
      <c r="F52" s="265">
        <f>IF(F$26=0,0,F$26/AGR_fec!F$26)</f>
        <v>0.48025456167053204</v>
      </c>
      <c r="G52" s="265">
        <f>IF(G$26=0,0,G$26/AGR_fec!G$26)</f>
        <v>0.48025456167053204</v>
      </c>
      <c r="H52" s="265">
        <f>IF(H$26=0,0,H$26/AGR_fec!H$26)</f>
        <v>0.48025456167053204</v>
      </c>
      <c r="I52" s="265">
        <f>IF(I$26=0,0,I$26/AGR_fec!I$26)</f>
        <v>0.48025456167053221</v>
      </c>
      <c r="J52" s="265">
        <f>IF(J$26=0,0,J$26/AGR_fec!J$26)</f>
        <v>0.48025456167053193</v>
      </c>
      <c r="K52" s="265">
        <f>IF(K$26=0,0,K$26/AGR_fec!K$26)</f>
        <v>0.48025456167053232</v>
      </c>
      <c r="L52" s="265">
        <f>IF(L$26=0,0,L$26/AGR_fec!L$26)</f>
        <v>0.4802545616705321</v>
      </c>
      <c r="M52" s="265">
        <f>IF(M$26=0,0,M$26/AGR_fec!M$26)</f>
        <v>0.48025456167053193</v>
      </c>
      <c r="N52" s="265">
        <f>IF(N$26=0,0,N$26/AGR_fec!N$26)</f>
        <v>0.48025456167053221</v>
      </c>
      <c r="O52" s="265">
        <f>IF(O$26=0,0,O$26/AGR_fec!O$26)</f>
        <v>0.48025456167053221</v>
      </c>
      <c r="P52" s="265">
        <f>IF(P$26=0,0,P$26/AGR_fec!P$26)</f>
        <v>0.4802545616705321</v>
      </c>
      <c r="Q52" s="265">
        <f>IF(Q$26=0,0,Q$26/AGR_fec!Q$26)</f>
        <v>0.4802545616705321</v>
      </c>
      <c r="R52" s="265">
        <f>IF(R$26=0,0,R$26/AGR_fec!R$26)</f>
        <v>0.48025456167053193</v>
      </c>
      <c r="S52" s="265">
        <f>IF(S$26=0,0,S$26/AGR_fec!S$26)</f>
        <v>0.48025456167053204</v>
      </c>
      <c r="T52" s="265">
        <f>IF(T$26=0,0,T$26/AGR_fec!T$26)</f>
        <v>0.48025456167053232</v>
      </c>
      <c r="U52" s="265">
        <f>IF(U$26=0,0,U$26/AGR_fec!U$26)</f>
        <v>0.48025456167053221</v>
      </c>
      <c r="V52" s="265">
        <f>IF(V$26=0,0,V$26/AGR_fec!V$26)</f>
        <v>0.48025456167053232</v>
      </c>
      <c r="W52" s="265">
        <f>IF(W$26=0,0,W$26/AGR_fec!W$26)</f>
        <v>0.48025456167053221</v>
      </c>
      <c r="DA52" s="291"/>
    </row>
    <row r="53" spans="1:105" x14ac:dyDescent="0.25">
      <c r="A53" s="261" t="s">
        <v>33</v>
      </c>
      <c r="B53" s="266">
        <f>IF(B$27=0,0,B$27/AGR_fec!B$27)</f>
        <v>0.50478555019013627</v>
      </c>
      <c r="C53" s="266">
        <f>IF(C$27=0,0,C$27/AGR_fec!C$27)</f>
        <v>0.50478555019013627</v>
      </c>
      <c r="D53" s="266">
        <f>IF(D$27=0,0,D$27/AGR_fec!D$27)</f>
        <v>0.50478555019013616</v>
      </c>
      <c r="E53" s="266">
        <f>IF(E$27=0,0,E$27/AGR_fec!E$27)</f>
        <v>0.50478555019013616</v>
      </c>
      <c r="F53" s="266">
        <f>IF(F$27=0,0,F$27/AGR_fec!F$27)</f>
        <v>0.50478555019013605</v>
      </c>
      <c r="G53" s="266">
        <f>IF(G$27=0,0,G$27/AGR_fec!G$27)</f>
        <v>0.50478555019013616</v>
      </c>
      <c r="H53" s="266">
        <f>IF(H$27=0,0,H$27/AGR_fec!H$27)</f>
        <v>0.50478555019013605</v>
      </c>
      <c r="I53" s="266">
        <f>IF(I$27=0,0,I$27/AGR_fec!I$27)</f>
        <v>0.50478555019013616</v>
      </c>
      <c r="J53" s="266">
        <f>IF(J$27=0,0,J$27/AGR_fec!J$27)</f>
        <v>0.50478555019013638</v>
      </c>
      <c r="K53" s="266">
        <f>IF(K$27=0,0,K$27/AGR_fec!K$27)</f>
        <v>0.50478555019013627</v>
      </c>
      <c r="L53" s="266">
        <f>IF(L$27=0,0,L$27/AGR_fec!L$27)</f>
        <v>0.50478555019013616</v>
      </c>
      <c r="M53" s="266">
        <f>IF(M$27=0,0,M$27/AGR_fec!M$27)</f>
        <v>0.50478555019013605</v>
      </c>
      <c r="N53" s="266">
        <f>IF(N$27=0,0,N$27/AGR_fec!N$27)</f>
        <v>0.50478555019013616</v>
      </c>
      <c r="O53" s="266">
        <f>IF(O$27=0,0,O$27/AGR_fec!O$27)</f>
        <v>0.50478555019013605</v>
      </c>
      <c r="P53" s="266">
        <f>IF(P$27=0,0,P$27/AGR_fec!P$27)</f>
        <v>0.50478555019013627</v>
      </c>
      <c r="Q53" s="266">
        <f>IF(Q$27=0,0,Q$27/AGR_fec!Q$27)</f>
        <v>0.50478555019013638</v>
      </c>
      <c r="R53" s="266">
        <f>IF(R$27=0,0,R$27/AGR_fec!R$27)</f>
        <v>0.50478555019013616</v>
      </c>
      <c r="S53" s="266">
        <f>IF(S$27=0,0,S$27/AGR_fec!S$27)</f>
        <v>0.50478555019013605</v>
      </c>
      <c r="T53" s="266">
        <f>IF(T$27=0,0,T$27/AGR_fec!T$27)</f>
        <v>0.50478555019013605</v>
      </c>
      <c r="U53" s="266">
        <f>IF(U$27=0,0,U$27/AGR_fec!U$27)</f>
        <v>0.50478555019013616</v>
      </c>
      <c r="V53" s="266">
        <f>IF(V$27=0,0,V$27/AGR_fec!V$27)</f>
        <v>0.50478555019013627</v>
      </c>
      <c r="W53" s="266">
        <f>IF(W$27=0,0,W$27/AGR_fec!W$27)</f>
        <v>0.50478555019013638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99.250643038752031</v>
      </c>
      <c r="C5" s="80">
        <f t="shared" ref="C5:W5" si="0">SUM(C6:C9,C16:C17,C25:C27)</f>
        <v>224.42607359844814</v>
      </c>
      <c r="D5" s="80">
        <f t="shared" si="0"/>
        <v>253.22275784486305</v>
      </c>
      <c r="E5" s="80">
        <f t="shared" si="0"/>
        <v>272.31696160883246</v>
      </c>
      <c r="F5" s="80">
        <f t="shared" si="0"/>
        <v>246.10434065034318</v>
      </c>
      <c r="G5" s="80">
        <f t="shared" si="0"/>
        <v>237.07066196255309</v>
      </c>
      <c r="H5" s="80">
        <f t="shared" si="0"/>
        <v>204.77799000231857</v>
      </c>
      <c r="I5" s="80">
        <f t="shared" si="0"/>
        <v>216.17897499860561</v>
      </c>
      <c r="J5" s="80">
        <f t="shared" si="0"/>
        <v>221.53186907848306</v>
      </c>
      <c r="K5" s="80">
        <f t="shared" si="0"/>
        <v>215.13428171833377</v>
      </c>
      <c r="L5" s="80">
        <f t="shared" si="0"/>
        <v>219.7281319183621</v>
      </c>
      <c r="M5" s="80">
        <f t="shared" si="0"/>
        <v>263.78115695752621</v>
      </c>
      <c r="N5" s="80">
        <f t="shared" si="0"/>
        <v>269.78027939779452</v>
      </c>
      <c r="O5" s="80">
        <f t="shared" si="0"/>
        <v>264.32330939753791</v>
      </c>
      <c r="P5" s="80">
        <f t="shared" si="0"/>
        <v>325.76940395860839</v>
      </c>
      <c r="Q5" s="80">
        <f t="shared" si="0"/>
        <v>332.97769439851436</v>
      </c>
      <c r="R5" s="80">
        <f t="shared" si="0"/>
        <v>329.94908907951765</v>
      </c>
      <c r="S5" s="80">
        <f t="shared" si="0"/>
        <v>321.96788794615446</v>
      </c>
      <c r="T5" s="80">
        <f t="shared" si="0"/>
        <v>319.75921893784022</v>
      </c>
      <c r="U5" s="80">
        <f t="shared" si="0"/>
        <v>295.57903813543311</v>
      </c>
      <c r="V5" s="80">
        <f t="shared" si="0"/>
        <v>281.73876890789541</v>
      </c>
      <c r="W5" s="80">
        <f t="shared" si="0"/>
        <v>208.8672753314942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11.835289896916413</v>
      </c>
      <c r="C9" s="244">
        <f t="shared" ref="C9:W9" si="1">SUM(C10:C15)</f>
        <v>43.126314463419028</v>
      </c>
      <c r="D9" s="244">
        <f t="shared" si="1"/>
        <v>49.971894359232806</v>
      </c>
      <c r="E9" s="244">
        <f t="shared" si="1"/>
        <v>53.851011412832051</v>
      </c>
      <c r="F9" s="244">
        <f t="shared" si="1"/>
        <v>44.848462074346664</v>
      </c>
      <c r="G9" s="244">
        <f t="shared" si="1"/>
        <v>44.515263039434984</v>
      </c>
      <c r="H9" s="244">
        <f t="shared" si="1"/>
        <v>39.895491744425932</v>
      </c>
      <c r="I9" s="244">
        <f t="shared" si="1"/>
        <v>39.64557775577407</v>
      </c>
      <c r="J9" s="244">
        <f t="shared" si="1"/>
        <v>41.948250212225098</v>
      </c>
      <c r="K9" s="244">
        <f t="shared" si="1"/>
        <v>42.231904100065229</v>
      </c>
      <c r="L9" s="244">
        <f t="shared" si="1"/>
        <v>42.714773795436471</v>
      </c>
      <c r="M9" s="244">
        <f t="shared" si="1"/>
        <v>52.140413429561249</v>
      </c>
      <c r="N9" s="244">
        <f t="shared" si="1"/>
        <v>51.572134536844871</v>
      </c>
      <c r="O9" s="244">
        <f t="shared" si="1"/>
        <v>53.025094381437263</v>
      </c>
      <c r="P9" s="244">
        <f t="shared" si="1"/>
        <v>66.946361466521935</v>
      </c>
      <c r="Q9" s="244">
        <f t="shared" si="1"/>
        <v>67.270144437534881</v>
      </c>
      <c r="R9" s="244">
        <f t="shared" si="1"/>
        <v>62.02234979015121</v>
      </c>
      <c r="S9" s="244">
        <f t="shared" si="1"/>
        <v>61.001778903348288</v>
      </c>
      <c r="T9" s="244">
        <f t="shared" si="1"/>
        <v>65.630780064441993</v>
      </c>
      <c r="U9" s="244">
        <f t="shared" si="1"/>
        <v>61.46573459891043</v>
      </c>
      <c r="V9" s="244">
        <f t="shared" si="1"/>
        <v>59.02719899692503</v>
      </c>
      <c r="W9" s="244">
        <f t="shared" si="1"/>
        <v>40.832152592649109</v>
      </c>
      <c r="DA9" s="270"/>
    </row>
    <row r="10" spans="1:105" x14ac:dyDescent="0.25">
      <c r="A10" s="254" t="s">
        <v>173</v>
      </c>
      <c r="B10" s="255">
        <v>10.213352716055139</v>
      </c>
      <c r="C10" s="255">
        <v>40.053318738553457</v>
      </c>
      <c r="D10" s="255">
        <v>46.513562634409702</v>
      </c>
      <c r="E10" s="255">
        <v>49.444498204494401</v>
      </c>
      <c r="F10" s="255">
        <v>40.121499876257531</v>
      </c>
      <c r="G10" s="255">
        <v>39.576925288512207</v>
      </c>
      <c r="H10" s="255">
        <v>34.213763214418847</v>
      </c>
      <c r="I10" s="255">
        <v>34.333841230873581</v>
      </c>
      <c r="J10" s="255">
        <v>36.918832217547781</v>
      </c>
      <c r="K10" s="255">
        <v>35.934241574051789</v>
      </c>
      <c r="L10" s="255">
        <v>36.376881575252632</v>
      </c>
      <c r="M10" s="255">
        <v>46.632921626281153</v>
      </c>
      <c r="N10" s="255">
        <v>45.33447036582487</v>
      </c>
      <c r="O10" s="255">
        <v>47.193226468320482</v>
      </c>
      <c r="P10" s="255">
        <v>62.452577029205898</v>
      </c>
      <c r="Q10" s="255">
        <v>62.200253094699526</v>
      </c>
      <c r="R10" s="255">
        <v>58.054084629678748</v>
      </c>
      <c r="S10" s="255">
        <v>57.500986588464997</v>
      </c>
      <c r="T10" s="255">
        <v>62.001257026600193</v>
      </c>
      <c r="U10" s="255">
        <v>57.888699554520301</v>
      </c>
      <c r="V10" s="255">
        <v>55.88545487235362</v>
      </c>
      <c r="W10" s="255">
        <v>38.308980122037362</v>
      </c>
      <c r="DA10" s="271" t="s">
        <v>1038</v>
      </c>
    </row>
    <row r="11" spans="1:105" x14ac:dyDescent="0.25">
      <c r="A11" s="254" t="s">
        <v>176</v>
      </c>
      <c r="B11" s="256">
        <v>1.6219371808612739</v>
      </c>
      <c r="C11" s="256">
        <v>3.0729957248655722</v>
      </c>
      <c r="D11" s="256">
        <v>3.4583317248231009</v>
      </c>
      <c r="E11" s="256">
        <v>4.4065132083376533</v>
      </c>
      <c r="F11" s="256">
        <v>4.7269621980891339</v>
      </c>
      <c r="G11" s="256">
        <v>4.9383377509227797</v>
      </c>
      <c r="H11" s="256">
        <v>5.6817285300070859</v>
      </c>
      <c r="I11" s="256">
        <v>5.3117365249004891</v>
      </c>
      <c r="J11" s="256">
        <v>5.0294179946773188</v>
      </c>
      <c r="K11" s="256">
        <v>6.2976625260134416</v>
      </c>
      <c r="L11" s="256">
        <v>6.3378922201838392</v>
      </c>
      <c r="M11" s="256">
        <v>5.507491803280093</v>
      </c>
      <c r="N11" s="256">
        <v>6.2376641710199987</v>
      </c>
      <c r="O11" s="256">
        <v>5.831867913116783</v>
      </c>
      <c r="P11" s="256">
        <v>4.4937844373160436</v>
      </c>
      <c r="Q11" s="256">
        <v>5.0698913428353567</v>
      </c>
      <c r="R11" s="256">
        <v>3.968265160472463</v>
      </c>
      <c r="S11" s="256">
        <v>3.500792314883292</v>
      </c>
      <c r="T11" s="256">
        <v>3.6295230378417971</v>
      </c>
      <c r="U11" s="256">
        <v>3.5770350443901262</v>
      </c>
      <c r="V11" s="256">
        <v>3.1417441245714088</v>
      </c>
      <c r="W11" s="256">
        <v>2.5231724706117449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36.623322394802472</v>
      </c>
      <c r="C16" s="258">
        <v>75.531290945446642</v>
      </c>
      <c r="D16" s="258">
        <v>84.27407617431227</v>
      </c>
      <c r="E16" s="258">
        <v>89.155496728758706</v>
      </c>
      <c r="F16" s="258">
        <v>80.043793530751046</v>
      </c>
      <c r="G16" s="258">
        <v>79.590333442757881</v>
      </c>
      <c r="H16" s="258">
        <v>73.337335489347723</v>
      </c>
      <c r="I16" s="258">
        <v>71.138421863938078</v>
      </c>
      <c r="J16" s="258">
        <v>72.995853583189771</v>
      </c>
      <c r="K16" s="258">
        <v>71.238932623662109</v>
      </c>
      <c r="L16" s="258">
        <v>73.268986296981964</v>
      </c>
      <c r="M16" s="258">
        <v>86.262495484732113</v>
      </c>
      <c r="N16" s="258">
        <v>86.880327177820433</v>
      </c>
      <c r="O16" s="258">
        <v>86.60845226369878</v>
      </c>
      <c r="P16" s="258">
        <v>106.12086299529599</v>
      </c>
      <c r="Q16" s="258">
        <v>106.3976041365286</v>
      </c>
      <c r="R16" s="258">
        <v>103.4169687968047</v>
      </c>
      <c r="S16" s="258">
        <v>104.02913363267881</v>
      </c>
      <c r="T16" s="258">
        <v>102.4594443318904</v>
      </c>
      <c r="U16" s="258">
        <v>93.202310081250744</v>
      </c>
      <c r="V16" s="258">
        <v>90.004673958329491</v>
      </c>
      <c r="W16" s="258">
        <v>68.907457106760006</v>
      </c>
      <c r="DA16" s="273" t="s">
        <v>1044</v>
      </c>
    </row>
    <row r="17" spans="1:105" x14ac:dyDescent="0.25">
      <c r="A17" s="257" t="s">
        <v>121</v>
      </c>
      <c r="B17" s="258">
        <f>SUM(B18:B24)</f>
        <v>43.754554140166817</v>
      </c>
      <c r="C17" s="258">
        <f t="shared" ref="C17:W17" si="2">SUM(C18:C24)</f>
        <v>91.25450117739156</v>
      </c>
      <c r="D17" s="258">
        <f t="shared" si="2"/>
        <v>102.7828212574309</v>
      </c>
      <c r="E17" s="258">
        <f t="shared" si="2"/>
        <v>112.17848177340019</v>
      </c>
      <c r="F17" s="258">
        <f t="shared" si="2"/>
        <v>105.83100305533172</v>
      </c>
      <c r="G17" s="258">
        <f t="shared" si="2"/>
        <v>97.67111962536616</v>
      </c>
      <c r="H17" s="258">
        <f t="shared" si="2"/>
        <v>77.452782581065293</v>
      </c>
      <c r="I17" s="258">
        <f t="shared" si="2"/>
        <v>91.725134769678178</v>
      </c>
      <c r="J17" s="258">
        <f t="shared" si="2"/>
        <v>92.5610036896732</v>
      </c>
      <c r="K17" s="258">
        <f t="shared" si="2"/>
        <v>87.974290405281167</v>
      </c>
      <c r="L17" s="258">
        <f t="shared" si="2"/>
        <v>89.665125505380516</v>
      </c>
      <c r="M17" s="258">
        <f t="shared" si="2"/>
        <v>108.80219064790842</v>
      </c>
      <c r="N17" s="258">
        <f t="shared" si="2"/>
        <v>114.63303877913835</v>
      </c>
      <c r="O17" s="258">
        <f t="shared" si="2"/>
        <v>108.04722687889027</v>
      </c>
      <c r="P17" s="258">
        <f t="shared" si="2"/>
        <v>132.31017129013324</v>
      </c>
      <c r="Q17" s="258">
        <f t="shared" si="2"/>
        <v>138.86475950122124</v>
      </c>
      <c r="R17" s="258">
        <f t="shared" si="2"/>
        <v>144.63733808965588</v>
      </c>
      <c r="S17" s="258">
        <f t="shared" si="2"/>
        <v>136.94691043239479</v>
      </c>
      <c r="T17" s="258">
        <f t="shared" si="2"/>
        <v>131.98055844428106</v>
      </c>
      <c r="U17" s="258">
        <f t="shared" si="2"/>
        <v>123.00139285071862</v>
      </c>
      <c r="V17" s="258">
        <f t="shared" si="2"/>
        <v>115.41174777732769</v>
      </c>
      <c r="W17" s="258">
        <f t="shared" si="2"/>
        <v>85.886523493208841</v>
      </c>
      <c r="DA17" s="273"/>
    </row>
    <row r="18" spans="1:105" x14ac:dyDescent="0.25">
      <c r="A18" s="61" t="s">
        <v>29</v>
      </c>
      <c r="B18" s="55">
        <v>2.5523246372396771</v>
      </c>
      <c r="C18" s="55">
        <v>0</v>
      </c>
      <c r="D18" s="55">
        <v>2.599366166020229</v>
      </c>
      <c r="E18" s="55">
        <v>2.589322491626219</v>
      </c>
      <c r="F18" s="55">
        <v>3.3699655723920201</v>
      </c>
      <c r="G18" s="55">
        <v>2.598847401288952</v>
      </c>
      <c r="H18" s="55">
        <v>0</v>
      </c>
      <c r="I18" s="55">
        <v>2.5987852012375869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12.37572412145529</v>
      </c>
      <c r="S18" s="55">
        <v>4.1452431489926056</v>
      </c>
      <c r="T18" s="55">
        <v>2.073487179899804</v>
      </c>
      <c r="U18" s="55">
        <v>1.1771790167704721</v>
      </c>
      <c r="V18" s="55">
        <v>0.56557887009884089</v>
      </c>
      <c r="W18" s="55">
        <v>1.1772852927493931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2.8710752399552089</v>
      </c>
      <c r="J19" s="55">
        <v>2.8710752399751001</v>
      </c>
      <c r="K19" s="55">
        <v>2.871075239971963</v>
      </c>
      <c r="L19" s="55">
        <v>0</v>
      </c>
      <c r="M19" s="55">
        <v>0</v>
      </c>
      <c r="N19" s="55">
        <v>2.871075239971296</v>
      </c>
      <c r="O19" s="55">
        <v>2.8710752399669128</v>
      </c>
      <c r="P19" s="55">
        <v>2.871075239985573</v>
      </c>
      <c r="Q19" s="55">
        <v>5.7421504799696326</v>
      </c>
      <c r="R19" s="55">
        <v>5.7421504799573482</v>
      </c>
      <c r="S19" s="55">
        <v>5.742150479935491</v>
      </c>
      <c r="T19" s="55">
        <v>2.8710752399789099</v>
      </c>
      <c r="U19" s="55">
        <v>5.7421504799706238</v>
      </c>
      <c r="V19" s="55">
        <v>6.8331999599389652</v>
      </c>
      <c r="W19" s="55">
        <v>2.871075239977777</v>
      </c>
      <c r="DA19" s="101" t="s">
        <v>1046</v>
      </c>
    </row>
    <row r="20" spans="1:105" x14ac:dyDescent="0.25">
      <c r="A20" s="61" t="s">
        <v>173</v>
      </c>
      <c r="B20" s="55">
        <v>27.621028283517109</v>
      </c>
      <c r="C20" s="55">
        <v>70.504943302448012</v>
      </c>
      <c r="D20" s="55">
        <v>81.831785136343697</v>
      </c>
      <c r="E20" s="55">
        <v>95.022433370303474</v>
      </c>
      <c r="F20" s="55">
        <v>80.729294601258658</v>
      </c>
      <c r="G20" s="55">
        <v>81.81446541491205</v>
      </c>
      <c r="H20" s="55">
        <v>66.422321110922894</v>
      </c>
      <c r="I20" s="55">
        <v>72.058126293599187</v>
      </c>
      <c r="J20" s="55">
        <v>73.527642604513218</v>
      </c>
      <c r="K20" s="55">
        <v>67.203471211497998</v>
      </c>
      <c r="L20" s="55">
        <v>73.743975805711855</v>
      </c>
      <c r="M20" s="55">
        <v>91.879635491390061</v>
      </c>
      <c r="N20" s="55">
        <v>95.575963550351062</v>
      </c>
      <c r="O20" s="55">
        <v>90.90689539220979</v>
      </c>
      <c r="P20" s="55">
        <v>115.07426176754269</v>
      </c>
      <c r="Q20" s="55">
        <v>111.8622364442069</v>
      </c>
      <c r="R20" s="55">
        <v>100.7552141689123</v>
      </c>
      <c r="S20" s="55">
        <v>106.847374798578</v>
      </c>
      <c r="T20" s="55">
        <v>110.487282542378</v>
      </c>
      <c r="U20" s="55">
        <v>97.425939758472396</v>
      </c>
      <c r="V20" s="55">
        <v>93.837982992001088</v>
      </c>
      <c r="W20" s="55">
        <v>67.608220631204148</v>
      </c>
      <c r="DA20" s="101" t="s">
        <v>1047</v>
      </c>
    </row>
    <row r="21" spans="1:105" x14ac:dyDescent="0.25">
      <c r="A21" s="61" t="s">
        <v>129</v>
      </c>
      <c r="B21" s="55">
        <v>9.1948284002050826</v>
      </c>
      <c r="C21" s="55">
        <v>15.34023359985509</v>
      </c>
      <c r="D21" s="55">
        <v>12.26739167992649</v>
      </c>
      <c r="E21" s="55">
        <v>6.0982891199213363</v>
      </c>
      <c r="F21" s="55">
        <v>12.22052507986675</v>
      </c>
      <c r="G21" s="55">
        <v>3.0491445600211731</v>
      </c>
      <c r="H21" s="55">
        <v>0</v>
      </c>
      <c r="I21" s="55">
        <v>3.0491445599524298</v>
      </c>
      <c r="J21" s="55">
        <v>6.1456838399466962</v>
      </c>
      <c r="K21" s="55">
        <v>6.1219864799402153</v>
      </c>
      <c r="L21" s="55">
        <v>3.0728419199713461</v>
      </c>
      <c r="M21" s="55">
        <v>6.0712869599314692</v>
      </c>
      <c r="N21" s="55">
        <v>3.0355041599696522</v>
      </c>
      <c r="O21" s="55">
        <v>3.0355041599650172</v>
      </c>
      <c r="P21" s="55">
        <v>6.0846487199694206</v>
      </c>
      <c r="Q21" s="55">
        <v>12.14257391993578</v>
      </c>
      <c r="R21" s="55">
        <v>12.15593567990971</v>
      </c>
      <c r="S21" s="55">
        <v>12.15593567986344</v>
      </c>
      <c r="T21" s="55">
        <v>8.5107023999374789</v>
      </c>
      <c r="U21" s="55">
        <v>10.94490143994401</v>
      </c>
      <c r="V21" s="55">
        <v>7.3264143599345593</v>
      </c>
      <c r="W21" s="55">
        <v>8.2037836799364996</v>
      </c>
      <c r="DA21" s="101" t="s">
        <v>1048</v>
      </c>
    </row>
    <row r="22" spans="1:105" x14ac:dyDescent="0.25">
      <c r="A22" s="61" t="s">
        <v>176</v>
      </c>
      <c r="B22" s="55">
        <v>4.3863728192049471</v>
      </c>
      <c r="C22" s="55">
        <v>5.4093242750884469</v>
      </c>
      <c r="D22" s="55">
        <v>6.0842782751404814</v>
      </c>
      <c r="E22" s="55">
        <v>8.468436791549161</v>
      </c>
      <c r="F22" s="55">
        <v>9.5112178018142988</v>
      </c>
      <c r="G22" s="55">
        <v>10.20866224914398</v>
      </c>
      <c r="H22" s="55">
        <v>11.0304614701424</v>
      </c>
      <c r="I22" s="55">
        <v>11.14800347493377</v>
      </c>
      <c r="J22" s="55">
        <v>10.016602005238189</v>
      </c>
      <c r="K22" s="55">
        <v>11.77775747387099</v>
      </c>
      <c r="L22" s="55">
        <v>12.84830777969731</v>
      </c>
      <c r="M22" s="55">
        <v>10.85126819658689</v>
      </c>
      <c r="N22" s="55">
        <v>13.150495828846349</v>
      </c>
      <c r="O22" s="55">
        <v>11.233752086748551</v>
      </c>
      <c r="P22" s="55">
        <v>8.2801855626355589</v>
      </c>
      <c r="Q22" s="55">
        <v>9.1177986571089189</v>
      </c>
      <c r="R22" s="55">
        <v>6.8870848394711608</v>
      </c>
      <c r="S22" s="55">
        <v>6.5051139250426866</v>
      </c>
      <c r="T22" s="55">
        <v>6.4678710820983838</v>
      </c>
      <c r="U22" s="55">
        <v>6.0201041555697623</v>
      </c>
      <c r="V22" s="55">
        <v>5.2753427953683074</v>
      </c>
      <c r="W22" s="55">
        <v>4.4529298493532181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6.7212287999500751</v>
      </c>
      <c r="S23" s="55">
        <v>1.5510923999825741</v>
      </c>
      <c r="T23" s="55">
        <v>1.570139999988466</v>
      </c>
      <c r="U23" s="55">
        <v>1.691117999991349</v>
      </c>
      <c r="V23" s="55">
        <v>1.573228799985948</v>
      </c>
      <c r="W23" s="55">
        <v>1.5732287999878221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7.0374766068663419</v>
      </c>
      <c r="C25" s="258">
        <v>14.51396701219093</v>
      </c>
      <c r="D25" s="258">
        <v>16.19396605388711</v>
      </c>
      <c r="E25" s="258">
        <v>17.131971693841521</v>
      </c>
      <c r="F25" s="258">
        <v>15.381081989913721</v>
      </c>
      <c r="G25" s="258">
        <v>15.29394585499406</v>
      </c>
      <c r="H25" s="258">
        <v>14.09238018747963</v>
      </c>
      <c r="I25" s="258">
        <v>13.66984060921526</v>
      </c>
      <c r="J25" s="258">
        <v>14.02676159339501</v>
      </c>
      <c r="K25" s="258">
        <v>13.68915458932528</v>
      </c>
      <c r="L25" s="258">
        <v>14.07924632056316</v>
      </c>
      <c r="M25" s="258">
        <v>16.576057395324419</v>
      </c>
      <c r="N25" s="258">
        <v>16.69477890399089</v>
      </c>
      <c r="O25" s="258">
        <v>16.642535873511591</v>
      </c>
      <c r="P25" s="258">
        <v>20.392008206657199</v>
      </c>
      <c r="Q25" s="258">
        <v>20.44518632322966</v>
      </c>
      <c r="R25" s="258">
        <v>19.872432402905851</v>
      </c>
      <c r="S25" s="258">
        <v>19.990064977732569</v>
      </c>
      <c r="T25" s="258">
        <v>19.688436097226781</v>
      </c>
      <c r="U25" s="258">
        <v>17.909600604553319</v>
      </c>
      <c r="V25" s="258">
        <v>17.29514817531323</v>
      </c>
      <c r="W25" s="258">
        <v>13.24114213887626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1.0000000000000002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0.99999999999999989</v>
      </c>
      <c r="J31" s="236">
        <f t="shared" si="3"/>
        <v>1.0000000000000002</v>
      </c>
      <c r="K31" s="236">
        <f t="shared" si="3"/>
        <v>1</v>
      </c>
      <c r="L31" s="236">
        <f t="shared" si="3"/>
        <v>1.0000000000000002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0.11924648077388647</v>
      </c>
      <c r="C35" s="247">
        <f t="shared" si="8"/>
        <v>0.19216267420238484</v>
      </c>
      <c r="D35" s="247">
        <f t="shared" si="8"/>
        <v>0.1973436147072061</v>
      </c>
      <c r="E35" s="247">
        <f t="shared" si="8"/>
        <v>0.19775122010279297</v>
      </c>
      <c r="F35" s="247">
        <f t="shared" si="8"/>
        <v>0.18223352727478245</v>
      </c>
      <c r="G35" s="247">
        <f t="shared" si="8"/>
        <v>0.18777212950317096</v>
      </c>
      <c r="H35" s="247">
        <f t="shared" si="8"/>
        <v>0.19482314356134769</v>
      </c>
      <c r="I35" s="247">
        <f t="shared" si="8"/>
        <v>0.18339238474060574</v>
      </c>
      <c r="J35" s="247">
        <f t="shared" si="8"/>
        <v>0.18935537530884058</v>
      </c>
      <c r="K35" s="247">
        <f t="shared" si="8"/>
        <v>0.19630485556624433</v>
      </c>
      <c r="L35" s="247">
        <f t="shared" si="8"/>
        <v>0.19439829312027621</v>
      </c>
      <c r="M35" s="247">
        <f t="shared" si="8"/>
        <v>0.19766542095331263</v>
      </c>
      <c r="N35" s="247">
        <f t="shared" si="8"/>
        <v>0.19116347070276804</v>
      </c>
      <c r="O35" s="247">
        <f t="shared" si="8"/>
        <v>0.20060695555868813</v>
      </c>
      <c r="P35" s="247">
        <f t="shared" si="8"/>
        <v>0.20550229902814324</v>
      </c>
      <c r="Q35" s="247">
        <f t="shared" si="8"/>
        <v>0.20202597822370838</v>
      </c>
      <c r="R35" s="247">
        <f t="shared" si="8"/>
        <v>0.18797551453522529</v>
      </c>
      <c r="S35" s="247">
        <f t="shared" si="8"/>
        <v>0.18946541312700774</v>
      </c>
      <c r="T35" s="247">
        <f t="shared" si="8"/>
        <v>0.20525062665104998</v>
      </c>
      <c r="U35" s="247">
        <f t="shared" si="8"/>
        <v>0.20795024906585927</v>
      </c>
      <c r="V35" s="247">
        <f t="shared" si="8"/>
        <v>0.20951038873965513</v>
      </c>
      <c r="W35" s="247">
        <f t="shared" si="8"/>
        <v>0.19549329844919083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0.36899833868585652</v>
      </c>
      <c r="C36" s="260">
        <f t="shared" si="9"/>
        <v>0.33655310069092137</v>
      </c>
      <c r="D36" s="260">
        <f t="shared" si="9"/>
        <v>0.33280609093572383</v>
      </c>
      <c r="E36" s="260">
        <f t="shared" si="9"/>
        <v>0.32739604687873031</v>
      </c>
      <c r="F36" s="260">
        <f t="shared" si="9"/>
        <v>0.32524332288992253</v>
      </c>
      <c r="G36" s="260">
        <f t="shared" si="9"/>
        <v>0.33572409501825962</v>
      </c>
      <c r="H36" s="260">
        <f t="shared" si="9"/>
        <v>0.35813094702471376</v>
      </c>
      <c r="I36" s="260">
        <f t="shared" si="9"/>
        <v>0.32907188066923221</v>
      </c>
      <c r="J36" s="260">
        <f t="shared" si="9"/>
        <v>0.3295049777119391</v>
      </c>
      <c r="K36" s="260">
        <f t="shared" si="9"/>
        <v>0.33113705567824026</v>
      </c>
      <c r="L36" s="260">
        <f t="shared" si="9"/>
        <v>0.33345291591613024</v>
      </c>
      <c r="M36" s="260">
        <f t="shared" si="9"/>
        <v>0.32702296282149534</v>
      </c>
      <c r="N36" s="260">
        <f t="shared" si="9"/>
        <v>0.32204106012402139</v>
      </c>
      <c r="O36" s="260">
        <f t="shared" si="9"/>
        <v>0.32766104684865721</v>
      </c>
      <c r="P36" s="260">
        <f t="shared" si="9"/>
        <v>0.325754542034216</v>
      </c>
      <c r="Q36" s="260">
        <f t="shared" si="9"/>
        <v>0.31953372831391469</v>
      </c>
      <c r="R36" s="260">
        <f t="shared" si="9"/>
        <v>0.31343310898452348</v>
      </c>
      <c r="S36" s="260">
        <f t="shared" si="9"/>
        <v>0.32310406573861961</v>
      </c>
      <c r="T36" s="260">
        <f t="shared" si="9"/>
        <v>0.32042686579056245</v>
      </c>
      <c r="U36" s="260">
        <f t="shared" si="9"/>
        <v>0.31532110892974025</v>
      </c>
      <c r="V36" s="260">
        <f t="shared" si="9"/>
        <v>0.31946144404341226</v>
      </c>
      <c r="W36" s="260">
        <f t="shared" si="9"/>
        <v>0.32991025998398588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0.44084907463101292</v>
      </c>
      <c r="C37" s="260">
        <f t="shared" si="10"/>
        <v>0.40661274206787429</v>
      </c>
      <c r="D37" s="260">
        <f t="shared" si="10"/>
        <v>0.4058988304692614</v>
      </c>
      <c r="E37" s="260">
        <f t="shared" si="10"/>
        <v>0.41194085418203985</v>
      </c>
      <c r="F37" s="260">
        <f t="shared" si="10"/>
        <v>0.43002493485351756</v>
      </c>
      <c r="G37" s="260">
        <f t="shared" si="10"/>
        <v>0.41199159278845721</v>
      </c>
      <c r="H37" s="260">
        <f t="shared" si="10"/>
        <v>0.37822806337823878</v>
      </c>
      <c r="I37" s="260">
        <f t="shared" si="10"/>
        <v>0.42430183032494173</v>
      </c>
      <c r="J37" s="260">
        <f t="shared" si="10"/>
        <v>0.41782251950793237</v>
      </c>
      <c r="K37" s="260">
        <f t="shared" si="10"/>
        <v>0.40892734390171342</v>
      </c>
      <c r="L37" s="260">
        <f t="shared" si="10"/>
        <v>0.40807303426533814</v>
      </c>
      <c r="M37" s="260">
        <f t="shared" si="10"/>
        <v>0.41247142859953279</v>
      </c>
      <c r="N37" s="260">
        <f t="shared" si="10"/>
        <v>0.42491259566867912</v>
      </c>
      <c r="O37" s="260">
        <f t="shared" si="10"/>
        <v>0.40876919680355928</v>
      </c>
      <c r="P37" s="260">
        <f t="shared" si="10"/>
        <v>0.40614670893692739</v>
      </c>
      <c r="Q37" s="260">
        <f t="shared" si="10"/>
        <v>0.41703922466057181</v>
      </c>
      <c r="R37" s="260">
        <f t="shared" si="10"/>
        <v>0.43836259252347359</v>
      </c>
      <c r="S37" s="260">
        <f t="shared" si="10"/>
        <v>0.42534338224219936</v>
      </c>
      <c r="T37" s="260">
        <f t="shared" si="10"/>
        <v>0.41274981494728225</v>
      </c>
      <c r="U37" s="260">
        <f t="shared" si="10"/>
        <v>0.41613706312407672</v>
      </c>
      <c r="V37" s="260">
        <f t="shared" si="10"/>
        <v>0.40964098844010177</v>
      </c>
      <c r="W37" s="260">
        <f t="shared" si="10"/>
        <v>0.41120143572945045</v>
      </c>
      <c r="DA37" s="279"/>
    </row>
    <row r="38" spans="1:105" x14ac:dyDescent="0.25">
      <c r="A38" s="128" t="s">
        <v>174</v>
      </c>
      <c r="B38" s="260">
        <f t="shared" ref="B38:W38" si="11">IF(B$25=0,0,B$25/B$5)</f>
        <v>7.0906105909244205E-2</v>
      </c>
      <c r="C38" s="260">
        <f t="shared" si="11"/>
        <v>6.4671483038819658E-2</v>
      </c>
      <c r="D38" s="260">
        <f t="shared" si="11"/>
        <v>6.3951463887808785E-2</v>
      </c>
      <c r="E38" s="260">
        <f t="shared" si="11"/>
        <v>6.2911878836436952E-2</v>
      </c>
      <c r="F38" s="260">
        <f t="shared" si="11"/>
        <v>6.2498214981777378E-2</v>
      </c>
      <c r="G38" s="260">
        <f t="shared" si="11"/>
        <v>6.4512182690112205E-2</v>
      </c>
      <c r="H38" s="260">
        <f t="shared" si="11"/>
        <v>6.8817846035699792E-2</v>
      </c>
      <c r="I38" s="260">
        <f t="shared" si="11"/>
        <v>6.3233904265220214E-2</v>
      </c>
      <c r="J38" s="260">
        <f t="shared" si="11"/>
        <v>6.3317127471288065E-2</v>
      </c>
      <c r="K38" s="260">
        <f t="shared" si="11"/>
        <v>6.3630744853802115E-2</v>
      </c>
      <c r="L38" s="260">
        <f t="shared" si="11"/>
        <v>6.4075756698255507E-2</v>
      </c>
      <c r="M38" s="260">
        <f t="shared" si="11"/>
        <v>6.2840187625659252E-2</v>
      </c>
      <c r="N38" s="260">
        <f t="shared" si="11"/>
        <v>6.1882873504531526E-2</v>
      </c>
      <c r="O38" s="260">
        <f t="shared" si="11"/>
        <v>6.296280078909533E-2</v>
      </c>
      <c r="P38" s="260">
        <f t="shared" si="11"/>
        <v>6.2596450000713288E-2</v>
      </c>
      <c r="Q38" s="260">
        <f t="shared" si="11"/>
        <v>6.1401068801805243E-2</v>
      </c>
      <c r="R38" s="260">
        <f t="shared" si="11"/>
        <v>6.0228783956777644E-2</v>
      </c>
      <c r="S38" s="260">
        <f t="shared" si="11"/>
        <v>6.2087138892173259E-2</v>
      </c>
      <c r="T38" s="260">
        <f t="shared" si="11"/>
        <v>6.157269261110538E-2</v>
      </c>
      <c r="U38" s="260">
        <f t="shared" si="11"/>
        <v>6.0591578880323758E-2</v>
      </c>
      <c r="V38" s="260">
        <f t="shared" si="11"/>
        <v>6.1387178776830927E-2</v>
      </c>
      <c r="W38" s="260">
        <f t="shared" si="11"/>
        <v>6.3395005837372953E-2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1.7083814026887587</v>
      </c>
      <c r="C44" s="238">
        <f>IF(C$5=0,0,C$5/AGR_fec!C$5)</f>
        <v>2.2540599855864816</v>
      </c>
      <c r="D44" s="238">
        <f>IF(D$5=0,0,D$5/AGR_fec!D$5)</f>
        <v>2.3274076963299888</v>
      </c>
      <c r="E44" s="238">
        <f>IF(E$5=0,0,E$5/AGR_fec!E$5)</f>
        <v>2.4055775341259062</v>
      </c>
      <c r="F44" s="238">
        <f>IF(F$5=0,0,F$5/AGR_fec!F$5)</f>
        <v>2.3453124223206627</v>
      </c>
      <c r="G44" s="238">
        <f>IF(G$5=0,0,G$5/AGR_fec!G$5)</f>
        <v>2.277651907348933</v>
      </c>
      <c r="H44" s="238">
        <f>IF(H$5=0,0,H$5/AGR_fec!H$5)</f>
        <v>2.0753899022306777</v>
      </c>
      <c r="I44" s="238">
        <f>IF(I$5=0,0,I$5/AGR_fec!I$5)</f>
        <v>2.3175840040133684</v>
      </c>
      <c r="J44" s="238">
        <f>IF(J$5=0,0,J$5/AGR_fec!J$5)</f>
        <v>2.3330039982312956</v>
      </c>
      <c r="K44" s="238">
        <f>IF(K$5=0,0,K$5/AGR_fec!K$5)</f>
        <v>2.3184657206755053</v>
      </c>
      <c r="L44" s="238">
        <f>IF(L$5=0,0,L$5/AGR_fec!L$5)</f>
        <v>2.3099421431236555</v>
      </c>
      <c r="M44" s="238">
        <f>IF(M$5=0,0,M$5/AGR_fec!M$5)</f>
        <v>2.421108800378843</v>
      </c>
      <c r="N44" s="238">
        <f>IF(N$5=0,0,N$5/AGR_fec!N$5)</f>
        <v>2.4344489994237719</v>
      </c>
      <c r="O44" s="238">
        <f>IF(O$5=0,0,O$5/AGR_fec!O$5)</f>
        <v>2.4002617952876508</v>
      </c>
      <c r="P44" s="238">
        <f>IF(P$5=0,0,P$5/AGR_fec!P$5)</f>
        <v>2.4823493898716902</v>
      </c>
      <c r="Q44" s="238">
        <f>IF(Q$5=0,0,Q$5/AGR_fec!Q$5)</f>
        <v>2.5134600227392325</v>
      </c>
      <c r="R44" s="238">
        <f>IF(R$5=0,0,R$5/AGR_fec!R$5)</f>
        <v>2.5116263232890246</v>
      </c>
      <c r="S44" s="238">
        <f>IF(S$5=0,0,S$5/AGR_fec!S$5)</f>
        <v>2.4186299032827323</v>
      </c>
      <c r="T44" s="238">
        <f>IF(T$5=0,0,T$5/AGR_fec!T$5)</f>
        <v>2.5606136688960484</v>
      </c>
      <c r="U44" s="238">
        <f>IF(U$5=0,0,U$5/AGR_fec!U$5)</f>
        <v>2.6060072879350233</v>
      </c>
      <c r="V44" s="238">
        <f>IF(V$5=0,0,V$5/AGR_fec!V$5)</f>
        <v>2.5618883400682138</v>
      </c>
      <c r="W44" s="238">
        <f>IF(W$5=0,0,W$5/AGR_fec!W$5)</f>
        <v>2.3565105398207029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0.92611711933221197</v>
      </c>
      <c r="C48" s="253">
        <f>IF(C$9=0,0,C$9/AGR_fec!C$9)</f>
        <v>2.2351462571014418</v>
      </c>
      <c r="D48" s="253">
        <f>IF(D$9=0,0,D$9/AGR_fec!D$9)</f>
        <v>2.3495534788300052</v>
      </c>
      <c r="E48" s="253">
        <f>IF(E$9=0,0,E$9/AGR_fec!E$9)</f>
        <v>2.4009588756737092</v>
      </c>
      <c r="F48" s="253">
        <f>IF(F$9=0,0,F$9/AGR_fec!F$9)</f>
        <v>2.1376787663153718</v>
      </c>
      <c r="G48" s="253">
        <f>IF(G$9=0,0,G$9/AGR_fec!G$9)</f>
        <v>2.1247333730043532</v>
      </c>
      <c r="H48" s="253">
        <f>IF(H$9=0,0,H$9/AGR_fec!H$9)</f>
        <v>2.0275509069645841</v>
      </c>
      <c r="I48" s="253">
        <f>IF(I$9=0,0,I$9/AGR_fec!I$9)</f>
        <v>2.0940084296139738</v>
      </c>
      <c r="J48" s="253">
        <f>IF(J$9=0,0,J$9/AGR_fec!J$9)</f>
        <v>2.2064212086762058</v>
      </c>
      <c r="K48" s="253">
        <f>IF(K$9=0,0,K$9/AGR_fec!K$9)</f>
        <v>2.2914723335480431</v>
      </c>
      <c r="L48" s="253">
        <f>IF(L$9=0,0,L$9/AGR_fec!L$9)</f>
        <v>2.2342335298530771</v>
      </c>
      <c r="M48" s="253">
        <f>IF(M$9=0,0,M$9/AGR_fec!M$9)</f>
        <v>2.3705030472381114</v>
      </c>
      <c r="N48" s="253">
        <f>IF(N$9=0,0,N$9/AGR_fec!N$9)</f>
        <v>2.3132112258194923</v>
      </c>
      <c r="O48" s="253">
        <f>IF(O$9=0,0,O$9/AGR_fec!O$9)</f>
        <v>2.4352508937072641</v>
      </c>
      <c r="P48" s="253">
        <f>IF(P$9=0,0,P$9/AGR_fec!P$9)</f>
        <v>2.5659624994847117</v>
      </c>
      <c r="Q48" s="253">
        <f>IF(Q$9=0,0,Q$9/AGR_fec!Q$9)</f>
        <v>2.5532962883091308</v>
      </c>
      <c r="R48" s="253">
        <f>IF(R$9=0,0,R$9/AGR_fec!R$9)</f>
        <v>2.3974217041100503</v>
      </c>
      <c r="S48" s="253">
        <f>IF(S$9=0,0,S$9/AGR_fec!S$9)</f>
        <v>2.3305662233770157</v>
      </c>
      <c r="T48" s="253">
        <f>IF(T$9=0,0,T$9/AGR_fec!T$9)</f>
        <v>2.606917726133287</v>
      </c>
      <c r="U48" s="253">
        <f>IF(U$9=0,0,U$9/AGR_fec!U$9)</f>
        <v>2.6970787813417481</v>
      </c>
      <c r="V48" s="253">
        <f>IF(V$9=0,0,V$9/AGR_fec!V$9)</f>
        <v>2.6854497586425436</v>
      </c>
      <c r="W48" s="253">
        <f>IF(W$9=0,0,W$9/AGR_fec!W$9)</f>
        <v>2.3464499475958935</v>
      </c>
      <c r="DA48" s="290"/>
    </row>
    <row r="49" spans="1:105" x14ac:dyDescent="0.25">
      <c r="A49" s="128" t="s">
        <v>175</v>
      </c>
      <c r="B49" s="265">
        <f>IF(B$16=0,0,B$16/AGR_fec!B$16)</f>
        <v>3.1024188000000019</v>
      </c>
      <c r="C49" s="265">
        <f>IF(C$16=0,0,C$16/AGR_fec!C$16)</f>
        <v>3.1024187999999993</v>
      </c>
      <c r="D49" s="265">
        <f>IF(D$16=0,0,D$16/AGR_fec!D$16)</f>
        <v>3.1024188000000006</v>
      </c>
      <c r="E49" s="265">
        <f>IF(E$16=0,0,E$16/AGR_fec!E$16)</f>
        <v>3.1024188000000006</v>
      </c>
      <c r="F49" s="265">
        <f>IF(F$16=0,0,F$16/AGR_fec!F$16)</f>
        <v>3.1024187999999997</v>
      </c>
      <c r="G49" s="265">
        <f>IF(G$16=0,0,G$16/AGR_fec!G$16)</f>
        <v>3.1024187999999997</v>
      </c>
      <c r="H49" s="265">
        <f>IF(H$16=0,0,H$16/AGR_fec!H$16)</f>
        <v>3.1024188000000001</v>
      </c>
      <c r="I49" s="265">
        <f>IF(I$16=0,0,I$16/AGR_fec!I$16)</f>
        <v>3.1024188000000006</v>
      </c>
      <c r="J49" s="265">
        <f>IF(J$16=0,0,J$16/AGR_fec!J$16)</f>
        <v>3.102418800000001</v>
      </c>
      <c r="K49" s="265">
        <f>IF(K$16=0,0,K$16/AGR_fec!K$16)</f>
        <v>3.102418800000001</v>
      </c>
      <c r="L49" s="265">
        <f>IF(L$16=0,0,L$16/AGR_fec!L$16)</f>
        <v>3.1024188000000001</v>
      </c>
      <c r="M49" s="265">
        <f>IF(M$16=0,0,M$16/AGR_fec!M$16)</f>
        <v>3.1024187999999997</v>
      </c>
      <c r="N49" s="265">
        <f>IF(N$16=0,0,N$16/AGR_fec!N$16)</f>
        <v>3.1024187999999997</v>
      </c>
      <c r="O49" s="265">
        <f>IF(O$16=0,0,O$16/AGR_fec!O$16)</f>
        <v>3.1024187999999997</v>
      </c>
      <c r="P49" s="265">
        <f>IF(P$16=0,0,P$16/AGR_fec!P$16)</f>
        <v>3.1024187999999997</v>
      </c>
      <c r="Q49" s="265">
        <f>IF(Q$16=0,0,Q$16/AGR_fec!Q$16)</f>
        <v>3.1024187999999979</v>
      </c>
      <c r="R49" s="265">
        <f>IF(R$16=0,0,R$16/AGR_fec!R$16)</f>
        <v>3.1024187999999993</v>
      </c>
      <c r="S49" s="265">
        <f>IF(S$16=0,0,S$16/AGR_fec!S$16)</f>
        <v>3.1024188000000015</v>
      </c>
      <c r="T49" s="265">
        <f>IF(T$16=0,0,T$16/AGR_fec!T$16)</f>
        <v>3.1024188000000006</v>
      </c>
      <c r="U49" s="265">
        <f>IF(U$16=0,0,U$16/AGR_fec!U$16)</f>
        <v>3.1024188000000006</v>
      </c>
      <c r="V49" s="265">
        <f>IF(V$16=0,0,V$16/AGR_fec!V$16)</f>
        <v>3.1024188000000001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2.2421955742691431</v>
      </c>
      <c r="C50" s="265">
        <f>IF(C$17=0,0,C$17/AGR_fec!C$17)</f>
        <v>2.4448885261152951</v>
      </c>
      <c r="D50" s="265">
        <f>IF(D$17=0,0,D$17/AGR_fec!D$17)</f>
        <v>2.5091451033893559</v>
      </c>
      <c r="E50" s="265">
        <f>IF(E$17=0,0,E$17/AGR_fec!E$17)</f>
        <v>2.7017932645457394</v>
      </c>
      <c r="F50" s="265">
        <f>IF(F$17=0,0,F$17/AGR_fec!F$17)</f>
        <v>2.785514892299239</v>
      </c>
      <c r="G50" s="265">
        <f>IF(G$17=0,0,G$17/AGR_fec!G$17)</f>
        <v>2.6092426693155151</v>
      </c>
      <c r="H50" s="265">
        <f>IF(H$17=0,0,H$17/AGR_fec!H$17)</f>
        <v>2.1376216996514077</v>
      </c>
      <c r="I50" s="265">
        <f>IF(I$17=0,0,I$17/AGR_fec!I$17)</f>
        <v>2.7356518252831719</v>
      </c>
      <c r="J50" s="265">
        <f>IF(J$17=0,0,J$17/AGR_fec!J$17)</f>
        <v>2.6768488953763945</v>
      </c>
      <c r="K50" s="265">
        <f>IF(K$17=0,0,K$17/AGR_fec!K$17)</f>
        <v>2.5471092871211196</v>
      </c>
      <c r="L50" s="265">
        <f>IF(L$17=0,0,L$17/AGR_fec!L$17)</f>
        <v>2.596334567201914</v>
      </c>
      <c r="M50" s="265">
        <f>IF(M$17=0,0,M$17/AGR_fec!M$17)</f>
        <v>2.7199093439348458</v>
      </c>
      <c r="N50" s="265">
        <f>IF(N$17=0,0,N$17/AGR_fec!N$17)</f>
        <v>2.89305989839306</v>
      </c>
      <c r="O50" s="265">
        <f>IF(O$17=0,0,O$17/AGR_fec!O$17)</f>
        <v>2.675528309044009</v>
      </c>
      <c r="P50" s="265">
        <f>IF(P$17=0,0,P$17/AGR_fec!P$17)</f>
        <v>2.6982036930605027</v>
      </c>
      <c r="Q50" s="265">
        <f>IF(Q$17=0,0,Q$17/AGR_fec!Q$17)</f>
        <v>2.7817863476048847</v>
      </c>
      <c r="R50" s="265">
        <f>IF(R$17=0,0,R$17/AGR_fec!R$17)</f>
        <v>2.8945314078912827</v>
      </c>
      <c r="S50" s="265">
        <f>IF(S$17=0,0,S$17/AGR_fec!S$17)</f>
        <v>2.7803691608396774</v>
      </c>
      <c r="T50" s="265">
        <f>IF(T$17=0,0,T$17/AGR_fec!T$17)</f>
        <v>2.7754444786417687</v>
      </c>
      <c r="U50" s="265">
        <f>IF(U$17=0,0,U$17/AGR_fec!U$17)</f>
        <v>2.795039155690811</v>
      </c>
      <c r="V50" s="265">
        <f>IF(V$17=0,0,V$17/AGR_fec!V$17)</f>
        <v>2.7101359263081415</v>
      </c>
      <c r="W50" s="265">
        <f>IF(W$17=0,0,W$17/AGR_fec!W$17)</f>
        <v>2.572461568287018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3.1024187999999993</v>
      </c>
      <c r="D51" s="265">
        <f>IF(D$25=0,0,D$25/AGR_fec!D$25)</f>
        <v>3.1024188000000006</v>
      </c>
      <c r="E51" s="265">
        <f>IF(E$25=0,0,E$25/AGR_fec!E$25)</f>
        <v>3.1024187999999993</v>
      </c>
      <c r="F51" s="265">
        <f>IF(F$25=0,0,F$25/AGR_fec!F$25)</f>
        <v>3.1024187999999997</v>
      </c>
      <c r="G51" s="265">
        <f>IF(G$25=0,0,G$25/AGR_fec!G$25)</f>
        <v>3.1024187999999993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3.1024188000000006</v>
      </c>
      <c r="K51" s="265">
        <f>IF(K$25=0,0,K$25/AGR_fec!K$25)</f>
        <v>3.1024187999999993</v>
      </c>
      <c r="L51" s="265">
        <f>IF(L$25=0,0,L$25/AGR_fec!L$25)</f>
        <v>3.1024187999999993</v>
      </c>
      <c r="M51" s="265">
        <f>IF(M$25=0,0,M$25/AGR_fec!M$25)</f>
        <v>3.1024187999999997</v>
      </c>
      <c r="N51" s="265">
        <f>IF(N$25=0,0,N$25/AGR_fec!N$25)</f>
        <v>3.1024188000000001</v>
      </c>
      <c r="O51" s="265">
        <f>IF(O$25=0,0,O$25/AGR_fec!O$25)</f>
        <v>3.1024188000000001</v>
      </c>
      <c r="P51" s="265">
        <f>IF(P$25=0,0,P$25/AGR_fec!P$25)</f>
        <v>3.1024188000000006</v>
      </c>
      <c r="Q51" s="265">
        <f>IF(Q$25=0,0,Q$25/AGR_fec!Q$25)</f>
        <v>3.1024188000000006</v>
      </c>
      <c r="R51" s="265">
        <f>IF(R$25=0,0,R$25/AGR_fec!R$25)</f>
        <v>3.102418800000001</v>
      </c>
      <c r="S51" s="265">
        <f>IF(S$25=0,0,S$25/AGR_fec!S$25)</f>
        <v>3.1024188000000006</v>
      </c>
      <c r="T51" s="265">
        <f>IF(T$25=0,0,T$25/AGR_fec!T$25)</f>
        <v>3.1024187999999997</v>
      </c>
      <c r="U51" s="265">
        <f>IF(U$25=0,0,U$25/AGR_fec!U$25)</f>
        <v>3.1024188000000001</v>
      </c>
      <c r="V51" s="265">
        <f>IF(V$25=0,0,V$25/AGR_fec!V$25)</f>
        <v>3.1024187999999993</v>
      </c>
      <c r="W51" s="265">
        <f>IF(W$25=0,0,W$25/AGR_fec!W$25)</f>
        <v>3.1024188000000006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1089ED-923E-493D-8A42-66312F392B93}"/>
</file>

<file path=customXml/itemProps2.xml><?xml version="1.0" encoding="utf-8"?>
<ds:datastoreItem xmlns:ds="http://schemas.openxmlformats.org/officeDocument/2006/customXml" ds:itemID="{67159D96-6D7D-4CFA-B38F-7E1B18F96BFF}"/>
</file>

<file path=customXml/itemProps3.xml><?xml version="1.0" encoding="utf-8"?>
<ds:datastoreItem xmlns:ds="http://schemas.openxmlformats.org/officeDocument/2006/customXml" ds:itemID="{AFA0F354-8737-4E87-9A7D-5D47232B1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2024-05-20T16:48:52Z</dcterms:created>
  <dcterms:modified xsi:type="dcterms:W3CDTF">2024-05-20T16:48:53Z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