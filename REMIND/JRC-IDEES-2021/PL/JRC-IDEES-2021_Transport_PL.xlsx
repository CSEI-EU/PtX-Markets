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C242" i="3" s="1"/>
  <c r="B30" i="3"/>
  <c r="B24" i="1"/>
  <c r="B26" i="1"/>
  <c r="B25" i="1"/>
  <c r="S242" i="3" l="1"/>
  <c r="P18" i="20"/>
  <c r="C18" i="20"/>
  <c r="Q14" i="18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Q213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N13" i="20" s="1"/>
  <c r="F20" i="19"/>
  <c r="Q21" i="19"/>
  <c r="R21" i="18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H20" i="19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W17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Q25" i="19" l="1"/>
  <c r="L20" i="19"/>
  <c r="D22" i="20"/>
  <c r="T23" i="18"/>
  <c r="G23" i="20"/>
  <c r="L23" i="18"/>
  <c r="K20" i="19"/>
  <c r="N22" i="18"/>
  <c r="R23" i="18"/>
  <c r="F89" i="3"/>
  <c r="F181" i="3" s="1"/>
  <c r="F24" i="19"/>
  <c r="T24" i="19"/>
  <c r="T20" i="19"/>
  <c r="F22" i="20"/>
  <c r="J21" i="19"/>
  <c r="G18" i="18"/>
  <c r="E13" i="20"/>
  <c r="U18" i="18"/>
  <c r="J11" i="20"/>
  <c r="K23" i="18"/>
  <c r="H25" i="19"/>
  <c r="Q11" i="20"/>
  <c r="E18" i="18"/>
  <c r="W23" i="20"/>
  <c r="E22" i="18"/>
  <c r="I213" i="3"/>
  <c r="M22" i="20"/>
  <c r="E13" i="18"/>
  <c r="I21" i="18"/>
  <c r="U29" i="3"/>
  <c r="U121" i="3" s="1"/>
  <c r="U24" i="19"/>
  <c r="P10" i="20"/>
  <c r="R25" i="19"/>
  <c r="M24" i="19"/>
  <c r="O21" i="19"/>
  <c r="L10" i="20"/>
  <c r="P24" i="19"/>
  <c r="H3" i="19"/>
  <c r="H28" i="19" s="1"/>
  <c r="Q10" i="20"/>
  <c r="Q24" i="19"/>
  <c r="W3" i="19"/>
  <c r="W28" i="19" s="1"/>
  <c r="G25" i="19"/>
  <c r="O11" i="20"/>
  <c r="W10" i="20"/>
  <c r="N20" i="19"/>
  <c r="U19" i="18"/>
  <c r="F18" i="18"/>
  <c r="R242" i="3"/>
  <c r="E17" i="20"/>
  <c r="S23" i="18"/>
  <c r="E17" i="18"/>
  <c r="M23" i="18"/>
  <c r="F19" i="18"/>
  <c r="R212" i="3"/>
  <c r="I22" i="18"/>
  <c r="S22" i="18"/>
  <c r="N29" i="3"/>
  <c r="N241" i="3" s="1"/>
  <c r="G24" i="19"/>
  <c r="T22" i="18"/>
  <c r="L21" i="20"/>
  <c r="M22" i="18"/>
  <c r="N10" i="20"/>
  <c r="S10" i="20"/>
  <c r="N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8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123" i="3"/>
  <c r="Q24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U182" i="3"/>
  <c r="E183" i="3"/>
  <c r="D181" i="3"/>
  <c r="D182" i="3"/>
  <c r="R183" i="3"/>
  <c r="R181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C25" i="19"/>
  <c r="C21" i="19"/>
  <c r="C3" i="19"/>
  <c r="C9" i="20" s="1"/>
  <c r="J19" i="18"/>
  <c r="T11" i="20"/>
  <c r="H23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Q23" i="19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E28" i="19" l="1"/>
  <c r="F151" i="3"/>
  <c r="K183" i="3"/>
  <c r="T241" i="3"/>
  <c r="H19" i="19"/>
  <c r="U122" i="3"/>
  <c r="N19" i="19"/>
  <c r="T123" i="3"/>
  <c r="W9" i="20"/>
  <c r="P27" i="19"/>
  <c r="M23" i="19"/>
  <c r="F152" i="3"/>
  <c r="M27" i="19"/>
  <c r="P9" i="20"/>
  <c r="M29" i="19"/>
  <c r="W27" i="19"/>
  <c r="G27" i="19"/>
  <c r="W23" i="19"/>
  <c r="M19" i="19"/>
  <c r="M9" i="20"/>
  <c r="W19" i="19"/>
  <c r="N27" i="19"/>
  <c r="N121" i="3"/>
  <c r="D123" i="3"/>
  <c r="N123" i="3"/>
  <c r="N122" i="3"/>
  <c r="F241" i="3"/>
  <c r="E27" i="19"/>
  <c r="E23" i="19"/>
  <c r="N9" i="20"/>
  <c r="L121" i="3"/>
  <c r="P121" i="3"/>
  <c r="P122" i="3"/>
  <c r="N29" i="19"/>
  <c r="M18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R10" i="5"/>
  <c r="Q10" i="5"/>
  <c r="P10" i="5"/>
  <c r="M10" i="5"/>
  <c r="J10" i="5"/>
  <c r="I10" i="5"/>
  <c r="H10" i="5"/>
  <c r="E10" i="5"/>
  <c r="B10" i="5" l="1"/>
  <c r="C10" i="5"/>
  <c r="K10" i="5"/>
  <c r="S10" i="5"/>
  <c r="D10" i="5"/>
  <c r="L10" i="5"/>
  <c r="T10" i="5"/>
  <c r="F10" i="5"/>
  <c r="V10" i="5"/>
  <c r="N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84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5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3" i="9" l="1"/>
  <c r="W45" i="9"/>
  <c r="I84" i="4"/>
  <c r="Q84" i="4"/>
  <c r="W61" i="9"/>
  <c r="W58" i="9"/>
  <c r="R60" i="7"/>
  <c r="F84" i="4"/>
  <c r="W59" i="9"/>
  <c r="W56" i="9"/>
  <c r="W62" i="9"/>
  <c r="Q75" i="7"/>
  <c r="W64" i="9"/>
  <c r="H60" i="7"/>
  <c r="H59" i="7" s="1"/>
  <c r="W57" i="9"/>
  <c r="N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56" i="4" s="1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92" i="6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9" i="5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8" i="5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59" i="4"/>
  <c r="R257" i="4"/>
  <c r="F170" i="4"/>
  <c r="F57" i="6"/>
  <c r="F199" i="7" s="1"/>
  <c r="F251" i="4"/>
  <c r="P170" i="4"/>
  <c r="P57" i="6"/>
  <c r="P199" i="7" s="1"/>
  <c r="F177" i="4"/>
  <c r="F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92" i="6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103" i="6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U170" i="4"/>
  <c r="K177" i="4"/>
  <c r="K64" i="6"/>
  <c r="K206" i="7" s="1"/>
  <c r="H184" i="4"/>
  <c r="H77" i="5"/>
  <c r="H132" i="7" s="1"/>
  <c r="R184" i="4"/>
  <c r="R77" i="5"/>
  <c r="R132" i="7" s="1"/>
  <c r="G77" i="6"/>
  <c r="G83" i="5"/>
  <c r="V190" i="4"/>
  <c r="V77" i="6"/>
  <c r="V219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105" i="6"/>
  <c r="O219" i="4"/>
  <c r="O106" i="6"/>
  <c r="O112" i="5"/>
  <c r="F58" i="4"/>
  <c r="F13" i="7"/>
  <c r="O20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64" i="6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S47" i="7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177" i="4"/>
  <c r="Q64" i="6"/>
  <c r="Q206" i="7" s="1"/>
  <c r="V46" i="4"/>
  <c r="N71" i="6"/>
  <c r="N265" i="4"/>
  <c r="N77" i="5"/>
  <c r="O77" i="6"/>
  <c r="O271" i="4"/>
  <c r="O83" i="5"/>
  <c r="H58" i="4"/>
  <c r="I58" i="4"/>
  <c r="I4" i="7" s="1"/>
  <c r="I13" i="7"/>
  <c r="R73" i="4"/>
  <c r="R19" i="7" s="1"/>
  <c r="R20" i="7"/>
  <c r="G112" i="4"/>
  <c r="N250" i="4"/>
  <c r="E252" i="4"/>
  <c r="O109" i="5"/>
  <c r="V83" i="6"/>
  <c r="Q102" i="6"/>
  <c r="M216" i="4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T125" i="6" l="1"/>
  <c r="J18" i="6"/>
  <c r="J55" i="6" s="1"/>
  <c r="Q125" i="7"/>
  <c r="J127" i="4"/>
  <c r="J46" i="7" s="1"/>
  <c r="N18" i="5"/>
  <c r="C206" i="7"/>
  <c r="S218" i="4"/>
  <c r="H216" i="4"/>
  <c r="Q205" i="4"/>
  <c r="R255" i="4"/>
  <c r="K18" i="5"/>
  <c r="Q18" i="5"/>
  <c r="C177" i="4"/>
  <c r="S26" i="4"/>
  <c r="R249" i="4"/>
  <c r="R261" i="4"/>
  <c r="U206" i="7"/>
  <c r="R61" i="5"/>
  <c r="J112" i="4"/>
  <c r="R13" i="7"/>
  <c r="P70" i="5"/>
  <c r="R258" i="4"/>
  <c r="R263" i="4"/>
  <c r="R58" i="4"/>
  <c r="I199" i="4"/>
  <c r="R251" i="4"/>
  <c r="B184" i="4"/>
  <c r="P64" i="6"/>
  <c r="R177" i="4"/>
  <c r="R250" i="4"/>
  <c r="R260" i="4"/>
  <c r="M64" i="6"/>
  <c r="M206" i="7" s="1"/>
  <c r="B77" i="5"/>
  <c r="B132" i="7" s="1"/>
  <c r="U125" i="7"/>
  <c r="R253" i="4"/>
  <c r="B207" i="4"/>
  <c r="M200" i="4"/>
  <c r="R252" i="4"/>
  <c r="R262" i="4"/>
  <c r="C118" i="6"/>
  <c r="D47" i="6"/>
  <c r="J47" i="7"/>
  <c r="B98" i="5"/>
  <c r="R254" i="4"/>
  <c r="B71" i="6"/>
  <c r="B213" i="7" s="1"/>
  <c r="D71" i="6"/>
  <c r="D213" i="7" s="1"/>
  <c r="B73" i="4"/>
  <c r="B19" i="7" s="1"/>
  <c r="N112" i="4"/>
  <c r="N31" i="7" s="1"/>
  <c r="R59" i="7"/>
  <c r="R127" i="4"/>
  <c r="R46" i="7" s="1"/>
  <c r="C58" i="4"/>
  <c r="C4" i="7" s="1"/>
  <c r="Q59" i="7"/>
  <c r="U59" i="7"/>
  <c r="T73" i="4"/>
  <c r="Q215" i="4"/>
  <c r="J219" i="7"/>
  <c r="I64" i="6"/>
  <c r="I206" i="7" s="1"/>
  <c r="Q117" i="5"/>
  <c r="T111" i="6"/>
  <c r="J251" i="4"/>
  <c r="U98" i="5"/>
  <c r="U73" i="4"/>
  <c r="J213" i="7"/>
  <c r="U118" i="7"/>
  <c r="I59" i="7"/>
  <c r="T184" i="4"/>
  <c r="J254" i="4"/>
  <c r="M47" i="7"/>
  <c r="B88" i="6"/>
  <c r="I88" i="6"/>
  <c r="O207" i="4"/>
  <c r="G184" i="4"/>
  <c r="E184" i="4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57" i="4" s="1"/>
  <c r="J3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F111" i="4"/>
  <c r="F30" i="7" s="1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97" i="4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H19" i="4"/>
  <c r="H242" i="4" s="1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F19" i="4"/>
  <c r="F238" i="4" s="1"/>
  <c r="E19" i="4"/>
  <c r="E238" i="4" s="1"/>
  <c r="K217" i="4" l="1"/>
  <c r="G98" i="6"/>
  <c r="I90" i="5"/>
  <c r="N111" i="4"/>
  <c r="N30" i="7" s="1"/>
  <c r="J183" i="4"/>
  <c r="N97" i="5"/>
  <c r="U57" i="4"/>
  <c r="U3" i="7" s="1"/>
  <c r="S19" i="4"/>
  <c r="N57" i="4"/>
  <c r="E84" i="6"/>
  <c r="K163" i="4"/>
  <c r="K90" i="5"/>
  <c r="D91" i="6"/>
  <c r="R17" i="6"/>
  <c r="R136" i="6" s="1"/>
  <c r="E197" i="4"/>
  <c r="G183" i="4"/>
  <c r="Q90" i="5"/>
  <c r="K84" i="6"/>
  <c r="D204" i="4"/>
  <c r="C61" i="5"/>
  <c r="Q84" i="6"/>
  <c r="N91" i="6"/>
  <c r="K110" i="5"/>
  <c r="N204" i="4"/>
  <c r="E4" i="4"/>
  <c r="Q211" i="4"/>
  <c r="Q150" i="4"/>
  <c r="C258" i="4"/>
  <c r="C111" i="4"/>
  <c r="C30" i="7" s="1"/>
  <c r="D57" i="4"/>
  <c r="D3" i="7" s="1"/>
  <c r="I84" i="6"/>
  <c r="B110" i="5"/>
  <c r="I197" i="4"/>
  <c r="B104" i="6"/>
  <c r="B164" i="5"/>
  <c r="B217" i="4"/>
  <c r="S17" i="5"/>
  <c r="S147" i="5" s="1"/>
  <c r="O111" i="4"/>
  <c r="O30" i="7" s="1"/>
  <c r="B19" i="4"/>
  <c r="B239" i="4" s="1"/>
  <c r="P3" i="7"/>
  <c r="P167" i="4"/>
  <c r="C157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2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1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49" i="6"/>
  <c r="H146" i="6"/>
  <c r="H148" i="6"/>
  <c r="H156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8" i="5"/>
  <c r="J155" i="5"/>
  <c r="J161" i="5"/>
  <c r="J152" i="5"/>
  <c r="J153" i="5"/>
  <c r="K17" i="6"/>
  <c r="K151" i="6" s="1"/>
  <c r="N17" i="6"/>
  <c r="N136" i="6" s="1"/>
  <c r="N55" i="6"/>
  <c r="T57" i="4"/>
  <c r="T3" i="7" s="1"/>
  <c r="F76" i="5"/>
  <c r="I70" i="6"/>
  <c r="H151" i="6"/>
  <c r="E17" i="6"/>
  <c r="E136" i="6" s="1"/>
  <c r="E55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42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245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246" i="4" l="1"/>
  <c r="S242" i="4"/>
  <c r="S97" i="6"/>
  <c r="S103" i="5"/>
  <c r="S238" i="4"/>
  <c r="S154" i="5"/>
  <c r="S156" i="4"/>
  <c r="Q246" i="4"/>
  <c r="S239" i="4"/>
  <c r="S241" i="4"/>
  <c r="Q241" i="4"/>
  <c r="I141" i="4"/>
  <c r="S244" i="4"/>
  <c r="Q237" i="4"/>
  <c r="S243" i="4"/>
  <c r="H152" i="6"/>
  <c r="H160" i="6"/>
  <c r="S237" i="4"/>
  <c r="S240" i="4"/>
  <c r="U60" i="5"/>
  <c r="S210" i="4"/>
  <c r="S245" i="4"/>
  <c r="S160" i="5"/>
  <c r="R147" i="6"/>
  <c r="H139" i="6"/>
  <c r="H135" i="6"/>
  <c r="R137" i="6"/>
  <c r="H136" i="6"/>
  <c r="H140" i="6"/>
  <c r="H137" i="6"/>
  <c r="R155" i="6"/>
  <c r="H155" i="6"/>
  <c r="H154" i="6"/>
  <c r="R141" i="6"/>
  <c r="H145" i="6"/>
  <c r="R153" i="6"/>
  <c r="H158" i="6"/>
  <c r="H147" i="6"/>
  <c r="R135" i="6"/>
  <c r="R152" i="6"/>
  <c r="H159" i="6"/>
  <c r="S155" i="5"/>
  <c r="S159" i="5"/>
  <c r="S150" i="5"/>
  <c r="S164" i="5"/>
  <c r="S161" i="5"/>
  <c r="S153" i="5"/>
  <c r="S156" i="5"/>
  <c r="J144" i="5"/>
  <c r="S144" i="5"/>
  <c r="S142" i="5"/>
  <c r="S143" i="5"/>
  <c r="S145" i="5"/>
  <c r="J159" i="5"/>
  <c r="S141" i="5"/>
  <c r="S166" i="5"/>
  <c r="S151" i="5"/>
  <c r="J146" i="5"/>
  <c r="S158" i="5"/>
  <c r="S162" i="5"/>
  <c r="I224" i="4"/>
  <c r="Q240" i="4"/>
  <c r="B238" i="4"/>
  <c r="I226" i="4"/>
  <c r="B103" i="5"/>
  <c r="R154" i="6"/>
  <c r="R148" i="6"/>
  <c r="R151" i="6"/>
  <c r="B237" i="4"/>
  <c r="B97" i="6"/>
  <c r="Q242" i="4"/>
  <c r="Q103" i="5"/>
  <c r="I223" i="4"/>
  <c r="G88" i="5"/>
  <c r="P103" i="5"/>
  <c r="B246" i="4"/>
  <c r="B210" i="4"/>
  <c r="R159" i="6"/>
  <c r="R139" i="6"/>
  <c r="I233" i="4"/>
  <c r="B242" i="4"/>
  <c r="I235" i="4"/>
  <c r="P246" i="4"/>
  <c r="G228" i="4"/>
  <c r="U54" i="6"/>
  <c r="B241" i="4"/>
  <c r="B156" i="4"/>
  <c r="D167" i="4"/>
  <c r="R140" i="6"/>
  <c r="R146" i="6"/>
  <c r="R145" i="6"/>
  <c r="S148" i="5"/>
  <c r="G222" i="4"/>
  <c r="Q245" i="4"/>
  <c r="I88" i="5"/>
  <c r="M242" i="4"/>
  <c r="Q238" i="4"/>
  <c r="B243" i="4"/>
  <c r="R143" i="6"/>
  <c r="R156" i="6"/>
  <c r="V147" i="5"/>
  <c r="R158" i="6"/>
  <c r="S157" i="5"/>
  <c r="S165" i="5"/>
  <c r="S146" i="5"/>
  <c r="I236" i="4"/>
  <c r="B244" i="4"/>
  <c r="Q97" i="6"/>
  <c r="E167" i="4"/>
  <c r="Q239" i="4"/>
  <c r="Q210" i="4"/>
  <c r="Q243" i="4"/>
  <c r="Q156" i="4"/>
  <c r="B240" i="4"/>
  <c r="I195" i="4"/>
  <c r="M239" i="4"/>
  <c r="R138" i="6"/>
  <c r="R54" i="6"/>
  <c r="R149" i="6"/>
  <c r="R160" i="6"/>
  <c r="S149" i="5"/>
  <c r="S16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24" i="5"/>
  <c r="L111" i="6"/>
  <c r="L131" i="6"/>
  <c r="L18" i="5"/>
  <c r="L17" i="5" s="1"/>
  <c r="L144" i="5" s="1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S25" i="8" l="1"/>
  <c r="K25" i="8"/>
  <c r="O14" i="8"/>
  <c r="O26" i="10" s="1"/>
  <c r="O61" i="8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V7" i="3"/>
  <c r="V219" i="3" s="1"/>
  <c r="U7" i="3"/>
  <c r="T7" i="3"/>
  <c r="S7" i="3"/>
  <c r="R7" i="3"/>
  <c r="V6" i="3"/>
  <c r="U6" i="3"/>
  <c r="T6" i="3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5" i="1"/>
  <c r="B11" i="1"/>
  <c r="B18" i="1"/>
  <c r="B7" i="1"/>
  <c r="B16" i="1"/>
  <c r="B22" i="1"/>
  <c r="B12" i="1"/>
  <c r="B21" i="1"/>
  <c r="B8" i="1"/>
  <c r="B9" i="1"/>
  <c r="B4" i="1"/>
  <c r="B20" i="1"/>
  <c r="B13" i="1"/>
  <c r="B17" i="1"/>
  <c r="B6" i="1"/>
  <c r="T218" i="3" l="1"/>
  <c r="R220" i="3"/>
  <c r="V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K189" i="3" s="1"/>
  <c r="C38" i="3"/>
  <c r="C190" i="3" s="1"/>
  <c r="K38" i="3"/>
  <c r="C49" i="3"/>
  <c r="K49" i="3"/>
  <c r="C50" i="3"/>
  <c r="K50" i="3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D221" i="3" s="1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N221" i="3" l="1"/>
  <c r="H221" i="3"/>
  <c r="F221" i="3"/>
  <c r="M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86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2" i="3"/>
  <c r="I143" i="3"/>
  <c r="I14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1" i="3" l="1"/>
  <c r="I144" i="3"/>
  <c r="I199" i="3"/>
  <c r="I146" i="3"/>
  <c r="I15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17" i="12"/>
  <c r="B67" i="12" s="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R144" i="3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<sst xmlns="http://schemas.openxmlformats.org/spreadsheetml/2006/main" count="2655" uniqueCount="1167">
  <si>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</si>
  <si>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</si>
  <si>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</si>
  <si>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</si>
  <si>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</si>
  <si>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</si>
  <si>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</si>
  <si>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</si>
  <si>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</si>
  <si>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</si>
  <si>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</si>
  <si>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</si>
  <si>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</si>
  <si>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</si>
  <si>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</si>
  <si>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</si>
  <si>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</si>
  <si>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</si>
  <si>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</si>
  <si>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</si>
  <si>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</si>
  <si>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</si>
  <si>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</si>
  <si>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</si>
  <si>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</si>
  <si>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</si>
  <si>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</si>
  <si>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</si>
  <si>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</si>
  <si>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</si>
  <si>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</si>
  <si>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</si>
  <si>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</si>
  <si>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</si>
  <si>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</si>
  <si>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</si>
  <si>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</si>
  <si>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</si>
  <si>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</si>
  <si>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</si>
  <si>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</si>
  <si>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</si>
  <si>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</si>
  <si>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</si>
  <si>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</si>
  <si>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</si>
  <si>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</si>
  <si>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</si>
  <si>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</si>
  <si>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</si>
  <si>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</si>
  <si>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</si>
  <si>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</si>
  <si>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</si>
  <si>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</si>
  <si>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</si>
  <si>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</si>
  <si>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</si>
  <si>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</si>
  <si>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</si>
  <si>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</si>
  <si>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</si>
  <si>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</si>
  <si>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</si>
  <si>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</si>
  <si>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</si>
  <si>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</si>
  <si>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</si>
  <si>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</si>
  <si>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</si>
  <si>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</si>
  <si>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</si>
  <si>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</si>
  <si>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</si>
  <si>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</si>
  <si>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</si>
  <si>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</si>
  <si>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</si>
  <si>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</si>
  <si>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</si>
  <si>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</si>
  <si>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</si>
  <si>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</si>
  <si>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</si>
  <si>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</si>
  <si>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</si>
  <si>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</si>
  <si>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</si>
  <si>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</si>
  <si>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</si>
  <si>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</si>
  <si>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</si>
  <si>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</si>
  <si>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</si>
  <si>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</si>
  <si>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</si>
  <si>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</si>
  <si>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</si>
  <si>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</si>
  <si>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</si>
  <si>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</si>
  <si>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</si>
  <si>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</si>
  <si>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</si>
  <si>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</si>
  <si>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</si>
  <si>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</si>
  <si>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</si>
  <si>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</si>
  <si>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</si>
  <si>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</si>
  <si>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</si>
  <si>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</si>
  <si>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</si>
  <si>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</si>
  <si>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</si>
  <si>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</si>
  <si>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</si>
  <si>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</si>
  <si>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</si>
  <si>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</si>
  <si>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</si>
  <si>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</si>
  <si>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</si>
  <si>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</si>
  <si>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</si>
  <si>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</si>
  <si>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</si>
  <si>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</si>
  <si>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</si>
  <si>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</si>
  <si>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</si>
  <si>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</si>
  <si>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</si>
  <si>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</si>
  <si>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</si>
  <si>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</si>
  <si>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</si>
  <si>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</si>
  <si>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</si>
  <si>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</si>
  <si>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</si>
  <si>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</si>
  <si>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</si>
  <si>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</si>
  <si>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</si>
  <si>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</si>
  <si>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</si>
  <si>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</si>
  <si>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</si>
  <si>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</si>
  <si>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</si>
  <si>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</si>
  <si>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</si>
  <si>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</si>
  <si>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</si>
  <si>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</si>
  <si>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</si>
  <si>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</si>
  <si>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</si>
  <si>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</si>
  <si>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</si>
  <si>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</si>
  <si>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</si>
  <si>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</si>
  <si>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</si>
  <si>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</si>
  <si>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</si>
  <si>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</si>
  <si>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</si>
  <si>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</si>
  <si>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</si>
  <si>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</si>
  <si>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</si>
  <si>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</si>
  <si>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</si>
  <si>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</si>
  <si>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</si>
  <si>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</si>
  <si>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</si>
  <si>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</si>
  <si>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</si>
  <si>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</si>
  <si>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</si>
  <si>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</si>
  <si>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</si>
  <si>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PL</t>
  </si>
  <si>
    <t>Poland</t>
  </si>
  <si>
    <t>Aviation - PL - Poland</t>
  </si>
  <si>
    <t>Activity.Mpkm.PL.Tr.Avia.Passenger</t>
  </si>
  <si>
    <t>Activity.Mpkm.PL.Tr.Avia.Passenger.Domestic</t>
  </si>
  <si>
    <t>Activity.Mpkm.PL.Tr.Avia.Passenger.IntraEEAwUK</t>
  </si>
  <si>
    <t>Activity.Mpkm.PL.Tr.Avia.Passenger.ExtraEEAwUK</t>
  </si>
  <si>
    <t>Activity.Mtkm.PL.Tr.Avia.Freight</t>
  </si>
  <si>
    <t>Activity.Mtkm.PL.Tr.Avia.Freight.Domestic</t>
  </si>
  <si>
    <t>Activity.Mtkm.PL.Tr.Avia.Freight.IntraEEAwUK</t>
  </si>
  <si>
    <t>Activity.Mtkm.PL.Tr.Avia.Freight.ExtraEEAwUK</t>
  </si>
  <si>
    <t>VehicleKm.Mkm.PL.Tr.Avia</t>
  </si>
  <si>
    <t>VehicleKm.Mkm.PL.Tr.Avia.Passenger</t>
  </si>
  <si>
    <t>VehicleKm.Mkm.PL.Tr.Avia.Passenger.Domestic</t>
  </si>
  <si>
    <t>VehicleKm.Mkm.PL.Tr.Avia.Passenger.IntraEEAwUK</t>
  </si>
  <si>
    <t>VehicleKm.Mkm.PL.Tr.Avia.Passenger.ExtraEEAwUK</t>
  </si>
  <si>
    <t>VehicleKm.Mkm.PL.Tr.Avia.Freight</t>
  </si>
  <si>
    <t>VehicleKm.Mkm.PL.Tr.Avia.Freight.Domestic</t>
  </si>
  <si>
    <t>VehicleKm.Mkm.PL.Tr.Avia.Freight.IntraEEAwUK</t>
  </si>
  <si>
    <t>VehicleKm.Mkm.PL.Tr.Avia.Freight.ExtraEEAwUK</t>
  </si>
  <si>
    <t>Flights.number.PL.Tr.Avia</t>
  </si>
  <si>
    <t>Flights.number.PL.Tr.Avia.Passenger</t>
  </si>
  <si>
    <t>Flights.number.PL.Tr.Avia.Passenger.Domestic</t>
  </si>
  <si>
    <t>Flights.number.PL.Tr.Avia.Passenger.IntraEEAwUK</t>
  </si>
  <si>
    <t>Flights.number.PL.Tr.Avia.Passenger.ExtraEEAwUK</t>
  </si>
  <si>
    <t>Flights.number.PL.Tr.Avia.Freight</t>
  </si>
  <si>
    <t>Flights.number.PL.Tr.Avia.Freight.Domestic</t>
  </si>
  <si>
    <t>Flights.number.PL.Tr.Avia.Freight.IntraEEAwUK</t>
  </si>
  <si>
    <t>Flights.number.PL.Tr.Avia.Freight.ExtraEEAwUK</t>
  </si>
  <si>
    <t>VolCarried.passenger.PL.Tr.Avia.Passenger</t>
  </si>
  <si>
    <t>VolCarried.passenger.PL.Tr.Avia.Passenger.Domestic</t>
  </si>
  <si>
    <t>VolCarried.passenger.PL.Tr.Avia.Passenger.IntraEEAwUK</t>
  </si>
  <si>
    <t>VolCarried.passenger.PL.Tr.Avia.Passenger.ExtraEEAwUK</t>
  </si>
  <si>
    <t>VolCarried.t.PL.Tr.Avia.Freight</t>
  </si>
  <si>
    <t>VolCarried.t.PL.Tr.Avia.Freight.Domestic</t>
  </si>
  <si>
    <t>VolCarried.t.PL.Tr.Avia.Freight.IntraEEAwUK</t>
  </si>
  <si>
    <t>VolCarried.t.PL.Tr.Avia.Freight.ExtraEEAwUK</t>
  </si>
  <si>
    <t>Stock.number.PL.Tr.Avia</t>
  </si>
  <si>
    <t>Stock.number.PL.Tr.Avia.Passenger</t>
  </si>
  <si>
    <t>Stock.number.PL.Tr.Avia.Passenger.Domestic</t>
  </si>
  <si>
    <t>Stock.number.PL.Tr.Avia.Passenger.IntraEEAwUK</t>
  </si>
  <si>
    <t>Stock.number.PL.Tr.Avia.Passenger.ExtraEEAwUK</t>
  </si>
  <si>
    <t>Stock.number.PL.Tr.Avia.Freight</t>
  </si>
  <si>
    <t>Stock.number.PL.Tr.Avia.Freight.Domestic</t>
  </si>
  <si>
    <t>Stock.number.PL.Tr.Avia.Freight.IntraEEAwUK</t>
  </si>
  <si>
    <t>Stock.number.PL.Tr.Avia.Freight.ExtraEEAwUK</t>
  </si>
  <si>
    <t>StockNew.number.PL.Tr.Avia</t>
  </si>
  <si>
    <t>StockNew.number.PL.Tr.Avia.Passenger</t>
  </si>
  <si>
    <t>StockNew.number.PL.Tr.Avia.Passenger.Domestic</t>
  </si>
  <si>
    <t>StockNew.number.PL.Tr.Avia.Passenger.IntraEEAwUK</t>
  </si>
  <si>
    <t>StockNew.number.PL.Tr.Avia.Passenger.ExtraEEAwUK</t>
  </si>
  <si>
    <t>StockNew.number.PL.Tr.Avia.Freight</t>
  </si>
  <si>
    <t>StockNew.number.PL.Tr.Avia.Freight.Domestic</t>
  </si>
  <si>
    <t>StockNew.number.PL.Tr.Avia.Freight.IntraEEAwUK</t>
  </si>
  <si>
    <t>StockNew.number.PL.Tr.Avia.Freight.ExtraEEAwUK</t>
  </si>
  <si>
    <t>Load.passenger_per_movement.PL.Tr.Avia.Passenger</t>
  </si>
  <si>
    <t>Load.passenger_per_movement.PL.Tr.Avia.Passenger.Domestic</t>
  </si>
  <si>
    <t>Load.passenger_per_movement.PL.Tr.Avia.Passenger.IntraEEAwUK</t>
  </si>
  <si>
    <t>Load.passenger_per_movement.PL.Tr.Avia.Passenger.ExtraEEAwUK</t>
  </si>
  <si>
    <t>Load.t_per_movement.PL.Tr.Avia.Freight</t>
  </si>
  <si>
    <t>Load.t_per_movement.PL.Tr.Avia.Freight.Domestic</t>
  </si>
  <si>
    <t>Load.t_per_movement.PL.Tr.Avia.Freight.IntraEEAwUK</t>
  </si>
  <si>
    <t>Load.t_per_movement.PL.Tr.Avia.Freight.ExtraEEAwUK</t>
  </si>
  <si>
    <t>VehicleKm_per_flight.km.PL.Tr.Avia</t>
  </si>
  <si>
    <t>VehicleKm_per_flight.km.PL.Tr.Avia.Passenger</t>
  </si>
  <si>
    <t>VehicleKm_per_flight.km.PL.Tr.Avia.Passenger.Domestic</t>
  </si>
  <si>
    <t>VehicleKm_per_flight.km.PL.Tr.Avia.Passenger.IntraEEAwUK</t>
  </si>
  <si>
    <t>VehicleKm_per_flight.km.PL.Tr.Avia.Passenger.ExtraEEAwUK</t>
  </si>
  <si>
    <t>VehicleKm_per_flight.km.PL.Tr.Avia.Freight</t>
  </si>
  <si>
    <t>VehicleKm_per_flight.km.PL.Tr.Avia.Freight.Domestic</t>
  </si>
  <si>
    <t>VehicleKm_per_flight.km.PL.Tr.Avia.Freight.IntraEEAwUK</t>
  </si>
  <si>
    <t>VehicleKm_per_flight.km.PL.Tr.Avia.Freight.ExtraEEAwUK</t>
  </si>
  <si>
    <t>Activity_per_flight.pkm.PL.Tr.Avia.Passenger</t>
  </si>
  <si>
    <t>Activity_per_flight.pkm.PL.Tr.Avia.Passenger.Domestic</t>
  </si>
  <si>
    <t>Activity_per_flight.pkm.PL.Tr.Avia.Passenger.IntraEEAwUK</t>
  </si>
  <si>
    <t>Activity_per_flight.pkm.PL.Tr.Avia.Passenger.ExtraEEAwUK</t>
  </si>
  <si>
    <t>Activity_per_flight.tkm.PL.Tr.Avia.Freight</t>
  </si>
  <si>
    <t>Activity_per_flight.tkm.PL.Tr.Avia.Freight.Domestic</t>
  </si>
  <si>
    <t>Activity_per_flight.tkm.PL.Tr.Avia.Freight.IntraEEAwUK</t>
  </si>
  <si>
    <t>Activity_per_flight.tkm.PL.Tr.Avia.Freight.ExtraEEAwUK</t>
  </si>
  <si>
    <t>Flights_per_vehicle.number.PL.Tr.Avia</t>
  </si>
  <si>
    <t>Flights_per_vehicle.number.PL.Tr.Avia.Passenger</t>
  </si>
  <si>
    <t>Flights_per_vehicle.number.PL.Tr.Avia.Passenger.Domestic</t>
  </si>
  <si>
    <t>Flights_per_vehicle.number.PL.Tr.Avia.Passenger.IntraEEAwUK</t>
  </si>
  <si>
    <t>Flights_per_vehicle.number.PL.Tr.Avia.Passenger.ExtraEEAwUK</t>
  </si>
  <si>
    <t>Flights_per_vehicle.number.PL.Tr.Avia.Freight</t>
  </si>
  <si>
    <t>Flights_per_vehicle.number.PL.Tr.Avia.Freight.Domestic</t>
  </si>
  <si>
    <t>Flights_per_vehicle.number.PL.Tr.Avia.Freight.IntraEEAwUK</t>
  </si>
  <si>
    <t>Flights_per_vehicle.number.PL.Tr.Avia.Freight.ExtraEEAwUK</t>
  </si>
  <si>
    <t>Aviation / energy consumption - PL - Poland</t>
  </si>
  <si>
    <t>FEC.ktoe.PL.Tr.Avia</t>
  </si>
  <si>
    <t>FEC.ktoe.PL.Tr.Avia.Domestic</t>
  </si>
  <si>
    <t>FEC.ktoe.PL.Tr.Avia.International</t>
  </si>
  <si>
    <t>FEC.ktoe.PL.Tr.Avia.Passenger</t>
  </si>
  <si>
    <t>FEC.ktoe.PL.Tr.Avia.Passenger.Domestic</t>
  </si>
  <si>
    <t>FEC.ktoe.PL.Tr.Avia.Passenger.IntraEEAwUK</t>
  </si>
  <si>
    <t>FEC.ktoe.PL.Tr.Avia.Passenger.ExtraEEAwUK</t>
  </si>
  <si>
    <t>FEC.ktoe.PL.Tr.Avia.Freight</t>
  </si>
  <si>
    <t>FEC.ktoe.PL.Tr.Avia.Freight.Domestic</t>
  </si>
  <si>
    <t>FEC.ktoe.PL.Tr.Avia.Freight.IntraEEAwUK</t>
  </si>
  <si>
    <t>FEC.ktoe.PL.Tr.Avia.Freight.ExtraEEAwUK</t>
  </si>
  <si>
    <t>Eff.kgoe_per_100km.PL.Tr.Avia</t>
  </si>
  <si>
    <t>Eff.kgoe_per_100km.PL.Tr.Avia.Passenger</t>
  </si>
  <si>
    <t>Eff.kgoe_per_100km.PL.Tr.Avia.Passenger.Domestic</t>
  </si>
  <si>
    <t>Eff.kgoe_per_100km.PL.Tr.Avia.Passenger.IntraEEAwUK</t>
  </si>
  <si>
    <t>Eff.kgoe_per_100km.PL.Tr.Avia.Passenger.ExtraEEAwUK</t>
  </si>
  <si>
    <t>Eff.kgoe_per_100km.PL.Tr.Avia.Freight</t>
  </si>
  <si>
    <t>Eff.kgoe_per_100km.PL.Tr.Avia.Freight.Domestic</t>
  </si>
  <si>
    <t>Eff.kgoe_per_100km.PL.Tr.Avia.Freight.IntraEEAwUK</t>
  </si>
  <si>
    <t>Eff.kgoe_per_100km.PL.Tr.Avia.Freight.ExtraEEAwUK</t>
  </si>
  <si>
    <t>Eff.kgoe_per_kpkm.PL.Tr.Avia.Passenger</t>
  </si>
  <si>
    <t>Eff.kgoe_per_kpkm.PL.Tr.Avia.Passenger.Domestic</t>
  </si>
  <si>
    <t>Eff.kgoe_per_kpkm.PL.Tr.Avia.Passenger.IntraEEAwUK</t>
  </si>
  <si>
    <t>Eff.kgoe_per_kpkm.PL.Tr.Avia.Passenger.ExtraEEAwUK</t>
  </si>
  <si>
    <t>Eff.kgoe_per_ktkm.PL.Tr.Avia.Freight</t>
  </si>
  <si>
    <t>Eff.kgoe_per_ktkm.PL.Tr.Avia.Freight.Domestic</t>
  </si>
  <si>
    <t>Eff.kgoe_per_ktkm.PL.Tr.Avia.Freight.IntraEEAwUK</t>
  </si>
  <si>
    <t>Eff.kgoe_per_ktkm.PL.Tr.Avia.Freight.ExtraEEAwUK</t>
  </si>
  <si>
    <t>FEC_per_flight.kgoe.PL.Tr.Avia</t>
  </si>
  <si>
    <t>FEC_per_flight.kgoe.PL.Tr.Avia.Passenger</t>
  </si>
  <si>
    <t>FEC_per_flight.kgoe.PL.Tr.Avia.Passenger.Domestic</t>
  </si>
  <si>
    <t>FEC_per_flight.kgoe.PL.Tr.Avia.Passenger.IntraEEAwUK</t>
  </si>
  <si>
    <t>FEC_per_flight.kgoe.PL.Tr.Avia.Passenger.ExtraEEAwUK</t>
  </si>
  <si>
    <t>FEC_per_flight.kgoe.PL.Tr.Avia.Freight</t>
  </si>
  <si>
    <t>FEC_per_flight.kgoe.PL.Tr.Avia.Freight.Domestic</t>
  </si>
  <si>
    <t>FEC_per_flight.kgoe.PL.Tr.Avia.Freight.IntraEEAwUK</t>
  </si>
  <si>
    <t>FEC_per_flight.kgoe.PL.Tr.Avia.Freight.ExtraEEAwUK</t>
  </si>
  <si>
    <t>Eff_theor.kgoe_per_100km.PL.Tr.Avia</t>
  </si>
  <si>
    <t>Eff_theor.kgoe_per_100km.PL.Tr.Avia.Passenger</t>
  </si>
  <si>
    <t>Eff_theor.kgoe_per_100km.PL.Tr.Avia.Passenger.Domestic</t>
  </si>
  <si>
    <t>Eff_theor.kgoe_per_100km.PL.Tr.Avia.Passenger.IntraEEAwUK</t>
  </si>
  <si>
    <t>Eff_theor.kgoe_per_100km.PL.Tr.Avia.Passenger.ExtraEEAwUK</t>
  </si>
  <si>
    <t>Eff_theor.kgoe_per_100km.PL.Tr.Avia.Freight</t>
  </si>
  <si>
    <t>Eff_theor.kgoe_per_100km.PL.Tr.Avia.Freight.Domestic</t>
  </si>
  <si>
    <t>Eff_theor.kgoe_per_100km.PL.Tr.Avia.Freight.IntraEEAwUK</t>
  </si>
  <si>
    <t>Eff_theor.kgoe_per_100km.PL.Tr.Avia.Freight.ExtraEEAwUK</t>
  </si>
  <si>
    <t>Aviation / CO2 emissions - PL - Poland</t>
  </si>
  <si>
    <t>EMI.ktCO2.PL.Tr.Avia</t>
  </si>
  <si>
    <t>EMI.ktCO2.PL.Tr.Avia.Domestic</t>
  </si>
  <si>
    <t>EMI.ktCO2.PL.Tr.Avia.International</t>
  </si>
  <si>
    <t>EMI.ktCO2.PL.Tr.Avia.Passenger</t>
  </si>
  <si>
    <t>EMI.ktCO2.PL.Tr.Avia.Passenger.Domestic</t>
  </si>
  <si>
    <t>EMI.ktCO2.PL.Tr.Avia.Passenger.IntraEEAwUK</t>
  </si>
  <si>
    <t>EMI.ktCO2.PL.Tr.Avia.Passenger.ExtraEEAwUK</t>
  </si>
  <si>
    <t>EMI.ktCO2.PL.Tr.Avia.Freight</t>
  </si>
  <si>
    <t>EMI.ktCO2.PL.Tr.Avia.Freight.Domestic</t>
  </si>
  <si>
    <t>EMI.ktCO2.PL.Tr.Avia.Freight.IntraEEAwUK</t>
  </si>
  <si>
    <t>EMI.ktCO2.PL.Tr.Avia.Freight.ExtraEEAwUK</t>
  </si>
  <si>
    <t>EMIint.gCO2_per_km.PL.Tr.Avia</t>
  </si>
  <si>
    <t>EMIint.gCO2_per_km.PL.Tr.Avia.Passenger</t>
  </si>
  <si>
    <t>EMIint.gCO2_per_km.PL.Tr.Avia.Passenger.Domestic</t>
  </si>
  <si>
    <t>EMIint.gCO2_per_km.PL.Tr.Avia.Passenger.IntraEEAwUK</t>
  </si>
  <si>
    <t>EMIint.gCO2_per_km.PL.Tr.Avia.Passenger.ExtraEEAwUK</t>
  </si>
  <si>
    <t>EMIint.gCO2_per_km.PL.Tr.Avia.Freight</t>
  </si>
  <si>
    <t>EMIint.gCO2_per_km.PL.Tr.Avia.Freight.Domestic</t>
  </si>
  <si>
    <t>EMIint.gCO2_per_km.PL.Tr.Avia.Freight.IntraEEAwUK</t>
  </si>
  <si>
    <t>EMIint.gCO2_per_km.PL.Tr.Avia.Freight.ExtraEEAwUK</t>
  </si>
  <si>
    <t>EMIint.gCO2_per_pkm.PL.Tr.Avia.Passenger</t>
  </si>
  <si>
    <t>EMIint.gCO2_per_pkm.PL.Tr.Avia.Passenger.Domestic</t>
  </si>
  <si>
    <t>EMIint.gCO2_per_pkm.PL.Tr.Avia.Passenger.IntraEEAwUK</t>
  </si>
  <si>
    <t>EMIint.gCO2_per_pkm.PL.Tr.Avia.Passenger.ExtraEEAwUK</t>
  </si>
  <si>
    <t>EMIint.gCO2_per_tkm.PL.Tr.Avia.Freight</t>
  </si>
  <si>
    <t>EMIint.gCO2_per_tkm.PL.Tr.Avia.Freight.Domestic</t>
  </si>
  <si>
    <t>EMIint.gCO2_per_tkm.PL.Tr.Avia.Freight.IntraEEAwUK</t>
  </si>
  <si>
    <t>EMIint.gCO2_per_tkm.PL.Tr.Avia.Freight.ExtraEEAwUK</t>
  </si>
  <si>
    <t>EMI_per_flight.kgCO2.PL.Tr.Avia</t>
  </si>
  <si>
    <t>EMI_per_flight.kgCO2.PL.Tr.Avia.Passenger</t>
  </si>
  <si>
    <t>EMI_per_flight.kgCO2.PL.Tr.Avia.Passenger.Domestic</t>
  </si>
  <si>
    <t>EMI_per_flight.kgCO2.PL.Tr.Avia.Passenger.IntraEEAwUK</t>
  </si>
  <si>
    <t>EMI_per_flight.kgCO2.PL.Tr.Avia.Passenger.ExtraEEAwUK</t>
  </si>
  <si>
    <t>EMI_per_flight.kgCO2.PL.Tr.Avia.Freight</t>
  </si>
  <si>
    <t>EMI_per_flight.kgCO2.PL.Tr.Avia.Freight.Domestic</t>
  </si>
  <si>
    <t>EMI_per_flight.kgCO2.PL.Tr.Avia.Freight.IntraEEAwUK</t>
  </si>
  <si>
    <t>EMI_per_flight.kgCO2.PL.Tr.Avia.Freight.ExtraEEAwUK</t>
  </si>
  <si>
    <t>Aviation / passenger transport specific data - PL - Poland</t>
  </si>
  <si>
    <t>TrCap.seats.PL.Tr.Avia.Passenger</t>
  </si>
  <si>
    <t>TrCap.seats.PL.Tr.Avia.Passenger.Domestic</t>
  </si>
  <si>
    <t>TrCap.seats.PL.Tr.Avia.Passenger.IntraEEAwUK</t>
  </si>
  <si>
    <t>TrCap.seats.PL.Tr.Avia.Passenger.ExtraEEAwUK</t>
  </si>
  <si>
    <t>TrCap_per_flight.seats.PL.Tr.Avia.Passenger</t>
  </si>
  <si>
    <t>TrCap_per_flight.seats.PL.Tr.Avia.Passenger.Domestic</t>
  </si>
  <si>
    <t>TrCap_per_flight.seats.PL.Tr.Avia.Passenger.IntraEEAwUK</t>
  </si>
  <si>
    <t>TrCap_per_flight.seats.PL.Tr.Avia.Passenger.ExtraEEAwUK</t>
  </si>
  <si>
    <t>Transport overview - PL - Poland</t>
  </si>
  <si>
    <t>Activity.Mpkm.PL.Tr</t>
  </si>
  <si>
    <t>Activity.Mpkm.PL.Tr.Road.Passenger</t>
  </si>
  <si>
    <t>Activity.Mpkm.PL.Tr.Road.Passenger.P2W</t>
  </si>
  <si>
    <t>Activity.Mpkm.PL.Tr.Road.Passenger.Car</t>
  </si>
  <si>
    <t>Activity.Mpkm.PL.Tr.Road.Passenger.Bus</t>
  </si>
  <si>
    <t>Activity.Mpkm.PL.Tr.Rail.Passenger</t>
  </si>
  <si>
    <t>Activity.Mpkm.PL.Tr.Rail.Passenger.MTU</t>
  </si>
  <si>
    <t>Activity.Mpkm.PL.Tr.Rail.Passenger.CPT</t>
  </si>
  <si>
    <t>Activity.Mpkm.PL.Tr.Rail.Passenger.HST</t>
  </si>
  <si>
    <t>Activity.Mtkm.PL.Tr</t>
  </si>
  <si>
    <t>Activity.Mtkm.PL.Tr.Road.Freight</t>
  </si>
  <si>
    <t>Activity.Mtkm.PL.Tr.Road.Freight.LCV</t>
  </si>
  <si>
    <t>Activity.Mtkm.PL.Tr.Road.Freight.HGV</t>
  </si>
  <si>
    <t>Activity.Mtkm.PL.Tr.Rail.Freight</t>
  </si>
  <si>
    <t>Activity.Mtkm.PL.Tr.DNavi.Freight</t>
  </si>
  <si>
    <t>Activity.Mtkm.PL.Tr.DNavi.Freight.DCS</t>
  </si>
  <si>
    <t>Activity.Mtkm.PL.Tr.DNavi.Freight.IWW</t>
  </si>
  <si>
    <t>Activity.Mtkm.PL.MBunk.Freight</t>
  </si>
  <si>
    <t>Activity.Mtkm.PL.MBunk.Freight.IntraEEA</t>
  </si>
  <si>
    <t>Activity.Mtkm.PL.MBunk.Freight.ExtraEEA</t>
  </si>
  <si>
    <t>FEC.ktoe.PL.Tr.Road.Passenger</t>
  </si>
  <si>
    <t>FEC.ktoe.PL.Tr.Road.Passenger.P2W</t>
  </si>
  <si>
    <t>FEC.ktoe.PL.Tr.Road.Passenger.Car</t>
  </si>
  <si>
    <t>FEC.ktoe.PL.Tr.Road.Passenger.Bus</t>
  </si>
  <si>
    <t>FEC.ktoe.PL.Tr.Rail.Passenger</t>
  </si>
  <si>
    <t>FEC.ktoe.PL.Tr.Rail.Passenger.MTU</t>
  </si>
  <si>
    <t>FEC.ktoe.PL.Tr.Rail.Passenger.CPT</t>
  </si>
  <si>
    <t>FEC.ktoe.PL.Tr.Rail.Passenger.HST</t>
  </si>
  <si>
    <t>FEC.ktoe.PL.Tr.Road.Freight</t>
  </si>
  <si>
    <t>FEC.ktoe.PL.Tr.Road.Freight.LCV</t>
  </si>
  <si>
    <t>FEC.ktoe.PL.Tr.Road.Freight.HGV</t>
  </si>
  <si>
    <t>FEC.ktoe.PL.Tr.Rail.Freight</t>
  </si>
  <si>
    <t>EMI.ktCO2.PL.Tr.Road.Passenger</t>
  </si>
  <si>
    <t>EMI.ktCO2.PL.Tr.Road.Passenger.P2W</t>
  </si>
  <si>
    <t>EMI.ktCO2.PL.Tr.Road.Passenger.Car</t>
  </si>
  <si>
    <t>EMI.ktCO2.PL.Tr.Road.Passenger.Bus</t>
  </si>
  <si>
    <t>EMI.ktCO2.PL.Tr.Rail.Passenger</t>
  </si>
  <si>
    <t>EMI.ktCO2.PL.Tr.Rail.Passenger.MTU</t>
  </si>
  <si>
    <t>EMI.ktCO2.PL.Tr.Rail.Passenger.CPT</t>
  </si>
  <si>
    <t>EMI.ktCO2.PL.Tr.Rail.Passenger.HST</t>
  </si>
  <si>
    <t>EMI.ktCO2.PL.Tr.Road.Freight</t>
  </si>
  <si>
    <t>EMI.ktCO2.PL.Tr.Road.Freight.LCV</t>
  </si>
  <si>
    <t>EMI.ktCO2.PL.Tr.Road.Freight.HGV</t>
  </si>
  <si>
    <t>EMI.ktCO2.PL.Tr.Rail.Freight</t>
  </si>
  <si>
    <t>Eff.kgoe_per_kpkm.PL.Tr</t>
  </si>
  <si>
    <t>Eff.kgoe_per_kpkm.PL.Tr.Road.Passenger</t>
  </si>
  <si>
    <t>Eff.kgoe_per_kpkm.PL.Tr.Road.Passenger.P2W</t>
  </si>
  <si>
    <t>Eff.kgoe_per_kpkm.PL.Tr.Road.Passenger.Car</t>
  </si>
  <si>
    <t>Eff.kgoe_per_kpkm.PL.Tr.Road.Passenger.Bus</t>
  </si>
  <si>
    <t>Eff.kgoe_per_kpkm.PL.Tr.Rail.Passenger</t>
  </si>
  <si>
    <t>Eff.kgoe_per_kpkm.PL.Tr.Rail.Passenger.MTU</t>
  </si>
  <si>
    <t>Eff.kgoe_per_kpkm.PL.Tr.Rail.Passenger.CPT</t>
  </si>
  <si>
    <t>Eff.kgoe_per_kpkm.PL.Tr.Rail.Passenger.HST</t>
  </si>
  <si>
    <t>Eff.kgoe_per_ktkm.PL.Tr</t>
  </si>
  <si>
    <t>Eff.kgoe_per_ktkm.PL.Tr.Road.Freight</t>
  </si>
  <si>
    <t>Eff.kgoe_per_ktkm.PL.Tr.Road.Freight.LCV</t>
  </si>
  <si>
    <t>Eff.kgoe_per_ktkm.PL.Tr.Road.Freight.HGV</t>
  </si>
  <si>
    <t>Eff.kgoe_per_ktkm.PL.Tr.Rail.Freight</t>
  </si>
  <si>
    <t>Eff.kgoe_per_ktkm.PL.Tr.DNavi.Freight</t>
  </si>
  <si>
    <t>Eff.kgoe_per_ktkm.PL.Tr.DNavi.Freight.DCS</t>
  </si>
  <si>
    <t>Eff.kgoe_per_ktkm.PL.Tr.DNavi.Freight.IWW</t>
  </si>
  <si>
    <t>Eff.kgoe_per_ktkm.PL.MBunk.Freight</t>
  </si>
  <si>
    <t>Eff.kgoe_per_ktkm.PL.MBunk.Freight.IntraEEA</t>
  </si>
  <si>
    <t>Eff.kgoe_per_ktkm.PL.MBunk.Freight.ExtraEEA</t>
  </si>
  <si>
    <t>EMIint.gCO2_per_pkm.PL.Tr</t>
  </si>
  <si>
    <t>EMIint.gCO2_per_pkm.PL.Tr.Road.Passenger</t>
  </si>
  <si>
    <t>EMIint.gCO2_per_pkm.PL.Tr.Road.Passenger.P2W</t>
  </si>
  <si>
    <t>EMIint.gCO2_per_pkm.PL.Tr.Road.Passenger.Car</t>
  </si>
  <si>
    <t>EMIint.gCO2_per_pkm.PL.Tr.Road.Passenger.Bus</t>
  </si>
  <si>
    <t>EMIint.gCO2_per_pkm.PL.Tr.Rail.Passenger</t>
  </si>
  <si>
    <t>EMIint.gCO2_per_pkm.PL.Tr.Rail.Passenger.MTU</t>
  </si>
  <si>
    <t>EMIint.gCO2_per_pkm.PL.Tr.Rail.Passenger.CPT</t>
  </si>
  <si>
    <t>EMIint.gCO2_per_pkm.PL.Tr.Rail.Passenger.HST</t>
  </si>
  <si>
    <t>EMIint.gCO2_per_tkm.PL.Tr</t>
  </si>
  <si>
    <t>EMIint.gCO2_per_tkm.PL.Tr.Road.Freight</t>
  </si>
  <si>
    <t>EMIint.gCO2_per_tkm.PL.Tr.Road.Freight.LCV</t>
  </si>
  <si>
    <t>EMIint.gCO2_per_tkm.PL.Tr.Road.Freight.HGV</t>
  </si>
  <si>
    <t>EMIint.gCO2_per_tkm.PL.Tr.Rail.Freight</t>
  </si>
  <si>
    <t>EMIint.gCO2_per_tkm.PL.Tr.DNavi.Freight</t>
  </si>
  <si>
    <t>EMIint.gCO2_per_tkm.PL.Tr.DNavi.Freight.DCS</t>
  </si>
  <si>
    <t>EMIint.gCO2_per_tkm.PL.Tr.DNavi.Freight.IWW</t>
  </si>
  <si>
    <t>EMIint.gCO2_per_tkm.PL.MBunk.Freight</t>
  </si>
  <si>
    <t>EMIint.gCO2_per_tkm.PL.MBunk.Freight.IntraEEA</t>
  </si>
  <si>
    <t>EMIint.gCO2_per_tkm.PL.MBunk.Freight.ExtraEEA</t>
  </si>
  <si>
    <t>Road transport - PL - Poland</t>
  </si>
  <si>
    <t>Activity.Mpkm.PL.Tr.Road.Passenger.Car.ICE.Gasoline</t>
  </si>
  <si>
    <t>Activity.Mpkm.PL.Tr.Road.Passenger.Car.ICE.Diesel</t>
  </si>
  <si>
    <t>Activity.Mpkm.PL.Tr.Road.Passenger.Car.ICE.LPG</t>
  </si>
  <si>
    <t>Activity.Mpkm.PL.Tr.Road.Passenger.Car.ICE.NGas</t>
  </si>
  <si>
    <t>Activity.Mpkm.PL.Tr.Road.Passenger.Car.PHEV</t>
  </si>
  <si>
    <t>Activity.Mpkm.PL.Tr.Road.Passenger.Car.BEV</t>
  </si>
  <si>
    <t>Activity.Mpkm.PL.Tr.Road.Passenger.Bus.ICE.Gasoline</t>
  </si>
  <si>
    <t>Activity.Mpkm.PL.Tr.Road.Passenger.Bus.ICE.Diesel</t>
  </si>
  <si>
    <t>Activity.Mpkm.PL.Tr.Road.Passenger.Bus.ICE.LPG</t>
  </si>
  <si>
    <t>Activity.Mpkm.PL.Tr.Road.Passenger.Bus.ICE.NGas</t>
  </si>
  <si>
    <t>Activity.Mpkm.PL.Tr.Road.Passenger.Bus.ICE.BEV</t>
  </si>
  <si>
    <t>Activity.Mtkm.PL.Tr.Road.Freight.LCV.ICE.Gasoline</t>
  </si>
  <si>
    <t>Activity.Mtkm.PL.Tr.Road.Freight.LCV.ICE.Diesel</t>
  </si>
  <si>
    <t>Activity.Mtkm.PL.Tr.Road.Freight.LCV.ICE.LPG</t>
  </si>
  <si>
    <t>Activity.Mtkm.PL.Tr.Road.Freight.LCV.ICE.NGas</t>
  </si>
  <si>
    <t>Activity.Mtkm.PL.Tr.Road.Freight.LCV.ICE.BEV</t>
  </si>
  <si>
    <t>Activity.Mtkm.PL.Tr.Road.Freight.HGV.Domestic</t>
  </si>
  <si>
    <t>Activity.Mtkm.PL.Tr.Road.Freight.HGV.International</t>
  </si>
  <si>
    <t>VehicleKm.Mkm.PL.Tr.Road</t>
  </si>
  <si>
    <t>VehicleKm.Mkm.PL.Tr.Road.Passenger</t>
  </si>
  <si>
    <t>VehicleKm.Mkm.PL.Tr.Road.Passenger.P2W</t>
  </si>
  <si>
    <t>VehicleKm.Mkm.PL.Tr.Road.Passenger.Car</t>
  </si>
  <si>
    <t>VehicleKm.Mkm.PL.Tr.Road.Passenger.Car.ICE.Gasoline</t>
  </si>
  <si>
    <t>VehicleKm.Mkm.PL.Tr.Road.Passenger.Car.ICE.Diesel</t>
  </si>
  <si>
    <t>VehicleKm.Mkm.PL.Tr.Road.Passenger.Car.ICE.LPG</t>
  </si>
  <si>
    <t>VehicleKm.Mkm.PL.Tr.Road.Passenger.Car.ICE.NGas</t>
  </si>
  <si>
    <t>VehicleKm.Mkm.PL.Tr.Road.Passenger.Car.PHEV</t>
  </si>
  <si>
    <t>VehicleKm.Mkm.PL.Tr.Road.Passenger.Car.BEV</t>
  </si>
  <si>
    <t>VehicleKm.Mkm.PL.Tr.Road.Passenger.Bus</t>
  </si>
  <si>
    <t>VehicleKm.Mkm.PL.Tr.Road.Passenger.Bus.ICE.Gasoline</t>
  </si>
  <si>
    <t>VehicleKm.Mkm.PL.Tr.Road.Passenger.Bus.ICE.Diesel</t>
  </si>
  <si>
    <t>VehicleKm.Mkm.PL.Tr.Road.Passenger.Bus.ICE.LPG</t>
  </si>
  <si>
    <t>VehicleKm.Mkm.PL.Tr.Road.Passenger.Bus.ICE.NGas</t>
  </si>
  <si>
    <t>VehicleKm.Mkm.PL.Tr.Road.Passenger.Bus.ICE.BEV</t>
  </si>
  <si>
    <t>VehicleKm.Mkm.PL.Tr.Road.Freight</t>
  </si>
  <si>
    <t>VehicleKm.Mkm.PL.Tr.Road.Freight.LCV</t>
  </si>
  <si>
    <t>VehicleKm.Mkm.PL.Tr.Road.Freight.LCV.ICE.Gasoline</t>
  </si>
  <si>
    <t>VehicleKm.Mkm.PL.Tr.Road.Freight.LCV.ICE.Diesel</t>
  </si>
  <si>
    <t>VehicleKm.Mkm.PL.Tr.Road.Freight.LCV.ICE.LPG</t>
  </si>
  <si>
    <t>VehicleKm.Mkm.PL.Tr.Road.Freight.LCV.ICE.NGas</t>
  </si>
  <si>
    <t>VehicleKm.Mkm.PL.Tr.Road.Freight.LCV.ICE.BEV</t>
  </si>
  <si>
    <t>VehicleKm.Mkm.PL.Tr.Road.Freight.HGV</t>
  </si>
  <si>
    <t>VehicleKm.Mkm.PL.Tr.Road.Freight.HGV.Domestic</t>
  </si>
  <si>
    <t>VehicleKm.Mkm.PL.Tr.Road.Freight.HGV.International</t>
  </si>
  <si>
    <t>Stock.number.PL.Tr.Road</t>
  </si>
  <si>
    <t>Stock.number.PL.Tr.Road.Passenger</t>
  </si>
  <si>
    <t>Stock.number.PL.Tr.Road.Passenger.P2W</t>
  </si>
  <si>
    <t>Stock.number.PL.Tr.Road.Passenger.Car</t>
  </si>
  <si>
    <t>Stock.number.PL.Tr.Road.Passenger.Car.ICE.Gasoline</t>
  </si>
  <si>
    <t>Stock.number.PL.Tr.Road.Passenger.Car.ICE.Diesel</t>
  </si>
  <si>
    <t>Stock.number.PL.Tr.Road.Passenger.Car.ICE.LPG</t>
  </si>
  <si>
    <t>Stock.number.PL.Tr.Road.Passenger.Car.ICE.NGas</t>
  </si>
  <si>
    <t>Stock.number.PL.Tr.Road.Passenger.Car.PHEV</t>
  </si>
  <si>
    <t>Stock.number.PL.Tr.Road.Passenger.Car.BEV</t>
  </si>
  <si>
    <t>Stock.number.PL.Tr.Road.Passenger.Bus</t>
  </si>
  <si>
    <t>Stock.number.PL.Tr.Road.Passenger.Bus.ICE.Gasoline</t>
  </si>
  <si>
    <t>Stock.number.PL.Tr.Road.Passenger.Bus.ICE.Diesel</t>
  </si>
  <si>
    <t>Stock.number.PL.Tr.Road.Passenger.Bus.ICE.LPG</t>
  </si>
  <si>
    <t>Stock.number.PL.Tr.Road.Passenger.Bus.ICE.NGas</t>
  </si>
  <si>
    <t>Stock.number.PL.Tr.Road.Passenger.Bus.ICE.BEV</t>
  </si>
  <si>
    <t>Stock.number.PL.Tr.Road.Freight</t>
  </si>
  <si>
    <t>Stock.number.PL.Tr.Road.Freight.LCV</t>
  </si>
  <si>
    <t>Stock.number.PL.Tr.Road.Freight.LCV.ICE.Gasoline</t>
  </si>
  <si>
    <t>Stock.number.PL.Tr.Road.Freight.LCV.ICE.Diesel</t>
  </si>
  <si>
    <t>Stock.number.PL.Tr.Road.Freight.LCV.ICE.LPG</t>
  </si>
  <si>
    <t>Stock.number.PL.Tr.Road.Freight.LCV.ICE.NGas</t>
  </si>
  <si>
    <t>Stock.number.PL.Tr.Road.Freight.LCV.ICE.BEV</t>
  </si>
  <si>
    <t>Stock.number.PL.Tr.Road.Freight.HGV</t>
  </si>
  <si>
    <t>Stock.number.PL.Tr.Road.Freight.HGV.Domestic</t>
  </si>
  <si>
    <t>Stock.number.PL.Tr.Road.Freight.HGV.International</t>
  </si>
  <si>
    <t>StockNew.number.PL.Tr.Road</t>
  </si>
  <si>
    <t>StockNew.number.PL.Tr.Road.Passenger</t>
  </si>
  <si>
    <t>StockNew.number.PL.Tr.Road.Passenger.P2W</t>
  </si>
  <si>
    <t>StockNew.number.PL.Tr.Road.Passenger.Car</t>
  </si>
  <si>
    <t>StockNew.number.PL.Tr.Road.Passenger.Car.ICE.Gasoline</t>
  </si>
  <si>
    <t>StockNew.number.PL.Tr.Road.Passenger.Car.ICE.Diesel</t>
  </si>
  <si>
    <t>StockNew.number.PL.Tr.Road.Passenger.Car.ICE.LPG</t>
  </si>
  <si>
    <t>StockNew.number.PL.Tr.Road.Passenger.Car.ICE.NGas</t>
  </si>
  <si>
    <t>StockNew.number.PL.Tr.Road.Passenger.Car.PHEV</t>
  </si>
  <si>
    <t>StockNew.number.PL.Tr.Road.Passenger.Car.BEV</t>
  </si>
  <si>
    <t>StockNew.number.PL.Tr.Road.Passenger.Bus</t>
  </si>
  <si>
    <t>StockNew.number.PL.Tr.Road.Passenger.Bus.ICE.Gasoline</t>
  </si>
  <si>
    <t>StockNew.number.PL.Tr.Road.Passenger.Bus.ICE.Diesel</t>
  </si>
  <si>
    <t>StockNew.number.PL.Tr.Road.Passenger.Bus.ICE.LPG</t>
  </si>
  <si>
    <t>StockNew.number.PL.Tr.Road.Passenger.Bus.ICE.NGas</t>
  </si>
  <si>
    <t>StockNew.number.PL.Tr.Road.Passenger.Bus.ICE.BEV</t>
  </si>
  <si>
    <t>StockNew.number.PL.Tr.Road.Freight</t>
  </si>
  <si>
    <t>StockNew.number.PL.Tr.Road.Freight.LCV</t>
  </si>
  <si>
    <t>StockNew.number.PL.Tr.Road.Freight.LCV.ICE.Gasoline</t>
  </si>
  <si>
    <t>StockNew.number.PL.Tr.Road.Freight.LCV.ICE.Diesel</t>
  </si>
  <si>
    <t>StockNew.number.PL.Tr.Road.Freight.LCV.ICE.LPG</t>
  </si>
  <si>
    <t>StockNew.number.PL.Tr.Road.Freight.LCV.ICE.NGas</t>
  </si>
  <si>
    <t>StockNew.number.PL.Tr.Road.Freight.LCV.ICE.BEV</t>
  </si>
  <si>
    <t>StockNew.number.PL.Tr.Road.Freight.HGV</t>
  </si>
  <si>
    <t>StockNew.number.PL.Tr.Road.Freight.HGV.Domestic</t>
  </si>
  <si>
    <t>StockNew.number.PL.Tr.Road.Freight.HGV.International</t>
  </si>
  <si>
    <t>Load.passenger_per_movement.PL.Tr.Road.Passenger</t>
  </si>
  <si>
    <t>Load.passenger_per_movement.PL.Tr.Road.Passenger.P2W</t>
  </si>
  <si>
    <t>Load.passenger_per_movement.PL.Tr.Road.Passenger.Car</t>
  </si>
  <si>
    <t>Load.passenger_per_movement.PL.Tr.Road.Passenger.Car.ICE.Gasoline</t>
  </si>
  <si>
    <t>Load.passenger_per_movement.PL.Tr.Road.Passenger.Car.ICE.Diesel</t>
  </si>
  <si>
    <t>Load.passenger_per_movement.PL.Tr.Road.Passenger.Car.ICE.LPG</t>
  </si>
  <si>
    <t>Load.passenger_per_movement.PL.Tr.Road.Passenger.Car.ICE.NGas</t>
  </si>
  <si>
    <t>Load.passenger_per_movement.PL.Tr.Road.Passenger.Car.PHEV</t>
  </si>
  <si>
    <t>Load.passenger_per_movement.PL.Tr.Road.Passenger.Car.BEV</t>
  </si>
  <si>
    <t>Load.passenger_per_movement.PL.Tr.Road.Passenger.Bus</t>
  </si>
  <si>
    <t>Load.passenger_per_movement.PL.Tr.Road.Passenger.Bus.ICE.Gasoline</t>
  </si>
  <si>
    <t>Load.passenger_per_movement.PL.Tr.Road.Passenger.Bus.ICE.Diesel</t>
  </si>
  <si>
    <t>Load.passenger_per_movement.PL.Tr.Road.Passenger.Bus.ICE.LPG</t>
  </si>
  <si>
    <t>Load.passenger_per_movement.PL.Tr.Road.Passenger.Bus.ICE.NGas</t>
  </si>
  <si>
    <t>Load.passenger_per_movement.PL.Tr.Road.Passenger.Bus.ICE.BEV</t>
  </si>
  <si>
    <t>Load.t_per_movement.PL.Tr.Road.Freight</t>
  </si>
  <si>
    <t>Load.t_per_movement.PL.Tr.Road.Freight.LCV</t>
  </si>
  <si>
    <t>Load.t_per_movement.PL.Tr.Road.Freight.LCV.ICE.Gasoline</t>
  </si>
  <si>
    <t>Load.t_per_movement.PL.Tr.Road.Freight.LCV.ICE.Diesel</t>
  </si>
  <si>
    <t>Load.t_per_movement.PL.Tr.Road.Freight.LCV.ICE.LPG</t>
  </si>
  <si>
    <t>Load.t_per_movement.PL.Tr.Road.Freight.LCV.ICE.NGas</t>
  </si>
  <si>
    <t>Load.t_per_movement.PL.Tr.Road.Freight.LCV.ICE.BEV</t>
  </si>
  <si>
    <t>Load.t_per_movement.PL.Tr.Road.Freight.HGV</t>
  </si>
  <si>
    <t>Load.t_per_movement.PL.Tr.Road.Freight.HGV.Domestic</t>
  </si>
  <si>
    <t>Load.t_per_movement.PL.Tr.Road.Freight.HGV.International</t>
  </si>
  <si>
    <t>VehicleKm_per_vehicle.km.PL.Tr.Road</t>
  </si>
  <si>
    <t>VehicleKm_per_vehicle.km.PL.Tr.Road.Passenger</t>
  </si>
  <si>
    <t>VehicleKm_per_vehicle.km.PL.Tr.Road.Passenger.P2W</t>
  </si>
  <si>
    <t>VehicleKm_per_vehicle.km.PL.Tr.Road.Passenger.Car</t>
  </si>
  <si>
    <t>VehicleKm_per_vehicle.km.PL.Tr.Road.Passenger.Car.ICE.Gasoline</t>
  </si>
  <si>
    <t>VehicleKm_per_vehicle.km.PL.Tr.Road.Passenger.Car.ICE.Diesel</t>
  </si>
  <si>
    <t>VehicleKm_per_vehicle.km.PL.Tr.Road.Passenger.Car.ICE.LPG</t>
  </si>
  <si>
    <t>VehicleKm_per_vehicle.km.PL.Tr.Road.Passenger.Car.ICE.NGas</t>
  </si>
  <si>
    <t>VehicleKm_per_vehicle.km.PL.Tr.Road.Passenger.Car.PHEV</t>
  </si>
  <si>
    <t>VehicleKm_per_vehicle.km.PL.Tr.Road.Passenger.Car.BEV</t>
  </si>
  <si>
    <t>VehicleKm_per_vehicle.km.PL.Tr.Road.Passenger.Bus</t>
  </si>
  <si>
    <t>VehicleKm_per_vehicle.km.PL.Tr.Road.Passenger.Bus.ICE.Gasoline</t>
  </si>
  <si>
    <t>VehicleKm_per_vehicle.km.PL.Tr.Road.Passenger.Bus.ICE.Diesel</t>
  </si>
  <si>
    <t>VehicleKm_per_vehicle.km.PL.Tr.Road.Passenger.Bus.ICE.LPG</t>
  </si>
  <si>
    <t>VehicleKm_per_vehicle.km.PL.Tr.Road.Passenger.Bus.ICE.NGas</t>
  </si>
  <si>
    <t>VehicleKm_per_vehicle.km.PL.Tr.Road.Passenger.Bus.ICE.BEV</t>
  </si>
  <si>
    <t>VehicleKm_per_vehicle.km.PL.Tr.Road.Freight</t>
  </si>
  <si>
    <t>VehicleKm_per_vehicle.km.PL.Tr.Road.Freight.LCV</t>
  </si>
  <si>
    <t>VehicleKm_per_vehicle.km.PL.Tr.Road.Freight.LCV.ICE.Gasoline</t>
  </si>
  <si>
    <t>VehicleKm_per_vehicle.km.PL.Tr.Road.Freight.LCV.ICE.Diesel</t>
  </si>
  <si>
    <t>VehicleKm_per_vehicle.km.PL.Tr.Road.Freight.LCV.ICE.LPG</t>
  </si>
  <si>
    <t>VehicleKm_per_vehicle.km.PL.Tr.Road.Freight.LCV.ICE.NGas</t>
  </si>
  <si>
    <t>VehicleKm_per_vehicle.km.PL.Tr.Road.Freight.LCV.ICE.BEV</t>
  </si>
  <si>
    <t>VehicleKm_per_vehicle.km.PL.Tr.Road.Freight.HGV</t>
  </si>
  <si>
    <t>VehicleKm_per_vehicle.km.PL.Tr.Road.Freight.HGV.Domestic</t>
  </si>
  <si>
    <t>VehicleKm_per_vehicle.km.PL.Tr.Road.Freight.HGV.International</t>
  </si>
  <si>
    <t>Activity_per_vehicle.pkm.PL.Tr.Road.Passenger</t>
  </si>
  <si>
    <t>Activity_per_vehicle.pkm.PL.Tr.Road.Passenger.P2W</t>
  </si>
  <si>
    <t>Activity_per_vehicle.pkm.PL.Tr.Road.Passenger.Car</t>
  </si>
  <si>
    <t>Activity_per_vehicle.pkm.PL.Tr.Road.Passenger.Car.ICE.Gasoline</t>
  </si>
  <si>
    <t>Activity_per_vehicle.pkm.PL.Tr.Road.Passenger.Car.ICE.Diesel</t>
  </si>
  <si>
    <t>Activity_per_vehicle.pkm.PL.Tr.Road.Passenger.Car.ICE.LPG</t>
  </si>
  <si>
    <t>Activity_per_vehicle.pkm.PL.Tr.Road.Passenger.Car.ICE.NGas</t>
  </si>
  <si>
    <t>Activity_per_vehicle.pkm.PL.Tr.Road.Passenger.Car.PHEV</t>
  </si>
  <si>
    <t>Activity_per_vehicle.pkm.PL.Tr.Road.Passenger.Car.BEV</t>
  </si>
  <si>
    <t>Activity_per_vehicle.pkm.PL.Tr.Road.Passenger.Bus</t>
  </si>
  <si>
    <t>Activity_per_vehicle.pkm.PL.Tr.Road.Passenger.Bus.ICE.Gasoline</t>
  </si>
  <si>
    <t>Activity_per_vehicle.pkm.PL.Tr.Road.Passenger.Bus.ICE.Diesel</t>
  </si>
  <si>
    <t>Activity_per_vehicle.pkm.PL.Tr.Road.Passenger.Bus.ICE.LPG</t>
  </si>
  <si>
    <t>Activity_per_vehicle.pkm.PL.Tr.Road.Passenger.Bus.ICE.NGas</t>
  </si>
  <si>
    <t>Activity_per_vehicle.pkm.PL.Tr.Road.Passenger.Bus.ICE.BEV</t>
  </si>
  <si>
    <t>Activity_per_vehicle.tkm.PL.Tr.Road.Freight</t>
  </si>
  <si>
    <t>Activity_per_vehicle.tkm.PL.Tr.Road.Freight.LCV</t>
  </si>
  <si>
    <t>Activity_per_vehicle.tkm.PL.Tr.Road.Freight.LCV.ICE.Gasoline</t>
  </si>
  <si>
    <t>Activity_per_vehicle.tkm.PL.Tr.Road.Freight.LCV.ICE.Diesel</t>
  </si>
  <si>
    <t>Activity_per_vehicle.tkm.PL.Tr.Road.Freight.LCV.ICE.LPG</t>
  </si>
  <si>
    <t>Activity_per_vehicle.tkm.PL.Tr.Road.Freight.LCV.ICE.NGas</t>
  </si>
  <si>
    <t>Activity_per_vehicle.tkm.PL.Tr.Road.Freight.LCV.ICE.BEV</t>
  </si>
  <si>
    <t>Activity_per_vehicle.tkm.PL.Tr.Road.Freight.HGV</t>
  </si>
  <si>
    <t>Activity_per_vehicle.tkm.PL.Tr.Road.Freight.HGV.Domestic</t>
  </si>
  <si>
    <t>Activity_per_vehicle.tkm.PL.Tr.Road.Freight.HGV.International</t>
  </si>
  <si>
    <t>Road transport / energy consumption - PL - Poland</t>
  </si>
  <si>
    <t>FEC.ktoe.PL.ES.Tr.Road</t>
  </si>
  <si>
    <t>FEC.ktoe.PL.ES.Tr.Road.LPG</t>
  </si>
  <si>
    <t>FEC.ktoe.PL.ES.Tr.Road.Gasoline</t>
  </si>
  <si>
    <t>FEC.ktoe.PL.ES.Tr.Road.Diesel</t>
  </si>
  <si>
    <t>FEC.ktoe.PL.ES.Tr.Road.NG</t>
  </si>
  <si>
    <t>FEC.ktoe.PL.ES.Tr.Road.Biogas</t>
  </si>
  <si>
    <t>FEC.ktoe.PL.ES.Tr.Road.Biogasoline</t>
  </si>
  <si>
    <t>FEC.ktoe.PL.ES.Tr.Road.Biodiesel</t>
  </si>
  <si>
    <t>FEC.ktoe.PL.ES.Tr.Road.OthLiqBio</t>
  </si>
  <si>
    <t>FEC.ktoe.PL.ES.Tr.Road.Elec</t>
  </si>
  <si>
    <t>FEC.ktoe.PL.Tr.Road</t>
  </si>
  <si>
    <t>FEC.ktoe.PL.Tr.Road.Passenger.P2W.Biogasoline</t>
  </si>
  <si>
    <t>FEC.ktoe.PL.Tr.Road.Passenger.Car.ICE.Gasoline</t>
  </si>
  <si>
    <t>FEC.ktoe.PL.Tr.Road.Passenger.Car.ICE.Gasoline.Biogasoline</t>
  </si>
  <si>
    <t>FEC.ktoe.PL.Tr.Road.Passenger.Car.ICE.Diesel</t>
  </si>
  <si>
    <t>FEC.ktoe.PL.Tr.Road.Passenger.Car.ICE.Diesel.BioDiesel_OthLiqBio</t>
  </si>
  <si>
    <t>FEC.ktoe.PL.Tr.Road.Passenger.Car.ICE.LPG</t>
  </si>
  <si>
    <t>FEC.ktoe.PL.Tr.Road.Passenger.Car.ICE.NGas</t>
  </si>
  <si>
    <t>FEC.ktoe.PL.Tr.Road.Passenger.Car.ICE.NGas.Biogas</t>
  </si>
  <si>
    <t>FEC.ktoe.PL.Tr.Road.Passenger.Car.PHEV</t>
  </si>
  <si>
    <t>FEC.ktoe.PL.Tr.Road.Passenger.Car.PHEV.Biogasoline</t>
  </si>
  <si>
    <t>FEC.ktoe.PL.Tr.Road.Passenger.Car.PHEV.Elec</t>
  </si>
  <si>
    <t>FEC.ktoe.PL.Tr.Road.Passenger.Car.BEV</t>
  </si>
  <si>
    <t>FEC.ktoe.PL.Tr.Road.Passenger.Bus.ICE.Gasoline</t>
  </si>
  <si>
    <t>FEC.ktoe.PL.Tr.Road.Passenger.Bus.ICE.Gasoline.Biogasoline</t>
  </si>
  <si>
    <t>FEC.ktoe.PL.Tr.Road.Passenger.Bus.ICE.Diesel</t>
  </si>
  <si>
    <t>FEC.ktoe.PL.Tr.Road.Passenger.Bus.ICE.Diesel.BioDiesel_OthLiqBio</t>
  </si>
  <si>
    <t>FEC.ktoe.PL.Tr.Road.Passenger.Bus.ICE.LPG</t>
  </si>
  <si>
    <t>FEC.ktoe.PL.Tr.Road.Passenger.Bus.ICE.NGas</t>
  </si>
  <si>
    <t>FEC.ktoe.PL.Tr.Road.Passenger.Bus.ICE.NGas.Biogas</t>
  </si>
  <si>
    <t>FEC.ktoe.PL.Tr.Road.Passenger.Bus.ICE.BEV</t>
  </si>
  <si>
    <t>FEC.ktoe.PL.Tr.Road.Freight.LCV.ICE.Gasoline</t>
  </si>
  <si>
    <t>FEC.ktoe.PL.Tr.Road.Freight.LCV.ICE.Gasoline.Biogasoline</t>
  </si>
  <si>
    <t>FEC.ktoe.PL.Tr.Road.Freight.LCV.ICE.Diesel</t>
  </si>
  <si>
    <t>FEC.ktoe.PL.Tr.Road.Freight.LCV.ICE.Diesel.BioDiesel_OthLiqBio</t>
  </si>
  <si>
    <t>FEC.ktoe.PL.Tr.Road.Freight.LCV.ICE.LPG</t>
  </si>
  <si>
    <t>FEC.ktoe.PL.Tr.Road.Freight.LCV.ICE.NGas</t>
  </si>
  <si>
    <t>FEC.ktoe.PL.Tr.Road.Freight.LCV.ICE.NGas.Biogas</t>
  </si>
  <si>
    <t>FEC.ktoe.PL.Tr.Road.Freight.LCV.ICE.BEV</t>
  </si>
  <si>
    <t>FEC.ktoe.PL.Tr.Road.Freight.HGV.Domestic</t>
  </si>
  <si>
    <t>FEC.ktoe.PL.Tr.Road.Freight.HGV.Domestic.BioDiesel_OthLiqBio</t>
  </si>
  <si>
    <t>FEC.ktoe.PL.Tr.Road.Freight.HGV.International</t>
  </si>
  <si>
    <t>FEC.ktoe.PL.Tr.Road.Freight.HGV.International.BioDiesel_OthLiqBio</t>
  </si>
  <si>
    <t>Eff.kgoe_per_100km.PL.Tr.Road</t>
  </si>
  <si>
    <t>Eff.kgoe_per_100km.PL.Tr.Road.Passenger</t>
  </si>
  <si>
    <t>Eff.kgoe_per_100km.PL.Tr.Road.Passenger.P2W</t>
  </si>
  <si>
    <t>Eff.kgoe_per_100km.PL.Tr.Road.Passenger.Car</t>
  </si>
  <si>
    <t>Eff.kgoe_per_100km.PL.Tr.Road.Passenger.Car.ICE.Gasoline</t>
  </si>
  <si>
    <t>Eff.kgoe_per_100km.PL.Tr.Road.Passenger.Car.ICE.Diesel</t>
  </si>
  <si>
    <t>Eff.kgoe_per_100km.PL.Tr.Road.Passenger.Car.ICE.LPG</t>
  </si>
  <si>
    <t>Eff.kgoe_per_100km.PL.Tr.Road.Passenger.Car.ICE.NGas</t>
  </si>
  <si>
    <t>Eff.kgoe_per_100km.PL.Tr.Road.Passenger.Car.PHEV</t>
  </si>
  <si>
    <t>Eff.kgoe_per_100km.PL.Tr.Road.Passenger.Car.BEV</t>
  </si>
  <si>
    <t>Eff.kgoe_per_100km.PL.Tr.Road.Passenger.Bus</t>
  </si>
  <si>
    <t>Eff.kgoe_per_100km.PL.Tr.Road.Passenger.Bus.ICE.Gasoline</t>
  </si>
  <si>
    <t>Eff.kgoe_per_100km.PL.Tr.Road.Passenger.Bus.ICE.Diesel</t>
  </si>
  <si>
    <t>Eff.kgoe_per_100km.PL.Tr.Road.Passenger.Bus.ICE.LPG</t>
  </si>
  <si>
    <t>Eff.kgoe_per_100km.PL.Tr.Road.Passenger.Bus.ICE.NGas</t>
  </si>
  <si>
    <t>Eff.kgoe_per_100km.PL.Tr.Road.Passenger.Bus.ICE.BEV</t>
  </si>
  <si>
    <t>Eff.kgoe_per_100km.PL.Tr.Road.Freight</t>
  </si>
  <si>
    <t>Eff.kgoe_per_100km.PL.Tr.Road.Freight.LCV</t>
  </si>
  <si>
    <t>Eff.kgoe_per_100km.PL.Tr.Road.Freight.LCV.ICE.Gasoline</t>
  </si>
  <si>
    <t>Eff.kgoe_per_100km.PL.Tr.Road.Freight.LCV.ICE.Diesel</t>
  </si>
  <si>
    <t>Eff.kgoe_per_100km.PL.Tr.Road.Freight.LCV.ICE.LPG</t>
  </si>
  <si>
    <t>Eff.kgoe_per_100km.PL.Tr.Road.Freight.LCV.ICE.NGas</t>
  </si>
  <si>
    <t>Eff.kgoe_per_100km.PL.Tr.Road.Freight.LCV.ICE.BEV</t>
  </si>
  <si>
    <t>Eff.kgoe_per_100km.PL.Tr.Road.Freight.HGV</t>
  </si>
  <si>
    <t>Eff.kgoe_per_100km.PL.Tr.Road.Freight.HGV.Domestic</t>
  </si>
  <si>
    <t>Eff.kgoe_per_100km.PL.Tr.Road.Freight.HGV.International</t>
  </si>
  <si>
    <t>Eff.kgoe_per_kpkm.PL.Tr.Road.Passenger.Car.ICE.Gasoline</t>
  </si>
  <si>
    <t>Eff.kgoe_per_kpkm.PL.Tr.Road.Passenger.Car.ICE.Diesel</t>
  </si>
  <si>
    <t>Eff.kgoe_per_kpkm.PL.Tr.Road.Passenger.Car.ICE.LPG</t>
  </si>
  <si>
    <t>Eff.kgoe_per_kpkm.PL.Tr.Road.Passenger.Car.ICE.NGas</t>
  </si>
  <si>
    <t>Eff.kgoe_per_kpkm.PL.Tr.Road.Passenger.Car.PHEV</t>
  </si>
  <si>
    <t>Eff.kgoe_per_kpkm.PL.Tr.Road.Passenger.Car.BEV</t>
  </si>
  <si>
    <t>Eff.kgoe_per_kpkm.PL.Tr.Road.Passenger.Bus.ICE.Gasoline</t>
  </si>
  <si>
    <t>Eff.kgoe_per_kpkm.PL.Tr.Road.Passenger.Bus.ICE.Diesel</t>
  </si>
  <si>
    <t>Eff.kgoe_per_kpkm.PL.Tr.Road.Passenger.Bus.ICE.LPG</t>
  </si>
  <si>
    <t>Eff.kgoe_per_kpkm.PL.Tr.Road.Passenger.Bus.ICE.NGas</t>
  </si>
  <si>
    <t>Eff.kgoe_per_kpkm.PL.Tr.Road.Passenger.Bus.ICE.BEV</t>
  </si>
  <si>
    <t>Eff.kgoe_per_ktkm.PL.Tr.Road.Freight.LCV.ICE.Gasoline</t>
  </si>
  <si>
    <t>Eff.kgoe_per_ktkm.PL.Tr.Road.Freight.LCV.ICE.Diesel</t>
  </si>
  <si>
    <t>Eff.kgoe_per_ktkm.PL.Tr.Road.Freight.LCV.ICE.LPG</t>
  </si>
  <si>
    <t>Eff.kgoe_per_ktkm.PL.Tr.Road.Freight.LCV.ICE.NGas</t>
  </si>
  <si>
    <t>Eff.kgoe_per_ktkm.PL.Tr.Road.Freight.LCV.ICE.BEV</t>
  </si>
  <si>
    <t>Eff.kgoe_per_ktkm.PL.Tr.Road.Freight.HGV.Domestic</t>
  </si>
  <si>
    <t>Eff.kgoe_per_ktkm.PL.Tr.Road.Freight.HGV.International</t>
  </si>
  <si>
    <t>FEC_per_vehicle.kgoe.PL.Tr.Road.Passenger.P2W</t>
  </si>
  <si>
    <t>FEC_per_vehicle.kgoe.PL.Tr.Road.Passenger.Car</t>
  </si>
  <si>
    <t>FEC_per_vehicle.kgoe.PL.Tr.Road.Passenger.Car.ICE.Gasoline</t>
  </si>
  <si>
    <t>FEC_per_vehicle.kgoe.PL.Tr.Road.Passenger.Car.ICE.Diesel</t>
  </si>
  <si>
    <t>FEC_per_vehicle.kgoe.PL.Tr.Road.Passenger.Car.ICE.LPG</t>
  </si>
  <si>
    <t>FEC_per_vehicle.kgoe.PL.Tr.Road.Passenger.Car.ICE.NGas</t>
  </si>
  <si>
    <t>FEC_per_vehicle.kgoe.PL.Tr.Road.Passenger.Car.PHEV</t>
  </si>
  <si>
    <t>FEC_per_vehicle.kgoe.PL.Tr.Road.Passenger.Car.BEV</t>
  </si>
  <si>
    <t>FEC_per_vehicle.kgoe.PL.Tr.Road.Passenger.Bus</t>
  </si>
  <si>
    <t>FEC_per_vehicle.kgoe.PL.Tr.Road.Passenger.Bus.ICE.Gasoline</t>
  </si>
  <si>
    <t>FEC_per_vehicle.kgoe.PL.Tr.Road.Passenger.Bus.ICE.Diesel</t>
  </si>
  <si>
    <t>FEC_per_vehicle.kgoe.PL.Tr.Road.Passenger.Bus.ICE.LPG</t>
  </si>
  <si>
    <t>FEC_per_vehicle.kgoe.PL.Tr.Road.Passenger.Bus.ICE.NGas</t>
  </si>
  <si>
    <t>FEC_per_vehicle.kgoe.PL.Tr.Road.Passenger.Bus.ICE.BEV</t>
  </si>
  <si>
    <t>FEC_per_vehicle.kgoe.PL.Tr.Road.Freight.LCV</t>
  </si>
  <si>
    <t>FEC_per_vehicle.kgoe.PL.Tr.Road.Freight.LCV.ICE.Gasoline</t>
  </si>
  <si>
    <t>FEC_per_vehicle.kgoe.PL.Tr.Road.Freight.LCV.ICE.Diesel</t>
  </si>
  <si>
    <t>FEC_per_vehicle.kgoe.PL.Tr.Road.Freight.LCV.ICE.LPG</t>
  </si>
  <si>
    <t>FEC_per_vehicle.kgoe.PL.Tr.Road.Freight.LCV.ICE.NGas</t>
  </si>
  <si>
    <t>FEC_per_vehicle.kgoe.PL.Tr.Road.Freight.LCV.ICE.BEV</t>
  </si>
  <si>
    <t>FEC_per_vehicle.kgoe.PL.Tr.Road.Freight.HGV</t>
  </si>
  <si>
    <t>FEC_per_vehicle.kgoe.PL.Tr.Road.Freight.HGV.Domestic</t>
  </si>
  <si>
    <t>FEC_per_vehicle.kgoe.PL.Tr.Road.Freight.HGV.International</t>
  </si>
  <si>
    <t>Road transport / CO2 emissions - PL - Poland</t>
  </si>
  <si>
    <t>EMI.ktCO2.PL.ES.Tr.Road</t>
  </si>
  <si>
    <t>EMI.ktCO2.PL.ES.Tr.Road.LPG</t>
  </si>
  <si>
    <t>EMI.ktCO2.PL.ES.Tr.Road.Gasoline</t>
  </si>
  <si>
    <t>EMI.ktCO2.PL.ES.Tr.Road.Diesel</t>
  </si>
  <si>
    <t>EMI.ktCO2.PL.ES.Tr.Road.NG</t>
  </si>
  <si>
    <t>EMI.ktCO2.PL.ES.Tr.Road.Biogas</t>
  </si>
  <si>
    <t>EMI.ktCO2.PL.ES.Tr.Road.Biogasoline</t>
  </si>
  <si>
    <t>EMI.ktCO2.PL.ES.Tr.Road.Biodiesel</t>
  </si>
  <si>
    <t>EMI.ktCO2.PL.ES.Tr.Road.OthLiqBio</t>
  </si>
  <si>
    <t>EMI.ktCO2.PL.ES.Tr.Road.Elec</t>
  </si>
  <si>
    <t>EMI.ktCO2.PL.Tr.Road</t>
  </si>
  <si>
    <t>EMI.ktCO2.PL.Tr.Road.Passenger.Car.ICE.Gasoline</t>
  </si>
  <si>
    <t>EMI.ktCO2.PL.Tr.Road.Passenger.Car.ICE.Diesel</t>
  </si>
  <si>
    <t>EMI.ktCO2.PL.Tr.Road.Passenger.Car.ICE.LPG</t>
  </si>
  <si>
    <t>EMI.ktCO2.PL.Tr.Road.Passenger.Car.ICE.NGas</t>
  </si>
  <si>
    <t>EMI.ktCO2.PL.Tr.Road.Passenger.Car.PHEV</t>
  </si>
  <si>
    <t>EMI.ktCO2.PL.Tr.Road.Passenger.Car.BEV</t>
  </si>
  <si>
    <t>EMI.ktCO2.PL.Tr.Road.Passenger.Bus.ICE.Gasoline</t>
  </si>
  <si>
    <t>EMI.ktCO2.PL.Tr.Road.Passenger.Bus.ICE.Diesel</t>
  </si>
  <si>
    <t>EMI.ktCO2.PL.Tr.Road.Passenger.Bus.ICE.LPG</t>
  </si>
  <si>
    <t>EMI.ktCO2.PL.Tr.Road.Passenger.Bus.ICE.NGas</t>
  </si>
  <si>
    <t>EMI.ktCO2.PL.Tr.Road.Passenger.Bus.ICE.BEV</t>
  </si>
  <si>
    <t>EMI.ktCO2.PL.Tr.Road.Freight.LCV.ICE.Gasoline</t>
  </si>
  <si>
    <t>EMI.ktCO2.PL.Tr.Road.Freight.LCV.ICE.Diesel</t>
  </si>
  <si>
    <t>EMI.ktCO2.PL.Tr.Road.Freight.LCV.ICE.LPG</t>
  </si>
  <si>
    <t>EMI.ktCO2.PL.Tr.Road.Freight.LCV.ICE.NGas</t>
  </si>
  <si>
    <t>EMI.ktCO2.PL.Tr.Road.Freight.LCV.ICE.BEV</t>
  </si>
  <si>
    <t>EMI.ktCO2.PL.Tr.Road.Freight.HGV.Domestic</t>
  </si>
  <si>
    <t>EMI.ktCO2.PL.Tr.Road.Freight.HGV.International</t>
  </si>
  <si>
    <t>EMIint.gCO2_per_km.PL.Tr.Road</t>
  </si>
  <si>
    <t>EMIint.gCO2_per_km.PL.Tr.Road.Passenger</t>
  </si>
  <si>
    <t>EMIint.gCO2_per_km.PL.Tr.Road.Passenger.P2W</t>
  </si>
  <si>
    <t>EMIint.gCO2_per_km.PL.Tr.Road.Passenger.Car</t>
  </si>
  <si>
    <t>EMIint.gCO2_per_km.PL.Tr.Road.Passenger.Car.ICE.Gasoline</t>
  </si>
  <si>
    <t>EMIint.gCO2_per_km.PL.Tr.Road.Passenger.Car.ICE.Diesel</t>
  </si>
  <si>
    <t>EMIint.gCO2_per_km.PL.Tr.Road.Passenger.Car.ICE.LPG</t>
  </si>
  <si>
    <t>EMIint.gCO2_per_km.PL.Tr.Road.Passenger.Car.ICE.NGas</t>
  </si>
  <si>
    <t>EMIint.gCO2_per_km.PL.Tr.Road.Passenger.Car.PHEV</t>
  </si>
  <si>
    <t>EMIint.gCO2_per_km.PL.Tr.Road.Passenger.Car.BEV</t>
  </si>
  <si>
    <t>EMIint.gCO2_per_km.PL.Tr.Road.Passenger.Bus</t>
  </si>
  <si>
    <t>EMIint.gCO2_per_km.PL.Tr.Road.Passenger.Bus.ICE.Gasoline</t>
  </si>
  <si>
    <t>EMIint.gCO2_per_km.PL.Tr.Road.Passenger.Bus.ICE.Diesel</t>
  </si>
  <si>
    <t>EMIint.gCO2_per_km.PL.Tr.Road.Passenger.Bus.ICE.LPG</t>
  </si>
  <si>
    <t>EMIint.gCO2_per_km.PL.Tr.Road.Passenger.Bus.ICE.NGas</t>
  </si>
  <si>
    <t>EMIint.gCO2_per_km.PL.Tr.Road.Passenger.Bus.ICE.BEV</t>
  </si>
  <si>
    <t>EMIint.gCO2_per_km.PL.Tr.Road.Freight</t>
  </si>
  <si>
    <t>EMIint.gCO2_per_km.PL.Tr.Road.Freight.LCV</t>
  </si>
  <si>
    <t>EMIint.gCO2_per_km.PL.Tr.Road.Freight.LCV.ICE.Gasoline</t>
  </si>
  <si>
    <t>EMIint.gCO2_per_km.PL.Tr.Road.Freight.LCV.ICE.Diesel</t>
  </si>
  <si>
    <t>EMIint.gCO2_per_km.PL.Tr.Road.Freight.LCV.ICE.LPG</t>
  </si>
  <si>
    <t>EMIint.gCO2_per_km.PL.Tr.Road.Freight.LCV.ICE.NGas</t>
  </si>
  <si>
    <t>EMIint.gCO2_per_km.PL.Tr.Road.Freight.LCV.ICE.BEV</t>
  </si>
  <si>
    <t>EMIint.gCO2_per_km.PL.Tr.Road.Freight.HGV</t>
  </si>
  <si>
    <t>EMIint.gCO2_per_km.PL.Tr.Road.Freight.HGV.Domestic</t>
  </si>
  <si>
    <t>EMIint.gCO2_per_km.PL.Tr.Road.Freight.HGV.International</t>
  </si>
  <si>
    <t>EMIint.gCO2_per_pkm.PL.Tr.Road.Passenger.Car.ICE.Gasoline</t>
  </si>
  <si>
    <t>EMIint.gCO2_per_pkm.PL.Tr.Road.Passenger.Car.ICE.Diesel</t>
  </si>
  <si>
    <t>EMIint.gCO2_per_pkm.PL.Tr.Road.Passenger.Car.ICE.LPG</t>
  </si>
  <si>
    <t>EMIint.gCO2_per_pkm.PL.Tr.Road.Passenger.Car.ICE.NGas</t>
  </si>
  <si>
    <t>EMIint.gCO2_per_pkm.PL.Tr.Road.Passenger.Car.PHEV</t>
  </si>
  <si>
    <t>EMIint.gCO2_per_pkm.PL.Tr.Road.Passenger.Car.BEV</t>
  </si>
  <si>
    <t>EMIint.gCO2_per_pkm.PL.Tr.Road.Passenger.Bus.ICE.Gasoline</t>
  </si>
  <si>
    <t>EMIint.gCO2_per_pkm.PL.Tr.Road.Passenger.Bus.ICE.Diesel</t>
  </si>
  <si>
    <t>EMIint.gCO2_per_pkm.PL.Tr.Road.Passenger.Bus.ICE.LPG</t>
  </si>
  <si>
    <t>EMIint.gCO2_per_pkm.PL.Tr.Road.Passenger.Bus.ICE.NGas</t>
  </si>
  <si>
    <t>EMIint.gCO2_per_pkm.PL.Tr.Road.Passenger.Bus.ICE.BEV</t>
  </si>
  <si>
    <t>EMIint.gCO2_per_tkm.PL.Tr.Road.Freight.LCV.ICE.Gasoline</t>
  </si>
  <si>
    <t>EMIint.gCO2_per_tkm.PL.Tr.Road.Freight.LCV.ICE.Diesel</t>
  </si>
  <si>
    <t>EMIint.gCO2_per_tkm.PL.Tr.Road.Freight.LCV.ICE.LPG</t>
  </si>
  <si>
    <t>EMIint.gCO2_per_tkm.PL.Tr.Road.Freight.LCV.ICE.NGas</t>
  </si>
  <si>
    <t>EMIint.gCO2_per_tkm.PL.Tr.Road.Freight.LCV.ICE.BEV</t>
  </si>
  <si>
    <t>EMIint.gCO2_per_tkm.PL.Tr.Road.Freight.HGV.Domestic</t>
  </si>
  <si>
    <t>EMIint.gCO2_per_tkm.PL.Tr.Road.Freight.HGV.International</t>
  </si>
  <si>
    <t>EMI_per_vehicle.kgCO2.PL.Tr.Road.Passenger.P2W</t>
  </si>
  <si>
    <t>EMI_per_vehicle.kgCO2.PL.Tr.Road.Passenger.Car</t>
  </si>
  <si>
    <t>EMI_per_vehicle.kgCO2.PL.Tr.Road.Passenger.Car.ICE.Gasoline</t>
  </si>
  <si>
    <t>EMI_per_vehicle.kgCO2.PL.Tr.Road.Passenger.Car.ICE.Diesel</t>
  </si>
  <si>
    <t>EMI_per_vehicle.kgCO2.PL.Tr.Road.Passenger.Car.ICE.LPG</t>
  </si>
  <si>
    <t>EMI_per_vehicle.kgCO2.PL.Tr.Road.Passenger.Car.ICE.NGas</t>
  </si>
  <si>
    <t>EMI_per_vehicle.kgCO2.PL.Tr.Road.Passenger.Car.PHEV</t>
  </si>
  <si>
    <t>EMI_per_vehicle.kgCO2.PL.Tr.Road.Passenger.Car.BEV</t>
  </si>
  <si>
    <t>EMI_per_vehicle.kgCO2.PL.Tr.Road.Passenger.Bus</t>
  </si>
  <si>
    <t>EMI_per_vehicle.kgCO2.PL.Tr.Road.Passenger.Bus.ICE.Gasoline</t>
  </si>
  <si>
    <t>EMI_per_vehicle.kgCO2.PL.Tr.Road.Passenger.Bus.ICE.Diesel</t>
  </si>
  <si>
    <t>EMI_per_vehicle.kgCO2.PL.Tr.Road.Passenger.Bus.ICE.LPG</t>
  </si>
  <si>
    <t>EMI_per_vehicle.kgCO2.PL.Tr.Road.Passenger.Bus.ICE.NGas</t>
  </si>
  <si>
    <t>EMI_per_vehicle.kgCO2.PL.Tr.Road.Passenger.Bus.ICE.BEV</t>
  </si>
  <si>
    <t>EMI_per_vehicle.kgCO2.PL.Tr.Road.Freight.LCV</t>
  </si>
  <si>
    <t>EMI_per_vehicle.kgCO2.PL.Tr.Road.Freight.LCV.ICE.Gasoline</t>
  </si>
  <si>
    <t>EMI_per_vehicle.kgCO2.PL.Tr.Road.Freight.LCV.ICE.Diesel</t>
  </si>
  <si>
    <t>EMI_per_vehicle.kgCO2.PL.Tr.Road.Freight.LCV.ICE.LPG</t>
  </si>
  <si>
    <t>EMI_per_vehicle.kgCO2.PL.Tr.Road.Freight.LCV.ICE.NGas</t>
  </si>
  <si>
    <t>EMI_per_vehicle.kgCO2.PL.Tr.Road.Freight.LCV.ICE.BEV</t>
  </si>
  <si>
    <t>EMI_per_vehicle.kgCO2.PL.Tr.Road.Freight.HGV</t>
  </si>
  <si>
    <t>EMI_per_vehicle.kgCO2.PL.Tr.Road.Freight.HGV.Domestic</t>
  </si>
  <si>
    <t>EMI_per_vehicle.kgCO2.PL.Tr.Road.Freight.HGV.International</t>
  </si>
  <si>
    <t>Road transport / technologies - PL - Poland</t>
  </si>
  <si>
    <t>StockVin.number.PL.Tr.Road</t>
  </si>
  <si>
    <t>StockVin.number.PL.Tr.Road.Passenger</t>
  </si>
  <si>
    <t>StockVin.number.PL.Tr.Road.Passenger.P2W</t>
  </si>
  <si>
    <t>StockVin.number.PL.Tr.Road.Passenger.Car</t>
  </si>
  <si>
    <t>StockVin.number.PL.Tr.Road.Passenger.Car.ICE.Gasoline</t>
  </si>
  <si>
    <t>StockVin.number.PL.Tr.Road.Passenger.Car.ICE.Diesel</t>
  </si>
  <si>
    <t>StockVin.number.PL.Tr.Road.Passenger.Car.ICE.LPG</t>
  </si>
  <si>
    <t>StockVin.number.PL.Tr.Road.Passenger.Car.ICE.NGas</t>
  </si>
  <si>
    <t>StockVin.number.PL.Tr.Road.Passenger.Car.PHEV</t>
  </si>
  <si>
    <t>StockVin.number.PL.Tr.Road.Passenger.Car.BEV</t>
  </si>
  <si>
    <t>StockVin.number.PL.Tr.Road.Passenger.Bus</t>
  </si>
  <si>
    <t>StockVin.number.PL.Tr.Road.Passenger.Bus.ICE.Gasoline</t>
  </si>
  <si>
    <t>StockVin.number.PL.Tr.Road.Passenger.Bus.ICE.Diesel</t>
  </si>
  <si>
    <t>StockVin.number.PL.Tr.Road.Passenger.Bus.ICE.LPG</t>
  </si>
  <si>
    <t>StockVin.number.PL.Tr.Road.Passenger.Bus.ICE.NGas</t>
  </si>
  <si>
    <t>StockVin.number.PL.Tr.Road.Passenger.Bus.ICE.BEV</t>
  </si>
  <si>
    <t>StockVin.number.PL.Tr.Road.Freight</t>
  </si>
  <si>
    <t>StockVin.number.PL.Tr.Road.Freight.LCV</t>
  </si>
  <si>
    <t>StockVin.number.PL.Tr.Road.Freight.LCV.ICE.Gasoline</t>
  </si>
  <si>
    <t>StockVin.number.PL.Tr.Road.Freight.LCV.ICE.Diesel</t>
  </si>
  <si>
    <t>StockVin.number.PL.Tr.Road.Freight.LCV.ICE.LPG</t>
  </si>
  <si>
    <t>StockVin.number.PL.Tr.Road.Freight.LCV.ICE.NGas</t>
  </si>
  <si>
    <t>StockVin.number.PL.Tr.Road.Freight.LCV.ICE.BEV</t>
  </si>
  <si>
    <t>StockVin.number.PL.Tr.Road.Freight.HGV</t>
  </si>
  <si>
    <t>StockVin.number.PL.Tr.Road.Freight.HGV.Domestic</t>
  </si>
  <si>
    <t>StockVin.number.PL.Tr.Road.Freight.HGV.International</t>
  </si>
  <si>
    <t>Eff_test_stock.kgoe_per_100km.PL.Tr.Road.Passenger.P2W</t>
  </si>
  <si>
    <t>Eff_test_stock.kgoe_per_100km.PL.Tr.Road.Passenger.Car</t>
  </si>
  <si>
    <t>Eff_test_stock.kgoe_per_100km.PL.Tr.Road.Passenger.Car.ICE.Gasoline</t>
  </si>
  <si>
    <t>Eff_test_stock.kgoe_per_100km.PL.Tr.Road.Passenger.Car.ICE.Diesel</t>
  </si>
  <si>
    <t>Eff_test_stock.kgoe_per_100km.PL.Tr.Road.Passenger.Car.ICE.LPG</t>
  </si>
  <si>
    <t>Eff_test_stock.kgoe_per_100km.PL.Tr.Road.Passenger.Car.ICE.NGas</t>
  </si>
  <si>
    <t>Eff_test_stock.kgoe_per_100km.PL.Tr.Road.Passenger.Car.PHEV</t>
  </si>
  <si>
    <t>Eff_test_stock.kgoe_per_100km.PL.Tr.Road.Passenger.Car.BEV</t>
  </si>
  <si>
    <t>Eff_test_stock.kgoe_per_100km.PL.Tr.Road.Passenger.Bus</t>
  </si>
  <si>
    <t>Eff_test_stock.kgoe_per_100km.PL.Tr.Road.Passenger.Bus.ICE.Gasoline</t>
  </si>
  <si>
    <t>Eff_test_stock.kgoe_per_100km.PL.Tr.Road.Passenger.Bus.ICE.Diesel</t>
  </si>
  <si>
    <t>Eff_test_stock.kgoe_per_100km.PL.Tr.Road.Passenger.Bus.ICE.LPG</t>
  </si>
  <si>
    <t>Eff_test_stock.kgoe_per_100km.PL.Tr.Road.Passenger.Bus.ICE.NGas</t>
  </si>
  <si>
    <t>Eff_test_stock.kgoe_per_100km.PL.Tr.Road.Passenger.Bus.ICE.BEV</t>
  </si>
  <si>
    <t>Eff_test_stock.kgoe_per_100km.PL.Tr.Road.Freight.LCV</t>
  </si>
  <si>
    <t>Eff_test_stock.kgoe_per_100km.PL.Tr.Road.Freight.LCV.ICE.Gasoline</t>
  </si>
  <si>
    <t>Eff_test_stock.kgoe_per_100km.PL.Tr.Road.Freight.LCV.ICE.Diesel</t>
  </si>
  <si>
    <t>Eff_test_stock.kgoe_per_100km.PL.Tr.Road.Freight.LCV.ICE.LPG</t>
  </si>
  <si>
    <t>Eff_test_stock.kgoe_per_100km.PL.Tr.Road.Freight.LCV.ICE.NGas</t>
  </si>
  <si>
    <t>Eff_test_stock.kgoe_per_100km.PL.Tr.Road.Freight.LCV.ICE.BEV</t>
  </si>
  <si>
    <t>Eff_test_stock.kgoe_per_100km.PL.Tr.Road.Freight.HGV</t>
  </si>
  <si>
    <t>Eff_test_stock.kgoe_per_100km.PL.Tr.Road.Freight.HGV.Domestic</t>
  </si>
  <si>
    <t>Eff_test_stock.kgoe_per_100km.PL.Tr.Road.Freight.HGV.International</t>
  </si>
  <si>
    <t>Eff_test_new.kgoe_per_100km.PL.Tr.Road.Passenger.P2W</t>
  </si>
  <si>
    <t>Eff_test_new.kgoe_per_100km.PL.Tr.Road.Passenger.Car</t>
  </si>
  <si>
    <t>Eff_test_new.kgoe_per_100km.PL.Tr.Road.Passenger.Car.ICE.Gasoline</t>
  </si>
  <si>
    <t>Eff_test_new.kgoe_per_100km.PL.Tr.Road.Passenger.Car.ICE.Diesel</t>
  </si>
  <si>
    <t>Eff_test_new.kgoe_per_100km.PL.Tr.Road.Passenger.Car.ICE.LPG</t>
  </si>
  <si>
    <t>Eff_test_new.kgoe_per_100km.PL.Tr.Road.Passenger.Car.ICE.NGas</t>
  </si>
  <si>
    <t>Eff_test_new.kgoe_per_100km.PL.Tr.Road.Passenger.Car.PHEV</t>
  </si>
  <si>
    <t>Eff_test_new.kgoe_per_100km.PL.Tr.Road.Passenger.Car.BEV</t>
  </si>
  <si>
    <t>Eff_test_new.kgoe_per_100km.PL.Tr.Road.Passenger.Bus</t>
  </si>
  <si>
    <t>Eff_test_new.kgoe_per_100km.PL.Tr.Road.Passenger.Bus.ICE.Gasoline</t>
  </si>
  <si>
    <t>Eff_test_new.kgoe_per_100km.PL.Tr.Road.Passenger.Bus.ICE.Diesel</t>
  </si>
  <si>
    <t>Eff_test_new.kgoe_per_100km.PL.Tr.Road.Passenger.Bus.ICE.LPG</t>
  </si>
  <si>
    <t>Eff_test_new.kgoe_per_100km.PL.Tr.Road.Passenger.Bus.ICE.NGas</t>
  </si>
  <si>
    <t>Eff_test_new.kgoe_per_100km.PL.Tr.Road.Passenger.Bus.ICE.BEV</t>
  </si>
  <si>
    <t>Eff_test_new.kgoe_per_100km.PL.Tr.Road.Freight.LCV</t>
  </si>
  <si>
    <t>Eff_test_new.kgoe_per_100km.PL.Tr.Road.Freight.LCV.ICE.Gasoline</t>
  </si>
  <si>
    <t>Eff_test_new.kgoe_per_100km.PL.Tr.Road.Freight.LCV.ICE.Diesel</t>
  </si>
  <si>
    <t>Eff_test_new.kgoe_per_100km.PL.Tr.Road.Freight.LCV.ICE.LPG</t>
  </si>
  <si>
    <t>Eff_test_new.kgoe_per_100km.PL.Tr.Road.Freight.LCV.ICE.NGas</t>
  </si>
  <si>
    <t>Eff_test_new.kgoe_per_100km.PL.Tr.Road.Freight.LCV.ICE.BEV</t>
  </si>
  <si>
    <t>Eff_test_new.kgoe_per_100km.PL.Tr.Road.Freight.HGV</t>
  </si>
  <si>
    <t>Eff_test_new.kgoe_per_100km.PL.Tr.Road.Freight.HGV.Domestic</t>
  </si>
  <si>
    <t>Eff_test_new.kgoe_per_100km.PL.Tr.Road.Freight.HGV.International</t>
  </si>
  <si>
    <t>EMIint_test_stock.gCO2_per_km.PL.Tr.Road.Passenger.P2W</t>
  </si>
  <si>
    <t>EMIint_test_stock.gCO2_per_km.PL.Tr.Road.Passenger.Car</t>
  </si>
  <si>
    <t>EMIint_test_stock.gCO2_per_km.PL.Tr.Road.Passenger.Car.ICE.Gasoline</t>
  </si>
  <si>
    <t>EMIint_test_stock.gCO2_per_km.PL.Tr.Road.Passenger.Car.ICE.Diesel</t>
  </si>
  <si>
    <t>EMIint_test_stock.gCO2_per_km.PL.Tr.Road.Passenger.Car.ICE.LPG</t>
  </si>
  <si>
    <t>EMIint_test_stock.gCO2_per_km.PL.Tr.Road.Passenger.Car.ICE.NGas</t>
  </si>
  <si>
    <t>EMIint_test_stock.gCO2_per_km.PL.Tr.Road.Passenger.Car.PHEV</t>
  </si>
  <si>
    <t>EMIint_test_stock.gCO2_per_km.PL.Tr.Road.Passenger.Car.BEV</t>
  </si>
  <si>
    <t>EMIint_test_stock.gCO2_per_km.PL.Tr.Road.Passenger.Bus</t>
  </si>
  <si>
    <t>EMIint_test_stock.gCO2_per_km.PL.Tr.Road.Passenger.Bus.ICE.Gasoline</t>
  </si>
  <si>
    <t>EMIint_test_stock.gCO2_per_km.PL.Tr.Road.Passenger.Bus.ICE.Diesel</t>
  </si>
  <si>
    <t>EMIint_test_stock.gCO2_per_km.PL.Tr.Road.Passenger.Bus.ICE.LPG</t>
  </si>
  <si>
    <t>EMIint_test_stock.gCO2_per_km.PL.Tr.Road.Passenger.Bus.ICE.NGas</t>
  </si>
  <si>
    <t>EMIint_test_stock.gCO2_per_km.PL.Tr.Road.Passenger.Bus.ICE.BEV</t>
  </si>
  <si>
    <t>EMIint_test_stock.gCO2_per_km.PL.Tr.Road.Freight.LCV</t>
  </si>
  <si>
    <t>EMIint_test_stock.gCO2_per_km.PL.Tr.Road.Freight.LCV.ICE.Gasoline</t>
  </si>
  <si>
    <t>EMIint_test_stock.gCO2_per_km.PL.Tr.Road.Freight.LCV.ICE.Diesel</t>
  </si>
  <si>
    <t>EMIint_test_stock.gCO2_per_km.PL.Tr.Road.Freight.LCV.ICE.LPG</t>
  </si>
  <si>
    <t>EMIint_test_stock.gCO2_per_km.PL.Tr.Road.Freight.LCV.ICE.NGas</t>
  </si>
  <si>
    <t>EMIint_test_stock.gCO2_per_km.PL.Tr.Road.Freight.LCV.ICE.BEV</t>
  </si>
  <si>
    <t>EMIint_test_stock.gCO2_per_km.PL.Tr.Road.Freight.HGV</t>
  </si>
  <si>
    <t>EMIint_test_stock.gCO2_per_km.PL.Tr.Road.Freight.HGV.Domestic</t>
  </si>
  <si>
    <t>EMIint_test_stock.gCO2_per_km.PL.Tr.Road.Freight.HGV.International</t>
  </si>
  <si>
    <t>EMIint_test_new.gCO2_per_km.PL.Tr.Road.Passenger.P2W</t>
  </si>
  <si>
    <t>EMIint_test_new.gCO2_per_km.PL.Tr.Road.Passenger.Car</t>
  </si>
  <si>
    <t>EMIint_test_new.gCO2_per_km.PL.Tr.Road.Passenger.Car.ICE.Gasoline</t>
  </si>
  <si>
    <t>EMIint_test_new.gCO2_per_km.PL.Tr.Road.Passenger.Car.ICE.Diesel</t>
  </si>
  <si>
    <t>EMIint_test_new.gCO2_per_km.PL.Tr.Road.Passenger.Car.ICE.LPG</t>
  </si>
  <si>
    <t>EMIint_test_new.gCO2_per_km.PL.Tr.Road.Passenger.Car.ICE.NGas</t>
  </si>
  <si>
    <t>EMIint_test_new.gCO2_per_km.PL.Tr.Road.Passenger.Car.PHEV</t>
  </si>
  <si>
    <t>EMIint_test_new.gCO2_per_km.PL.Tr.Road.Passenger.Car.BEV</t>
  </si>
  <si>
    <t>EMIint_test_new.gCO2_per_km.PL.Tr.Road.Passenger.Bus</t>
  </si>
  <si>
    <t>EMIint_test_new.gCO2_per_km.PL.Tr.Road.Passenger.Bus.ICE.Gasoline</t>
  </si>
  <si>
    <t>EMIint_test_new.gCO2_per_km.PL.Tr.Road.Passenger.Bus.ICE.Diesel</t>
  </si>
  <si>
    <t>EMIint_test_new.gCO2_per_km.PL.Tr.Road.Passenger.Bus.ICE.LPG</t>
  </si>
  <si>
    <t>EMIint_test_new.gCO2_per_km.PL.Tr.Road.Passenger.Bus.ICE.NGas</t>
  </si>
  <si>
    <t>EMIint_test_new.gCO2_per_km.PL.Tr.Road.Passenger.Bus.ICE.BEV</t>
  </si>
  <si>
    <t>EMIint_test_new.gCO2_per_km.PL.Tr.Road.Freight.LCV</t>
  </si>
  <si>
    <t>EMIint_test_new.gCO2_per_km.PL.Tr.Road.Freight.LCV.ICE.Gasoline</t>
  </si>
  <si>
    <t>EMIint_test_new.gCO2_per_km.PL.Tr.Road.Freight.LCV.ICE.Diesel</t>
  </si>
  <si>
    <t>EMIint_test_new.gCO2_per_km.PL.Tr.Road.Freight.LCV.ICE.LPG</t>
  </si>
  <si>
    <t>EMIint_test_new.gCO2_per_km.PL.Tr.Road.Freight.LCV.ICE.NGas</t>
  </si>
  <si>
    <t>EMIint_test_new.gCO2_per_km.PL.Tr.Road.Freight.LCV.ICE.BEV</t>
  </si>
  <si>
    <t>EMIint_test_new.gCO2_per_km.PL.Tr.Road.Freight.HGV</t>
  </si>
  <si>
    <t>EMIint_test_new.gCO2_per_km.PL.Tr.Road.Freight.HGV.Domestic</t>
  </si>
  <si>
    <t>EMIint_test_new.gCO2_per_km.PL.Tr.Road.Freight.HGV.International</t>
  </si>
  <si>
    <t>FEC.ktoe.PL.MBunk</t>
  </si>
  <si>
    <t>FEC.ktoe.PL.MBunk.IntraEEA</t>
  </si>
  <si>
    <t>FEC.ktoe.PL.MBunk.ExtraEEA</t>
  </si>
  <si>
    <t>EMI.ktCO2.PL.MBunk</t>
  </si>
  <si>
    <t>EMI.ktCO2.PL.MBunk.IntraEEA</t>
  </si>
  <si>
    <t>EMI.ktCO2.PL.MBunk.ExtraEEA</t>
  </si>
  <si>
    <t>International maritime bunkers - PL - Poland</t>
  </si>
  <si>
    <t>VehicleKm.Mkm.PL.MBunk.Freight</t>
  </si>
  <si>
    <t>VehicleKm.Mkm.PL.MBunk.Freight.IntraEEA</t>
  </si>
  <si>
    <t>VehicleKm.Mkm.PL.MBunk.Freight.ExtraEEA</t>
  </si>
  <si>
    <t>Load.t_per_movement.PL.MBunk.Freight</t>
  </si>
  <si>
    <t>Load.t_per_movement.PL.MBunk.Freight.IntraEEA</t>
  </si>
  <si>
    <t>Load.t_per_movement.PL.MBunk.Freight.ExtraEEA</t>
  </si>
  <si>
    <t>International maritime bunkers / energy consumption - PL - Poland</t>
  </si>
  <si>
    <t>FEC.ktoe.PL.ES.MBunk</t>
  </si>
  <si>
    <t>FEC.ktoe.PL.ES.MBunk.IntraEEA</t>
  </si>
  <si>
    <t>FEC.ktoe.PL.ES.MBunk.IntraEEA.Diesel</t>
  </si>
  <si>
    <t>FEC.ktoe.PL.ES.MBunk.IntraEEA.RFO_Other</t>
  </si>
  <si>
    <t>FEC.ktoe.PL.ES.MBunk.IntraEEA.LiqBio</t>
  </si>
  <si>
    <t>FEC.ktoe.PL.ES.MBunk.IntraEEA.NG</t>
  </si>
  <si>
    <t>FEC.ktoe.PL.ES.MBunk.IntraEEA.Biogas</t>
  </si>
  <si>
    <t>FEC.ktoe.PL.ES.MBunk.ExtraEEA</t>
  </si>
  <si>
    <t>FEC.ktoe.PL.ES.MBunk.ExtraEEA.Diesel</t>
  </si>
  <si>
    <t>FEC.ktoe.PL.ES.MBunk.ExtraEEA.RFO_Other</t>
  </si>
  <si>
    <t>FEC.ktoe.PL.ES.MBunk.ExtraEEA.LiqBio</t>
  </si>
  <si>
    <t>FEC.ktoe.PL.ES.MBunk.ExtraEEA.NG</t>
  </si>
  <si>
    <t>FEC.ktoe.PL.ES.MBunk.ExtraEEA.Biogas</t>
  </si>
  <si>
    <t>Eff.kgoe_per_100km.PL.MBunk.Freight</t>
  </si>
  <si>
    <t>Eff.kgoe_per_100km.PL.MBunk.Freight.IntraEEA</t>
  </si>
  <si>
    <t>Eff.kgoe_per_100km.PL.MBunk.Freight.ExtraEEA</t>
  </si>
  <si>
    <t>International maritime bunkers / CO2 emissions - PL - Poland</t>
  </si>
  <si>
    <t>EMI.ktCO2.PL.ES.MBunk</t>
  </si>
  <si>
    <t>EMI.ktCO2.PL.ES.MBunk.IntraEEA</t>
  </si>
  <si>
    <t>EMI.ktCO2.PL.ES.MBunk.ExtraEEA</t>
  </si>
  <si>
    <t>EMIint.gCO2_per_km.PL.MBunk.Freight</t>
  </si>
  <si>
    <t>EMIint.gCO2_per_km.PL.MBunk.Freight.IntraEEA</t>
  </si>
  <si>
    <t>EMIint.gCO2_per_km.PL.MBunk.Freight.ExtraEEA</t>
  </si>
  <si>
    <t>FEC.ktoe.PL.Tr.DNavi</t>
  </si>
  <si>
    <t>FEC.ktoe.PL.Tr.Dnavi.DCS</t>
  </si>
  <si>
    <t>FEC.ktoe.PL.Tr.Dnavi.IWW</t>
  </si>
  <si>
    <t>EMI.ktCO2.PL.Tr.DNavi</t>
  </si>
  <si>
    <t>EMI.ktCO2.PL.Tr.Dnavi.DCS</t>
  </si>
  <si>
    <t>EMI.ktCO2.PL.Tr.Dnavi.IWW</t>
  </si>
  <si>
    <t>Domestic navigation - PL - Poland</t>
  </si>
  <si>
    <t>VehicleKm.Mkm.PL.Tr.DNavi.Freight</t>
  </si>
  <si>
    <t>VehicleKm.Mkm.PL.Tr.DNavi.Freight.DCS</t>
  </si>
  <si>
    <t>VehicleKm.Mkm.PL.Tr.DNavi.Freight.IWW</t>
  </si>
  <si>
    <t>Load.t_per_movement.PL.Tr.DNavi.Freight</t>
  </si>
  <si>
    <t>Load.t_per_movement.PL.Tr.DNavi.Freight.DCS</t>
  </si>
  <si>
    <t>Load.t_per_movement.PL.Tr.DNavi.Freight.IWW</t>
  </si>
  <si>
    <t>Domestic navigation / energy consumption - PL - Poland</t>
  </si>
  <si>
    <t>FEC.ktoe.PL.ES.Tr.DNavi</t>
  </si>
  <si>
    <t>FEC.ktoe.PL.ES.Tr.DNavi.DCS</t>
  </si>
  <si>
    <t>FEC.ktoe.PL.ES.Tr.DNavi.DCS.Diesel</t>
  </si>
  <si>
    <t>FEC.ktoe.PL.ES.Tr.DNavi.DCS.RFO_Other</t>
  </si>
  <si>
    <t>FEC.ktoe.PL.ES.Tr.DNavi.DCS.LiqBio</t>
  </si>
  <si>
    <t>FEC.ktoe.PL.ES.Tr.DNavi.DCS.NG</t>
  </si>
  <si>
    <t>FEC.ktoe.PL.ES.Tr.DNavi.DCS.Biogas</t>
  </si>
  <si>
    <t>FEC.ktoe.PL.ES.Tr.DNavi.IWW</t>
  </si>
  <si>
    <t>FEC.ktoe.PL.ES.Tr.DNavi.IWW.Diesel</t>
  </si>
  <si>
    <t>FEC.ktoe.PL.ES.Tr.DNavi.IWW.RFO_Other</t>
  </si>
  <si>
    <t>FEC.ktoe.PL.ES.Tr.DNavi.IWW.LiqBio</t>
  </si>
  <si>
    <t>FEC.ktoe.PL.ES.Tr.DNavi.IWW.NG</t>
  </si>
  <si>
    <t>FEC.ktoe.PL.ES.Tr.DNavi.IWW.Biogas</t>
  </si>
  <si>
    <t>Eff.kgoe_per_100km.PL.Tr.DNavi.Freight</t>
  </si>
  <si>
    <t>Eff.kgoe_per_100km.PL.Tr.DNavi.Freight.DCS</t>
  </si>
  <si>
    <t>Eff.kgoe_per_100km.PL.Tr.DNavi.Freight.IWW</t>
  </si>
  <si>
    <t>Domestic navigation / CO2 emissions - PL - Poland</t>
  </si>
  <si>
    <t>EMI.ktCO2.PL.ES.Tr.DNavi</t>
  </si>
  <si>
    <t>EMI.ktCO2.PL.ES.Tr.DNavi.DCS</t>
  </si>
  <si>
    <t>EMI.ktCO2.PL.ES.Tr.DNavi.IWW</t>
  </si>
  <si>
    <t>EMIint.gCO2_per_km.PL.Tr.DNavi.Freight</t>
  </si>
  <si>
    <t>EMIint.gCO2_per_km.PL.Tr.DNavi.Freight.DCS</t>
  </si>
  <si>
    <t>EMIint.gCO2_per_km.PL.Tr.DNavi.Freight.IWW</t>
  </si>
  <si>
    <t>Rail, metro and tram - PL - Poland</t>
  </si>
  <si>
    <t>Activity.Mpkm.PL.Tr.Rail.Passenger.CPT.Diesel</t>
  </si>
  <si>
    <t>Activity.Mpkm.PL.Tr.Rail.Passenger.CPT.Elc</t>
  </si>
  <si>
    <t>Activity.Mtkm.PL.Tr.Rail.Freight.Diesel</t>
  </si>
  <si>
    <t>Activity.Mtkm.PL.Tr.Rail.Freight.Elc</t>
  </si>
  <si>
    <t>VehicleKm.Mkm.PL.Tr.Rail</t>
  </si>
  <si>
    <t>VehicleKm.Mkm.PL.Tr.Rail.Passenger</t>
  </si>
  <si>
    <t>VehicleKm.Mkm.PL.Tr.Rail.Passenger.MTU</t>
  </si>
  <si>
    <t>VehicleKm.Mkm.PL.Tr.Rail.Passenger.CPT</t>
  </si>
  <si>
    <t>VehicleKm.Mkm.PL.Tr.Rail.Passenger.CPT.Diesel</t>
  </si>
  <si>
    <t>VehicleKm.Mkm.PL.Tr.Rail.Passenger.CPT.Elc</t>
  </si>
  <si>
    <t>VehicleKm.Mkm.PL.Tr.Rail.Passenger.HST</t>
  </si>
  <si>
    <t>VehicleKm.Mkm.PL.Tr.Rail.Freight</t>
  </si>
  <si>
    <t>VehicleKm.Mkm.PL.Tr.Rail.Freight.Diesel</t>
  </si>
  <si>
    <t>VehicleKm.Mkm.PL.Tr.Rail.Freight.Elc</t>
  </si>
  <si>
    <t>Stock.number.PL.Tr.Rail</t>
  </si>
  <si>
    <t>Stock.number.PL.Tr.Rail.Passenger</t>
  </si>
  <si>
    <t>Stock.number.PL.Tr.Rail.Passenger.MTU</t>
  </si>
  <si>
    <t>Stock.number.PL.Tr.Rail.Passenger.CPT</t>
  </si>
  <si>
    <t>Stock.number.PL.Tr.Rail.Passenger.CPT.Diesel</t>
  </si>
  <si>
    <t>Stock.number.PL.Tr.Rail.Passenger.CPT.Elc</t>
  </si>
  <si>
    <t>Stock.number.PL.Tr.Rail.Passenger.HST</t>
  </si>
  <si>
    <t>Stock.number.PL.Tr.Rail.Freight</t>
  </si>
  <si>
    <t>Stock.number.PL.Tr.Rail.Freight.Diesel</t>
  </si>
  <si>
    <t>Stock.number.PL.Tr.Rail.Freight.Elc</t>
  </si>
  <si>
    <t>StockNew.number.PL.Tr.Rail</t>
  </si>
  <si>
    <t>StockNew.number.PL.Tr.Rail.Passenger</t>
  </si>
  <si>
    <t>StockNew.number.PL.Tr.Rail.Passenger.MTU</t>
  </si>
  <si>
    <t>StockNew.number.PL.Tr.Rail.Passenger.CPT</t>
  </si>
  <si>
    <t>StockNew.number.PL.Tr.Rail.Passenger.CPT.Diesel</t>
  </si>
  <si>
    <t>StockNew.number.PL.Tr.Rail.Passenger.CPT.Elc</t>
  </si>
  <si>
    <t>StockNew.number.PL.Tr.Rail.Passenger.HST</t>
  </si>
  <si>
    <t>StockNew.number.PL.Tr.Rail.Freight</t>
  </si>
  <si>
    <t>StockNew.number.PL.Tr.Rail.Freight.Diesel</t>
  </si>
  <si>
    <t>StockNew.number.PL.Tr.Rail.Freight.Elc</t>
  </si>
  <si>
    <t>Load.passenger_per_movement.PL.Tr.Rail.Passenger</t>
  </si>
  <si>
    <t>Load.passenger_per_movement.PL.Tr.Rail.Passenger.MTU</t>
  </si>
  <si>
    <t>Load.passenger_per_movement.PL.Tr.Rail.Passenger.CPT</t>
  </si>
  <si>
    <t>Load.passenger_per_movement.PL.Tr.Rail.Passenger.CPT.Diesel</t>
  </si>
  <si>
    <t>Load.passenger_per_movement.PL.Tr.Rail.Passenger.CPT.Elc</t>
  </si>
  <si>
    <t>Load.passenger_per_movement.PL.Tr.Rail.Passenger.HST</t>
  </si>
  <si>
    <t>Load.t_per_movement.PL.Tr.Rail.Freight</t>
  </si>
  <si>
    <t>Load.t_per_movement.PL.Tr.Rail.Freight.Diesel</t>
  </si>
  <si>
    <t>Load.t_per_movement.PL.Tr.Rail.Freight.Elc</t>
  </si>
  <si>
    <t>TrCap.seats.PL.Tr.Rail.Passenger</t>
  </si>
  <si>
    <t>TrCap.seats.PL.Tr.Rail.Passenger.MTU</t>
  </si>
  <si>
    <t>TrCap.seats.PL.Tr.Rail.Passenger.CPT</t>
  </si>
  <si>
    <t>TrCap.seats.PL.Tr.Rail.Passenger.CPT.Diesel</t>
  </si>
  <si>
    <t>TrCap.seats.PL.Tr.Rail.Passenger.CPT.Elc</t>
  </si>
  <si>
    <t>TrCap.seats.PL.Tr.Rail.Passenger.HST</t>
  </si>
  <si>
    <t>TrCap.t.PL.Tr.Rail.Freight</t>
  </si>
  <si>
    <t>TrCap.t.PL.Tr.Rail.Freight.Diesel</t>
  </si>
  <si>
    <t>TrCap.t.PL.Tr.Rail.Freight.Elc</t>
  </si>
  <si>
    <t>VehicleKm_per_vehicle.km.PL.Tr.Rail</t>
  </si>
  <si>
    <t>VehicleKm_per_vehicle.km.PL.Tr.Rail.Passenger</t>
  </si>
  <si>
    <t>VehicleKm_per_vehicle.km.PL.Tr.Rail.Passenger.MTU</t>
  </si>
  <si>
    <t>VehicleKm_per_vehicle.km.PL.Tr.Rail.Passenger.CPT</t>
  </si>
  <si>
    <t>VehicleKm_per_vehicle.km.PL.Tr.Rail.Passenger.CPT.Diesel</t>
  </si>
  <si>
    <t>VehicleKm_per_vehicle.km.PL.Tr.Rail.Passenger.CPT.Elc</t>
  </si>
  <si>
    <t>VehicleKm_per_vehicle.km.PL.Tr.Rail.Passenger.HST</t>
  </si>
  <si>
    <t>VehicleKm_per_vehicle.km.PL.Tr.Rail.Freight</t>
  </si>
  <si>
    <t>VehicleKm_per_vehicle.km.PL.Tr.Rail.Freight.Diesel</t>
  </si>
  <si>
    <t>VehicleKm_per_vehicle.km.PL.Tr.Rail.Freight.Elc</t>
  </si>
  <si>
    <t>Activity_per_vehicle.pkm.PL.Tr.Rail.Passenger</t>
  </si>
  <si>
    <t>Activity_per_vehicle.pkm.PL.Tr.Rail.Passenger.MTU</t>
  </si>
  <si>
    <t>Activity_per_vehicle.pkm.PL.Tr.Rail.Passenger.CPT</t>
  </si>
  <si>
    <t>Activity_per_vehicle.pkm.PL.Tr.Rail.Passenger.CPT.Diesel</t>
  </si>
  <si>
    <t>Activity_per_vehicle.pkm.PL.Tr.Rail.Passenger.CPT.Elc</t>
  </si>
  <si>
    <t>Activity_per_vehicle.pkm.PL.Tr.Rail.Passenger.HST</t>
  </si>
  <si>
    <t>Activity_per_vehicle.tkm.PL.Tr.Rail.Freight</t>
  </si>
  <si>
    <t>Activity_per_vehicle.tkm.PL.Tr.Rail.Freight.Diesel</t>
  </si>
  <si>
    <t>Activity_per_vehicle.tkm.PL.Tr.Rail.Freight.Elc</t>
  </si>
  <si>
    <t>Rail, metro and tram / energy consumption - PL - Poland</t>
  </si>
  <si>
    <t>FEC.ktoe.PL.ES.Tr.Rail</t>
  </si>
  <si>
    <t>FEC.ktoe.PL.ES.Tr.Rail.Diesel</t>
  </si>
  <si>
    <t>FEC.ktoe.PL.ES.Tr.Rail.LiqBio</t>
  </si>
  <si>
    <t>FEC.ktoe.PL.ES.Tr.Rail.Elec</t>
  </si>
  <si>
    <t>FEC.ktoe.PL.Tr.Rail</t>
  </si>
  <si>
    <t>FEC.ktoe.PL.Tr.Rail.Passenger.CPT.Diesel</t>
  </si>
  <si>
    <t>FEC.ktoe.PL.Tr.Rail.Passenger.CPT.Elc</t>
  </si>
  <si>
    <t>FEC.ktoe.PL.Tr.Rail.Freight.Diesel</t>
  </si>
  <si>
    <t>FEC.ktoe.PL.Tr.Rail.Freight.Elc</t>
  </si>
  <si>
    <t>Eff.kgoe_per_100km.PL.Tr.Rail</t>
  </si>
  <si>
    <t>Eff.kgoe_per_100km.PL.Tr.Rail.Passenger</t>
  </si>
  <si>
    <t>Eff.kgoe_per_100km.PL.Tr.Rail.Passenger.MTU</t>
  </si>
  <si>
    <t>Eff.kgoe_per_100km.PL.Tr.Rail.Passenger.CPT</t>
  </si>
  <si>
    <t>Eff.kgoe_per_100km.PL.Tr.Rail.Passenger.CPT.Diesel</t>
  </si>
  <si>
    <t>Eff.kgoe_per_100km.PL.Tr.Rail.Passenger.CPT.Elc</t>
  </si>
  <si>
    <t>Eff.kgoe_per_100km.PL.Tr.Rail.Passenger.HST</t>
  </si>
  <si>
    <t>Eff.kgoe_per_100km.PL.Tr.Rail.Freight</t>
  </si>
  <si>
    <t>Eff.kgoe_per_100km.PL.Tr.Rail.Freight.Diesel</t>
  </si>
  <si>
    <t>Eff.kgoe_per_100km.PL.Tr.Rail.Freight.Elc</t>
  </si>
  <si>
    <t>Eff.kgoe_per_kpkm.PL.Tr.Rail.Passenger.CPT.Diesel</t>
  </si>
  <si>
    <t>Eff.kgoe_per_kpkm.PL.Tr.Rail.Passenger.CPT.Elc</t>
  </si>
  <si>
    <t>Eff.kgoe_per_ktkm.PL.Tr.Rail.Freight.Diesel</t>
  </si>
  <si>
    <t>Eff.kgoe_per_ktkm.PL.Tr.Rail.Freight.Elc</t>
  </si>
  <si>
    <t>FEC_per_vehicle.kgoe.PL.Tr.Rail</t>
  </si>
  <si>
    <t>FEC_per_vehicle.kgoe.PL.Tr.Rail.Passenger</t>
  </si>
  <si>
    <t>FEC_per_vehicle.kgoe.PL.Tr.Rail.Passenger.MTU</t>
  </si>
  <si>
    <t>FEC_per_vehicle.kgoe.PL.Tr.Rail.Passenger.CPT</t>
  </si>
  <si>
    <t>FEC_per_vehicle.kgoe.PL.Tr.Rail.Passenger.CPT.Diesel</t>
  </si>
  <si>
    <t>FEC_per_vehicle.kgoe.PL.Tr.Rail.Passenger.CPT.Elc</t>
  </si>
  <si>
    <t>FEC_per_vehicle.kgoe.PL.Tr.Rail.Passenger.HST</t>
  </si>
  <si>
    <t>FEC_per_vehicle.kgoe.PL.Tr.Rail.Freight</t>
  </si>
  <si>
    <t>FEC_per_vehicle.kgoe.PL.Tr.Rail.Freight.Diesel</t>
  </si>
  <si>
    <t>FEC_per_vehicle.kgoe.PL.Tr.Rail.Freight.Elc</t>
  </si>
  <si>
    <t>Rail, metro and tram / CO2 emissions - PL - Poland</t>
  </si>
  <si>
    <t>EMI.ktCO2.PL.ES.Tr.Rail</t>
  </si>
  <si>
    <t>EMI.ktCO2.PL.ES.Tr.Rail.Diesel</t>
  </si>
  <si>
    <t>EMI.ktCO2.PL.ES.Tr.Rail.Elec</t>
  </si>
  <si>
    <t>EMI.ktCO2.PL.Tr.Rail</t>
  </si>
  <si>
    <t>EMI.ktCO2.PL.Tr.Rail.Passenger.CPT.Diesel</t>
  </si>
  <si>
    <t>EMI.ktCO2.PL.Tr.Rail.Passenger.CPT.Elc</t>
  </si>
  <si>
    <t>EMI.ktCO2.PL.Tr.Rail.Freight.Diesel</t>
  </si>
  <si>
    <t>EMI.ktCO2.PL.Tr.Rail.Freight.Elc</t>
  </si>
  <si>
    <t>EMIint.gCO2_per_km.PL.Tr.Rail</t>
  </si>
  <si>
    <t>EMIint.gCO2_per_km.PL.Tr.Rail.Passenger</t>
  </si>
  <si>
    <t>EMIint.gCO2_per_km.PL.Tr.Rail.Passenger.MTU</t>
  </si>
  <si>
    <t>EMIint.gCO2_per_km.PL.Tr.Rail.Passenger.CPT</t>
  </si>
  <si>
    <t>EMIint.gCO2_per_km.PL.Tr.Rail.Passenger.CPT.Diesel</t>
  </si>
  <si>
    <t>EMIint.gCO2_per_km.PL.Tr.Rail.Passenger.CPT.Elc</t>
  </si>
  <si>
    <t>EMIint.gCO2_per_km.PL.Tr.Rail.Passenger.HST</t>
  </si>
  <si>
    <t>EMIint.gCO2_per_km.PL.Tr.Rail.Freight</t>
  </si>
  <si>
    <t>EMIint.gCO2_per_km.PL.Tr.Rail.Freight.Diesel</t>
  </si>
  <si>
    <t>EMIint.gCO2_per_km.PL.Tr.Rail.Freight.Elc</t>
  </si>
  <si>
    <t>EMIint.gCO2_per_pkm.PL.Tr.Rail.Passenger.CPT.Diesel</t>
  </si>
  <si>
    <t>EMIint.gCO2_per_pkm.PL.Tr.Rail.Passenger.CPT.Elc</t>
  </si>
  <si>
    <t>EMIint.gCO2_per_tkm.PL.Tr.Rail.Freight.Diesel</t>
  </si>
  <si>
    <t>EMIint.gCO2_per_tkm.PL.Tr.Rail.Freight.Elc</t>
  </si>
  <si>
    <t>EMI_per_vehicle.tCO2.PL.Tr.Rail</t>
  </si>
  <si>
    <t>EMI_per_vehicle.tCO2.PL.Tr.Rail.Passenger</t>
  </si>
  <si>
    <t>EMI_per_vehicle.tCO2.PL.Tr.Rail.Passenger.MTU</t>
  </si>
  <si>
    <t>EMI_per_vehicle.tCO2.PL.Tr.Rail.Passenger.CPT</t>
  </si>
  <si>
    <t>EMI_per_vehicle.tCO2.PL.Tr.Rail.Passenger.CPT.Diesel</t>
  </si>
  <si>
    <t>EMI_per_vehicle.tCO2.PL.Tr.Rail.Passenger.CPT.Elc</t>
  </si>
  <si>
    <t>EMI_per_vehicle.tCO2.PL.Tr.Rail.Passenger.HST</t>
  </si>
  <si>
    <t>EMI_per_vehicle.tCO2.PL.Tr.Rail.Freight</t>
  </si>
  <si>
    <t>EMI_per_vehicle.tCO2.PL.Tr.Rail.Freight.Diesel</t>
  </si>
  <si>
    <t>EMI_per_vehicle.tCO2.PL.Tr.Rail.Freight.Elc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</si>
</sst>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45432.787974537037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228331.26487524743</v>
      </c>
      <c r="C4" s="28">
        <f t="shared" si="0"/>
        <v>224843.28114411709</v>
      </c>
      <c r="D4" s="28">
        <f t="shared" si="0"/>
        <v>223133.56955973353</v>
      </c>
      <c r="E4" s="28">
        <f t="shared" si="0"/>
        <v>227539.4454399294</v>
      </c>
      <c r="F4" s="28">
        <f t="shared" si="0"/>
        <v>231364.00414411814</v>
      </c>
      <c r="G4" s="28">
        <f t="shared" si="0"/>
        <v>236187.51621886512</v>
      </c>
      <c r="H4" s="28">
        <f t="shared" si="0"/>
        <v>242803.9996914666</v>
      </c>
      <c r="I4" s="28">
        <f t="shared" si="0"/>
        <v>251872.91225084043</v>
      </c>
      <c r="J4" s="28">
        <f t="shared" si="0"/>
        <v>264197.37585201941</v>
      </c>
      <c r="K4" s="28">
        <f t="shared" si="0"/>
        <v>266900.42868237005</v>
      </c>
      <c r="L4" s="28">
        <f t="shared" si="0"/>
        <v>271176.50582480943</v>
      </c>
      <c r="M4" s="28">
        <f t="shared" si="0"/>
        <v>271127.81498338346</v>
      </c>
      <c r="N4" s="28">
        <f t="shared" si="0"/>
        <v>270780.13977018953</v>
      </c>
      <c r="O4" s="28">
        <f t="shared" si="0"/>
        <v>272637.47182693135</v>
      </c>
      <c r="P4" s="28">
        <f t="shared" si="0"/>
        <v>279097.31727331091</v>
      </c>
      <c r="Q4" s="28">
        <f t="shared" si="0"/>
        <v>284316.46504631394</v>
      </c>
      <c r="R4" s="28">
        <f t="shared" ref="R4:V4" si="1">R5+R9+R13</f>
        <v>300869.91929501708</v>
      </c>
      <c r="S4" s="28">
        <f t="shared" si="1"/>
        <v>315038.18664915964</v>
      </c>
      <c r="T4" s="28">
        <f t="shared" si="1"/>
        <v>326039.31945549673</v>
      </c>
      <c r="U4" s="28">
        <f t="shared" si="1"/>
        <v>336799.01434087026</v>
      </c>
      <c r="V4" s="28">
        <f t="shared" si="1"/>
        <v>272842.23214364407</v>
      </c>
      <c r="W4" s="28">
        <f t="shared" ref="W4" si="2">W5+W9+W13</f>
        <v>291234.48741876037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191811.7466304999</v>
      </c>
      <c r="C5" s="137">
        <f t="shared" si="3"/>
        <v>189941.44088697375</v>
      </c>
      <c r="D5" s="137">
        <f t="shared" si="3"/>
        <v>189930.84798716812</v>
      </c>
      <c r="E5" s="137">
        <f t="shared" si="3"/>
        <v>194863.79036980725</v>
      </c>
      <c r="F5" s="137">
        <f t="shared" si="3"/>
        <v>199768.1023543156</v>
      </c>
      <c r="G5" s="137">
        <f t="shared" si="3"/>
        <v>203572.99603532464</v>
      </c>
      <c r="H5" s="137">
        <f t="shared" si="3"/>
        <v>207499.81719397014</v>
      </c>
      <c r="I5" s="137">
        <f t="shared" si="3"/>
        <v>212389.18763261841</v>
      </c>
      <c r="J5" s="137">
        <f t="shared" si="3"/>
        <v>222715.94363703093</v>
      </c>
      <c r="K5" s="137">
        <f t="shared" si="3"/>
        <v>229323.50214097404</v>
      </c>
      <c r="L5" s="137">
        <f t="shared" si="3"/>
        <v>233380.44742792755</v>
      </c>
      <c r="M5" s="137">
        <f t="shared" si="3"/>
        <v>232067.47021639254</v>
      </c>
      <c r="N5" s="137">
        <f t="shared" si="3"/>
        <v>231611.45664402164</v>
      </c>
      <c r="O5" s="137">
        <f t="shared" si="3"/>
        <v>233921.68595036457</v>
      </c>
      <c r="P5" s="137">
        <f t="shared" si="3"/>
        <v>239014.83801841148</v>
      </c>
      <c r="Q5" s="137">
        <f t="shared" si="3"/>
        <v>241104.76404690597</v>
      </c>
      <c r="R5" s="137">
        <f t="shared" ref="R5:V5" si="4">R6+R7+R8</f>
        <v>253241.17904304632</v>
      </c>
      <c r="S5" s="137">
        <f t="shared" si="4"/>
        <v>260600.10311262694</v>
      </c>
      <c r="T5" s="137">
        <f t="shared" si="4"/>
        <v>265019.49136403407</v>
      </c>
      <c r="U5" s="137">
        <f t="shared" si="4"/>
        <v>271550.76462231518</v>
      </c>
      <c r="V5" s="137">
        <f t="shared" si="4"/>
        <v>246180.25090476358</v>
      </c>
      <c r="W5" s="137">
        <f t="shared" ref="W5" si="5">W6+W7+W8</f>
        <v>255673.24953466249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2511.7466304999107</v>
      </c>
      <c r="C6" s="102">
        <f>TrRoad_act!C$5</f>
        <v>2241.4408869737658</v>
      </c>
      <c r="D6" s="102">
        <f>TrRoad_act!D$5</f>
        <v>2130.8479871681316</v>
      </c>
      <c r="E6" s="102">
        <f>TrRoad_act!E$5</f>
        <v>1963.7903698072348</v>
      </c>
      <c r="F6" s="102">
        <f>TrRoad_act!F$5</f>
        <v>1868.1023543155986</v>
      </c>
      <c r="G6" s="102">
        <f>TrRoad_act!G$5</f>
        <v>2072.9960353246447</v>
      </c>
      <c r="H6" s="102">
        <f>TrRoad_act!H$5</f>
        <v>2199.817193970151</v>
      </c>
      <c r="I6" s="102">
        <f>TrRoad_act!I$5</f>
        <v>2389.1876326184129</v>
      </c>
      <c r="J6" s="102">
        <f>TrRoad_act!J$5</f>
        <v>2415.943637030939</v>
      </c>
      <c r="K6" s="102">
        <f>TrRoad_act!K$5</f>
        <v>2665.5021409740571</v>
      </c>
      <c r="L6" s="102">
        <f>TrRoad_act!L$5</f>
        <v>2870.447427927535</v>
      </c>
      <c r="M6" s="102">
        <f>TrRoad_act!M$5</f>
        <v>2864.4702163925222</v>
      </c>
      <c r="N6" s="102">
        <f>TrRoad_act!N$5</f>
        <v>2868.4566440216299</v>
      </c>
      <c r="O6" s="102">
        <f>TrRoad_act!O$5</f>
        <v>2785.6859503645719</v>
      </c>
      <c r="P6" s="102">
        <f>TrRoad_act!P$5</f>
        <v>2824.8380184114822</v>
      </c>
      <c r="Q6" s="102">
        <f>TrRoad_act!Q$5</f>
        <v>2954.7640469059743</v>
      </c>
      <c r="R6" s="102">
        <f>TrRoad_act!R$5</f>
        <v>3149.1790430463293</v>
      </c>
      <c r="S6" s="102">
        <f>TrRoad_act!S$5</f>
        <v>2990.1031126269254</v>
      </c>
      <c r="T6" s="102">
        <f>TrRoad_act!T$5</f>
        <v>2863.4913640341101</v>
      </c>
      <c r="U6" s="102">
        <f>TrRoad_act!U$5</f>
        <v>3059.7646223151887</v>
      </c>
      <c r="V6" s="102">
        <f>TrRoad_act!V$5</f>
        <v>2750.2509047635549</v>
      </c>
      <c r="W6" s="102">
        <f>TrRoad_act!W$5</f>
        <v>2866.2495346624614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130100</v>
      </c>
      <c r="C7" s="102">
        <f>TrRoad_act!C$6</f>
        <v>132300</v>
      </c>
      <c r="D7" s="102">
        <f>TrRoad_act!D$6</f>
        <v>135800</v>
      </c>
      <c r="E7" s="102">
        <f>TrRoad_act!E$6</f>
        <v>141300</v>
      </c>
      <c r="F7" s="102">
        <f>TrRoad_act!F$6</f>
        <v>146800</v>
      </c>
      <c r="G7" s="102">
        <f>TrRoad_act!G$6</f>
        <v>152300</v>
      </c>
      <c r="H7" s="102">
        <f>TrRoad_act!H$6</f>
        <v>156600</v>
      </c>
      <c r="I7" s="102">
        <f>TrRoad_act!I$6</f>
        <v>162300</v>
      </c>
      <c r="J7" s="102">
        <f>TrRoad_act!J$6</f>
        <v>172600</v>
      </c>
      <c r="K7" s="102">
        <f>TrRoad_act!K$6</f>
        <v>182758</v>
      </c>
      <c r="L7" s="102">
        <f>TrRoad_act!L$6</f>
        <v>188810</v>
      </c>
      <c r="M7" s="102">
        <f>TrRoad_act!M$6</f>
        <v>189103.00000000003</v>
      </c>
      <c r="N7" s="102">
        <f>TrRoad_act!N$6</f>
        <v>189324</v>
      </c>
      <c r="O7" s="102">
        <f>TrRoad_act!O$6</f>
        <v>193336</v>
      </c>
      <c r="P7" s="102">
        <f>TrRoad_act!P$6</f>
        <v>197032</v>
      </c>
      <c r="Q7" s="102">
        <f>TrRoad_act!Q$6</f>
        <v>200570</v>
      </c>
      <c r="R7" s="102">
        <f>TrRoad_act!R$6</f>
        <v>213318</v>
      </c>
      <c r="S7" s="102">
        <f>TrRoad_act!S$6</f>
        <v>221545</v>
      </c>
      <c r="T7" s="102">
        <f>TrRoad_act!T$6</f>
        <v>227611.99999999997</v>
      </c>
      <c r="U7" s="102">
        <f>TrRoad_act!U$6</f>
        <v>232255.00000000003</v>
      </c>
      <c r="V7" s="102">
        <f>TrRoad_act!V$6</f>
        <v>224130.00000000003</v>
      </c>
      <c r="W7" s="102">
        <f>TrRoad_act!W$6</f>
        <v>231720.00000000003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59200</v>
      </c>
      <c r="C8" s="102">
        <f>TrRoad_act!C$13</f>
        <v>55400</v>
      </c>
      <c r="D8" s="102">
        <f>TrRoad_act!D$13</f>
        <v>52000</v>
      </c>
      <c r="E8" s="102">
        <f>TrRoad_act!E$13</f>
        <v>51599.999999999993</v>
      </c>
      <c r="F8" s="102">
        <f>TrRoad_act!F$13</f>
        <v>51100</v>
      </c>
      <c r="G8" s="102">
        <f>TrRoad_act!G$13</f>
        <v>49200</v>
      </c>
      <c r="H8" s="102">
        <f>TrRoad_act!H$13</f>
        <v>48700</v>
      </c>
      <c r="I8" s="102">
        <f>TrRoad_act!I$13</f>
        <v>47700</v>
      </c>
      <c r="J8" s="102">
        <f>TrRoad_act!J$13</f>
        <v>47700</v>
      </c>
      <c r="K8" s="102">
        <f>TrRoad_act!K$13</f>
        <v>43900</v>
      </c>
      <c r="L8" s="102">
        <f>TrRoad_act!L$13</f>
        <v>41700</v>
      </c>
      <c r="M8" s="102">
        <f>TrRoad_act!M$13</f>
        <v>40100.000000000007</v>
      </c>
      <c r="N8" s="102">
        <f>TrRoad_act!N$13</f>
        <v>39419</v>
      </c>
      <c r="O8" s="102">
        <f>TrRoad_act!O$13</f>
        <v>37800</v>
      </c>
      <c r="P8" s="102">
        <f>TrRoad_act!P$13</f>
        <v>39158.000000000007</v>
      </c>
      <c r="Q8" s="102">
        <f>TrRoad_act!Q$13</f>
        <v>37580.000000000007</v>
      </c>
      <c r="R8" s="102">
        <f>TrRoad_act!R$13</f>
        <v>36774</v>
      </c>
      <c r="S8" s="102">
        <f>TrRoad_act!S$13</f>
        <v>36065</v>
      </c>
      <c r="T8" s="102">
        <f>TrRoad_act!T$13</f>
        <v>34544</v>
      </c>
      <c r="U8" s="102">
        <f>TrRoad_act!U$13</f>
        <v>36236</v>
      </c>
      <c r="V8" s="102">
        <f>TrRoad_act!V$13</f>
        <v>19300</v>
      </c>
      <c r="W8" s="102">
        <f>TrRoad_act!W$13</f>
        <v>21086.999999999996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28792</v>
      </c>
      <c r="C9" s="110">
        <f t="shared" si="6"/>
        <v>27119</v>
      </c>
      <c r="D9" s="110">
        <f t="shared" si="6"/>
        <v>25369</v>
      </c>
      <c r="E9" s="110">
        <f t="shared" si="6"/>
        <v>24138</v>
      </c>
      <c r="F9" s="110">
        <f t="shared" si="6"/>
        <v>23190</v>
      </c>
      <c r="G9" s="110">
        <f t="shared" si="6"/>
        <v>22557</v>
      </c>
      <c r="H9" s="110">
        <f t="shared" si="6"/>
        <v>23002</v>
      </c>
      <c r="I9" s="110">
        <f t="shared" si="6"/>
        <v>24459</v>
      </c>
      <c r="J9" s="110">
        <f t="shared" si="6"/>
        <v>24795</v>
      </c>
      <c r="K9" s="110">
        <f t="shared" si="6"/>
        <v>22957</v>
      </c>
      <c r="L9" s="110">
        <f t="shared" si="6"/>
        <v>22261</v>
      </c>
      <c r="M9" s="110">
        <f t="shared" si="6"/>
        <v>22580.712781401457</v>
      </c>
      <c r="N9" s="110">
        <f t="shared" si="6"/>
        <v>22218.245206824664</v>
      </c>
      <c r="O9" s="110">
        <f t="shared" si="6"/>
        <v>20897.160900570823</v>
      </c>
      <c r="P9" s="110">
        <f t="shared" si="6"/>
        <v>20252.198951023754</v>
      </c>
      <c r="Q9" s="110">
        <f t="shared" si="6"/>
        <v>21587.398613107649</v>
      </c>
      <c r="R9" s="110">
        <f t="shared" ref="R9:V9" si="7">R10+R11+R12</f>
        <v>23512.342141739358</v>
      </c>
      <c r="S9" s="110">
        <f t="shared" si="7"/>
        <v>24630.427895019093</v>
      </c>
      <c r="T9" s="110">
        <f t="shared" si="7"/>
        <v>25395.274735129806</v>
      </c>
      <c r="U9" s="110">
        <f t="shared" si="7"/>
        <v>26483.819428667895</v>
      </c>
      <c r="V9" s="110">
        <f t="shared" si="7"/>
        <v>15097.574257075739</v>
      </c>
      <c r="W9" s="110">
        <f t="shared" ref="W9" si="8">W10+W11+W12</f>
        <v>18718.651274458163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4700</v>
      </c>
      <c r="C10" s="102">
        <f>TrRail_act!C$5</f>
        <v>4650</v>
      </c>
      <c r="D10" s="102">
        <f>TrRail_act!D$5</f>
        <v>4620</v>
      </c>
      <c r="E10" s="102">
        <f>TrRail_act!E$5</f>
        <v>4500</v>
      </c>
      <c r="F10" s="102">
        <f>TrRail_act!F$5</f>
        <v>4500</v>
      </c>
      <c r="G10" s="102">
        <f>TrRail_act!G$5</f>
        <v>4400</v>
      </c>
      <c r="H10" s="102">
        <f>TrRail_act!H$5</f>
        <v>4450</v>
      </c>
      <c r="I10" s="102">
        <f>TrRail_act!I$5</f>
        <v>4600</v>
      </c>
      <c r="J10" s="102">
        <f>TrRail_act!J$5</f>
        <v>4600</v>
      </c>
      <c r="K10" s="102">
        <f>TrRail_act!K$5</f>
        <v>4320</v>
      </c>
      <c r="L10" s="102">
        <f>TrRail_act!L$5</f>
        <v>4340</v>
      </c>
      <c r="M10" s="102">
        <f>TrRail_act!M$5</f>
        <v>4403.7127814014557</v>
      </c>
      <c r="N10" s="102">
        <f>TrRail_act!N$5</f>
        <v>4392.2452068246657</v>
      </c>
      <c r="O10" s="102">
        <f>TrRail_act!O$5</f>
        <v>4100.1609005708251</v>
      </c>
      <c r="P10" s="102">
        <f>TrRail_act!P$5</f>
        <v>4237.1989510237545</v>
      </c>
      <c r="Q10" s="102">
        <f>TrRail_act!Q$5</f>
        <v>4220.3986131076499</v>
      </c>
      <c r="R10" s="102">
        <f>TrRail_act!R$5</f>
        <v>4337.3421417393574</v>
      </c>
      <c r="S10" s="102">
        <f>TrRail_act!S$5</f>
        <v>4311.4278950190928</v>
      </c>
      <c r="T10" s="102">
        <f>TrRail_act!T$5</f>
        <v>4352.2747351298049</v>
      </c>
      <c r="U10" s="102">
        <f>TrRail_act!U$5</f>
        <v>4427.8194286678954</v>
      </c>
      <c r="V10" s="102">
        <f>TrRail_act!V$5</f>
        <v>2610.5742570757402</v>
      </c>
      <c r="W10" s="102">
        <f>TrRail_act!W$5</f>
        <v>2874.6512744581646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24092</v>
      </c>
      <c r="C11" s="102">
        <f>TrRail_act!C$6</f>
        <v>22469</v>
      </c>
      <c r="D11" s="102">
        <f>TrRail_act!D$6</f>
        <v>20749</v>
      </c>
      <c r="E11" s="102">
        <f>TrRail_act!E$6</f>
        <v>19638</v>
      </c>
      <c r="F11" s="102">
        <f>TrRail_act!F$6</f>
        <v>18690</v>
      </c>
      <c r="G11" s="102">
        <f>TrRail_act!G$6</f>
        <v>18157</v>
      </c>
      <c r="H11" s="102">
        <f>TrRail_act!H$6</f>
        <v>18552</v>
      </c>
      <c r="I11" s="102">
        <f>TrRail_act!I$6</f>
        <v>19859</v>
      </c>
      <c r="J11" s="102">
        <f>TrRail_act!J$6</f>
        <v>20195</v>
      </c>
      <c r="K11" s="102">
        <f>TrRail_act!K$6</f>
        <v>18637</v>
      </c>
      <c r="L11" s="102">
        <f>TrRail_act!L$6</f>
        <v>17921</v>
      </c>
      <c r="M11" s="102">
        <f>TrRail_act!M$6</f>
        <v>18177</v>
      </c>
      <c r="N11" s="102">
        <f>TrRail_act!N$6</f>
        <v>17826</v>
      </c>
      <c r="O11" s="102">
        <f>TrRail_act!O$6</f>
        <v>16797</v>
      </c>
      <c r="P11" s="102">
        <f>TrRail_act!P$6</f>
        <v>16015</v>
      </c>
      <c r="Q11" s="102">
        <f>TrRail_act!Q$6</f>
        <v>16900</v>
      </c>
      <c r="R11" s="102">
        <f>TrRail_act!R$6</f>
        <v>17739.509999999998</v>
      </c>
      <c r="S11" s="102">
        <f>TrRail_act!S$6</f>
        <v>18879</v>
      </c>
      <c r="T11" s="102">
        <f>TrRail_act!T$6</f>
        <v>19493</v>
      </c>
      <c r="U11" s="102">
        <f>TrRail_act!U$6</f>
        <v>20373</v>
      </c>
      <c r="V11" s="102">
        <f>TrRail_act!V$6</f>
        <v>11729</v>
      </c>
      <c r="W11" s="102">
        <f>TrRail_act!W$6</f>
        <v>14719.7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467</v>
      </c>
      <c r="R12" s="102">
        <f>TrRail_act!R$9</f>
        <v>1435.49</v>
      </c>
      <c r="S12" s="102">
        <f>TrRail_act!S$9</f>
        <v>1440</v>
      </c>
      <c r="T12" s="102">
        <f>TrRail_act!T$9</f>
        <v>1550</v>
      </c>
      <c r="U12" s="102">
        <f>TrRail_act!U$9</f>
        <v>1683</v>
      </c>
      <c r="V12" s="102">
        <f>TrRail_act!V$9</f>
        <v>758</v>
      </c>
      <c r="W12" s="102">
        <f>TrRail_act!W$9</f>
        <v>1124.3000000000002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7727.5182447475363</v>
      </c>
      <c r="C13" s="110">
        <f t="shared" ref="C13:V13" si="10">C14+C15+C16</f>
        <v>7782.8402571433398</v>
      </c>
      <c r="D13" s="110">
        <f t="shared" si="10"/>
        <v>7833.7215725654005</v>
      </c>
      <c r="E13" s="110">
        <f t="shared" si="10"/>
        <v>8537.6550701221531</v>
      </c>
      <c r="F13" s="110">
        <f t="shared" si="10"/>
        <v>8405.9017898025304</v>
      </c>
      <c r="G13" s="110">
        <f t="shared" si="10"/>
        <v>10057.520183540473</v>
      </c>
      <c r="H13" s="110">
        <f t="shared" si="10"/>
        <v>12302.182497496467</v>
      </c>
      <c r="I13" s="110">
        <f t="shared" si="10"/>
        <v>15024.724618222001</v>
      </c>
      <c r="J13" s="110">
        <f t="shared" si="10"/>
        <v>16686.432214988512</v>
      </c>
      <c r="K13" s="110">
        <f t="shared" si="10"/>
        <v>14619.926541396026</v>
      </c>
      <c r="L13" s="110">
        <f t="shared" si="10"/>
        <v>15535.058396881868</v>
      </c>
      <c r="M13" s="110">
        <f t="shared" si="10"/>
        <v>16479.631985589451</v>
      </c>
      <c r="N13" s="110">
        <f t="shared" si="10"/>
        <v>16950.437919343218</v>
      </c>
      <c r="O13" s="110">
        <f t="shared" si="10"/>
        <v>17818.624975995925</v>
      </c>
      <c r="P13" s="110">
        <f t="shared" si="10"/>
        <v>19830.280303875705</v>
      </c>
      <c r="Q13" s="110">
        <f t="shared" si="10"/>
        <v>21624.302386300369</v>
      </c>
      <c r="R13" s="110">
        <f t="shared" si="10"/>
        <v>24116.398110231388</v>
      </c>
      <c r="S13" s="110">
        <f t="shared" si="10"/>
        <v>29807.655641513655</v>
      </c>
      <c r="T13" s="110">
        <f t="shared" si="10"/>
        <v>35624.553356332879</v>
      </c>
      <c r="U13" s="110">
        <f t="shared" si="10"/>
        <v>38764.430289887168</v>
      </c>
      <c r="V13" s="110">
        <f t="shared" si="10"/>
        <v>11564.406981804754</v>
      </c>
      <c r="W13" s="110">
        <f t="shared" ref="W13" si="11">W14+W15+W16</f>
        <v>16842.586609639671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243.80120081546806</v>
      </c>
      <c r="C14" s="102">
        <f>TrAvia_act!C$5</f>
        <v>246.83806160291348</v>
      </c>
      <c r="D14" s="102">
        <f>TrAvia_act!D$5</f>
        <v>334.74890462597682</v>
      </c>
      <c r="E14" s="102">
        <f>TrAvia_act!E$5</f>
        <v>343.09289744009305</v>
      </c>
      <c r="F14" s="102">
        <f>TrAvia_act!F$5</f>
        <v>262.1684805949692</v>
      </c>
      <c r="G14" s="102">
        <f>TrAvia_act!G$5</f>
        <v>275.61719741344655</v>
      </c>
      <c r="H14" s="102">
        <f>TrAvia_act!H$5</f>
        <v>275.66147918496665</v>
      </c>
      <c r="I14" s="102">
        <f>TrAvia_act!I$5</f>
        <v>331.16842446921891</v>
      </c>
      <c r="J14" s="102">
        <f>TrAvia_act!J$5</f>
        <v>290.47121893327585</v>
      </c>
      <c r="K14" s="102">
        <f>TrAvia_act!K$5</f>
        <v>267.78872708836974</v>
      </c>
      <c r="L14" s="102">
        <f>TrAvia_act!L$5</f>
        <v>307.66640073734402</v>
      </c>
      <c r="M14" s="102">
        <f>TrAvia_act!M$5</f>
        <v>407.30642366066002</v>
      </c>
      <c r="N14" s="102">
        <f>TrAvia_act!N$5</f>
        <v>673.46022859012942</v>
      </c>
      <c r="O14" s="102">
        <f>TrAvia_act!O$5</f>
        <v>460.26806791486121</v>
      </c>
      <c r="P14" s="102">
        <f>TrAvia_act!P$5</f>
        <v>562.28334189344127</v>
      </c>
      <c r="Q14" s="102">
        <f>TrAvia_act!Q$5</f>
        <v>554.4982749138959</v>
      </c>
      <c r="R14" s="102">
        <f>TrAvia_act!R$5</f>
        <v>606.07416235382084</v>
      </c>
      <c r="S14" s="102">
        <f>TrAvia_act!S$5</f>
        <v>761.18977750654324</v>
      </c>
      <c r="T14" s="102">
        <f>TrAvia_act!T$5</f>
        <v>648.49503683068804</v>
      </c>
      <c r="U14" s="102">
        <f>TrAvia_act!U$5</f>
        <v>662.60020664744468</v>
      </c>
      <c r="V14" s="102">
        <f>TrAvia_act!V$5</f>
        <v>229.99141504106885</v>
      </c>
      <c r="W14" s="102">
        <f>TrAvia_act!W$5</f>
        <v>263.24942436808578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3902.6928852650994</v>
      </c>
      <c r="C15" s="102">
        <f>TrAvia_act!C$6</f>
        <v>3938.2833070750348</v>
      </c>
      <c r="D15" s="102">
        <f>TrAvia_act!D$6</f>
        <v>3917.5560723164631</v>
      </c>
      <c r="E15" s="102">
        <f>TrAvia_act!E$6</f>
        <v>4243.6546407295236</v>
      </c>
      <c r="F15" s="102">
        <f>TrAvia_act!F$6</f>
        <v>4176.8559015988467</v>
      </c>
      <c r="G15" s="102">
        <f>TrAvia_act!G$6</f>
        <v>5352.7729349046613</v>
      </c>
      <c r="H15" s="102">
        <f>TrAvia_act!H$6</f>
        <v>6931.3273426949627</v>
      </c>
      <c r="I15" s="102">
        <f>TrAvia_act!I$6</f>
        <v>8778.9452127265104</v>
      </c>
      <c r="J15" s="102">
        <f>TrAvia_act!J$6</f>
        <v>9129.5231452885509</v>
      </c>
      <c r="K15" s="102">
        <f>TrAvia_act!K$6</f>
        <v>8223.9310450721896</v>
      </c>
      <c r="L15" s="102">
        <f>TrAvia_act!L$6</f>
        <v>8689.4478554658745</v>
      </c>
      <c r="M15" s="102">
        <f>TrAvia_act!M$6</f>
        <v>10192.179573286234</v>
      </c>
      <c r="N15" s="102">
        <f>TrAvia_act!N$6</f>
        <v>10223.827389328791</v>
      </c>
      <c r="O15" s="102">
        <f>TrAvia_act!O$6</f>
        <v>11668.100116168698</v>
      </c>
      <c r="P15" s="102">
        <f>TrAvia_act!P$6</f>
        <v>12679.983485085831</v>
      </c>
      <c r="Q15" s="102">
        <f>TrAvia_act!Q$6</f>
        <v>14893.448181367181</v>
      </c>
      <c r="R15" s="102">
        <f>TrAvia_act!R$6</f>
        <v>17108.766419167576</v>
      </c>
      <c r="S15" s="102">
        <f>TrAvia_act!S$6</f>
        <v>19838.834194332296</v>
      </c>
      <c r="T15" s="102">
        <f>TrAvia_act!T$6</f>
        <v>22199.70607869565</v>
      </c>
      <c r="U15" s="102">
        <f>TrAvia_act!U$6</f>
        <v>22279.727838307004</v>
      </c>
      <c r="V15" s="102">
        <f>TrAvia_act!V$6</f>
        <v>7189.2206927955776</v>
      </c>
      <c r="W15" s="102">
        <f>TrAvia_act!W$6</f>
        <v>9443.2717642326661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3581.024158666969</v>
      </c>
      <c r="C16" s="102">
        <f>TrAvia_act!C$7</f>
        <v>3597.7188884653915</v>
      </c>
      <c r="D16" s="102">
        <f>TrAvia_act!D$7</f>
        <v>3581.4165956229604</v>
      </c>
      <c r="E16" s="102">
        <f>TrAvia_act!E$7</f>
        <v>3950.9075319525355</v>
      </c>
      <c r="F16" s="102">
        <f>TrAvia_act!F$7</f>
        <v>3966.8774076087143</v>
      </c>
      <c r="G16" s="102">
        <f>TrAvia_act!G$7</f>
        <v>4429.1300512223643</v>
      </c>
      <c r="H16" s="102">
        <f>TrAvia_act!H$7</f>
        <v>5095.1936756165378</v>
      </c>
      <c r="I16" s="102">
        <f>TrAvia_act!I$7</f>
        <v>5914.6109810262715</v>
      </c>
      <c r="J16" s="102">
        <f>TrAvia_act!J$7</f>
        <v>7266.4378507666843</v>
      </c>
      <c r="K16" s="102">
        <f>TrAvia_act!K$7</f>
        <v>6128.2067692354667</v>
      </c>
      <c r="L16" s="102">
        <f>TrAvia_act!L$7</f>
        <v>6537.9441406786509</v>
      </c>
      <c r="M16" s="102">
        <f>TrAvia_act!M$7</f>
        <v>5880.1459886425564</v>
      </c>
      <c r="N16" s="102">
        <f>TrAvia_act!N$7</f>
        <v>6053.150301424299</v>
      </c>
      <c r="O16" s="102">
        <f>TrAvia_act!O$7</f>
        <v>5690.256791912363</v>
      </c>
      <c r="P16" s="102">
        <f>TrAvia_act!P$7</f>
        <v>6588.0134768964326</v>
      </c>
      <c r="Q16" s="102">
        <f>TrAvia_act!Q$7</f>
        <v>6176.3559300192937</v>
      </c>
      <c r="R16" s="102">
        <f>TrAvia_act!R$7</f>
        <v>6401.5575287099919</v>
      </c>
      <c r="S16" s="102">
        <f>TrAvia_act!S$7</f>
        <v>9207.6316696748145</v>
      </c>
      <c r="T16" s="102">
        <f>TrAvia_act!T$7</f>
        <v>12776.352240806544</v>
      </c>
      <c r="U16" s="102">
        <f>TrAvia_act!U$7</f>
        <v>15822.102244932721</v>
      </c>
      <c r="V16" s="102">
        <f>TrAvia_act!V$7</f>
        <v>4145.1948739681075</v>
      </c>
      <c r="W16" s="102">
        <f>TrAvia_act!W$7</f>
        <v>7136.0654210389202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125768.64570120313</v>
      </c>
      <c r="C17" s="28">
        <f t="shared" si="12"/>
        <v>121810.35640697373</v>
      </c>
      <c r="D17" s="28">
        <f t="shared" si="12"/>
        <v>123448.45716793778</v>
      </c>
      <c r="E17" s="28">
        <f t="shared" si="12"/>
        <v>126986.15359967032</v>
      </c>
      <c r="F17" s="28">
        <f t="shared" si="12"/>
        <v>140611.52983541967</v>
      </c>
      <c r="G17" s="28">
        <f t="shared" si="12"/>
        <v>141392.95053511654</v>
      </c>
      <c r="H17" s="28">
        <f t="shared" si="12"/>
        <v>149437.41189644826</v>
      </c>
      <c r="I17" s="28">
        <f t="shared" si="12"/>
        <v>154604.58153234533</v>
      </c>
      <c r="J17" s="28">
        <f t="shared" si="12"/>
        <v>159039.45999911148</v>
      </c>
      <c r="K17" s="28">
        <f t="shared" si="12"/>
        <v>156356.82271347175</v>
      </c>
      <c r="L17" s="28">
        <f t="shared" si="12"/>
        <v>170803.67286614588</v>
      </c>
      <c r="M17" s="28">
        <f t="shared" si="12"/>
        <v>185575.26072039356</v>
      </c>
      <c r="N17" s="28">
        <f t="shared" si="12"/>
        <v>182979.34032237896</v>
      </c>
      <c r="O17" s="28">
        <f t="shared" si="12"/>
        <v>198769.51061091246</v>
      </c>
      <c r="P17" s="28">
        <f t="shared" si="12"/>
        <v>195016.84615055509</v>
      </c>
      <c r="Q17" s="28">
        <f t="shared" si="12"/>
        <v>204501.51062033221</v>
      </c>
      <c r="R17" s="28">
        <f t="shared" ref="R17:V17" si="13">R18+R21+R22+R26</f>
        <v>211760.95439324426</v>
      </c>
      <c r="S17" s="28">
        <f t="shared" si="13"/>
        <v>236002.45124045992</v>
      </c>
      <c r="T17" s="28">
        <f t="shared" si="13"/>
        <v>228910.31283323211</v>
      </c>
      <c r="U17" s="28">
        <f t="shared" si="13"/>
        <v>235700.78405798372</v>
      </c>
      <c r="V17" s="28">
        <f t="shared" si="13"/>
        <v>234258.75071112634</v>
      </c>
      <c r="W17" s="28">
        <f t="shared" ref="W17" si="14">W18+W21+W22+W26</f>
        <v>252536.45118710675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70544.260432518742</v>
      </c>
      <c r="C18" s="137">
        <f t="shared" si="15"/>
        <v>72797.137600275499</v>
      </c>
      <c r="D18" s="137">
        <f t="shared" si="15"/>
        <v>75672.957365720562</v>
      </c>
      <c r="E18" s="137">
        <f t="shared" si="15"/>
        <v>78656.933152701677</v>
      </c>
      <c r="F18" s="137">
        <f t="shared" si="15"/>
        <v>87863.138221890811</v>
      </c>
      <c r="G18" s="137">
        <f t="shared" si="15"/>
        <v>91014.214731414715</v>
      </c>
      <c r="H18" s="137">
        <f t="shared" si="15"/>
        <v>95439.613181883615</v>
      </c>
      <c r="I18" s="137">
        <f t="shared" si="15"/>
        <v>99982.055797508976</v>
      </c>
      <c r="J18" s="137">
        <f t="shared" si="15"/>
        <v>106611.05364412046</v>
      </c>
      <c r="K18" s="137">
        <f t="shared" si="15"/>
        <v>112618.41029388714</v>
      </c>
      <c r="L18" s="137">
        <f t="shared" si="15"/>
        <v>121843.03489495581</v>
      </c>
      <c r="M18" s="137">
        <f t="shared" si="15"/>
        <v>131520.76589460566</v>
      </c>
      <c r="N18" s="137">
        <f t="shared" si="15"/>
        <v>133808.73704450359</v>
      </c>
      <c r="O18" s="137">
        <f t="shared" si="15"/>
        <v>147659.4693523621</v>
      </c>
      <c r="P18" s="137">
        <f t="shared" si="15"/>
        <v>144666.2040003622</v>
      </c>
      <c r="Q18" s="137">
        <f t="shared" si="15"/>
        <v>153612.88376567207</v>
      </c>
      <c r="R18" s="137">
        <f t="shared" ref="R18:V18" si="16">R19+R20</f>
        <v>160747.06065454698</v>
      </c>
      <c r="S18" s="137">
        <f t="shared" si="16"/>
        <v>180807.13443491561</v>
      </c>
      <c r="T18" s="137">
        <f t="shared" si="16"/>
        <v>169104.53360652592</v>
      </c>
      <c r="U18" s="137">
        <f t="shared" si="16"/>
        <v>180601.89719398911</v>
      </c>
      <c r="V18" s="137">
        <f t="shared" si="16"/>
        <v>182784.69415462617</v>
      </c>
      <c r="W18" s="137">
        <f t="shared" ref="W18" si="17">W19+W20</f>
        <v>197698.25889129197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3869.1154587522142</v>
      </c>
      <c r="C19" s="102">
        <f>TrRoad_act!C$20</f>
        <v>3792.6540508980656</v>
      </c>
      <c r="D19" s="102">
        <f>TrRoad_act!D$20</f>
        <v>3989.2869630346099</v>
      </c>
      <c r="E19" s="102">
        <f>TrRoad_act!E$20</f>
        <v>4131.9963086666576</v>
      </c>
      <c r="F19" s="102">
        <f>TrRoad_act!F$20</f>
        <v>4054.3197530436855</v>
      </c>
      <c r="G19" s="102">
        <f>TrRoad_act!G$20</f>
        <v>4202.6749026788402</v>
      </c>
      <c r="H19" s="102">
        <f>TrRoad_act!H$20</f>
        <v>4439.4903178175573</v>
      </c>
      <c r="I19" s="102">
        <f>TrRoad_act!I$20</f>
        <v>4647.2083811668754</v>
      </c>
      <c r="J19" s="102">
        <f>TrRoad_act!J$20</f>
        <v>4974.4094593712143</v>
      </c>
      <c r="K19" s="102">
        <f>TrRoad_act!K$20</f>
        <v>5262.5354835893204</v>
      </c>
      <c r="L19" s="102">
        <f>TrRoad_act!L$20</f>
        <v>5626.0372920469017</v>
      </c>
      <c r="M19" s="102">
        <f>TrRoad_act!M$20</f>
        <v>5918.8960183949921</v>
      </c>
      <c r="N19" s="102">
        <f>TrRoad_act!N$20</f>
        <v>5932.1963835860106</v>
      </c>
      <c r="O19" s="102">
        <f>TrRoad_act!O$20</f>
        <v>6119.3768060422581</v>
      </c>
      <c r="P19" s="102">
        <f>TrRoad_act!P$20</f>
        <v>6127.7777340486518</v>
      </c>
      <c r="Q19" s="102">
        <f>TrRoad_act!Q$20</f>
        <v>6213.9130106012253</v>
      </c>
      <c r="R19" s="102">
        <f>TrRoad_act!R$20</f>
        <v>6542.128102141497</v>
      </c>
      <c r="S19" s="102">
        <f>TrRoad_act!S$20</f>
        <v>6812.9725167452261</v>
      </c>
      <c r="T19" s="102">
        <f>TrRoad_act!T$20</f>
        <v>7179.5336065259162</v>
      </c>
      <c r="U19" s="102">
        <f>TrRoad_act!U$20</f>
        <v>7533.8971939891135</v>
      </c>
      <c r="V19" s="102">
        <f>TrRoad_act!V$20</f>
        <v>7643.6941546261778</v>
      </c>
      <c r="W19" s="102">
        <f>TrRoad_act!W$20</f>
        <v>7918.2588912919764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66675.144973766524</v>
      </c>
      <c r="C20" s="102">
        <f>TrRoad_act!C$26</f>
        <v>69004.48354937743</v>
      </c>
      <c r="D20" s="102">
        <f>TrRoad_act!D$26</f>
        <v>71683.670402685952</v>
      </c>
      <c r="E20" s="102">
        <f>TrRoad_act!E$26</f>
        <v>74524.936844035023</v>
      </c>
      <c r="F20" s="102">
        <f>TrRoad_act!F$26</f>
        <v>83808.818468847123</v>
      </c>
      <c r="G20" s="102">
        <f>TrRoad_act!G$26</f>
        <v>86811.539828735869</v>
      </c>
      <c r="H20" s="102">
        <f>TrRoad_act!H$26</f>
        <v>91000.122864066056</v>
      </c>
      <c r="I20" s="102">
        <f>TrRoad_act!I$26</f>
        <v>95334.847416342105</v>
      </c>
      <c r="J20" s="102">
        <f>TrRoad_act!J$26</f>
        <v>101636.64418474924</v>
      </c>
      <c r="K20" s="102">
        <f>TrRoad_act!K$26</f>
        <v>107355.87481029781</v>
      </c>
      <c r="L20" s="102">
        <f>TrRoad_act!L$26</f>
        <v>116216.99760290892</v>
      </c>
      <c r="M20" s="102">
        <f>TrRoad_act!M$26</f>
        <v>125601.86987621067</v>
      </c>
      <c r="N20" s="102">
        <f>TrRoad_act!N$26</f>
        <v>127876.54066091758</v>
      </c>
      <c r="O20" s="102">
        <f>TrRoad_act!O$26</f>
        <v>141540.09254631985</v>
      </c>
      <c r="P20" s="102">
        <f>TrRoad_act!P$26</f>
        <v>138538.42626631353</v>
      </c>
      <c r="Q20" s="102">
        <f>TrRoad_act!Q$26</f>
        <v>147398.97075507086</v>
      </c>
      <c r="R20" s="102">
        <f>TrRoad_act!R$26</f>
        <v>154204.93255240549</v>
      </c>
      <c r="S20" s="102">
        <f>TrRoad_act!S$26</f>
        <v>173994.1619181704</v>
      </c>
      <c r="T20" s="102">
        <f>TrRoad_act!T$26</f>
        <v>161925</v>
      </c>
      <c r="U20" s="102">
        <f>TrRoad_act!U$26</f>
        <v>173068</v>
      </c>
      <c r="V20" s="102">
        <f>TrRoad_act!V$26</f>
        <v>175141</v>
      </c>
      <c r="W20" s="102">
        <f>TrRoad_act!W$26</f>
        <v>189780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54000</v>
      </c>
      <c r="C21" s="110">
        <f>TrRail_act!C$10</f>
        <v>47700</v>
      </c>
      <c r="D21" s="110">
        <f>TrRail_act!D$10</f>
        <v>46600</v>
      </c>
      <c r="E21" s="110">
        <f>TrRail_act!E$10</f>
        <v>47407</v>
      </c>
      <c r="F21" s="110">
        <f>TrRail_act!F$10</f>
        <v>52332</v>
      </c>
      <c r="G21" s="110">
        <f>TrRail_act!G$10</f>
        <v>49972</v>
      </c>
      <c r="H21" s="110">
        <f>TrRail_act!H$10</f>
        <v>53622</v>
      </c>
      <c r="I21" s="110">
        <f>TrRail_act!I$10</f>
        <v>54253</v>
      </c>
      <c r="J21" s="110">
        <f>TrRail_act!J$10</f>
        <v>52043</v>
      </c>
      <c r="K21" s="110">
        <f>TrRail_act!K$10</f>
        <v>43445</v>
      </c>
      <c r="L21" s="110">
        <f>TrRail_act!L$10</f>
        <v>48705</v>
      </c>
      <c r="M21" s="110">
        <f>TrRail_act!M$10</f>
        <v>53746</v>
      </c>
      <c r="N21" s="110">
        <f>TrRail_act!N$10</f>
        <v>48903</v>
      </c>
      <c r="O21" s="110">
        <f>TrRail_act!O$10</f>
        <v>50881</v>
      </c>
      <c r="P21" s="110">
        <f>TrRail_act!P$10</f>
        <v>50073</v>
      </c>
      <c r="Q21" s="110">
        <f>TrRail_act!Q$10</f>
        <v>50603</v>
      </c>
      <c r="R21" s="110">
        <f>TrRail_act!R$10</f>
        <v>50650</v>
      </c>
      <c r="S21" s="110">
        <f>TrRail_act!S$10</f>
        <v>54797</v>
      </c>
      <c r="T21" s="110">
        <f>TrRail_act!T$10</f>
        <v>59388</v>
      </c>
      <c r="U21" s="110">
        <f>TrRail_act!U$10</f>
        <v>54584</v>
      </c>
      <c r="V21" s="110">
        <f>TrRail_act!V$10</f>
        <v>51096</v>
      </c>
      <c r="W21" s="110">
        <f>TrRail_act!W$10</f>
        <v>54387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36.99626868439907</v>
      </c>
      <c r="C22" s="110">
        <f t="shared" ref="C22:V22" si="19">C23+C24+C25</f>
        <v>35.240806698231232</v>
      </c>
      <c r="D22" s="110">
        <f t="shared" si="19"/>
        <v>34.933802217212239</v>
      </c>
      <c r="E22" s="110">
        <f t="shared" si="19"/>
        <v>34.804446968638715</v>
      </c>
      <c r="F22" s="110">
        <f t="shared" si="19"/>
        <v>31.334613528856732</v>
      </c>
      <c r="G22" s="110">
        <f t="shared" si="19"/>
        <v>32.787803701837674</v>
      </c>
      <c r="H22" s="110">
        <f t="shared" si="19"/>
        <v>43.017714564653588</v>
      </c>
      <c r="I22" s="110">
        <f t="shared" si="19"/>
        <v>60.245734836349044</v>
      </c>
      <c r="J22" s="110">
        <f t="shared" si="19"/>
        <v>69.125354991028033</v>
      </c>
      <c r="K22" s="110">
        <f t="shared" si="19"/>
        <v>63.576419584586915</v>
      </c>
      <c r="L22" s="110">
        <f t="shared" si="19"/>
        <v>97.968971190068871</v>
      </c>
      <c r="M22" s="110">
        <f t="shared" si="19"/>
        <v>96.212825787890935</v>
      </c>
      <c r="N22" s="110">
        <f t="shared" si="19"/>
        <v>90.433277875368745</v>
      </c>
      <c r="O22" s="110">
        <f t="shared" si="19"/>
        <v>97.649258550371854</v>
      </c>
      <c r="P22" s="110">
        <f t="shared" si="19"/>
        <v>142.58415019290786</v>
      </c>
      <c r="Q22" s="110">
        <f t="shared" si="19"/>
        <v>162.67985466015369</v>
      </c>
      <c r="R22" s="110">
        <f t="shared" si="19"/>
        <v>190.22173869730614</v>
      </c>
      <c r="S22" s="110">
        <f t="shared" si="19"/>
        <v>217.14480554431549</v>
      </c>
      <c r="T22" s="110">
        <f t="shared" si="19"/>
        <v>240.66422670619852</v>
      </c>
      <c r="U22" s="110">
        <f t="shared" si="19"/>
        <v>362.49286399460641</v>
      </c>
      <c r="V22" s="110">
        <f t="shared" si="19"/>
        <v>201.10455650017474</v>
      </c>
      <c r="W22" s="110">
        <f t="shared" ref="W22" si="20">W23+W24+W25</f>
        <v>257.68129581477035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1.0004069636170398</v>
      </c>
      <c r="C23" s="102">
        <f>TrAvia_act!C$9</f>
        <v>0.76680133329451317</v>
      </c>
      <c r="D23" s="102">
        <f>TrAvia_act!D$9</f>
        <v>0.87468731155290125</v>
      </c>
      <c r="E23" s="102">
        <f>TrAvia_act!E$9</f>
        <v>0.92761660962498071</v>
      </c>
      <c r="F23" s="102">
        <f>TrAvia_act!F$9</f>
        <v>0.64858514428969138</v>
      </c>
      <c r="G23" s="102">
        <f>TrAvia_act!G$9</f>
        <v>0.52576165729167557</v>
      </c>
      <c r="H23" s="102">
        <f>TrAvia_act!H$9</f>
        <v>1.2641429596481619</v>
      </c>
      <c r="I23" s="102">
        <f>TrAvia_act!I$9</f>
        <v>1.6622819557176538</v>
      </c>
      <c r="J23" s="102">
        <f>TrAvia_act!J$9</f>
        <v>1.8642950076167801</v>
      </c>
      <c r="K23" s="102">
        <f>TrAvia_act!K$9</f>
        <v>1.8832669962279589</v>
      </c>
      <c r="L23" s="102">
        <f>TrAvia_act!L$9</f>
        <v>1.828069359511882</v>
      </c>
      <c r="M23" s="102">
        <f>TrAvia_act!M$9</f>
        <v>2.2304625557947522</v>
      </c>
      <c r="N23" s="102">
        <f>TrAvia_act!N$9</f>
        <v>2.3869033857546511</v>
      </c>
      <c r="O23" s="102">
        <f>TrAvia_act!O$9</f>
        <v>2.0916529001118151</v>
      </c>
      <c r="P23" s="102">
        <f>TrAvia_act!P$9</f>
        <v>1.3480580153718964</v>
      </c>
      <c r="Q23" s="102">
        <f>TrAvia_act!Q$9</f>
        <v>0.93784698083030249</v>
      </c>
      <c r="R23" s="102">
        <f>TrAvia_act!R$9</f>
        <v>0.52890092859418747</v>
      </c>
      <c r="S23" s="102">
        <f>TrAvia_act!S$9</f>
        <v>0.17525112461004899</v>
      </c>
      <c r="T23" s="102">
        <f>TrAvia_act!T$9</f>
        <v>0.16401510262257638</v>
      </c>
      <c r="U23" s="102">
        <f>TrAvia_act!U$9</f>
        <v>0.22048491825026462</v>
      </c>
      <c r="V23" s="102">
        <f>TrAvia_act!V$9</f>
        <v>6.1895484479377497E-2</v>
      </c>
      <c r="W23" s="102">
        <f>TrAvia_act!W$9</f>
        <v>6.8820840718823426E-2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9.1170261438849831</v>
      </c>
      <c r="C24" s="102">
        <f>TrAvia_act!C$10</f>
        <v>7.3011007178140908</v>
      </c>
      <c r="D24" s="102">
        <f>TrAvia_act!D$10</f>
        <v>7.8385447792262619</v>
      </c>
      <c r="E24" s="102">
        <f>TrAvia_act!E$10</f>
        <v>8.0203032037835502</v>
      </c>
      <c r="F24" s="102">
        <f>TrAvia_act!F$10</f>
        <v>5.4235429289431876</v>
      </c>
      <c r="G24" s="102">
        <f>TrAvia_act!G$10</f>
        <v>7.4773118906297071</v>
      </c>
      <c r="H24" s="102">
        <f>TrAvia_act!H$10</f>
        <v>8.8087001610206652</v>
      </c>
      <c r="I24" s="102">
        <f>TrAvia_act!I$10</f>
        <v>9.7685306878952023</v>
      </c>
      <c r="J24" s="102">
        <f>TrAvia_act!J$10</f>
        <v>10.948807901471618</v>
      </c>
      <c r="K24" s="102">
        <f>TrAvia_act!K$10</f>
        <v>13.238564920255502</v>
      </c>
      <c r="L24" s="102">
        <f>TrAvia_act!L$10</f>
        <v>13.6511143671589</v>
      </c>
      <c r="M24" s="102">
        <f>TrAvia_act!M$10</f>
        <v>16.0359043052587</v>
      </c>
      <c r="N24" s="102">
        <f>TrAvia_act!N$10</f>
        <v>18.132539886575291</v>
      </c>
      <c r="O24" s="102">
        <f>TrAvia_act!O$10</f>
        <v>19.503343750173872</v>
      </c>
      <c r="P24" s="102">
        <f>TrAvia_act!P$10</f>
        <v>23.594449908401952</v>
      </c>
      <c r="Q24" s="102">
        <f>TrAvia_act!Q$10</f>
        <v>27.574151858608374</v>
      </c>
      <c r="R24" s="102">
        <f>TrAvia_act!R$10</f>
        <v>28.855759716795372</v>
      </c>
      <c r="S24" s="102">
        <f>TrAvia_act!S$10</f>
        <v>31.449738795216511</v>
      </c>
      <c r="T24" s="102">
        <f>TrAvia_act!T$10</f>
        <v>34.435515481964721</v>
      </c>
      <c r="U24" s="102">
        <f>TrAvia_act!U$10</f>
        <v>38.002480845091931</v>
      </c>
      <c r="V24" s="102">
        <f>TrAvia_act!V$10</f>
        <v>34.304004112998427</v>
      </c>
      <c r="W24" s="102">
        <f>TrAvia_act!W$10</f>
        <v>46.074108901856917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26.878835576897043</v>
      </c>
      <c r="C25" s="102">
        <f>TrAvia_act!C$11</f>
        <v>27.172904647122628</v>
      </c>
      <c r="D25" s="102">
        <f>TrAvia_act!D$11</f>
        <v>26.220570126433074</v>
      </c>
      <c r="E25" s="102">
        <f>TrAvia_act!E$11</f>
        <v>25.856527155230182</v>
      </c>
      <c r="F25" s="102">
        <f>TrAvia_act!F$11</f>
        <v>25.262485455623853</v>
      </c>
      <c r="G25" s="102">
        <f>TrAvia_act!G$11</f>
        <v>24.784730153916289</v>
      </c>
      <c r="H25" s="102">
        <f>TrAvia_act!H$11</f>
        <v>32.944871443984759</v>
      </c>
      <c r="I25" s="102">
        <f>TrAvia_act!I$11</f>
        <v>48.814922192736191</v>
      </c>
      <c r="J25" s="102">
        <f>TrAvia_act!J$11</f>
        <v>56.312252081939633</v>
      </c>
      <c r="K25" s="102">
        <f>TrAvia_act!K$11</f>
        <v>48.45458766810345</v>
      </c>
      <c r="L25" s="102">
        <f>TrAvia_act!L$11</f>
        <v>82.489787463398088</v>
      </c>
      <c r="M25" s="102">
        <f>TrAvia_act!M$11</f>
        <v>77.946458926837479</v>
      </c>
      <c r="N25" s="102">
        <f>TrAvia_act!N$11</f>
        <v>69.913834603038808</v>
      </c>
      <c r="O25" s="102">
        <f>TrAvia_act!O$11</f>
        <v>76.054261900086175</v>
      </c>
      <c r="P25" s="102">
        <f>TrAvia_act!P$11</f>
        <v>117.641642269134</v>
      </c>
      <c r="Q25" s="102">
        <f>TrAvia_act!Q$11</f>
        <v>134.167855820715</v>
      </c>
      <c r="R25" s="102">
        <f>TrAvia_act!R$11</f>
        <v>160.83707805191656</v>
      </c>
      <c r="S25" s="102">
        <f>TrAvia_act!S$11</f>
        <v>185.51981562448893</v>
      </c>
      <c r="T25" s="102">
        <f>TrAvia_act!T$11</f>
        <v>206.06469612161123</v>
      </c>
      <c r="U25" s="102">
        <f>TrAvia_act!U$11</f>
        <v>324.26989823126422</v>
      </c>
      <c r="V25" s="102">
        <f>TrAvia_act!V$11</f>
        <v>166.73865690269693</v>
      </c>
      <c r="W25" s="102">
        <f>TrAvia_act!W$11</f>
        <v>211.53836607219461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1187.3889999999999</v>
      </c>
      <c r="C26" s="110">
        <f t="shared" si="21"/>
        <v>1277.9780000000001</v>
      </c>
      <c r="D26" s="110">
        <f t="shared" si="21"/>
        <v>1140.566</v>
      </c>
      <c r="E26" s="110">
        <f t="shared" si="21"/>
        <v>887.41600000000005</v>
      </c>
      <c r="F26" s="110">
        <f t="shared" si="21"/>
        <v>385.05700000000002</v>
      </c>
      <c r="G26" s="110">
        <f t="shared" si="21"/>
        <v>373.94799999999998</v>
      </c>
      <c r="H26" s="110">
        <f t="shared" si="21"/>
        <v>332.78100000000001</v>
      </c>
      <c r="I26" s="110">
        <f t="shared" si="21"/>
        <v>309.27999999999997</v>
      </c>
      <c r="J26" s="110">
        <f t="shared" si="21"/>
        <v>316.28100000000001</v>
      </c>
      <c r="K26" s="110">
        <f t="shared" si="21"/>
        <v>229.83600000000001</v>
      </c>
      <c r="L26" s="110">
        <f t="shared" si="21"/>
        <v>157.66900000000001</v>
      </c>
      <c r="M26" s="110">
        <f t="shared" si="21"/>
        <v>212.28199999999998</v>
      </c>
      <c r="N26" s="110">
        <f t="shared" si="21"/>
        <v>177.17000000000002</v>
      </c>
      <c r="O26" s="110">
        <f t="shared" si="21"/>
        <v>131.392</v>
      </c>
      <c r="P26" s="110">
        <f t="shared" si="21"/>
        <v>135.05799999999999</v>
      </c>
      <c r="Q26" s="110">
        <f t="shared" si="21"/>
        <v>122.947</v>
      </c>
      <c r="R26" s="110">
        <f t="shared" ref="R26:V26" si="22">R27+R28</f>
        <v>173.672</v>
      </c>
      <c r="S26" s="110">
        <f t="shared" si="22"/>
        <v>181.172</v>
      </c>
      <c r="T26" s="110">
        <f t="shared" si="22"/>
        <v>177.11500000000001</v>
      </c>
      <c r="U26" s="110">
        <f t="shared" si="22"/>
        <v>152.39400000000001</v>
      </c>
      <c r="V26" s="110">
        <f t="shared" si="22"/>
        <v>176.952</v>
      </c>
      <c r="W26" s="110">
        <f t="shared" ref="W26" si="23">W27+W28</f>
        <v>193.511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14.388999999999999</v>
      </c>
      <c r="C27" s="102">
        <f>TrNavi_act!C4</f>
        <v>13.978</v>
      </c>
      <c r="D27" s="102">
        <f>TrNavi_act!D4</f>
        <v>14.566000000000001</v>
      </c>
      <c r="E27" s="102">
        <f>TrNavi_act!E4</f>
        <v>15.416</v>
      </c>
      <c r="F27" s="102">
        <f>TrNavi_act!F4</f>
        <v>15.057</v>
      </c>
      <c r="G27" s="102">
        <f>TrNavi_act!G4</f>
        <v>46.948</v>
      </c>
      <c r="H27" s="102">
        <f>TrNavi_act!H4</f>
        <v>43.780999999999999</v>
      </c>
      <c r="I27" s="102">
        <f>TrNavi_act!I4</f>
        <v>32.28</v>
      </c>
      <c r="J27" s="102">
        <f>TrNavi_act!J4</f>
        <v>39.280999999999999</v>
      </c>
      <c r="K27" s="102">
        <f>TrNavi_act!K4</f>
        <v>27.835999999999999</v>
      </c>
      <c r="L27" s="102">
        <f>TrNavi_act!L4</f>
        <v>27.669</v>
      </c>
      <c r="M27" s="102">
        <f>TrNavi_act!M4</f>
        <v>51.281999999999996</v>
      </c>
      <c r="N27" s="102">
        <f>TrNavi_act!N4</f>
        <v>46.17</v>
      </c>
      <c r="O27" s="102">
        <f>TrNavi_act!O4</f>
        <v>40.392000000000003</v>
      </c>
      <c r="P27" s="102">
        <f>TrNavi_act!P4</f>
        <v>25.058</v>
      </c>
      <c r="Q27" s="102">
        <f>TrNavi_act!Q4</f>
        <v>34.947000000000003</v>
      </c>
      <c r="R27" s="102">
        <f>TrNavi_act!R4</f>
        <v>65.671999999999997</v>
      </c>
      <c r="S27" s="102">
        <f>TrNavi_act!S4</f>
        <v>66.171999999999997</v>
      </c>
      <c r="T27" s="102">
        <f>TrNavi_act!T4</f>
        <v>52.115000000000002</v>
      </c>
      <c r="U27" s="102">
        <f>TrNavi_act!U4</f>
        <v>65.394000000000005</v>
      </c>
      <c r="V27" s="102">
        <f>TrNavi_act!V4</f>
        <v>99.951999999999998</v>
      </c>
      <c r="W27" s="102">
        <f>TrNavi_act!W4</f>
        <v>139.511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1173</v>
      </c>
      <c r="C28" s="169">
        <f>TrNavi_act!C5</f>
        <v>1264</v>
      </c>
      <c r="D28" s="169">
        <f>TrNavi_act!D5</f>
        <v>1126</v>
      </c>
      <c r="E28" s="169">
        <f>TrNavi_act!E5</f>
        <v>872</v>
      </c>
      <c r="F28" s="169">
        <f>TrNavi_act!F5</f>
        <v>370</v>
      </c>
      <c r="G28" s="169">
        <f>TrNavi_act!G5</f>
        <v>327</v>
      </c>
      <c r="H28" s="169">
        <f>TrNavi_act!H5</f>
        <v>289</v>
      </c>
      <c r="I28" s="169">
        <f>TrNavi_act!I5</f>
        <v>277</v>
      </c>
      <c r="J28" s="169">
        <f>TrNavi_act!J5</f>
        <v>277</v>
      </c>
      <c r="K28" s="169">
        <f>TrNavi_act!K5</f>
        <v>202</v>
      </c>
      <c r="L28" s="169">
        <f>TrNavi_act!L5</f>
        <v>130</v>
      </c>
      <c r="M28" s="169">
        <f>TrNavi_act!M5</f>
        <v>161</v>
      </c>
      <c r="N28" s="169">
        <f>TrNavi_act!N5</f>
        <v>131</v>
      </c>
      <c r="O28" s="169">
        <f>TrNavi_act!O5</f>
        <v>91</v>
      </c>
      <c r="P28" s="169">
        <f>TrNavi_act!P5</f>
        <v>110</v>
      </c>
      <c r="Q28" s="169">
        <f>TrNavi_act!Q5</f>
        <v>88</v>
      </c>
      <c r="R28" s="169">
        <f>TrNavi_act!R5</f>
        <v>108</v>
      </c>
      <c r="S28" s="169">
        <f>TrNavi_act!S5</f>
        <v>115</v>
      </c>
      <c r="T28" s="169">
        <f>TrNavi_act!T5</f>
        <v>125</v>
      </c>
      <c r="U28" s="169">
        <f>TrNavi_act!U5</f>
        <v>87</v>
      </c>
      <c r="V28" s="169">
        <f>TrNavi_act!V5</f>
        <v>77</v>
      </c>
      <c r="W28" s="169">
        <f>TrNavi_act!W5</f>
        <v>54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54914.365048000007</v>
      </c>
      <c r="C29" s="28">
        <f t="shared" si="24"/>
        <v>49478.600707999998</v>
      </c>
      <c r="D29" s="28">
        <f t="shared" si="24"/>
        <v>51511.065805999999</v>
      </c>
      <c r="E29" s="28">
        <f t="shared" si="24"/>
        <v>54374.927660000001</v>
      </c>
      <c r="F29" s="28">
        <f t="shared" si="24"/>
        <v>48347.766540000004</v>
      </c>
      <c r="G29" s="28">
        <f t="shared" si="24"/>
        <v>121265.066861</v>
      </c>
      <c r="H29" s="28">
        <f t="shared" si="24"/>
        <v>116459.15085599999</v>
      </c>
      <c r="I29" s="28">
        <f t="shared" si="24"/>
        <v>88457.408364999996</v>
      </c>
      <c r="J29" s="28">
        <f t="shared" si="24"/>
        <v>82951.685765000002</v>
      </c>
      <c r="K29" s="28">
        <f t="shared" si="24"/>
        <v>83279.743633999999</v>
      </c>
      <c r="L29" s="28">
        <f t="shared" si="24"/>
        <v>110248.966075</v>
      </c>
      <c r="M29" s="28">
        <f t="shared" si="24"/>
        <v>101991.90660999999</v>
      </c>
      <c r="N29" s="28">
        <f t="shared" si="24"/>
        <v>124260.61745800001</v>
      </c>
      <c r="O29" s="28">
        <f t="shared" si="24"/>
        <v>141784.21324399998</v>
      </c>
      <c r="P29" s="28">
        <f t="shared" si="24"/>
        <v>168540.22747899999</v>
      </c>
      <c r="Q29" s="28">
        <f t="shared" si="24"/>
        <v>171842.56049499998</v>
      </c>
      <c r="R29" s="28">
        <f t="shared" si="24"/>
        <v>201347.11962199997</v>
      </c>
      <c r="S29" s="28">
        <f t="shared" si="24"/>
        <v>242120.77254099998</v>
      </c>
      <c r="T29" s="28">
        <f t="shared" si="24"/>
        <v>275629.72364099999</v>
      </c>
      <c r="U29" s="28">
        <f t="shared" si="24"/>
        <v>283891.13471700001</v>
      </c>
      <c r="V29" s="28">
        <f t="shared" si="24"/>
        <v>266400.48320000002</v>
      </c>
      <c r="W29" s="28">
        <f t="shared" si="24"/>
        <v>287822.45517599996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14948.69916</v>
      </c>
      <c r="C30" s="102">
        <f>MBunk_act!C$4</f>
        <v>13231.778343</v>
      </c>
      <c r="D30" s="102">
        <f>MBunk_act!D$4</f>
        <v>13786.592832</v>
      </c>
      <c r="E30" s="102">
        <f>MBunk_act!E$4</f>
        <v>14588.018786000001</v>
      </c>
      <c r="F30" s="102">
        <f>MBunk_act!F$4</f>
        <v>12964.248432</v>
      </c>
      <c r="G30" s="102">
        <f>MBunk_act!G$4</f>
        <v>27712.117399000002</v>
      </c>
      <c r="H30" s="102">
        <f>MBunk_act!H$4</f>
        <v>21709.411239000001</v>
      </c>
      <c r="I30" s="102">
        <f>MBunk_act!I$4</f>
        <v>22885.779427000001</v>
      </c>
      <c r="J30" s="102">
        <f>MBunk_act!J$4</f>
        <v>18302.013667000003</v>
      </c>
      <c r="K30" s="102">
        <f>MBunk_act!K$4</f>
        <v>19401.116614999999</v>
      </c>
      <c r="L30" s="102">
        <f>MBunk_act!L$4</f>
        <v>26590.259624999999</v>
      </c>
      <c r="M30" s="102">
        <f>MBunk_act!M$4</f>
        <v>23792.016882</v>
      </c>
      <c r="N30" s="102">
        <f>MBunk_act!N$4</f>
        <v>20264.993726000001</v>
      </c>
      <c r="O30" s="102">
        <f>MBunk_act!O$4</f>
        <v>22912.572402000002</v>
      </c>
      <c r="P30" s="102">
        <f>MBunk_act!P$4</f>
        <v>23900.396728</v>
      </c>
      <c r="Q30" s="102">
        <f>MBunk_act!Q$4</f>
        <v>26308.016986000002</v>
      </c>
      <c r="R30" s="102">
        <f>MBunk_act!R$4</f>
        <v>25447.419515000001</v>
      </c>
      <c r="S30" s="102">
        <f>MBunk_act!S$4</f>
        <v>23096.222408000001</v>
      </c>
      <c r="T30" s="102">
        <f>MBunk_act!T$4</f>
        <v>26056.211767000001</v>
      </c>
      <c r="U30" s="102">
        <f>MBunk_act!U$4</f>
        <v>25737.090829000001</v>
      </c>
      <c r="V30" s="102">
        <f>MBunk_act!V$4</f>
        <v>27130.182922</v>
      </c>
      <c r="W30" s="102">
        <f>MBunk_act!W$4</f>
        <v>27853.358779999999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39965.665888000003</v>
      </c>
      <c r="C31" s="86">
        <f>MBunk_act!C$5</f>
        <v>36246.822365</v>
      </c>
      <c r="D31" s="86">
        <f>MBunk_act!D$5</f>
        <v>37724.472973999997</v>
      </c>
      <c r="E31" s="86">
        <f>MBunk_act!E$5</f>
        <v>39786.908874000001</v>
      </c>
      <c r="F31" s="86">
        <f>MBunk_act!F$5</f>
        <v>35383.518108000004</v>
      </c>
      <c r="G31" s="86">
        <f>MBunk_act!G$5</f>
        <v>93552.949462000004</v>
      </c>
      <c r="H31" s="86">
        <f>MBunk_act!H$5</f>
        <v>94749.739616999999</v>
      </c>
      <c r="I31" s="86">
        <f>MBunk_act!I$5</f>
        <v>65571.628937999994</v>
      </c>
      <c r="J31" s="86">
        <f>MBunk_act!J$5</f>
        <v>64649.672097999995</v>
      </c>
      <c r="K31" s="86">
        <f>MBunk_act!K$5</f>
        <v>63878.627019</v>
      </c>
      <c r="L31" s="86">
        <f>MBunk_act!L$5</f>
        <v>83658.706450000012</v>
      </c>
      <c r="M31" s="86">
        <f>MBunk_act!M$5</f>
        <v>78199.889727999995</v>
      </c>
      <c r="N31" s="86">
        <f>MBunk_act!N$5</f>
        <v>103995.62373200001</v>
      </c>
      <c r="O31" s="86">
        <f>MBunk_act!O$5</f>
        <v>118871.64084199999</v>
      </c>
      <c r="P31" s="86">
        <f>MBunk_act!P$5</f>
        <v>144639.830751</v>
      </c>
      <c r="Q31" s="86">
        <f>MBunk_act!Q$5</f>
        <v>145534.54350899998</v>
      </c>
      <c r="R31" s="86">
        <f>MBunk_act!R$5</f>
        <v>175899.70010699998</v>
      </c>
      <c r="S31" s="86">
        <f>MBunk_act!S$5</f>
        <v>219024.55013299998</v>
      </c>
      <c r="T31" s="86">
        <f>MBunk_act!T$5</f>
        <v>249573.51187399999</v>
      </c>
      <c r="U31" s="86">
        <f>MBunk_act!U$5</f>
        <v>258154.04388800001</v>
      </c>
      <c r="V31" s="86">
        <f>MBunk_act!V$5</f>
        <v>239270.30027800001</v>
      </c>
      <c r="W31" s="86">
        <f>MBunk_act!W$5</f>
        <v>259969.09639599998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6863.5511689164268</v>
      </c>
      <c r="C34" s="28">
        <f t="shared" si="25"/>
        <v>6693.6780991309133</v>
      </c>
      <c r="D34" s="28">
        <f t="shared" si="25"/>
        <v>6604.8748755182296</v>
      </c>
      <c r="E34" s="28">
        <f t="shared" si="25"/>
        <v>6900.6798293676675</v>
      </c>
      <c r="F34" s="28">
        <f t="shared" si="25"/>
        <v>7554.9993850680057</v>
      </c>
      <c r="G34" s="28">
        <f t="shared" si="25"/>
        <v>7630.3054980662555</v>
      </c>
      <c r="H34" s="28">
        <f t="shared" si="25"/>
        <v>8413.4266717401988</v>
      </c>
      <c r="I34" s="28">
        <f t="shared" si="25"/>
        <v>9185.199554961373</v>
      </c>
      <c r="J34" s="28">
        <f t="shared" si="25"/>
        <v>9796.3359497001456</v>
      </c>
      <c r="K34" s="28">
        <f t="shared" si="25"/>
        <v>10133.348898353739</v>
      </c>
      <c r="L34" s="28">
        <f t="shared" si="25"/>
        <v>10630.084284201472</v>
      </c>
      <c r="M34" s="28">
        <f t="shared" si="25"/>
        <v>10726.062399630733</v>
      </c>
      <c r="N34" s="28">
        <f t="shared" si="25"/>
        <v>10693.993228003033</v>
      </c>
      <c r="O34" s="28">
        <f t="shared" si="25"/>
        <v>10221.906221695415</v>
      </c>
      <c r="P34" s="28">
        <f t="shared" si="25"/>
        <v>10254.849993585991</v>
      </c>
      <c r="Q34" s="28">
        <f t="shared" si="25"/>
        <v>10909.056048990888</v>
      </c>
      <c r="R34" s="28">
        <f t="shared" ref="R34:V34" si="26">R35+R39+R43</f>
        <v>11710.560636040573</v>
      </c>
      <c r="S34" s="28">
        <f t="shared" si="26"/>
        <v>13018.282698032337</v>
      </c>
      <c r="T34" s="28">
        <f t="shared" si="26"/>
        <v>13806.879349960102</v>
      </c>
      <c r="U34" s="28">
        <f t="shared" si="26"/>
        <v>14254.561717634246</v>
      </c>
      <c r="V34" s="28">
        <f t="shared" si="26"/>
        <v>13115.25384361651</v>
      </c>
      <c r="W34" s="28">
        <f t="shared" ref="W34" si="27">W35+W39+W43</f>
        <v>13237.576193910752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6285.4582123793989</v>
      </c>
      <c r="C35" s="137">
        <f t="shared" si="28"/>
        <v>6101.8644522880968</v>
      </c>
      <c r="D35" s="137">
        <f t="shared" si="28"/>
        <v>6010.6052007741491</v>
      </c>
      <c r="E35" s="137">
        <f t="shared" si="28"/>
        <v>6278.6439681758029</v>
      </c>
      <c r="F35" s="137">
        <f t="shared" si="28"/>
        <v>6983.9123436541986</v>
      </c>
      <c r="G35" s="137">
        <f t="shared" si="28"/>
        <v>7030.0857207459067</v>
      </c>
      <c r="H35" s="137">
        <f t="shared" si="28"/>
        <v>7765.638533280955</v>
      </c>
      <c r="I35" s="137">
        <f t="shared" si="28"/>
        <v>8495.7055385497824</v>
      </c>
      <c r="J35" s="137">
        <f t="shared" si="28"/>
        <v>9033.1552484878721</v>
      </c>
      <c r="K35" s="137">
        <f t="shared" si="28"/>
        <v>9431.9943911362461</v>
      </c>
      <c r="L35" s="137">
        <f t="shared" si="28"/>
        <v>9924.817652815118</v>
      </c>
      <c r="M35" s="137">
        <f t="shared" si="28"/>
        <v>10036.502137112935</v>
      </c>
      <c r="N35" s="137">
        <f t="shared" si="28"/>
        <v>9945.1624118545169</v>
      </c>
      <c r="O35" s="137">
        <f t="shared" si="28"/>
        <v>9492.6420829591516</v>
      </c>
      <c r="P35" s="137">
        <f t="shared" si="28"/>
        <v>9469.2012720067378</v>
      </c>
      <c r="Q35" s="137">
        <f t="shared" si="28"/>
        <v>10061.04519669478</v>
      </c>
      <c r="R35" s="137">
        <f t="shared" ref="R35:V35" si="29">R36+R37+R38</f>
        <v>10804.206662606675</v>
      </c>
      <c r="S35" s="137">
        <f t="shared" si="29"/>
        <v>11946.244291876243</v>
      </c>
      <c r="T35" s="137">
        <f t="shared" si="29"/>
        <v>12557.769799760315</v>
      </c>
      <c r="U35" s="137">
        <f t="shared" si="29"/>
        <v>12947.901465110242</v>
      </c>
      <c r="V35" s="137">
        <f t="shared" si="29"/>
        <v>12472.520565825454</v>
      </c>
      <c r="W35" s="137">
        <f t="shared" ref="W35" si="30">W36+W37+W38</f>
        <v>12454.576246645895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103.84491730023861</v>
      </c>
      <c r="C36" s="102">
        <f>TrRoad_ene!C$19</f>
        <v>92.484497260811906</v>
      </c>
      <c r="D36" s="102">
        <f>TrRoad_ene!D$19</f>
        <v>86.876346719217139</v>
      </c>
      <c r="E36" s="102">
        <f>TrRoad_ene!E$19</f>
        <v>79.983381733521441</v>
      </c>
      <c r="F36" s="102">
        <f>TrRoad_ene!F$19</f>
        <v>76.026417750338567</v>
      </c>
      <c r="G36" s="102">
        <f>TrRoad_ene!G$19</f>
        <v>77.763929278837097</v>
      </c>
      <c r="H36" s="102">
        <f>TrRoad_ene!H$19</f>
        <v>81.542227465599638</v>
      </c>
      <c r="I36" s="102">
        <f>TrRoad_ene!I$19</f>
        <v>87.096325272954076</v>
      </c>
      <c r="J36" s="102">
        <f>TrRoad_ene!J$19</f>
        <v>90.275060974697908</v>
      </c>
      <c r="K36" s="102">
        <f>TrRoad_ene!K$19</f>
        <v>92.636409052625652</v>
      </c>
      <c r="L36" s="102">
        <f>TrRoad_ene!L$19</f>
        <v>98.401893895607529</v>
      </c>
      <c r="M36" s="102">
        <f>TrRoad_ene!M$19</f>
        <v>96.696098561129318</v>
      </c>
      <c r="N36" s="102">
        <f>TrRoad_ene!N$19</f>
        <v>96.329553681546997</v>
      </c>
      <c r="O36" s="102">
        <f>TrRoad_ene!O$19</f>
        <v>92.95568279216306</v>
      </c>
      <c r="P36" s="102">
        <f>TrRoad_ene!P$19</f>
        <v>93.053716227826428</v>
      </c>
      <c r="Q36" s="102">
        <f>TrRoad_ene!Q$19</f>
        <v>95.959187332823973</v>
      </c>
      <c r="R36" s="102">
        <f>TrRoad_ene!R$19</f>
        <v>101.41624282535557</v>
      </c>
      <c r="S36" s="102">
        <f>TrRoad_ene!S$19</f>
        <v>95.416932331043284</v>
      </c>
      <c r="T36" s="102">
        <f>TrRoad_ene!T$19</f>
        <v>91.040635132535158</v>
      </c>
      <c r="U36" s="102">
        <f>TrRoad_ene!U$19</f>
        <v>96.785600510893886</v>
      </c>
      <c r="V36" s="102">
        <f>TrRoad_ene!V$19</f>
        <v>86.829656708876513</v>
      </c>
      <c r="W36" s="102">
        <f>TrRoad_ene!W$19</f>
        <v>86.27897941839268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5190.1061418169465</v>
      </c>
      <c r="C37" s="102">
        <f>TrRoad_ene!C$21</f>
        <v>5088.8770812207658</v>
      </c>
      <c r="D37" s="102">
        <f>TrRoad_ene!D$21</f>
        <v>5027.6460102038327</v>
      </c>
      <c r="E37" s="102">
        <f>TrRoad_ene!E$21</f>
        <v>5338.80886128974</v>
      </c>
      <c r="F37" s="102">
        <f>TrRoad_ene!F$21</f>
        <v>6001.1622552715462</v>
      </c>
      <c r="G37" s="102">
        <f>TrRoad_ene!G$21</f>
        <v>6066.0395436838444</v>
      </c>
      <c r="H37" s="102">
        <f>TrRoad_ene!H$21</f>
        <v>6839.937770968394</v>
      </c>
      <c r="I37" s="102">
        <f>TrRoad_ene!I$21</f>
        <v>7555.1892992869653</v>
      </c>
      <c r="J37" s="102">
        <f>TrRoad_ene!J$21</f>
        <v>8109.6576277321192</v>
      </c>
      <c r="K37" s="102">
        <f>TrRoad_ene!K$21</f>
        <v>8499.3624958668115</v>
      </c>
      <c r="L37" s="102">
        <f>TrRoad_ene!L$21</f>
        <v>8990.7233446089067</v>
      </c>
      <c r="M37" s="102">
        <f>TrRoad_ene!M$21</f>
        <v>9092.9388407471542</v>
      </c>
      <c r="N37" s="102">
        <f>TrRoad_ene!N$21</f>
        <v>9018.39950306637</v>
      </c>
      <c r="O37" s="102">
        <f>TrRoad_ene!O$21</f>
        <v>8560.7491972479274</v>
      </c>
      <c r="P37" s="102">
        <f>TrRoad_ene!P$21</f>
        <v>8517.4613035840248</v>
      </c>
      <c r="Q37" s="102">
        <f>TrRoad_ene!Q$21</f>
        <v>8963.8728578278642</v>
      </c>
      <c r="R37" s="102">
        <f>TrRoad_ene!R$21</f>
        <v>9717.5525375037232</v>
      </c>
      <c r="S37" s="102">
        <f>TrRoad_ene!S$21</f>
        <v>10880.007427186221</v>
      </c>
      <c r="T37" s="102">
        <f>TrRoad_ene!T$21</f>
        <v>11532.264659053946</v>
      </c>
      <c r="U37" s="102">
        <f>TrRoad_ene!U$21</f>
        <v>11865.067417718354</v>
      </c>
      <c r="V37" s="102">
        <f>TrRoad_ene!V$21</f>
        <v>11406.453796406407</v>
      </c>
      <c r="W37" s="102">
        <f>TrRoad_ene!W$21</f>
        <v>11384.550748504797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991.50715326221393</v>
      </c>
      <c r="C38" s="102">
        <f>TrRoad_ene!C$33</f>
        <v>920.50287380651889</v>
      </c>
      <c r="D38" s="102">
        <f>TrRoad_ene!D$33</f>
        <v>896.08284385109903</v>
      </c>
      <c r="E38" s="102">
        <f>TrRoad_ene!E$33</f>
        <v>859.8517251525418</v>
      </c>
      <c r="F38" s="102">
        <f>TrRoad_ene!F$33</f>
        <v>906.72367063231411</v>
      </c>
      <c r="G38" s="102">
        <f>TrRoad_ene!G$33</f>
        <v>886.28224778322522</v>
      </c>
      <c r="H38" s="102">
        <f>TrRoad_ene!H$33</f>
        <v>844.15853484696152</v>
      </c>
      <c r="I38" s="102">
        <f>TrRoad_ene!I$33</f>
        <v>853.41991398986329</v>
      </c>
      <c r="J38" s="102">
        <f>TrRoad_ene!J$33</f>
        <v>833.22255978105648</v>
      </c>
      <c r="K38" s="102">
        <f>TrRoad_ene!K$33</f>
        <v>839.99548621680947</v>
      </c>
      <c r="L38" s="102">
        <f>TrRoad_ene!L$33</f>
        <v>835.69241431060505</v>
      </c>
      <c r="M38" s="102">
        <f>TrRoad_ene!M$33</f>
        <v>846.86719780465069</v>
      </c>
      <c r="N38" s="102">
        <f>TrRoad_ene!N$33</f>
        <v>830.43335510659961</v>
      </c>
      <c r="O38" s="102">
        <f>TrRoad_ene!O$33</f>
        <v>838.93720291906152</v>
      </c>
      <c r="P38" s="102">
        <f>TrRoad_ene!P$33</f>
        <v>858.68625219488547</v>
      </c>
      <c r="Q38" s="102">
        <f>TrRoad_ene!Q$33</f>
        <v>1001.2131515340925</v>
      </c>
      <c r="R38" s="102">
        <f>TrRoad_ene!R$33</f>
        <v>985.23788227759678</v>
      </c>
      <c r="S38" s="102">
        <f>TrRoad_ene!S$33</f>
        <v>970.81993235897789</v>
      </c>
      <c r="T38" s="102">
        <f>TrRoad_ene!T$33</f>
        <v>934.46450557383412</v>
      </c>
      <c r="U38" s="102">
        <f>TrRoad_ene!U$33</f>
        <v>986.04844688099524</v>
      </c>
      <c r="V38" s="102">
        <f>TrRoad_ene!V$33</f>
        <v>979.23711271017055</v>
      </c>
      <c r="W38" s="102">
        <f>TrRoad_ene!W$33</f>
        <v>983.74651872270692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295.70111819442013</v>
      </c>
      <c r="C39" s="110">
        <f t="shared" si="31"/>
        <v>313.22694803404238</v>
      </c>
      <c r="D39" s="110">
        <f t="shared" si="31"/>
        <v>320.06899072503683</v>
      </c>
      <c r="E39" s="110">
        <f t="shared" si="31"/>
        <v>325.75222366815814</v>
      </c>
      <c r="F39" s="110">
        <f t="shared" si="31"/>
        <v>280.77794460486041</v>
      </c>
      <c r="G39" s="110">
        <f t="shared" si="31"/>
        <v>271.39382675873213</v>
      </c>
      <c r="H39" s="110">
        <f t="shared" si="31"/>
        <v>210.14737326420567</v>
      </c>
      <c r="I39" s="110">
        <f t="shared" si="31"/>
        <v>233.4721652318637</v>
      </c>
      <c r="J39" s="110">
        <f t="shared" si="31"/>
        <v>217.66134110594967</v>
      </c>
      <c r="K39" s="110">
        <f t="shared" si="31"/>
        <v>219.25724320888219</v>
      </c>
      <c r="L39" s="110">
        <f t="shared" si="31"/>
        <v>199.92714913175965</v>
      </c>
      <c r="M39" s="110">
        <f t="shared" si="31"/>
        <v>192.89795835352919</v>
      </c>
      <c r="N39" s="110">
        <f t="shared" si="31"/>
        <v>199.06980930052987</v>
      </c>
      <c r="O39" s="110">
        <f t="shared" si="31"/>
        <v>194.21975279990357</v>
      </c>
      <c r="P39" s="110">
        <f t="shared" si="31"/>
        <v>182.91591010614755</v>
      </c>
      <c r="Q39" s="110">
        <f t="shared" si="31"/>
        <v>189.27281980815255</v>
      </c>
      <c r="R39" s="110">
        <f t="shared" ref="R39:V39" si="32">R40+R41+R42</f>
        <v>209.54737998893702</v>
      </c>
      <c r="S39" s="110">
        <f t="shared" si="32"/>
        <v>206.51140761573808</v>
      </c>
      <c r="T39" s="110">
        <f t="shared" si="32"/>
        <v>221.55578292965376</v>
      </c>
      <c r="U39" s="110">
        <f t="shared" si="32"/>
        <v>212.46526818811449</v>
      </c>
      <c r="V39" s="110">
        <f t="shared" si="32"/>
        <v>186.35610601496268</v>
      </c>
      <c r="W39" s="110">
        <f t="shared" ref="W39" si="33">W40+W41+W42</f>
        <v>212.85568042635811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26.138689780706617</v>
      </c>
      <c r="C40" s="102">
        <f>TrRail_ene!C$12</f>
        <v>25.717648389043536</v>
      </c>
      <c r="D40" s="102">
        <f>TrRail_ene!D$12</f>
        <v>25.690758301809783</v>
      </c>
      <c r="E40" s="102">
        <f>TrRail_ene!E$12</f>
        <v>24.760796985483115</v>
      </c>
      <c r="F40" s="102">
        <f>TrRail_ene!F$12</f>
        <v>23.665752229499226</v>
      </c>
      <c r="G40" s="102">
        <f>TrRail_ene!G$12</f>
        <v>22.249511814670125</v>
      </c>
      <c r="H40" s="102">
        <f>TrRail_ene!H$12</f>
        <v>22.083772875898521</v>
      </c>
      <c r="I40" s="102">
        <f>TrRail_ene!I$12</f>
        <v>21.937915558700229</v>
      </c>
      <c r="J40" s="102">
        <f>TrRail_ene!J$12</f>
        <v>21.750667161924348</v>
      </c>
      <c r="K40" s="102">
        <f>TrRail_ene!K$12</f>
        <v>20.578361621189352</v>
      </c>
      <c r="L40" s="102">
        <f>TrRail_ene!L$12</f>
        <v>20.744407463083938</v>
      </c>
      <c r="M40" s="102">
        <f>TrRail_ene!M$12</f>
        <v>20.559435944536986</v>
      </c>
      <c r="N40" s="102">
        <f>TrRail_ene!N$12</f>
        <v>20.740339315476117</v>
      </c>
      <c r="O40" s="102">
        <f>TrRail_ene!O$12</f>
        <v>19.259071367095146</v>
      </c>
      <c r="P40" s="102">
        <f>TrRail_ene!P$12</f>
        <v>19.473278847894285</v>
      </c>
      <c r="Q40" s="102">
        <f>TrRail_ene!Q$12</f>
        <v>18.992302521675427</v>
      </c>
      <c r="R40" s="102">
        <f>TrRail_ene!R$12</f>
        <v>19.332949386739294</v>
      </c>
      <c r="S40" s="102">
        <f>TrRail_ene!S$12</f>
        <v>18.864566832564641</v>
      </c>
      <c r="T40" s="102">
        <f>TrRail_ene!T$12</f>
        <v>18.830269969845901</v>
      </c>
      <c r="U40" s="102">
        <f>TrRail_ene!U$12</f>
        <v>18.967135026129736</v>
      </c>
      <c r="V40" s="102">
        <f>TrRail_ene!V$12</f>
        <v>18.458951924530748</v>
      </c>
      <c r="W40" s="102">
        <f>TrRail_ene!W$12</f>
        <v>17.751032936859403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269.56242841371352</v>
      </c>
      <c r="C41" s="102">
        <f>TrRail_ene!C$13</f>
        <v>287.50929964499886</v>
      </c>
      <c r="D41" s="102">
        <f>TrRail_ene!D$13</f>
        <v>294.37823242322702</v>
      </c>
      <c r="E41" s="102">
        <f>TrRail_ene!E$13</f>
        <v>300.99142668267501</v>
      </c>
      <c r="F41" s="102">
        <f>TrRail_ene!F$13</f>
        <v>257.11219237536119</v>
      </c>
      <c r="G41" s="102">
        <f>TrRail_ene!G$13</f>
        <v>249.14431494406199</v>
      </c>
      <c r="H41" s="102">
        <f>TrRail_ene!H$13</f>
        <v>188.06360038830715</v>
      </c>
      <c r="I41" s="102">
        <f>TrRail_ene!I$13</f>
        <v>211.53424967316346</v>
      </c>
      <c r="J41" s="102">
        <f>TrRail_ene!J$13</f>
        <v>195.91067394402532</v>
      </c>
      <c r="K41" s="102">
        <f>TrRail_ene!K$13</f>
        <v>198.67888158769284</v>
      </c>
      <c r="L41" s="102">
        <f>TrRail_ene!L$13</f>
        <v>179.1827416686757</v>
      </c>
      <c r="M41" s="102">
        <f>TrRail_ene!M$13</f>
        <v>172.33852240899222</v>
      </c>
      <c r="N41" s="102">
        <f>TrRail_ene!N$13</f>
        <v>178.32946998505375</v>
      </c>
      <c r="O41" s="102">
        <f>TrRail_ene!O$13</f>
        <v>174.96068143280843</v>
      </c>
      <c r="P41" s="102">
        <f>TrRail_ene!P$13</f>
        <v>163.44263125825327</v>
      </c>
      <c r="Q41" s="102">
        <f>TrRail_ene!Q$13</f>
        <v>167.21980197986463</v>
      </c>
      <c r="R41" s="102">
        <f>TrRail_ene!R$13</f>
        <v>181.2794194098957</v>
      </c>
      <c r="S41" s="102">
        <f>TrRail_ene!S$13</f>
        <v>179.20767184039386</v>
      </c>
      <c r="T41" s="102">
        <f>TrRail_ene!T$13</f>
        <v>194.08348751026369</v>
      </c>
      <c r="U41" s="102">
        <f>TrRail_ene!U$13</f>
        <v>184.22373657730961</v>
      </c>
      <c r="V41" s="102">
        <f>TrRail_ene!V$13</f>
        <v>159.21628526343676</v>
      </c>
      <c r="W41" s="102">
        <f>TrRail_ene!W$13</f>
        <v>186.25049461597681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3.060715306612475</v>
      </c>
      <c r="R42" s="102">
        <f>TrRail_ene!R$16</f>
        <v>8.935011192302019</v>
      </c>
      <c r="S42" s="102">
        <f>TrRail_ene!S$16</f>
        <v>8.4391689427795917</v>
      </c>
      <c r="T42" s="102">
        <f>TrRail_ene!T$16</f>
        <v>8.6420254495441391</v>
      </c>
      <c r="U42" s="102">
        <f>TrRail_ene!U$16</f>
        <v>9.2743965846751433</v>
      </c>
      <c r="V42" s="102">
        <f>TrRail_ene!V$16</f>
        <v>8.6808688269951748</v>
      </c>
      <c r="W42" s="102">
        <f>TrRail_ene!W$16</f>
        <v>8.854152873521917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282.39183834260825</v>
      </c>
      <c r="C43" s="110">
        <f t="shared" si="34"/>
        <v>278.58669880877505</v>
      </c>
      <c r="D43" s="110">
        <f t="shared" si="34"/>
        <v>274.20068401904297</v>
      </c>
      <c r="E43" s="110">
        <f t="shared" si="34"/>
        <v>296.28363752370672</v>
      </c>
      <c r="F43" s="110">
        <f t="shared" si="34"/>
        <v>290.30909680894661</v>
      </c>
      <c r="G43" s="110">
        <f t="shared" si="34"/>
        <v>328.82595056161722</v>
      </c>
      <c r="H43" s="110">
        <f t="shared" si="34"/>
        <v>437.64076519503874</v>
      </c>
      <c r="I43" s="110">
        <f t="shared" si="34"/>
        <v>456.02185117972681</v>
      </c>
      <c r="J43" s="110">
        <f t="shared" si="34"/>
        <v>545.51936010632426</v>
      </c>
      <c r="K43" s="110">
        <f t="shared" si="34"/>
        <v>482.09726400861052</v>
      </c>
      <c r="L43" s="110">
        <f t="shared" si="34"/>
        <v>505.33948225459477</v>
      </c>
      <c r="M43" s="110">
        <f t="shared" si="34"/>
        <v>496.66230416426873</v>
      </c>
      <c r="N43" s="110">
        <f t="shared" si="34"/>
        <v>549.76100684798564</v>
      </c>
      <c r="O43" s="110">
        <f t="shared" si="34"/>
        <v>535.04438593636075</v>
      </c>
      <c r="P43" s="110">
        <f t="shared" si="34"/>
        <v>602.73281147310649</v>
      </c>
      <c r="Q43" s="110">
        <f t="shared" si="34"/>
        <v>658.73803248795446</v>
      </c>
      <c r="R43" s="110">
        <f t="shared" ref="R43:V43" si="35">R44+R45+R46</f>
        <v>696.80659344495984</v>
      </c>
      <c r="S43" s="110">
        <f t="shared" si="35"/>
        <v>865.52699854035654</v>
      </c>
      <c r="T43" s="110">
        <f t="shared" si="35"/>
        <v>1027.5537672701328</v>
      </c>
      <c r="U43" s="110">
        <f t="shared" si="35"/>
        <v>1094.194984335888</v>
      </c>
      <c r="V43" s="110">
        <f t="shared" si="35"/>
        <v>456.37717177609449</v>
      </c>
      <c r="W43" s="110">
        <f t="shared" ref="W43" si="36">W44+W45+W46</f>
        <v>570.14426683849922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3.1271011748368092</v>
      </c>
      <c r="C44" s="102">
        <f>TrAvia_ene!C$7</f>
        <v>3.1377542195117267</v>
      </c>
      <c r="D44" s="102">
        <f>TrAvia_ene!D$7</f>
        <v>4.1917632157272822</v>
      </c>
      <c r="E44" s="102">
        <f>TrAvia_ene!E$7</f>
        <v>4.1919236020705766</v>
      </c>
      <c r="F44" s="102">
        <f>TrAvia_ene!F$7</f>
        <v>3.1443151549555144</v>
      </c>
      <c r="G44" s="102">
        <f>TrAvia_ene!G$7</f>
        <v>3.1502171071243077</v>
      </c>
      <c r="H44" s="102">
        <f>TrAvia_ene!H$7</f>
        <v>3.1136940402153166</v>
      </c>
      <c r="I44" s="102">
        <f>TrAvia_ene!I$7</f>
        <v>4.1354739623750421</v>
      </c>
      <c r="J44" s="102">
        <f>TrAvia_ene!J$7</f>
        <v>3.0877565555208748</v>
      </c>
      <c r="K44" s="102">
        <f>TrAvia_ene!K$7</f>
        <v>4.0812986805464062</v>
      </c>
      <c r="L44" s="102">
        <f>TrAvia_ene!L$7</f>
        <v>4.1004369300062837</v>
      </c>
      <c r="M44" s="102">
        <f>TrAvia_ene!M$7</f>
        <v>5.1395873572244382</v>
      </c>
      <c r="N44" s="102">
        <f>TrAvia_ene!N$7</f>
        <v>18.313140194603818</v>
      </c>
      <c r="O44" s="102">
        <f>TrAvia_ene!O$7</f>
        <v>16.22958519773659</v>
      </c>
      <c r="P44" s="102">
        <f>TrAvia_ene!P$7</f>
        <v>26.543399715032777</v>
      </c>
      <c r="Q44" s="102">
        <f>TrAvia_ene!Q$7</f>
        <v>18.428334084449876</v>
      </c>
      <c r="R44" s="102">
        <f>TrAvia_ene!R$7</f>
        <v>24.639985864234365</v>
      </c>
      <c r="S44" s="102">
        <f>TrAvia_ene!S$7</f>
        <v>27.493689358921749</v>
      </c>
      <c r="T44" s="102">
        <f>TrAvia_ene!T$7</f>
        <v>32.796622886848581</v>
      </c>
      <c r="U44" s="102">
        <f>TrAvia_ene!U$7</f>
        <v>33.765304607658138</v>
      </c>
      <c r="V44" s="102">
        <f>TrAvia_ene!V$7</f>
        <v>18.216038526043413</v>
      </c>
      <c r="W44" s="102">
        <f>TrAvia_ene!W$7</f>
        <v>30.002320134476797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179.00094151993136</v>
      </c>
      <c r="C45" s="102">
        <f>TrAvia_ene!C$8</f>
        <v>176.55403876808663</v>
      </c>
      <c r="D45" s="102">
        <f>TrAvia_ene!D$8</f>
        <v>173.06483801109218</v>
      </c>
      <c r="E45" s="102">
        <f>TrAvia_ene!E$8</f>
        <v>187.21795330372331</v>
      </c>
      <c r="F45" s="102">
        <f>TrAvia_ene!F$8</f>
        <v>184.05871319816325</v>
      </c>
      <c r="G45" s="102">
        <f>TrAvia_ene!G$8</f>
        <v>216.6059958628957</v>
      </c>
      <c r="H45" s="102">
        <f>TrAvia_ene!H$8</f>
        <v>305.91737747403721</v>
      </c>
      <c r="I45" s="102">
        <f>TrAvia_ene!I$8</f>
        <v>329.18814626469589</v>
      </c>
      <c r="J45" s="102">
        <f>TrAvia_ene!J$8</f>
        <v>402.01491647956357</v>
      </c>
      <c r="K45" s="102">
        <f>TrAvia_ene!K$8</f>
        <v>342.45659694782984</v>
      </c>
      <c r="L45" s="102">
        <f>TrAvia_ene!L$8</f>
        <v>358.80194013951274</v>
      </c>
      <c r="M45" s="102">
        <f>TrAvia_ene!M$8</f>
        <v>350.91184040805609</v>
      </c>
      <c r="N45" s="102">
        <f>TrAvia_ene!N$8</f>
        <v>382.385263129875</v>
      </c>
      <c r="O45" s="102">
        <f>TrAvia_ene!O$8</f>
        <v>381.39033869411367</v>
      </c>
      <c r="P45" s="102">
        <f>TrAvia_ene!P$8</f>
        <v>421.18247052889444</v>
      </c>
      <c r="Q45" s="102">
        <f>TrAvia_ene!Q$8</f>
        <v>477.69444843471456</v>
      </c>
      <c r="R45" s="102">
        <f>TrAvia_ene!R$8</f>
        <v>512.33934910688197</v>
      </c>
      <c r="S45" s="102">
        <f>TrAvia_ene!S$8</f>
        <v>647.34515253603956</v>
      </c>
      <c r="T45" s="102">
        <f>TrAvia_ene!T$8</f>
        <v>771.78648560879606</v>
      </c>
      <c r="U45" s="102">
        <f>TrAvia_ene!U$8</f>
        <v>824.49287308231271</v>
      </c>
      <c r="V45" s="102">
        <f>TrAvia_ene!V$8</f>
        <v>301.28915951847603</v>
      </c>
      <c r="W45" s="102">
        <f>TrAvia_ene!W$8</f>
        <v>379.88480135160819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100.26379564784011</v>
      </c>
      <c r="C46" s="102">
        <f>TrAvia_ene!C$9</f>
        <v>98.894905821176692</v>
      </c>
      <c r="D46" s="102">
        <f>TrAvia_ene!D$9</f>
        <v>96.944082792223512</v>
      </c>
      <c r="E46" s="102">
        <f>TrAvia_ene!E$9</f>
        <v>104.87376061791282</v>
      </c>
      <c r="F46" s="102">
        <f>TrAvia_ene!F$9</f>
        <v>103.10606845582785</v>
      </c>
      <c r="G46" s="102">
        <f>TrAvia_ene!G$9</f>
        <v>109.06973759159717</v>
      </c>
      <c r="H46" s="102">
        <f>TrAvia_ene!H$9</f>
        <v>128.60969368078622</v>
      </c>
      <c r="I46" s="102">
        <f>TrAvia_ene!I$9</f>
        <v>122.6982309526559</v>
      </c>
      <c r="J46" s="102">
        <f>TrAvia_ene!J$9</f>
        <v>140.41668707123983</v>
      </c>
      <c r="K46" s="102">
        <f>TrAvia_ene!K$9</f>
        <v>135.55936838023428</v>
      </c>
      <c r="L46" s="102">
        <f>TrAvia_ene!L$9</f>
        <v>142.43710518507572</v>
      </c>
      <c r="M46" s="102">
        <f>TrAvia_ene!M$9</f>
        <v>140.61087639898818</v>
      </c>
      <c r="N46" s="102">
        <f>TrAvia_ene!N$9</f>
        <v>149.06260352350679</v>
      </c>
      <c r="O46" s="102">
        <f>TrAvia_ene!O$9</f>
        <v>137.42446204451051</v>
      </c>
      <c r="P46" s="102">
        <f>TrAvia_ene!P$9</f>
        <v>155.00694122917926</v>
      </c>
      <c r="Q46" s="102">
        <f>TrAvia_ene!Q$9</f>
        <v>162.61524996879001</v>
      </c>
      <c r="R46" s="102">
        <f>TrAvia_ene!R$9</f>
        <v>159.82725847384353</v>
      </c>
      <c r="S46" s="102">
        <f>TrAvia_ene!S$9</f>
        <v>190.6881566453952</v>
      </c>
      <c r="T46" s="102">
        <f>TrAvia_ene!T$9</f>
        <v>222.97065877448804</v>
      </c>
      <c r="U46" s="102">
        <f>TrAvia_ene!U$9</f>
        <v>235.93680664591719</v>
      </c>
      <c r="V46" s="102">
        <f>TrAvia_ene!V$9</f>
        <v>136.87197373157505</v>
      </c>
      <c r="W46" s="102">
        <f>TrAvia_ene!W$9</f>
        <v>160.25714535241423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2925.2175391231499</v>
      </c>
      <c r="C47" s="28">
        <f t="shared" si="37"/>
        <v>3024.0504865634011</v>
      </c>
      <c r="D47" s="28">
        <f t="shared" si="37"/>
        <v>2828.1364678896666</v>
      </c>
      <c r="E47" s="28">
        <f t="shared" si="37"/>
        <v>3373.4681141035198</v>
      </c>
      <c r="F47" s="28">
        <f t="shared" si="37"/>
        <v>3906.3042224325091</v>
      </c>
      <c r="G47" s="28">
        <f t="shared" si="37"/>
        <v>4653.7231729294353</v>
      </c>
      <c r="H47" s="28">
        <f t="shared" si="37"/>
        <v>5181.0802853121795</v>
      </c>
      <c r="I47" s="28">
        <f t="shared" si="37"/>
        <v>5797.5097114198652</v>
      </c>
      <c r="J47" s="28">
        <f t="shared" si="37"/>
        <v>6207.6688966846714</v>
      </c>
      <c r="K47" s="28">
        <f t="shared" si="37"/>
        <v>6219.5971204422231</v>
      </c>
      <c r="L47" s="28">
        <f t="shared" si="37"/>
        <v>6816.9684316508237</v>
      </c>
      <c r="M47" s="28">
        <f t="shared" si="37"/>
        <v>6932.4873553802918</v>
      </c>
      <c r="N47" s="28">
        <f t="shared" si="37"/>
        <v>6242.6120061164656</v>
      </c>
      <c r="O47" s="28">
        <f t="shared" si="37"/>
        <v>5658.1893193595897</v>
      </c>
      <c r="P47" s="28">
        <f t="shared" si="37"/>
        <v>5751.1240205181948</v>
      </c>
      <c r="Q47" s="28">
        <f t="shared" si="37"/>
        <v>5936.1403006535711</v>
      </c>
      <c r="R47" s="28">
        <f t="shared" ref="R47:V47" si="38">R48+R51+R52+R56</f>
        <v>7138.6332374002368</v>
      </c>
      <c r="S47" s="28">
        <f t="shared" si="38"/>
        <v>8876.6578925511749</v>
      </c>
      <c r="T47" s="28">
        <f t="shared" si="38"/>
        <v>9123.7067091496647</v>
      </c>
      <c r="U47" s="28">
        <f t="shared" si="38"/>
        <v>9215.1389192231236</v>
      </c>
      <c r="V47" s="28">
        <f t="shared" si="38"/>
        <v>8774.9415054623732</v>
      </c>
      <c r="W47" s="28">
        <f t="shared" ref="W47" si="39">W48+W51+W52+W56</f>
        <v>10580.577042677935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2672.7716306558796</v>
      </c>
      <c r="C48" s="137">
        <f t="shared" si="40"/>
        <v>2797.2579425205781</v>
      </c>
      <c r="D48" s="137">
        <f t="shared" si="40"/>
        <v>2614.9303042846495</v>
      </c>
      <c r="E48" s="137">
        <f t="shared" si="40"/>
        <v>3149.2753424492976</v>
      </c>
      <c r="F48" s="137">
        <f t="shared" si="40"/>
        <v>3680.8186069245621</v>
      </c>
      <c r="G48" s="137">
        <f t="shared" si="40"/>
        <v>4450.6230018404985</v>
      </c>
      <c r="H48" s="137">
        <f t="shared" si="40"/>
        <v>4966.6777100998843</v>
      </c>
      <c r="I48" s="137">
        <f t="shared" si="40"/>
        <v>5595.9461182011892</v>
      </c>
      <c r="J48" s="137">
        <f t="shared" si="40"/>
        <v>6015.2653330646153</v>
      </c>
      <c r="K48" s="137">
        <f t="shared" si="40"/>
        <v>6061.0037342805244</v>
      </c>
      <c r="L48" s="137">
        <f t="shared" si="40"/>
        <v>6636.8906950234204</v>
      </c>
      <c r="M48" s="137">
        <f t="shared" si="40"/>
        <v>6742.0438345790872</v>
      </c>
      <c r="N48" s="137">
        <f t="shared" si="40"/>
        <v>6073.9593312933566</v>
      </c>
      <c r="O48" s="137">
        <f t="shared" si="40"/>
        <v>5494.2796833753036</v>
      </c>
      <c r="P48" s="137">
        <f t="shared" si="40"/>
        <v>5598.2613061559186</v>
      </c>
      <c r="Q48" s="137">
        <f t="shared" si="40"/>
        <v>5789.6255295618876</v>
      </c>
      <c r="R48" s="137">
        <f t="shared" ref="R48:V48" si="41">R49+R50</f>
        <v>6996.6495496131538</v>
      </c>
      <c r="S48" s="137">
        <f t="shared" si="41"/>
        <v>8715.943160272187</v>
      </c>
      <c r="T48" s="137">
        <f t="shared" si="41"/>
        <v>8952.3954510949352</v>
      </c>
      <c r="U48" s="137">
        <f t="shared" si="41"/>
        <v>9053.0603927273496</v>
      </c>
      <c r="V48" s="137">
        <f t="shared" si="41"/>
        <v>8609.2779646807739</v>
      </c>
      <c r="W48" s="137">
        <f t="shared" ref="W48" si="42">W49+W50</f>
        <v>10401.481375153455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1933.7469489967784</v>
      </c>
      <c r="C49" s="102">
        <f>TrRoad_ene!C$43</f>
        <v>1838.7593615975036</v>
      </c>
      <c r="D49" s="102">
        <f>TrRoad_ene!D$43</f>
        <v>1889.8500841719285</v>
      </c>
      <c r="E49" s="102">
        <f>TrRoad_ene!E$43</f>
        <v>1931.057806059669</v>
      </c>
      <c r="F49" s="102">
        <f>TrRoad_ene!F$43</f>
        <v>1862.4828582663306</v>
      </c>
      <c r="G49" s="102">
        <f>TrRoad_ene!G$43</f>
        <v>1888.3573433805095</v>
      </c>
      <c r="H49" s="102">
        <f>TrRoad_ene!H$43</f>
        <v>1973.3855159681229</v>
      </c>
      <c r="I49" s="102">
        <f>TrRoad_ene!I$43</f>
        <v>2031.7708703381493</v>
      </c>
      <c r="J49" s="102">
        <f>TrRoad_ene!J$43</f>
        <v>2139.3877241117934</v>
      </c>
      <c r="K49" s="102">
        <f>TrRoad_ene!K$43</f>
        <v>2247.6946518765271</v>
      </c>
      <c r="L49" s="102">
        <f>TrRoad_ene!L$43</f>
        <v>2375.9885533999422</v>
      </c>
      <c r="M49" s="102">
        <f>TrRoad_ene!M$43</f>
        <v>2485.2081053841139</v>
      </c>
      <c r="N49" s="102">
        <f>TrRoad_ene!N$43</f>
        <v>2470.2244384985888</v>
      </c>
      <c r="O49" s="102">
        <f>TrRoad_ene!O$43</f>
        <v>2520.7049628031882</v>
      </c>
      <c r="P49" s="102">
        <f>TrRoad_ene!P$43</f>
        <v>2506.0710601250339</v>
      </c>
      <c r="Q49" s="102">
        <f>TrRoad_ene!Q$43</f>
        <v>2514.3145850128803</v>
      </c>
      <c r="R49" s="102">
        <f>TrRoad_ene!R$43</f>
        <v>2635.961746567742</v>
      </c>
      <c r="S49" s="102">
        <f>TrRoad_ene!S$43</f>
        <v>2731.4227714699832</v>
      </c>
      <c r="T49" s="102">
        <f>TrRoad_ene!T$43</f>
        <v>2871.8514336256071</v>
      </c>
      <c r="U49" s="102">
        <f>TrRoad_ene!U$43</f>
        <v>2985.9395887908227</v>
      </c>
      <c r="V49" s="102">
        <f>TrRoad_ene!V$43</f>
        <v>3011.4130749718747</v>
      </c>
      <c r="W49" s="102">
        <f>TrRoad_ene!W$43</f>
        <v>3107.8203332163753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739.02468165910113</v>
      </c>
      <c r="C50" s="102">
        <f>TrRoad_ene!C$52</f>
        <v>958.49858092307443</v>
      </c>
      <c r="D50" s="102">
        <f>TrRoad_ene!D$52</f>
        <v>725.08022011272112</v>
      </c>
      <c r="E50" s="102">
        <f>TrRoad_ene!E$52</f>
        <v>1218.2175363896285</v>
      </c>
      <c r="F50" s="102">
        <f>TrRoad_ene!F$52</f>
        <v>1818.3357486582315</v>
      </c>
      <c r="G50" s="102">
        <f>TrRoad_ene!G$52</f>
        <v>2562.2656584599886</v>
      </c>
      <c r="H50" s="102">
        <f>TrRoad_ene!H$52</f>
        <v>2993.2921941317618</v>
      </c>
      <c r="I50" s="102">
        <f>TrRoad_ene!I$52</f>
        <v>3564.1752478630397</v>
      </c>
      <c r="J50" s="102">
        <f>TrRoad_ene!J$52</f>
        <v>3875.8776089528219</v>
      </c>
      <c r="K50" s="102">
        <f>TrRoad_ene!K$52</f>
        <v>3813.3090824039973</v>
      </c>
      <c r="L50" s="102">
        <f>TrRoad_ene!L$52</f>
        <v>4260.9021416234782</v>
      </c>
      <c r="M50" s="102">
        <f>TrRoad_ene!M$52</f>
        <v>4256.8357291949733</v>
      </c>
      <c r="N50" s="102">
        <f>TrRoad_ene!N$52</f>
        <v>3603.7348927947678</v>
      </c>
      <c r="O50" s="102">
        <f>TrRoad_ene!O$52</f>
        <v>2973.5747205721159</v>
      </c>
      <c r="P50" s="102">
        <f>TrRoad_ene!P$52</f>
        <v>3092.1902460308843</v>
      </c>
      <c r="Q50" s="102">
        <f>TrRoad_ene!Q$52</f>
        <v>3275.3109445490072</v>
      </c>
      <c r="R50" s="102">
        <f>TrRoad_ene!R$52</f>
        <v>4360.6878030454118</v>
      </c>
      <c r="S50" s="102">
        <f>TrRoad_ene!S$52</f>
        <v>5984.5203888022033</v>
      </c>
      <c r="T50" s="102">
        <f>TrRoad_ene!T$52</f>
        <v>6080.5440174693285</v>
      </c>
      <c r="U50" s="102">
        <f>TrRoad_ene!U$52</f>
        <v>6067.1208039365265</v>
      </c>
      <c r="V50" s="102">
        <f>TrRoad_ene!V$52</f>
        <v>5597.8648897088988</v>
      </c>
      <c r="W50" s="102">
        <f>TrRoad_ene!W$52</f>
        <v>7293.66104193708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244.26732548571738</v>
      </c>
      <c r="C51" s="110">
        <f>TrRail_ene!C$17</f>
        <v>219.0220631439455</v>
      </c>
      <c r="D51" s="110">
        <f>TrRail_ene!D$17</f>
        <v>206.28526550884101</v>
      </c>
      <c r="E51" s="110">
        <f>TrRail_ene!E$17</f>
        <v>215.18122431120554</v>
      </c>
      <c r="F51" s="110">
        <f>TrRail_ene!F$17</f>
        <v>217.85111816384125</v>
      </c>
      <c r="G51" s="110">
        <f>TrRail_ene!G$17</f>
        <v>196.03712766947081</v>
      </c>
      <c r="H51" s="110">
        <f>TrRail_ene!H$17</f>
        <v>205.58297927233775</v>
      </c>
      <c r="I51" s="110">
        <f>TrRail_ene!I$17</f>
        <v>193.18785196504081</v>
      </c>
      <c r="J51" s="110">
        <f>TrRail_ene!J$17</f>
        <v>182.94536568682767</v>
      </c>
      <c r="K51" s="110">
        <f>TrRail_ene!K$17</f>
        <v>150.67680666214099</v>
      </c>
      <c r="L51" s="110">
        <f>TrRail_ene!L$17</f>
        <v>169.72745104020944</v>
      </c>
      <c r="M51" s="110">
        <f>TrRail_ene!M$17</f>
        <v>180.63548962583451</v>
      </c>
      <c r="N51" s="110">
        <f>TrRail_ene!N$17</f>
        <v>158.53741339938412</v>
      </c>
      <c r="O51" s="110">
        <f>TrRail_ene!O$17</f>
        <v>153.48016121557362</v>
      </c>
      <c r="P51" s="110">
        <f>TrRail_ene!P$17</f>
        <v>141.28632549144481</v>
      </c>
      <c r="Q51" s="110">
        <f>TrRail_ene!Q$17</f>
        <v>135.52889988230316</v>
      </c>
      <c r="R51" s="110">
        <f>TrRail_ene!R$17</f>
        <v>129.01186334726248</v>
      </c>
      <c r="S51" s="110">
        <f>TrRail_ene!S$17</f>
        <v>143.34989934900815</v>
      </c>
      <c r="T51" s="110">
        <f>TrRail_ene!T$17</f>
        <v>157.60621191127498</v>
      </c>
      <c r="U51" s="110">
        <f>TrRail_ene!U$17</f>
        <v>144.45648589615033</v>
      </c>
      <c r="V51" s="110">
        <f>TrRail_ene!V$17</f>
        <v>145.61225168065212</v>
      </c>
      <c r="W51" s="110">
        <f>TrRail_ene!W$17</f>
        <v>154.27020091500037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2.0163301870562971</v>
      </c>
      <c r="C52" s="110">
        <f t="shared" si="43"/>
        <v>1.6082281043805833</v>
      </c>
      <c r="D52" s="110">
        <f t="shared" si="43"/>
        <v>1.7857304263568281</v>
      </c>
      <c r="E52" s="110">
        <f t="shared" si="43"/>
        <v>1.8222954083655143</v>
      </c>
      <c r="F52" s="110">
        <f t="shared" si="43"/>
        <v>1.4722445496088108</v>
      </c>
      <c r="G52" s="110">
        <f t="shared" si="43"/>
        <v>1.9278757496467789</v>
      </c>
      <c r="H52" s="110">
        <f t="shared" si="43"/>
        <v>2.6573431454600218</v>
      </c>
      <c r="I52" s="110">
        <f t="shared" si="43"/>
        <v>3.2405735838155278</v>
      </c>
      <c r="J52" s="110">
        <f t="shared" si="43"/>
        <v>4.3230302634091569</v>
      </c>
      <c r="K52" s="110">
        <f t="shared" si="43"/>
        <v>4.8139999638743731</v>
      </c>
      <c r="L52" s="110">
        <f t="shared" si="43"/>
        <v>7.2477060515101588</v>
      </c>
      <c r="M52" s="110">
        <f t="shared" si="43"/>
        <v>6.7054516396866557</v>
      </c>
      <c r="N52" s="110">
        <f t="shared" si="43"/>
        <v>7.0126818880419322</v>
      </c>
      <c r="O52" s="110">
        <f t="shared" si="43"/>
        <v>7.3268952330286226</v>
      </c>
      <c r="P52" s="110">
        <f t="shared" si="43"/>
        <v>8.4738093351480632</v>
      </c>
      <c r="Q52" s="110">
        <f t="shared" si="43"/>
        <v>8.9317869445477385</v>
      </c>
      <c r="R52" s="110">
        <f t="shared" si="43"/>
        <v>10.917740174988451</v>
      </c>
      <c r="S52" s="110">
        <f t="shared" si="43"/>
        <v>12.675409026281539</v>
      </c>
      <c r="T52" s="110">
        <f t="shared" si="43"/>
        <v>11.6787348794801</v>
      </c>
      <c r="U52" s="110">
        <f t="shared" si="43"/>
        <v>15.742590900569262</v>
      </c>
      <c r="V52" s="110">
        <f t="shared" si="43"/>
        <v>19.017067260878683</v>
      </c>
      <c r="W52" s="110">
        <f t="shared" ref="W52" si="44">W53+W54+W55</f>
        <v>23.705002293056882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4.7189452850207217E-2</v>
      </c>
      <c r="C53" s="102">
        <f>TrAvia_ene!C$11</f>
        <v>3.6536408175289317E-2</v>
      </c>
      <c r="D53" s="102">
        <f>TrAvia_ene!D$11</f>
        <v>4.0566964840215929E-2</v>
      </c>
      <c r="E53" s="102">
        <f>TrAvia_ene!E$11</f>
        <v>4.0406578496921468E-2</v>
      </c>
      <c r="F53" s="102">
        <f>TrAvia_ene!F$11</f>
        <v>2.9975472731501834E-2</v>
      </c>
      <c r="G53" s="102">
        <f>TrAvia_ene!G$11</f>
        <v>2.4073520562708398E-2</v>
      </c>
      <c r="H53" s="102">
        <f>TrAvia_ene!H$11</f>
        <v>6.0596587471699576E-2</v>
      </c>
      <c r="I53" s="102">
        <f>TrAvia_ene!I$11</f>
        <v>9.6856218192456239E-2</v>
      </c>
      <c r="J53" s="102">
        <f>TrAvia_ene!J$11</f>
        <v>8.6534072166141479E-2</v>
      </c>
      <c r="K53" s="102">
        <f>TrAvia_ene!K$11</f>
        <v>0.12239865393338741</v>
      </c>
      <c r="L53" s="102">
        <f>TrAvia_ene!L$11</f>
        <v>0.10326040447350973</v>
      </c>
      <c r="M53" s="102">
        <f>TrAvia_ene!M$11</f>
        <v>0.11501281474460667</v>
      </c>
      <c r="N53" s="102">
        <f>TrAvia_ene!N$11</f>
        <v>0.29296470651397649</v>
      </c>
      <c r="O53" s="102">
        <f>TrAvia_ene!O$11</f>
        <v>0.29853174121439496</v>
      </c>
      <c r="P53" s="102">
        <f>TrAvia_ene!P$11</f>
        <v>0.27895626089155878</v>
      </c>
      <c r="Q53" s="102">
        <f>TrAvia_ene!Q$11</f>
        <v>0.1538671193334471</v>
      </c>
      <c r="R53" s="102">
        <f>TrAvia_ene!R$11</f>
        <v>0.1044681340459469</v>
      </c>
      <c r="S53" s="102">
        <f>TrAvia_ene!S$11</f>
        <v>3.7780976417889543E-2</v>
      </c>
      <c r="T53" s="102">
        <f>TrAvia_ene!T$11</f>
        <v>4.6971266203877128E-2</v>
      </c>
      <c r="U53" s="102">
        <f>TrAvia_ene!U$11</f>
        <v>6.0146811086487569E-2</v>
      </c>
      <c r="V53" s="102">
        <f>TrAvia_ene!V$11</f>
        <v>1.9731035435524388E-2</v>
      </c>
      <c r="W53" s="102">
        <f>TrAvia_ene!W$11</f>
        <v>3.5771009117358109E-2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1.5717776730147843</v>
      </c>
      <c r="C54" s="102">
        <f>TrAvia_ene!C$12</f>
        <v>1.1880897179988521</v>
      </c>
      <c r="D54" s="102">
        <f>TrAvia_ene!D$12</f>
        <v>1.3539135110804703</v>
      </c>
      <c r="E54" s="102">
        <f>TrAvia_ene!E$12</f>
        <v>1.3576176284980181</v>
      </c>
      <c r="F54" s="102">
        <f>TrAvia_ene!F$12</f>
        <v>1.0151935096324243</v>
      </c>
      <c r="G54" s="102">
        <f>TrAvia_ene!G$12</f>
        <v>1.4763046862518743</v>
      </c>
      <c r="H54" s="102">
        <f>TrAvia_ene!H$12</f>
        <v>1.9000777148177725</v>
      </c>
      <c r="I54" s="102">
        <f>TrAvia_ene!I$12</f>
        <v>2.0191138998182514</v>
      </c>
      <c r="J54" s="102">
        <f>TrAvia_ene!J$12</f>
        <v>2.3218928049166587</v>
      </c>
      <c r="K54" s="102">
        <f>TrAvia_ene!K$12</f>
        <v>2.6442551811518347</v>
      </c>
      <c r="L54" s="102">
        <f>TrAvia_ene!L$12</f>
        <v>2.6494712285656288</v>
      </c>
      <c r="M54" s="102">
        <f>TrAvia_ene!M$12</f>
        <v>2.6175530914810299</v>
      </c>
      <c r="N54" s="102">
        <f>TrAvia_ene!N$12</f>
        <v>2.9551042941810559</v>
      </c>
      <c r="O54" s="102">
        <f>TrAvia_ene!O$12</f>
        <v>2.7744068008775677</v>
      </c>
      <c r="P54" s="102">
        <f>TrAvia_ene!P$12</f>
        <v>3.0694358682213867</v>
      </c>
      <c r="Q54" s="102">
        <f>TrAvia_ene!Q$12</f>
        <v>3.3245399827296351</v>
      </c>
      <c r="R54" s="102">
        <f>TrAvia_ene!R$12</f>
        <v>3.1196848937992532</v>
      </c>
      <c r="S54" s="102">
        <f>TrAvia_ene!S$12</f>
        <v>4.2562469943292687</v>
      </c>
      <c r="T54" s="102">
        <f>TrAvia_ene!T$12</f>
        <v>4.4592901168495356</v>
      </c>
      <c r="U54" s="102">
        <f>TrAvia_ene!U$12</f>
        <v>4.2232459799716224</v>
      </c>
      <c r="V54" s="102">
        <f>TrAvia_ene!V$12</f>
        <v>6.0335451544383352</v>
      </c>
      <c r="W54" s="102">
        <f>TrAvia_ene!W$12</f>
        <v>8.0537793022887136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0.39736306119130554</v>
      </c>
      <c r="C55" s="102">
        <f>TrAvia_ene!C$13</f>
        <v>0.38360197820644204</v>
      </c>
      <c r="D55" s="102">
        <f>TrAvia_ene!D$13</f>
        <v>0.39124995043614197</v>
      </c>
      <c r="E55" s="102">
        <f>TrAvia_ene!E$13</f>
        <v>0.42427120137057467</v>
      </c>
      <c r="F55" s="102">
        <f>TrAvia_ene!F$13</f>
        <v>0.4270755672448846</v>
      </c>
      <c r="G55" s="102">
        <f>TrAvia_ene!G$13</f>
        <v>0.4274975428321961</v>
      </c>
      <c r="H55" s="102">
        <f>TrAvia_ene!H$13</f>
        <v>0.69666884317054945</v>
      </c>
      <c r="I55" s="102">
        <f>TrAvia_ene!I$13</f>
        <v>1.1246034658048198</v>
      </c>
      <c r="J55" s="102">
        <f>TrAvia_ene!J$13</f>
        <v>1.9146033863263572</v>
      </c>
      <c r="K55" s="102">
        <f>TrAvia_ene!K$13</f>
        <v>2.0473461287891515</v>
      </c>
      <c r="L55" s="102">
        <f>TrAvia_ene!L$13</f>
        <v>4.4949744184710205</v>
      </c>
      <c r="M55" s="102">
        <f>TrAvia_ene!M$13</f>
        <v>3.9728857334610188</v>
      </c>
      <c r="N55" s="102">
        <f>TrAvia_ene!N$13</f>
        <v>3.7646128873468991</v>
      </c>
      <c r="O55" s="102">
        <f>TrAvia_ene!O$13</f>
        <v>4.2539566909366595</v>
      </c>
      <c r="P55" s="102">
        <f>TrAvia_ene!P$13</f>
        <v>5.1254172060351175</v>
      </c>
      <c r="Q55" s="102">
        <f>TrAvia_ene!Q$13</f>
        <v>5.4533798424846553</v>
      </c>
      <c r="R55" s="102">
        <f>TrAvia_ene!R$13</f>
        <v>7.6935871471432504</v>
      </c>
      <c r="S55" s="102">
        <f>TrAvia_ene!S$13</f>
        <v>8.3813810555343817</v>
      </c>
      <c r="T55" s="102">
        <f>TrAvia_ene!T$13</f>
        <v>7.1724734964266874</v>
      </c>
      <c r="U55" s="102">
        <f>TrAvia_ene!U$13</f>
        <v>11.459198109511151</v>
      </c>
      <c r="V55" s="102">
        <f>TrAvia_ene!V$13</f>
        <v>12.963791071004824</v>
      </c>
      <c r="W55" s="102">
        <f>TrAvia_ene!W$13</f>
        <v>15.615451981650811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6.1622527944969905</v>
      </c>
      <c r="C56" s="110">
        <f t="shared" si="45"/>
        <v>6.1622527944969896</v>
      </c>
      <c r="D56" s="110">
        <f t="shared" si="45"/>
        <v>5.135167669819432</v>
      </c>
      <c r="E56" s="110">
        <f t="shared" si="45"/>
        <v>7.1892519346517627</v>
      </c>
      <c r="F56" s="110">
        <f t="shared" si="45"/>
        <v>6.1622527944969905</v>
      </c>
      <c r="G56" s="110">
        <f t="shared" si="45"/>
        <v>5.135167669819432</v>
      </c>
      <c r="H56" s="110">
        <f t="shared" si="45"/>
        <v>6.1622527944969896</v>
      </c>
      <c r="I56" s="110">
        <f t="shared" si="45"/>
        <v>5.135167669819432</v>
      </c>
      <c r="J56" s="110">
        <f t="shared" si="45"/>
        <v>5.135167669819432</v>
      </c>
      <c r="K56" s="110">
        <f t="shared" si="45"/>
        <v>3.102579535683577</v>
      </c>
      <c r="L56" s="110">
        <f t="shared" si="45"/>
        <v>3.1025795356835775</v>
      </c>
      <c r="M56" s="110">
        <f t="shared" si="45"/>
        <v>3.102579535683577</v>
      </c>
      <c r="N56" s="110">
        <f t="shared" si="45"/>
        <v>3.102579535683577</v>
      </c>
      <c r="O56" s="110">
        <f t="shared" si="45"/>
        <v>3.102579535683577</v>
      </c>
      <c r="P56" s="110">
        <f t="shared" si="45"/>
        <v>3.102579535683577</v>
      </c>
      <c r="Q56" s="110">
        <f t="shared" si="45"/>
        <v>2.0540842648323299</v>
      </c>
      <c r="R56" s="110">
        <f t="shared" ref="R56:V56" si="46">R57+R58</f>
        <v>2.0540842648323299</v>
      </c>
      <c r="S56" s="110">
        <f t="shared" si="46"/>
        <v>4.6894239036973344</v>
      </c>
      <c r="T56" s="110">
        <f t="shared" si="46"/>
        <v>2.026311263972485</v>
      </c>
      <c r="U56" s="110">
        <f t="shared" si="46"/>
        <v>1.8794496990541703</v>
      </c>
      <c r="V56" s="110">
        <f t="shared" si="46"/>
        <v>1.034221840068787</v>
      </c>
      <c r="W56" s="110">
        <f t="shared" ref="W56" si="47">W57+W58</f>
        <v>1.1204643164230439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0.24397136294746677</v>
      </c>
      <c r="C57" s="102">
        <f>TrNavi_ene!C4</f>
        <v>0.24239460004820199</v>
      </c>
      <c r="D57" s="102">
        <f>TrNavi_ene!D4</f>
        <v>0.25850591985742893</v>
      </c>
      <c r="E57" s="102">
        <f>TrNavi_ene!E4</f>
        <v>0.28411513793890575</v>
      </c>
      <c r="F57" s="102">
        <f>TrNavi_ene!F4</f>
        <v>0.32602193460842538</v>
      </c>
      <c r="G57" s="102">
        <f>TrNavi_ene!G4</f>
        <v>1.0225054316494211</v>
      </c>
      <c r="H57" s="102">
        <f>TrNavi_ene!H4</f>
        <v>1.1213711950317586</v>
      </c>
      <c r="I57" s="102">
        <f>TrNavi_ene!I4</f>
        <v>0.79986745634991441</v>
      </c>
      <c r="J57" s="102">
        <f>TrNavi_ene!J4</f>
        <v>0.94637867163214928</v>
      </c>
      <c r="K57" s="102">
        <f>TrNavi_ene!K4</f>
        <v>0.70260014438854934</v>
      </c>
      <c r="L57" s="102">
        <f>TrNavi_ene!L4</f>
        <v>0.841112770215385</v>
      </c>
      <c r="M57" s="102">
        <f>TrNavi_ene!M4</f>
        <v>1.0990232359716063</v>
      </c>
      <c r="N57" s="102">
        <f>TrNavi_ene!N4</f>
        <v>1.0367409346766829</v>
      </c>
      <c r="O57" s="102">
        <f>TrNavi_ene!O4</f>
        <v>1.041450088489009</v>
      </c>
      <c r="P57" s="102">
        <f>TrNavi_ene!P4</f>
        <v>0.71153621198165695</v>
      </c>
      <c r="Q57" s="102">
        <f>TrNavi_ene!Q4</f>
        <v>0.78047190934045774</v>
      </c>
      <c r="R57" s="102">
        <f>TrNavi_ene!R4</f>
        <v>1.0348420943838206</v>
      </c>
      <c r="S57" s="102">
        <f>TrNavi_ene!S4</f>
        <v>2.1348171271182217</v>
      </c>
      <c r="T57" s="102">
        <f>TrNavi_ene!T4</f>
        <v>0.88976984039869356</v>
      </c>
      <c r="U57" s="102">
        <f>TrNavi_ene!U4</f>
        <v>1.0619815657423086</v>
      </c>
      <c r="V57" s="102">
        <f>TrNavi_ene!V4</f>
        <v>0.7054421893723023</v>
      </c>
      <c r="W57" s="102">
        <f>TrNavi_ene!W4</f>
        <v>0.90050650075042038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5.9182814315495236</v>
      </c>
      <c r="C58" s="169">
        <f>TrNavi_ene!C10</f>
        <v>5.9198581944487874</v>
      </c>
      <c r="D58" s="169">
        <f>TrNavi_ene!D10</f>
        <v>4.8766617499620031</v>
      </c>
      <c r="E58" s="169">
        <f>TrNavi_ene!E10</f>
        <v>6.9051367967128572</v>
      </c>
      <c r="F58" s="169">
        <f>TrNavi_ene!F10</f>
        <v>5.8362308598885653</v>
      </c>
      <c r="G58" s="169">
        <f>TrNavi_ene!G10</f>
        <v>4.1126622381700111</v>
      </c>
      <c r="H58" s="169">
        <f>TrNavi_ene!H10</f>
        <v>5.040881599465231</v>
      </c>
      <c r="I58" s="169">
        <f>TrNavi_ene!I10</f>
        <v>4.3353002134695178</v>
      </c>
      <c r="J58" s="169">
        <f>TrNavi_ene!J10</f>
        <v>4.1887889981872828</v>
      </c>
      <c r="K58" s="169">
        <f>TrNavi_ene!K10</f>
        <v>2.3999793912950276</v>
      </c>
      <c r="L58" s="169">
        <f>TrNavi_ene!L10</f>
        <v>2.2614667654681924</v>
      </c>
      <c r="M58" s="169">
        <f>TrNavi_ene!M10</f>
        <v>2.0035562997119709</v>
      </c>
      <c r="N58" s="169">
        <f>TrNavi_ene!N10</f>
        <v>2.0658386010068939</v>
      </c>
      <c r="O58" s="169">
        <f>TrNavi_ene!O10</f>
        <v>2.0611294471945683</v>
      </c>
      <c r="P58" s="169">
        <f>TrNavi_ene!P10</f>
        <v>2.3910433237019202</v>
      </c>
      <c r="Q58" s="169">
        <f>TrNavi_ene!Q10</f>
        <v>1.2736123554918719</v>
      </c>
      <c r="R58" s="169">
        <f>TrNavi_ene!R10</f>
        <v>1.0192421704485091</v>
      </c>
      <c r="S58" s="169">
        <f>TrNavi_ene!S10</f>
        <v>2.5546067765791127</v>
      </c>
      <c r="T58" s="169">
        <f>TrNavi_ene!T10</f>
        <v>1.1365414235737914</v>
      </c>
      <c r="U58" s="169">
        <f>TrNavi_ene!U10</f>
        <v>0.81746813331186163</v>
      </c>
      <c r="V58" s="169">
        <f>TrNavi_ene!V10</f>
        <v>0.32877965069648485</v>
      </c>
      <c r="W58" s="169">
        <f>TrNavi_ene!W10</f>
        <v>0.21995781567262349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284.49415305245049</v>
      </c>
      <c r="C59" s="28">
        <f t="shared" ref="C59:W59" si="48">C60+C61</f>
        <v>259.00447119518486</v>
      </c>
      <c r="D59" s="28">
        <f t="shared" si="48"/>
        <v>268.99303525365434</v>
      </c>
      <c r="E59" s="28">
        <f t="shared" si="48"/>
        <v>283.65331040412724</v>
      </c>
      <c r="F59" s="28">
        <f t="shared" si="48"/>
        <v>252.34067067927776</v>
      </c>
      <c r="G59" s="28">
        <f t="shared" si="48"/>
        <v>323.7030954428202</v>
      </c>
      <c r="H59" s="28">
        <f t="shared" si="48"/>
        <v>295.84892519346511</v>
      </c>
      <c r="I59" s="28">
        <f t="shared" si="48"/>
        <v>248.19905417024938</v>
      </c>
      <c r="J59" s="28">
        <f t="shared" si="48"/>
        <v>275.15528804815131</v>
      </c>
      <c r="K59" s="28">
        <f t="shared" si="48"/>
        <v>247.71186586414439</v>
      </c>
      <c r="L59" s="28">
        <f t="shared" si="48"/>
        <v>215.39604471195179</v>
      </c>
      <c r="M59" s="28">
        <f t="shared" si="48"/>
        <v>170.56225279449697</v>
      </c>
      <c r="N59" s="28">
        <f t="shared" si="48"/>
        <v>144.68804815133274</v>
      </c>
      <c r="O59" s="28">
        <f t="shared" si="48"/>
        <v>140.69931212381772</v>
      </c>
      <c r="P59" s="28">
        <f t="shared" si="48"/>
        <v>147.30816852966464</v>
      </c>
      <c r="Q59" s="28">
        <f t="shared" si="48"/>
        <v>192.79638865004301</v>
      </c>
      <c r="R59" s="28">
        <f t="shared" si="48"/>
        <v>183.1231298366294</v>
      </c>
      <c r="S59" s="28">
        <f t="shared" si="48"/>
        <v>267.11358555460021</v>
      </c>
      <c r="T59" s="28">
        <f t="shared" si="48"/>
        <v>270.00266552020634</v>
      </c>
      <c r="U59" s="28">
        <f t="shared" si="48"/>
        <v>275.88245915735166</v>
      </c>
      <c r="V59" s="28">
        <f t="shared" si="48"/>
        <v>301.62949269131548</v>
      </c>
      <c r="W59" s="28">
        <f t="shared" si="48"/>
        <v>349.21066208082544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123.07517785371499</v>
      </c>
      <c r="C60" s="102">
        <f>MBunk_ene!C$4</f>
        <v>111.59180444335939</v>
      </c>
      <c r="D60" s="102">
        <f>MBunk_ene!D$4</f>
        <v>115.61346277111491</v>
      </c>
      <c r="E60" s="102">
        <f>MBunk_ene!E$4</f>
        <v>121.95280876638051</v>
      </c>
      <c r="F60" s="102">
        <f>MBunk_ene!F$4</f>
        <v>108.54223509853301</v>
      </c>
      <c r="G60" s="102">
        <f>MBunk_ene!G$4</f>
        <v>130.69670655997416</v>
      </c>
      <c r="H60" s="102">
        <f>MBunk_ene!H$4</f>
        <v>107.69970965138762</v>
      </c>
      <c r="I60" s="102">
        <f>MBunk_ene!I$4</f>
        <v>104.91675069635907</v>
      </c>
      <c r="J60" s="102">
        <f>MBunk_ene!J$4</f>
        <v>108.84130376724474</v>
      </c>
      <c r="K60" s="102">
        <f>MBunk_ene!K$4</f>
        <v>101.67614973586151</v>
      </c>
      <c r="L60" s="102">
        <f>MBunk_ene!L$4</f>
        <v>90.43754962327894</v>
      </c>
      <c r="M60" s="102">
        <f>MBunk_ene!M$4</f>
        <v>70.122789090341286</v>
      </c>
      <c r="N60" s="102">
        <f>MBunk_ene!N$4</f>
        <v>51.129046216965911</v>
      </c>
      <c r="O60" s="102">
        <f>MBunk_ene!O$4</f>
        <v>49.068481411389477</v>
      </c>
      <c r="P60" s="102">
        <f>MBunk_ene!P$4</f>
        <v>47.71273142353018</v>
      </c>
      <c r="Q60" s="102">
        <f>MBunk_ene!Q$4</f>
        <v>65.966229648153501</v>
      </c>
      <c r="R60" s="102">
        <f>MBunk_ene!R$4</f>
        <v>56.200624636934684</v>
      </c>
      <c r="S60" s="102">
        <f>MBunk_ene!S$4</f>
        <v>69.169736798150709</v>
      </c>
      <c r="T60" s="102">
        <f>MBunk_ene!T$4</f>
        <v>68.82731357876915</v>
      </c>
      <c r="U60" s="102">
        <f>MBunk_ene!U$4</f>
        <v>68.709755074880604</v>
      </c>
      <c r="V60" s="102">
        <f>MBunk_ene!V$4</f>
        <v>71.101721074133906</v>
      </c>
      <c r="W60" s="102">
        <f>MBunk_ene!W$4</f>
        <v>82.08519552458506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161.4189751987355</v>
      </c>
      <c r="C61" s="86">
        <f>MBunk_ene!C$10</f>
        <v>147.41266675182547</v>
      </c>
      <c r="D61" s="86">
        <f>MBunk_ene!D$10</f>
        <v>153.37957248253943</v>
      </c>
      <c r="E61" s="86">
        <f>MBunk_ene!E$10</f>
        <v>161.70050163774673</v>
      </c>
      <c r="F61" s="86">
        <f>MBunk_ene!F$10</f>
        <v>143.79843558074475</v>
      </c>
      <c r="G61" s="86">
        <f>MBunk_ene!G$10</f>
        <v>193.00638888284604</v>
      </c>
      <c r="H61" s="86">
        <f>MBunk_ene!H$10</f>
        <v>188.14921554207746</v>
      </c>
      <c r="I61" s="86">
        <f>MBunk_ene!I$10</f>
        <v>143.28230347389032</v>
      </c>
      <c r="J61" s="86">
        <f>MBunk_ene!J$10</f>
        <v>166.31398428090657</v>
      </c>
      <c r="K61" s="86">
        <f>MBunk_ene!K$10</f>
        <v>146.03571612828287</v>
      </c>
      <c r="L61" s="86">
        <f>MBunk_ene!L$10</f>
        <v>124.95849508867286</v>
      </c>
      <c r="M61" s="86">
        <f>MBunk_ene!M$10</f>
        <v>100.43946370415568</v>
      </c>
      <c r="N61" s="86">
        <f>MBunk_ene!N$10</f>
        <v>93.559001934366819</v>
      </c>
      <c r="O61" s="86">
        <f>MBunk_ene!O$10</f>
        <v>91.630830712428235</v>
      </c>
      <c r="P61" s="86">
        <f>MBunk_ene!P$10</f>
        <v>99.595437106134455</v>
      </c>
      <c r="Q61" s="86">
        <f>MBunk_ene!Q$10</f>
        <v>126.83015900188951</v>
      </c>
      <c r="R61" s="86">
        <f>MBunk_ene!R$10</f>
        <v>126.92250519969471</v>
      </c>
      <c r="S61" s="86">
        <f>MBunk_ene!S$10</f>
        <v>197.94384875644951</v>
      </c>
      <c r="T61" s="86">
        <f>MBunk_ene!T$10</f>
        <v>201.17535194143719</v>
      </c>
      <c r="U61" s="86">
        <f>MBunk_ene!U$10</f>
        <v>207.17270408247106</v>
      </c>
      <c r="V61" s="86">
        <f>MBunk_ene!V$10</f>
        <v>230.52777161718157</v>
      </c>
      <c r="W61" s="86">
        <f>MBunk_ene!W$10</f>
        <v>267.12546655624038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19622.849012658706</v>
      </c>
      <c r="C64" s="28">
        <f t="shared" si="49"/>
        <v>19030.515839185766</v>
      </c>
      <c r="D64" s="28">
        <f t="shared" si="49"/>
        <v>18655.43967874048</v>
      </c>
      <c r="E64" s="28">
        <f t="shared" si="49"/>
        <v>19415.406272755397</v>
      </c>
      <c r="F64" s="28">
        <f t="shared" si="49"/>
        <v>21390.056427507123</v>
      </c>
      <c r="G64" s="28">
        <f t="shared" si="49"/>
        <v>21488.281360950423</v>
      </c>
      <c r="H64" s="28">
        <f t="shared" si="49"/>
        <v>23806.211755111319</v>
      </c>
      <c r="I64" s="28">
        <f t="shared" si="49"/>
        <v>26107.376669411249</v>
      </c>
      <c r="J64" s="28">
        <f t="shared" si="49"/>
        <v>27516.476892778221</v>
      </c>
      <c r="K64" s="28">
        <f t="shared" si="49"/>
        <v>28283.027682377837</v>
      </c>
      <c r="L64" s="28">
        <f t="shared" si="49"/>
        <v>29496.309675065662</v>
      </c>
      <c r="M64" s="28">
        <f t="shared" si="49"/>
        <v>29798.06257953601</v>
      </c>
      <c r="N64" s="28">
        <f t="shared" si="49"/>
        <v>29820.47838109536</v>
      </c>
      <c r="O64" s="28">
        <f t="shared" si="49"/>
        <v>28456.316668665986</v>
      </c>
      <c r="P64" s="28">
        <f t="shared" si="49"/>
        <v>28670.699938070451</v>
      </c>
      <c r="Q64" s="28">
        <f t="shared" si="49"/>
        <v>30633.879035218859</v>
      </c>
      <c r="R64" s="28">
        <f t="shared" ref="R64:V64" si="50">R65+R69+R73</f>
        <v>33281.773666057139</v>
      </c>
      <c r="S64" s="28">
        <f t="shared" si="50"/>
        <v>37007.713616387497</v>
      </c>
      <c r="T64" s="28">
        <f t="shared" si="50"/>
        <v>38967.337747663885</v>
      </c>
      <c r="U64" s="28">
        <f t="shared" si="50"/>
        <v>40103.550415939986</v>
      </c>
      <c r="V64" s="28">
        <f t="shared" si="50"/>
        <v>36802.816372223191</v>
      </c>
      <c r="W64" s="28">
        <f t="shared" ref="W64" si="51">W65+W69+W73</f>
        <v>36988.02110418379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18446.249191739182</v>
      </c>
      <c r="C65" s="137">
        <f t="shared" si="52"/>
        <v>17862.828424638446</v>
      </c>
      <c r="D65" s="137">
        <f t="shared" si="52"/>
        <v>17522.624179629893</v>
      </c>
      <c r="E65" s="137">
        <f t="shared" si="52"/>
        <v>18199.106233526341</v>
      </c>
      <c r="F65" s="137">
        <f t="shared" si="52"/>
        <v>20252.509425904274</v>
      </c>
      <c r="G65" s="137">
        <f t="shared" si="52"/>
        <v>20215.431762936358</v>
      </c>
      <c r="H65" s="137">
        <f t="shared" si="52"/>
        <v>22313.773834388536</v>
      </c>
      <c r="I65" s="137">
        <f t="shared" si="52"/>
        <v>24507.193722576409</v>
      </c>
      <c r="J65" s="137">
        <f t="shared" si="52"/>
        <v>25696.904445241282</v>
      </c>
      <c r="K65" s="137">
        <f t="shared" si="52"/>
        <v>26641.247719029088</v>
      </c>
      <c r="L65" s="137">
        <f t="shared" si="52"/>
        <v>27861.651327832878</v>
      </c>
      <c r="M65" s="137">
        <f t="shared" si="52"/>
        <v>28189.882987979305</v>
      </c>
      <c r="N65" s="137">
        <f t="shared" si="52"/>
        <v>28045.652087158574</v>
      </c>
      <c r="O65" s="137">
        <f t="shared" si="52"/>
        <v>26735.564742883384</v>
      </c>
      <c r="P65" s="137">
        <f t="shared" si="52"/>
        <v>26757.10677284878</v>
      </c>
      <c r="Q65" s="137">
        <f t="shared" si="52"/>
        <v>28564.119296628836</v>
      </c>
      <c r="R65" s="137">
        <f t="shared" ref="R65:V65" si="53">R66+R67+R68</f>
        <v>31075.275544132961</v>
      </c>
      <c r="S65" s="137">
        <f t="shared" si="53"/>
        <v>34310.509702380114</v>
      </c>
      <c r="T65" s="137">
        <f t="shared" si="53"/>
        <v>35743.797196865089</v>
      </c>
      <c r="U65" s="137">
        <f t="shared" si="53"/>
        <v>36706.922421081625</v>
      </c>
      <c r="V65" s="137">
        <f t="shared" si="53"/>
        <v>35327.508435675365</v>
      </c>
      <c r="W65" s="137">
        <f t="shared" ref="W65" si="54">W66+W67+W68</f>
        <v>35167.660387559954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301.30108452857883</v>
      </c>
      <c r="C66" s="102">
        <f>TrRoad_emi!C$19</f>
        <v>268.33936654017617</v>
      </c>
      <c r="D66" s="102">
        <f>TrRoad_emi!D$19</f>
        <v>252.0675846917047</v>
      </c>
      <c r="E66" s="102">
        <f>TrRoad_emi!E$19</f>
        <v>230.53164216243343</v>
      </c>
      <c r="F66" s="102">
        <f>TrRoad_emi!F$19</f>
        <v>219.89804901410125</v>
      </c>
      <c r="G66" s="102">
        <f>TrRoad_emi!G$19</f>
        <v>223.79493019121631</v>
      </c>
      <c r="H66" s="102">
        <f>TrRoad_emi!H$19</f>
        <v>233.56435085803778</v>
      </c>
      <c r="I66" s="102">
        <f>TrRoad_emi!I$19</f>
        <v>248.50592265035263</v>
      </c>
      <c r="J66" s="102">
        <f>TrRoad_emi!J$19</f>
        <v>254.24121567748972</v>
      </c>
      <c r="K66" s="102">
        <f>TrRoad_emi!K$19</f>
        <v>258.63914617732365</v>
      </c>
      <c r="L66" s="102">
        <f>TrRoad_emi!L$19</f>
        <v>274.53356078594919</v>
      </c>
      <c r="M66" s="102">
        <f>TrRoad_emi!M$19</f>
        <v>269.75727719111563</v>
      </c>
      <c r="N66" s="102">
        <f>TrRoad_emi!N$19</f>
        <v>269.77690110317951</v>
      </c>
      <c r="O66" s="102">
        <f>TrRoad_emi!O$19</f>
        <v>259.48753010853591</v>
      </c>
      <c r="P66" s="102">
        <f>TrRoad_emi!P$19</f>
        <v>260.21314826649058</v>
      </c>
      <c r="Q66" s="102">
        <f>TrRoad_emi!Q$19</f>
        <v>267.1982477853702</v>
      </c>
      <c r="R66" s="102">
        <f>TrRoad_emi!R$19</f>
        <v>282.00354471610626</v>
      </c>
      <c r="S66" s="102">
        <f>TrRoad_emi!S$19</f>
        <v>265.7512871565462</v>
      </c>
      <c r="T66" s="102">
        <f>TrRoad_emi!T$19</f>
        <v>254.13751003210086</v>
      </c>
      <c r="U66" s="102">
        <f>TrRoad_emi!U$19</f>
        <v>269.68134086743754</v>
      </c>
      <c r="V66" s="102">
        <f>TrRoad_emi!V$19</f>
        <v>241.47673010363624</v>
      </c>
      <c r="W66" s="102">
        <f>TrRoad_emi!W$19</f>
        <v>239.6682492933715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15083.668296845752</v>
      </c>
      <c r="C67" s="102">
        <f>TrRoad_emi!C$20</f>
        <v>14753.587640864605</v>
      </c>
      <c r="D67" s="102">
        <f>TrRoad_emi!D$20</f>
        <v>14505.021280031282</v>
      </c>
      <c r="E67" s="102">
        <f>TrRoad_emi!E$20</f>
        <v>15312.533530183719</v>
      </c>
      <c r="F67" s="102">
        <f>TrRoad_emi!F$20</f>
        <v>17236.268420021515</v>
      </c>
      <c r="G67" s="102">
        <f>TrRoad_emi!G$20</f>
        <v>17280.557666496497</v>
      </c>
      <c r="H67" s="102">
        <f>TrRoad_emi!H$20</f>
        <v>19504.346678529655</v>
      </c>
      <c r="I67" s="102">
        <f>TrRoad_emi!I$20</f>
        <v>21647.144748072995</v>
      </c>
      <c r="J67" s="102">
        <f>TrRoad_emi!J$20</f>
        <v>22973.304354423308</v>
      </c>
      <c r="K67" s="102">
        <f>TrRoad_emi!K$20</f>
        <v>23930.937153892559</v>
      </c>
      <c r="L67" s="102">
        <f>TrRoad_emi!L$20</f>
        <v>25190.161565185415</v>
      </c>
      <c r="M67" s="102">
        <f>TrRoad_emi!M$20</f>
        <v>25495.23401629247</v>
      </c>
      <c r="N67" s="102">
        <f>TrRoad_emi!N$20</f>
        <v>25385.786235062686</v>
      </c>
      <c r="O67" s="102">
        <f>TrRoad_emi!O$20</f>
        <v>24058.843012995825</v>
      </c>
      <c r="P67" s="102">
        <f>TrRoad_emi!P$20</f>
        <v>24010.281118229894</v>
      </c>
      <c r="Q67" s="102">
        <f>TrRoad_emi!Q$20</f>
        <v>25369.460958565447</v>
      </c>
      <c r="R67" s="102">
        <f>TrRoad_emi!R$20</f>
        <v>27838.899079902087</v>
      </c>
      <c r="S67" s="102">
        <f>TrRoad_emi!S$20</f>
        <v>31150.18018218231</v>
      </c>
      <c r="T67" s="102">
        <f>TrRoad_emi!T$20</f>
        <v>32758.115244340675</v>
      </c>
      <c r="U67" s="102">
        <f>TrRoad_emi!U$20</f>
        <v>33567.408580481198</v>
      </c>
      <c r="V67" s="102">
        <f>TrRoad_emi!V$20</f>
        <v>32252.927500642618</v>
      </c>
      <c r="W67" s="102">
        <f>TrRoad_emi!W$20</f>
        <v>32091.938452209641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3061.2798103648502</v>
      </c>
      <c r="C68" s="102">
        <f>TrRoad_emi!C$27</f>
        <v>2840.9014172336651</v>
      </c>
      <c r="D68" s="102">
        <f>TrRoad_emi!D$27</f>
        <v>2765.5353149069078</v>
      </c>
      <c r="E68" s="102">
        <f>TrRoad_emi!E$27</f>
        <v>2656.0410611801899</v>
      </c>
      <c r="F68" s="102">
        <f>TrRoad_emi!F$27</f>
        <v>2796.3429568686574</v>
      </c>
      <c r="G68" s="102">
        <f>TrRoad_emi!G$27</f>
        <v>2711.079166248644</v>
      </c>
      <c r="H68" s="102">
        <f>TrRoad_emi!H$27</f>
        <v>2575.8628050008433</v>
      </c>
      <c r="I68" s="102">
        <f>TrRoad_emi!I$27</f>
        <v>2611.543051853062</v>
      </c>
      <c r="J68" s="102">
        <f>TrRoad_emi!J$27</f>
        <v>2469.3588751404864</v>
      </c>
      <c r="K68" s="102">
        <f>TrRoad_emi!K$27</f>
        <v>2451.6714189592062</v>
      </c>
      <c r="L68" s="102">
        <f>TrRoad_emi!L$27</f>
        <v>2396.9562018615143</v>
      </c>
      <c r="M68" s="102">
        <f>TrRoad_emi!M$27</f>
        <v>2424.89169449572</v>
      </c>
      <c r="N68" s="102">
        <f>TrRoad_emi!N$27</f>
        <v>2390.0889509927097</v>
      </c>
      <c r="O68" s="102">
        <f>TrRoad_emi!O$27</f>
        <v>2417.2341997790204</v>
      </c>
      <c r="P68" s="102">
        <f>TrRoad_emi!P$27</f>
        <v>2486.6125063523928</v>
      </c>
      <c r="Q68" s="102">
        <f>TrRoad_emi!Q$27</f>
        <v>2927.4600902780171</v>
      </c>
      <c r="R68" s="102">
        <f>TrRoad_emi!R$27</f>
        <v>2954.3729195147666</v>
      </c>
      <c r="S68" s="102">
        <f>TrRoad_emi!S$27</f>
        <v>2894.5782330412571</v>
      </c>
      <c r="T68" s="102">
        <f>TrRoad_emi!T$27</f>
        <v>2731.5444424923094</v>
      </c>
      <c r="U68" s="102">
        <f>TrRoad_emi!U$27</f>
        <v>2869.8324997329928</v>
      </c>
      <c r="V68" s="102">
        <f>TrRoad_emi!V$27</f>
        <v>2833.1042049291082</v>
      </c>
      <c r="W68" s="102">
        <f>TrRoad_emi!W$27</f>
        <v>2836.0536860569387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326.76183034863556</v>
      </c>
      <c r="C69" s="110">
        <f t="shared" si="55"/>
        <v>329.30491796359291</v>
      </c>
      <c r="D69" s="110">
        <f t="shared" si="55"/>
        <v>307.72010877217122</v>
      </c>
      <c r="E69" s="110">
        <f t="shared" si="55"/>
        <v>324.72814355098245</v>
      </c>
      <c r="F69" s="110">
        <f t="shared" si="55"/>
        <v>263.87698439031004</v>
      </c>
      <c r="G69" s="110">
        <f t="shared" si="55"/>
        <v>283.23241109038366</v>
      </c>
      <c r="H69" s="110">
        <f t="shared" si="55"/>
        <v>175.25159083106439</v>
      </c>
      <c r="I69" s="110">
        <f t="shared" si="55"/>
        <v>227.74514647280381</v>
      </c>
      <c r="J69" s="110">
        <f t="shared" si="55"/>
        <v>177.63612759454682</v>
      </c>
      <c r="K69" s="110">
        <f t="shared" si="55"/>
        <v>190.84279825379647</v>
      </c>
      <c r="L69" s="110">
        <f t="shared" si="55"/>
        <v>113.75644115597392</v>
      </c>
      <c r="M69" s="110">
        <f t="shared" si="55"/>
        <v>113.48133810040491</v>
      </c>
      <c r="N69" s="110">
        <f t="shared" si="55"/>
        <v>120.28709480273486</v>
      </c>
      <c r="O69" s="110">
        <f t="shared" si="55"/>
        <v>110.43124918542949</v>
      </c>
      <c r="P69" s="110">
        <f t="shared" si="55"/>
        <v>99.594689691637882</v>
      </c>
      <c r="Q69" s="110">
        <f t="shared" si="55"/>
        <v>87.086210806489987</v>
      </c>
      <c r="R69" s="110">
        <f t="shared" ref="R69:V69" si="56">R70+R71+R72</f>
        <v>109.22781201602763</v>
      </c>
      <c r="S69" s="110">
        <f t="shared" si="56"/>
        <v>91.984221562778941</v>
      </c>
      <c r="T69" s="110">
        <f t="shared" si="56"/>
        <v>130.62371212618962</v>
      </c>
      <c r="U69" s="110">
        <f t="shared" si="56"/>
        <v>103.09952987472042</v>
      </c>
      <c r="V69" s="110">
        <f t="shared" si="56"/>
        <v>101.77385687350647</v>
      </c>
      <c r="W69" s="110">
        <f t="shared" ref="W69" si="57">W70+W71+W72</f>
        <v>104.36940347095684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326.76183034863556</v>
      </c>
      <c r="C71" s="102">
        <f>TrRail_emi!C$11</f>
        <v>329.30491796359291</v>
      </c>
      <c r="D71" s="102">
        <f>TrRail_emi!D$11</f>
        <v>307.72010877217122</v>
      </c>
      <c r="E71" s="102">
        <f>TrRail_emi!E$11</f>
        <v>324.72814355098245</v>
      </c>
      <c r="F71" s="102">
        <f>TrRail_emi!F$11</f>
        <v>263.87698439031004</v>
      </c>
      <c r="G71" s="102">
        <f>TrRail_emi!G$11</f>
        <v>283.23241109038366</v>
      </c>
      <c r="H71" s="102">
        <f>TrRail_emi!H$11</f>
        <v>175.25159083106439</v>
      </c>
      <c r="I71" s="102">
        <f>TrRail_emi!I$11</f>
        <v>227.74514647280381</v>
      </c>
      <c r="J71" s="102">
        <f>TrRail_emi!J$11</f>
        <v>177.63612759454682</v>
      </c>
      <c r="K71" s="102">
        <f>TrRail_emi!K$11</f>
        <v>190.84279825379647</v>
      </c>
      <c r="L71" s="102">
        <f>TrRail_emi!L$11</f>
        <v>113.75644115597392</v>
      </c>
      <c r="M71" s="102">
        <f>TrRail_emi!M$11</f>
        <v>113.48133810040491</v>
      </c>
      <c r="N71" s="102">
        <f>TrRail_emi!N$11</f>
        <v>120.28709480273486</v>
      </c>
      <c r="O71" s="102">
        <f>TrRail_emi!O$11</f>
        <v>110.43124918542949</v>
      </c>
      <c r="P71" s="102">
        <f>TrRail_emi!P$11</f>
        <v>99.594689691637882</v>
      </c>
      <c r="Q71" s="102">
        <f>TrRail_emi!Q$11</f>
        <v>87.086210806489987</v>
      </c>
      <c r="R71" s="102">
        <f>TrRail_emi!R$11</f>
        <v>109.22781201602763</v>
      </c>
      <c r="S71" s="102">
        <f>TrRail_emi!S$11</f>
        <v>91.984221562778941</v>
      </c>
      <c r="T71" s="102">
        <f>TrRail_emi!T$11</f>
        <v>130.62371212618962</v>
      </c>
      <c r="U71" s="102">
        <f>TrRail_emi!U$11</f>
        <v>103.09952987472042</v>
      </c>
      <c r="V71" s="102">
        <f>TrRail_emi!V$11</f>
        <v>101.77385687350647</v>
      </c>
      <c r="W71" s="102">
        <f>TrRail_emi!W$11</f>
        <v>104.36940347095684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849.83799057088936</v>
      </c>
      <c r="C73" s="110">
        <f t="shared" si="58"/>
        <v>838.3824965837257</v>
      </c>
      <c r="D73" s="110">
        <f t="shared" si="58"/>
        <v>825.09539033841747</v>
      </c>
      <c r="E73" s="110">
        <f t="shared" si="58"/>
        <v>891.57189567807359</v>
      </c>
      <c r="F73" s="110">
        <f t="shared" si="58"/>
        <v>873.67001721253814</v>
      </c>
      <c r="G73" s="110">
        <f t="shared" si="58"/>
        <v>989.61718692368345</v>
      </c>
      <c r="H73" s="110">
        <f t="shared" si="58"/>
        <v>1317.1863298917208</v>
      </c>
      <c r="I73" s="110">
        <f t="shared" si="58"/>
        <v>1372.4378003620357</v>
      </c>
      <c r="J73" s="110">
        <f t="shared" si="58"/>
        <v>1641.9363199423942</v>
      </c>
      <c r="K73" s="110">
        <f t="shared" si="58"/>
        <v>1450.9371650949506</v>
      </c>
      <c r="L73" s="110">
        <f t="shared" si="58"/>
        <v>1520.9019060768112</v>
      </c>
      <c r="M73" s="110">
        <f t="shared" si="58"/>
        <v>1494.698253456299</v>
      </c>
      <c r="N73" s="110">
        <f t="shared" si="58"/>
        <v>1654.53919913405</v>
      </c>
      <c r="O73" s="110">
        <f t="shared" si="58"/>
        <v>1610.3206765971736</v>
      </c>
      <c r="P73" s="110">
        <f t="shared" si="58"/>
        <v>1813.9984755300304</v>
      </c>
      <c r="Q73" s="110">
        <f t="shared" si="58"/>
        <v>1982.6735277835337</v>
      </c>
      <c r="R73" s="110">
        <f t="shared" ref="R73:V73" si="59">R74+R75+R76</f>
        <v>2097.2703099081546</v>
      </c>
      <c r="S73" s="110">
        <f t="shared" si="59"/>
        <v>2605.2196924446057</v>
      </c>
      <c r="T73" s="110">
        <f t="shared" si="59"/>
        <v>3092.9168386726092</v>
      </c>
      <c r="U73" s="110">
        <f t="shared" si="59"/>
        <v>3293.5284649836412</v>
      </c>
      <c r="V73" s="110">
        <f t="shared" si="59"/>
        <v>1373.5340796743183</v>
      </c>
      <c r="W73" s="110">
        <f t="shared" ref="W73" si="60">W74+W75+W76</f>
        <v>1715.9913131528808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9.1647830391647265</v>
      </c>
      <c r="C74" s="102">
        <f>TrAvia_emi!C$7</f>
        <v>9.1960045563761899</v>
      </c>
      <c r="D74" s="102">
        <f>TrAvia_emi!D$7</f>
        <v>12.285051962124891</v>
      </c>
      <c r="E74" s="102">
        <f>TrAvia_emi!E$7</f>
        <v>12.285522016004364</v>
      </c>
      <c r="F74" s="102">
        <f>TrAvia_emi!F$7</f>
        <v>9.2152330835374237</v>
      </c>
      <c r="G74" s="102">
        <f>TrAvia_emi!G$7</f>
        <v>9.2325302888756369</v>
      </c>
      <c r="H74" s="102">
        <f>TrAvia_emi!H$7</f>
        <v>9.1254899453014406</v>
      </c>
      <c r="I74" s="102">
        <f>TrAvia_emi!I$7</f>
        <v>12.120081669970279</v>
      </c>
      <c r="J74" s="102">
        <f>TrAvia_emi!J$7</f>
        <v>9.0494734026583608</v>
      </c>
      <c r="K74" s="102">
        <f>TrAvia_emi!K$7</f>
        <v>11.961306920998188</v>
      </c>
      <c r="L74" s="102">
        <f>TrAvia_emi!L$7</f>
        <v>12.017396536985219</v>
      </c>
      <c r="M74" s="102">
        <f>TrAvia_emi!M$7</f>
        <v>15.062897043059097</v>
      </c>
      <c r="N74" s="102">
        <f>TrAvia_emi!N$7</f>
        <v>54.716796827001183</v>
      </c>
      <c r="O74" s="102">
        <f>TrAvia_emi!O$7</f>
        <v>48.527708837526063</v>
      </c>
      <c r="P74" s="102">
        <f>TrAvia_emi!P$7</f>
        <v>79.49018837211274</v>
      </c>
      <c r="Q74" s="102">
        <f>TrAvia_emi!Q$7</f>
        <v>55.143351830238878</v>
      </c>
      <c r="R74" s="102">
        <f>TrAvia_emi!R$7</f>
        <v>73.840987175106648</v>
      </c>
      <c r="S74" s="102">
        <f>TrAvia_emi!S$7</f>
        <v>82.485830646170967</v>
      </c>
      <c r="T74" s="102">
        <f>TrAvia_emi!T$7</f>
        <v>98.394223843902367</v>
      </c>
      <c r="U74" s="102">
        <f>TrAvia_emi!U$7</f>
        <v>101.31037165271982</v>
      </c>
      <c r="V74" s="102">
        <f>TrAvia_emi!V$7</f>
        <v>54.535274000113382</v>
      </c>
      <c r="W74" s="102">
        <f>TrAvia_emi!W$7</f>
        <v>89.998961669336737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538.84818106611158</v>
      </c>
      <c r="C75" s="102">
        <f>TrAvia_emi!C$8</f>
        <v>531.48224720072767</v>
      </c>
      <c r="D75" s="102">
        <f>TrAvia_emi!D$8</f>
        <v>520.97867406130047</v>
      </c>
      <c r="E75" s="102">
        <f>TrAvia_emi!E$8</f>
        <v>563.58392723536861</v>
      </c>
      <c r="F75" s="102">
        <f>TrAvia_emi!F$8</f>
        <v>554.07363768059236</v>
      </c>
      <c r="G75" s="102">
        <f>TrAvia_emi!G$8</f>
        <v>652.051022121237</v>
      </c>
      <c r="H75" s="102">
        <f>TrAvia_emi!H$8</f>
        <v>920.90589584996678</v>
      </c>
      <c r="I75" s="102">
        <f>TrAvia_emi!I$8</f>
        <v>990.95810523156035</v>
      </c>
      <c r="J75" s="102">
        <f>TrAvia_emi!J$8</f>
        <v>1210.1892016156617</v>
      </c>
      <c r="K75" s="102">
        <f>TrAvia_emi!K$8</f>
        <v>1030.9002443927441</v>
      </c>
      <c r="L75" s="102">
        <f>TrAvia_emi!L$8</f>
        <v>1080.1047813798248</v>
      </c>
      <c r="M75" s="102">
        <f>TrAvia_emi!M$8</f>
        <v>1056.3531415693028</v>
      </c>
      <c r="N75" s="102">
        <f>TrAvia_emi!N$8</f>
        <v>1151.0978755442839</v>
      </c>
      <c r="O75" s="102">
        <f>TrAvia_emi!O$8</f>
        <v>1148.1028453620067</v>
      </c>
      <c r="P75" s="102">
        <f>TrAvia_emi!P$8</f>
        <v>1267.88946591186</v>
      </c>
      <c r="Q75" s="102">
        <f>TrAvia_emi!Q$8</f>
        <v>1438.0079929119468</v>
      </c>
      <c r="R75" s="102">
        <f>TrAvia_emi!R$8</f>
        <v>1542.2998561384588</v>
      </c>
      <c r="S75" s="102">
        <f>TrAvia_emi!S$8</f>
        <v>1948.7048052646999</v>
      </c>
      <c r="T75" s="102">
        <f>TrAvia_emi!T$8</f>
        <v>2323.3128789515094</v>
      </c>
      <c r="U75" s="102">
        <f>TrAvia_emi!U$8</f>
        <v>2481.9760495106857</v>
      </c>
      <c r="V75" s="102">
        <f>TrAvia_emi!V$8</f>
        <v>906.97237023226671</v>
      </c>
      <c r="W75" s="102">
        <f>TrAvia_emi!W$8</f>
        <v>1143.5693621125695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301.82502646561312</v>
      </c>
      <c r="C76" s="102">
        <f>TrAvia_emi!C$9</f>
        <v>297.70424482662173</v>
      </c>
      <c r="D76" s="102">
        <f>TrAvia_emi!D$9</f>
        <v>291.83166431499217</v>
      </c>
      <c r="E76" s="102">
        <f>TrAvia_emi!E$9</f>
        <v>315.70244642670059</v>
      </c>
      <c r="F76" s="102">
        <f>TrAvia_emi!F$9</f>
        <v>310.3811464484084</v>
      </c>
      <c r="G76" s="102">
        <f>TrAvia_emi!G$9</f>
        <v>328.33363451357087</v>
      </c>
      <c r="H76" s="102">
        <f>TrAvia_emi!H$9</f>
        <v>387.15494409645265</v>
      </c>
      <c r="I76" s="102">
        <f>TrAvia_emi!I$9</f>
        <v>369.35961346050499</v>
      </c>
      <c r="J76" s="102">
        <f>TrAvia_emi!J$9</f>
        <v>422.69764492407427</v>
      </c>
      <c r="K76" s="102">
        <f>TrAvia_emi!K$9</f>
        <v>408.0756137812084</v>
      </c>
      <c r="L76" s="102">
        <f>TrAvia_emi!L$9</f>
        <v>428.77972816000124</v>
      </c>
      <c r="M76" s="102">
        <f>TrAvia_emi!M$9</f>
        <v>423.28221484393697</v>
      </c>
      <c r="N76" s="102">
        <f>TrAvia_emi!N$9</f>
        <v>448.72452676276504</v>
      </c>
      <c r="O76" s="102">
        <f>TrAvia_emi!O$9</f>
        <v>413.69012239764083</v>
      </c>
      <c r="P76" s="102">
        <f>TrAvia_emi!P$9</f>
        <v>466.61882124605768</v>
      </c>
      <c r="Q76" s="102">
        <f>TrAvia_emi!Q$9</f>
        <v>489.52218304134823</v>
      </c>
      <c r="R76" s="102">
        <f>TrAvia_emi!R$9</f>
        <v>481.12946659458913</v>
      </c>
      <c r="S76" s="102">
        <f>TrAvia_emi!S$9</f>
        <v>574.02905653373477</v>
      </c>
      <c r="T76" s="102">
        <f>TrAvia_emi!T$9</f>
        <v>671.20973587719743</v>
      </c>
      <c r="U76" s="102">
        <f>TrAvia_emi!U$9</f>
        <v>710.24204382023584</v>
      </c>
      <c r="V76" s="102">
        <f>TrAvia_emi!V$9</f>
        <v>412.02643544193808</v>
      </c>
      <c r="W76" s="102">
        <f>TrAvia_emi!W$9</f>
        <v>482.42298937097456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8284.8850941412948</v>
      </c>
      <c r="C77" s="28">
        <f t="shared" si="61"/>
        <v>8660.3394712542358</v>
      </c>
      <c r="D77" s="28">
        <f t="shared" si="61"/>
        <v>8101.1306317395147</v>
      </c>
      <c r="E77" s="28">
        <f t="shared" si="61"/>
        <v>9758.1106454446035</v>
      </c>
      <c r="F77" s="28">
        <f t="shared" si="61"/>
        <v>11491.26873381288</v>
      </c>
      <c r="G77" s="28">
        <f t="shared" si="61"/>
        <v>13823.675900249571</v>
      </c>
      <c r="H77" s="28">
        <f t="shared" si="61"/>
        <v>15454.250300008689</v>
      </c>
      <c r="I77" s="28">
        <f t="shared" si="61"/>
        <v>17374.757333988753</v>
      </c>
      <c r="J77" s="28">
        <f t="shared" si="61"/>
        <v>18120.607546501771</v>
      </c>
      <c r="K77" s="28">
        <f t="shared" si="61"/>
        <v>17951.941381542169</v>
      </c>
      <c r="L77" s="28">
        <f t="shared" si="61"/>
        <v>19391.282748774342</v>
      </c>
      <c r="M77" s="28">
        <f t="shared" si="61"/>
        <v>19671.194624664015</v>
      </c>
      <c r="N77" s="28">
        <f t="shared" si="61"/>
        <v>17799.981264104648</v>
      </c>
      <c r="O77" s="28">
        <f t="shared" si="61"/>
        <v>16120.836419174018</v>
      </c>
      <c r="P77" s="28">
        <f t="shared" si="61"/>
        <v>16480.741916769555</v>
      </c>
      <c r="Q77" s="28">
        <f t="shared" si="61"/>
        <v>17201.570801341139</v>
      </c>
      <c r="R77" s="28">
        <f t="shared" ref="R77:V77" si="62">R78+R81+R82+R86+R92</f>
        <v>21242.754981502876</v>
      </c>
      <c r="S77" s="28">
        <f t="shared" si="62"/>
        <v>26338.285142652519</v>
      </c>
      <c r="T77" s="28">
        <f t="shared" si="62"/>
        <v>26540.059481056094</v>
      </c>
      <c r="U77" s="28">
        <f t="shared" si="62"/>
        <v>26666.875335100012</v>
      </c>
      <c r="V77" s="28">
        <f t="shared" si="62"/>
        <v>25299.360537696823</v>
      </c>
      <c r="W77" s="28">
        <f t="shared" ref="W77" si="63">W78+W81+W82+W86+W92</f>
        <v>30597.001139816195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8060.7236010608194</v>
      </c>
      <c r="C78" s="137">
        <f t="shared" si="64"/>
        <v>8452.6937243215543</v>
      </c>
      <c r="D78" s="137">
        <f t="shared" si="64"/>
        <v>7900.0430261301035</v>
      </c>
      <c r="E78" s="137">
        <f t="shared" si="64"/>
        <v>9542.0578417536599</v>
      </c>
      <c r="F78" s="137">
        <f t="shared" si="64"/>
        <v>11218.603883935728</v>
      </c>
      <c r="G78" s="137">
        <f t="shared" si="64"/>
        <v>13581.739942823637</v>
      </c>
      <c r="H78" s="137">
        <f t="shared" si="64"/>
        <v>15140.376016371474</v>
      </c>
      <c r="I78" s="137">
        <f t="shared" si="64"/>
        <v>17121.182597543593</v>
      </c>
      <c r="J78" s="137">
        <f t="shared" si="64"/>
        <v>17871.017840758712</v>
      </c>
      <c r="K78" s="137">
        <f t="shared" si="64"/>
        <v>17733.653275970915</v>
      </c>
      <c r="L78" s="137">
        <f t="shared" si="64"/>
        <v>19117.457325847125</v>
      </c>
      <c r="M78" s="137">
        <f t="shared" si="64"/>
        <v>19385.893296660717</v>
      </c>
      <c r="N78" s="137">
        <f t="shared" si="64"/>
        <v>17546.226447961431</v>
      </c>
      <c r="O78" s="137">
        <f t="shared" si="64"/>
        <v>15881.947517116621</v>
      </c>
      <c r="P78" s="137">
        <f t="shared" si="64"/>
        <v>16259.647555711221</v>
      </c>
      <c r="Q78" s="137">
        <f t="shared" si="64"/>
        <v>16994.123229611163</v>
      </c>
      <c r="R78" s="137">
        <f t="shared" ref="R78:V78" si="65">R79+R80</f>
        <v>21051.469320547058</v>
      </c>
      <c r="S78" s="137">
        <f t="shared" si="65"/>
        <v>26109.723995099903</v>
      </c>
      <c r="T78" s="137">
        <f t="shared" si="65"/>
        <v>26306.895333654895</v>
      </c>
      <c r="U78" s="137">
        <f t="shared" si="65"/>
        <v>26448.821922278374</v>
      </c>
      <c r="V78" s="137">
        <f t="shared" si="65"/>
        <v>25082.372042324649</v>
      </c>
      <c r="W78" s="137">
        <f t="shared" ref="W78" si="66">W79+W80</f>
        <v>30346.606328760034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5767.9595350176087</v>
      </c>
      <c r="C79" s="102">
        <f>TrRoad_emi!C$34</f>
        <v>5479.029707092488</v>
      </c>
      <c r="D79" s="102">
        <f>TrRoad_emi!D$34</f>
        <v>5650.5405197442597</v>
      </c>
      <c r="E79" s="102">
        <f>TrRoad_emi!E$34</f>
        <v>5762.6368543687931</v>
      </c>
      <c r="F79" s="102">
        <f>TrRoad_emi!F$34</f>
        <v>5577.364872586355</v>
      </c>
      <c r="G79" s="102">
        <f>TrRoad_emi!G$34</f>
        <v>5654.8294927139232</v>
      </c>
      <c r="H79" s="102">
        <f>TrRoad_emi!H$34</f>
        <v>5904.3591341476658</v>
      </c>
      <c r="I79" s="102">
        <f>TrRoad_emi!I$34</f>
        <v>6098.4796070636385</v>
      </c>
      <c r="J79" s="102">
        <f>TrRoad_emi!J$34</f>
        <v>6271.5964229812234</v>
      </c>
      <c r="K79" s="102">
        <f>TrRoad_emi!K$34</f>
        <v>6503.8165661995063</v>
      </c>
      <c r="L79" s="102">
        <f>TrRoad_emi!L$34</f>
        <v>6792.2586608752108</v>
      </c>
      <c r="M79" s="102">
        <f>TrRoad_emi!M$34</f>
        <v>7099.6934056123191</v>
      </c>
      <c r="N79" s="102">
        <f>TrRoad_emi!N$34</f>
        <v>7094.2279423134696</v>
      </c>
      <c r="O79" s="102">
        <f>TrRoad_emi!O$34</f>
        <v>7247.1535160284966</v>
      </c>
      <c r="P79" s="102">
        <f>TrRoad_emi!P$34</f>
        <v>7236.7147512471411</v>
      </c>
      <c r="Q79" s="102">
        <f>TrRoad_emi!Q$34</f>
        <v>7329.3244648888467</v>
      </c>
      <c r="R79" s="102">
        <f>TrRoad_emi!R$34</f>
        <v>7853.408838017619</v>
      </c>
      <c r="S79" s="102">
        <f>TrRoad_emi!S$34</f>
        <v>8102.3666104067261</v>
      </c>
      <c r="T79" s="102">
        <f>TrRoad_emi!T$34</f>
        <v>8379.3996736305326</v>
      </c>
      <c r="U79" s="102">
        <f>TrRoad_emi!U$34</f>
        <v>8668.3707913144208</v>
      </c>
      <c r="V79" s="102">
        <f>TrRoad_emi!V$34</f>
        <v>8724.800876184443</v>
      </c>
      <c r="W79" s="102">
        <f>TrRoad_emi!W$34</f>
        <v>9012.932055052539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2292.7640660432107</v>
      </c>
      <c r="C80" s="102">
        <f>TrRoad_emi!C$40</f>
        <v>2973.6640172290672</v>
      </c>
      <c r="D80" s="102">
        <f>TrRoad_emi!D$40</f>
        <v>2249.5025063858438</v>
      </c>
      <c r="E80" s="102">
        <f>TrRoad_emi!E$40</f>
        <v>3779.4209873848677</v>
      </c>
      <c r="F80" s="102">
        <f>TrRoad_emi!F$40</f>
        <v>5641.239011349372</v>
      </c>
      <c r="G80" s="102">
        <f>TrRoad_emi!G$40</f>
        <v>7926.9104501097136</v>
      </c>
      <c r="H80" s="102">
        <f>TrRoad_emi!H$40</f>
        <v>9236.0168822238084</v>
      </c>
      <c r="I80" s="102">
        <f>TrRoad_emi!I$40</f>
        <v>11022.702990479955</v>
      </c>
      <c r="J80" s="102">
        <f>TrRoad_emi!J$40</f>
        <v>11599.421417777488</v>
      </c>
      <c r="K80" s="102">
        <f>TrRoad_emi!K$40</f>
        <v>11229.836709771407</v>
      </c>
      <c r="L80" s="102">
        <f>TrRoad_emi!L$40</f>
        <v>12325.198664971915</v>
      </c>
      <c r="M80" s="102">
        <f>TrRoad_emi!M$40</f>
        <v>12286.199891048396</v>
      </c>
      <c r="N80" s="102">
        <f>TrRoad_emi!N$40</f>
        <v>10451.99850564796</v>
      </c>
      <c r="O80" s="102">
        <f>TrRoad_emi!O$40</f>
        <v>8634.7940010881248</v>
      </c>
      <c r="P80" s="102">
        <f>TrRoad_emi!P$40</f>
        <v>9022.9328044640806</v>
      </c>
      <c r="Q80" s="102">
        <f>TrRoad_emi!Q$40</f>
        <v>9664.7987647223163</v>
      </c>
      <c r="R80" s="102">
        <f>TrRoad_emi!R$40</f>
        <v>13198.060482529438</v>
      </c>
      <c r="S80" s="102">
        <f>TrRoad_emi!S$40</f>
        <v>18007.357384693176</v>
      </c>
      <c r="T80" s="102">
        <f>TrRoad_emi!T$40</f>
        <v>17927.495660024364</v>
      </c>
      <c r="U80" s="102">
        <f>TrRoad_emi!U$40</f>
        <v>17780.451130963953</v>
      </c>
      <c r="V80" s="102">
        <f>TrRoad_emi!V$40</f>
        <v>16357.571166140206</v>
      </c>
      <c r="W80" s="102">
        <f>TrRoad_emi!W$40</f>
        <v>21333.674273707496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198.9775807313645</v>
      </c>
      <c r="C81" s="110">
        <f>TrRail_emi!C$15</f>
        <v>183.68950059640707</v>
      </c>
      <c r="D81" s="110">
        <f>TrRail_emi!D$15</f>
        <v>179.7837912278288</v>
      </c>
      <c r="E81" s="110">
        <f>TrRail_emi!E$15</f>
        <v>188.26627500901748</v>
      </c>
      <c r="F81" s="110">
        <f>TrRail_emi!F$15</f>
        <v>249.11743416968994</v>
      </c>
      <c r="G81" s="110">
        <f>TrRail_emi!G$15</f>
        <v>220.20292962961634</v>
      </c>
      <c r="H81" s="110">
        <f>TrRail_emi!H$15</f>
        <v>286.76179060893577</v>
      </c>
      <c r="I81" s="110">
        <f>TrRail_emi!I$15</f>
        <v>227.89587208719618</v>
      </c>
      <c r="J81" s="110">
        <f>TrRail_emi!J$15</f>
        <v>220.65149096545312</v>
      </c>
      <c r="K81" s="110">
        <f>TrRail_emi!K$15</f>
        <v>194.18071282620355</v>
      </c>
      <c r="L81" s="110">
        <f>TrRail_emi!L$15</f>
        <v>242.3902999240261</v>
      </c>
      <c r="M81" s="110">
        <f>TrRail_emi!M$15</f>
        <v>255.49949333959498</v>
      </c>
      <c r="N81" s="110">
        <f>TrRail_emi!N$15</f>
        <v>223.02555591726508</v>
      </c>
      <c r="O81" s="110">
        <f>TrRail_emi!O$15</f>
        <v>207.21322081457058</v>
      </c>
      <c r="P81" s="110">
        <f>TrRail_emi!P$15</f>
        <v>185.9644210283621</v>
      </c>
      <c r="Q81" s="110">
        <f>TrRail_emi!Q$15</f>
        <v>174.19027063351001</v>
      </c>
      <c r="R81" s="110">
        <f>TrRail_emi!R$15</f>
        <v>152.04866942397234</v>
      </c>
      <c r="S81" s="110">
        <f>TrRail_emi!S$15</f>
        <v>175.85615643722102</v>
      </c>
      <c r="T81" s="110">
        <f>TrRail_emi!T$15</f>
        <v>191.72160259381042</v>
      </c>
      <c r="U81" s="110">
        <f>TrRail_emi!U$15</f>
        <v>164.83314708527956</v>
      </c>
      <c r="V81" s="110">
        <f>TrRail_emi!V$15</f>
        <v>156.53305224649355</v>
      </c>
      <c r="W81" s="110">
        <f>TrRail_emi!W$15</f>
        <v>175.55973744904315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6.066023429110623</v>
      </c>
      <c r="C82" s="110">
        <f t="shared" si="67"/>
        <v>4.8383574162742118</v>
      </c>
      <c r="D82" s="110">
        <f t="shared" si="67"/>
        <v>5.372373661582416</v>
      </c>
      <c r="E82" s="110">
        <f t="shared" si="67"/>
        <v>5.4824583219262975</v>
      </c>
      <c r="F82" s="110">
        <f t="shared" si="67"/>
        <v>4.4295267874618469</v>
      </c>
      <c r="G82" s="110">
        <f t="shared" si="67"/>
        <v>5.8015870763166486</v>
      </c>
      <c r="H82" s="110">
        <f t="shared" si="67"/>
        <v>7.9946041082791366</v>
      </c>
      <c r="I82" s="110">
        <f t="shared" si="67"/>
        <v>9.7474236379646229</v>
      </c>
      <c r="J82" s="110">
        <f t="shared" si="67"/>
        <v>13.006774057605451</v>
      </c>
      <c r="K82" s="110">
        <f t="shared" si="67"/>
        <v>14.481891665049218</v>
      </c>
      <c r="L82" s="110">
        <f t="shared" si="67"/>
        <v>21.809621923189162</v>
      </c>
      <c r="M82" s="110">
        <f t="shared" si="67"/>
        <v>20.17633358370114</v>
      </c>
      <c r="N82" s="110">
        <f t="shared" si="67"/>
        <v>21.103759145950484</v>
      </c>
      <c r="O82" s="110">
        <f t="shared" si="67"/>
        <v>22.050180162826429</v>
      </c>
      <c r="P82" s="110">
        <f t="shared" si="67"/>
        <v>25.504438949969916</v>
      </c>
      <c r="Q82" s="110">
        <f t="shared" si="67"/>
        <v>26.884671456466108</v>
      </c>
      <c r="R82" s="110">
        <f t="shared" si="67"/>
        <v>32.864361891845356</v>
      </c>
      <c r="S82" s="110">
        <f t="shared" si="67"/>
        <v>38.156434235394784</v>
      </c>
      <c r="T82" s="110">
        <f t="shared" si="67"/>
        <v>35.156078647390387</v>
      </c>
      <c r="U82" s="110">
        <f t="shared" si="67"/>
        <v>47.389425656358284</v>
      </c>
      <c r="V82" s="110">
        <f t="shared" si="67"/>
        <v>57.246853845681926</v>
      </c>
      <c r="W82" s="110">
        <f t="shared" ref="W82" si="68">W83+W84+W85</f>
        <v>71.358924047119658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0.13830096083527332</v>
      </c>
      <c r="C83" s="102">
        <f>TrAvia_emi!C$11</f>
        <v>0.10707944362381093</v>
      </c>
      <c r="D83" s="102">
        <f>TrAvia_emi!D$11</f>
        <v>0.11889203787511123</v>
      </c>
      <c r="E83" s="102">
        <f>TrAvia_emi!E$11</f>
        <v>0.11842198399563755</v>
      </c>
      <c r="F83" s="102">
        <f>TrAvia_emi!F$11</f>
        <v>8.7850916462576326E-2</v>
      </c>
      <c r="G83" s="102">
        <f>TrAvia_emi!G$11</f>
        <v>7.0553711124363275E-2</v>
      </c>
      <c r="H83" s="102">
        <f>TrAvia_emi!H$11</f>
        <v>0.17759405469855827</v>
      </c>
      <c r="I83" s="102">
        <f>TrAvia_emi!I$11</f>
        <v>0.28386233002972305</v>
      </c>
      <c r="J83" s="102">
        <f>TrAvia_emi!J$11</f>
        <v>0.25361059734164082</v>
      </c>
      <c r="K83" s="102">
        <f>TrAvia_emi!K$11</f>
        <v>0.35872107900181449</v>
      </c>
      <c r="L83" s="102">
        <f>TrAvia_emi!L$11</f>
        <v>0.30263146301478344</v>
      </c>
      <c r="M83" s="102">
        <f>TrAvia_emi!M$11</f>
        <v>0.3370749569409035</v>
      </c>
      <c r="N83" s="102">
        <f>TrAvia_emi!N$11</f>
        <v>0.87533269299880834</v>
      </c>
      <c r="O83" s="102">
        <f>TrAvia_emi!O$11</f>
        <v>0.89263288247392991</v>
      </c>
      <c r="P83" s="102">
        <f>TrAvia_emi!P$11</f>
        <v>0.83539734788727504</v>
      </c>
      <c r="Q83" s="102">
        <f>TrAvia_emi!Q$11</f>
        <v>0.460418649761141</v>
      </c>
      <c r="R83" s="102">
        <f>TrAvia_emi!R$11</f>
        <v>0.31306958489335907</v>
      </c>
      <c r="S83" s="102">
        <f>TrAvia_emi!S$11</f>
        <v>0.1133494738290458</v>
      </c>
      <c r="T83" s="102">
        <f>TrAvia_emi!T$11</f>
        <v>0.14092003609765294</v>
      </c>
      <c r="U83" s="102">
        <f>TrAvia_emi!U$11</f>
        <v>0.1804661872801808</v>
      </c>
      <c r="V83" s="102">
        <f>TrAvia_emi!V$11</f>
        <v>5.9070879886637354E-2</v>
      </c>
      <c r="W83" s="102">
        <f>TrAvia_emi!W$11</f>
        <v>0.10730349066328129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4.731536789430999</v>
      </c>
      <c r="C84" s="102">
        <f>TrAvia_emi!C$12</f>
        <v>3.5765174085173497</v>
      </c>
      <c r="D84" s="102">
        <f>TrAvia_emi!D$12</f>
        <v>4.0756982984098427</v>
      </c>
      <c r="E84" s="102">
        <f>TrAvia_emi!E$12</f>
        <v>4.0868488371497662</v>
      </c>
      <c r="F84" s="102">
        <f>TrAvia_emi!F$12</f>
        <v>3.0560463618267755</v>
      </c>
      <c r="G84" s="102">
        <f>TrAvia_emi!G$12</f>
        <v>4.444133579027131</v>
      </c>
      <c r="H84" s="102">
        <f>TrAvia_emi!H$12</f>
        <v>5.7198214256309159</v>
      </c>
      <c r="I84" s="102">
        <f>TrAvia_emi!I$12</f>
        <v>6.0781571484707637</v>
      </c>
      <c r="J84" s="102">
        <f>TrAvia_emi!J$12</f>
        <v>6.9896152720544222</v>
      </c>
      <c r="K84" s="102">
        <f>TrAvia_emi!K$12</f>
        <v>7.9600256989690346</v>
      </c>
      <c r="L84" s="102">
        <f>TrAvia_emi!L$12</f>
        <v>7.9757276144864147</v>
      </c>
      <c r="M84" s="102">
        <f>TrAvia_emi!M$12</f>
        <v>7.8796441527737864</v>
      </c>
      <c r="N84" s="102">
        <f>TrAvia_emi!N$12</f>
        <v>8.8957776437327407</v>
      </c>
      <c r="O84" s="102">
        <f>TrAvia_emi!O$12</f>
        <v>8.3518223172243129</v>
      </c>
      <c r="P84" s="102">
        <f>TrAvia_emi!P$12</f>
        <v>9.239951032916828</v>
      </c>
      <c r="Q84" s="102">
        <f>TrAvia_emi!Q$12</f>
        <v>10.00789329577886</v>
      </c>
      <c r="R84" s="102">
        <f>TrAvia_emi!R$12</f>
        <v>9.3912161369049141</v>
      </c>
      <c r="S84" s="102">
        <f>TrAvia_emi!S$12</f>
        <v>12.812591455654903</v>
      </c>
      <c r="T84" s="102">
        <f>TrAvia_emi!T$12</f>
        <v>13.423824273478093</v>
      </c>
      <c r="U84" s="102">
        <f>TrAvia_emi!U$12</f>
        <v>12.713263771820849</v>
      </c>
      <c r="V84" s="102">
        <f>TrAvia_emi!V$12</f>
        <v>18.162813286645207</v>
      </c>
      <c r="W84" s="102">
        <f>TrAvia_emi!W$12</f>
        <v>24.244337300531306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1.1961856788443503</v>
      </c>
      <c r="C85" s="102">
        <f>TrAvia_emi!C$13</f>
        <v>1.1547605641330518</v>
      </c>
      <c r="D85" s="102">
        <f>TrAvia_emi!D$13</f>
        <v>1.1777833252974623</v>
      </c>
      <c r="E85" s="102">
        <f>TrAvia_emi!E$13</f>
        <v>1.2771875007808935</v>
      </c>
      <c r="F85" s="102">
        <f>TrAvia_emi!F$13</f>
        <v>1.285629509172495</v>
      </c>
      <c r="G85" s="102">
        <f>TrAvia_emi!G$13</f>
        <v>1.2868997861651541</v>
      </c>
      <c r="H85" s="102">
        <f>TrAvia_emi!H$13</f>
        <v>2.0971886279496621</v>
      </c>
      <c r="I85" s="102">
        <f>TrAvia_emi!I$13</f>
        <v>3.385404159464136</v>
      </c>
      <c r="J85" s="102">
        <f>TrAvia_emi!J$13</f>
        <v>5.7635481882093869</v>
      </c>
      <c r="K85" s="102">
        <f>TrAvia_emi!K$13</f>
        <v>6.1631448870783681</v>
      </c>
      <c r="L85" s="102">
        <f>TrAvia_emi!L$13</f>
        <v>13.531262845687964</v>
      </c>
      <c r="M85" s="102">
        <f>TrAvia_emi!M$13</f>
        <v>11.95961447398645</v>
      </c>
      <c r="N85" s="102">
        <f>TrAvia_emi!N$13</f>
        <v>11.332648809218936</v>
      </c>
      <c r="O85" s="102">
        <f>TrAvia_emi!O$13</f>
        <v>12.805724963128185</v>
      </c>
      <c r="P85" s="102">
        <f>TrAvia_emi!P$13</f>
        <v>15.429090569165812</v>
      </c>
      <c r="Q85" s="102">
        <f>TrAvia_emi!Q$13</f>
        <v>16.416359510926107</v>
      </c>
      <c r="R85" s="102">
        <f>TrAvia_emi!R$13</f>
        <v>23.160076170047081</v>
      </c>
      <c r="S85" s="102">
        <f>TrAvia_emi!S$13</f>
        <v>25.23049330591083</v>
      </c>
      <c r="T85" s="102">
        <f>TrAvia_emi!T$13</f>
        <v>21.591334337814644</v>
      </c>
      <c r="U85" s="102">
        <f>TrAvia_emi!U$13</f>
        <v>34.495695697257254</v>
      </c>
      <c r="V85" s="102">
        <f>TrAvia_emi!V$13</f>
        <v>39.024969679150082</v>
      </c>
      <c r="W85" s="102">
        <f>TrAvia_emi!W$13</f>
        <v>47.007283255925074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19.117888920000002</v>
      </c>
      <c r="C86" s="110">
        <f t="shared" si="69"/>
        <v>19.117888919999999</v>
      </c>
      <c r="D86" s="110">
        <f t="shared" si="69"/>
        <v>15.931440719999998</v>
      </c>
      <c r="E86" s="110">
        <f t="shared" si="69"/>
        <v>22.304070360000001</v>
      </c>
      <c r="F86" s="110">
        <f t="shared" si="69"/>
        <v>19.117888919999999</v>
      </c>
      <c r="G86" s="110">
        <f t="shared" si="69"/>
        <v>15.931440719999999</v>
      </c>
      <c r="H86" s="110">
        <f t="shared" si="69"/>
        <v>19.117888919999999</v>
      </c>
      <c r="I86" s="110">
        <f t="shared" si="69"/>
        <v>15.931440719999999</v>
      </c>
      <c r="J86" s="110">
        <f t="shared" si="69"/>
        <v>15.931440720000001</v>
      </c>
      <c r="K86" s="110">
        <f t="shared" si="69"/>
        <v>9.6255010799999994</v>
      </c>
      <c r="L86" s="110">
        <f t="shared" si="69"/>
        <v>9.6255010800000029</v>
      </c>
      <c r="M86" s="110">
        <f t="shared" si="69"/>
        <v>9.6255010800000012</v>
      </c>
      <c r="N86" s="110">
        <f t="shared" si="69"/>
        <v>9.6255010799999994</v>
      </c>
      <c r="O86" s="110">
        <f t="shared" si="69"/>
        <v>9.6255010800000012</v>
      </c>
      <c r="P86" s="110">
        <f t="shared" si="69"/>
        <v>9.6255010800000012</v>
      </c>
      <c r="Q86" s="110">
        <f t="shared" si="69"/>
        <v>6.3726296399999987</v>
      </c>
      <c r="R86" s="110">
        <f t="shared" ref="R86:V86" si="70">R87+R88</f>
        <v>6.3726296399999987</v>
      </c>
      <c r="S86" s="110">
        <f t="shared" si="70"/>
        <v>14.54855688</v>
      </c>
      <c r="T86" s="110">
        <f t="shared" si="70"/>
        <v>6.2864661599999998</v>
      </c>
      <c r="U86" s="110">
        <f t="shared" si="70"/>
        <v>5.8308400800000006</v>
      </c>
      <c r="V86" s="110">
        <f t="shared" si="70"/>
        <v>3.2085892799999987</v>
      </c>
      <c r="W86" s="110">
        <f t="shared" ref="W86" si="71">W87+W88</f>
        <v>3.4761495600000005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0.75690134306984436</v>
      </c>
      <c r="C87" s="102">
        <f>TrNavi_emi!C$4</f>
        <v>0.75200956420802278</v>
      </c>
      <c r="D87" s="102">
        <f>TrNavi_emi!D$4</f>
        <v>0.80199362567698085</v>
      </c>
      <c r="E87" s="102">
        <f>TrNavi_emi!E$4</f>
        <v>0.88144414530625448</v>
      </c>
      <c r="F87" s="102">
        <f>TrNavi_emi!F$4</f>
        <v>1.0114565791415495</v>
      </c>
      <c r="G87" s="102">
        <f>TrNavi_emi!G$4</f>
        <v>3.1722400742512793</v>
      </c>
      <c r="H87" s="102">
        <f>TrNavi_emi!H$4</f>
        <v>3.4789630772449947</v>
      </c>
      <c r="I87" s="102">
        <f>TrNavi_emi!I$4</f>
        <v>2.4815238340881538</v>
      </c>
      <c r="J87" s="102">
        <f>TrNavi_emi!J$4</f>
        <v>2.9360629827906068</v>
      </c>
      <c r="K87" s="102">
        <f>TrNavi_emi!K$4</f>
        <v>2.1797598968337502</v>
      </c>
      <c r="L87" s="102">
        <f>TrNavi_emi!L$4</f>
        <v>2.6094840712362908</v>
      </c>
      <c r="M87" s="102">
        <f>TrNavi_emi!M$4</f>
        <v>3.4096303489151478</v>
      </c>
      <c r="N87" s="102">
        <f>TrNavi_emi!N$4</f>
        <v>3.2164045664705134</v>
      </c>
      <c r="O87" s="102">
        <f>TrNavi_emi!O$4</f>
        <v>3.2310143337899651</v>
      </c>
      <c r="P87" s="102">
        <f>TrNavi_emi!P$4</f>
        <v>2.2074833209326781</v>
      </c>
      <c r="Q87" s="102">
        <f>TrNavi_emi!Q$4</f>
        <v>2.4213507244097316</v>
      </c>
      <c r="R87" s="102">
        <f>TrNavi_emi!R$4</f>
        <v>3.2105135686477397</v>
      </c>
      <c r="S87" s="102">
        <f>TrNavi_emi!S$4</f>
        <v>6.6230967897335615</v>
      </c>
      <c r="T87" s="102">
        <f>TrNavi_emi!T$4</f>
        <v>2.7604386805259065</v>
      </c>
      <c r="U87" s="102">
        <f>TrNavi_emi!U$4</f>
        <v>3.2947115748123745</v>
      </c>
      <c r="V87" s="102">
        <f>TrNavi_emi!V$4</f>
        <v>2.1885771106217908</v>
      </c>
      <c r="W87" s="102">
        <f>TrNavi_emi!W$4</f>
        <v>2.7937482974503185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18.360987576930157</v>
      </c>
      <c r="C88" s="169">
        <f>TrNavi_emi!C$5</f>
        <v>18.365879355791975</v>
      </c>
      <c r="D88" s="169">
        <f>TrNavi_emi!D$5</f>
        <v>15.129447094323018</v>
      </c>
      <c r="E88" s="169">
        <f>TrNavi_emi!E$5</f>
        <v>21.422626214693747</v>
      </c>
      <c r="F88" s="169">
        <f>TrNavi_emi!F$5</f>
        <v>18.106432340858451</v>
      </c>
      <c r="G88" s="169">
        <f>TrNavi_emi!G$5</f>
        <v>12.75920064574872</v>
      </c>
      <c r="H88" s="169">
        <f>TrNavi_emi!H$5</f>
        <v>15.638925842755004</v>
      </c>
      <c r="I88" s="169">
        <f>TrNavi_emi!I$5</f>
        <v>13.449916885911845</v>
      </c>
      <c r="J88" s="169">
        <f>TrNavi_emi!J$5</f>
        <v>12.995377737209393</v>
      </c>
      <c r="K88" s="169">
        <f>TrNavi_emi!K$5</f>
        <v>7.4457411831662501</v>
      </c>
      <c r="L88" s="169">
        <f>TrNavi_emi!L$5</f>
        <v>7.0160170087637113</v>
      </c>
      <c r="M88" s="169">
        <f>TrNavi_emi!M$5</f>
        <v>6.2158707310848538</v>
      </c>
      <c r="N88" s="169">
        <f>TrNavi_emi!N$5</f>
        <v>6.4090965135294864</v>
      </c>
      <c r="O88" s="169">
        <f>TrNavi_emi!O$5</f>
        <v>6.3944867462100365</v>
      </c>
      <c r="P88" s="169">
        <f>TrNavi_emi!P$5</f>
        <v>7.4180177590673235</v>
      </c>
      <c r="Q88" s="169">
        <f>TrNavi_emi!Q$5</f>
        <v>3.951278915590267</v>
      </c>
      <c r="R88" s="169">
        <f>TrNavi_emi!R$5</f>
        <v>3.1621160713522589</v>
      </c>
      <c r="S88" s="169">
        <f>TrNavi_emi!S$5</f>
        <v>7.9254600902664389</v>
      </c>
      <c r="T88" s="169">
        <f>TrNavi_emi!T$5</f>
        <v>3.5260274794740938</v>
      </c>
      <c r="U88" s="169">
        <f>TrNavi_emi!U$5</f>
        <v>2.5361285051876261</v>
      </c>
      <c r="V88" s="169">
        <f>TrNavi_emi!V$5</f>
        <v>1.0200121693782078</v>
      </c>
      <c r="W88" s="169">
        <f>TrNavi_emi!W$5</f>
        <v>0.68240126254968181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915.68336759999988</v>
      </c>
      <c r="C89" s="28">
        <f t="shared" si="72"/>
        <v>836.20373544000006</v>
      </c>
      <c r="D89" s="28">
        <f t="shared" si="72"/>
        <v>865.59261228000014</v>
      </c>
      <c r="E89" s="28">
        <f t="shared" si="72"/>
        <v>912.67475760000002</v>
      </c>
      <c r="F89" s="28">
        <f t="shared" si="72"/>
        <v>812.19684204000032</v>
      </c>
      <c r="G89" s="28">
        <f t="shared" si="72"/>
        <v>1032.5264075999999</v>
      </c>
      <c r="H89" s="28">
        <f t="shared" si="72"/>
        <v>946.37775276000013</v>
      </c>
      <c r="I89" s="28">
        <f t="shared" si="72"/>
        <v>797.21468784000024</v>
      </c>
      <c r="J89" s="28">
        <f t="shared" si="72"/>
        <v>884.71050120000018</v>
      </c>
      <c r="K89" s="28">
        <f t="shared" si="72"/>
        <v>793.58594831999994</v>
      </c>
      <c r="L89" s="28">
        <f t="shared" si="72"/>
        <v>690.29274383999996</v>
      </c>
      <c r="M89" s="28">
        <f t="shared" si="72"/>
        <v>543.14754227999993</v>
      </c>
      <c r="N89" s="28">
        <f t="shared" si="72"/>
        <v>459.44292203999998</v>
      </c>
      <c r="O89" s="28">
        <f t="shared" si="72"/>
        <v>445.08818844000007</v>
      </c>
      <c r="P89" s="28">
        <f t="shared" si="72"/>
        <v>466.64763011999997</v>
      </c>
      <c r="Q89" s="28">
        <f t="shared" si="72"/>
        <v>604.33913808000011</v>
      </c>
      <c r="R89" s="28">
        <f t="shared" si="72"/>
        <v>575.12064204000001</v>
      </c>
      <c r="S89" s="28">
        <f t="shared" si="72"/>
        <v>835.68602556000019</v>
      </c>
      <c r="T89" s="28">
        <f t="shared" si="72"/>
        <v>848.11308443999997</v>
      </c>
      <c r="U89" s="28">
        <f t="shared" si="72"/>
        <v>866.77951932000008</v>
      </c>
      <c r="V89" s="28">
        <f t="shared" si="72"/>
        <v>947.44063475999997</v>
      </c>
      <c r="W89" s="28">
        <f t="shared" si="72"/>
        <v>1091.8878127200001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393.85528805066787</v>
      </c>
      <c r="C90" s="102">
        <f>MBunk_emi!C$4</f>
        <v>359.1353317322164</v>
      </c>
      <c r="D90" s="102">
        <f>MBunk_emi!D$4</f>
        <v>369.79891174487204</v>
      </c>
      <c r="E90" s="102">
        <f>MBunk_emi!E$4</f>
        <v>390.00277648670203</v>
      </c>
      <c r="F90" s="102">
        <f>MBunk_emi!F$4</f>
        <v>347.33442199894967</v>
      </c>
      <c r="G90" s="102">
        <f>MBunk_emi!G$4</f>
        <v>410.73627100809745</v>
      </c>
      <c r="H90" s="102">
        <f>MBunk_emi!H$4</f>
        <v>339.78405018539604</v>
      </c>
      <c r="I90" s="102">
        <f>MBunk_emi!I$4</f>
        <v>334.35122296728588</v>
      </c>
      <c r="J90" s="102">
        <f>MBunk_emi!J$4</f>
        <v>347.29693725528722</v>
      </c>
      <c r="K90" s="102">
        <f>MBunk_emi!K$4</f>
        <v>322.30440482487717</v>
      </c>
      <c r="L90" s="102">
        <f>MBunk_emi!L$4</f>
        <v>286.94920563046912</v>
      </c>
      <c r="M90" s="102">
        <f>MBunk_emi!M$4</f>
        <v>219.65230490219926</v>
      </c>
      <c r="N90" s="102">
        <f>MBunk_emi!N$4</f>
        <v>158.77467424963822</v>
      </c>
      <c r="O90" s="102">
        <f>MBunk_emi!O$4</f>
        <v>152.23097921814525</v>
      </c>
      <c r="P90" s="102">
        <f>MBunk_emi!P$4</f>
        <v>148.02487496771079</v>
      </c>
      <c r="Q90" s="102">
        <f>MBunk_emi!Q$4</f>
        <v>204.6548710255488</v>
      </c>
      <c r="R90" s="102">
        <f>MBunk_emi!R$4</f>
        <v>174.35787444536936</v>
      </c>
      <c r="S90" s="102">
        <f>MBunk_emi!S$4</f>
        <v>214.59349183363457</v>
      </c>
      <c r="T90" s="102">
        <f>MBunk_emi!T$4</f>
        <v>213.53115160026869</v>
      </c>
      <c r="U90" s="102">
        <f>MBunk_emi!U$4</f>
        <v>213.16643588770503</v>
      </c>
      <c r="V90" s="102">
        <f>MBunk_emi!V$4</f>
        <v>220.58731617274924</v>
      </c>
      <c r="W90" s="102">
        <f>MBunk_emi!W$4</f>
        <v>254.66265379714858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521.82807954933196</v>
      </c>
      <c r="C91" s="86">
        <f>MBunk_emi!C$5</f>
        <v>477.06840370778366</v>
      </c>
      <c r="D91" s="86">
        <f>MBunk_emi!D$5</f>
        <v>495.7937005351281</v>
      </c>
      <c r="E91" s="86">
        <f>MBunk_emi!E$5</f>
        <v>522.67198111329799</v>
      </c>
      <c r="F91" s="86">
        <f>MBunk_emi!F$5</f>
        <v>464.8624200410506</v>
      </c>
      <c r="G91" s="86">
        <f>MBunk_emi!G$5</f>
        <v>621.79013659190252</v>
      </c>
      <c r="H91" s="86">
        <f>MBunk_emi!H$5</f>
        <v>606.59370257460409</v>
      </c>
      <c r="I91" s="86">
        <f>MBunk_emi!I$5</f>
        <v>462.86346487271436</v>
      </c>
      <c r="J91" s="86">
        <f>MBunk_emi!J$5</f>
        <v>537.41356394471302</v>
      </c>
      <c r="K91" s="86">
        <f>MBunk_emi!K$5</f>
        <v>471.28154349512278</v>
      </c>
      <c r="L91" s="86">
        <f>MBunk_emi!L$5</f>
        <v>403.34353820953083</v>
      </c>
      <c r="M91" s="86">
        <f>MBunk_emi!M$5</f>
        <v>323.49523737780066</v>
      </c>
      <c r="N91" s="86">
        <f>MBunk_emi!N$5</f>
        <v>300.66824779036176</v>
      </c>
      <c r="O91" s="86">
        <f>MBunk_emi!O$5</f>
        <v>292.85720922185482</v>
      </c>
      <c r="P91" s="86">
        <f>MBunk_emi!P$5</f>
        <v>318.62275515228919</v>
      </c>
      <c r="Q91" s="86">
        <f>MBunk_emi!Q$5</f>
        <v>399.68426705445125</v>
      </c>
      <c r="R91" s="86">
        <f>MBunk_emi!R$5</f>
        <v>400.76276759463065</v>
      </c>
      <c r="S91" s="86">
        <f>MBunk_emi!S$5</f>
        <v>621.09253372636556</v>
      </c>
      <c r="T91" s="86">
        <f>MBunk_emi!T$5</f>
        <v>634.58193283973128</v>
      </c>
      <c r="U91" s="86">
        <f>MBunk_emi!U$5</f>
        <v>653.61308343229507</v>
      </c>
      <c r="V91" s="86">
        <f>MBunk_emi!V$5</f>
        <v>726.85331858725067</v>
      </c>
      <c r="W91" s="86">
        <f>MBunk_emi!W$5</f>
        <v>837.22515892285151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0.84005905514209545</v>
      </c>
      <c r="C97" s="139">
        <f t="shared" si="76"/>
        <v>0.84477258969205127</v>
      </c>
      <c r="D97" s="139">
        <f t="shared" si="76"/>
        <v>0.8511979993056269</v>
      </c>
      <c r="E97" s="139">
        <f t="shared" si="76"/>
        <v>0.85639564600789819</v>
      </c>
      <c r="F97" s="139">
        <f t="shared" si="76"/>
        <v>0.86343639795358473</v>
      </c>
      <c r="G97" s="139">
        <f t="shared" si="76"/>
        <v>0.86191259933773146</v>
      </c>
      <c r="H97" s="139">
        <f t="shared" si="76"/>
        <v>0.85459801921567258</v>
      </c>
      <c r="I97" s="139">
        <f t="shared" si="76"/>
        <v>0.84323949619917782</v>
      </c>
      <c r="J97" s="139">
        <f t="shared" si="76"/>
        <v>0.84299074855980849</v>
      </c>
      <c r="K97" s="139">
        <f t="shared" si="76"/>
        <v>0.85920994309786158</v>
      </c>
      <c r="L97" s="139">
        <f t="shared" si="76"/>
        <v>0.86062192857776698</v>
      </c>
      <c r="M97" s="139">
        <f t="shared" si="76"/>
        <v>0.8559338341240097</v>
      </c>
      <c r="N97" s="139">
        <f t="shared" si="76"/>
        <v>0.85534875947914701</v>
      </c>
      <c r="O97" s="139">
        <f t="shared" si="76"/>
        <v>0.85799536058952552</v>
      </c>
      <c r="P97" s="139">
        <f t="shared" si="76"/>
        <v>0.85638529368002503</v>
      </c>
      <c r="Q97" s="139">
        <f t="shared" si="76"/>
        <v>0.848015481648701</v>
      </c>
      <c r="R97" s="139">
        <f t="shared" ref="R97:V97" si="77">IF(R5=0,0,R5/R$4)</f>
        <v>0.8416965698546004</v>
      </c>
      <c r="S97" s="139">
        <f t="shared" si="77"/>
        <v>0.82720163509207423</v>
      </c>
      <c r="T97" s="139">
        <f t="shared" si="77"/>
        <v>0.81284518630032387</v>
      </c>
      <c r="U97" s="139">
        <f t="shared" si="77"/>
        <v>0.80626947544294736</v>
      </c>
      <c r="V97" s="139">
        <f t="shared" si="77"/>
        <v>0.90228059259959559</v>
      </c>
      <c r="W97" s="139">
        <f t="shared" ref="W97" si="78">IF(W5=0,0,W5/W$4)</f>
        <v>0.87789482557755916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1.1000449858989942E-2</v>
      </c>
      <c r="C98" s="140">
        <f t="shared" si="79"/>
        <v>9.9689031202897117E-3</v>
      </c>
      <c r="D98" s="140">
        <f t="shared" si="79"/>
        <v>9.5496522167082404E-3</v>
      </c>
      <c r="E98" s="140">
        <f t="shared" si="79"/>
        <v>8.6305491604341499E-3</v>
      </c>
      <c r="F98" s="140">
        <f t="shared" si="79"/>
        <v>8.0742998947750996E-3</v>
      </c>
      <c r="G98" s="140">
        <f t="shared" si="79"/>
        <v>8.7769077236228097E-3</v>
      </c>
      <c r="H98" s="140">
        <f t="shared" si="79"/>
        <v>9.0600533630643652E-3</v>
      </c>
      <c r="I98" s="140">
        <f t="shared" si="79"/>
        <v>9.4856870922229979E-3</v>
      </c>
      <c r="J98" s="140">
        <f t="shared" si="79"/>
        <v>9.1444649260412885E-3</v>
      </c>
      <c r="K98" s="140">
        <f t="shared" si="79"/>
        <v>9.9868784555089216E-3</v>
      </c>
      <c r="L98" s="140">
        <f t="shared" si="79"/>
        <v>1.0585162675493561E-2</v>
      </c>
      <c r="M98" s="140">
        <f t="shared" si="79"/>
        <v>1.0565017892273709E-2</v>
      </c>
      <c r="N98" s="140">
        <f t="shared" si="79"/>
        <v>1.0593305131078232E-2</v>
      </c>
      <c r="O98" s="140">
        <f t="shared" si="79"/>
        <v>1.0217546149096148E-2</v>
      </c>
      <c r="P98" s="140">
        <f t="shared" si="79"/>
        <v>1.0121337051925907E-2</v>
      </c>
      <c r="Q98" s="140">
        <f t="shared" si="79"/>
        <v>1.0392518232894658E-2</v>
      </c>
      <c r="R98" s="140">
        <f t="shared" ref="R98:V98" si="80">IF(R6=0,0,R6/R$4)</f>
        <v>1.0466912247077818E-2</v>
      </c>
      <c r="S98" s="140">
        <f t="shared" si="80"/>
        <v>9.4912402348126621E-3</v>
      </c>
      <c r="T98" s="140">
        <f t="shared" si="80"/>
        <v>8.7826565483460559E-3</v>
      </c>
      <c r="U98" s="140">
        <f t="shared" si="80"/>
        <v>9.0848384111315642E-3</v>
      </c>
      <c r="V98" s="140">
        <f t="shared" si="80"/>
        <v>1.0080004415576039E-2</v>
      </c>
      <c r="W98" s="140">
        <f t="shared" ref="W98" si="81">IF(W6=0,0,W6/W$4)</f>
        <v>9.8417243097351226E-3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0.56978618355695743</v>
      </c>
      <c r="C99" s="140">
        <f t="shared" si="82"/>
        <v>0.58840984407801844</v>
      </c>
      <c r="D99" s="140">
        <f t="shared" si="82"/>
        <v>0.60860407632947378</v>
      </c>
      <c r="E99" s="140">
        <f t="shared" si="82"/>
        <v>0.62099122957255914</v>
      </c>
      <c r="F99" s="140">
        <f t="shared" si="82"/>
        <v>0.63449800907040543</v>
      </c>
      <c r="G99" s="140">
        <f t="shared" si="82"/>
        <v>0.64482662944331881</v>
      </c>
      <c r="H99" s="140">
        <f t="shared" si="82"/>
        <v>0.64496466367519956</v>
      </c>
      <c r="I99" s="140">
        <f t="shared" si="82"/>
        <v>0.64437258675266085</v>
      </c>
      <c r="J99" s="140">
        <f t="shared" si="82"/>
        <v>0.65329944872986034</v>
      </c>
      <c r="K99" s="140">
        <f t="shared" si="82"/>
        <v>0.68474224976796361</v>
      </c>
      <c r="L99" s="140">
        <f t="shared" si="82"/>
        <v>0.69626238241294625</v>
      </c>
      <c r="M99" s="140">
        <f t="shared" si="82"/>
        <v>0.69746809272073218</v>
      </c>
      <c r="N99" s="140">
        <f t="shared" si="82"/>
        <v>0.69917978534422365</v>
      </c>
      <c r="O99" s="140">
        <f t="shared" si="82"/>
        <v>0.70913216259109291</v>
      </c>
      <c r="P99" s="140">
        <f t="shared" si="82"/>
        <v>0.70596164063824729</v>
      </c>
      <c r="Q99" s="140">
        <f t="shared" si="82"/>
        <v>0.70544630599331626</v>
      </c>
      <c r="R99" s="140">
        <f t="shared" ref="R99:V99" si="83">IF(R7=0,0,R7/R$4)</f>
        <v>0.70900407890504891</v>
      </c>
      <c r="S99" s="140">
        <f t="shared" si="83"/>
        <v>0.70323220926459384</v>
      </c>
      <c r="T99" s="140">
        <f t="shared" si="83"/>
        <v>0.6981121184405743</v>
      </c>
      <c r="U99" s="140">
        <f t="shared" si="83"/>
        <v>0.6895952485328164</v>
      </c>
      <c r="V99" s="140">
        <f t="shared" si="83"/>
        <v>0.82146373836291453</v>
      </c>
      <c r="W99" s="140">
        <f t="shared" ref="W99" si="84">IF(W7=0,0,W7/W$4)</f>
        <v>0.79564752805808459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0.25927242172614817</v>
      </c>
      <c r="C100" s="140">
        <f t="shared" si="85"/>
        <v>0.24639384249374316</v>
      </c>
      <c r="D100" s="140">
        <f t="shared" si="85"/>
        <v>0.23304427075944503</v>
      </c>
      <c r="E100" s="140">
        <f t="shared" si="85"/>
        <v>0.22677386727490481</v>
      </c>
      <c r="F100" s="140">
        <f t="shared" si="85"/>
        <v>0.22086408898840409</v>
      </c>
      <c r="G100" s="140">
        <f t="shared" si="85"/>
        <v>0.20830906217078982</v>
      </c>
      <c r="H100" s="140">
        <f t="shared" si="85"/>
        <v>0.20057330217740879</v>
      </c>
      <c r="I100" s="140">
        <f t="shared" si="85"/>
        <v>0.18938122235429403</v>
      </c>
      <c r="J100" s="140">
        <f t="shared" si="85"/>
        <v>0.18054683490390694</v>
      </c>
      <c r="K100" s="140">
        <f t="shared" si="85"/>
        <v>0.16448081487438909</v>
      </c>
      <c r="L100" s="140">
        <f t="shared" si="85"/>
        <v>0.15377438348932715</v>
      </c>
      <c r="M100" s="140">
        <f t="shared" si="85"/>
        <v>0.14790072351100386</v>
      </c>
      <c r="N100" s="140">
        <f t="shared" si="85"/>
        <v>0.145575669003845</v>
      </c>
      <c r="O100" s="140">
        <f t="shared" si="85"/>
        <v>0.13864565184933644</v>
      </c>
      <c r="P100" s="140">
        <f t="shared" si="85"/>
        <v>0.14030231598985185</v>
      </c>
      <c r="Q100" s="140">
        <f t="shared" si="85"/>
        <v>0.13217665742249007</v>
      </c>
      <c r="R100" s="140">
        <f t="shared" ref="R100:V100" si="86">IF(R8=0,0,R8/R$4)</f>
        <v>0.12222557870247364</v>
      </c>
      <c r="S100" s="140">
        <f t="shared" si="86"/>
        <v>0.11447818559266774</v>
      </c>
      <c r="T100" s="140">
        <f t="shared" si="86"/>
        <v>0.10595041131140362</v>
      </c>
      <c r="U100" s="140">
        <f t="shared" si="86"/>
        <v>0.10758938849899952</v>
      </c>
      <c r="V100" s="140">
        <f t="shared" si="86"/>
        <v>7.0736849821104938E-2</v>
      </c>
      <c r="W100" s="140">
        <f t="shared" ref="W100" si="87">IF(W8=0,0,W8/W$4)</f>
        <v>7.2405573209739449E-2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0.12609749267464965</v>
      </c>
      <c r="C101" s="124">
        <f t="shared" si="88"/>
        <v>0.12061289918028557</v>
      </c>
      <c r="D101" s="124">
        <f t="shared" si="88"/>
        <v>0.11369423278646848</v>
      </c>
      <c r="E101" s="124">
        <f t="shared" si="88"/>
        <v>0.10608270558685373</v>
      </c>
      <c r="F101" s="124">
        <f t="shared" si="88"/>
        <v>0.10023166778162604</v>
      </c>
      <c r="G101" s="124">
        <f t="shared" si="88"/>
        <v>9.5504624296473689E-2</v>
      </c>
      <c r="H101" s="124">
        <f t="shared" si="88"/>
        <v>9.4734847981206502E-2</v>
      </c>
      <c r="I101" s="124">
        <f t="shared" si="88"/>
        <v>9.7108497223557189E-2</v>
      </c>
      <c r="J101" s="124">
        <f t="shared" si="88"/>
        <v>9.3850288709483698E-2</v>
      </c>
      <c r="K101" s="124">
        <f t="shared" si="88"/>
        <v>8.6013350047183385E-2</v>
      </c>
      <c r="L101" s="124">
        <f t="shared" si="88"/>
        <v>8.2090444864650156E-2</v>
      </c>
      <c r="M101" s="124">
        <f t="shared" si="88"/>
        <v>8.3284382986619637E-2</v>
      </c>
      <c r="N101" s="124">
        <f t="shared" si="88"/>
        <v>8.2052713414215814E-2</v>
      </c>
      <c r="O101" s="124">
        <f t="shared" si="88"/>
        <v>7.6648161239685417E-2</v>
      </c>
      <c r="P101" s="124">
        <f t="shared" si="88"/>
        <v>7.2563216117163307E-2</v>
      </c>
      <c r="Q101" s="124">
        <f t="shared" si="88"/>
        <v>7.5927360061933638E-2</v>
      </c>
      <c r="R101" s="124">
        <f t="shared" ref="R101:V101" si="89">IF(R9=0,0,R9/R$4)</f>
        <v>7.8147866017421311E-2</v>
      </c>
      <c r="S101" s="124">
        <f t="shared" si="89"/>
        <v>7.8182356739021672E-2</v>
      </c>
      <c r="T101" s="124">
        <f t="shared" si="89"/>
        <v>7.7890221270064258E-2</v>
      </c>
      <c r="U101" s="124">
        <f t="shared" si="89"/>
        <v>7.8633898262730484E-2</v>
      </c>
      <c r="V101" s="124">
        <f t="shared" si="89"/>
        <v>5.5334447817914328E-2</v>
      </c>
      <c r="W101" s="124">
        <f t="shared" ref="W101" si="90">IF(W9=0,0,W9/W$4)</f>
        <v>6.4273470633108717E-2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2.0584128076231358E-2</v>
      </c>
      <c r="C102" s="140">
        <f t="shared" si="91"/>
        <v>2.0681071617254618E-2</v>
      </c>
      <c r="D102" s="140">
        <f t="shared" si="91"/>
        <v>2.0705087132858385E-2</v>
      </c>
      <c r="E102" s="140">
        <f t="shared" si="91"/>
        <v>1.9776790750718445E-2</v>
      </c>
      <c r="F102" s="140">
        <f t="shared" si="91"/>
        <v>1.944987085025085E-2</v>
      </c>
      <c r="G102" s="140">
        <f t="shared" si="91"/>
        <v>1.8629265722590958E-2</v>
      </c>
      <c r="H102" s="140">
        <f t="shared" si="91"/>
        <v>1.8327539932021953E-2</v>
      </c>
      <c r="I102" s="140">
        <f t="shared" si="91"/>
        <v>1.8263178675676155E-2</v>
      </c>
      <c r="J102" s="140">
        <f t="shared" si="91"/>
        <v>1.741122516893023E-2</v>
      </c>
      <c r="K102" s="140">
        <f t="shared" si="91"/>
        <v>1.6185811395384074E-2</v>
      </c>
      <c r="L102" s="140">
        <f t="shared" si="91"/>
        <v>1.6004336315196158E-2</v>
      </c>
      <c r="M102" s="140">
        <f t="shared" si="91"/>
        <v>1.6242202157205246E-2</v>
      </c>
      <c r="N102" s="140">
        <f t="shared" si="91"/>
        <v>1.6220706624024767E-2</v>
      </c>
      <c r="O102" s="140">
        <f t="shared" si="91"/>
        <v>1.5038875152031863E-2</v>
      </c>
      <c r="P102" s="140">
        <f t="shared" si="91"/>
        <v>1.5181797490638018E-2</v>
      </c>
      <c r="Q102" s="140">
        <f t="shared" si="91"/>
        <v>1.4844017607000583E-2</v>
      </c>
      <c r="R102" s="140">
        <f t="shared" ref="R102:V102" si="92">IF(R10=0,0,R10/R$4)</f>
        <v>1.4416004603924495E-2</v>
      </c>
      <c r="S102" s="140">
        <f t="shared" si="92"/>
        <v>1.3685413634698477E-2</v>
      </c>
      <c r="T102" s="140">
        <f t="shared" si="92"/>
        <v>1.33489259589866E-2</v>
      </c>
      <c r="U102" s="140">
        <f t="shared" si="92"/>
        <v>1.3146770744959938E-2</v>
      </c>
      <c r="V102" s="140">
        <f t="shared" si="92"/>
        <v>9.568072495834674E-3</v>
      </c>
      <c r="W102" s="140">
        <f t="shared" ref="W102" si="93">IF(W10=0,0,W10/W$4)</f>
        <v>9.8705730215417776E-3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0.10551336459841829</v>
      </c>
      <c r="C103" s="140">
        <f t="shared" si="94"/>
        <v>9.9931827563030956E-2</v>
      </c>
      <c r="D103" s="140">
        <f t="shared" si="94"/>
        <v>9.2989145653610092E-2</v>
      </c>
      <c r="E103" s="140">
        <f t="shared" si="94"/>
        <v>8.6305914836135297E-2</v>
      </c>
      <c r="F103" s="140">
        <f t="shared" si="94"/>
        <v>8.0781796931375188E-2</v>
      </c>
      <c r="G103" s="140">
        <f t="shared" si="94"/>
        <v>7.6875358573882738E-2</v>
      </c>
      <c r="H103" s="140">
        <f t="shared" si="94"/>
        <v>7.6407308049184552E-2</v>
      </c>
      <c r="I103" s="140">
        <f t="shared" si="94"/>
        <v>7.884531854788103E-2</v>
      </c>
      <c r="J103" s="140">
        <f t="shared" si="94"/>
        <v>7.6439063540553479E-2</v>
      </c>
      <c r="K103" s="140">
        <f t="shared" si="94"/>
        <v>6.9827538651799304E-2</v>
      </c>
      <c r="L103" s="140">
        <f t="shared" si="94"/>
        <v>6.6086108549454001E-2</v>
      </c>
      <c r="M103" s="140">
        <f t="shared" si="94"/>
        <v>6.7042180829414377E-2</v>
      </c>
      <c r="N103" s="140">
        <f t="shared" si="94"/>
        <v>6.583200679019105E-2</v>
      </c>
      <c r="O103" s="140">
        <f t="shared" si="94"/>
        <v>6.1609286087653557E-2</v>
      </c>
      <c r="P103" s="140">
        <f t="shared" si="94"/>
        <v>5.7381418626525287E-2</v>
      </c>
      <c r="Q103" s="140">
        <f t="shared" si="94"/>
        <v>5.9440806557745654E-2</v>
      </c>
      <c r="R103" s="140">
        <f t="shared" ref="R103:V103" si="95">IF(R11=0,0,R11/R$4)</f>
        <v>5.8960729745154671E-2</v>
      </c>
      <c r="S103" s="140">
        <f t="shared" si="95"/>
        <v>5.9926068648384151E-2</v>
      </c>
      <c r="T103" s="140">
        <f t="shared" si="95"/>
        <v>5.978726747606504E-2</v>
      </c>
      <c r="U103" s="140">
        <f t="shared" si="95"/>
        <v>6.0490082014850344E-2</v>
      </c>
      <c r="V103" s="140">
        <f t="shared" si="95"/>
        <v>4.2988213033768902E-2</v>
      </c>
      <c r="W103" s="140">
        <f t="shared" ref="W103" si="96">IF(W11=0,0,W11/W$4)</f>
        <v>5.0542434484535589E-2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1.6425358971874095E-3</v>
      </c>
      <c r="R104" s="140">
        <f t="shared" ref="R104:V104" si="98">IF(R12=0,0,R12/R$4)</f>
        <v>4.7711316683421408E-3</v>
      </c>
      <c r="S104" s="140">
        <f t="shared" si="98"/>
        <v>4.5708744559390425E-3</v>
      </c>
      <c r="T104" s="140">
        <f t="shared" si="98"/>
        <v>4.7540278350126104E-3</v>
      </c>
      <c r="U104" s="140">
        <f t="shared" si="98"/>
        <v>4.9970455029201954E-3</v>
      </c>
      <c r="V104" s="140">
        <f t="shared" si="98"/>
        <v>2.7781622883107536E-3</v>
      </c>
      <c r="W104" s="140">
        <f t="shared" ref="W104" si="99">IF(W12=0,0,W12/W$4)</f>
        <v>3.8604631270313505E-3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3.3843452183254859E-2</v>
      </c>
      <c r="C105" s="124">
        <f t="shared" si="100"/>
        <v>3.4614511127663172E-2</v>
      </c>
      <c r="D105" s="124">
        <f t="shared" si="100"/>
        <v>3.5107767907904548E-2</v>
      </c>
      <c r="E105" s="124">
        <f t="shared" si="100"/>
        <v>3.7521648405248048E-2</v>
      </c>
      <c r="F105" s="124">
        <f t="shared" si="100"/>
        <v>3.6331934264789263E-2</v>
      </c>
      <c r="G105" s="124">
        <f t="shared" si="100"/>
        <v>4.2582776365794835E-2</v>
      </c>
      <c r="H105" s="124">
        <f t="shared" si="100"/>
        <v>5.0667132803120914E-2</v>
      </c>
      <c r="I105" s="124">
        <f t="shared" si="100"/>
        <v>5.965200657726491E-2</v>
      </c>
      <c r="J105" s="124">
        <f t="shared" si="100"/>
        <v>6.3158962730707868E-2</v>
      </c>
      <c r="K105" s="124">
        <f t="shared" si="100"/>
        <v>5.4776706854955066E-2</v>
      </c>
      <c r="L105" s="124">
        <f t="shared" si="100"/>
        <v>5.7287626557582835E-2</v>
      </c>
      <c r="M105" s="124">
        <f t="shared" si="100"/>
        <v>6.0781782889370584E-2</v>
      </c>
      <c r="N105" s="124">
        <f t="shared" si="100"/>
        <v>6.25985271066372E-2</v>
      </c>
      <c r="O105" s="124">
        <f t="shared" si="100"/>
        <v>6.5356478170788948E-2</v>
      </c>
      <c r="P105" s="124">
        <f t="shared" si="100"/>
        <v>7.105149020281179E-2</v>
      </c>
      <c r="Q105" s="124">
        <f t="shared" si="100"/>
        <v>7.6057158289365559E-2</v>
      </c>
      <c r="R105" s="124">
        <f t="shared" ref="R105:V105" si="101">IF(R13=0,0,R13/R$4)</f>
        <v>8.0155564127978265E-2</v>
      </c>
      <c r="S105" s="124">
        <f t="shared" si="101"/>
        <v>9.4616008168904198E-2</v>
      </c>
      <c r="T105" s="124">
        <f t="shared" si="101"/>
        <v>0.10926459242961188</v>
      </c>
      <c r="U105" s="124">
        <f t="shared" si="101"/>
        <v>0.11509662629432209</v>
      </c>
      <c r="V105" s="124">
        <f t="shared" si="101"/>
        <v>4.2384959582490167E-2</v>
      </c>
      <c r="W105" s="124">
        <f t="shared" ref="W105" si="102">IF(W13=0,0,W13/W$4)</f>
        <v>5.7831703789331945E-2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1.0677521580265098E-3</v>
      </c>
      <c r="C106" s="140">
        <f t="shared" si="103"/>
        <v>1.0978227161019701E-3</v>
      </c>
      <c r="D106" s="140">
        <f t="shared" si="103"/>
        <v>1.5002175839631496E-3</v>
      </c>
      <c r="E106" s="140">
        <f t="shared" si="103"/>
        <v>1.5078392090512054E-3</v>
      </c>
      <c r="F106" s="140">
        <f t="shared" si="103"/>
        <v>1.1331429085730325E-3</v>
      </c>
      <c r="G106" s="140">
        <f t="shared" si="103"/>
        <v>1.1669422746206602E-3</v>
      </c>
      <c r="H106" s="140">
        <f t="shared" si="103"/>
        <v>1.1353251162882505E-3</v>
      </c>
      <c r="I106" s="140">
        <f t="shared" si="103"/>
        <v>1.3148235017007627E-3</v>
      </c>
      <c r="J106" s="140">
        <f t="shared" si="103"/>
        <v>1.0994477821610641E-3</v>
      </c>
      <c r="K106" s="140">
        <f t="shared" si="103"/>
        <v>1.00332820149591E-3</v>
      </c>
      <c r="L106" s="140">
        <f t="shared" si="103"/>
        <v>1.1345614171166748E-3</v>
      </c>
      <c r="M106" s="140">
        <f t="shared" si="103"/>
        <v>1.5022672007504007E-3</v>
      </c>
      <c r="N106" s="140">
        <f t="shared" si="103"/>
        <v>2.4871108684768888E-3</v>
      </c>
      <c r="O106" s="140">
        <f t="shared" si="103"/>
        <v>1.6882054577113915E-3</v>
      </c>
      <c r="P106" s="140">
        <f t="shared" si="103"/>
        <v>2.0146497550989195E-3</v>
      </c>
      <c r="Q106" s="140">
        <f t="shared" si="103"/>
        <v>1.9502854849562459E-3</v>
      </c>
      <c r="R106" s="140">
        <f t="shared" ref="R106:V106" si="104">IF(R14=0,0,R14/R$4)</f>
        <v>2.0144059724346744E-3</v>
      </c>
      <c r="S106" s="140">
        <f t="shared" si="104"/>
        <v>2.4161825764767927E-3</v>
      </c>
      <c r="T106" s="140">
        <f t="shared" si="104"/>
        <v>1.9890086812649156E-3</v>
      </c>
      <c r="U106" s="140">
        <f t="shared" si="104"/>
        <v>1.9673460385392781E-3</v>
      </c>
      <c r="V106" s="140">
        <f t="shared" si="104"/>
        <v>8.4294653812971507E-4</v>
      </c>
      <c r="W106" s="140">
        <f t="shared" ref="W106" si="105">IF(W14=0,0,W14/W$4)</f>
        <v>9.03908828591322E-4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1.7092240466488023E-2</v>
      </c>
      <c r="C107" s="140">
        <f t="shared" si="106"/>
        <v>1.7515681531754226E-2</v>
      </c>
      <c r="D107" s="140">
        <f t="shared" si="106"/>
        <v>1.755699996215819E-2</v>
      </c>
      <c r="E107" s="140">
        <f t="shared" si="106"/>
        <v>1.8650193299560677E-2</v>
      </c>
      <c r="F107" s="140">
        <f t="shared" si="106"/>
        <v>1.8053179521379029E-2</v>
      </c>
      <c r="G107" s="140">
        <f t="shared" si="106"/>
        <v>2.2663233944780002E-2</v>
      </c>
      <c r="H107" s="140">
        <f t="shared" si="106"/>
        <v>2.8547006439361245E-2</v>
      </c>
      <c r="I107" s="140">
        <f t="shared" si="106"/>
        <v>3.4854661957390447E-2</v>
      </c>
      <c r="J107" s="140">
        <f t="shared" si="106"/>
        <v>3.4555691992951977E-2</v>
      </c>
      <c r="K107" s="140">
        <f t="shared" si="106"/>
        <v>3.0812730746338498E-2</v>
      </c>
      <c r="L107" s="140">
        <f t="shared" si="106"/>
        <v>3.2043512873787067E-2</v>
      </c>
      <c r="M107" s="140">
        <f t="shared" si="106"/>
        <v>3.7591788853942848E-2</v>
      </c>
      <c r="N107" s="140">
        <f t="shared" si="106"/>
        <v>3.7756932240325045E-2</v>
      </c>
      <c r="O107" s="140">
        <f t="shared" si="106"/>
        <v>4.2797125567447823E-2</v>
      </c>
      <c r="P107" s="140">
        <f t="shared" si="106"/>
        <v>4.5432122418678562E-2</v>
      </c>
      <c r="Q107" s="140">
        <f t="shared" si="106"/>
        <v>5.238334747493819E-2</v>
      </c>
      <c r="R107" s="140">
        <f t="shared" ref="R107:V107" si="107">IF(R15=0,0,R15/R$4)</f>
        <v>5.6864330137276459E-2</v>
      </c>
      <c r="S107" s="140">
        <f t="shared" si="107"/>
        <v>6.2972791982280202E-2</v>
      </c>
      <c r="T107" s="140">
        <f t="shared" si="107"/>
        <v>6.8089045565946943E-2</v>
      </c>
      <c r="U107" s="140">
        <f t="shared" si="107"/>
        <v>6.6151404516160361E-2</v>
      </c>
      <c r="V107" s="140">
        <f t="shared" si="107"/>
        <v>2.6349369143889158E-2</v>
      </c>
      <c r="W107" s="140">
        <f t="shared" ref="W107" si="108">IF(W15=0,0,W15/W$4)</f>
        <v>3.2424977714450319E-2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1.5683459558740329E-2</v>
      </c>
      <c r="C108" s="140">
        <f t="shared" si="109"/>
        <v>1.6001006879806975E-2</v>
      </c>
      <c r="D108" s="140">
        <f t="shared" si="109"/>
        <v>1.6050550361783211E-2</v>
      </c>
      <c r="E108" s="140">
        <f t="shared" si="109"/>
        <v>1.7363615896636164E-2</v>
      </c>
      <c r="F108" s="140">
        <f t="shared" si="109"/>
        <v>1.7145611834837197E-2</v>
      </c>
      <c r="G108" s="140">
        <f t="shared" si="109"/>
        <v>1.8752600146394165E-2</v>
      </c>
      <c r="H108" s="140">
        <f t="shared" si="109"/>
        <v>2.0984801247471416E-2</v>
      </c>
      <c r="I108" s="140">
        <f t="shared" si="109"/>
        <v>2.3482521118173699E-2</v>
      </c>
      <c r="J108" s="140">
        <f t="shared" si="109"/>
        <v>2.7503822955594823E-2</v>
      </c>
      <c r="K108" s="140">
        <f t="shared" si="109"/>
        <v>2.2960647907120661E-2</v>
      </c>
      <c r="L108" s="140">
        <f t="shared" si="109"/>
        <v>2.4109552266679095E-2</v>
      </c>
      <c r="M108" s="140">
        <f t="shared" si="109"/>
        <v>2.1687726834677332E-2</v>
      </c>
      <c r="N108" s="140">
        <f t="shared" si="109"/>
        <v>2.2354483997835267E-2</v>
      </c>
      <c r="O108" s="140">
        <f t="shared" si="109"/>
        <v>2.0871147145629727E-2</v>
      </c>
      <c r="P108" s="140">
        <f t="shared" si="109"/>
        <v>2.3604718029034317E-2</v>
      </c>
      <c r="Q108" s="140">
        <f t="shared" si="109"/>
        <v>2.1723525329471128E-2</v>
      </c>
      <c r="R108" s="140">
        <f t="shared" ref="R108:V108" si="110">IF(R16=0,0,R16/R$4)</f>
        <v>2.1276828018267139E-2</v>
      </c>
      <c r="S108" s="140">
        <f t="shared" si="110"/>
        <v>2.9227033610147196E-2</v>
      </c>
      <c r="T108" s="140">
        <f t="shared" si="110"/>
        <v>3.9186538182400033E-2</v>
      </c>
      <c r="U108" s="140">
        <f t="shared" si="110"/>
        <v>4.6977875739622449E-2</v>
      </c>
      <c r="V108" s="140">
        <f t="shared" si="110"/>
        <v>1.5192643900471295E-2</v>
      </c>
      <c r="W108" s="140">
        <f t="shared" ref="W108" si="111">IF(W16=0,0,W16/W$4)</f>
        <v>2.4502817246290311E-2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0.56090498581113291</v>
      </c>
      <c r="C110" s="139">
        <f t="shared" si="115"/>
        <v>0.59762683360893454</v>
      </c>
      <c r="D110" s="139">
        <f t="shared" si="115"/>
        <v>0.61299232976865792</v>
      </c>
      <c r="E110" s="139">
        <f t="shared" si="115"/>
        <v>0.61941346298802991</v>
      </c>
      <c r="F110" s="139">
        <f t="shared" si="115"/>
        <v>0.62486439287540074</v>
      </c>
      <c r="G110" s="139">
        <f t="shared" si="115"/>
        <v>0.64369697631290534</v>
      </c>
      <c r="H110" s="139">
        <f t="shared" si="115"/>
        <v>0.63865943588489016</v>
      </c>
      <c r="I110" s="139">
        <f t="shared" si="115"/>
        <v>0.64669529716744778</v>
      </c>
      <c r="J110" s="139">
        <f t="shared" si="115"/>
        <v>0.67034340813730176</v>
      </c>
      <c r="K110" s="139">
        <f t="shared" si="115"/>
        <v>0.72026540536874128</v>
      </c>
      <c r="L110" s="139">
        <f t="shared" si="115"/>
        <v>0.71335137500492063</v>
      </c>
      <c r="M110" s="139">
        <f t="shared" si="115"/>
        <v>0.70871928393929695</v>
      </c>
      <c r="N110" s="139">
        <f t="shared" si="115"/>
        <v>0.73127784157902742</v>
      </c>
      <c r="O110" s="139">
        <f t="shared" si="115"/>
        <v>0.74286780149800091</v>
      </c>
      <c r="P110" s="139">
        <f t="shared" si="115"/>
        <v>0.74181388354869782</v>
      </c>
      <c r="Q110" s="139">
        <f t="shared" si="115"/>
        <v>0.75115769707375146</v>
      </c>
      <c r="R110" s="139">
        <f t="shared" ref="R110:V110" si="116">IF(R18=0,0,R18/R$17)</f>
        <v>0.75909678965668304</v>
      </c>
      <c r="S110" s="139">
        <f t="shared" si="116"/>
        <v>0.76612396813918471</v>
      </c>
      <c r="T110" s="139">
        <f t="shared" si="116"/>
        <v>0.73873706917574977</v>
      </c>
      <c r="U110" s="139">
        <f t="shared" si="116"/>
        <v>0.76623375656467918</v>
      </c>
      <c r="V110" s="139">
        <f t="shared" si="116"/>
        <v>0.78026837247170822</v>
      </c>
      <c r="W110" s="139">
        <f t="shared" ref="W110" si="117">IF(W18=0,0,W18/W$17)</f>
        <v>0.7828503883774599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3.0763752262581621E-2</v>
      </c>
      <c r="C111" s="140">
        <f t="shared" si="118"/>
        <v>3.1135727394365733E-2</v>
      </c>
      <c r="D111" s="140">
        <f t="shared" si="118"/>
        <v>3.2315405591563061E-2</v>
      </c>
      <c r="E111" s="140">
        <f t="shared" si="118"/>
        <v>3.2538951622182101E-2</v>
      </c>
      <c r="F111" s="140">
        <f t="shared" si="118"/>
        <v>2.8833480140562508E-2</v>
      </c>
      <c r="G111" s="140">
        <f t="shared" si="118"/>
        <v>2.9723369423817619E-2</v>
      </c>
      <c r="H111" s="140">
        <f t="shared" si="118"/>
        <v>2.9708024660477089E-2</v>
      </c>
      <c r="I111" s="140">
        <f t="shared" si="118"/>
        <v>3.0058671839518662E-2</v>
      </c>
      <c r="J111" s="140">
        <f t="shared" si="118"/>
        <v>3.1277831673969497E-2</v>
      </c>
      <c r="K111" s="140">
        <f t="shared" si="118"/>
        <v>3.3657216821507456E-2</v>
      </c>
      <c r="L111" s="140">
        <f t="shared" si="118"/>
        <v>3.2938620098971007E-2</v>
      </c>
      <c r="M111" s="140">
        <f t="shared" si="118"/>
        <v>3.1894854925263984E-2</v>
      </c>
      <c r="N111" s="140">
        <f t="shared" si="118"/>
        <v>3.2420033721481743E-2</v>
      </c>
      <c r="O111" s="140">
        <f t="shared" si="118"/>
        <v>3.0786295077321099E-2</v>
      </c>
      <c r="P111" s="140">
        <f t="shared" si="118"/>
        <v>3.1421786655897108E-2</v>
      </c>
      <c r="Q111" s="140">
        <f t="shared" si="118"/>
        <v>3.0385658236714356E-2</v>
      </c>
      <c r="R111" s="140">
        <f t="shared" ref="R111:V111" si="119">IF(R19=0,0,R19/R$17)</f>
        <v>3.0893930001810611E-2</v>
      </c>
      <c r="S111" s="140">
        <f t="shared" si="119"/>
        <v>2.8868227770242838E-2</v>
      </c>
      <c r="T111" s="140">
        <f t="shared" si="119"/>
        <v>3.1363958738531879E-2</v>
      </c>
      <c r="U111" s="140">
        <f t="shared" si="119"/>
        <v>3.1963818975399474E-2</v>
      </c>
      <c r="V111" s="140">
        <f t="shared" si="119"/>
        <v>3.2629279083161836E-2</v>
      </c>
      <c r="W111" s="140">
        <f t="shared" ref="W111" si="120">IF(W19=0,0,W19/W$17)</f>
        <v>3.135491472248994E-2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0.53014123354855125</v>
      </c>
      <c r="C112" s="140">
        <f t="shared" si="121"/>
        <v>0.56649110621456877</v>
      </c>
      <c r="D112" s="140">
        <f t="shared" si="121"/>
        <v>0.58067692417709482</v>
      </c>
      <c r="E112" s="140">
        <f t="shared" si="121"/>
        <v>0.5868745113658479</v>
      </c>
      <c r="F112" s="140">
        <f t="shared" si="121"/>
        <v>0.59603091273483821</v>
      </c>
      <c r="G112" s="140">
        <f t="shared" si="121"/>
        <v>0.61397360688908775</v>
      </c>
      <c r="H112" s="140">
        <f t="shared" si="121"/>
        <v>0.60895141122441299</v>
      </c>
      <c r="I112" s="140">
        <f t="shared" si="121"/>
        <v>0.61663662532792918</v>
      </c>
      <c r="J112" s="140">
        <f t="shared" si="121"/>
        <v>0.63906557646333217</v>
      </c>
      <c r="K112" s="140">
        <f t="shared" si="121"/>
        <v>0.68660818854723382</v>
      </c>
      <c r="L112" s="140">
        <f t="shared" si="121"/>
        <v>0.68041275490594966</v>
      </c>
      <c r="M112" s="140">
        <f t="shared" si="121"/>
        <v>0.67682442901403295</v>
      </c>
      <c r="N112" s="140">
        <f t="shared" si="121"/>
        <v>0.6988578078575457</v>
      </c>
      <c r="O112" s="140">
        <f t="shared" si="121"/>
        <v>0.7120815064206798</v>
      </c>
      <c r="P112" s="140">
        <f t="shared" si="121"/>
        <v>0.7103920968928007</v>
      </c>
      <c r="Q112" s="140">
        <f t="shared" si="121"/>
        <v>0.72077203883703722</v>
      </c>
      <c r="R112" s="140">
        <f t="shared" ref="R112:V112" si="122">IF(R20=0,0,R20/R$17)</f>
        <v>0.72820285965487241</v>
      </c>
      <c r="S112" s="140">
        <f t="shared" si="122"/>
        <v>0.73725574036894193</v>
      </c>
      <c r="T112" s="140">
        <f t="shared" si="122"/>
        <v>0.70737311043721796</v>
      </c>
      <c r="U112" s="140">
        <f t="shared" si="122"/>
        <v>0.73426993758927972</v>
      </c>
      <c r="V112" s="140">
        <f t="shared" si="122"/>
        <v>0.74763909338854639</v>
      </c>
      <c r="W112" s="140">
        <f t="shared" ref="W112" si="123">IF(W20=0,0,W20/W$17)</f>
        <v>0.75149547365497005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0.42935979551128634</v>
      </c>
      <c r="C113" s="124">
        <f t="shared" si="124"/>
        <v>0.39159231946282314</v>
      </c>
      <c r="D113" s="124">
        <f t="shared" si="124"/>
        <v>0.37748547911462293</v>
      </c>
      <c r="E113" s="124">
        <f t="shared" si="124"/>
        <v>0.37332416689659526</v>
      </c>
      <c r="F113" s="124">
        <f t="shared" si="124"/>
        <v>0.37217431643943116</v>
      </c>
      <c r="G113" s="124">
        <f t="shared" si="124"/>
        <v>0.35342638944074434</v>
      </c>
      <c r="H113" s="124">
        <f t="shared" si="124"/>
        <v>0.35882580753711818</v>
      </c>
      <c r="I113" s="124">
        <f t="shared" si="124"/>
        <v>0.35091456839297841</v>
      </c>
      <c r="J113" s="124">
        <f t="shared" si="124"/>
        <v>0.32723325393767527</v>
      </c>
      <c r="K113" s="124">
        <f t="shared" si="124"/>
        <v>0.27785803808263732</v>
      </c>
      <c r="L113" s="124">
        <f t="shared" si="124"/>
        <v>0.28515194774628039</v>
      </c>
      <c r="M113" s="124">
        <f t="shared" si="124"/>
        <v>0.28961834563163652</v>
      </c>
      <c r="N113" s="124">
        <f t="shared" si="124"/>
        <v>0.26725968032151115</v>
      </c>
      <c r="O113" s="124">
        <f t="shared" si="124"/>
        <v>0.25597990277089622</v>
      </c>
      <c r="P113" s="124">
        <f t="shared" si="124"/>
        <v>0.25676243354557743</v>
      </c>
      <c r="Q113" s="124">
        <f t="shared" si="124"/>
        <v>0.24744560490776582</v>
      </c>
      <c r="R113" s="124">
        <f t="shared" ref="R113:V113" si="125">IF(R21=0,0,R21/R$17)</f>
        <v>0.2391847928015188</v>
      </c>
      <c r="S113" s="124">
        <f t="shared" si="125"/>
        <v>0.23218826631664105</v>
      </c>
      <c r="T113" s="124">
        <f t="shared" si="125"/>
        <v>0.25943785260241159</v>
      </c>
      <c r="U113" s="124">
        <f t="shared" si="125"/>
        <v>0.23158174979414589</v>
      </c>
      <c r="V113" s="124">
        <f t="shared" si="125"/>
        <v>0.21811778575993723</v>
      </c>
      <c r="W113" s="124">
        <f t="shared" ref="W113" si="126">IF(W21=0,0,W21/W$17)</f>
        <v>0.21536296936280352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2.9416130290767022E-4</v>
      </c>
      <c r="C114" s="124">
        <f t="shared" si="127"/>
        <v>2.8930878898744992E-4</v>
      </c>
      <c r="D114" s="124">
        <f t="shared" si="127"/>
        <v>2.829828984390523E-4</v>
      </c>
      <c r="E114" s="124">
        <f t="shared" si="127"/>
        <v>2.7408064566126898E-4</v>
      </c>
      <c r="F114" s="124">
        <f t="shared" si="127"/>
        <v>2.2284526429328149E-4</v>
      </c>
      <c r="G114" s="124">
        <f t="shared" si="127"/>
        <v>2.3189136076267431E-4</v>
      </c>
      <c r="H114" s="124">
        <f t="shared" si="127"/>
        <v>2.8786442443517725E-4</v>
      </c>
      <c r="I114" s="124">
        <f t="shared" si="127"/>
        <v>3.8967625822747585E-4</v>
      </c>
      <c r="J114" s="124">
        <f t="shared" si="127"/>
        <v>4.3464279236998305E-4</v>
      </c>
      <c r="K114" s="124">
        <f t="shared" si="127"/>
        <v>4.066110994151658E-4</v>
      </c>
      <c r="L114" s="124">
        <f t="shared" si="127"/>
        <v>5.735764901662533E-4</v>
      </c>
      <c r="M114" s="124">
        <f t="shared" si="127"/>
        <v>5.184571769663571E-4</v>
      </c>
      <c r="N114" s="124">
        <f t="shared" si="127"/>
        <v>4.942267127864843E-4</v>
      </c>
      <c r="O114" s="124">
        <f t="shared" si="127"/>
        <v>4.9126879796730204E-4</v>
      </c>
      <c r="P114" s="124">
        <f t="shared" si="127"/>
        <v>7.3113760686515955E-4</v>
      </c>
      <c r="Q114" s="124">
        <f t="shared" si="127"/>
        <v>7.9549463554906151E-4</v>
      </c>
      <c r="R114" s="124">
        <f t="shared" ref="R114:V114" si="128">IF(R22=0,0,R22/R$17)</f>
        <v>8.9828523507719282E-4</v>
      </c>
      <c r="S114" s="124">
        <f t="shared" si="128"/>
        <v>9.2009555156301911E-4</v>
      </c>
      <c r="T114" s="124">
        <f t="shared" si="128"/>
        <v>1.0513472448116809E-3</v>
      </c>
      <c r="U114" s="124">
        <f t="shared" si="128"/>
        <v>1.5379366065470157E-3</v>
      </c>
      <c r="V114" s="124">
        <f t="shared" si="128"/>
        <v>8.5847190719532459E-4</v>
      </c>
      <c r="W114" s="124">
        <f t="shared" ref="W114" si="129">IF(W22=0,0,W22/W$17)</f>
        <v>1.0203726812643445E-3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7.9543431356792422E-6</v>
      </c>
      <c r="C115" s="140">
        <f t="shared" si="130"/>
        <v>6.29504219438121E-6</v>
      </c>
      <c r="D115" s="140">
        <f t="shared" si="130"/>
        <v>7.0854454694641279E-6</v>
      </c>
      <c r="E115" s="140">
        <f t="shared" si="130"/>
        <v>7.3048642181047133E-6</v>
      </c>
      <c r="F115" s="140">
        <f t="shared" si="130"/>
        <v>4.6126028573107419E-6</v>
      </c>
      <c r="G115" s="140">
        <f t="shared" si="130"/>
        <v>3.7184432130588906E-6</v>
      </c>
      <c r="H115" s="140">
        <f t="shared" si="130"/>
        <v>8.4593472518390641E-6</v>
      </c>
      <c r="I115" s="140">
        <f t="shared" si="130"/>
        <v>1.075182856317801E-5</v>
      </c>
      <c r="J115" s="140">
        <f t="shared" si="130"/>
        <v>1.1722216660111871E-5</v>
      </c>
      <c r="K115" s="140">
        <f t="shared" si="130"/>
        <v>1.2044674249227348E-5</v>
      </c>
      <c r="L115" s="140">
        <f t="shared" si="130"/>
        <v>1.0702752047635939E-5</v>
      </c>
      <c r="M115" s="140">
        <f t="shared" si="130"/>
        <v>1.2019180504643841E-5</v>
      </c>
      <c r="N115" s="140">
        <f t="shared" si="130"/>
        <v>1.3044660569599426E-5</v>
      </c>
      <c r="O115" s="140">
        <f t="shared" si="130"/>
        <v>1.0523006741241045E-5</v>
      </c>
      <c r="P115" s="140">
        <f t="shared" si="130"/>
        <v>6.9125208513072822E-6</v>
      </c>
      <c r="Q115" s="140">
        <f t="shared" si="130"/>
        <v>4.5860149295985627E-6</v>
      </c>
      <c r="R115" s="140">
        <f t="shared" ref="R115:V116" si="131">IF(R23=0,0,R23/R$17)</f>
        <v>2.4976319648239216E-6</v>
      </c>
      <c r="S115" s="140">
        <f t="shared" si="131"/>
        <v>7.425817981504261E-7</v>
      </c>
      <c r="T115" s="140">
        <f t="shared" si="131"/>
        <v>7.1650377212173141E-7</v>
      </c>
      <c r="U115" s="140">
        <f t="shared" si="131"/>
        <v>9.3544414428432314E-7</v>
      </c>
      <c r="V115" s="140">
        <f t="shared" si="131"/>
        <v>2.642184519958584E-7</v>
      </c>
      <c r="W115" s="140">
        <f t="shared" ref="W115" si="132">IF(W23=0,0,W23/W$17)</f>
        <v>2.7251844395260541E-7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7.2490453348324218E-5</v>
      </c>
      <c r="C116" s="140">
        <f t="shared" si="133"/>
        <v>5.9938259218459172E-5</v>
      </c>
      <c r="D116" s="140">
        <f t="shared" si="133"/>
        <v>6.3496498531065486E-5</v>
      </c>
      <c r="E116" s="140">
        <f t="shared" si="133"/>
        <v>6.315887973950235E-5</v>
      </c>
      <c r="F116" s="140">
        <f t="shared" si="133"/>
        <v>3.8571111026892555E-5</v>
      </c>
      <c r="G116" s="140">
        <f t="shared" si="133"/>
        <v>5.2883201477379399E-5</v>
      </c>
      <c r="H116" s="140">
        <f t="shared" si="133"/>
        <v>5.8945748920789661E-5</v>
      </c>
      <c r="I116" s="140">
        <f t="shared" si="133"/>
        <v>6.3183966419853453E-5</v>
      </c>
      <c r="J116" s="140">
        <f t="shared" si="133"/>
        <v>6.8843341781547716E-5</v>
      </c>
      <c r="K116" s="140">
        <f t="shared" si="133"/>
        <v>8.4668930274411767E-5</v>
      </c>
      <c r="L116" s="140">
        <f t="shared" si="133"/>
        <v>7.9922838532031461E-5</v>
      </c>
      <c r="M116" s="140">
        <f t="shared" si="133"/>
        <v>8.6411864614971575E-5</v>
      </c>
      <c r="N116" s="140">
        <f t="shared" si="133"/>
        <v>9.9096104809585559E-5</v>
      </c>
      <c r="O116" s="140">
        <f t="shared" si="133"/>
        <v>9.8120399301839087E-5</v>
      </c>
      <c r="P116" s="140">
        <f t="shared" si="133"/>
        <v>1.2098672691171913E-4</v>
      </c>
      <c r="Q116" s="140">
        <f t="shared" si="133"/>
        <v>1.3483593238487727E-4</v>
      </c>
      <c r="R116" s="140">
        <f t="shared" si="131"/>
        <v>1.3626572377082159E-4</v>
      </c>
      <c r="S116" s="140">
        <f t="shared" si="131"/>
        <v>1.3326022094225102E-4</v>
      </c>
      <c r="T116" s="140">
        <f t="shared" si="131"/>
        <v>1.5043234643190588E-4</v>
      </c>
      <c r="U116" s="140">
        <f t="shared" si="131"/>
        <v>1.6123188133198194E-4</v>
      </c>
      <c r="V116" s="140">
        <f t="shared" si="131"/>
        <v>1.4643638288372861E-4</v>
      </c>
      <c r="W116" s="140">
        <f t="shared" ref="W116" si="134">IF(W24=0,0,W24/W$17)</f>
        <v>1.8244538040063039E-4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2.1371650642366673E-4</v>
      </c>
      <c r="C117" s="140">
        <f t="shared" si="135"/>
        <v>2.2307548757460953E-4</v>
      </c>
      <c r="D117" s="140">
        <f t="shared" si="135"/>
        <v>2.1240095443852269E-4</v>
      </c>
      <c r="E117" s="140">
        <f t="shared" si="135"/>
        <v>2.036169017036619E-4</v>
      </c>
      <c r="F117" s="140">
        <f t="shared" si="135"/>
        <v>1.7966155040907819E-4</v>
      </c>
      <c r="G117" s="140">
        <f t="shared" si="135"/>
        <v>1.7528971607223601E-4</v>
      </c>
      <c r="H117" s="140">
        <f t="shared" si="135"/>
        <v>2.2045932826254852E-4</v>
      </c>
      <c r="I117" s="140">
        <f t="shared" si="135"/>
        <v>3.1574046324444444E-4</v>
      </c>
      <c r="J117" s="140">
        <f t="shared" si="135"/>
        <v>3.5407723392832344E-4</v>
      </c>
      <c r="K117" s="140">
        <f t="shared" si="135"/>
        <v>3.0989749489152663E-4</v>
      </c>
      <c r="L117" s="140">
        <f t="shared" si="135"/>
        <v>4.8295089958658594E-4</v>
      </c>
      <c r="M117" s="140">
        <f t="shared" si="135"/>
        <v>4.2002613184674163E-4</v>
      </c>
      <c r="N117" s="140">
        <f t="shared" si="135"/>
        <v>3.8208594740729931E-4</v>
      </c>
      <c r="O117" s="140">
        <f t="shared" si="135"/>
        <v>3.8262539192422196E-4</v>
      </c>
      <c r="P117" s="140">
        <f t="shared" si="135"/>
        <v>6.0323835910213309E-4</v>
      </c>
      <c r="Q117" s="140">
        <f t="shared" si="135"/>
        <v>6.5607268823458559E-4</v>
      </c>
      <c r="R117" s="140">
        <f t="shared" ref="R117:V117" si="136">IF(R25=0,0,R25/R$17)</f>
        <v>7.5952187934154726E-4</v>
      </c>
      <c r="S117" s="140">
        <f t="shared" si="136"/>
        <v>7.8609274882261758E-4</v>
      </c>
      <c r="T117" s="140">
        <f t="shared" si="136"/>
        <v>9.0019839460765325E-4</v>
      </c>
      <c r="U117" s="140">
        <f t="shared" si="136"/>
        <v>1.3757692810707494E-3</v>
      </c>
      <c r="V117" s="140">
        <f t="shared" si="136"/>
        <v>7.1177130585960017E-4</v>
      </c>
      <c r="W117" s="140">
        <f t="shared" ref="W117" si="137">IF(W25=0,0,W25/W$17)</f>
        <v>8.3765478241976143E-4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9.4410573746731615E-3</v>
      </c>
      <c r="C118" s="124">
        <f t="shared" si="138"/>
        <v>1.0491538139254922E-2</v>
      </c>
      <c r="D118" s="124">
        <f t="shared" si="138"/>
        <v>9.2392082182800213E-3</v>
      </c>
      <c r="E118" s="124">
        <f t="shared" si="138"/>
        <v>6.9882894697135232E-3</v>
      </c>
      <c r="F118" s="124">
        <f t="shared" si="138"/>
        <v>2.7384454208747625E-3</v>
      </c>
      <c r="G118" s="124">
        <f t="shared" si="138"/>
        <v>2.6447428855876781E-3</v>
      </c>
      <c r="H118" s="124">
        <f t="shared" si="138"/>
        <v>2.2268921535565575E-3</v>
      </c>
      <c r="I118" s="124">
        <f t="shared" si="138"/>
        <v>2.0004581813462914E-3</v>
      </c>
      <c r="J118" s="124">
        <f t="shared" si="138"/>
        <v>1.9886951326530348E-3</v>
      </c>
      <c r="K118" s="124">
        <f t="shared" si="138"/>
        <v>1.4699454492061463E-3</v>
      </c>
      <c r="L118" s="124">
        <f t="shared" si="138"/>
        <v>9.231007586327541E-4</v>
      </c>
      <c r="M118" s="124">
        <f t="shared" si="138"/>
        <v>1.1439132521001572E-3</v>
      </c>
      <c r="N118" s="124">
        <f t="shared" si="138"/>
        <v>9.6825138667488986E-4</v>
      </c>
      <c r="O118" s="124">
        <f t="shared" si="138"/>
        <v>6.6102693313562226E-4</v>
      </c>
      <c r="P118" s="124">
        <f t="shared" si="138"/>
        <v>6.9254529885963683E-4</v>
      </c>
      <c r="Q118" s="124">
        <f t="shared" si="138"/>
        <v>6.01203382933721E-4</v>
      </c>
      <c r="R118" s="124">
        <f t="shared" ref="R118:V118" si="139">IF(R26=0,0,R26/R$17)</f>
        <v>8.2013230672113276E-4</v>
      </c>
      <c r="S118" s="124">
        <f t="shared" si="139"/>
        <v>7.6766999261124679E-4</v>
      </c>
      <c r="T118" s="124">
        <f t="shared" si="139"/>
        <v>7.7373097702694376E-4</v>
      </c>
      <c r="U118" s="124">
        <f t="shared" si="139"/>
        <v>6.465570346278959E-4</v>
      </c>
      <c r="V118" s="124">
        <f t="shared" si="139"/>
        <v>7.5536986115923776E-4</v>
      </c>
      <c r="W118" s="124">
        <f t="shared" ref="W118" si="140">IF(W26=0,0,W26/W$17)</f>
        <v>7.6626957847216197E-4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1.1440848328910925E-4</v>
      </c>
      <c r="C119" s="140">
        <f t="shared" si="141"/>
        <v>1.1475214761952498E-4</v>
      </c>
      <c r="D119" s="140">
        <f t="shared" si="141"/>
        <v>1.1799256413698707E-4</v>
      </c>
      <c r="E119" s="140">
        <f t="shared" si="141"/>
        <v>1.21399062519837E-4</v>
      </c>
      <c r="F119" s="140">
        <f t="shared" si="141"/>
        <v>1.0708225717779782E-4</v>
      </c>
      <c r="G119" s="140">
        <f t="shared" si="141"/>
        <v>3.3203918457264201E-4</v>
      </c>
      <c r="H119" s="140">
        <f t="shared" si="141"/>
        <v>2.9297215097875073E-4</v>
      </c>
      <c r="I119" s="140">
        <f t="shared" si="141"/>
        <v>2.0879070775303382E-4</v>
      </c>
      <c r="J119" s="140">
        <f t="shared" si="141"/>
        <v>2.4698901769547917E-4</v>
      </c>
      <c r="K119" s="140">
        <f t="shared" si="141"/>
        <v>1.7802868795185387E-4</v>
      </c>
      <c r="L119" s="140">
        <f t="shared" si="141"/>
        <v>1.6199300363806246E-4</v>
      </c>
      <c r="M119" s="140">
        <f t="shared" si="141"/>
        <v>2.7634071374021474E-4</v>
      </c>
      <c r="N119" s="140">
        <f t="shared" si="141"/>
        <v>2.523235678883539E-4</v>
      </c>
      <c r="O119" s="140">
        <f t="shared" si="141"/>
        <v>2.0321024022173389E-4</v>
      </c>
      <c r="P119" s="140">
        <f t="shared" si="141"/>
        <v>1.284914636587598E-4</v>
      </c>
      <c r="Q119" s="140">
        <f t="shared" si="141"/>
        <v>1.7088871321288644E-4</v>
      </c>
      <c r="R119" s="140">
        <f t="shared" ref="R119:V119" si="142">IF(R27=0,0,R27/R$17)</f>
        <v>3.1012327172480437E-4</v>
      </c>
      <c r="S119" s="140">
        <f t="shared" si="142"/>
        <v>2.8038691823831176E-4</v>
      </c>
      <c r="T119" s="140">
        <f t="shared" si="142"/>
        <v>2.2766558376060284E-4</v>
      </c>
      <c r="U119" s="140">
        <f t="shared" si="142"/>
        <v>2.7744498288946172E-4</v>
      </c>
      <c r="V119" s="140">
        <f t="shared" si="142"/>
        <v>4.2667349542581113E-4</v>
      </c>
      <c r="W119" s="140">
        <f t="shared" ref="W119" si="143">IF(W27=0,0,W27/W$17)</f>
        <v>5.5243906115016604E-4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9.3266488913840533E-3</v>
      </c>
      <c r="C120" s="127">
        <f t="shared" si="144"/>
        <v>1.0376785991635397E-2</v>
      </c>
      <c r="D120" s="127">
        <f t="shared" si="144"/>
        <v>9.1212156541430351E-3</v>
      </c>
      <c r="E120" s="127">
        <f t="shared" si="144"/>
        <v>6.8668904071936855E-3</v>
      </c>
      <c r="F120" s="127">
        <f t="shared" si="144"/>
        <v>2.6313631636969642E-3</v>
      </c>
      <c r="G120" s="127">
        <f t="shared" si="144"/>
        <v>2.3127037010150365E-3</v>
      </c>
      <c r="H120" s="127">
        <f t="shared" si="144"/>
        <v>1.9339200025778069E-3</v>
      </c>
      <c r="I120" s="127">
        <f t="shared" si="144"/>
        <v>1.7916674735932578E-3</v>
      </c>
      <c r="J120" s="127">
        <f t="shared" si="144"/>
        <v>1.7417061149575554E-3</v>
      </c>
      <c r="K120" s="127">
        <f t="shared" si="144"/>
        <v>1.2919167612542924E-3</v>
      </c>
      <c r="L120" s="127">
        <f t="shared" si="144"/>
        <v>7.6110775499469156E-4</v>
      </c>
      <c r="M120" s="127">
        <f t="shared" si="144"/>
        <v>8.6757253835994261E-4</v>
      </c>
      <c r="N120" s="127">
        <f t="shared" si="144"/>
        <v>7.1592781878653585E-4</v>
      </c>
      <c r="O120" s="127">
        <f t="shared" si="144"/>
        <v>4.5781669291388843E-4</v>
      </c>
      <c r="P120" s="127">
        <f t="shared" si="144"/>
        <v>5.6405383520087712E-4</v>
      </c>
      <c r="Q120" s="127">
        <f t="shared" si="144"/>
        <v>4.3031466972083456E-4</v>
      </c>
      <c r="R120" s="127">
        <f t="shared" ref="R120:V120" si="145">IF(R28=0,0,R28/R$17)</f>
        <v>5.1000903499632828E-4</v>
      </c>
      <c r="S120" s="127">
        <f t="shared" si="145"/>
        <v>4.8728307437293503E-4</v>
      </c>
      <c r="T120" s="127">
        <f t="shared" si="145"/>
        <v>5.4606539326634081E-4</v>
      </c>
      <c r="U120" s="127">
        <f t="shared" si="145"/>
        <v>3.6911205173843423E-4</v>
      </c>
      <c r="V120" s="127">
        <f t="shared" si="145"/>
        <v>3.2869636573342663E-4</v>
      </c>
      <c r="W120" s="127">
        <f t="shared" ref="W120" si="146">IF(W28=0,0,W28/W$17)</f>
        <v>2.138305173219959E-4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0.27221837395248977</v>
      </c>
      <c r="C122" s="140">
        <f>IF(C30=0,0,C30/C$29)</f>
        <v>0.26742426329086966</v>
      </c>
      <c r="D122" s="140">
        <f t="shared" ref="D122:W122" si="150">IF(D30=0,0,D30/D$29)</f>
        <v>0.26764332316327533</v>
      </c>
      <c r="E122" s="140">
        <f t="shared" si="150"/>
        <v>0.26828575988582748</v>
      </c>
      <c r="F122" s="140">
        <f t="shared" si="150"/>
        <v>0.26814575645959093</v>
      </c>
      <c r="G122" s="140">
        <f t="shared" si="150"/>
        <v>0.22852514839055008</v>
      </c>
      <c r="H122" s="140">
        <f t="shared" si="150"/>
        <v>0.18641224051035168</v>
      </c>
      <c r="I122" s="140">
        <f t="shared" si="150"/>
        <v>0.25872089008720306</v>
      </c>
      <c r="J122" s="140">
        <f t="shared" si="150"/>
        <v>0.22063461999855119</v>
      </c>
      <c r="K122" s="140">
        <f t="shared" si="150"/>
        <v>0.23296321252217747</v>
      </c>
      <c r="L122" s="140">
        <f t="shared" si="150"/>
        <v>0.24118375501962727</v>
      </c>
      <c r="M122" s="140">
        <f t="shared" si="150"/>
        <v>0.23327357701995607</v>
      </c>
      <c r="N122" s="140">
        <f t="shared" si="150"/>
        <v>0.1630846050869621</v>
      </c>
      <c r="O122" s="140">
        <f t="shared" si="150"/>
        <v>0.16160171769313403</v>
      </c>
      <c r="P122" s="140">
        <f t="shared" si="150"/>
        <v>0.1418082619532359</v>
      </c>
      <c r="Q122" s="140">
        <f t="shared" si="150"/>
        <v>0.15309372084667858</v>
      </c>
      <c r="R122" s="140">
        <f t="shared" si="150"/>
        <v>0.12638581352826822</v>
      </c>
      <c r="S122" s="140">
        <f t="shared" si="150"/>
        <v>9.5391329565037458E-2</v>
      </c>
      <c r="T122" s="140">
        <f t="shared" si="150"/>
        <v>9.4533388572190014E-2</v>
      </c>
      <c r="U122" s="140">
        <f t="shared" si="150"/>
        <v>9.0658311167963385E-2</v>
      </c>
      <c r="V122" s="140">
        <f t="shared" si="150"/>
        <v>0.1018398412649726</v>
      </c>
      <c r="W122" s="140">
        <f t="shared" si="150"/>
        <v>9.6772709283464375E-2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0.72778162604751018</v>
      </c>
      <c r="C123" s="127">
        <f>IF(C31=0,0,C31/C$29)</f>
        <v>0.73257573670913045</v>
      </c>
      <c r="D123" s="127">
        <f t="shared" ref="D123:W123" si="152">IF(D31=0,0,D31/D$29)</f>
        <v>0.73235667683672456</v>
      </c>
      <c r="E123" s="127">
        <f t="shared" si="152"/>
        <v>0.73171424011417252</v>
      </c>
      <c r="F123" s="127">
        <f t="shared" si="152"/>
        <v>0.73185424354040907</v>
      </c>
      <c r="G123" s="127">
        <f t="shared" si="152"/>
        <v>0.77147485160944995</v>
      </c>
      <c r="H123" s="127">
        <f t="shared" si="152"/>
        <v>0.81358775948964834</v>
      </c>
      <c r="I123" s="127">
        <f t="shared" si="152"/>
        <v>0.74127910991279689</v>
      </c>
      <c r="J123" s="127">
        <f t="shared" si="152"/>
        <v>0.77936538000144873</v>
      </c>
      <c r="K123" s="127">
        <f t="shared" si="152"/>
        <v>0.76703678747782256</v>
      </c>
      <c r="L123" s="127">
        <f t="shared" si="152"/>
        <v>0.75881624498037281</v>
      </c>
      <c r="M123" s="127">
        <f t="shared" si="152"/>
        <v>0.76672642298004401</v>
      </c>
      <c r="N123" s="127">
        <f t="shared" si="152"/>
        <v>0.8369153949130379</v>
      </c>
      <c r="O123" s="127">
        <f t="shared" si="152"/>
        <v>0.83839828230686608</v>
      </c>
      <c r="P123" s="127">
        <f t="shared" si="152"/>
        <v>0.85819173804676419</v>
      </c>
      <c r="Q123" s="127">
        <f t="shared" si="152"/>
        <v>0.8469062791533214</v>
      </c>
      <c r="R123" s="127">
        <f t="shared" si="152"/>
        <v>0.87361418647173184</v>
      </c>
      <c r="S123" s="127">
        <f t="shared" si="152"/>
        <v>0.90460867043496251</v>
      </c>
      <c r="T123" s="127">
        <f t="shared" si="152"/>
        <v>0.90546661142780993</v>
      </c>
      <c r="U123" s="127">
        <f t="shared" si="152"/>
        <v>0.90934168883203659</v>
      </c>
      <c r="V123" s="127">
        <f t="shared" si="152"/>
        <v>0.89816015873502741</v>
      </c>
      <c r="W123" s="127">
        <f t="shared" si="152"/>
        <v>0.90322729071653574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0.91577349067417335</v>
      </c>
      <c r="C127" s="139">
        <f t="shared" ref="C127:W127" si="155">IF(C35=0,0,C35/C$34)</f>
        <v>0.91158618056048202</v>
      </c>
      <c r="D127" s="139">
        <f t="shared" si="155"/>
        <v>0.91002559685925122</v>
      </c>
      <c r="E127" s="139">
        <f t="shared" si="155"/>
        <v>0.90985875644532488</v>
      </c>
      <c r="F127" s="139">
        <f t="shared" si="155"/>
        <v>0.92440938611556667</v>
      </c>
      <c r="G127" s="139">
        <f t="shared" si="155"/>
        <v>0.92133738583960212</v>
      </c>
      <c r="H127" s="139">
        <f t="shared" si="155"/>
        <v>0.92300543360827103</v>
      </c>
      <c r="I127" s="139">
        <f t="shared" si="155"/>
        <v>0.92493423661773777</v>
      </c>
      <c r="J127" s="139">
        <f t="shared" si="155"/>
        <v>0.92209529102198318</v>
      </c>
      <c r="K127" s="139">
        <f t="shared" si="155"/>
        <v>0.93078749046808851</v>
      </c>
      <c r="L127" s="139">
        <f t="shared" si="155"/>
        <v>0.93365371218791482</v>
      </c>
      <c r="M127" s="139">
        <f t="shared" si="155"/>
        <v>0.93571170511356172</v>
      </c>
      <c r="N127" s="139">
        <f t="shared" si="155"/>
        <v>0.92997650174420854</v>
      </c>
      <c r="O127" s="139">
        <f t="shared" si="155"/>
        <v>0.9286567375086614</v>
      </c>
      <c r="P127" s="139">
        <f t="shared" si="155"/>
        <v>0.92338759493599165</v>
      </c>
      <c r="Q127" s="139">
        <f t="shared" si="155"/>
        <v>0.9222654234713048</v>
      </c>
      <c r="R127" s="139">
        <f t="shared" si="155"/>
        <v>0.92260370774696387</v>
      </c>
      <c r="S127" s="139">
        <f t="shared" si="155"/>
        <v>0.91765131922368459</v>
      </c>
      <c r="T127" s="139">
        <f t="shared" si="155"/>
        <v>0.90952991486788104</v>
      </c>
      <c r="U127" s="139">
        <f t="shared" si="155"/>
        <v>0.9083338878874444</v>
      </c>
      <c r="V127" s="139">
        <f t="shared" si="155"/>
        <v>0.95099345499104548</v>
      </c>
      <c r="W127" s="139">
        <f t="shared" si="155"/>
        <v>0.94085020280185161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1.512991085001745E-2</v>
      </c>
      <c r="C128" s="140">
        <f t="shared" ref="C128:W128" si="156">IF(C36=0,0,C36/C$34)</f>
        <v>1.3816693287479691E-2</v>
      </c>
      <c r="D128" s="140">
        <f t="shared" si="156"/>
        <v>1.3153367528768011E-2</v>
      </c>
      <c r="E128" s="140">
        <f t="shared" si="156"/>
        <v>1.1590652473562245E-2</v>
      </c>
      <c r="F128" s="140">
        <f t="shared" si="156"/>
        <v>1.0063060746318542E-2</v>
      </c>
      <c r="G128" s="140">
        <f t="shared" si="156"/>
        <v>1.0191456855632421E-2</v>
      </c>
      <c r="H128" s="140">
        <f t="shared" si="156"/>
        <v>9.691916343609587E-3</v>
      </c>
      <c r="I128" s="140">
        <f t="shared" si="156"/>
        <v>9.4822463847188936E-3</v>
      </c>
      <c r="J128" s="140">
        <f t="shared" si="156"/>
        <v>9.2151863143751338E-3</v>
      </c>
      <c r="K128" s="140">
        <f t="shared" si="156"/>
        <v>9.1417368514445738E-3</v>
      </c>
      <c r="L128" s="140">
        <f t="shared" si="156"/>
        <v>9.2569250877768978E-3</v>
      </c>
      <c r="M128" s="140">
        <f t="shared" si="156"/>
        <v>9.015060229787427E-3</v>
      </c>
      <c r="N128" s="140">
        <f t="shared" si="156"/>
        <v>9.0078188407021562E-3</v>
      </c>
      <c r="O128" s="140">
        <f t="shared" si="156"/>
        <v>9.0937718245614405E-3</v>
      </c>
      <c r="P128" s="140">
        <f t="shared" si="156"/>
        <v>9.0741177380486218E-3</v>
      </c>
      <c r="Q128" s="140">
        <f t="shared" si="156"/>
        <v>8.796286947457788E-3</v>
      </c>
      <c r="R128" s="140">
        <f t="shared" si="156"/>
        <v>8.6602380515613947E-3</v>
      </c>
      <c r="S128" s="140">
        <f t="shared" si="156"/>
        <v>7.3294561613311089E-3</v>
      </c>
      <c r="T128" s="140">
        <f t="shared" si="156"/>
        <v>6.5938604100859504E-3</v>
      </c>
      <c r="U128" s="140">
        <f t="shared" si="156"/>
        <v>6.7897984117716442E-3</v>
      </c>
      <c r="V128" s="140">
        <f t="shared" si="156"/>
        <v>6.6205090457428289E-3</v>
      </c>
      <c r="W128" s="140">
        <f t="shared" si="156"/>
        <v>6.5177324122282117E-3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0.75618379088100063</v>
      </c>
      <c r="C129" s="140">
        <f t="shared" ref="C129:W129" si="157">IF(C37=0,0,C37/C$34)</f>
        <v>0.76025124092559671</v>
      </c>
      <c r="D129" s="140">
        <f t="shared" si="157"/>
        <v>0.76120230965152924</v>
      </c>
      <c r="E129" s="140">
        <f t="shared" si="157"/>
        <v>0.77366418864544728</v>
      </c>
      <c r="F129" s="140">
        <f t="shared" si="157"/>
        <v>0.79432994622507536</v>
      </c>
      <c r="G129" s="140">
        <f t="shared" si="157"/>
        <v>0.79499301112139709</v>
      </c>
      <c r="H129" s="140">
        <f t="shared" si="157"/>
        <v>0.81297882989139425</v>
      </c>
      <c r="I129" s="140">
        <f t="shared" si="157"/>
        <v>0.8225394836638078</v>
      </c>
      <c r="J129" s="140">
        <f t="shared" si="157"/>
        <v>0.82782559411719092</v>
      </c>
      <c r="K129" s="140">
        <f t="shared" si="157"/>
        <v>0.83875158954090834</v>
      </c>
      <c r="L129" s="140">
        <f t="shared" si="157"/>
        <v>0.84578100269355361</v>
      </c>
      <c r="M129" s="140">
        <f t="shared" si="157"/>
        <v>0.84774248945821884</v>
      </c>
      <c r="N129" s="140">
        <f t="shared" si="157"/>
        <v>0.84331449541701653</v>
      </c>
      <c r="O129" s="140">
        <f t="shared" si="157"/>
        <v>0.83749048480587929</v>
      </c>
      <c r="P129" s="140">
        <f t="shared" si="157"/>
        <v>0.83057882942328409</v>
      </c>
      <c r="Q129" s="140">
        <f t="shared" si="157"/>
        <v>0.82169097102191924</v>
      </c>
      <c r="R129" s="140">
        <f t="shared" si="157"/>
        <v>0.8298110431704574</v>
      </c>
      <c r="S129" s="140">
        <f t="shared" si="157"/>
        <v>0.83574828412895752</v>
      </c>
      <c r="T129" s="140">
        <f t="shared" si="157"/>
        <v>0.83525497447671049</v>
      </c>
      <c r="U129" s="140">
        <f t="shared" si="157"/>
        <v>0.83236985133258357</v>
      </c>
      <c r="V129" s="140">
        <f t="shared" si="157"/>
        <v>0.86970896121527874</v>
      </c>
      <c r="W129" s="140">
        <f t="shared" si="157"/>
        <v>0.86001776924552531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0.14445978894315531</v>
      </c>
      <c r="C130" s="140">
        <f t="shared" ref="C130:W130" si="158">IF(C38=0,0,C38/C$34)</f>
        <v>0.13751824634740564</v>
      </c>
      <c r="D130" s="140">
        <f t="shared" si="158"/>
        <v>0.13566991967895392</v>
      </c>
      <c r="E130" s="140">
        <f t="shared" si="158"/>
        <v>0.12460391532631546</v>
      </c>
      <c r="F130" s="140">
        <f t="shared" si="158"/>
        <v>0.12001637914417279</v>
      </c>
      <c r="G130" s="140">
        <f t="shared" si="158"/>
        <v>0.11615291786257251</v>
      </c>
      <c r="H130" s="140">
        <f t="shared" si="158"/>
        <v>0.10033468737326728</v>
      </c>
      <c r="I130" s="140">
        <f t="shared" si="158"/>
        <v>9.2912506569211087E-2</v>
      </c>
      <c r="J130" s="140">
        <f t="shared" si="158"/>
        <v>8.505451059041727E-2</v>
      </c>
      <c r="K130" s="140">
        <f t="shared" si="158"/>
        <v>8.2894164075735605E-2</v>
      </c>
      <c r="L130" s="140">
        <f t="shared" si="158"/>
        <v>7.8615784406584496E-2</v>
      </c>
      <c r="M130" s="140">
        <f t="shared" si="158"/>
        <v>7.8954155425555408E-2</v>
      </c>
      <c r="N130" s="140">
        <f t="shared" si="158"/>
        <v>7.7654187486489779E-2</v>
      </c>
      <c r="O130" s="140">
        <f t="shared" si="158"/>
        <v>8.2072480878220638E-2</v>
      </c>
      <c r="P130" s="140">
        <f t="shared" si="158"/>
        <v>8.3734647774658846E-2</v>
      </c>
      <c r="Q130" s="140">
        <f t="shared" si="158"/>
        <v>9.1778165501927828E-2</v>
      </c>
      <c r="R130" s="140">
        <f t="shared" si="158"/>
        <v>8.4132426524945014E-2</v>
      </c>
      <c r="S130" s="140">
        <f t="shared" si="158"/>
        <v>7.4573578933396001E-2</v>
      </c>
      <c r="T130" s="140">
        <f t="shared" si="158"/>
        <v>6.7681079981084538E-2</v>
      </c>
      <c r="U130" s="140">
        <f t="shared" si="158"/>
        <v>6.9174238143089289E-2</v>
      </c>
      <c r="V130" s="140">
        <f t="shared" si="158"/>
        <v>7.4663984730023905E-2</v>
      </c>
      <c r="W130" s="140">
        <f t="shared" si="158"/>
        <v>7.431470114409823E-2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4.3082816885461277E-2</v>
      </c>
      <c r="C131" s="124">
        <f t="shared" ref="C131:W131" si="159">IF(C39=0,0,C39/C$34)</f>
        <v>4.6794444458676733E-2</v>
      </c>
      <c r="D131" s="124">
        <f t="shared" si="159"/>
        <v>4.8459508583790341E-2</v>
      </c>
      <c r="E131" s="124">
        <f t="shared" si="159"/>
        <v>4.7205816198258241E-2</v>
      </c>
      <c r="F131" s="124">
        <f t="shared" si="159"/>
        <v>3.716452249616338E-2</v>
      </c>
      <c r="G131" s="124">
        <f t="shared" si="159"/>
        <v>3.5567884775715902E-2</v>
      </c>
      <c r="H131" s="124">
        <f t="shared" si="159"/>
        <v>2.497761987634221E-2</v>
      </c>
      <c r="I131" s="124">
        <f t="shared" si="159"/>
        <v>2.5418300803900774E-2</v>
      </c>
      <c r="J131" s="124">
        <f t="shared" si="159"/>
        <v>2.2218648096956294E-2</v>
      </c>
      <c r="K131" s="124">
        <f t="shared" si="159"/>
        <v>2.1637194713043251E-2</v>
      </c>
      <c r="L131" s="124">
        <f t="shared" si="159"/>
        <v>1.8807672995490091E-2</v>
      </c>
      <c r="M131" s="124">
        <f t="shared" si="159"/>
        <v>1.798404215513142E-2</v>
      </c>
      <c r="N131" s="124">
        <f t="shared" si="159"/>
        <v>1.861510523302469E-2</v>
      </c>
      <c r="O131" s="124">
        <f t="shared" si="159"/>
        <v>1.9000345785572085E-2</v>
      </c>
      <c r="P131" s="124">
        <f t="shared" si="159"/>
        <v>1.7837014702365643E-2</v>
      </c>
      <c r="Q131" s="124">
        <f t="shared" si="159"/>
        <v>1.7350063924702331E-2</v>
      </c>
      <c r="R131" s="124">
        <f t="shared" si="159"/>
        <v>1.789388113016821E-2</v>
      </c>
      <c r="S131" s="124">
        <f t="shared" si="159"/>
        <v>1.5863183524732604E-2</v>
      </c>
      <c r="T131" s="124">
        <f t="shared" si="159"/>
        <v>1.6046767507263977E-2</v>
      </c>
      <c r="U131" s="124">
        <f t="shared" si="159"/>
        <v>1.4905071962000402E-2</v>
      </c>
      <c r="V131" s="124">
        <f t="shared" si="159"/>
        <v>1.4209111637260944E-2</v>
      </c>
      <c r="W131" s="124">
        <f t="shared" si="159"/>
        <v>1.607965667644437E-2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3.8083331991583631E-3</v>
      </c>
      <c r="C132" s="140">
        <f t="shared" ref="C132:W132" si="160">IF(C40=0,0,C40/C$34)</f>
        <v>3.842080244698746E-3</v>
      </c>
      <c r="D132" s="140">
        <f t="shared" si="160"/>
        <v>3.8896661611313331E-3</v>
      </c>
      <c r="E132" s="140">
        <f t="shared" si="160"/>
        <v>3.5881677744425988E-3</v>
      </c>
      <c r="F132" s="140">
        <f t="shared" si="160"/>
        <v>3.1324624957975692E-3</v>
      </c>
      <c r="G132" s="140">
        <f t="shared" si="160"/>
        <v>2.9159398428160979E-3</v>
      </c>
      <c r="H132" s="140">
        <f t="shared" si="160"/>
        <v>2.6248250252273019E-3</v>
      </c>
      <c r="I132" s="140">
        <f t="shared" si="160"/>
        <v>2.3883983605833031E-3</v>
      </c>
      <c r="J132" s="140">
        <f t="shared" si="160"/>
        <v>2.2202859593223843E-3</v>
      </c>
      <c r="K132" s="140">
        <f t="shared" si="160"/>
        <v>2.0307562512263352E-3</v>
      </c>
      <c r="L132" s="140">
        <f t="shared" si="160"/>
        <v>1.9514809956788833E-3</v>
      </c>
      <c r="M132" s="140">
        <f t="shared" si="160"/>
        <v>1.9167738521868741E-3</v>
      </c>
      <c r="N132" s="140">
        <f t="shared" si="160"/>
        <v>1.9394382316575592E-3</v>
      </c>
      <c r="O132" s="140">
        <f t="shared" si="160"/>
        <v>1.8840978335546517E-3</v>
      </c>
      <c r="P132" s="140">
        <f t="shared" si="160"/>
        <v>1.8989335641256637E-3</v>
      </c>
      <c r="Q132" s="140">
        <f t="shared" si="160"/>
        <v>1.7409666277617354E-3</v>
      </c>
      <c r="R132" s="140">
        <f t="shared" si="160"/>
        <v>1.6508987048186197E-3</v>
      </c>
      <c r="S132" s="140">
        <f t="shared" si="160"/>
        <v>1.4490825917780959E-3</v>
      </c>
      <c r="T132" s="140">
        <f t="shared" si="160"/>
        <v>1.36383244124606E-3</v>
      </c>
      <c r="U132" s="140">
        <f t="shared" si="160"/>
        <v>1.3306010666512174E-3</v>
      </c>
      <c r="V132" s="140">
        <f t="shared" si="160"/>
        <v>1.4074414528785606E-3</v>
      </c>
      <c r="W132" s="140">
        <f t="shared" si="160"/>
        <v>1.3409579425140404E-3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3.9274483686302916E-2</v>
      </c>
      <c r="C133" s="140">
        <f t="shared" ref="C133:W133" si="161">IF(C41=0,0,C41/C$34)</f>
        <v>4.2952364213977988E-2</v>
      </c>
      <c r="D133" s="140">
        <f t="shared" si="161"/>
        <v>4.456984242265901E-2</v>
      </c>
      <c r="E133" s="140">
        <f t="shared" si="161"/>
        <v>4.3617648423815637E-2</v>
      </c>
      <c r="F133" s="140">
        <f t="shared" si="161"/>
        <v>3.4032060000365814E-2</v>
      </c>
      <c r="G133" s="140">
        <f t="shared" si="161"/>
        <v>3.2651944932899801E-2</v>
      </c>
      <c r="H133" s="140">
        <f t="shared" si="161"/>
        <v>2.2352794851114906E-2</v>
      </c>
      <c r="I133" s="140">
        <f t="shared" si="161"/>
        <v>2.3029902443317471E-2</v>
      </c>
      <c r="J133" s="140">
        <f t="shared" si="161"/>
        <v>1.999836213763391E-2</v>
      </c>
      <c r="K133" s="140">
        <f t="shared" si="161"/>
        <v>1.9606438461816918E-2</v>
      </c>
      <c r="L133" s="140">
        <f t="shared" si="161"/>
        <v>1.6856191999811209E-2</v>
      </c>
      <c r="M133" s="140">
        <f t="shared" si="161"/>
        <v>1.6067268302944547E-2</v>
      </c>
      <c r="N133" s="140">
        <f t="shared" si="161"/>
        <v>1.667566700136713E-2</v>
      </c>
      <c r="O133" s="140">
        <f t="shared" si="161"/>
        <v>1.7116247952017435E-2</v>
      </c>
      <c r="P133" s="140">
        <f t="shared" si="161"/>
        <v>1.5938081138239982E-2</v>
      </c>
      <c r="Q133" s="140">
        <f t="shared" si="161"/>
        <v>1.5328530830615068E-2</v>
      </c>
      <c r="R133" s="140">
        <f t="shared" si="161"/>
        <v>1.5479994941658711E-2</v>
      </c>
      <c r="S133" s="140">
        <f t="shared" si="161"/>
        <v>1.3765845772229267E-2</v>
      </c>
      <c r="T133" s="140">
        <f t="shared" si="161"/>
        <v>1.4057013362025543E-2</v>
      </c>
      <c r="U133" s="140">
        <f t="shared" si="161"/>
        <v>1.2923844326227677E-2</v>
      </c>
      <c r="V133" s="140">
        <f t="shared" si="161"/>
        <v>1.2139779158062648E-2</v>
      </c>
      <c r="W133" s="140">
        <f t="shared" si="161"/>
        <v>1.4069833622687778E-2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2.8056646632552577E-4</v>
      </c>
      <c r="R134" s="140">
        <f t="shared" si="162"/>
        <v>7.6298748369087578E-4</v>
      </c>
      <c r="S134" s="140">
        <f t="shared" si="162"/>
        <v>6.4825516072524218E-4</v>
      </c>
      <c r="T134" s="140">
        <f t="shared" si="162"/>
        <v>6.2592170399237339E-4</v>
      </c>
      <c r="U134" s="140">
        <f t="shared" si="162"/>
        <v>6.5062656912150683E-4</v>
      </c>
      <c r="V134" s="140">
        <f t="shared" si="162"/>
        <v>6.6189102631973454E-4</v>
      </c>
      <c r="W134" s="140">
        <f t="shared" si="162"/>
        <v>6.6886511124255525E-4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4.1143692440365455E-2</v>
      </c>
      <c r="C135" s="124">
        <f t="shared" ref="C135:W135" si="163">IF(C43=0,0,C43/C$34)</f>
        <v>4.1619374980841388E-2</v>
      </c>
      <c r="D135" s="124">
        <f t="shared" si="163"/>
        <v>4.1514894556958386E-2</v>
      </c>
      <c r="E135" s="124">
        <f t="shared" si="163"/>
        <v>4.293542735641688E-2</v>
      </c>
      <c r="F135" s="124">
        <f t="shared" si="163"/>
        <v>3.8426091388269967E-2</v>
      </c>
      <c r="G135" s="124">
        <f t="shared" si="163"/>
        <v>4.3094729384682097E-2</v>
      </c>
      <c r="H135" s="124">
        <f t="shared" si="163"/>
        <v>5.2016946515386804E-2</v>
      </c>
      <c r="I135" s="124">
        <f t="shared" si="163"/>
        <v>4.9647462578361432E-2</v>
      </c>
      <c r="J135" s="124">
        <f t="shared" si="163"/>
        <v>5.5686060881060533E-2</v>
      </c>
      <c r="K135" s="124">
        <f t="shared" si="163"/>
        <v>4.757531481886821E-2</v>
      </c>
      <c r="L135" s="124">
        <f t="shared" si="163"/>
        <v>4.7538614816595097E-2</v>
      </c>
      <c r="M135" s="124">
        <f t="shared" si="163"/>
        <v>4.6304252731306818E-2</v>
      </c>
      <c r="N135" s="124">
        <f t="shared" si="163"/>
        <v>5.1408393022766716E-2</v>
      </c>
      <c r="O135" s="124">
        <f t="shared" si="163"/>
        <v>5.2342916705766622E-2</v>
      </c>
      <c r="P135" s="124">
        <f t="shared" si="163"/>
        <v>5.8775390361642775E-2</v>
      </c>
      <c r="Q135" s="124">
        <f t="shared" si="163"/>
        <v>6.0384512603992829E-2</v>
      </c>
      <c r="R135" s="124">
        <f t="shared" si="163"/>
        <v>5.9502411122867922E-2</v>
      </c>
      <c r="S135" s="124">
        <f t="shared" si="163"/>
        <v>6.6485497251582773E-2</v>
      </c>
      <c r="T135" s="124">
        <f t="shared" si="163"/>
        <v>7.4423317624855045E-2</v>
      </c>
      <c r="U135" s="124">
        <f t="shared" si="163"/>
        <v>7.6761040150555099E-2</v>
      </c>
      <c r="V135" s="124">
        <f t="shared" si="163"/>
        <v>3.4797433371693644E-2</v>
      </c>
      <c r="W135" s="124">
        <f t="shared" si="163"/>
        <v>4.3070140521703965E-2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4.5560979992380471E-4</v>
      </c>
      <c r="C136" s="140">
        <f t="shared" ref="C136:W136" si="164">IF(C44=0,0,C44/C$34)</f>
        <v>4.6876383552401827E-4</v>
      </c>
      <c r="D136" s="140">
        <f t="shared" si="164"/>
        <v>6.3464687745479653E-4</v>
      </c>
      <c r="E136" s="140">
        <f t="shared" si="164"/>
        <v>6.0746530859622514E-4</v>
      </c>
      <c r="F136" s="140">
        <f t="shared" si="164"/>
        <v>4.1618999482250933E-4</v>
      </c>
      <c r="G136" s="140">
        <f t="shared" si="164"/>
        <v>4.128559607374391E-4</v>
      </c>
      <c r="H136" s="140">
        <f t="shared" si="164"/>
        <v>3.7008631104777819E-4</v>
      </c>
      <c r="I136" s="140">
        <f t="shared" si="164"/>
        <v>4.5023234798870226E-4</v>
      </c>
      <c r="J136" s="140">
        <f t="shared" si="164"/>
        <v>3.1519504551243848E-4</v>
      </c>
      <c r="K136" s="140">
        <f t="shared" si="164"/>
        <v>4.0275911956504849E-4</v>
      </c>
      <c r="L136" s="140">
        <f t="shared" si="164"/>
        <v>3.8573889165680373E-4</v>
      </c>
      <c r="M136" s="140">
        <f t="shared" si="164"/>
        <v>4.7916813885041161E-4</v>
      </c>
      <c r="N136" s="140">
        <f t="shared" si="164"/>
        <v>1.712469776645217E-3</v>
      </c>
      <c r="O136" s="140">
        <f t="shared" si="164"/>
        <v>1.5877258943434852E-3</v>
      </c>
      <c r="P136" s="140">
        <f t="shared" si="164"/>
        <v>2.5883752304163045E-3</v>
      </c>
      <c r="Q136" s="140">
        <f t="shared" si="164"/>
        <v>1.6892693558169533E-3</v>
      </c>
      <c r="R136" s="140">
        <f t="shared" si="164"/>
        <v>2.104082514068714E-3</v>
      </c>
      <c r="S136" s="140">
        <f t="shared" si="164"/>
        <v>2.1119290459929337E-3</v>
      </c>
      <c r="T136" s="140">
        <f t="shared" si="164"/>
        <v>2.3753827389636278E-3</v>
      </c>
      <c r="U136" s="140">
        <f t="shared" si="164"/>
        <v>2.3687367788998558E-3</v>
      </c>
      <c r="V136" s="140">
        <f t="shared" si="164"/>
        <v>1.3889200120140693E-3</v>
      </c>
      <c r="W136" s="140">
        <f t="shared" si="164"/>
        <v>2.2664511761811639E-3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2.6079931090277116E-2</v>
      </c>
      <c r="C137" s="140">
        <f t="shared" ref="C137:W137" si="165">IF(C45=0,0,C45/C$34)</f>
        <v>2.6376236824267044E-2</v>
      </c>
      <c r="D137" s="140">
        <f t="shared" si="165"/>
        <v>2.6202591460525317E-2</v>
      </c>
      <c r="E137" s="140">
        <f t="shared" si="165"/>
        <v>2.7130363664601247E-2</v>
      </c>
      <c r="F137" s="140">
        <f t="shared" si="165"/>
        <v>2.4362505384440406E-2</v>
      </c>
      <c r="G137" s="140">
        <f t="shared" si="165"/>
        <v>2.8387591547650359E-2</v>
      </c>
      <c r="H137" s="140">
        <f t="shared" si="165"/>
        <v>3.6360616121084287E-2</v>
      </c>
      <c r="I137" s="140">
        <f t="shared" si="165"/>
        <v>3.5838975984673664E-2</v>
      </c>
      <c r="J137" s="140">
        <f t="shared" si="165"/>
        <v>4.1037273378917632E-2</v>
      </c>
      <c r="K137" s="140">
        <f t="shared" si="165"/>
        <v>3.3795006999459504E-2</v>
      </c>
      <c r="L137" s="140">
        <f t="shared" si="165"/>
        <v>3.3753442639468764E-2</v>
      </c>
      <c r="M137" s="140">
        <f t="shared" si="165"/>
        <v>3.2715811947927595E-2</v>
      </c>
      <c r="N137" s="140">
        <f t="shared" si="165"/>
        <v>3.5757013771859344E-2</v>
      </c>
      <c r="O137" s="140">
        <f t="shared" si="165"/>
        <v>3.731107783836192E-2</v>
      </c>
      <c r="P137" s="140">
        <f t="shared" si="165"/>
        <v>4.1071538910108646E-2</v>
      </c>
      <c r="Q137" s="140">
        <f t="shared" si="165"/>
        <v>4.3788797700686707E-2</v>
      </c>
      <c r="R137" s="140">
        <f t="shared" si="165"/>
        <v>4.3750198221091122E-2</v>
      </c>
      <c r="S137" s="140">
        <f t="shared" si="165"/>
        <v>4.9725848451108168E-2</v>
      </c>
      <c r="T137" s="140">
        <f t="shared" si="165"/>
        <v>5.589869122822648E-2</v>
      </c>
      <c r="U137" s="140">
        <f t="shared" si="165"/>
        <v>5.7840633013804751E-2</v>
      </c>
      <c r="V137" s="140">
        <f t="shared" si="165"/>
        <v>2.2972423035877439E-2</v>
      </c>
      <c r="W137" s="140">
        <f t="shared" si="165"/>
        <v>2.8697459095748518E-2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1.4608151550164535E-2</v>
      </c>
      <c r="C138" s="140">
        <f t="shared" ref="C138:W138" si="166">IF(C46=0,0,C46/C$34)</f>
        <v>1.4774374321050322E-2</v>
      </c>
      <c r="D138" s="140">
        <f t="shared" si="166"/>
        <v>1.4677656218978277E-2</v>
      </c>
      <c r="E138" s="140">
        <f t="shared" si="166"/>
        <v>1.5197598383219406E-2</v>
      </c>
      <c r="F138" s="140">
        <f t="shared" si="166"/>
        <v>1.3647396009007055E-2</v>
      </c>
      <c r="G138" s="140">
        <f t="shared" si="166"/>
        <v>1.4294281876294293E-2</v>
      </c>
      <c r="H138" s="140">
        <f t="shared" si="166"/>
        <v>1.5286244083254739E-2</v>
      </c>
      <c r="I138" s="140">
        <f t="shared" si="166"/>
        <v>1.3358254245699063E-2</v>
      </c>
      <c r="J138" s="140">
        <f t="shared" si="166"/>
        <v>1.4333592456630464E-2</v>
      </c>
      <c r="K138" s="140">
        <f t="shared" si="166"/>
        <v>1.3377548699843663E-2</v>
      </c>
      <c r="L138" s="140">
        <f t="shared" si="166"/>
        <v>1.3399433285469529E-2</v>
      </c>
      <c r="M138" s="140">
        <f t="shared" si="166"/>
        <v>1.3109272644528807E-2</v>
      </c>
      <c r="N138" s="140">
        <f t="shared" si="166"/>
        <v>1.3938909474262153E-2</v>
      </c>
      <c r="O138" s="140">
        <f t="shared" si="166"/>
        <v>1.3444112973061218E-2</v>
      </c>
      <c r="P138" s="140">
        <f t="shared" si="166"/>
        <v>1.5115476221117819E-2</v>
      </c>
      <c r="Q138" s="140">
        <f t="shared" si="166"/>
        <v>1.4906445547489169E-2</v>
      </c>
      <c r="R138" s="140">
        <f t="shared" si="166"/>
        <v>1.3648130387708091E-2</v>
      </c>
      <c r="S138" s="140">
        <f t="shared" si="166"/>
        <v>1.464771975448167E-2</v>
      </c>
      <c r="T138" s="140">
        <f t="shared" si="166"/>
        <v>1.614924365766493E-2</v>
      </c>
      <c r="U138" s="140">
        <f t="shared" si="166"/>
        <v>1.6551670357850497E-2</v>
      </c>
      <c r="V138" s="140">
        <f t="shared" si="166"/>
        <v>1.0436090323802136E-2</v>
      </c>
      <c r="W138" s="140">
        <f t="shared" si="166"/>
        <v>1.210623024977428E-2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0.91370012483141938</v>
      </c>
      <c r="C140" s="139">
        <f t="shared" ref="C140:W140" si="169">IF(C48=0,0,C48/C$47)</f>
        <v>0.92500371767914658</v>
      </c>
      <c r="D140" s="139">
        <f t="shared" si="169"/>
        <v>0.92461249093679354</v>
      </c>
      <c r="E140" s="139">
        <f t="shared" si="169"/>
        <v>0.93354234749783604</v>
      </c>
      <c r="F140" s="139">
        <f t="shared" si="169"/>
        <v>0.94227648368678929</v>
      </c>
      <c r="G140" s="139">
        <f t="shared" si="169"/>
        <v>0.95635748764121509</v>
      </c>
      <c r="H140" s="139">
        <f t="shared" si="169"/>
        <v>0.95861817161565632</v>
      </c>
      <c r="I140" s="139">
        <f t="shared" si="169"/>
        <v>0.96523272866250853</v>
      </c>
      <c r="J140" s="139">
        <f t="shared" si="169"/>
        <v>0.96900550483244796</v>
      </c>
      <c r="K140" s="139">
        <f t="shared" si="169"/>
        <v>0.97450101942448286</v>
      </c>
      <c r="L140" s="139">
        <f t="shared" si="169"/>
        <v>0.97358389752968311</v>
      </c>
      <c r="M140" s="139">
        <f t="shared" si="169"/>
        <v>0.97252883257646305</v>
      </c>
      <c r="N140" s="139">
        <f t="shared" si="169"/>
        <v>0.97298363655183695</v>
      </c>
      <c r="O140" s="139">
        <f t="shared" si="169"/>
        <v>0.97103143307286188</v>
      </c>
      <c r="P140" s="139">
        <f t="shared" si="169"/>
        <v>0.97342037594443964</v>
      </c>
      <c r="Q140" s="139">
        <f t="shared" si="169"/>
        <v>0.97531817583968627</v>
      </c>
      <c r="R140" s="139">
        <f t="shared" si="169"/>
        <v>0.98011052213143379</v>
      </c>
      <c r="S140" s="139">
        <f t="shared" si="169"/>
        <v>0.98189467993197632</v>
      </c>
      <c r="T140" s="139">
        <f t="shared" si="169"/>
        <v>0.98122350229836619</v>
      </c>
      <c r="U140" s="139">
        <f t="shared" si="169"/>
        <v>0.9824117109989875</v>
      </c>
      <c r="V140" s="139">
        <f t="shared" si="169"/>
        <v>0.98112083816416618</v>
      </c>
      <c r="W140" s="139">
        <f t="shared" si="169"/>
        <v>0.98307316634980513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0.66106090338034473</v>
      </c>
      <c r="C141" s="140">
        <f t="shared" ref="C141:W141" si="170">IF(C49=0,0,C49/C$47)</f>
        <v>0.60804519295149428</v>
      </c>
      <c r="D141" s="140">
        <f t="shared" si="170"/>
        <v>0.66823157426420798</v>
      </c>
      <c r="E141" s="140">
        <f t="shared" si="170"/>
        <v>0.57242509510804629</v>
      </c>
      <c r="F141" s="140">
        <f t="shared" si="170"/>
        <v>0.4767889934354721</v>
      </c>
      <c r="G141" s="140">
        <f t="shared" si="170"/>
        <v>0.40577345776926016</v>
      </c>
      <c r="H141" s="140">
        <f t="shared" si="170"/>
        <v>0.38088302193703971</v>
      </c>
      <c r="I141" s="140">
        <f t="shared" si="170"/>
        <v>0.35045579420694911</v>
      </c>
      <c r="J141" s="140">
        <f t="shared" si="170"/>
        <v>0.34463624908447932</v>
      </c>
      <c r="K141" s="140">
        <f t="shared" si="170"/>
        <v>0.36138910742127178</v>
      </c>
      <c r="L141" s="140">
        <f t="shared" si="170"/>
        <v>0.34854034857611382</v>
      </c>
      <c r="M141" s="140">
        <f t="shared" si="170"/>
        <v>0.35848721793273058</v>
      </c>
      <c r="N141" s="140">
        <f t="shared" si="170"/>
        <v>0.39570366315867156</v>
      </c>
      <c r="O141" s="140">
        <f t="shared" si="170"/>
        <v>0.4454967517927606</v>
      </c>
      <c r="P141" s="140">
        <f t="shared" si="170"/>
        <v>0.43575326339410586</v>
      </c>
      <c r="Q141" s="140">
        <f t="shared" si="170"/>
        <v>0.42356050525558725</v>
      </c>
      <c r="R141" s="140">
        <f t="shared" si="170"/>
        <v>0.36925300108676157</v>
      </c>
      <c r="S141" s="140">
        <f t="shared" si="170"/>
        <v>0.30770846466461771</v>
      </c>
      <c r="T141" s="140">
        <f t="shared" si="170"/>
        <v>0.31476805701629851</v>
      </c>
      <c r="U141" s="140">
        <f t="shared" si="170"/>
        <v>0.32402545582487546</v>
      </c>
      <c r="V141" s="140">
        <f t="shared" si="170"/>
        <v>0.34318326487957551</v>
      </c>
      <c r="W141" s="140">
        <f t="shared" si="170"/>
        <v>0.29372881277463753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0.25263922145107465</v>
      </c>
      <c r="C142" s="140">
        <f t="shared" ref="C142:W142" si="171">IF(C50=0,0,C50/C$47)</f>
        <v>0.31695852472765218</v>
      </c>
      <c r="D142" s="140">
        <f t="shared" si="171"/>
        <v>0.25638091667258556</v>
      </c>
      <c r="E142" s="140">
        <f t="shared" si="171"/>
        <v>0.36111725238978964</v>
      </c>
      <c r="F142" s="140">
        <f t="shared" si="171"/>
        <v>0.46548749025131714</v>
      </c>
      <c r="G142" s="140">
        <f t="shared" si="171"/>
        <v>0.55058402987195476</v>
      </c>
      <c r="H142" s="140">
        <f t="shared" si="171"/>
        <v>0.57773514967861661</v>
      </c>
      <c r="I142" s="140">
        <f t="shared" si="171"/>
        <v>0.61477693445555937</v>
      </c>
      <c r="J142" s="140">
        <f t="shared" si="171"/>
        <v>0.62436925574796864</v>
      </c>
      <c r="K142" s="140">
        <f t="shared" si="171"/>
        <v>0.61311191200321113</v>
      </c>
      <c r="L142" s="140">
        <f t="shared" si="171"/>
        <v>0.62504354895356928</v>
      </c>
      <c r="M142" s="140">
        <f t="shared" si="171"/>
        <v>0.61404161464373253</v>
      </c>
      <c r="N142" s="140">
        <f t="shared" si="171"/>
        <v>0.57727997339316539</v>
      </c>
      <c r="O142" s="140">
        <f t="shared" si="171"/>
        <v>0.52553468128010139</v>
      </c>
      <c r="P142" s="140">
        <f t="shared" si="171"/>
        <v>0.53766711255033373</v>
      </c>
      <c r="Q142" s="140">
        <f t="shared" si="171"/>
        <v>0.55175767058409897</v>
      </c>
      <c r="R142" s="140">
        <f t="shared" si="171"/>
        <v>0.61085752104467228</v>
      </c>
      <c r="S142" s="140">
        <f t="shared" si="171"/>
        <v>0.67418621526735856</v>
      </c>
      <c r="T142" s="140">
        <f t="shared" si="171"/>
        <v>0.66645544528206768</v>
      </c>
      <c r="U142" s="140">
        <f t="shared" si="171"/>
        <v>0.65838625517411209</v>
      </c>
      <c r="V142" s="140">
        <f t="shared" si="171"/>
        <v>0.63793757328459066</v>
      </c>
      <c r="W142" s="140">
        <f t="shared" si="171"/>
        <v>0.68934435357516766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8.3503986359571014E-2</v>
      </c>
      <c r="C143" s="124">
        <f t="shared" ref="C143:W143" si="172">IF(C51=0,0,C51/C$47)</f>
        <v>7.2426721748566805E-2</v>
      </c>
      <c r="D143" s="124">
        <f t="shared" si="172"/>
        <v>7.2940350598699882E-2</v>
      </c>
      <c r="E143" s="124">
        <f t="shared" si="172"/>
        <v>6.3786351918250966E-2</v>
      </c>
      <c r="F143" s="124">
        <f t="shared" si="172"/>
        <v>5.5769112122092318E-2</v>
      </c>
      <c r="G143" s="124">
        <f t="shared" si="172"/>
        <v>4.2124793500785081E-2</v>
      </c>
      <c r="H143" s="124">
        <f t="shared" si="172"/>
        <v>3.9679558692642537E-2</v>
      </c>
      <c r="I143" s="124">
        <f t="shared" si="172"/>
        <v>3.3322557715513901E-2</v>
      </c>
      <c r="J143" s="124">
        <f t="shared" si="172"/>
        <v>2.9470863979960862E-2</v>
      </c>
      <c r="K143" s="124">
        <f t="shared" si="172"/>
        <v>2.4226136153884456E-2</v>
      </c>
      <c r="L143" s="124">
        <f t="shared" si="172"/>
        <v>2.4897790380277233E-2</v>
      </c>
      <c r="M143" s="124">
        <f t="shared" si="172"/>
        <v>2.6056374915079162E-2</v>
      </c>
      <c r="N143" s="124">
        <f t="shared" si="172"/>
        <v>2.539600623009252E-2</v>
      </c>
      <c r="O143" s="124">
        <f t="shared" si="172"/>
        <v>2.7125313868597269E-2</v>
      </c>
      <c r="P143" s="124">
        <f t="shared" si="172"/>
        <v>2.4566732518265962E-2</v>
      </c>
      <c r="Q143" s="124">
        <f t="shared" si="172"/>
        <v>2.2831148358703951E-2</v>
      </c>
      <c r="R143" s="124">
        <f t="shared" si="172"/>
        <v>1.807234789306059E-2</v>
      </c>
      <c r="S143" s="124">
        <f t="shared" si="172"/>
        <v>1.6149084608667846E-2</v>
      </c>
      <c r="T143" s="124">
        <f t="shared" si="172"/>
        <v>1.7274361938138624E-2</v>
      </c>
      <c r="U143" s="124">
        <f t="shared" si="172"/>
        <v>1.5675996548984054E-2</v>
      </c>
      <c r="V143" s="124">
        <f t="shared" si="172"/>
        <v>1.6594099412515623E-2</v>
      </c>
      <c r="W143" s="124">
        <f t="shared" si="172"/>
        <v>1.458050920027654E-2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6.8929238939976513E-4</v>
      </c>
      <c r="C144" s="124">
        <f t="shared" ref="C144:W144" si="173">IF(C52=0,0,C52/C$47)</f>
        <v>5.3181258432236349E-4</v>
      </c>
      <c r="D144" s="124">
        <f t="shared" si="173"/>
        <v>6.314159329409327E-4</v>
      </c>
      <c r="E144" s="124">
        <f t="shared" si="173"/>
        <v>5.4018456577283492E-4</v>
      </c>
      <c r="F144" s="124">
        <f t="shared" si="173"/>
        <v>3.7688937312005464E-4</v>
      </c>
      <c r="G144" s="124">
        <f t="shared" si="173"/>
        <v>4.14265240541417E-4</v>
      </c>
      <c r="H144" s="124">
        <f t="shared" si="173"/>
        <v>5.1289364362743265E-4</v>
      </c>
      <c r="I144" s="124">
        <f t="shared" si="173"/>
        <v>5.5895957835694256E-4</v>
      </c>
      <c r="J144" s="124">
        <f t="shared" si="173"/>
        <v>6.9640155352324875E-4</v>
      </c>
      <c r="K144" s="124">
        <f t="shared" si="173"/>
        <v>7.7400511168994985E-4</v>
      </c>
      <c r="L144" s="124">
        <f t="shared" si="173"/>
        <v>1.0631860957224686E-3</v>
      </c>
      <c r="M144" s="124">
        <f t="shared" si="173"/>
        <v>9.6725046811409849E-4</v>
      </c>
      <c r="N144" s="124">
        <f t="shared" si="173"/>
        <v>1.1233569988285284E-3</v>
      </c>
      <c r="O144" s="124">
        <f t="shared" si="173"/>
        <v>1.2949187132992399E-3</v>
      </c>
      <c r="P144" s="124">
        <f t="shared" si="173"/>
        <v>1.4734179448949783E-3</v>
      </c>
      <c r="Q144" s="124">
        <f t="shared" si="173"/>
        <v>1.5046455259092083E-3</v>
      </c>
      <c r="R144" s="124">
        <f t="shared" si="173"/>
        <v>1.5293880231567266E-3</v>
      </c>
      <c r="S144" s="124">
        <f t="shared" si="173"/>
        <v>1.4279483539540345E-3</v>
      </c>
      <c r="T144" s="124">
        <f t="shared" si="173"/>
        <v>1.2800427777635748E-3</v>
      </c>
      <c r="U144" s="124">
        <f t="shared" si="173"/>
        <v>1.7083400520126321E-3</v>
      </c>
      <c r="V144" s="124">
        <f t="shared" si="173"/>
        <v>2.1672015988984791E-3</v>
      </c>
      <c r="W144" s="124">
        <f t="shared" si="173"/>
        <v>2.2404262260404249E-3</v>
      </c>
      <c r="DA144" s="176"/>
    </row>
    <row r="145" spans="1:105" ht="11.45" customHeight="1" x14ac:dyDescent="0.25">
      <c r="A145" s="128" t="s">
        <v>27</v>
      </c>
      <c r="B145" s="140">
        <f t="shared" si="167"/>
        <v>1.6131946502806939E-5</v>
      </c>
      <c r="C145" s="140">
        <f t="shared" ref="C145:W145" si="174">IF(C53=0,0,C53/C$47)</f>
        <v>1.2081943849029488E-5</v>
      </c>
      <c r="D145" s="140">
        <f t="shared" si="174"/>
        <v>1.4344062000122179E-5</v>
      </c>
      <c r="E145" s="140">
        <f t="shared" si="174"/>
        <v>1.1977756163751169E-5</v>
      </c>
      <c r="F145" s="140">
        <f t="shared" si="174"/>
        <v>7.6736145022610903E-6</v>
      </c>
      <c r="G145" s="140">
        <f t="shared" si="174"/>
        <v>5.1729592990711882E-6</v>
      </c>
      <c r="H145" s="140">
        <f t="shared" si="174"/>
        <v>1.1695743770557766E-5</v>
      </c>
      <c r="I145" s="140">
        <f t="shared" si="174"/>
        <v>1.6706521077777588E-5</v>
      </c>
      <c r="J145" s="140">
        <f t="shared" si="174"/>
        <v>1.3939865931373484E-5</v>
      </c>
      <c r="K145" s="140">
        <f t="shared" si="174"/>
        <v>1.9679514856532166E-5</v>
      </c>
      <c r="L145" s="140">
        <f t="shared" si="174"/>
        <v>1.5147555032538678E-5</v>
      </c>
      <c r="M145" s="140">
        <f t="shared" si="174"/>
        <v>1.6590411038448621E-5</v>
      </c>
      <c r="N145" s="140">
        <f t="shared" si="174"/>
        <v>4.6929827807163384E-5</v>
      </c>
      <c r="O145" s="140">
        <f t="shared" si="174"/>
        <v>5.2761002568960288E-5</v>
      </c>
      <c r="P145" s="140">
        <f t="shared" si="174"/>
        <v>4.850465055114981E-5</v>
      </c>
      <c r="Q145" s="140">
        <f t="shared" si="174"/>
        <v>2.5920398026392044E-5</v>
      </c>
      <c r="R145" s="140">
        <f t="shared" si="174"/>
        <v>1.463419264889876E-5</v>
      </c>
      <c r="S145" s="140">
        <f t="shared" si="174"/>
        <v>4.256216345748027E-6</v>
      </c>
      <c r="T145" s="140">
        <f t="shared" si="174"/>
        <v>5.1482656886342282E-6</v>
      </c>
      <c r="U145" s="140">
        <f t="shared" si="174"/>
        <v>6.5269565237935889E-6</v>
      </c>
      <c r="V145" s="140">
        <f t="shared" si="174"/>
        <v>2.2485660358239289E-6</v>
      </c>
      <c r="W145" s="140">
        <f t="shared" si="174"/>
        <v>3.3808183592512737E-6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5.3731992646465995E-4</v>
      </c>
      <c r="C146" s="140">
        <f t="shared" ref="C146:W146" si="175">IF(C54=0,0,C54/C$47)</f>
        <v>3.9288025225697336E-4</v>
      </c>
      <c r="D146" s="140">
        <f t="shared" si="175"/>
        <v>4.787299079986582E-4</v>
      </c>
      <c r="E146" s="140">
        <f t="shared" si="175"/>
        <v>4.0243973933596743E-4</v>
      </c>
      <c r="F146" s="140">
        <f t="shared" si="175"/>
        <v>2.59885931004178E-4</v>
      </c>
      <c r="G146" s="140">
        <f t="shared" si="175"/>
        <v>3.1723087759914326E-4</v>
      </c>
      <c r="H146" s="140">
        <f t="shared" si="175"/>
        <v>3.6673388756477949E-4</v>
      </c>
      <c r="I146" s="140">
        <f t="shared" si="175"/>
        <v>3.4827262054275217E-4</v>
      </c>
      <c r="J146" s="140">
        <f t="shared" si="175"/>
        <v>3.7403618710345708E-4</v>
      </c>
      <c r="K146" s="140">
        <f t="shared" si="175"/>
        <v>4.2514894935249823E-4</v>
      </c>
      <c r="L146" s="140">
        <f t="shared" si="175"/>
        <v>3.8865828045561631E-4</v>
      </c>
      <c r="M146" s="140">
        <f t="shared" si="175"/>
        <v>3.7757776643466235E-4</v>
      </c>
      <c r="N146" s="140">
        <f t="shared" si="175"/>
        <v>4.7337625520946463E-4</v>
      </c>
      <c r="O146" s="140">
        <f t="shared" si="175"/>
        <v>4.9033474213824705E-4</v>
      </c>
      <c r="P146" s="140">
        <f t="shared" si="175"/>
        <v>5.3371060287877789E-4</v>
      </c>
      <c r="Q146" s="140">
        <f t="shared" si="175"/>
        <v>5.6005077615224196E-4</v>
      </c>
      <c r="R146" s="140">
        <f t="shared" si="175"/>
        <v>4.3701431213118142E-4</v>
      </c>
      <c r="S146" s="140">
        <f t="shared" si="175"/>
        <v>4.7948755554732907E-4</v>
      </c>
      <c r="T146" s="140">
        <f t="shared" si="175"/>
        <v>4.8875859987668809E-4</v>
      </c>
      <c r="U146" s="140">
        <f t="shared" si="175"/>
        <v>4.5829433685061152E-4</v>
      </c>
      <c r="V146" s="140">
        <f t="shared" si="175"/>
        <v>6.8758807687577998E-4</v>
      </c>
      <c r="W146" s="140">
        <f t="shared" si="175"/>
        <v>7.6118526142788796E-4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1.3584051643229835E-4</v>
      </c>
      <c r="C147" s="140">
        <f t="shared" ref="C147:W147" si="176">IF(C55=0,0,C55/C$47)</f>
        <v>1.2685038821636074E-4</v>
      </c>
      <c r="D147" s="140">
        <f t="shared" si="176"/>
        <v>1.3834196294215236E-4</v>
      </c>
      <c r="E147" s="140">
        <f t="shared" si="176"/>
        <v>1.2576707027311636E-4</v>
      </c>
      <c r="F147" s="140">
        <f t="shared" si="176"/>
        <v>1.0932982761361551E-4</v>
      </c>
      <c r="G147" s="140">
        <f t="shared" si="176"/>
        <v>9.1861403643202542E-5</v>
      </c>
      <c r="H147" s="140">
        <f t="shared" si="176"/>
        <v>1.3446401229209528E-4</v>
      </c>
      <c r="I147" s="140">
        <f t="shared" si="176"/>
        <v>1.9398043673641278E-4</v>
      </c>
      <c r="J147" s="140">
        <f t="shared" si="176"/>
        <v>3.0842550048841832E-4</v>
      </c>
      <c r="K147" s="140">
        <f t="shared" si="176"/>
        <v>3.2917664748091945E-4</v>
      </c>
      <c r="L147" s="140">
        <f t="shared" si="176"/>
        <v>6.5938026023431358E-4</v>
      </c>
      <c r="M147" s="140">
        <f t="shared" si="176"/>
        <v>5.7308229064098745E-4</v>
      </c>
      <c r="N147" s="140">
        <f t="shared" si="176"/>
        <v>6.0305091581190032E-4</v>
      </c>
      <c r="O147" s="140">
        <f t="shared" si="176"/>
        <v>7.5182296859203262E-4</v>
      </c>
      <c r="P147" s="140">
        <f t="shared" si="176"/>
        <v>8.9120269146505048E-4</v>
      </c>
      <c r="Q147" s="140">
        <f t="shared" si="176"/>
        <v>9.1867435173057421E-4</v>
      </c>
      <c r="R147" s="140">
        <f t="shared" si="176"/>
        <v>1.0777395183766464E-3</v>
      </c>
      <c r="S147" s="140">
        <f t="shared" si="176"/>
        <v>9.4420458206095751E-4</v>
      </c>
      <c r="T147" s="140">
        <f t="shared" si="176"/>
        <v>7.8613591219825246E-4</v>
      </c>
      <c r="U147" s="140">
        <f t="shared" si="176"/>
        <v>1.243518758638227E-3</v>
      </c>
      <c r="V147" s="140">
        <f t="shared" si="176"/>
        <v>1.4773649559868753E-3</v>
      </c>
      <c r="W147" s="140">
        <f t="shared" si="176"/>
        <v>1.4758601462532854E-3</v>
      </c>
      <c r="DA147" s="175"/>
    </row>
    <row r="148" spans="1:105" ht="11.45" customHeight="1" x14ac:dyDescent="0.25">
      <c r="A148" s="109" t="s">
        <v>142</v>
      </c>
      <c r="B148" s="124">
        <f t="shared" si="167"/>
        <v>2.1065964196099276E-3</v>
      </c>
      <c r="C148" s="124">
        <f t="shared" ref="C148:W148" si="177">IF(C56=0,0,C56/C$47)</f>
        <v>2.0377479879642858E-3</v>
      </c>
      <c r="D148" s="124">
        <f t="shared" si="177"/>
        <v>1.8157425315657608E-3</v>
      </c>
      <c r="E148" s="124">
        <f t="shared" si="177"/>
        <v>2.13111601814036E-3</v>
      </c>
      <c r="F148" s="124">
        <f t="shared" si="177"/>
        <v>1.5775148179983972E-3</v>
      </c>
      <c r="G148" s="124">
        <f t="shared" si="177"/>
        <v>1.1034536174584996E-3</v>
      </c>
      <c r="H148" s="124">
        <f t="shared" si="177"/>
        <v>1.1893760480736675E-3</v>
      </c>
      <c r="I148" s="124">
        <f t="shared" si="177"/>
        <v>8.8575404362052905E-4</v>
      </c>
      <c r="J148" s="124">
        <f t="shared" si="177"/>
        <v>8.2722963406794622E-4</v>
      </c>
      <c r="K148" s="124">
        <f t="shared" si="177"/>
        <v>4.988393099427924E-4</v>
      </c>
      <c r="L148" s="124">
        <f t="shared" si="177"/>
        <v>4.5512599431713147E-4</v>
      </c>
      <c r="M148" s="124">
        <f t="shared" si="177"/>
        <v>4.4754204034366834E-4</v>
      </c>
      <c r="N148" s="124">
        <f t="shared" si="177"/>
        <v>4.9700021924215247E-4</v>
      </c>
      <c r="O148" s="124">
        <f t="shared" si="177"/>
        <v>5.4833434524151554E-4</v>
      </c>
      <c r="P148" s="124">
        <f t="shared" si="177"/>
        <v>5.3947359239942536E-4</v>
      </c>
      <c r="Q148" s="124">
        <f t="shared" si="177"/>
        <v>3.4603027570055488E-4</v>
      </c>
      <c r="R148" s="124">
        <f t="shared" si="177"/>
        <v>2.8774195234890519E-4</v>
      </c>
      <c r="S148" s="124">
        <f t="shared" si="177"/>
        <v>5.2828710540173606E-4</v>
      </c>
      <c r="T148" s="124">
        <f t="shared" si="177"/>
        <v>2.2209298573138138E-4</v>
      </c>
      <c r="U148" s="124">
        <f t="shared" si="177"/>
        <v>2.0395240001575755E-4</v>
      </c>
      <c r="V148" s="124">
        <f t="shared" si="177"/>
        <v>1.1786082441973968E-4</v>
      </c>
      <c r="W148" s="124">
        <f t="shared" si="177"/>
        <v>1.0589822387791577E-4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8.3402810110525495E-5</v>
      </c>
      <c r="C149" s="140">
        <f t="shared" ref="C149:W149" si="178">IF(C57=0,0,C57/C$47)</f>
        <v>8.0155606239122238E-5</v>
      </c>
      <c r="D149" s="140">
        <f t="shared" si="178"/>
        <v>9.1405037484037694E-5</v>
      </c>
      <c r="E149" s="140">
        <f t="shared" si="178"/>
        <v>8.4220490109599786E-5</v>
      </c>
      <c r="F149" s="140">
        <f t="shared" si="178"/>
        <v>8.3460456749937179E-5</v>
      </c>
      <c r="G149" s="140">
        <f t="shared" si="178"/>
        <v>2.1971771711676015E-4</v>
      </c>
      <c r="H149" s="140">
        <f t="shared" si="178"/>
        <v>2.1643578815227563E-4</v>
      </c>
      <c r="I149" s="140">
        <f t="shared" si="178"/>
        <v>1.3796741983447566E-4</v>
      </c>
      <c r="J149" s="140">
        <f t="shared" si="178"/>
        <v>1.5245314906173259E-4</v>
      </c>
      <c r="K149" s="140">
        <f t="shared" si="178"/>
        <v>1.1296553953298399E-4</v>
      </c>
      <c r="L149" s="140">
        <f t="shared" si="178"/>
        <v>1.2338516433641424E-4</v>
      </c>
      <c r="M149" s="140">
        <f t="shared" si="178"/>
        <v>1.5853231021310934E-4</v>
      </c>
      <c r="N149" s="140">
        <f t="shared" si="178"/>
        <v>1.6607486315998684E-4</v>
      </c>
      <c r="O149" s="140">
        <f t="shared" si="178"/>
        <v>1.8406066494199301E-4</v>
      </c>
      <c r="P149" s="140">
        <f t="shared" si="178"/>
        <v>1.2372124291584052E-4</v>
      </c>
      <c r="Q149" s="140">
        <f t="shared" si="178"/>
        <v>1.3147800924693905E-4</v>
      </c>
      <c r="R149" s="140">
        <f t="shared" si="178"/>
        <v>1.4496361697952865E-4</v>
      </c>
      <c r="S149" s="140">
        <f t="shared" si="178"/>
        <v>2.4049784873534982E-4</v>
      </c>
      <c r="T149" s="140">
        <f t="shared" si="178"/>
        <v>9.7522845567404336E-5</v>
      </c>
      <c r="U149" s="140">
        <f t="shared" si="178"/>
        <v>1.152431422956604E-4</v>
      </c>
      <c r="V149" s="140">
        <f t="shared" si="178"/>
        <v>8.0392808195150559E-5</v>
      </c>
      <c r="W149" s="140">
        <f t="shared" si="178"/>
        <v>8.5109394045157196E-5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2.0231936094994019E-3</v>
      </c>
      <c r="C150" s="127">
        <f t="shared" ref="C150:W150" si="179">IF(C58=0,0,C58/C$47)</f>
        <v>1.9575923817251634E-3</v>
      </c>
      <c r="D150" s="127">
        <f t="shared" si="179"/>
        <v>1.7243374940817231E-3</v>
      </c>
      <c r="E150" s="127">
        <f t="shared" si="179"/>
        <v>2.0468955280307601E-3</v>
      </c>
      <c r="F150" s="127">
        <f t="shared" si="179"/>
        <v>1.4940543612484603E-3</v>
      </c>
      <c r="G150" s="127">
        <f t="shared" si="179"/>
        <v>8.837359003417395E-4</v>
      </c>
      <c r="H150" s="127">
        <f t="shared" si="179"/>
        <v>9.7294025992139186E-4</v>
      </c>
      <c r="I150" s="127">
        <f t="shared" si="179"/>
        <v>7.4778662378605337E-4</v>
      </c>
      <c r="J150" s="127">
        <f t="shared" si="179"/>
        <v>6.7477648500621366E-4</v>
      </c>
      <c r="K150" s="127">
        <f t="shared" si="179"/>
        <v>3.8587377040980839E-4</v>
      </c>
      <c r="L150" s="127">
        <f t="shared" si="179"/>
        <v>3.317408299807172E-4</v>
      </c>
      <c r="M150" s="127">
        <f t="shared" si="179"/>
        <v>2.89009730130559E-4</v>
      </c>
      <c r="N150" s="127">
        <f t="shared" si="179"/>
        <v>3.3092535608216563E-4</v>
      </c>
      <c r="O150" s="127">
        <f t="shared" si="179"/>
        <v>3.6427368029952253E-4</v>
      </c>
      <c r="P150" s="127">
        <f t="shared" si="179"/>
        <v>4.1575234948358484E-4</v>
      </c>
      <c r="Q150" s="127">
        <f t="shared" si="179"/>
        <v>2.1455226645361578E-4</v>
      </c>
      <c r="R150" s="127">
        <f t="shared" si="179"/>
        <v>1.4277833536937651E-4</v>
      </c>
      <c r="S150" s="127">
        <f t="shared" si="179"/>
        <v>2.8778925666638616E-4</v>
      </c>
      <c r="T150" s="127">
        <f t="shared" si="179"/>
        <v>1.2457014016397703E-4</v>
      </c>
      <c r="U150" s="127">
        <f t="shared" si="179"/>
        <v>8.8709257720097156E-5</v>
      </c>
      <c r="V150" s="127">
        <f t="shared" si="179"/>
        <v>3.7468016224589137E-5</v>
      </c>
      <c r="W150" s="127">
        <f t="shared" si="179"/>
        <v>2.0788829832758571E-5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0.43261057049219692</v>
      </c>
      <c r="C152" s="140">
        <f t="shared" ref="C152:W152" si="181">IF(C60=0,0,C60/C$59)</f>
        <v>0.43084894993671441</v>
      </c>
      <c r="D152" s="140">
        <f t="shared" si="181"/>
        <v>0.42980095251200107</v>
      </c>
      <c r="E152" s="140">
        <f t="shared" si="181"/>
        <v>0.42993613786009272</v>
      </c>
      <c r="F152" s="140">
        <f t="shared" si="181"/>
        <v>0.43014166050342717</v>
      </c>
      <c r="G152" s="140">
        <f t="shared" si="181"/>
        <v>0.40375488649925739</v>
      </c>
      <c r="H152" s="140">
        <f t="shared" si="181"/>
        <v>0.36403617008565886</v>
      </c>
      <c r="I152" s="140">
        <f t="shared" si="181"/>
        <v>0.42271212937174446</v>
      </c>
      <c r="J152" s="140">
        <f t="shared" si="181"/>
        <v>0.39556319102323723</v>
      </c>
      <c r="K152" s="140">
        <f t="shared" si="181"/>
        <v>0.41046136155473872</v>
      </c>
      <c r="L152" s="140">
        <f t="shared" si="181"/>
        <v>0.41986634315509685</v>
      </c>
      <c r="M152" s="140">
        <f t="shared" si="181"/>
        <v>0.41112724498795861</v>
      </c>
      <c r="N152" s="140">
        <f t="shared" si="181"/>
        <v>0.35337435863042954</v>
      </c>
      <c r="O152" s="140">
        <f t="shared" si="181"/>
        <v>0.34874713081900788</v>
      </c>
      <c r="P152" s="140">
        <f t="shared" si="181"/>
        <v>0.32389739075414464</v>
      </c>
      <c r="Q152" s="140">
        <f t="shared" si="181"/>
        <v>0.34215490295252887</v>
      </c>
      <c r="R152" s="140">
        <f t="shared" si="181"/>
        <v>0.30690074316157245</v>
      </c>
      <c r="S152" s="140">
        <f t="shared" si="181"/>
        <v>0.25895252259272244</v>
      </c>
      <c r="T152" s="140">
        <f t="shared" si="181"/>
        <v>0.25491345963626527</v>
      </c>
      <c r="U152" s="140">
        <f t="shared" si="181"/>
        <v>0.24905445342464297</v>
      </c>
      <c r="V152" s="140">
        <f t="shared" si="181"/>
        <v>0.23572536107037342</v>
      </c>
      <c r="W152" s="140">
        <f t="shared" si="181"/>
        <v>0.23505924772018069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0.56738942950780313</v>
      </c>
      <c r="C153" s="127">
        <f t="shared" ref="C153:W153" si="182">IF(C61=0,0,C61/C$59)</f>
        <v>0.56915105006328559</v>
      </c>
      <c r="D153" s="127">
        <f t="shared" si="182"/>
        <v>0.57019904748799899</v>
      </c>
      <c r="E153" s="127">
        <f t="shared" si="182"/>
        <v>0.57006386213990734</v>
      </c>
      <c r="F153" s="127">
        <f t="shared" si="182"/>
        <v>0.56985833949657283</v>
      </c>
      <c r="G153" s="127">
        <f t="shared" si="182"/>
        <v>0.59624511350074261</v>
      </c>
      <c r="H153" s="127">
        <f t="shared" si="182"/>
        <v>0.63596382991434108</v>
      </c>
      <c r="I153" s="127">
        <f t="shared" si="182"/>
        <v>0.57728787062825559</v>
      </c>
      <c r="J153" s="127">
        <f t="shared" si="182"/>
        <v>0.60443680897676277</v>
      </c>
      <c r="K153" s="127">
        <f t="shared" si="182"/>
        <v>0.58953863844526122</v>
      </c>
      <c r="L153" s="127">
        <f t="shared" si="182"/>
        <v>0.58013365684490315</v>
      </c>
      <c r="M153" s="127">
        <f t="shared" si="182"/>
        <v>0.58887275501204139</v>
      </c>
      <c r="N153" s="127">
        <f t="shared" si="182"/>
        <v>0.64662564136957046</v>
      </c>
      <c r="O153" s="127">
        <f t="shared" si="182"/>
        <v>0.65125286918099212</v>
      </c>
      <c r="P153" s="127">
        <f t="shared" si="182"/>
        <v>0.6761026092458553</v>
      </c>
      <c r="Q153" s="127">
        <f t="shared" si="182"/>
        <v>0.65784509704747118</v>
      </c>
      <c r="R153" s="127">
        <f t="shared" si="182"/>
        <v>0.69309925683842755</v>
      </c>
      <c r="S153" s="127">
        <f t="shared" si="182"/>
        <v>0.74104747740727761</v>
      </c>
      <c r="T153" s="127">
        <f t="shared" si="182"/>
        <v>0.74508654036373478</v>
      </c>
      <c r="U153" s="127">
        <f t="shared" si="182"/>
        <v>0.75094554657535706</v>
      </c>
      <c r="V153" s="127">
        <f t="shared" si="182"/>
        <v>0.76427463892962655</v>
      </c>
      <c r="W153" s="127">
        <f t="shared" si="182"/>
        <v>0.76494075227981928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0.94003929703783073</v>
      </c>
      <c r="C157" s="139">
        <f t="shared" ref="C157:W157" si="185">IF(C65=0,0,C65/C$64)</f>
        <v>0.93864131564195796</v>
      </c>
      <c r="D157" s="139">
        <f t="shared" si="185"/>
        <v>0.93927693377275201</v>
      </c>
      <c r="E157" s="139">
        <f t="shared" si="185"/>
        <v>0.93735387134618842</v>
      </c>
      <c r="F157" s="139">
        <f t="shared" si="185"/>
        <v>0.94681888729662311</v>
      </c>
      <c r="G157" s="139">
        <f t="shared" si="185"/>
        <v>0.94076540712431511</v>
      </c>
      <c r="H157" s="139">
        <f t="shared" si="185"/>
        <v>0.93730888660173539</v>
      </c>
      <c r="I157" s="139">
        <f t="shared" si="185"/>
        <v>0.93870763167447235</v>
      </c>
      <c r="J157" s="139">
        <f t="shared" si="185"/>
        <v>0.93387334960695889</v>
      </c>
      <c r="K157" s="139">
        <f t="shared" si="185"/>
        <v>0.94195176054748608</v>
      </c>
      <c r="L157" s="139">
        <f t="shared" si="185"/>
        <v>0.94458091994421178</v>
      </c>
      <c r="M157" s="139">
        <f t="shared" si="185"/>
        <v>0.94603073313024277</v>
      </c>
      <c r="N157" s="139">
        <f t="shared" si="185"/>
        <v>0.94048297041867934</v>
      </c>
      <c r="O157" s="139">
        <f t="shared" si="185"/>
        <v>0.93953005422949309</v>
      </c>
      <c r="P157" s="139">
        <f t="shared" si="185"/>
        <v>0.93325614061201545</v>
      </c>
      <c r="Q157" s="139">
        <f t="shared" si="185"/>
        <v>0.93243559732639536</v>
      </c>
      <c r="R157" s="139">
        <f t="shared" si="185"/>
        <v>0.93370250804347887</v>
      </c>
      <c r="S157" s="139">
        <f t="shared" si="185"/>
        <v>0.9271177911187406</v>
      </c>
      <c r="T157" s="139">
        <f t="shared" si="185"/>
        <v>0.91727583311764604</v>
      </c>
      <c r="U157" s="139">
        <f t="shared" si="185"/>
        <v>0.91530355892109982</v>
      </c>
      <c r="V157" s="139">
        <f t="shared" si="185"/>
        <v>0.9599131783386744</v>
      </c>
      <c r="W157" s="139">
        <f t="shared" si="185"/>
        <v>0.9507851282041706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1.5354604437623171E-2</v>
      </c>
      <c r="C158" s="140">
        <f t="shared" ref="C158:W158" si="186">IF(C66=0,0,C66/C$64)</f>
        <v>1.4100477822447574E-2</v>
      </c>
      <c r="D158" s="140">
        <f t="shared" si="186"/>
        <v>1.3511747191836917E-2</v>
      </c>
      <c r="E158" s="140">
        <f t="shared" si="186"/>
        <v>1.1873645028274591E-2</v>
      </c>
      <c r="F158" s="140">
        <f t="shared" si="186"/>
        <v>1.0280386578658922E-2</v>
      </c>
      <c r="G158" s="140">
        <f t="shared" si="186"/>
        <v>1.0414743107278352E-2</v>
      </c>
      <c r="H158" s="140">
        <f t="shared" si="186"/>
        <v>9.8110675171949723E-3</v>
      </c>
      <c r="I158" s="140">
        <f t="shared" si="186"/>
        <v>9.5186094641793329E-3</v>
      </c>
      <c r="J158" s="140">
        <f t="shared" si="186"/>
        <v>9.2395991197628969E-3</v>
      </c>
      <c r="K158" s="140">
        <f t="shared" si="186"/>
        <v>9.1446767680559409E-3</v>
      </c>
      <c r="L158" s="140">
        <f t="shared" si="186"/>
        <v>9.3073867141428446E-3</v>
      </c>
      <c r="M158" s="140">
        <f t="shared" si="186"/>
        <v>9.0528461865964725E-3</v>
      </c>
      <c r="N158" s="140">
        <f t="shared" si="186"/>
        <v>9.046699306950224E-3</v>
      </c>
      <c r="O158" s="140">
        <f t="shared" si="186"/>
        <v>9.1188024483247546E-3</v>
      </c>
      <c r="P158" s="140">
        <f t="shared" si="186"/>
        <v>9.0759259044445578E-3</v>
      </c>
      <c r="Q158" s="140">
        <f t="shared" si="186"/>
        <v>8.7223119043520515E-3</v>
      </c>
      <c r="R158" s="140">
        <f t="shared" si="186"/>
        <v>8.4732126221900052E-3</v>
      </c>
      <c r="S158" s="140">
        <f t="shared" si="186"/>
        <v>7.1809701596606624E-3</v>
      </c>
      <c r="T158" s="140">
        <f t="shared" si="186"/>
        <v>6.5218083841854591E-3</v>
      </c>
      <c r="U158" s="140">
        <f t="shared" si="186"/>
        <v>6.7246250785877332E-3</v>
      </c>
      <c r="V158" s="140">
        <f t="shared" si="186"/>
        <v>6.5613655123929601E-3</v>
      </c>
      <c r="W158" s="140">
        <f t="shared" si="186"/>
        <v>6.4796180530529148E-3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0.76867881351557421</v>
      </c>
      <c r="C159" s="140">
        <f t="shared" ref="C159:W159" si="187">IF(C67=0,0,C67/C$64)</f>
        <v>0.77525947092224734</v>
      </c>
      <c r="D159" s="140">
        <f t="shared" si="187"/>
        <v>0.77752234896725769</v>
      </c>
      <c r="E159" s="140">
        <f t="shared" si="187"/>
        <v>0.78867953186593776</v>
      </c>
      <c r="F159" s="140">
        <f t="shared" si="187"/>
        <v>0.80580752455875104</v>
      </c>
      <c r="G159" s="140">
        <f t="shared" si="187"/>
        <v>0.80418519174360725</v>
      </c>
      <c r="H159" s="140">
        <f t="shared" si="187"/>
        <v>0.8192965297950846</v>
      </c>
      <c r="I159" s="140">
        <f t="shared" si="187"/>
        <v>0.82915817326969921</v>
      </c>
      <c r="J159" s="140">
        <f t="shared" si="187"/>
        <v>0.83489265155353953</v>
      </c>
      <c r="K159" s="140">
        <f t="shared" si="187"/>
        <v>0.84612359831628237</v>
      </c>
      <c r="L159" s="140">
        <f t="shared" si="187"/>
        <v>0.85401061497803588</v>
      </c>
      <c r="M159" s="140">
        <f t="shared" si="187"/>
        <v>0.85560039174498104</v>
      </c>
      <c r="N159" s="140">
        <f t="shared" si="187"/>
        <v>0.85128702198003503</v>
      </c>
      <c r="O159" s="140">
        <f t="shared" si="187"/>
        <v>0.84546581671575449</v>
      </c>
      <c r="P159" s="140">
        <f t="shared" si="187"/>
        <v>0.83745012050953771</v>
      </c>
      <c r="Q159" s="140">
        <f t="shared" si="187"/>
        <v>0.82815045817080279</v>
      </c>
      <c r="R159" s="140">
        <f t="shared" si="187"/>
        <v>0.83646080161568914</v>
      </c>
      <c r="S159" s="140">
        <f t="shared" si="187"/>
        <v>0.84172128289461812</v>
      </c>
      <c r="T159" s="140">
        <f t="shared" si="187"/>
        <v>0.84065571675613238</v>
      </c>
      <c r="U159" s="140">
        <f t="shared" si="187"/>
        <v>0.83701837449133021</v>
      </c>
      <c r="V159" s="140">
        <f t="shared" si="187"/>
        <v>0.87637117698919942</v>
      </c>
      <c r="W159" s="140">
        <f t="shared" si="187"/>
        <v>0.86763058671932181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0.15600587908463331</v>
      </c>
      <c r="C160" s="140">
        <f t="shared" ref="C160:W160" si="188">IF(C68=0,0,C68/C$64)</f>
        <v>0.14928136689726298</v>
      </c>
      <c r="D160" s="140">
        <f t="shared" si="188"/>
        <v>0.1482428376136575</v>
      </c>
      <c r="E160" s="140">
        <f t="shared" si="188"/>
        <v>0.13680069445197604</v>
      </c>
      <c r="F160" s="140">
        <f t="shared" si="188"/>
        <v>0.13073097615921314</v>
      </c>
      <c r="G160" s="140">
        <f t="shared" si="188"/>
        <v>0.12616547227342956</v>
      </c>
      <c r="H160" s="140">
        <f t="shared" si="188"/>
        <v>0.10820128928945581</v>
      </c>
      <c r="I160" s="140">
        <f t="shared" si="188"/>
        <v>0.1000308489405939</v>
      </c>
      <c r="J160" s="140">
        <f t="shared" si="188"/>
        <v>8.9741098933656616E-2</v>
      </c>
      <c r="K160" s="140">
        <f t="shared" si="188"/>
        <v>8.6683485463147802E-2</v>
      </c>
      <c r="L160" s="140">
        <f t="shared" si="188"/>
        <v>8.1262918252033106E-2</v>
      </c>
      <c r="M160" s="140">
        <f t="shared" si="188"/>
        <v>8.1377495198665301E-2</v>
      </c>
      <c r="N160" s="140">
        <f t="shared" si="188"/>
        <v>8.0149249131694092E-2</v>
      </c>
      <c r="O160" s="140">
        <f t="shared" si="188"/>
        <v>8.4945435065413855E-2</v>
      </c>
      <c r="P160" s="140">
        <f t="shared" si="188"/>
        <v>8.6730094198033125E-2</v>
      </c>
      <c r="Q160" s="140">
        <f t="shared" si="188"/>
        <v>9.5562827251240476E-2</v>
      </c>
      <c r="R160" s="140">
        <f t="shared" si="188"/>
        <v>8.8768493805599771E-2</v>
      </c>
      <c r="S160" s="140">
        <f t="shared" si="188"/>
        <v>7.8215538064461784E-2</v>
      </c>
      <c r="T160" s="140">
        <f t="shared" si="188"/>
        <v>7.0098307977328189E-2</v>
      </c>
      <c r="U160" s="140">
        <f t="shared" si="188"/>
        <v>7.1560559351181996E-2</v>
      </c>
      <c r="V160" s="140">
        <f t="shared" si="188"/>
        <v>7.6980635837081882E-2</v>
      </c>
      <c r="W160" s="140">
        <f t="shared" si="188"/>
        <v>7.6674923431795786E-2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1.6652109494286044E-2</v>
      </c>
      <c r="C161" s="124">
        <f t="shared" ref="C161:W161" si="189">IF(C69=0,0,C69/C$64)</f>
        <v>1.7304045814960024E-2</v>
      </c>
      <c r="D161" s="124">
        <f t="shared" si="189"/>
        <v>1.6494926631123331E-2</v>
      </c>
      <c r="E161" s="124">
        <f t="shared" si="189"/>
        <v>1.672528192246258E-2</v>
      </c>
      <c r="F161" s="124">
        <f t="shared" si="189"/>
        <v>1.2336432364478024E-2</v>
      </c>
      <c r="G161" s="124">
        <f t="shared" si="189"/>
        <v>1.3180784741821546E-2</v>
      </c>
      <c r="H161" s="124">
        <f t="shared" si="189"/>
        <v>7.3615908584631047E-3</v>
      </c>
      <c r="I161" s="124">
        <f t="shared" si="189"/>
        <v>8.7234021769656313E-3</v>
      </c>
      <c r="J161" s="124">
        <f t="shared" si="189"/>
        <v>6.455627596757052E-3</v>
      </c>
      <c r="K161" s="124">
        <f t="shared" si="189"/>
        <v>6.7476085091379354E-3</v>
      </c>
      <c r="L161" s="124">
        <f t="shared" si="189"/>
        <v>3.8566329960976952E-3</v>
      </c>
      <c r="M161" s="124">
        <f t="shared" si="189"/>
        <v>3.8083461902096573E-3</v>
      </c>
      <c r="N161" s="124">
        <f t="shared" si="189"/>
        <v>4.0337077516164411E-3</v>
      </c>
      <c r="O161" s="124">
        <f t="shared" si="189"/>
        <v>3.8807288543786941E-3</v>
      </c>
      <c r="P161" s="124">
        <f t="shared" si="189"/>
        <v>3.4737446210509446E-3</v>
      </c>
      <c r="Q161" s="124">
        <f t="shared" si="189"/>
        <v>2.8428071647854181E-3</v>
      </c>
      <c r="R161" s="124">
        <f t="shared" si="189"/>
        <v>3.2819107873275715E-3</v>
      </c>
      <c r="S161" s="124">
        <f t="shared" si="189"/>
        <v>2.4855418661164502E-3</v>
      </c>
      <c r="T161" s="124">
        <f t="shared" si="189"/>
        <v>3.3521333423405498E-3</v>
      </c>
      <c r="U161" s="124">
        <f t="shared" si="189"/>
        <v>2.5708329762678911E-3</v>
      </c>
      <c r="V161" s="124">
        <f t="shared" si="189"/>
        <v>2.7653822969461645E-3</v>
      </c>
      <c r="W161" s="124">
        <f t="shared" si="189"/>
        <v>2.8217082275632044E-3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1.6652109494286044E-2</v>
      </c>
      <c r="C163" s="140">
        <f t="shared" ref="C163:W163" si="191">IF(C71=0,0,C71/C$64)</f>
        <v>1.7304045814960024E-2</v>
      </c>
      <c r="D163" s="140">
        <f t="shared" si="191"/>
        <v>1.6494926631123331E-2</v>
      </c>
      <c r="E163" s="140">
        <f t="shared" si="191"/>
        <v>1.672528192246258E-2</v>
      </c>
      <c r="F163" s="140">
        <f t="shared" si="191"/>
        <v>1.2336432364478024E-2</v>
      </c>
      <c r="G163" s="140">
        <f t="shared" si="191"/>
        <v>1.3180784741821546E-2</v>
      </c>
      <c r="H163" s="140">
        <f t="shared" si="191"/>
        <v>7.3615908584631047E-3</v>
      </c>
      <c r="I163" s="140">
        <f t="shared" si="191"/>
        <v>8.7234021769656313E-3</v>
      </c>
      <c r="J163" s="140">
        <f t="shared" si="191"/>
        <v>6.455627596757052E-3</v>
      </c>
      <c r="K163" s="140">
        <f t="shared" si="191"/>
        <v>6.7476085091379354E-3</v>
      </c>
      <c r="L163" s="140">
        <f t="shared" si="191"/>
        <v>3.8566329960976952E-3</v>
      </c>
      <c r="M163" s="140">
        <f t="shared" si="191"/>
        <v>3.8083461902096573E-3</v>
      </c>
      <c r="N163" s="140">
        <f t="shared" si="191"/>
        <v>4.0337077516164411E-3</v>
      </c>
      <c r="O163" s="140">
        <f t="shared" si="191"/>
        <v>3.8807288543786941E-3</v>
      </c>
      <c r="P163" s="140">
        <f t="shared" si="191"/>
        <v>3.4737446210509446E-3</v>
      </c>
      <c r="Q163" s="140">
        <f t="shared" si="191"/>
        <v>2.8428071647854181E-3</v>
      </c>
      <c r="R163" s="140">
        <f t="shared" si="191"/>
        <v>3.2819107873275715E-3</v>
      </c>
      <c r="S163" s="140">
        <f t="shared" si="191"/>
        <v>2.4855418661164502E-3</v>
      </c>
      <c r="T163" s="140">
        <f t="shared" si="191"/>
        <v>3.3521333423405498E-3</v>
      </c>
      <c r="U163" s="140">
        <f t="shared" si="191"/>
        <v>2.5708329762678911E-3</v>
      </c>
      <c r="V163" s="140">
        <f t="shared" si="191"/>
        <v>2.7653822969461645E-3</v>
      </c>
      <c r="W163" s="140">
        <f t="shared" si="191"/>
        <v>2.8217082275632044E-3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4.3308593467883211E-2</v>
      </c>
      <c r="C165" s="124">
        <f t="shared" ref="C165:W165" si="193">IF(C73=0,0,C73/C$64)</f>
        <v>4.4054638543081996E-2</v>
      </c>
      <c r="D165" s="124">
        <f t="shared" si="193"/>
        <v>4.4228139596124691E-2</v>
      </c>
      <c r="E165" s="124">
        <f t="shared" si="193"/>
        <v>4.5920846731349052E-2</v>
      </c>
      <c r="F165" s="124">
        <f t="shared" si="193"/>
        <v>4.0844680338898896E-2</v>
      </c>
      <c r="G165" s="124">
        <f t="shared" si="193"/>
        <v>4.605380813386338E-2</v>
      </c>
      <c r="H165" s="124">
        <f t="shared" si="193"/>
        <v>5.5329522539801571E-2</v>
      </c>
      <c r="I165" s="124">
        <f t="shared" si="193"/>
        <v>5.2568966148561935E-2</v>
      </c>
      <c r="J165" s="124">
        <f t="shared" si="193"/>
        <v>5.9671022796284112E-2</v>
      </c>
      <c r="K165" s="124">
        <f t="shared" si="193"/>
        <v>5.1300630943375933E-2</v>
      </c>
      <c r="L165" s="124">
        <f t="shared" si="193"/>
        <v>5.1562447059690542E-2</v>
      </c>
      <c r="M165" s="124">
        <f t="shared" si="193"/>
        <v>5.016092067954752E-2</v>
      </c>
      <c r="N165" s="124">
        <f t="shared" si="193"/>
        <v>5.5483321829704189E-2</v>
      </c>
      <c r="O165" s="124">
        <f t="shared" si="193"/>
        <v>5.6589216916128185E-2</v>
      </c>
      <c r="P165" s="124">
        <f t="shared" si="193"/>
        <v>6.3270114766933491E-2</v>
      </c>
      <c r="Q165" s="124">
        <f t="shared" si="193"/>
        <v>6.4721595508819271E-2</v>
      </c>
      <c r="R165" s="124">
        <f t="shared" si="193"/>
        <v>6.3015581169193632E-2</v>
      </c>
      <c r="S165" s="124">
        <f t="shared" si="193"/>
        <v>7.0396667015143036E-2</v>
      </c>
      <c r="T165" s="124">
        <f t="shared" si="193"/>
        <v>7.9372033540013431E-2</v>
      </c>
      <c r="U165" s="124">
        <f t="shared" si="193"/>
        <v>8.2125608102632239E-2</v>
      </c>
      <c r="V165" s="124">
        <f t="shared" si="193"/>
        <v>3.7321439364379427E-2</v>
      </c>
      <c r="W165" s="124">
        <f t="shared" si="193"/>
        <v>4.6393163568266199E-2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4.6704650447305191E-4</v>
      </c>
      <c r="C166" s="140">
        <f t="shared" ref="C166:W166" si="194">IF(C74=0,0,C74/C$64)</f>
        <v>4.8322413507261225E-4</v>
      </c>
      <c r="D166" s="140">
        <f t="shared" si="194"/>
        <v>6.585238500770792E-4</v>
      </c>
      <c r="E166" s="140">
        <f t="shared" si="194"/>
        <v>6.3277182271709558E-4</v>
      </c>
      <c r="F166" s="140">
        <f t="shared" si="194"/>
        <v>4.3081854948670659E-4</v>
      </c>
      <c r="G166" s="140">
        <f t="shared" si="194"/>
        <v>4.2965419773651381E-4</v>
      </c>
      <c r="H166" s="140">
        <f t="shared" si="194"/>
        <v>3.8332390046653053E-4</v>
      </c>
      <c r="I166" s="140">
        <f t="shared" si="194"/>
        <v>4.6423973666304027E-4</v>
      </c>
      <c r="J166" s="140">
        <f t="shared" si="194"/>
        <v>3.2887471161082479E-4</v>
      </c>
      <c r="K166" s="140">
        <f t="shared" si="194"/>
        <v>4.2291465593165115E-4</v>
      </c>
      <c r="L166" s="140">
        <f t="shared" si="194"/>
        <v>4.0742034069244856E-4</v>
      </c>
      <c r="M166" s="140">
        <f t="shared" si="194"/>
        <v>5.0549920830771154E-4</v>
      </c>
      <c r="N166" s="140">
        <f t="shared" si="194"/>
        <v>1.8348732078586909E-3</v>
      </c>
      <c r="O166" s="140">
        <f t="shared" si="194"/>
        <v>1.7053404838919728E-3</v>
      </c>
      <c r="P166" s="140">
        <f t="shared" si="194"/>
        <v>2.7725234662499998E-3</v>
      </c>
      <c r="Q166" s="140">
        <f t="shared" si="194"/>
        <v>1.8000773511850133E-3</v>
      </c>
      <c r="R166" s="140">
        <f t="shared" si="194"/>
        <v>2.2186614185894294E-3</v>
      </c>
      <c r="S166" s="140">
        <f t="shared" si="194"/>
        <v>2.2288821055307011E-3</v>
      </c>
      <c r="T166" s="140">
        <f t="shared" si="194"/>
        <v>2.5250435244270992E-3</v>
      </c>
      <c r="U166" s="140">
        <f t="shared" si="194"/>
        <v>2.5262195142815064E-3</v>
      </c>
      <c r="V166" s="140">
        <f t="shared" si="194"/>
        <v>1.4818233867904117E-3</v>
      </c>
      <c r="W166" s="140">
        <f t="shared" si="194"/>
        <v>2.4331921249811542E-3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2.7460241920961654E-2</v>
      </c>
      <c r="C167" s="140">
        <f t="shared" ref="C167:W167" si="195">IF(C75=0,0,C75/C$64)</f>
        <v>2.7927894949980901E-2</v>
      </c>
      <c r="D167" s="140">
        <f t="shared" si="195"/>
        <v>2.7926368020958606E-2</v>
      </c>
      <c r="E167" s="140">
        <f t="shared" si="195"/>
        <v>2.902766593281212E-2</v>
      </c>
      <c r="F167" s="140">
        <f t="shared" si="195"/>
        <v>2.5903327537185286E-2</v>
      </c>
      <c r="G167" s="140">
        <f t="shared" si="195"/>
        <v>3.0344493874050655E-2</v>
      </c>
      <c r="H167" s="140">
        <f t="shared" si="195"/>
        <v>3.8683428733773381E-2</v>
      </c>
      <c r="I167" s="140">
        <f t="shared" si="195"/>
        <v>3.795701566571482E-2</v>
      </c>
      <c r="J167" s="140">
        <f t="shared" si="195"/>
        <v>4.3980528696727132E-2</v>
      </c>
      <c r="K167" s="140">
        <f t="shared" si="195"/>
        <v>3.644943023674449E-2</v>
      </c>
      <c r="L167" s="140">
        <f t="shared" si="195"/>
        <v>3.6618302197066972E-2</v>
      </c>
      <c r="M167" s="140">
        <f t="shared" si="195"/>
        <v>3.5450396774948698E-2</v>
      </c>
      <c r="N167" s="140">
        <f t="shared" si="195"/>
        <v>3.860091916815192E-2</v>
      </c>
      <c r="O167" s="140">
        <f t="shared" si="195"/>
        <v>4.0346150864500802E-2</v>
      </c>
      <c r="P167" s="140">
        <f t="shared" si="195"/>
        <v>4.4222480394637671E-2</v>
      </c>
      <c r="Q167" s="140">
        <f t="shared" si="195"/>
        <v>4.6941753320195324E-2</v>
      </c>
      <c r="R167" s="140">
        <f t="shared" si="195"/>
        <v>4.6340674977649821E-2</v>
      </c>
      <c r="S167" s="140">
        <f t="shared" si="195"/>
        <v>5.265671977103141E-2</v>
      </c>
      <c r="T167" s="140">
        <f t="shared" si="195"/>
        <v>5.9622058196438975E-2</v>
      </c>
      <c r="U167" s="140">
        <f t="shared" si="195"/>
        <v>6.1889184966630109E-2</v>
      </c>
      <c r="V167" s="140">
        <f t="shared" si="195"/>
        <v>2.4644102262695342E-2</v>
      </c>
      <c r="W167" s="140">
        <f t="shared" si="195"/>
        <v>3.0917289651465514E-2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1.538130504244851E-2</v>
      </c>
      <c r="C168" s="140">
        <f t="shared" ref="C168:W168" si="196">IF(C76=0,0,C76/C$64)</f>
        <v>1.5643519458028481E-2</v>
      </c>
      <c r="D168" s="140">
        <f t="shared" si="196"/>
        <v>1.5643247725089005E-2</v>
      </c>
      <c r="E168" s="140">
        <f t="shared" si="196"/>
        <v>1.6260408975819835E-2</v>
      </c>
      <c r="F168" s="140">
        <f t="shared" si="196"/>
        <v>1.4510534252226906E-2</v>
      </c>
      <c r="G168" s="140">
        <f t="shared" si="196"/>
        <v>1.5279660062076213E-2</v>
      </c>
      <c r="H168" s="140">
        <f t="shared" si="196"/>
        <v>1.6262769905561664E-2</v>
      </c>
      <c r="I168" s="140">
        <f t="shared" si="196"/>
        <v>1.4147710746184077E-2</v>
      </c>
      <c r="J168" s="140">
        <f t="shared" si="196"/>
        <v>1.5361619387946154E-2</v>
      </c>
      <c r="K168" s="140">
        <f t="shared" si="196"/>
        <v>1.4428286050699799E-2</v>
      </c>
      <c r="L168" s="140">
        <f t="shared" si="196"/>
        <v>1.4536724521931122E-2</v>
      </c>
      <c r="M168" s="140">
        <f t="shared" si="196"/>
        <v>1.4205024696291108E-2</v>
      </c>
      <c r="N168" s="140">
        <f t="shared" si="196"/>
        <v>1.504752945369358E-2</v>
      </c>
      <c r="O168" s="140">
        <f t="shared" si="196"/>
        <v>1.453772556773541E-2</v>
      </c>
      <c r="P168" s="140">
        <f t="shared" si="196"/>
        <v>1.6275110906045821E-2</v>
      </c>
      <c r="Q168" s="140">
        <f t="shared" si="196"/>
        <v>1.5979764837438938E-2</v>
      </c>
      <c r="R168" s="140">
        <f t="shared" si="196"/>
        <v>1.4456244772954376E-2</v>
      </c>
      <c r="S168" s="140">
        <f t="shared" si="196"/>
        <v>1.5511065138580927E-2</v>
      </c>
      <c r="T168" s="140">
        <f t="shared" si="196"/>
        <v>1.7224931819147353E-2</v>
      </c>
      <c r="U168" s="140">
        <f t="shared" si="196"/>
        <v>1.771020362172062E-2</v>
      </c>
      <c r="V168" s="140">
        <f t="shared" si="196"/>
        <v>1.1195513714893671E-2</v>
      </c>
      <c r="W168" s="140">
        <f t="shared" si="196"/>
        <v>1.3042681791819534E-2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0.97294331900402664</v>
      </c>
      <c r="C170" s="139">
        <f t="shared" ref="C170:W170" si="199">IF(C78=0,0,C78/C$77)</f>
        <v>0.97602337095192304</v>
      </c>
      <c r="D170" s="139">
        <f t="shared" si="199"/>
        <v>0.97517783445911022</v>
      </c>
      <c r="E170" s="139">
        <f t="shared" si="199"/>
        <v>0.97785915618903096</v>
      </c>
      <c r="F170" s="139">
        <f t="shared" si="199"/>
        <v>0.97627199779299911</v>
      </c>
      <c r="G170" s="139">
        <f t="shared" si="199"/>
        <v>0.98249843535310555</v>
      </c>
      <c r="H170" s="139">
        <f t="shared" si="199"/>
        <v>0.97969009964611231</v>
      </c>
      <c r="I170" s="139">
        <f t="shared" si="199"/>
        <v>0.98540556673277313</v>
      </c>
      <c r="J170" s="139">
        <f t="shared" si="199"/>
        <v>0.98622619550130686</v>
      </c>
      <c r="K170" s="139">
        <f t="shared" si="199"/>
        <v>0.98784041787281607</v>
      </c>
      <c r="L170" s="139">
        <f t="shared" si="199"/>
        <v>0.98587894228170514</v>
      </c>
      <c r="M170" s="139">
        <f t="shared" si="199"/>
        <v>0.9854964920307594</v>
      </c>
      <c r="N170" s="139">
        <f t="shared" si="199"/>
        <v>0.9857440964471722</v>
      </c>
      <c r="O170" s="139">
        <f t="shared" si="199"/>
        <v>0.98518135809794183</v>
      </c>
      <c r="P170" s="139">
        <f t="shared" si="199"/>
        <v>0.98658468397995081</v>
      </c>
      <c r="Q170" s="139">
        <f t="shared" si="199"/>
        <v>0.9879401960364107</v>
      </c>
      <c r="R170" s="139">
        <f t="shared" si="199"/>
        <v>0.99099525174006953</v>
      </c>
      <c r="S170" s="139">
        <f t="shared" si="199"/>
        <v>0.99132209457393705</v>
      </c>
      <c r="T170" s="139">
        <f t="shared" si="199"/>
        <v>0.9912146335780585</v>
      </c>
      <c r="U170" s="139">
        <f t="shared" si="199"/>
        <v>0.99182306100427797</v>
      </c>
      <c r="V170" s="139">
        <f t="shared" si="199"/>
        <v>0.99142316284837106</v>
      </c>
      <c r="W170" s="139">
        <f t="shared" si="199"/>
        <v>0.99181636102466531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0.69620271970898606</v>
      </c>
      <c r="C171" s="140">
        <f t="shared" ref="C171:W171" si="200">IF(C79=0,0,C79/C$77)</f>
        <v>0.63265761408992272</v>
      </c>
      <c r="D171" s="140">
        <f t="shared" si="200"/>
        <v>0.69750023504200032</v>
      </c>
      <c r="E171" s="140">
        <f t="shared" si="200"/>
        <v>0.59054842312727573</v>
      </c>
      <c r="F171" s="140">
        <f t="shared" si="200"/>
        <v>0.48535675231187009</v>
      </c>
      <c r="G171" s="140">
        <f t="shared" si="200"/>
        <v>0.40906843689903288</v>
      </c>
      <c r="H171" s="140">
        <f t="shared" si="200"/>
        <v>0.3820540640618682</v>
      </c>
      <c r="I171" s="140">
        <f t="shared" si="200"/>
        <v>0.350996534215399</v>
      </c>
      <c r="J171" s="140">
        <f t="shared" si="200"/>
        <v>0.34610298837314485</v>
      </c>
      <c r="K171" s="140">
        <f t="shared" si="200"/>
        <v>0.36229043020865709</v>
      </c>
      <c r="L171" s="140">
        <f t="shared" si="200"/>
        <v>0.35027381885319198</v>
      </c>
      <c r="M171" s="140">
        <f t="shared" si="200"/>
        <v>0.36091826353599421</v>
      </c>
      <c r="N171" s="140">
        <f t="shared" si="200"/>
        <v>0.39855255109844712</v>
      </c>
      <c r="O171" s="140">
        <f t="shared" si="200"/>
        <v>0.44955195422793193</v>
      </c>
      <c r="P171" s="140">
        <f t="shared" si="200"/>
        <v>0.43910127273357807</v>
      </c>
      <c r="Q171" s="140">
        <f t="shared" si="200"/>
        <v>0.42608460294320377</v>
      </c>
      <c r="R171" s="140">
        <f t="shared" si="200"/>
        <v>0.36969822628260662</v>
      </c>
      <c r="S171" s="140">
        <f t="shared" si="200"/>
        <v>0.30762696077299512</v>
      </c>
      <c r="T171" s="140">
        <f t="shared" si="200"/>
        <v>0.31572648432124373</v>
      </c>
      <c r="U171" s="140">
        <f t="shared" si="200"/>
        <v>0.32506136104760514</v>
      </c>
      <c r="V171" s="140">
        <f t="shared" si="200"/>
        <v>0.34486250603781948</v>
      </c>
      <c r="W171" s="140">
        <f t="shared" si="200"/>
        <v>0.29456913159126297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0.27674059929504058</v>
      </c>
      <c r="C172" s="140">
        <f t="shared" ref="C172:W172" si="201">IF(C80=0,0,C80/C$77)</f>
        <v>0.34336575686200044</v>
      </c>
      <c r="D172" s="140">
        <f t="shared" si="201"/>
        <v>0.27767759941710995</v>
      </c>
      <c r="E172" s="140">
        <f t="shared" si="201"/>
        <v>0.38731073306175529</v>
      </c>
      <c r="F172" s="140">
        <f t="shared" si="201"/>
        <v>0.49091524548112897</v>
      </c>
      <c r="G172" s="140">
        <f t="shared" si="201"/>
        <v>0.57342999845407272</v>
      </c>
      <c r="H172" s="140">
        <f t="shared" si="201"/>
        <v>0.59763603558424416</v>
      </c>
      <c r="I172" s="140">
        <f t="shared" si="201"/>
        <v>0.63440903251737413</v>
      </c>
      <c r="J172" s="140">
        <f t="shared" si="201"/>
        <v>0.64012320712816195</v>
      </c>
      <c r="K172" s="140">
        <f t="shared" si="201"/>
        <v>0.62554998766415892</v>
      </c>
      <c r="L172" s="140">
        <f t="shared" si="201"/>
        <v>0.63560512342851327</v>
      </c>
      <c r="M172" s="140">
        <f t="shared" si="201"/>
        <v>0.62457822849476508</v>
      </c>
      <c r="N172" s="140">
        <f t="shared" si="201"/>
        <v>0.58719154534872497</v>
      </c>
      <c r="O172" s="140">
        <f t="shared" si="201"/>
        <v>0.5356294038700099</v>
      </c>
      <c r="P172" s="140">
        <f t="shared" si="201"/>
        <v>0.54748341124637279</v>
      </c>
      <c r="Q172" s="140">
        <f t="shared" si="201"/>
        <v>0.56185559309320698</v>
      </c>
      <c r="R172" s="140">
        <f t="shared" si="201"/>
        <v>0.62129702545746279</v>
      </c>
      <c r="S172" s="140">
        <f t="shared" si="201"/>
        <v>0.68369513380094193</v>
      </c>
      <c r="T172" s="140">
        <f t="shared" si="201"/>
        <v>0.67548814925681488</v>
      </c>
      <c r="U172" s="140">
        <f t="shared" si="201"/>
        <v>0.66676169995667278</v>
      </c>
      <c r="V172" s="140">
        <f t="shared" si="201"/>
        <v>0.64656065681055153</v>
      </c>
      <c r="W172" s="140">
        <f t="shared" si="201"/>
        <v>0.69724722943340234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2.40169390969674E-2</v>
      </c>
      <c r="C173" s="124">
        <f t="shared" ref="C173:W173" si="202">IF(C81=0,0,C81/C$77)</f>
        <v>2.1210427282454345E-2</v>
      </c>
      <c r="D173" s="124">
        <f t="shared" si="202"/>
        <v>2.2192432069105487E-2</v>
      </c>
      <c r="E173" s="124">
        <f t="shared" si="202"/>
        <v>1.9293312184045192E-2</v>
      </c>
      <c r="F173" s="124">
        <f t="shared" si="202"/>
        <v>2.1678845037943092E-2</v>
      </c>
      <c r="G173" s="124">
        <f t="shared" si="202"/>
        <v>1.5929404828251278E-2</v>
      </c>
      <c r="H173" s="124">
        <f t="shared" si="202"/>
        <v>1.8555529064310194E-2</v>
      </c>
      <c r="I173" s="124">
        <f t="shared" si="202"/>
        <v>1.3116492374911215E-2</v>
      </c>
      <c r="J173" s="124">
        <f t="shared" si="202"/>
        <v>1.2176826323246013E-2</v>
      </c>
      <c r="K173" s="124">
        <f t="shared" si="202"/>
        <v>1.0816697130364759E-2</v>
      </c>
      <c r="L173" s="124">
        <f t="shared" si="202"/>
        <v>1.2499962125473456E-2</v>
      </c>
      <c r="M173" s="124">
        <f t="shared" si="202"/>
        <v>1.2988509249928634E-2</v>
      </c>
      <c r="N173" s="124">
        <f t="shared" si="202"/>
        <v>1.2529538801651285E-2</v>
      </c>
      <c r="O173" s="124">
        <f t="shared" si="202"/>
        <v>1.2853751221500674E-2</v>
      </c>
      <c r="P173" s="124">
        <f t="shared" si="202"/>
        <v>1.1283740863579618E-2</v>
      </c>
      <c r="Q173" s="124">
        <f t="shared" si="202"/>
        <v>1.0126416514236541E-2</v>
      </c>
      <c r="R173" s="124">
        <f t="shared" si="202"/>
        <v>7.1576718535975529E-3</v>
      </c>
      <c r="S173" s="124">
        <f t="shared" si="202"/>
        <v>6.6768263569459783E-3</v>
      </c>
      <c r="T173" s="124">
        <f t="shared" si="202"/>
        <v>7.2238573063733522E-3</v>
      </c>
      <c r="U173" s="124">
        <f t="shared" si="202"/>
        <v>6.1811946474403601E-3</v>
      </c>
      <c r="V173" s="124">
        <f t="shared" si="202"/>
        <v>6.1872335473955762E-3</v>
      </c>
      <c r="W173" s="124">
        <f t="shared" si="202"/>
        <v>5.737808638395789E-3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7.3217954868200251E-4</v>
      </c>
      <c r="C174" s="124">
        <f t="shared" ref="C174:W174" si="203">IF(C82=0,0,C82/C$77)</f>
        <v>5.5867987996704885E-4</v>
      </c>
      <c r="D174" s="124">
        <f t="shared" si="203"/>
        <v>6.6316344048742164E-4</v>
      </c>
      <c r="E174" s="124">
        <f t="shared" si="203"/>
        <v>5.6183604809663466E-4</v>
      </c>
      <c r="F174" s="124">
        <f t="shared" si="203"/>
        <v>3.8546890600757016E-4</v>
      </c>
      <c r="G174" s="124">
        <f t="shared" si="203"/>
        <v>4.1968483044454964E-4</v>
      </c>
      <c r="H174" s="124">
        <f t="shared" si="203"/>
        <v>5.1730779255430089E-4</v>
      </c>
      <c r="I174" s="124">
        <f t="shared" si="203"/>
        <v>5.6101063460014893E-4</v>
      </c>
      <c r="J174" s="124">
        <f t="shared" si="203"/>
        <v>7.1778907104670675E-4</v>
      </c>
      <c r="K174" s="124">
        <f t="shared" si="203"/>
        <v>8.0670337303681333E-4</v>
      </c>
      <c r="L174" s="124">
        <f t="shared" si="203"/>
        <v>1.1247126972333832E-3</v>
      </c>
      <c r="M174" s="124">
        <f t="shared" si="203"/>
        <v>1.0256791195794371E-3</v>
      </c>
      <c r="N174" s="124">
        <f t="shared" si="203"/>
        <v>1.1856056943446462E-3</v>
      </c>
      <c r="O174" s="124">
        <f t="shared" si="203"/>
        <v>1.3678062098936806E-3</v>
      </c>
      <c r="P174" s="124">
        <f t="shared" si="203"/>
        <v>1.5475297822617154E-3</v>
      </c>
      <c r="Q174" s="124">
        <f t="shared" si="203"/>
        <v>1.5629195593212927E-3</v>
      </c>
      <c r="R174" s="124">
        <f t="shared" si="203"/>
        <v>1.5470856732312729E-3</v>
      </c>
      <c r="S174" s="124">
        <f t="shared" si="203"/>
        <v>1.4487060956601089E-3</v>
      </c>
      <c r="T174" s="124">
        <f t="shared" si="203"/>
        <v>1.3246420443211245E-3</v>
      </c>
      <c r="U174" s="124">
        <f t="shared" si="203"/>
        <v>1.7770895562699248E-3</v>
      </c>
      <c r="V174" s="124">
        <f t="shared" si="203"/>
        <v>2.2627786880376824E-3</v>
      </c>
      <c r="W174" s="124">
        <f t="shared" si="203"/>
        <v>2.3322195440343189E-3</v>
      </c>
      <c r="DA174" s="176"/>
    </row>
    <row r="175" spans="1:105" ht="11.45" customHeight="1" x14ac:dyDescent="0.25">
      <c r="A175" s="128" t="s">
        <v>27</v>
      </c>
      <c r="B175" s="140">
        <f t="shared" si="197"/>
        <v>1.6693165839206829E-5</v>
      </c>
      <c r="C175" s="140">
        <f t="shared" ref="C175:W175" si="204">IF(C83=0,0,C83/C$77)</f>
        <v>1.2364347145886548E-5</v>
      </c>
      <c r="D175" s="140">
        <f t="shared" si="204"/>
        <v>1.4675980832762123E-5</v>
      </c>
      <c r="E175" s="140">
        <f t="shared" si="204"/>
        <v>1.2135749254997504E-5</v>
      </c>
      <c r="F175" s="140">
        <f t="shared" si="204"/>
        <v>7.6450145321270196E-6</v>
      </c>
      <c r="G175" s="140">
        <f t="shared" si="204"/>
        <v>5.1038314000901528E-6</v>
      </c>
      <c r="H175" s="140">
        <f t="shared" si="204"/>
        <v>1.149159947917101E-5</v>
      </c>
      <c r="I175" s="140">
        <f t="shared" si="204"/>
        <v>1.6337628467157204E-5</v>
      </c>
      <c r="J175" s="140">
        <f t="shared" si="204"/>
        <v>1.3995700568582811E-5</v>
      </c>
      <c r="K175" s="140">
        <f t="shared" si="204"/>
        <v>1.9982300040854879E-5</v>
      </c>
      <c r="L175" s="140">
        <f t="shared" si="204"/>
        <v>1.5606572650997611E-5</v>
      </c>
      <c r="M175" s="140">
        <f t="shared" si="204"/>
        <v>1.7135459405107724E-5</v>
      </c>
      <c r="N175" s="140">
        <f t="shared" si="204"/>
        <v>4.9176045750340187E-5</v>
      </c>
      <c r="O175" s="140">
        <f t="shared" si="204"/>
        <v>5.537137523535926E-5</v>
      </c>
      <c r="P175" s="140">
        <f t="shared" si="204"/>
        <v>5.0689304650613935E-5</v>
      </c>
      <c r="Q175" s="140">
        <f t="shared" si="204"/>
        <v>2.6766081718841862E-5</v>
      </c>
      <c r="R175" s="140">
        <f t="shared" si="204"/>
        <v>1.4737711053296258E-5</v>
      </c>
      <c r="S175" s="140">
        <f t="shared" si="204"/>
        <v>4.3036011348167226E-6</v>
      </c>
      <c r="T175" s="140">
        <f t="shared" si="204"/>
        <v>5.3097106356615216E-6</v>
      </c>
      <c r="U175" s="140">
        <f t="shared" si="204"/>
        <v>6.7674290674259816E-6</v>
      </c>
      <c r="V175" s="140">
        <f t="shared" si="204"/>
        <v>2.3348764012679264E-6</v>
      </c>
      <c r="W175" s="140">
        <f t="shared" si="204"/>
        <v>3.5069937139573509E-6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5.7110469676603399E-4</v>
      </c>
      <c r="C176" s="140">
        <f t="shared" ref="C176:W176" si="205">IF(C84=0,0,C84/C$77)</f>
        <v>4.1297658369959713E-4</v>
      </c>
      <c r="D176" s="140">
        <f t="shared" si="205"/>
        <v>5.0310240430411239E-4</v>
      </c>
      <c r="E176" s="140">
        <f t="shared" si="205"/>
        <v>4.188155869146285E-4</v>
      </c>
      <c r="F176" s="140">
        <f t="shared" si="205"/>
        <v>2.6594507818222075E-4</v>
      </c>
      <c r="G176" s="140">
        <f t="shared" si="205"/>
        <v>3.21487107415973E-4</v>
      </c>
      <c r="H176" s="140">
        <f t="shared" si="205"/>
        <v>3.7011316075472777E-4</v>
      </c>
      <c r="I176" s="140">
        <f t="shared" si="205"/>
        <v>3.4982687997492688E-4</v>
      </c>
      <c r="J176" s="140">
        <f t="shared" si="205"/>
        <v>3.8572742410084287E-4</v>
      </c>
      <c r="K176" s="140">
        <f t="shared" si="205"/>
        <v>4.4340751397246517E-4</v>
      </c>
      <c r="L176" s="140">
        <f t="shared" si="205"/>
        <v>4.1130479699650268E-4</v>
      </c>
      <c r="M176" s="140">
        <f t="shared" si="205"/>
        <v>4.0056764742158466E-4</v>
      </c>
      <c r="N176" s="140">
        <f t="shared" si="205"/>
        <v>4.9976331501381524E-4</v>
      </c>
      <c r="O176" s="140">
        <f t="shared" si="205"/>
        <v>5.1807623997044653E-4</v>
      </c>
      <c r="P176" s="140">
        <f t="shared" si="205"/>
        <v>5.6065140025734843E-4</v>
      </c>
      <c r="Q176" s="140">
        <f t="shared" si="205"/>
        <v>5.8180112801085491E-4</v>
      </c>
      <c r="R176" s="140">
        <f t="shared" si="205"/>
        <v>4.4209031008841899E-4</v>
      </c>
      <c r="S176" s="140">
        <f t="shared" si="205"/>
        <v>4.8646262982801592E-4</v>
      </c>
      <c r="T176" s="140">
        <f t="shared" si="205"/>
        <v>5.0579480739520652E-4</v>
      </c>
      <c r="U176" s="140">
        <f t="shared" si="205"/>
        <v>4.7674366089255082E-4</v>
      </c>
      <c r="V176" s="140">
        <f t="shared" si="205"/>
        <v>7.1791590382618801E-4</v>
      </c>
      <c r="W176" s="140">
        <f t="shared" si="205"/>
        <v>7.9237625902434919E-4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1.4438168607676166E-4</v>
      </c>
      <c r="C177" s="140">
        <f t="shared" ref="C177:W177" si="206">IF(C85=0,0,C85/C$77)</f>
        <v>1.3333894912156524E-4</v>
      </c>
      <c r="D177" s="140">
        <f t="shared" si="206"/>
        <v>1.4538505535054713E-4</v>
      </c>
      <c r="E177" s="140">
        <f t="shared" si="206"/>
        <v>1.3088471192700867E-4</v>
      </c>
      <c r="F177" s="140">
        <f t="shared" si="206"/>
        <v>1.1187881329322236E-4</v>
      </c>
      <c r="G177" s="140">
        <f t="shared" si="206"/>
        <v>9.3093891628486495E-5</v>
      </c>
      <c r="H177" s="140">
        <f t="shared" si="206"/>
        <v>1.3570303232040204E-4</v>
      </c>
      <c r="I177" s="140">
        <f t="shared" si="206"/>
        <v>1.9484612615806491E-4</v>
      </c>
      <c r="J177" s="140">
        <f t="shared" si="206"/>
        <v>3.1806594637728104E-4</v>
      </c>
      <c r="K177" s="140">
        <f t="shared" si="206"/>
        <v>3.4331355902349322E-4</v>
      </c>
      <c r="L177" s="140">
        <f t="shared" si="206"/>
        <v>6.9780132758588285E-4</v>
      </c>
      <c r="M177" s="140">
        <f t="shared" si="206"/>
        <v>6.0797601275274459E-4</v>
      </c>
      <c r="N177" s="140">
        <f t="shared" si="206"/>
        <v>6.3666633358049074E-4</v>
      </c>
      <c r="O177" s="140">
        <f t="shared" si="206"/>
        <v>7.9435859468787479E-4</v>
      </c>
      <c r="P177" s="140">
        <f t="shared" si="206"/>
        <v>9.3618907735375299E-4</v>
      </c>
      <c r="Q177" s="140">
        <f t="shared" si="206"/>
        <v>9.5435234959159591E-4</v>
      </c>
      <c r="R177" s="140">
        <f t="shared" si="206"/>
        <v>1.0902576520895576E-3</v>
      </c>
      <c r="S177" s="140">
        <f t="shared" si="206"/>
        <v>9.5793986469727601E-4</v>
      </c>
      <c r="T177" s="140">
        <f t="shared" si="206"/>
        <v>8.1353752629025652E-4</v>
      </c>
      <c r="U177" s="140">
        <f t="shared" si="206"/>
        <v>1.293578466309948E-3</v>
      </c>
      <c r="V177" s="140">
        <f t="shared" si="206"/>
        <v>1.5425279078102264E-3</v>
      </c>
      <c r="W177" s="140">
        <f t="shared" si="206"/>
        <v>1.5363362912960124E-3</v>
      </c>
      <c r="DA177" s="175"/>
    </row>
    <row r="178" spans="1:105" ht="11.45" customHeight="1" x14ac:dyDescent="0.25">
      <c r="A178" s="109" t="s">
        <v>142</v>
      </c>
      <c r="B178" s="124">
        <f t="shared" si="197"/>
        <v>2.3075623503238845E-3</v>
      </c>
      <c r="C178" s="124">
        <f t="shared" ref="C178:W178" si="207">IF(C86=0,0,C86/C$77)</f>
        <v>2.2075218856555108E-3</v>
      </c>
      <c r="D178" s="124">
        <f t="shared" si="207"/>
        <v>1.9665700312968687E-3</v>
      </c>
      <c r="E178" s="124">
        <f t="shared" si="207"/>
        <v>2.2856955788272651E-3</v>
      </c>
      <c r="F178" s="124">
        <f t="shared" si="207"/>
        <v>1.6636882630501806E-3</v>
      </c>
      <c r="G178" s="124">
        <f t="shared" si="207"/>
        <v>1.1524749881984991E-3</v>
      </c>
      <c r="H178" s="124">
        <f t="shared" si="207"/>
        <v>1.237063497023162E-3</v>
      </c>
      <c r="I178" s="124">
        <f t="shared" si="207"/>
        <v>9.1693025771558167E-4</v>
      </c>
      <c r="J178" s="124">
        <f t="shared" si="207"/>
        <v>8.7918910440039886E-4</v>
      </c>
      <c r="K178" s="124">
        <f t="shared" si="207"/>
        <v>5.3618162378230299E-4</v>
      </c>
      <c r="L178" s="124">
        <f t="shared" si="207"/>
        <v>4.9638289558788463E-4</v>
      </c>
      <c r="M178" s="124">
        <f t="shared" si="207"/>
        <v>4.8931959973246442E-4</v>
      </c>
      <c r="N178" s="124">
        <f t="shared" si="207"/>
        <v>5.4075905683174713E-4</v>
      </c>
      <c r="O178" s="124">
        <f t="shared" si="207"/>
        <v>5.9708447066378594E-4</v>
      </c>
      <c r="P178" s="124">
        <f t="shared" si="207"/>
        <v>5.8404537420768778E-4</v>
      </c>
      <c r="Q178" s="124">
        <f t="shared" si="207"/>
        <v>3.7046789003148187E-4</v>
      </c>
      <c r="R178" s="124">
        <f t="shared" si="207"/>
        <v>2.9999073310166052E-4</v>
      </c>
      <c r="S178" s="124">
        <f t="shared" si="207"/>
        <v>5.5237297345679887E-4</v>
      </c>
      <c r="T178" s="124">
        <f t="shared" si="207"/>
        <v>2.3686707124704026E-4</v>
      </c>
      <c r="U178" s="124">
        <f t="shared" si="207"/>
        <v>2.1865479201176654E-4</v>
      </c>
      <c r="V178" s="124">
        <f t="shared" si="207"/>
        <v>1.2682491619577112E-4</v>
      </c>
      <c r="W178" s="124">
        <f t="shared" si="207"/>
        <v>1.1361079290468278E-4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9.1359304862911327E-5</v>
      </c>
      <c r="C179" s="140">
        <f t="shared" ref="C179:W179" si="208">IF(C87=0,0,C87/C$77)</f>
        <v>8.6833728250968061E-5</v>
      </c>
      <c r="D179" s="140">
        <f t="shared" si="208"/>
        <v>9.8997740208612436E-5</v>
      </c>
      <c r="E179" s="140">
        <f t="shared" si="208"/>
        <v>9.0329386223729765E-5</v>
      </c>
      <c r="F179" s="140">
        <f t="shared" si="208"/>
        <v>8.8019574041059043E-5</v>
      </c>
      <c r="G179" s="140">
        <f t="shared" si="208"/>
        <v>2.294787650652319E-4</v>
      </c>
      <c r="H179" s="140">
        <f t="shared" si="208"/>
        <v>2.2511367486024466E-4</v>
      </c>
      <c r="I179" s="140">
        <f t="shared" si="208"/>
        <v>1.4282351035969641E-4</v>
      </c>
      <c r="J179" s="140">
        <f t="shared" si="208"/>
        <v>1.6202894827096573E-4</v>
      </c>
      <c r="K179" s="140">
        <f t="shared" si="208"/>
        <v>1.214219593583865E-4</v>
      </c>
      <c r="L179" s="140">
        <f t="shared" si="208"/>
        <v>1.3456995625527802E-4</v>
      </c>
      <c r="M179" s="140">
        <f t="shared" si="208"/>
        <v>1.7333112777198118E-4</v>
      </c>
      <c r="N179" s="140">
        <f t="shared" si="208"/>
        <v>1.8069707595460779E-4</v>
      </c>
      <c r="O179" s="140">
        <f t="shared" si="208"/>
        <v>2.0042473292186116E-4</v>
      </c>
      <c r="P179" s="140">
        <f t="shared" si="208"/>
        <v>1.3394320062050787E-4</v>
      </c>
      <c r="Q179" s="140">
        <f t="shared" si="208"/>
        <v>1.4076334960182524E-4</v>
      </c>
      <c r="R179" s="140">
        <f t="shared" si="208"/>
        <v>1.5113451957824179E-4</v>
      </c>
      <c r="S179" s="140">
        <f t="shared" si="208"/>
        <v>2.5146271877086042E-4</v>
      </c>
      <c r="T179" s="140">
        <f t="shared" si="208"/>
        <v>1.040102672903302E-4</v>
      </c>
      <c r="U179" s="140">
        <f t="shared" si="208"/>
        <v>1.2355071726291618E-4</v>
      </c>
      <c r="V179" s="140">
        <f t="shared" si="208"/>
        <v>8.65072106214204E-5</v>
      </c>
      <c r="W179" s="140">
        <f t="shared" si="208"/>
        <v>9.130791232395599E-5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2.216203045460973E-3</v>
      </c>
      <c r="C180" s="127">
        <f t="shared" ref="C180:W180" si="209">IF(C88=0,0,C88/C$77)</f>
        <v>2.1206881574045424E-3</v>
      </c>
      <c r="D180" s="127">
        <f t="shared" si="209"/>
        <v>1.8675722910882562E-3</v>
      </c>
      <c r="E180" s="127">
        <f t="shared" si="209"/>
        <v>2.1953661926035354E-3</v>
      </c>
      <c r="F180" s="127">
        <f t="shared" si="209"/>
        <v>1.5756686890091218E-3</v>
      </c>
      <c r="G180" s="127">
        <f t="shared" si="209"/>
        <v>9.2299622313326711E-4</v>
      </c>
      <c r="H180" s="127">
        <f t="shared" si="209"/>
        <v>1.0119498221629172E-3</v>
      </c>
      <c r="I180" s="127">
        <f t="shared" si="209"/>
        <v>7.7410674735588518E-4</v>
      </c>
      <c r="J180" s="127">
        <f t="shared" si="209"/>
        <v>7.1716015612943306E-4</v>
      </c>
      <c r="K180" s="127">
        <f t="shared" si="209"/>
        <v>4.147596644239165E-4</v>
      </c>
      <c r="L180" s="127">
        <f t="shared" si="209"/>
        <v>3.6181293933260658E-4</v>
      </c>
      <c r="M180" s="127">
        <f t="shared" si="209"/>
        <v>3.1598847196048324E-4</v>
      </c>
      <c r="N180" s="127">
        <f t="shared" si="209"/>
        <v>3.6006198087713934E-4</v>
      </c>
      <c r="O180" s="127">
        <f t="shared" si="209"/>
        <v>3.9665973774192484E-4</v>
      </c>
      <c r="P180" s="127">
        <f t="shared" si="209"/>
        <v>4.5010217358717997E-4</v>
      </c>
      <c r="Q180" s="127">
        <f t="shared" si="209"/>
        <v>2.2970454042965665E-4</v>
      </c>
      <c r="R180" s="127">
        <f t="shared" si="209"/>
        <v>1.4885621352341873E-4</v>
      </c>
      <c r="S180" s="127">
        <f t="shared" si="209"/>
        <v>3.0091025468593845E-4</v>
      </c>
      <c r="T180" s="127">
        <f t="shared" si="209"/>
        <v>1.3285680395671006E-4</v>
      </c>
      <c r="U180" s="127">
        <f t="shared" si="209"/>
        <v>9.5104074748850382E-5</v>
      </c>
      <c r="V180" s="127">
        <f t="shared" si="209"/>
        <v>4.0317705574350723E-5</v>
      </c>
      <c r="W180" s="127">
        <f t="shared" si="209"/>
        <v>2.2302880580726783E-5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0.43012170143808554</v>
      </c>
      <c r="C182" s="140">
        <f t="shared" ref="C182:W182" si="211">IF(C90=0,0,C90/C$89)</f>
        <v>0.42948305121268543</v>
      </c>
      <c r="D182" s="140">
        <f t="shared" si="211"/>
        <v>0.42722050361637126</v>
      </c>
      <c r="E182" s="140">
        <f t="shared" si="211"/>
        <v>0.427318465027198</v>
      </c>
      <c r="F182" s="140">
        <f t="shared" si="211"/>
        <v>0.42764808236208779</v>
      </c>
      <c r="G182" s="140">
        <f t="shared" si="211"/>
        <v>0.39779735218861001</v>
      </c>
      <c r="H182" s="140">
        <f t="shared" si="211"/>
        <v>0.359036388159438</v>
      </c>
      <c r="I182" s="140">
        <f t="shared" si="211"/>
        <v>0.41939922591389794</v>
      </c>
      <c r="J182" s="140">
        <f t="shared" si="211"/>
        <v>0.39255432911016874</v>
      </c>
      <c r="K182" s="140">
        <f t="shared" si="211"/>
        <v>0.40613673352859497</v>
      </c>
      <c r="L182" s="140">
        <f t="shared" si="211"/>
        <v>0.41569204977327689</v>
      </c>
      <c r="M182" s="140">
        <f t="shared" si="211"/>
        <v>0.40440633125237546</v>
      </c>
      <c r="N182" s="140">
        <f t="shared" si="211"/>
        <v>0.34558084722396704</v>
      </c>
      <c r="O182" s="140">
        <f t="shared" si="211"/>
        <v>0.34202430702936232</v>
      </c>
      <c r="P182" s="140">
        <f t="shared" si="211"/>
        <v>0.31720910042904471</v>
      </c>
      <c r="Q182" s="140">
        <f t="shared" si="211"/>
        <v>0.33864242464213423</v>
      </c>
      <c r="R182" s="140">
        <f t="shared" si="211"/>
        <v>0.30316747774329172</v>
      </c>
      <c r="S182" s="140">
        <f t="shared" si="211"/>
        <v>0.25678722064286486</v>
      </c>
      <c r="T182" s="140">
        <f t="shared" si="211"/>
        <v>0.2517720284214941</v>
      </c>
      <c r="U182" s="140">
        <f t="shared" si="211"/>
        <v>0.2459292485993865</v>
      </c>
      <c r="V182" s="140">
        <f t="shared" si="211"/>
        <v>0.23282441989479066</v>
      </c>
      <c r="W182" s="140">
        <f t="shared" si="211"/>
        <v>0.23323151960342778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0.56987829856191441</v>
      </c>
      <c r="C183" s="127">
        <f t="shared" ref="C183:W183" si="212">IF(C91=0,0,C91/C$89)</f>
        <v>0.57051694878731463</v>
      </c>
      <c r="D183" s="127">
        <f t="shared" si="212"/>
        <v>0.57277949638362879</v>
      </c>
      <c r="E183" s="127">
        <f t="shared" si="212"/>
        <v>0.57268153497280194</v>
      </c>
      <c r="F183" s="127">
        <f t="shared" si="212"/>
        <v>0.57235191763791216</v>
      </c>
      <c r="G183" s="127">
        <f t="shared" si="212"/>
        <v>0.6022026478113901</v>
      </c>
      <c r="H183" s="127">
        <f t="shared" si="212"/>
        <v>0.64096361184056205</v>
      </c>
      <c r="I183" s="127">
        <f t="shared" si="212"/>
        <v>0.58060077408610211</v>
      </c>
      <c r="J183" s="127">
        <f t="shared" si="212"/>
        <v>0.60744567088983126</v>
      </c>
      <c r="K183" s="127">
        <f t="shared" si="212"/>
        <v>0.59386326647140497</v>
      </c>
      <c r="L183" s="127">
        <f t="shared" si="212"/>
        <v>0.58430795022672311</v>
      </c>
      <c r="M183" s="127">
        <f t="shared" si="212"/>
        <v>0.59559366874762454</v>
      </c>
      <c r="N183" s="127">
        <f t="shared" si="212"/>
        <v>0.65441915277603302</v>
      </c>
      <c r="O183" s="127">
        <f t="shared" si="212"/>
        <v>0.65797569297063774</v>
      </c>
      <c r="P183" s="127">
        <f t="shared" si="212"/>
        <v>0.68279089957095529</v>
      </c>
      <c r="Q183" s="127">
        <f t="shared" si="212"/>
        <v>0.66135757535786566</v>
      </c>
      <c r="R183" s="127">
        <f t="shared" si="212"/>
        <v>0.69683252225670822</v>
      </c>
      <c r="S183" s="127">
        <f t="shared" si="212"/>
        <v>0.74321277935713503</v>
      </c>
      <c r="T183" s="127">
        <f t="shared" si="212"/>
        <v>0.74822797157850596</v>
      </c>
      <c r="U183" s="127">
        <f t="shared" si="212"/>
        <v>0.75407075140061353</v>
      </c>
      <c r="V183" s="127">
        <f t="shared" si="212"/>
        <v>0.76717558010520925</v>
      </c>
      <c r="W183" s="127">
        <f t="shared" si="212"/>
        <v>0.76676848039657219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30.059620493349613</v>
      </c>
      <c r="C186" s="32">
        <f t="shared" si="213"/>
        <v>29.770416376553801</v>
      </c>
      <c r="D186" s="32">
        <f t="shared" si="213"/>
        <v>29.600543246587041</v>
      </c>
      <c r="E186" s="32">
        <f t="shared" si="213"/>
        <v>30.327400227357295</v>
      </c>
      <c r="F186" s="32">
        <f t="shared" si="213"/>
        <v>32.654169402954949</v>
      </c>
      <c r="G186" s="32">
        <f t="shared" si="213"/>
        <v>32.306133788187054</v>
      </c>
      <c r="H186" s="32">
        <f t="shared" si="213"/>
        <v>34.651104110439782</v>
      </c>
      <c r="I186" s="32">
        <f t="shared" si="213"/>
        <v>36.467595792174052</v>
      </c>
      <c r="J186" s="32">
        <f t="shared" si="213"/>
        <v>37.079611097981562</v>
      </c>
      <c r="K186" s="32">
        <f t="shared" si="213"/>
        <v>37.966776405642733</v>
      </c>
      <c r="L186" s="32">
        <f t="shared" si="213"/>
        <v>39.199871876322945</v>
      </c>
      <c r="M186" s="32">
        <f t="shared" si="213"/>
        <v>39.560907464577539</v>
      </c>
      <c r="N186" s="32">
        <f t="shared" si="213"/>
        <v>39.493270212058391</v>
      </c>
      <c r="O186" s="32">
        <f t="shared" si="213"/>
        <v>37.492668022480132</v>
      </c>
      <c r="P186" s="32">
        <f t="shared" si="213"/>
        <v>36.742918541003931</v>
      </c>
      <c r="Q186" s="32">
        <f t="shared" si="213"/>
        <v>38.369413629329735</v>
      </c>
      <c r="R186" s="32">
        <f t="shared" si="213"/>
        <v>38.922337811238016</v>
      </c>
      <c r="S186" s="32">
        <f t="shared" si="213"/>
        <v>41.32287211432584</v>
      </c>
      <c r="T186" s="32">
        <f t="shared" si="213"/>
        <v>42.3472830608846</v>
      </c>
      <c r="U186" s="32">
        <f t="shared" si="213"/>
        <v>42.323644401189888</v>
      </c>
      <c r="V186" s="32">
        <f t="shared" si="213"/>
        <v>48.069002150340431</v>
      </c>
      <c r="W186" s="32">
        <f t="shared" ref="W186" si="214">IF(W34=0,0,W34/W4*1000)</f>
        <v>45.453326325589664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32.768890971456031</v>
      </c>
      <c r="C187" s="141">
        <f t="shared" si="215"/>
        <v>32.124977170827414</v>
      </c>
      <c r="D187" s="141">
        <f t="shared" si="215"/>
        <v>31.646282130958685</v>
      </c>
      <c r="E187" s="141">
        <f t="shared" si="215"/>
        <v>32.220680693218384</v>
      </c>
      <c r="F187" s="141">
        <f t="shared" si="215"/>
        <v>34.960097539832908</v>
      </c>
      <c r="G187" s="141">
        <f t="shared" si="215"/>
        <v>34.533488515962226</v>
      </c>
      <c r="H187" s="141">
        <f t="shared" si="215"/>
        <v>37.424796986792828</v>
      </c>
      <c r="I187" s="141">
        <f t="shared" si="215"/>
        <v>40.000649907119026</v>
      </c>
      <c r="J187" s="141">
        <f t="shared" si="215"/>
        <v>40.559086614874623</v>
      </c>
      <c r="K187" s="141">
        <f t="shared" si="215"/>
        <v>41.129645688639599</v>
      </c>
      <c r="L187" s="141">
        <f t="shared" si="215"/>
        <v>42.526345982261844</v>
      </c>
      <c r="M187" s="141">
        <f t="shared" si="215"/>
        <v>43.248207634419188</v>
      </c>
      <c r="N187" s="141">
        <f t="shared" si="215"/>
        <v>42.938991688739598</v>
      </c>
      <c r="O187" s="141">
        <f t="shared" si="215"/>
        <v>40.580427780318658</v>
      </c>
      <c r="P187" s="141">
        <f t="shared" si="215"/>
        <v>39.617629392855179</v>
      </c>
      <c r="Q187" s="141">
        <f t="shared" si="215"/>
        <v>41.728935703391755</v>
      </c>
      <c r="R187" s="141">
        <f t="shared" si="215"/>
        <v>42.663703839296062</v>
      </c>
      <c r="S187" s="141">
        <f t="shared" si="215"/>
        <v>45.841287663317914</v>
      </c>
      <c r="T187" s="141">
        <f t="shared" si="215"/>
        <v>47.384325338209955</v>
      </c>
      <c r="U187" s="141">
        <f t="shared" si="215"/>
        <v>47.681329430682162</v>
      </c>
      <c r="V187" s="141">
        <f t="shared" si="215"/>
        <v>50.664180087502352</v>
      </c>
      <c r="W187" s="141">
        <f t="shared" ref="W187" si="216">IF(W35=0,0,W35/W5*1000)</f>
        <v>48.71286405329387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41.343707219215197</v>
      </c>
      <c r="C188" s="97">
        <f t="shared" si="217"/>
        <v>41.261180608549481</v>
      </c>
      <c r="D188" s="97">
        <f t="shared" si="217"/>
        <v>40.77078573524836</v>
      </c>
      <c r="E188" s="97">
        <f t="shared" si="217"/>
        <v>40.729083390592542</v>
      </c>
      <c r="F188" s="97">
        <f t="shared" si="217"/>
        <v>40.69713716419556</v>
      </c>
      <c r="G188" s="97">
        <f t="shared" si="217"/>
        <v>37.512821034729456</v>
      </c>
      <c r="H188" s="97">
        <f t="shared" si="217"/>
        <v>37.067728940892202</v>
      </c>
      <c r="I188" s="97">
        <f t="shared" si="217"/>
        <v>36.454368038688315</v>
      </c>
      <c r="J188" s="97">
        <f t="shared" si="217"/>
        <v>37.366377092158061</v>
      </c>
      <c r="K188" s="97">
        <f t="shared" si="217"/>
        <v>34.753830292844349</v>
      </c>
      <c r="L188" s="97">
        <f t="shared" si="217"/>
        <v>34.28102982769267</v>
      </c>
      <c r="M188" s="97">
        <f t="shared" si="217"/>
        <v>33.757061954341836</v>
      </c>
      <c r="N188" s="97">
        <f t="shared" si="217"/>
        <v>33.582363492338224</v>
      </c>
      <c r="O188" s="97">
        <f t="shared" si="217"/>
        <v>33.369046062065124</v>
      </c>
      <c r="P188" s="97">
        <f t="shared" si="217"/>
        <v>32.941257382309736</v>
      </c>
      <c r="Q188" s="97">
        <f t="shared" si="217"/>
        <v>32.476091427099178</v>
      </c>
      <c r="R188" s="97">
        <f t="shared" si="217"/>
        <v>32.204025696567413</v>
      </c>
      <c r="S188" s="97">
        <f t="shared" si="217"/>
        <v>31.91091702761236</v>
      </c>
      <c r="T188" s="97">
        <f t="shared" si="217"/>
        <v>31.793577684926689</v>
      </c>
      <c r="U188" s="97">
        <f t="shared" si="217"/>
        <v>31.631714349864108</v>
      </c>
      <c r="V188" s="97">
        <f t="shared" si="217"/>
        <v>31.571540094208768</v>
      </c>
      <c r="W188" s="97">
        <f t="shared" ref="W188" si="218">IF(W36=0,0,W36/W6*1000)</f>
        <v>30.101698534964843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39.893206316809732</v>
      </c>
      <c r="C189" s="97">
        <f t="shared" si="219"/>
        <v>38.46467937430662</v>
      </c>
      <c r="D189" s="97">
        <f t="shared" si="219"/>
        <v>37.022430119321299</v>
      </c>
      <c r="E189" s="97">
        <f t="shared" si="219"/>
        <v>37.78350220304133</v>
      </c>
      <c r="F189" s="97">
        <f t="shared" si="219"/>
        <v>40.87985187514677</v>
      </c>
      <c r="G189" s="97">
        <f t="shared" si="219"/>
        <v>39.829543950649011</v>
      </c>
      <c r="H189" s="97">
        <f t="shared" si="219"/>
        <v>43.677763543859477</v>
      </c>
      <c r="I189" s="97">
        <f t="shared" si="219"/>
        <v>46.550765861287523</v>
      </c>
      <c r="J189" s="97">
        <f t="shared" si="219"/>
        <v>46.985270149085281</v>
      </c>
      <c r="K189" s="97">
        <f t="shared" si="219"/>
        <v>46.506103677359199</v>
      </c>
      <c r="L189" s="97">
        <f t="shared" si="219"/>
        <v>47.617834567072229</v>
      </c>
      <c r="M189" s="97">
        <f t="shared" si="219"/>
        <v>48.084582691692631</v>
      </c>
      <c r="N189" s="97">
        <f t="shared" si="219"/>
        <v>47.634739932952876</v>
      </c>
      <c r="O189" s="97">
        <f t="shared" si="219"/>
        <v>44.279126480572309</v>
      </c>
      <c r="P189" s="97">
        <f t="shared" si="219"/>
        <v>43.228822239961147</v>
      </c>
      <c r="Q189" s="97">
        <f t="shared" si="219"/>
        <v>44.691992111621197</v>
      </c>
      <c r="R189" s="97">
        <f t="shared" si="219"/>
        <v>45.554301734985906</v>
      </c>
      <c r="S189" s="97">
        <f t="shared" si="219"/>
        <v>49.109695218516421</v>
      </c>
      <c r="T189" s="97">
        <f t="shared" si="219"/>
        <v>50.666329802707892</v>
      </c>
      <c r="U189" s="97">
        <f t="shared" si="219"/>
        <v>51.086380993814352</v>
      </c>
      <c r="V189" s="97">
        <f t="shared" si="219"/>
        <v>50.892133120985172</v>
      </c>
      <c r="W189" s="97">
        <f t="shared" ref="W189" si="220">IF(W37=0,0,W37/W7*1000)</f>
        <v>49.130635027208676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16.748431642942805</v>
      </c>
      <c r="C190" s="97">
        <f t="shared" si="221"/>
        <v>16.615575339467849</v>
      </c>
      <c r="D190" s="97">
        <f t="shared" si="221"/>
        <v>17.232362381751905</v>
      </c>
      <c r="E190" s="97">
        <f t="shared" si="221"/>
        <v>16.663793123111279</v>
      </c>
      <c r="F190" s="97">
        <f t="shared" si="221"/>
        <v>17.744103143489511</v>
      </c>
      <c r="G190" s="97">
        <f t="shared" si="221"/>
        <v>18.013866824862301</v>
      </c>
      <c r="H190" s="97">
        <f t="shared" si="221"/>
        <v>17.333850818212763</v>
      </c>
      <c r="I190" s="97">
        <f t="shared" si="221"/>
        <v>17.891402809011808</v>
      </c>
      <c r="J190" s="97">
        <f t="shared" si="221"/>
        <v>17.46797819247498</v>
      </c>
      <c r="K190" s="97">
        <f t="shared" si="221"/>
        <v>19.134293535690418</v>
      </c>
      <c r="L190" s="97">
        <f t="shared" si="221"/>
        <v>20.040585475074462</v>
      </c>
      <c r="M190" s="97">
        <f t="shared" si="221"/>
        <v>21.118882738270585</v>
      </c>
      <c r="N190" s="97">
        <f t="shared" si="221"/>
        <v>21.066829577274905</v>
      </c>
      <c r="O190" s="97">
        <f t="shared" si="221"/>
        <v>22.194105897329671</v>
      </c>
      <c r="P190" s="97">
        <f t="shared" si="221"/>
        <v>21.928756631975212</v>
      </c>
      <c r="Q190" s="97">
        <f t="shared" si="221"/>
        <v>26.642180722035455</v>
      </c>
      <c r="R190" s="97">
        <f t="shared" si="221"/>
        <v>26.791697456833546</v>
      </c>
      <c r="S190" s="97">
        <f t="shared" si="221"/>
        <v>26.918617284319364</v>
      </c>
      <c r="T190" s="97">
        <f t="shared" si="221"/>
        <v>27.051427326708954</v>
      </c>
      <c r="U190" s="97">
        <f t="shared" si="221"/>
        <v>27.211845868224838</v>
      </c>
      <c r="V190" s="97">
        <f t="shared" si="221"/>
        <v>50.737674233687592</v>
      </c>
      <c r="W190" s="97">
        <f t="shared" ref="W190" si="222">IF(W38=0,0,W38/W8*1000)</f>
        <v>46.651800574890082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10.270252785302171</v>
      </c>
      <c r="C191" s="130">
        <f t="shared" si="223"/>
        <v>11.550092113796319</v>
      </c>
      <c r="D191" s="130">
        <f t="shared" si="223"/>
        <v>12.616539505894471</v>
      </c>
      <c r="E191" s="130">
        <f t="shared" si="223"/>
        <v>13.495410707935957</v>
      </c>
      <c r="F191" s="130">
        <f t="shared" si="223"/>
        <v>12.107716455578284</v>
      </c>
      <c r="G191" s="130">
        <f t="shared" si="223"/>
        <v>12.031468136664103</v>
      </c>
      <c r="H191" s="130">
        <f t="shared" si="223"/>
        <v>9.1360478768892115</v>
      </c>
      <c r="I191" s="130">
        <f t="shared" si="223"/>
        <v>9.5454501505320604</v>
      </c>
      <c r="J191" s="130">
        <f t="shared" si="223"/>
        <v>8.7784368262129338</v>
      </c>
      <c r="K191" s="130">
        <f t="shared" si="223"/>
        <v>9.5507794227853022</v>
      </c>
      <c r="L191" s="130">
        <f t="shared" si="223"/>
        <v>8.9810497790647172</v>
      </c>
      <c r="M191" s="130">
        <f t="shared" si="223"/>
        <v>8.5425982882351281</v>
      </c>
      <c r="N191" s="130">
        <f t="shared" si="223"/>
        <v>8.9597449054789724</v>
      </c>
      <c r="O191" s="130">
        <f t="shared" si="223"/>
        <v>9.2940736650306555</v>
      </c>
      <c r="P191" s="130">
        <f t="shared" si="223"/>
        <v>9.0319036736947069</v>
      </c>
      <c r="Q191" s="130">
        <f t="shared" si="223"/>
        <v>8.7677456279159092</v>
      </c>
      <c r="R191" s="130">
        <f t="shared" si="223"/>
        <v>8.9122291061317238</v>
      </c>
      <c r="S191" s="130">
        <f t="shared" si="223"/>
        <v>8.3844019477022567</v>
      </c>
      <c r="T191" s="130">
        <f t="shared" si="223"/>
        <v>8.7242916345839365</v>
      </c>
      <c r="U191" s="130">
        <f t="shared" si="223"/>
        <v>8.0224557020702072</v>
      </c>
      <c r="V191" s="130">
        <f t="shared" si="223"/>
        <v>12.343446890325687</v>
      </c>
      <c r="W191" s="130">
        <f t="shared" ref="W191" si="224">IF(W39=0,0,W39/W9*1000)</f>
        <v>11.371315021868183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5.5614233575971523</v>
      </c>
      <c r="C192" s="97">
        <f t="shared" si="225"/>
        <v>5.5306770729125887</v>
      </c>
      <c r="D192" s="97">
        <f t="shared" si="225"/>
        <v>5.5607701951969224</v>
      </c>
      <c r="E192" s="97">
        <f t="shared" si="225"/>
        <v>5.5023993301073588</v>
      </c>
      <c r="F192" s="97">
        <f t="shared" si="225"/>
        <v>5.2590560509998285</v>
      </c>
      <c r="G192" s="97">
        <f t="shared" si="225"/>
        <v>5.0567072306068468</v>
      </c>
      <c r="H192" s="97">
        <f t="shared" si="225"/>
        <v>4.9626455900895552</v>
      </c>
      <c r="I192" s="97">
        <f t="shared" si="225"/>
        <v>4.7691120779783107</v>
      </c>
      <c r="J192" s="97">
        <f t="shared" si="225"/>
        <v>4.7284059047661628</v>
      </c>
      <c r="K192" s="97">
        <f t="shared" si="225"/>
        <v>4.7635096345345724</v>
      </c>
      <c r="L192" s="97">
        <f t="shared" si="225"/>
        <v>4.7798173878073591</v>
      </c>
      <c r="M192" s="97">
        <f t="shared" si="225"/>
        <v>4.6686595981843455</v>
      </c>
      <c r="N192" s="97">
        <f t="shared" si="225"/>
        <v>4.7220358470082227</v>
      </c>
      <c r="O192" s="97">
        <f t="shared" si="225"/>
        <v>4.6971501446233237</v>
      </c>
      <c r="P192" s="97">
        <f t="shared" si="225"/>
        <v>4.5957905382727713</v>
      </c>
      <c r="Q192" s="97">
        <f t="shared" si="225"/>
        <v>4.500120548492605</v>
      </c>
      <c r="R192" s="97">
        <f t="shared" si="225"/>
        <v>4.4573263429447625</v>
      </c>
      <c r="S192" s="97">
        <f t="shared" si="225"/>
        <v>4.375480071082368</v>
      </c>
      <c r="T192" s="97">
        <f t="shared" si="225"/>
        <v>4.3265352294641604</v>
      </c>
      <c r="U192" s="97">
        <f t="shared" si="225"/>
        <v>4.2836288452340918</v>
      </c>
      <c r="V192" s="97">
        <f t="shared" si="225"/>
        <v>7.0708396340381139</v>
      </c>
      <c r="W192" s="97">
        <f t="shared" ref="W192" si="226">IF(W40=0,0,W40/W10*1000)</f>
        <v>6.1750213302673549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11.188877154811287</v>
      </c>
      <c r="C193" s="97">
        <f t="shared" si="227"/>
        <v>12.795820893008093</v>
      </c>
      <c r="D193" s="97">
        <f t="shared" si="227"/>
        <v>14.187586506493181</v>
      </c>
      <c r="E193" s="97">
        <f t="shared" si="227"/>
        <v>15.32698985042647</v>
      </c>
      <c r="F193" s="97">
        <f t="shared" si="227"/>
        <v>13.756671609168603</v>
      </c>
      <c r="G193" s="97">
        <f t="shared" si="227"/>
        <v>13.721667397921573</v>
      </c>
      <c r="H193" s="97">
        <f t="shared" si="227"/>
        <v>10.137106532358082</v>
      </c>
      <c r="I193" s="97">
        <f t="shared" si="227"/>
        <v>10.65180772814157</v>
      </c>
      <c r="J193" s="97">
        <f t="shared" si="227"/>
        <v>9.7009494401597092</v>
      </c>
      <c r="K193" s="97">
        <f t="shared" si="227"/>
        <v>10.660454020909633</v>
      </c>
      <c r="L193" s="97">
        <f t="shared" si="227"/>
        <v>9.9984789726396812</v>
      </c>
      <c r="M193" s="97">
        <f t="shared" si="227"/>
        <v>9.4811312322711245</v>
      </c>
      <c r="N193" s="97">
        <f t="shared" si="227"/>
        <v>10.003897115732848</v>
      </c>
      <c r="O193" s="97">
        <f t="shared" si="227"/>
        <v>10.416186309031875</v>
      </c>
      <c r="P193" s="97">
        <f t="shared" si="227"/>
        <v>10.205596706728272</v>
      </c>
      <c r="Q193" s="97">
        <f t="shared" si="227"/>
        <v>9.8946628390452442</v>
      </c>
      <c r="R193" s="97">
        <f t="shared" si="227"/>
        <v>10.218964301150129</v>
      </c>
      <c r="S193" s="97">
        <f t="shared" si="227"/>
        <v>9.4924345484609294</v>
      </c>
      <c r="T193" s="97">
        <f t="shared" si="227"/>
        <v>9.9565735140955063</v>
      </c>
      <c r="U193" s="97">
        <f t="shared" si="227"/>
        <v>9.0425433945569935</v>
      </c>
      <c r="V193" s="97">
        <f t="shared" si="227"/>
        <v>13.57458310712224</v>
      </c>
      <c r="W193" s="97">
        <f t="shared" ref="W193" si="228">IF(W41=0,0,W41/W11*1000)</f>
        <v>12.653144739089575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6.553994232574893</v>
      </c>
      <c r="R194" s="97">
        <f t="shared" si="229"/>
        <v>6.2243632434235137</v>
      </c>
      <c r="S194" s="97">
        <f t="shared" si="229"/>
        <v>5.8605339880413831</v>
      </c>
      <c r="T194" s="97">
        <f t="shared" si="229"/>
        <v>5.5755002900284767</v>
      </c>
      <c r="U194" s="97">
        <f t="shared" si="229"/>
        <v>5.5106337401516008</v>
      </c>
      <c r="V194" s="97">
        <f t="shared" si="229"/>
        <v>11.452333544848516</v>
      </c>
      <c r="W194" s="97">
        <f t="shared" ref="W194" si="230">IF(W42=0,0,W42/W12*1000)</f>
        <v>7.875258270498902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36.543665042079006</v>
      </c>
      <c r="C195" s="130">
        <f t="shared" si="231"/>
        <v>35.794991237688485</v>
      </c>
      <c r="D195" s="130">
        <f t="shared" si="231"/>
        <v>35.002607825548139</v>
      </c>
      <c r="E195" s="130">
        <f t="shared" si="231"/>
        <v>34.703163232790054</v>
      </c>
      <c r="F195" s="130">
        <f t="shared" si="231"/>
        <v>34.536341735651717</v>
      </c>
      <c r="G195" s="130">
        <f t="shared" si="231"/>
        <v>32.694535487957936</v>
      </c>
      <c r="H195" s="130">
        <f t="shared" si="231"/>
        <v>35.574237765055102</v>
      </c>
      <c r="I195" s="130">
        <f t="shared" si="231"/>
        <v>30.351428246921948</v>
      </c>
      <c r="J195" s="130">
        <f t="shared" si="231"/>
        <v>32.692390624780408</v>
      </c>
      <c r="K195" s="130">
        <f t="shared" si="231"/>
        <v>32.975354742280125</v>
      </c>
      <c r="L195" s="130">
        <f t="shared" si="231"/>
        <v>32.528972170199523</v>
      </c>
      <c r="M195" s="130">
        <f t="shared" si="231"/>
        <v>30.137948747798077</v>
      </c>
      <c r="N195" s="130">
        <f t="shared" si="231"/>
        <v>32.433439741436921</v>
      </c>
      <c r="O195" s="130">
        <f t="shared" si="231"/>
        <v>30.02725444062812</v>
      </c>
      <c r="P195" s="130">
        <f t="shared" si="231"/>
        <v>30.39456841945427</v>
      </c>
      <c r="Q195" s="130">
        <f t="shared" si="231"/>
        <v>30.462857054074696</v>
      </c>
      <c r="R195" s="130">
        <f t="shared" si="231"/>
        <v>28.893476971975325</v>
      </c>
      <c r="S195" s="130">
        <f t="shared" si="231"/>
        <v>29.037070507984588</v>
      </c>
      <c r="T195" s="130">
        <f t="shared" si="231"/>
        <v>28.84397614735196</v>
      </c>
      <c r="U195" s="130">
        <f t="shared" si="231"/>
        <v>28.226778419115337</v>
      </c>
      <c r="V195" s="130">
        <f t="shared" si="231"/>
        <v>39.463949383150457</v>
      </c>
      <c r="W195" s="130">
        <f t="shared" ref="W195" si="232">IF(W43=0,0,W43/W13*1000)</f>
        <v>33.851348373781455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12.826438772152303</v>
      </c>
      <c r="C196" s="97">
        <f t="shared" si="233"/>
        <v>12.711792497217905</v>
      </c>
      <c r="D196" s="97">
        <f t="shared" si="233"/>
        <v>12.522111821130057</v>
      </c>
      <c r="E196" s="97">
        <f t="shared" si="233"/>
        <v>12.21804249912379</v>
      </c>
      <c r="F196" s="97">
        <f t="shared" si="233"/>
        <v>11.993490399073746</v>
      </c>
      <c r="G196" s="97">
        <f t="shared" si="233"/>
        <v>11.429682678322662</v>
      </c>
      <c r="H196" s="97">
        <f t="shared" si="233"/>
        <v>11.295354176511738</v>
      </c>
      <c r="I196" s="97">
        <f t="shared" si="233"/>
        <v>12.487524947474036</v>
      </c>
      <c r="J196" s="97">
        <f t="shared" si="233"/>
        <v>10.630163521399218</v>
      </c>
      <c r="K196" s="97">
        <f t="shared" si="233"/>
        <v>15.240741180264791</v>
      </c>
      <c r="L196" s="97">
        <f t="shared" si="233"/>
        <v>13.327542169633409</v>
      </c>
      <c r="M196" s="97">
        <f t="shared" si="233"/>
        <v>12.618478518046631</v>
      </c>
      <c r="N196" s="97">
        <f t="shared" si="233"/>
        <v>27.19260828949302</v>
      </c>
      <c r="O196" s="97">
        <f t="shared" si="233"/>
        <v>35.261158288171067</v>
      </c>
      <c r="P196" s="97">
        <f t="shared" si="233"/>
        <v>47.206448666343441</v>
      </c>
      <c r="Q196" s="97">
        <f t="shared" si="233"/>
        <v>33.234249623790951</v>
      </c>
      <c r="R196" s="97">
        <f t="shared" si="233"/>
        <v>40.655067308165094</v>
      </c>
      <c r="S196" s="97">
        <f t="shared" si="233"/>
        <v>36.119362308022339</v>
      </c>
      <c r="T196" s="97">
        <f t="shared" si="233"/>
        <v>50.573436995187471</v>
      </c>
      <c r="U196" s="97">
        <f t="shared" si="233"/>
        <v>50.958789733103615</v>
      </c>
      <c r="V196" s="97">
        <f t="shared" si="233"/>
        <v>79.203123833081463</v>
      </c>
      <c r="W196" s="97">
        <f t="shared" ref="W196" si="234">IF(W44=0,0,W44/W14*1000)</f>
        <v>113.96917659552548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45.866007595873718</v>
      </c>
      <c r="C197" s="97">
        <f t="shared" si="235"/>
        <v>44.830202654773821</v>
      </c>
      <c r="D197" s="97">
        <f t="shared" si="235"/>
        <v>44.176735397371964</v>
      </c>
      <c r="E197" s="97">
        <f t="shared" si="235"/>
        <v>44.117151171269391</v>
      </c>
      <c r="F197" s="97">
        <f t="shared" si="235"/>
        <v>44.06633064063999</v>
      </c>
      <c r="G197" s="97">
        <f t="shared" si="235"/>
        <v>40.466128210004804</v>
      </c>
      <c r="H197" s="97">
        <f t="shared" si="235"/>
        <v>44.135468193757788</v>
      </c>
      <c r="I197" s="97">
        <f t="shared" si="235"/>
        <v>37.497459921208311</v>
      </c>
      <c r="J197" s="97">
        <f t="shared" si="235"/>
        <v>44.034601816747717</v>
      </c>
      <c r="K197" s="97">
        <f t="shared" si="235"/>
        <v>41.641472316700799</v>
      </c>
      <c r="L197" s="97">
        <f t="shared" si="235"/>
        <v>41.291684593494345</v>
      </c>
      <c r="M197" s="97">
        <f t="shared" si="235"/>
        <v>34.429519013558021</v>
      </c>
      <c r="N197" s="97">
        <f t="shared" si="235"/>
        <v>37.401380967072363</v>
      </c>
      <c r="O197" s="97">
        <f t="shared" si="235"/>
        <v>32.686584353661324</v>
      </c>
      <c r="P197" s="97">
        <f t="shared" si="235"/>
        <v>33.216326426945926</v>
      </c>
      <c r="Q197" s="97">
        <f t="shared" si="235"/>
        <v>32.074133714202333</v>
      </c>
      <c r="R197" s="97">
        <f t="shared" si="235"/>
        <v>29.946013438636317</v>
      </c>
      <c r="S197" s="97">
        <f t="shared" si="235"/>
        <v>32.630201260564895</v>
      </c>
      <c r="T197" s="97">
        <f t="shared" si="235"/>
        <v>34.765617295692714</v>
      </c>
      <c r="U197" s="97">
        <f t="shared" si="235"/>
        <v>37.006415835327566</v>
      </c>
      <c r="V197" s="97">
        <f t="shared" si="235"/>
        <v>41.908458843168113</v>
      </c>
      <c r="W197" s="97">
        <f t="shared" ref="W197" si="236">IF(W45=0,0,W45/W15*1000)</f>
        <v>40.228091580553652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27.998637039400251</v>
      </c>
      <c r="C198" s="97">
        <f t="shared" si="237"/>
        <v>27.488224868886395</v>
      </c>
      <c r="D198" s="97">
        <f t="shared" si="237"/>
        <v>27.068641752178181</v>
      </c>
      <c r="E198" s="97">
        <f t="shared" si="237"/>
        <v>26.544220478398362</v>
      </c>
      <c r="F198" s="97">
        <f t="shared" si="237"/>
        <v>25.991745612824861</v>
      </c>
      <c r="G198" s="97">
        <f t="shared" si="237"/>
        <v>24.625544143030027</v>
      </c>
      <c r="H198" s="97">
        <f t="shared" si="237"/>
        <v>25.241374885562905</v>
      </c>
      <c r="I198" s="97">
        <f t="shared" si="237"/>
        <v>20.744936792337604</v>
      </c>
      <c r="J198" s="97">
        <f t="shared" si="237"/>
        <v>19.324005785919493</v>
      </c>
      <c r="K198" s="97">
        <f t="shared" si="237"/>
        <v>22.120560464892112</v>
      </c>
      <c r="L198" s="97">
        <f t="shared" si="237"/>
        <v>21.786222414908927</v>
      </c>
      <c r="M198" s="97">
        <f t="shared" si="237"/>
        <v>23.912820646048022</v>
      </c>
      <c r="N198" s="97">
        <f t="shared" si="237"/>
        <v>24.625624030586607</v>
      </c>
      <c r="O198" s="97">
        <f t="shared" si="237"/>
        <v>24.150836608961779</v>
      </c>
      <c r="P198" s="97">
        <f t="shared" si="237"/>
        <v>23.528631471804754</v>
      </c>
      <c r="Q198" s="97">
        <f t="shared" si="237"/>
        <v>26.328672086144174</v>
      </c>
      <c r="R198" s="97">
        <f t="shared" si="237"/>
        <v>24.966933087306188</v>
      </c>
      <c r="S198" s="97">
        <f t="shared" si="237"/>
        <v>20.709794167095492</v>
      </c>
      <c r="T198" s="97">
        <f t="shared" si="237"/>
        <v>17.451824634447647</v>
      </c>
      <c r="U198" s="97">
        <f t="shared" si="237"/>
        <v>14.911849449176685</v>
      </c>
      <c r="V198" s="97">
        <f t="shared" si="237"/>
        <v>33.019430423195132</v>
      </c>
      <c r="W198" s="97">
        <f t="shared" ref="W198" si="238">IF(W46=0,0,W46/W16*1000)</f>
        <v>22.457353723234622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23.258718600443405</v>
      </c>
      <c r="C199" s="32">
        <f t="shared" si="239"/>
        <v>24.825889815640274</v>
      </c>
      <c r="D199" s="32">
        <f t="shared" si="239"/>
        <v>22.909451707786872</v>
      </c>
      <c r="E199" s="32">
        <f t="shared" si="239"/>
        <v>26.565637421687196</v>
      </c>
      <c r="F199" s="32">
        <f t="shared" si="239"/>
        <v>27.780824424602208</v>
      </c>
      <c r="G199" s="32">
        <f t="shared" si="239"/>
        <v>32.913403075025514</v>
      </c>
      <c r="H199" s="32">
        <f t="shared" si="239"/>
        <v>34.670570237808839</v>
      </c>
      <c r="I199" s="32">
        <f t="shared" si="239"/>
        <v>37.49895154437548</v>
      </c>
      <c r="J199" s="32">
        <f t="shared" si="239"/>
        <v>39.03225587360113</v>
      </c>
      <c r="K199" s="32">
        <f t="shared" si="239"/>
        <v>39.778226574991287</v>
      </c>
      <c r="L199" s="32">
        <f t="shared" si="239"/>
        <v>39.911134914488017</v>
      </c>
      <c r="M199" s="32">
        <f t="shared" si="239"/>
        <v>37.356743180468854</v>
      </c>
      <c r="N199" s="32">
        <f t="shared" si="239"/>
        <v>34.116485473813754</v>
      </c>
      <c r="O199" s="32">
        <f t="shared" si="239"/>
        <v>28.466082660108711</v>
      </c>
      <c r="P199" s="32">
        <f t="shared" si="239"/>
        <v>29.490396004447049</v>
      </c>
      <c r="Q199" s="32">
        <f t="shared" si="239"/>
        <v>29.027366510139512</v>
      </c>
      <c r="R199" s="32">
        <f t="shared" si="239"/>
        <v>33.71080970925194</v>
      </c>
      <c r="S199" s="32">
        <f t="shared" si="239"/>
        <v>37.612566504687955</v>
      </c>
      <c r="T199" s="32">
        <f t="shared" si="239"/>
        <v>39.857123937428511</v>
      </c>
      <c r="U199" s="32">
        <f t="shared" si="239"/>
        <v>39.096768201484416</v>
      </c>
      <c r="V199" s="32">
        <f t="shared" si="239"/>
        <v>37.458329641154357</v>
      </c>
      <c r="W199" s="32">
        <f t="shared" ref="W199" si="240">IF(W47=0,0,W47/W17*1000)</f>
        <v>41.89722708520474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37.887868045800843</v>
      </c>
      <c r="C200" s="141">
        <f t="shared" si="241"/>
        <v>38.425383672090859</v>
      </c>
      <c r="D200" s="141">
        <f t="shared" si="241"/>
        <v>34.555677421815666</v>
      </c>
      <c r="E200" s="141">
        <f t="shared" si="241"/>
        <v>40.038115093241814</v>
      </c>
      <c r="F200" s="141">
        <f t="shared" si="241"/>
        <v>41.892637588575205</v>
      </c>
      <c r="G200" s="141">
        <f t="shared" si="241"/>
        <v>48.900306561721166</v>
      </c>
      <c r="H200" s="141">
        <f t="shared" si="241"/>
        <v>52.040002515880495</v>
      </c>
      <c r="I200" s="141">
        <f t="shared" si="241"/>
        <v>55.969504463225995</v>
      </c>
      <c r="J200" s="141">
        <f t="shared" si="241"/>
        <v>56.422529629472002</v>
      </c>
      <c r="K200" s="141">
        <f t="shared" si="241"/>
        <v>53.818942377750048</v>
      </c>
      <c r="L200" s="141">
        <f t="shared" si="241"/>
        <v>54.470825523553842</v>
      </c>
      <c r="M200" s="141">
        <f t="shared" si="241"/>
        <v>51.262200221536368</v>
      </c>
      <c r="N200" s="141">
        <f t="shared" si="241"/>
        <v>45.392845530506811</v>
      </c>
      <c r="O200" s="141">
        <f t="shared" si="241"/>
        <v>37.209125208653013</v>
      </c>
      <c r="P200" s="141">
        <f t="shared" si="241"/>
        <v>38.69778255978779</v>
      </c>
      <c r="Q200" s="141">
        <f t="shared" si="241"/>
        <v>37.689713177923537</v>
      </c>
      <c r="R200" s="141">
        <f t="shared" si="241"/>
        <v>43.525831956885874</v>
      </c>
      <c r="S200" s="141">
        <f t="shared" si="241"/>
        <v>48.205748006086722</v>
      </c>
      <c r="T200" s="141">
        <f t="shared" si="241"/>
        <v>52.940008527065608</v>
      </c>
      <c r="U200" s="141">
        <f t="shared" si="241"/>
        <v>50.127161084045682</v>
      </c>
      <c r="V200" s="141">
        <f t="shared" si="241"/>
        <v>47.100650327963351</v>
      </c>
      <c r="W200" s="141">
        <f t="shared" ref="W200" si="242">IF(W48=0,0,W48/W18*1000)</f>
        <v>52.612913403920778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499.79044813007721</v>
      </c>
      <c r="C201" s="97">
        <f t="shared" si="243"/>
        <v>484.82127210155176</v>
      </c>
      <c r="D201" s="97">
        <f t="shared" si="243"/>
        <v>473.73129626511974</v>
      </c>
      <c r="E201" s="97">
        <f t="shared" si="243"/>
        <v>467.3425777291647</v>
      </c>
      <c r="F201" s="97">
        <f t="shared" si="243"/>
        <v>459.3823308751401</v>
      </c>
      <c r="G201" s="97">
        <f t="shared" si="243"/>
        <v>449.32272590888385</v>
      </c>
      <c r="H201" s="97">
        <f t="shared" si="243"/>
        <v>444.50722373424037</v>
      </c>
      <c r="I201" s="97">
        <f t="shared" si="243"/>
        <v>437.20244578918334</v>
      </c>
      <c r="J201" s="97">
        <f t="shared" si="243"/>
        <v>430.07873428702845</v>
      </c>
      <c r="K201" s="97">
        <f t="shared" si="243"/>
        <v>427.11249337619358</v>
      </c>
      <c r="L201" s="97">
        <f t="shared" si="243"/>
        <v>422.32008606816299</v>
      </c>
      <c r="M201" s="97">
        <f t="shared" si="243"/>
        <v>419.87696652559538</v>
      </c>
      <c r="N201" s="97">
        <f t="shared" si="243"/>
        <v>416.40975429160335</v>
      </c>
      <c r="O201" s="97">
        <f t="shared" si="243"/>
        <v>411.92184150422804</v>
      </c>
      <c r="P201" s="97">
        <f t="shared" si="243"/>
        <v>408.9689882516775</v>
      </c>
      <c r="Q201" s="97">
        <f t="shared" si="243"/>
        <v>404.6266146184123</v>
      </c>
      <c r="R201" s="97">
        <f t="shared" si="243"/>
        <v>402.92114514004817</v>
      </c>
      <c r="S201" s="97">
        <f t="shared" si="243"/>
        <v>400.91498457634623</v>
      </c>
      <c r="T201" s="97">
        <f t="shared" si="243"/>
        <v>400.00529157147565</v>
      </c>
      <c r="U201" s="97">
        <f t="shared" si="243"/>
        <v>396.33399712079182</v>
      </c>
      <c r="V201" s="97">
        <f t="shared" si="243"/>
        <v>393.97351778515144</v>
      </c>
      <c r="W201" s="97">
        <f t="shared" ref="W201" si="244">IF(W49=0,0,W49/W19*1000)</f>
        <v>392.48784055724281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11.083960626555397</v>
      </c>
      <c r="C202" s="97">
        <f t="shared" si="245"/>
        <v>13.89038119874056</v>
      </c>
      <c r="D202" s="97">
        <f t="shared" si="245"/>
        <v>10.114998521135334</v>
      </c>
      <c r="E202" s="97">
        <f t="shared" si="245"/>
        <v>16.346441714390188</v>
      </c>
      <c r="F202" s="97">
        <f t="shared" si="245"/>
        <v>21.69623414192543</v>
      </c>
      <c r="G202" s="97">
        <f t="shared" si="245"/>
        <v>29.515265637666314</v>
      </c>
      <c r="H202" s="97">
        <f t="shared" si="245"/>
        <v>32.893276403627219</v>
      </c>
      <c r="I202" s="97">
        <f t="shared" si="245"/>
        <v>37.385859887075</v>
      </c>
      <c r="J202" s="97">
        <f t="shared" si="245"/>
        <v>38.134647597253156</v>
      </c>
      <c r="K202" s="97">
        <f t="shared" si="245"/>
        <v>35.520264625874169</v>
      </c>
      <c r="L202" s="97">
        <f t="shared" si="245"/>
        <v>36.663330059361535</v>
      </c>
      <c r="M202" s="97">
        <f t="shared" si="245"/>
        <v>33.891499651958839</v>
      </c>
      <c r="N202" s="97">
        <f t="shared" si="245"/>
        <v>28.181360507323788</v>
      </c>
      <c r="O202" s="97">
        <f t="shared" si="245"/>
        <v>21.008709737836266</v>
      </c>
      <c r="P202" s="97">
        <f t="shared" si="245"/>
        <v>22.320090745702149</v>
      </c>
      <c r="Q202" s="97">
        <f t="shared" si="245"/>
        <v>22.220717877274115</v>
      </c>
      <c r="R202" s="97">
        <f t="shared" si="245"/>
        <v>28.278523461390979</v>
      </c>
      <c r="S202" s="97">
        <f t="shared" si="245"/>
        <v>34.394949363971925</v>
      </c>
      <c r="T202" s="97">
        <f t="shared" si="245"/>
        <v>37.551607333452701</v>
      </c>
      <c r="U202" s="97">
        <f t="shared" si="245"/>
        <v>35.056283102228754</v>
      </c>
      <c r="V202" s="97">
        <f t="shared" si="245"/>
        <v>31.962047091822583</v>
      </c>
      <c r="W202" s="97">
        <f t="shared" ref="W202" si="246">IF(W50=0,0,W50/W20*1000)</f>
        <v>38.432190125076829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4.523468990476248</v>
      </c>
      <c r="C203" s="130">
        <f t="shared" si="247"/>
        <v>4.591657508258816</v>
      </c>
      <c r="D203" s="130">
        <f t="shared" si="247"/>
        <v>4.4267224358120387</v>
      </c>
      <c r="E203" s="130">
        <f t="shared" si="247"/>
        <v>4.5390179575000635</v>
      </c>
      <c r="F203" s="130">
        <f t="shared" si="247"/>
        <v>4.1628662799786218</v>
      </c>
      <c r="G203" s="130">
        <f t="shared" si="247"/>
        <v>3.9229393994531097</v>
      </c>
      <c r="H203" s="130">
        <f t="shared" si="247"/>
        <v>3.833929716764346</v>
      </c>
      <c r="I203" s="130">
        <f t="shared" si="247"/>
        <v>3.5608694812275967</v>
      </c>
      <c r="J203" s="130">
        <f t="shared" si="247"/>
        <v>3.515273248790955</v>
      </c>
      <c r="K203" s="130">
        <f t="shared" si="247"/>
        <v>3.4682197413313611</v>
      </c>
      <c r="L203" s="130">
        <f t="shared" si="247"/>
        <v>3.4848054828089405</v>
      </c>
      <c r="M203" s="130">
        <f t="shared" si="247"/>
        <v>3.3609103863698602</v>
      </c>
      <c r="N203" s="130">
        <f t="shared" si="247"/>
        <v>3.2418750056107832</v>
      </c>
      <c r="O203" s="130">
        <f t="shared" si="247"/>
        <v>3.0164533168682537</v>
      </c>
      <c r="P203" s="130">
        <f t="shared" si="247"/>
        <v>2.8216069636619499</v>
      </c>
      <c r="Q203" s="130">
        <f t="shared" si="247"/>
        <v>2.678277965383538</v>
      </c>
      <c r="R203" s="130">
        <f t="shared" si="247"/>
        <v>2.5471246465402269</v>
      </c>
      <c r="S203" s="130">
        <f t="shared" si="247"/>
        <v>2.6160172883371016</v>
      </c>
      <c r="T203" s="130">
        <f t="shared" si="247"/>
        <v>2.6538393599931802</v>
      </c>
      <c r="U203" s="130">
        <f t="shared" si="247"/>
        <v>2.646498715670349</v>
      </c>
      <c r="V203" s="130">
        <f t="shared" si="247"/>
        <v>2.8497779020011769</v>
      </c>
      <c r="W203" s="130">
        <f t="shared" ref="W203" si="248">IF(W51=0,0,W51/W21*1000)</f>
        <v>2.8365271280820856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54.500906679450139</v>
      </c>
      <c r="C204" s="130">
        <f t="shared" si="249"/>
        <v>45.635394165403753</v>
      </c>
      <c r="D204" s="130">
        <f t="shared" si="249"/>
        <v>51.11755128323766</v>
      </c>
      <c r="E204" s="130">
        <f t="shared" si="249"/>
        <v>52.358119926672941</v>
      </c>
      <c r="F204" s="130">
        <f t="shared" si="249"/>
        <v>46.984608514574106</v>
      </c>
      <c r="G204" s="130">
        <f t="shared" si="249"/>
        <v>58.798563245598736</v>
      </c>
      <c r="H204" s="130">
        <f t="shared" si="249"/>
        <v>61.773229292926779</v>
      </c>
      <c r="I204" s="130">
        <f t="shared" si="249"/>
        <v>53.789261474163972</v>
      </c>
      <c r="J204" s="130">
        <f t="shared" si="249"/>
        <v>62.538995481039557</v>
      </c>
      <c r="K204" s="130">
        <f t="shared" si="249"/>
        <v>75.7198973350404</v>
      </c>
      <c r="L204" s="130">
        <f t="shared" si="249"/>
        <v>73.97960766015332</v>
      </c>
      <c r="M204" s="130">
        <f t="shared" si="249"/>
        <v>69.693947608080592</v>
      </c>
      <c r="N204" s="130">
        <f t="shared" si="249"/>
        <v>77.545368837636389</v>
      </c>
      <c r="O204" s="130">
        <f t="shared" si="249"/>
        <v>75.032778966253815</v>
      </c>
      <c r="P204" s="130">
        <f t="shared" si="249"/>
        <v>59.430233470434857</v>
      </c>
      <c r="Q204" s="130">
        <f t="shared" si="249"/>
        <v>54.904075020270248</v>
      </c>
      <c r="R204" s="130">
        <f t="shared" si="249"/>
        <v>57.394808026444899</v>
      </c>
      <c r="S204" s="130">
        <f t="shared" si="249"/>
        <v>58.373070424172347</v>
      </c>
      <c r="T204" s="130">
        <f t="shared" si="249"/>
        <v>48.527091206361263</v>
      </c>
      <c r="U204" s="130">
        <f t="shared" si="249"/>
        <v>43.428691883996635</v>
      </c>
      <c r="V204" s="130">
        <f t="shared" si="249"/>
        <v>94.563084953583129</v>
      </c>
      <c r="W204" s="130">
        <f t="shared" ref="W204" si="250">IF(W52=0,0,W52/W22*1000)</f>
        <v>91.993492263779999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47.170256272098023</v>
      </c>
      <c r="C205" s="97">
        <f t="shared" si="251"/>
        <v>47.647815136566031</v>
      </c>
      <c r="D205" s="97">
        <f t="shared" si="251"/>
        <v>46.378819384259955</v>
      </c>
      <c r="E205" s="97">
        <f t="shared" si="251"/>
        <v>43.559567689562115</v>
      </c>
      <c r="F205" s="97">
        <f t="shared" si="251"/>
        <v>46.216711861832671</v>
      </c>
      <c r="G205" s="97">
        <f t="shared" si="251"/>
        <v>45.787896908870984</v>
      </c>
      <c r="H205" s="97">
        <f t="shared" si="251"/>
        <v>47.934916703222321</v>
      </c>
      <c r="I205" s="97">
        <f t="shared" si="251"/>
        <v>58.267021343344055</v>
      </c>
      <c r="J205" s="97">
        <f t="shared" si="251"/>
        <v>46.416512307653626</v>
      </c>
      <c r="K205" s="97">
        <f t="shared" si="251"/>
        <v>64.992724971309244</v>
      </c>
      <c r="L205" s="97">
        <f t="shared" si="251"/>
        <v>56.486043013751718</v>
      </c>
      <c r="M205" s="97">
        <f t="shared" si="251"/>
        <v>51.564557515571302</v>
      </c>
      <c r="N205" s="97">
        <f t="shared" si="251"/>
        <v>122.73840167240444</v>
      </c>
      <c r="O205" s="97">
        <f t="shared" si="251"/>
        <v>142.72527779271414</v>
      </c>
      <c r="P205" s="97">
        <f t="shared" si="251"/>
        <v>206.93194039916858</v>
      </c>
      <c r="Q205" s="97">
        <f t="shared" si="251"/>
        <v>164.06420501266015</v>
      </c>
      <c r="R205" s="97">
        <f t="shared" si="251"/>
        <v>197.51928650157976</v>
      </c>
      <c r="S205" s="97">
        <f t="shared" si="251"/>
        <v>215.58193422128352</v>
      </c>
      <c r="T205" s="97">
        <f t="shared" si="251"/>
        <v>286.38378693677458</v>
      </c>
      <c r="U205" s="97">
        <f t="shared" si="251"/>
        <v>272.79331195894798</v>
      </c>
      <c r="V205" s="97">
        <f t="shared" si="251"/>
        <v>318.77988518045169</v>
      </c>
      <c r="W205" s="97">
        <f t="shared" ref="W205" si="252">IF(W53=0,0,W53/W23*1000)</f>
        <v>519.77001070802464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172.40025949349885</v>
      </c>
      <c r="C206" s="97">
        <f t="shared" si="253"/>
        <v>162.72747958400439</v>
      </c>
      <c r="D206" s="97">
        <f t="shared" si="253"/>
        <v>172.72511023584588</v>
      </c>
      <c r="E206" s="97">
        <f t="shared" si="253"/>
        <v>169.27260653407302</v>
      </c>
      <c r="F206" s="97">
        <f t="shared" si="253"/>
        <v>187.18271855372615</v>
      </c>
      <c r="G206" s="97">
        <f t="shared" si="253"/>
        <v>197.43789049403239</v>
      </c>
      <c r="H206" s="97">
        <f t="shared" si="253"/>
        <v>215.70466471611746</v>
      </c>
      <c r="I206" s="97">
        <f t="shared" si="253"/>
        <v>206.6957625797564</v>
      </c>
      <c r="J206" s="97">
        <f t="shared" si="253"/>
        <v>212.06809232670668</v>
      </c>
      <c r="K206" s="97">
        <f t="shared" si="253"/>
        <v>199.73880832853905</v>
      </c>
      <c r="L206" s="97">
        <f t="shared" si="253"/>
        <v>194.08461150538602</v>
      </c>
      <c r="M206" s="97">
        <f t="shared" si="253"/>
        <v>163.23077524369162</v>
      </c>
      <c r="N206" s="97">
        <f t="shared" si="253"/>
        <v>162.97244140457749</v>
      </c>
      <c r="O206" s="97">
        <f t="shared" si="253"/>
        <v>142.25287911734796</v>
      </c>
      <c r="P206" s="97">
        <f t="shared" si="253"/>
        <v>130.09143591554405</v>
      </c>
      <c r="Q206" s="97">
        <f t="shared" si="253"/>
        <v>120.56726167959168</v>
      </c>
      <c r="R206" s="97">
        <f t="shared" si="253"/>
        <v>108.11307428455797</v>
      </c>
      <c r="S206" s="97">
        <f t="shared" si="253"/>
        <v>135.33489171543266</v>
      </c>
      <c r="T206" s="97">
        <f t="shared" si="253"/>
        <v>129.49683065395223</v>
      </c>
      <c r="U206" s="97">
        <f t="shared" si="253"/>
        <v>111.13079688630538</v>
      </c>
      <c r="V206" s="97">
        <f t="shared" si="253"/>
        <v>175.88457413203588</v>
      </c>
      <c r="W206" s="97">
        <f t="shared" ref="W206" si="254">IF(W54=0,0,W54/W24*1000)</f>
        <v>174.80054404186475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14.783492389560504</v>
      </c>
      <c r="C207" s="97">
        <f t="shared" si="255"/>
        <v>14.117076668395924</v>
      </c>
      <c r="D207" s="97">
        <f t="shared" si="255"/>
        <v>14.921489065629475</v>
      </c>
      <c r="E207" s="97">
        <f t="shared" si="255"/>
        <v>16.408669223962445</v>
      </c>
      <c r="F207" s="97">
        <f t="shared" si="255"/>
        <v>16.905524517573166</v>
      </c>
      <c r="G207" s="97">
        <f t="shared" si="255"/>
        <v>17.248424339396983</v>
      </c>
      <c r="H207" s="97">
        <f t="shared" si="255"/>
        <v>21.146503617568396</v>
      </c>
      <c r="I207" s="97">
        <f t="shared" si="255"/>
        <v>23.03810833426186</v>
      </c>
      <c r="J207" s="97">
        <f t="shared" si="255"/>
        <v>33.999765868721227</v>
      </c>
      <c r="K207" s="97">
        <f t="shared" si="255"/>
        <v>42.252885171838386</v>
      </c>
      <c r="L207" s="97">
        <f t="shared" si="255"/>
        <v>54.491283790317752</v>
      </c>
      <c r="M207" s="97">
        <f t="shared" si="255"/>
        <v>50.969419113574745</v>
      </c>
      <c r="N207" s="97">
        <f t="shared" si="255"/>
        <v>53.846465563244472</v>
      </c>
      <c r="O207" s="97">
        <f t="shared" si="255"/>
        <v>55.933179609647091</v>
      </c>
      <c r="P207" s="97">
        <f t="shared" si="255"/>
        <v>43.568052155455923</v>
      </c>
      <c r="Q207" s="97">
        <f t="shared" si="255"/>
        <v>40.645949129364219</v>
      </c>
      <c r="R207" s="97">
        <f t="shared" si="255"/>
        <v>47.834661262994594</v>
      </c>
      <c r="S207" s="97">
        <f t="shared" si="255"/>
        <v>45.177821179486045</v>
      </c>
      <c r="T207" s="97">
        <f t="shared" si="255"/>
        <v>34.806901091848246</v>
      </c>
      <c r="U207" s="97">
        <f t="shared" si="255"/>
        <v>35.338457784751363</v>
      </c>
      <c r="V207" s="97">
        <f t="shared" si="255"/>
        <v>77.749163342307924</v>
      </c>
      <c r="W207" s="97">
        <f t="shared" ref="W207" si="256">IF(W55=0,0,W55/W25*1000)</f>
        <v>73.818533590835756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5.1897506162655969</v>
      </c>
      <c r="C208" s="130">
        <f t="shared" si="257"/>
        <v>4.8218770546104777</v>
      </c>
      <c r="D208" s="130">
        <f t="shared" si="257"/>
        <v>4.5022976923908233</v>
      </c>
      <c r="E208" s="130">
        <f t="shared" si="257"/>
        <v>8.1013323341609382</v>
      </c>
      <c r="F208" s="130">
        <f t="shared" si="257"/>
        <v>16.003482067582176</v>
      </c>
      <c r="G208" s="130">
        <f t="shared" si="257"/>
        <v>13.732304143408795</v>
      </c>
      <c r="H208" s="130">
        <f t="shared" si="257"/>
        <v>18.517441784527932</v>
      </c>
      <c r="I208" s="130">
        <f t="shared" si="257"/>
        <v>16.603620246441515</v>
      </c>
      <c r="J208" s="130">
        <f t="shared" si="257"/>
        <v>16.236092809303855</v>
      </c>
      <c r="K208" s="130">
        <f t="shared" si="257"/>
        <v>13.49910168852389</v>
      </c>
      <c r="L208" s="130">
        <f t="shared" si="257"/>
        <v>19.677803091816255</v>
      </c>
      <c r="M208" s="130">
        <f t="shared" si="257"/>
        <v>14.615367933614614</v>
      </c>
      <c r="N208" s="130">
        <f t="shared" si="257"/>
        <v>17.511878623263399</v>
      </c>
      <c r="O208" s="130">
        <f t="shared" si="257"/>
        <v>23.613154040455864</v>
      </c>
      <c r="P208" s="130">
        <f t="shared" si="257"/>
        <v>22.972201096444323</v>
      </c>
      <c r="Q208" s="130">
        <f t="shared" si="257"/>
        <v>16.707071053643684</v>
      </c>
      <c r="R208" s="130">
        <f t="shared" si="257"/>
        <v>11.8273772676789</v>
      </c>
      <c r="S208" s="130">
        <f t="shared" si="257"/>
        <v>25.883822575769624</v>
      </c>
      <c r="T208" s="130">
        <f t="shared" si="257"/>
        <v>11.440653044476667</v>
      </c>
      <c r="U208" s="130">
        <f t="shared" si="257"/>
        <v>12.332832651247228</v>
      </c>
      <c r="V208" s="130">
        <f t="shared" si="257"/>
        <v>5.8446462321351946</v>
      </c>
      <c r="W208" s="130">
        <f t="shared" ref="W208" si="258">IF(W56=0,0,W56/W26*1000)</f>
        <v>5.7901841054154231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16.955407807871762</v>
      </c>
      <c r="C209" s="97">
        <f t="shared" si="259"/>
        <v>17.34115038261568</v>
      </c>
      <c r="D209" s="97">
        <f t="shared" si="259"/>
        <v>17.747214050352117</v>
      </c>
      <c r="E209" s="97">
        <f t="shared" si="259"/>
        <v>18.429886996555901</v>
      </c>
      <c r="F209" s="97">
        <f t="shared" si="259"/>
        <v>21.652516079459744</v>
      </c>
      <c r="G209" s="97">
        <f t="shared" si="259"/>
        <v>21.779531218569932</v>
      </c>
      <c r="H209" s="97">
        <f t="shared" si="259"/>
        <v>25.613192824096267</v>
      </c>
      <c r="I209" s="97">
        <f t="shared" si="259"/>
        <v>24.779041398696233</v>
      </c>
      <c r="J209" s="97">
        <f t="shared" si="259"/>
        <v>24.092530017875035</v>
      </c>
      <c r="K209" s="97">
        <f t="shared" si="259"/>
        <v>25.240700689342916</v>
      </c>
      <c r="L209" s="97">
        <f t="shared" si="259"/>
        <v>30.399102613588674</v>
      </c>
      <c r="M209" s="97">
        <f t="shared" si="259"/>
        <v>21.430974532420855</v>
      </c>
      <c r="N209" s="97">
        <f t="shared" si="259"/>
        <v>22.454861049960641</v>
      </c>
      <c r="O209" s="97">
        <f t="shared" si="259"/>
        <v>25.783573194915057</v>
      </c>
      <c r="P209" s="97">
        <f t="shared" si="259"/>
        <v>28.395570755114413</v>
      </c>
      <c r="Q209" s="97">
        <f t="shared" si="259"/>
        <v>22.333015976777912</v>
      </c>
      <c r="R209" s="97">
        <f t="shared" si="259"/>
        <v>15.757736849552634</v>
      </c>
      <c r="S209" s="97">
        <f t="shared" si="259"/>
        <v>32.261638262682432</v>
      </c>
      <c r="T209" s="97">
        <f t="shared" si="259"/>
        <v>17.073200429793602</v>
      </c>
      <c r="U209" s="97">
        <f t="shared" si="259"/>
        <v>16.23974012512323</v>
      </c>
      <c r="V209" s="97">
        <f t="shared" si="259"/>
        <v>7.0578096423513514</v>
      </c>
      <c r="W209" s="97">
        <f t="shared" ref="W209" si="260">IF(W57=0,0,W57/W27*1000)</f>
        <v>6.4547347574773344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5.045423215302236</v>
      </c>
      <c r="C210" s="98">
        <f t="shared" si="261"/>
        <v>4.6834321158613825</v>
      </c>
      <c r="D210" s="98">
        <f t="shared" si="261"/>
        <v>4.3309607015648339</v>
      </c>
      <c r="E210" s="98">
        <f t="shared" si="261"/>
        <v>7.918734858615661</v>
      </c>
      <c r="F210" s="98">
        <f t="shared" si="261"/>
        <v>15.773596918617745</v>
      </c>
      <c r="G210" s="98">
        <f t="shared" si="261"/>
        <v>12.576948740581074</v>
      </c>
      <c r="H210" s="98">
        <f t="shared" si="261"/>
        <v>17.44249688396274</v>
      </c>
      <c r="I210" s="98">
        <f t="shared" si="261"/>
        <v>15.650903297723891</v>
      </c>
      <c r="J210" s="98">
        <f t="shared" si="261"/>
        <v>15.121981942914378</v>
      </c>
      <c r="K210" s="98">
        <f t="shared" si="261"/>
        <v>11.881086095519938</v>
      </c>
      <c r="L210" s="98">
        <f t="shared" si="261"/>
        <v>17.395898195909172</v>
      </c>
      <c r="M210" s="98">
        <f t="shared" si="261"/>
        <v>12.444449066533981</v>
      </c>
      <c r="N210" s="98">
        <f t="shared" si="261"/>
        <v>15.769760313029725</v>
      </c>
      <c r="O210" s="98">
        <f t="shared" si="261"/>
        <v>22.649774144995256</v>
      </c>
      <c r="P210" s="98">
        <f t="shared" si="261"/>
        <v>21.736757488199274</v>
      </c>
      <c r="Q210" s="98">
        <f t="shared" si="261"/>
        <v>14.472867676043998</v>
      </c>
      <c r="R210" s="98">
        <f t="shared" si="261"/>
        <v>9.4374275041528612</v>
      </c>
      <c r="S210" s="98">
        <f t="shared" si="261"/>
        <v>22.213971970253155</v>
      </c>
      <c r="T210" s="98">
        <f t="shared" si="261"/>
        <v>9.0923313885903312</v>
      </c>
      <c r="U210" s="98">
        <f t="shared" si="261"/>
        <v>9.3961854403662262</v>
      </c>
      <c r="V210" s="98">
        <f t="shared" si="261"/>
        <v>4.2698655934608425</v>
      </c>
      <c r="W210" s="98">
        <f t="shared" ref="W210:W213" si="262">IF(W58=0,0,W58/W28*1000)</f>
        <v>4.0732928828263608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5.18068729017949</v>
      </c>
      <c r="C211" s="32">
        <f t="shared" si="263"/>
        <v>5.2346765569161997</v>
      </c>
      <c r="D211" s="32">
        <f t="shared" si="263"/>
        <v>5.2220436724553672</v>
      </c>
      <c r="E211" s="32">
        <f t="shared" si="263"/>
        <v>5.2166195452760489</v>
      </c>
      <c r="F211" s="32">
        <f t="shared" si="263"/>
        <v>5.2192828901518427</v>
      </c>
      <c r="G211" s="32">
        <f t="shared" si="263"/>
        <v>2.669384545953903</v>
      </c>
      <c r="H211" s="32">
        <f t="shared" si="263"/>
        <v>2.5403664977712048</v>
      </c>
      <c r="I211" s="32">
        <f t="shared" si="263"/>
        <v>2.8058594385459577</v>
      </c>
      <c r="J211" s="32">
        <f t="shared" si="263"/>
        <v>3.3170548073930552</v>
      </c>
      <c r="K211" s="32">
        <f t="shared" si="263"/>
        <v>2.9744551922829516</v>
      </c>
      <c r="L211" s="32">
        <f t="shared" si="263"/>
        <v>1.9537239430020819</v>
      </c>
      <c r="M211" s="32">
        <f t="shared" si="263"/>
        <v>1.6723116418119188</v>
      </c>
      <c r="N211" s="32">
        <f t="shared" si="263"/>
        <v>1.1643918331585403</v>
      </c>
      <c r="O211" s="32">
        <f t="shared" si="263"/>
        <v>0.99234822343503615</v>
      </c>
      <c r="P211" s="32">
        <f t="shared" si="263"/>
        <v>0.8740237908366365</v>
      </c>
      <c r="Q211" s="32">
        <f t="shared" si="263"/>
        <v>1.1219361961011558</v>
      </c>
      <c r="R211" s="32">
        <f t="shared" si="263"/>
        <v>0.90948969213176001</v>
      </c>
      <c r="S211" s="32">
        <f t="shared" si="263"/>
        <v>1.1032245715694138</v>
      </c>
      <c r="T211" s="32">
        <f t="shared" si="263"/>
        <v>0.97958471950535086</v>
      </c>
      <c r="U211" s="32">
        <f t="shared" si="263"/>
        <v>0.97178962433035498</v>
      </c>
      <c r="V211" s="32">
        <f t="shared" si="263"/>
        <v>1.1322407867588862</v>
      </c>
      <c r="W211" s="32">
        <f t="shared" si="262"/>
        <v>1.2132849810737918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8.233169758546067</v>
      </c>
      <c r="C212" s="97">
        <f t="shared" si="264"/>
        <v>8.4336210561141058</v>
      </c>
      <c r="D212" s="97">
        <f t="shared" si="264"/>
        <v>8.385934376966949</v>
      </c>
      <c r="E212" s="97">
        <f t="shared" si="264"/>
        <v>8.3597924128955476</v>
      </c>
      <c r="F212" s="97">
        <f t="shared" si="264"/>
        <v>8.3724278864184143</v>
      </c>
      <c r="G212" s="97">
        <f t="shared" si="264"/>
        <v>4.7162295351956898</v>
      </c>
      <c r="H212" s="97">
        <f t="shared" si="264"/>
        <v>4.9609686999668536</v>
      </c>
      <c r="I212" s="97">
        <f t="shared" si="264"/>
        <v>4.5843643224395159</v>
      </c>
      <c r="J212" s="97">
        <f t="shared" si="264"/>
        <v>5.9469578456000356</v>
      </c>
      <c r="K212" s="97">
        <f t="shared" si="264"/>
        <v>5.2407370025934732</v>
      </c>
      <c r="L212" s="97">
        <f t="shared" si="264"/>
        <v>3.4011533132324181</v>
      </c>
      <c r="M212" s="97">
        <f t="shared" si="264"/>
        <v>2.9473242826837907</v>
      </c>
      <c r="N212" s="97">
        <f t="shared" si="264"/>
        <v>2.5230230469485573</v>
      </c>
      <c r="O212" s="97">
        <f t="shared" si="264"/>
        <v>2.1415527052347194</v>
      </c>
      <c r="P212" s="97">
        <f t="shared" si="264"/>
        <v>1.9963154572925288</v>
      </c>
      <c r="Q212" s="97">
        <f t="shared" si="264"/>
        <v>2.5074573155117656</v>
      </c>
      <c r="R212" s="97">
        <f t="shared" si="264"/>
        <v>2.2084999464801207</v>
      </c>
      <c r="S212" s="97">
        <f t="shared" si="264"/>
        <v>2.99485065463311</v>
      </c>
      <c r="T212" s="97">
        <f t="shared" si="264"/>
        <v>2.641493483175418</v>
      </c>
      <c r="U212" s="97">
        <f t="shared" si="264"/>
        <v>2.6696783848413799</v>
      </c>
      <c r="V212" s="97">
        <f t="shared" si="264"/>
        <v>2.6207608433217442</v>
      </c>
      <c r="W212" s="97">
        <f t="shared" si="262"/>
        <v>2.94704836759314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4.0389412164705805</v>
      </c>
      <c r="C213" s="98">
        <f t="shared" si="265"/>
        <v>4.0669128252789246</v>
      </c>
      <c r="D213" s="98">
        <f t="shared" si="265"/>
        <v>4.0657843673058025</v>
      </c>
      <c r="E213" s="98">
        <f t="shared" si="265"/>
        <v>4.0641634701964735</v>
      </c>
      <c r="F213" s="98">
        <f t="shared" si="265"/>
        <v>4.0639948560748902</v>
      </c>
      <c r="G213" s="98">
        <f t="shared" si="265"/>
        <v>2.0630711270224862</v>
      </c>
      <c r="H213" s="98">
        <f t="shared" si="265"/>
        <v>1.9857491567007928</v>
      </c>
      <c r="I213" s="98">
        <f t="shared" si="265"/>
        <v>2.1851264913575381</v>
      </c>
      <c r="J213" s="98">
        <f t="shared" si="265"/>
        <v>2.5725418069993844</v>
      </c>
      <c r="K213" s="98">
        <f t="shared" si="265"/>
        <v>2.2861436280533414</v>
      </c>
      <c r="L213" s="98">
        <f t="shared" si="265"/>
        <v>1.4936699405381832</v>
      </c>
      <c r="M213" s="98">
        <f t="shared" si="265"/>
        <v>1.2843939301386593</v>
      </c>
      <c r="N213" s="98">
        <f t="shared" si="265"/>
        <v>0.89964364438518396</v>
      </c>
      <c r="O213" s="98">
        <f t="shared" si="265"/>
        <v>0.77083844442107696</v>
      </c>
      <c r="P213" s="98">
        <f t="shared" si="265"/>
        <v>0.68857545386367147</v>
      </c>
      <c r="Q213" s="98">
        <f t="shared" si="265"/>
        <v>0.87147804187152467</v>
      </c>
      <c r="R213" s="98">
        <f t="shared" si="265"/>
        <v>0.72156180552034832</v>
      </c>
      <c r="S213" s="98">
        <f t="shared" si="265"/>
        <v>0.90375187912154387</v>
      </c>
      <c r="T213" s="98">
        <f t="shared" si="265"/>
        <v>0.8060765360508404</v>
      </c>
      <c r="U213" s="98">
        <f t="shared" si="265"/>
        <v>0.8025158194785158</v>
      </c>
      <c r="V213" s="98">
        <f t="shared" si="265"/>
        <v>0.96346170564979938</v>
      </c>
      <c r="W213" s="98">
        <f t="shared" si="262"/>
        <v>1.0275277725677803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85.940263254705712</v>
      </c>
      <c r="C216" s="32">
        <f t="shared" si="266"/>
        <v>84.639023867419169</v>
      </c>
      <c r="D216" s="32">
        <f t="shared" si="266"/>
        <v>83.606602608247897</v>
      </c>
      <c r="E216" s="32">
        <f t="shared" si="266"/>
        <v>85.32765048810441</v>
      </c>
      <c r="F216" s="32">
        <f t="shared" si="266"/>
        <v>92.45196333213147</v>
      </c>
      <c r="G216" s="32">
        <f t="shared" si="266"/>
        <v>90.979750771578153</v>
      </c>
      <c r="H216" s="32">
        <f t="shared" si="266"/>
        <v>98.047032937522047</v>
      </c>
      <c r="I216" s="32">
        <f t="shared" si="266"/>
        <v>103.65297497100796</v>
      </c>
      <c r="J216" s="32">
        <f t="shared" si="266"/>
        <v>104.15121196431026</v>
      </c>
      <c r="K216" s="32">
        <f t="shared" si="266"/>
        <v>105.96846105495241</v>
      </c>
      <c r="L216" s="32">
        <f t="shared" si="266"/>
        <v>108.77162675044359</v>
      </c>
      <c r="M216" s="32">
        <f t="shared" si="266"/>
        <v>109.90411508078667</v>
      </c>
      <c r="N216" s="32">
        <f t="shared" si="266"/>
        <v>110.12801162745514</v>
      </c>
      <c r="O216" s="32">
        <f t="shared" si="266"/>
        <v>104.3741950729718</v>
      </c>
      <c r="P216" s="32">
        <f t="shared" si="266"/>
        <v>102.72653359112789</v>
      </c>
      <c r="Q216" s="32">
        <f t="shared" si="266"/>
        <v>107.74570874827361</v>
      </c>
      <c r="R216" s="32">
        <f t="shared" si="266"/>
        <v>110.61848171475992</v>
      </c>
      <c r="S216" s="32">
        <f t="shared" si="266"/>
        <v>117.47056447350909</v>
      </c>
      <c r="T216" s="32">
        <f t="shared" si="266"/>
        <v>119.51729568305272</v>
      </c>
      <c r="U216" s="32">
        <f t="shared" si="266"/>
        <v>119.07264780576722</v>
      </c>
      <c r="V216" s="32">
        <f t="shared" si="266"/>
        <v>134.88680283500798</v>
      </c>
      <c r="W216" s="32">
        <f t="shared" ref="W216" si="267">IF(W4=0,0,W64/W4*1000)</f>
        <v>127.00426186476824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96.168506443317341</v>
      </c>
      <c r="C217" s="141">
        <f t="shared" si="268"/>
        <v>94.043871317517656</v>
      </c>
      <c r="D217" s="141">
        <f t="shared" si="268"/>
        <v>92.257915790560446</v>
      </c>
      <c r="E217" s="141">
        <f t="shared" si="268"/>
        <v>93.393986635426558</v>
      </c>
      <c r="F217" s="141">
        <f t="shared" si="268"/>
        <v>101.38009615761241</v>
      </c>
      <c r="G217" s="141">
        <f t="shared" si="268"/>
        <v>99.303110710364109</v>
      </c>
      <c r="H217" s="141">
        <f t="shared" si="268"/>
        <v>107.53635418160246</v>
      </c>
      <c r="I217" s="141">
        <f t="shared" si="268"/>
        <v>115.38814190940776</v>
      </c>
      <c r="J217" s="141">
        <f t="shared" si="268"/>
        <v>115.37972551763315</v>
      </c>
      <c r="K217" s="141">
        <f t="shared" si="268"/>
        <v>116.17321151258052</v>
      </c>
      <c r="L217" s="141">
        <f t="shared" si="268"/>
        <v>119.38297160235371</v>
      </c>
      <c r="M217" s="141">
        <f t="shared" si="268"/>
        <v>121.47278962317941</v>
      </c>
      <c r="N217" s="141">
        <f t="shared" si="268"/>
        <v>121.08922629964596</v>
      </c>
      <c r="O217" s="141">
        <f t="shared" si="268"/>
        <v>114.29280117516063</v>
      </c>
      <c r="P217" s="141">
        <f t="shared" si="268"/>
        <v>111.94747152387109</v>
      </c>
      <c r="Q217" s="141">
        <f t="shared" si="268"/>
        <v>118.47181622289223</v>
      </c>
      <c r="R217" s="141">
        <f t="shared" si="268"/>
        <v>122.71019927154398</v>
      </c>
      <c r="S217" s="141">
        <f t="shared" si="268"/>
        <v>131.65961675599067</v>
      </c>
      <c r="T217" s="141">
        <f t="shared" si="268"/>
        <v>134.87233340044023</v>
      </c>
      <c r="U217" s="141">
        <f t="shared" si="268"/>
        <v>135.17517607485007</v>
      </c>
      <c r="V217" s="141">
        <f t="shared" si="268"/>
        <v>143.50260959536533</v>
      </c>
      <c r="W217" s="141">
        <f t="shared" ref="W217" si="269">IF(W5=0,0,W65/W5*1000)</f>
        <v>137.54923697166902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119.95679853608927</v>
      </c>
      <c r="C218" s="97">
        <f t="shared" si="270"/>
        <v>119.71735150350939</v>
      </c>
      <c r="D218" s="97">
        <f t="shared" si="270"/>
        <v>118.29449412142212</v>
      </c>
      <c r="E218" s="97">
        <f t="shared" si="270"/>
        <v>117.39116644362727</v>
      </c>
      <c r="F218" s="97">
        <f t="shared" si="270"/>
        <v>117.71199180071881</v>
      </c>
      <c r="G218" s="97">
        <f t="shared" si="270"/>
        <v>107.95723984882999</v>
      </c>
      <c r="H218" s="97">
        <f t="shared" si="270"/>
        <v>106.17443644783467</v>
      </c>
      <c r="I218" s="97">
        <f t="shared" si="270"/>
        <v>104.01272769774233</v>
      </c>
      <c r="J218" s="97">
        <f t="shared" si="270"/>
        <v>105.23474628321135</v>
      </c>
      <c r="K218" s="97">
        <f t="shared" si="270"/>
        <v>97.032053436208798</v>
      </c>
      <c r="L218" s="97">
        <f t="shared" si="270"/>
        <v>95.641382634261518</v>
      </c>
      <c r="M218" s="97">
        <f t="shared" si="270"/>
        <v>94.173531861973615</v>
      </c>
      <c r="N218" s="97">
        <f t="shared" si="270"/>
        <v>94.049495803062669</v>
      </c>
      <c r="O218" s="97">
        <f t="shared" si="270"/>
        <v>93.150317276280163</v>
      </c>
      <c r="P218" s="97">
        <f t="shared" si="270"/>
        <v>92.116130755284402</v>
      </c>
      <c r="Q218" s="97">
        <f t="shared" si="270"/>
        <v>90.429639573136754</v>
      </c>
      <c r="R218" s="97">
        <f t="shared" si="270"/>
        <v>89.548273013817834</v>
      </c>
      <c r="S218" s="97">
        <f t="shared" si="270"/>
        <v>88.876964153611766</v>
      </c>
      <c r="T218" s="97">
        <f t="shared" si="270"/>
        <v>88.750925958466951</v>
      </c>
      <c r="U218" s="97">
        <f t="shared" si="270"/>
        <v>88.137936787889785</v>
      </c>
      <c r="V218" s="97">
        <f t="shared" si="270"/>
        <v>87.801709176929265</v>
      </c>
      <c r="W218" s="97">
        <f t="shared" ref="W218" si="271">IF(W6=0,0,W66/W6*1000)</f>
        <v>83.617370502807802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115.93903379589355</v>
      </c>
      <c r="C219" s="97">
        <f t="shared" si="272"/>
        <v>111.51615752732127</v>
      </c>
      <c r="D219" s="97">
        <f t="shared" si="272"/>
        <v>106.81164418285185</v>
      </c>
      <c r="E219" s="97">
        <f t="shared" si="272"/>
        <v>108.36895633534124</v>
      </c>
      <c r="F219" s="97">
        <f t="shared" si="272"/>
        <v>117.41327261595038</v>
      </c>
      <c r="G219" s="97">
        <f t="shared" si="272"/>
        <v>113.46393740312867</v>
      </c>
      <c r="H219" s="97">
        <f t="shared" si="272"/>
        <v>124.5488293648126</v>
      </c>
      <c r="I219" s="97">
        <f t="shared" si="272"/>
        <v>133.37735519453477</v>
      </c>
      <c r="J219" s="97">
        <f t="shared" si="272"/>
        <v>133.10141572667038</v>
      </c>
      <c r="K219" s="97">
        <f t="shared" si="272"/>
        <v>130.9433083853651</v>
      </c>
      <c r="L219" s="97">
        <f t="shared" si="272"/>
        <v>133.41539942368209</v>
      </c>
      <c r="M219" s="97">
        <f t="shared" si="272"/>
        <v>134.82194368303234</v>
      </c>
      <c r="N219" s="97">
        <f t="shared" si="272"/>
        <v>134.0864667715804</v>
      </c>
      <c r="O219" s="97">
        <f t="shared" si="272"/>
        <v>124.44057502480565</v>
      </c>
      <c r="P219" s="97">
        <f t="shared" si="272"/>
        <v>121.8598050988159</v>
      </c>
      <c r="Q219" s="97">
        <f t="shared" si="272"/>
        <v>126.48681736334171</v>
      </c>
      <c r="R219" s="97">
        <f t="shared" si="272"/>
        <v>130.50421942781239</v>
      </c>
      <c r="S219" s="97">
        <f t="shared" si="272"/>
        <v>140.60430243148033</v>
      </c>
      <c r="T219" s="97">
        <f t="shared" si="272"/>
        <v>143.92086201228705</v>
      </c>
      <c r="U219" s="97">
        <f t="shared" si="272"/>
        <v>144.5282494692523</v>
      </c>
      <c r="V219" s="97">
        <f t="shared" si="272"/>
        <v>143.90276848544423</v>
      </c>
      <c r="W219" s="97">
        <f t="shared" ref="W219" si="273">IF(W7=0,0,W67/W7*1000)</f>
        <v>138.49446941226324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51.710807607514361</v>
      </c>
      <c r="C220" s="97">
        <f t="shared" si="274"/>
        <v>51.27980897533692</v>
      </c>
      <c r="D220" s="97">
        <f t="shared" si="274"/>
        <v>53.183371440517455</v>
      </c>
      <c r="E220" s="97">
        <f t="shared" si="274"/>
        <v>51.473663976360271</v>
      </c>
      <c r="F220" s="97">
        <f t="shared" si="274"/>
        <v>54.722954146157683</v>
      </c>
      <c r="G220" s="97">
        <f t="shared" si="274"/>
        <v>55.103235086354559</v>
      </c>
      <c r="H220" s="97">
        <f t="shared" si="274"/>
        <v>52.892460061618962</v>
      </c>
      <c r="I220" s="97">
        <f t="shared" si="274"/>
        <v>54.749330227527501</v>
      </c>
      <c r="J220" s="97">
        <f t="shared" si="274"/>
        <v>51.76852987715904</v>
      </c>
      <c r="K220" s="97">
        <f t="shared" si="274"/>
        <v>55.846729361257545</v>
      </c>
      <c r="L220" s="97">
        <f t="shared" si="274"/>
        <v>57.48096407341761</v>
      </c>
      <c r="M220" s="97">
        <f t="shared" si="274"/>
        <v>60.471114575953102</v>
      </c>
      <c r="N220" s="97">
        <f t="shared" si="274"/>
        <v>60.63291689268398</v>
      </c>
      <c r="O220" s="97">
        <f t="shared" si="274"/>
        <v>63.947994703148687</v>
      </c>
      <c r="P220" s="97">
        <f t="shared" si="274"/>
        <v>63.502030398702487</v>
      </c>
      <c r="Q220" s="97">
        <f t="shared" si="274"/>
        <v>77.899416984513479</v>
      </c>
      <c r="R220" s="97">
        <f t="shared" si="274"/>
        <v>80.338633804175956</v>
      </c>
      <c r="S220" s="97">
        <f t="shared" si="274"/>
        <v>80.260036962186533</v>
      </c>
      <c r="T220" s="97">
        <f t="shared" si="274"/>
        <v>79.074352781736607</v>
      </c>
      <c r="U220" s="97">
        <f t="shared" si="274"/>
        <v>79.198380056656163</v>
      </c>
      <c r="V220" s="97">
        <f t="shared" si="274"/>
        <v>146.79296398596415</v>
      </c>
      <c r="W220" s="97">
        <f t="shared" ref="W220" si="275">IF(W8=0,0,W68/W8*1000)</f>
        <v>134.49299028107075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11.349049400827854</v>
      </c>
      <c r="C221" s="130">
        <f t="shared" si="276"/>
        <v>12.142959473564398</v>
      </c>
      <c r="D221" s="130">
        <f t="shared" si="276"/>
        <v>12.129768961022162</v>
      </c>
      <c r="E221" s="130">
        <f t="shared" si="276"/>
        <v>13.452984652870263</v>
      </c>
      <c r="F221" s="130">
        <f t="shared" si="276"/>
        <v>11.378912651587324</v>
      </c>
      <c r="G221" s="130">
        <f t="shared" si="276"/>
        <v>12.556297871631141</v>
      </c>
      <c r="H221" s="130">
        <f t="shared" si="276"/>
        <v>7.618971864666741</v>
      </c>
      <c r="I221" s="130">
        <f t="shared" si="276"/>
        <v>9.3113024437958956</v>
      </c>
      <c r="J221" s="130">
        <f t="shared" si="276"/>
        <v>7.1641914738675867</v>
      </c>
      <c r="K221" s="130">
        <f t="shared" si="276"/>
        <v>8.313054765596398</v>
      </c>
      <c r="L221" s="130">
        <f t="shared" si="276"/>
        <v>5.1101226879283912</v>
      </c>
      <c r="M221" s="130">
        <f t="shared" si="276"/>
        <v>5.0255870662273114</v>
      </c>
      <c r="N221" s="130">
        <f t="shared" si="276"/>
        <v>5.4138881663699925</v>
      </c>
      <c r="O221" s="130">
        <f t="shared" si="276"/>
        <v>5.2845096858307183</v>
      </c>
      <c r="P221" s="130">
        <f t="shared" si="276"/>
        <v>4.9177222647520624</v>
      </c>
      <c r="Q221" s="130">
        <f t="shared" si="276"/>
        <v>4.0341225159761551</v>
      </c>
      <c r="R221" s="130">
        <f t="shared" si="276"/>
        <v>4.6455521682004299</v>
      </c>
      <c r="S221" s="130">
        <f t="shared" si="276"/>
        <v>3.734576677061324</v>
      </c>
      <c r="T221" s="130">
        <f t="shared" si="276"/>
        <v>5.1436227207061931</v>
      </c>
      <c r="U221" s="130">
        <f t="shared" si="276"/>
        <v>3.8929252690462932</v>
      </c>
      <c r="V221" s="130">
        <f t="shared" si="276"/>
        <v>6.7410734426961607</v>
      </c>
      <c r="W221" s="130">
        <f t="shared" ref="W221" si="277">IF(W9=0,0,W69/W9*1000)</f>
        <v>5.5756903604144927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13.563084440836608</v>
      </c>
      <c r="C223" s="97">
        <f t="shared" si="280"/>
        <v>14.655966797080106</v>
      </c>
      <c r="D223" s="97">
        <f t="shared" si="280"/>
        <v>14.830599487790796</v>
      </c>
      <c r="E223" s="97">
        <f t="shared" si="280"/>
        <v>16.535703409256669</v>
      </c>
      <c r="F223" s="97">
        <f t="shared" si="280"/>
        <v>14.118618747475123</v>
      </c>
      <c r="G223" s="97">
        <f t="shared" si="280"/>
        <v>15.599075347820877</v>
      </c>
      <c r="H223" s="97">
        <f t="shared" si="280"/>
        <v>9.4465066209068773</v>
      </c>
      <c r="I223" s="97">
        <f t="shared" si="280"/>
        <v>11.468107481383946</v>
      </c>
      <c r="J223" s="97">
        <f t="shared" si="280"/>
        <v>8.7960449415472546</v>
      </c>
      <c r="K223" s="97">
        <f t="shared" si="280"/>
        <v>10.239995613768121</v>
      </c>
      <c r="L223" s="97">
        <f t="shared" si="280"/>
        <v>6.3476614673273764</v>
      </c>
      <c r="M223" s="97">
        <f t="shared" si="280"/>
        <v>6.2431280244487493</v>
      </c>
      <c r="N223" s="97">
        <f t="shared" si="280"/>
        <v>6.7478455515951339</v>
      </c>
      <c r="O223" s="97">
        <f t="shared" si="280"/>
        <v>6.5744626531779184</v>
      </c>
      <c r="P223" s="97">
        <f t="shared" si="280"/>
        <v>6.2188379451537852</v>
      </c>
      <c r="Q223" s="97">
        <f t="shared" si="280"/>
        <v>5.153030225236094</v>
      </c>
      <c r="R223" s="97">
        <f t="shared" si="280"/>
        <v>6.1573184386732009</v>
      </c>
      <c r="S223" s="97">
        <f t="shared" si="280"/>
        <v>4.872303700555058</v>
      </c>
      <c r="T223" s="97">
        <f t="shared" si="280"/>
        <v>6.7010574116959738</v>
      </c>
      <c r="U223" s="97">
        <f t="shared" si="280"/>
        <v>5.0605963714092388</v>
      </c>
      <c r="V223" s="97">
        <f t="shared" si="280"/>
        <v>8.6771128718140051</v>
      </c>
      <c r="W223" s="97">
        <f t="shared" ref="W223" si="281">IF(W11=0,0,W71/W11*1000)</f>
        <v>7.090457242400106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109.97553983758392</v>
      </c>
      <c r="C225" s="130">
        <f t="shared" si="284"/>
        <v>107.72192013246467</v>
      </c>
      <c r="D225" s="130">
        <f t="shared" si="284"/>
        <v>105.32610620576521</v>
      </c>
      <c r="E225" s="130">
        <f t="shared" si="284"/>
        <v>104.42819349755217</v>
      </c>
      <c r="F225" s="130">
        <f t="shared" si="284"/>
        <v>103.93531105400439</v>
      </c>
      <c r="G225" s="130">
        <f t="shared" si="284"/>
        <v>98.395744563677923</v>
      </c>
      <c r="H225" s="130">
        <f t="shared" si="284"/>
        <v>107.06932124928015</v>
      </c>
      <c r="I225" s="130">
        <f t="shared" si="284"/>
        <v>91.345288198995789</v>
      </c>
      <c r="J225" s="130">
        <f t="shared" si="284"/>
        <v>98.399484011179595</v>
      </c>
      <c r="K225" s="130">
        <f t="shared" si="284"/>
        <v>99.243806799346871</v>
      </c>
      <c r="L225" s="130">
        <f t="shared" si="284"/>
        <v>97.901267392858998</v>
      </c>
      <c r="M225" s="130">
        <f t="shared" si="284"/>
        <v>90.699734967584959</v>
      </c>
      <c r="N225" s="130">
        <f t="shared" si="284"/>
        <v>97.610410244678732</v>
      </c>
      <c r="O225" s="130">
        <f t="shared" si="284"/>
        <v>90.372892339700257</v>
      </c>
      <c r="P225" s="130">
        <f t="shared" si="284"/>
        <v>91.476189329280217</v>
      </c>
      <c r="Q225" s="130">
        <f t="shared" si="284"/>
        <v>91.687282778639627</v>
      </c>
      <c r="R225" s="130">
        <f t="shared" si="284"/>
        <v>86.964491974379328</v>
      </c>
      <c r="S225" s="130">
        <f t="shared" si="284"/>
        <v>87.401026225499933</v>
      </c>
      <c r="T225" s="130">
        <f t="shared" si="284"/>
        <v>86.819806770231125</v>
      </c>
      <c r="U225" s="130">
        <f t="shared" si="284"/>
        <v>84.962643339630205</v>
      </c>
      <c r="V225" s="130">
        <f t="shared" si="284"/>
        <v>118.77254768319847</v>
      </c>
      <c r="W225" s="130">
        <f t="shared" ref="W225" si="285">IF(W13=0,0,W73/W13*1000)</f>
        <v>101.88407237702741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37.59121369587308</v>
      </c>
      <c r="C226" s="97">
        <f t="shared" si="286"/>
        <v>37.255212979146357</v>
      </c>
      <c r="D226" s="97">
        <f t="shared" si="286"/>
        <v>36.699304440895126</v>
      </c>
      <c r="E226" s="97">
        <f t="shared" si="286"/>
        <v>35.808150234732047</v>
      </c>
      <c r="F226" s="97">
        <f t="shared" si="286"/>
        <v>35.15004192198937</v>
      </c>
      <c r="G226" s="97">
        <f t="shared" si="286"/>
        <v>33.497656806320926</v>
      </c>
      <c r="H226" s="97">
        <f t="shared" si="286"/>
        <v>33.103972206353539</v>
      </c>
      <c r="I226" s="97">
        <f t="shared" si="286"/>
        <v>36.597938615059007</v>
      </c>
      <c r="J226" s="97">
        <f t="shared" si="286"/>
        <v>31.154458041975978</v>
      </c>
      <c r="K226" s="97">
        <f t="shared" si="286"/>
        <v>44.666954621472847</v>
      </c>
      <c r="L226" s="97">
        <f t="shared" si="286"/>
        <v>39.05982748907482</v>
      </c>
      <c r="M226" s="97">
        <f t="shared" si="286"/>
        <v>36.98173210155035</v>
      </c>
      <c r="N226" s="97">
        <f t="shared" si="286"/>
        <v>81.247257824785436</v>
      </c>
      <c r="O226" s="97">
        <f t="shared" si="286"/>
        <v>105.43357712684633</v>
      </c>
      <c r="P226" s="97">
        <f t="shared" si="286"/>
        <v>141.37034204932391</v>
      </c>
      <c r="Q226" s="97">
        <f t="shared" si="286"/>
        <v>99.447291948386493</v>
      </c>
      <c r="R226" s="97">
        <f t="shared" si="286"/>
        <v>121.83490364995781</v>
      </c>
      <c r="S226" s="97">
        <f t="shared" si="286"/>
        <v>108.3643436678469</v>
      </c>
      <c r="T226" s="97">
        <f t="shared" si="286"/>
        <v>151.72702681700179</v>
      </c>
      <c r="U226" s="97">
        <f t="shared" si="286"/>
        <v>152.89818903818255</v>
      </c>
      <c r="V226" s="97">
        <f t="shared" si="286"/>
        <v>237.11873762929451</v>
      </c>
      <c r="W226" s="97">
        <f t="shared" ref="W226" si="287">IF(W14=0,0,W74/W14*1000)</f>
        <v>341.87714516517468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138.07086463312859</v>
      </c>
      <c r="C227" s="97">
        <f t="shared" si="288"/>
        <v>134.95277148952999</v>
      </c>
      <c r="D227" s="97">
        <f t="shared" si="288"/>
        <v>132.98563299267445</v>
      </c>
      <c r="E227" s="97">
        <f t="shared" si="288"/>
        <v>132.80626604866302</v>
      </c>
      <c r="F227" s="97">
        <f t="shared" si="288"/>
        <v>132.65328053776048</v>
      </c>
      <c r="G227" s="97">
        <f t="shared" si="288"/>
        <v>121.81555803895701</v>
      </c>
      <c r="H227" s="97">
        <f t="shared" si="288"/>
        <v>132.86140594997642</v>
      </c>
      <c r="I227" s="97">
        <f t="shared" si="288"/>
        <v>112.87894857744472</v>
      </c>
      <c r="J227" s="97">
        <f t="shared" si="288"/>
        <v>132.55776696729234</v>
      </c>
      <c r="K227" s="97">
        <f t="shared" si="288"/>
        <v>125.35370721650973</v>
      </c>
      <c r="L227" s="97">
        <f t="shared" si="288"/>
        <v>124.30073801529433</v>
      </c>
      <c r="M227" s="97">
        <f t="shared" si="288"/>
        <v>103.64349783808862</v>
      </c>
      <c r="N227" s="97">
        <f t="shared" si="288"/>
        <v>112.58972121788287</v>
      </c>
      <c r="O227" s="97">
        <f t="shared" si="288"/>
        <v>98.396725596402774</v>
      </c>
      <c r="P227" s="97">
        <f t="shared" si="288"/>
        <v>99.991413033238487</v>
      </c>
      <c r="Q227" s="97">
        <f t="shared" si="288"/>
        <v>96.553059801893454</v>
      </c>
      <c r="R227" s="97">
        <f t="shared" si="288"/>
        <v>90.146759757650557</v>
      </c>
      <c r="S227" s="97">
        <f t="shared" si="288"/>
        <v>98.22678017145887</v>
      </c>
      <c r="T227" s="97">
        <f t="shared" si="288"/>
        <v>104.65511888831351</v>
      </c>
      <c r="U227" s="97">
        <f t="shared" si="288"/>
        <v>111.40064490569139</v>
      </c>
      <c r="V227" s="97">
        <f t="shared" si="288"/>
        <v>126.15725806569783</v>
      </c>
      <c r="W227" s="97">
        <f t="shared" ref="W227" si="289">IF(W15=0,0,W75/W15*1000)</f>
        <v>121.09885118883822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84.284554667167342</v>
      </c>
      <c r="C228" s="97">
        <f t="shared" si="290"/>
        <v>82.748056214477501</v>
      </c>
      <c r="D228" s="97">
        <f t="shared" si="290"/>
        <v>81.484981298086112</v>
      </c>
      <c r="E228" s="97">
        <f t="shared" si="290"/>
        <v>79.906311112950974</v>
      </c>
      <c r="F228" s="97">
        <f t="shared" si="290"/>
        <v>78.243190942346317</v>
      </c>
      <c r="G228" s="97">
        <f t="shared" si="290"/>
        <v>74.130502088769418</v>
      </c>
      <c r="H228" s="97">
        <f t="shared" si="290"/>
        <v>75.984343038658963</v>
      </c>
      <c r="I228" s="97">
        <f t="shared" si="290"/>
        <v>62.448674079392404</v>
      </c>
      <c r="J228" s="97">
        <f t="shared" si="290"/>
        <v>58.171232398206676</v>
      </c>
      <c r="K228" s="97">
        <f t="shared" si="290"/>
        <v>66.589726676621012</v>
      </c>
      <c r="L228" s="97">
        <f t="shared" si="290"/>
        <v>65.583265768846587</v>
      </c>
      <c r="M228" s="97">
        <f t="shared" si="290"/>
        <v>71.984983988748297</v>
      </c>
      <c r="N228" s="97">
        <f t="shared" si="290"/>
        <v>74.130742575015958</v>
      </c>
      <c r="O228" s="97">
        <f t="shared" si="290"/>
        <v>72.701485631654464</v>
      </c>
      <c r="P228" s="97">
        <f t="shared" si="290"/>
        <v>70.828455782983397</v>
      </c>
      <c r="Q228" s="97">
        <f t="shared" si="290"/>
        <v>79.257443804702987</v>
      </c>
      <c r="R228" s="97">
        <f t="shared" si="290"/>
        <v>75.158188368502209</v>
      </c>
      <c r="S228" s="97">
        <f t="shared" si="290"/>
        <v>62.342747530213458</v>
      </c>
      <c r="T228" s="97">
        <f t="shared" si="290"/>
        <v>52.535318628224161</v>
      </c>
      <c r="U228" s="97">
        <f t="shared" si="290"/>
        <v>44.88923360659625</v>
      </c>
      <c r="V228" s="97">
        <f t="shared" si="290"/>
        <v>99.398568214360893</v>
      </c>
      <c r="W228" s="97">
        <f t="shared" ref="W228" si="291">IF(W16=0,0,W76/W16*1000)</f>
        <v>67.603498693925914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65.874010552870573</v>
      </c>
      <c r="C229" s="32">
        <f t="shared" si="292"/>
        <v>71.096906098194665</v>
      </c>
      <c r="D229" s="32">
        <f t="shared" si="292"/>
        <v>65.623587508419277</v>
      </c>
      <c r="E229" s="32">
        <f t="shared" si="292"/>
        <v>76.843894935250148</v>
      </c>
      <c r="F229" s="32">
        <f t="shared" si="292"/>
        <v>81.723516892696935</v>
      </c>
      <c r="G229" s="32">
        <f t="shared" si="292"/>
        <v>97.767787205319721</v>
      </c>
      <c r="H229" s="32">
        <f t="shared" si="292"/>
        <v>103.4162068513179</v>
      </c>
      <c r="I229" s="32">
        <f t="shared" si="292"/>
        <v>112.38190460968794</v>
      </c>
      <c r="J229" s="32">
        <f t="shared" si="292"/>
        <v>113.93780855771898</v>
      </c>
      <c r="K229" s="32">
        <f t="shared" si="292"/>
        <v>114.81393053400429</v>
      </c>
      <c r="L229" s="32">
        <f t="shared" si="292"/>
        <v>113.52965907220717</v>
      </c>
      <c r="M229" s="32">
        <f t="shared" si="292"/>
        <v>106.00116927386472</v>
      </c>
      <c r="N229" s="32">
        <f t="shared" si="292"/>
        <v>97.278639395814096</v>
      </c>
      <c r="O229" s="32">
        <f t="shared" si="292"/>
        <v>81.103165015736479</v>
      </c>
      <c r="P229" s="32">
        <f t="shared" si="292"/>
        <v>84.509324410088382</v>
      </c>
      <c r="Q229" s="32">
        <f t="shared" si="292"/>
        <v>84.114639296121183</v>
      </c>
      <c r="R229" s="32">
        <f t="shared" si="292"/>
        <v>100.31478674796044</v>
      </c>
      <c r="S229" s="32">
        <f t="shared" si="292"/>
        <v>111.60174398280623</v>
      </c>
      <c r="T229" s="32">
        <f t="shared" si="292"/>
        <v>115.94086414267979</v>
      </c>
      <c r="U229" s="32">
        <f t="shared" si="292"/>
        <v>113.13867894703232</v>
      </c>
      <c r="V229" s="32">
        <f t="shared" si="292"/>
        <v>107.99750472883916</v>
      </c>
      <c r="W229" s="32">
        <f t="shared" ref="W229" si="293">IF(W17=0,0,W77/W17*1000)</f>
        <v>121.15875152275176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114.26476869470551</v>
      </c>
      <c r="C230" s="141">
        <f t="shared" si="294"/>
        <v>116.11299568857726</v>
      </c>
      <c r="D230" s="141">
        <f t="shared" si="294"/>
        <v>104.39717570373139</v>
      </c>
      <c r="E230" s="141">
        <f t="shared" si="294"/>
        <v>121.31235555839763</v>
      </c>
      <c r="F230" s="141">
        <f t="shared" si="294"/>
        <v>127.68271326257558</v>
      </c>
      <c r="G230" s="141">
        <f t="shared" si="294"/>
        <v>149.2265794184315</v>
      </c>
      <c r="H230" s="141">
        <f t="shared" si="294"/>
        <v>158.63827934337672</v>
      </c>
      <c r="I230" s="141">
        <f t="shared" si="294"/>
        <v>171.24255408609193</v>
      </c>
      <c r="J230" s="141">
        <f t="shared" si="294"/>
        <v>167.62818891570245</v>
      </c>
      <c r="K230" s="141">
        <f t="shared" si="294"/>
        <v>157.46673416622971</v>
      </c>
      <c r="L230" s="141">
        <f t="shared" si="294"/>
        <v>156.9023403129182</v>
      </c>
      <c r="M230" s="141">
        <f t="shared" si="294"/>
        <v>147.39796536917697</v>
      </c>
      <c r="N230" s="141">
        <f t="shared" si="294"/>
        <v>131.12915371232981</v>
      </c>
      <c r="O230" s="141">
        <f t="shared" si="294"/>
        <v>107.55793439306817</v>
      </c>
      <c r="P230" s="141">
        <f t="shared" si="294"/>
        <v>112.3942365673085</v>
      </c>
      <c r="Q230" s="141">
        <f t="shared" si="294"/>
        <v>110.62954364905197</v>
      </c>
      <c r="R230" s="141">
        <f t="shared" si="294"/>
        <v>130.96021311262206</v>
      </c>
      <c r="S230" s="141">
        <f t="shared" si="294"/>
        <v>144.40649190476779</v>
      </c>
      <c r="T230" s="141">
        <f t="shared" si="294"/>
        <v>155.56587852852033</v>
      </c>
      <c r="U230" s="141">
        <f t="shared" si="294"/>
        <v>146.4481953579315</v>
      </c>
      <c r="V230" s="141">
        <f t="shared" si="294"/>
        <v>137.22359062026436</v>
      </c>
      <c r="W230" s="141">
        <f t="shared" ref="W230" si="295">IF(W18=0,0,W78/W18*1000)</f>
        <v>153.49961349657951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1490.7695561191058</v>
      </c>
      <c r="C231" s="97">
        <f t="shared" si="296"/>
        <v>1444.6426258664703</v>
      </c>
      <c r="D231" s="97">
        <f t="shared" si="296"/>
        <v>1416.4286931732659</v>
      </c>
      <c r="E231" s="97">
        <f t="shared" si="296"/>
        <v>1394.6374642886169</v>
      </c>
      <c r="F231" s="97">
        <f t="shared" si="296"/>
        <v>1375.6598424185165</v>
      </c>
      <c r="G231" s="97">
        <f t="shared" si="296"/>
        <v>1345.5310305133191</v>
      </c>
      <c r="H231" s="97">
        <f t="shared" si="296"/>
        <v>1329.9632866527422</v>
      </c>
      <c r="I231" s="97">
        <f t="shared" si="296"/>
        <v>1312.2888209141076</v>
      </c>
      <c r="J231" s="97">
        <f t="shared" si="296"/>
        <v>1260.7720522817554</v>
      </c>
      <c r="K231" s="97">
        <f t="shared" si="296"/>
        <v>1235.8712993918984</v>
      </c>
      <c r="L231" s="97">
        <f t="shared" si="296"/>
        <v>1207.2900175185307</v>
      </c>
      <c r="M231" s="97">
        <f t="shared" si="296"/>
        <v>1199.4962208404397</v>
      </c>
      <c r="N231" s="97">
        <f t="shared" si="296"/>
        <v>1195.8855512509199</v>
      </c>
      <c r="O231" s="97">
        <f t="shared" si="296"/>
        <v>1184.2960068863015</v>
      </c>
      <c r="P231" s="97">
        <f t="shared" si="296"/>
        <v>1180.968870825184</v>
      </c>
      <c r="Q231" s="97">
        <f t="shared" si="296"/>
        <v>1179.5022640942475</v>
      </c>
      <c r="R231" s="97">
        <f t="shared" si="296"/>
        <v>1200.4364199849415</v>
      </c>
      <c r="S231" s="97">
        <f t="shared" si="296"/>
        <v>1189.2557309591914</v>
      </c>
      <c r="T231" s="97">
        <f t="shared" si="296"/>
        <v>1167.1231214815939</v>
      </c>
      <c r="U231" s="97">
        <f t="shared" si="296"/>
        <v>1150.5825694343748</v>
      </c>
      <c r="V231" s="97">
        <f t="shared" si="296"/>
        <v>1141.4377262732246</v>
      </c>
      <c r="W231" s="97">
        <f t="shared" ref="W231" si="297">IF(W19=0,0,W79/W19*1000)</f>
        <v>1138.2467002896835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34.387087826285246</v>
      </c>
      <c r="C232" s="97">
        <f t="shared" si="298"/>
        <v>43.093779770139243</v>
      </c>
      <c r="D232" s="97">
        <f t="shared" si="298"/>
        <v>31.380961573942454</v>
      </c>
      <c r="E232" s="97">
        <f t="shared" si="298"/>
        <v>50.713508087828359</v>
      </c>
      <c r="F232" s="97">
        <f t="shared" si="298"/>
        <v>67.310804691111329</v>
      </c>
      <c r="G232" s="97">
        <f t="shared" si="298"/>
        <v>91.311713462843016</v>
      </c>
      <c r="H232" s="97">
        <f t="shared" si="298"/>
        <v>101.49455398011236</v>
      </c>
      <c r="I232" s="97">
        <f t="shared" si="298"/>
        <v>115.62092235111152</v>
      </c>
      <c r="J232" s="97">
        <f t="shared" si="298"/>
        <v>114.12637155446345</v>
      </c>
      <c r="K232" s="97">
        <f t="shared" si="298"/>
        <v>104.60383960928998</v>
      </c>
      <c r="L232" s="97">
        <f t="shared" si="298"/>
        <v>106.05332196831262</v>
      </c>
      <c r="M232" s="97">
        <f t="shared" si="298"/>
        <v>97.818606547476534</v>
      </c>
      <c r="N232" s="97">
        <f t="shared" si="298"/>
        <v>81.735073936374988</v>
      </c>
      <c r="O232" s="97">
        <f t="shared" si="298"/>
        <v>61.005993748819513</v>
      </c>
      <c r="P232" s="97">
        <f t="shared" si="298"/>
        <v>65.129459368328781</v>
      </c>
      <c r="Q232" s="97">
        <f t="shared" si="298"/>
        <v>65.568970496965463</v>
      </c>
      <c r="R232" s="97">
        <f t="shared" si="298"/>
        <v>85.587797122145673</v>
      </c>
      <c r="S232" s="97">
        <f t="shared" si="298"/>
        <v>103.49403213403247</v>
      </c>
      <c r="T232" s="97">
        <f t="shared" si="298"/>
        <v>110.71481031356717</v>
      </c>
      <c r="U232" s="97">
        <f t="shared" si="298"/>
        <v>102.73679207573875</v>
      </c>
      <c r="V232" s="97">
        <f t="shared" si="298"/>
        <v>93.396584272901293</v>
      </c>
      <c r="W232" s="97">
        <f t="shared" ref="W232" si="299">IF(W20=0,0,W80/W20*1000)</f>
        <v>112.41265820269521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3.6847700135437873</v>
      </c>
      <c r="C233" s="130">
        <f t="shared" si="300"/>
        <v>3.8509329265494143</v>
      </c>
      <c r="D233" s="130">
        <f t="shared" si="300"/>
        <v>3.8580212709834507</v>
      </c>
      <c r="E233" s="130">
        <f t="shared" si="300"/>
        <v>3.9712758666234413</v>
      </c>
      <c r="F233" s="130">
        <f t="shared" si="300"/>
        <v>4.7603270306827552</v>
      </c>
      <c r="G233" s="130">
        <f t="shared" si="300"/>
        <v>4.4065262472908096</v>
      </c>
      <c r="H233" s="130">
        <f t="shared" si="300"/>
        <v>5.3478383985852034</v>
      </c>
      <c r="I233" s="130">
        <f t="shared" si="300"/>
        <v>4.2006132764491584</v>
      </c>
      <c r="J233" s="130">
        <f t="shared" si="300"/>
        <v>4.2397919214006325</v>
      </c>
      <c r="K233" s="130">
        <f t="shared" si="300"/>
        <v>4.4695756203522512</v>
      </c>
      <c r="L233" s="130">
        <f t="shared" si="300"/>
        <v>4.9767025957093951</v>
      </c>
      <c r="M233" s="130">
        <f t="shared" si="300"/>
        <v>4.7538327194506564</v>
      </c>
      <c r="N233" s="130">
        <f t="shared" si="300"/>
        <v>4.5605700246869327</v>
      </c>
      <c r="O233" s="130">
        <f t="shared" si="300"/>
        <v>4.0725068456706941</v>
      </c>
      <c r="P233" s="130">
        <f t="shared" si="300"/>
        <v>3.7138661759503542</v>
      </c>
      <c r="Q233" s="130">
        <f t="shared" si="300"/>
        <v>3.4422913786437568</v>
      </c>
      <c r="R233" s="130">
        <f t="shared" si="300"/>
        <v>3.0019480636519713</v>
      </c>
      <c r="S233" s="130">
        <f t="shared" si="300"/>
        <v>3.2092296373381939</v>
      </c>
      <c r="T233" s="130">
        <f t="shared" si="300"/>
        <v>3.2282885868156939</v>
      </c>
      <c r="U233" s="130">
        <f t="shared" si="300"/>
        <v>3.0198070329268574</v>
      </c>
      <c r="V233" s="130">
        <f t="shared" si="300"/>
        <v>3.0635089292017685</v>
      </c>
      <c r="W233" s="130">
        <f t="shared" ref="W233" si="301">IF(W21=0,0,W81/W21*1000)</f>
        <v>3.2279724465229402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163.96311424964324</v>
      </c>
      <c r="C234" s="130">
        <f t="shared" si="302"/>
        <v>137.29417313585654</v>
      </c>
      <c r="D234" s="130">
        <f t="shared" si="302"/>
        <v>153.78725820275562</v>
      </c>
      <c r="E234" s="130">
        <f t="shared" si="302"/>
        <v>157.52177665303469</v>
      </c>
      <c r="F234" s="130">
        <f t="shared" si="302"/>
        <v>141.3621005212845</v>
      </c>
      <c r="G234" s="130">
        <f t="shared" si="302"/>
        <v>176.94344912744137</v>
      </c>
      <c r="H234" s="130">
        <f t="shared" si="302"/>
        <v>185.84446405825733</v>
      </c>
      <c r="I234" s="130">
        <f t="shared" si="302"/>
        <v>161.79441855000081</v>
      </c>
      <c r="J234" s="130">
        <f t="shared" si="302"/>
        <v>188.16213036871397</v>
      </c>
      <c r="K234" s="130">
        <f t="shared" si="302"/>
        <v>227.78715378555418</v>
      </c>
      <c r="L234" s="130">
        <f t="shared" si="302"/>
        <v>222.61764779459079</v>
      </c>
      <c r="M234" s="130">
        <f t="shared" si="302"/>
        <v>209.70523855292976</v>
      </c>
      <c r="N234" s="130">
        <f t="shared" si="302"/>
        <v>233.36275806606037</v>
      </c>
      <c r="O234" s="130">
        <f t="shared" si="302"/>
        <v>225.81001115796451</v>
      </c>
      <c r="P234" s="130">
        <f t="shared" si="302"/>
        <v>178.8728895565456</v>
      </c>
      <c r="Q234" s="130">
        <f t="shared" si="302"/>
        <v>165.26122126571556</v>
      </c>
      <c r="R234" s="130">
        <f t="shared" si="302"/>
        <v>172.76869676888705</v>
      </c>
      <c r="S234" s="130">
        <f t="shared" si="302"/>
        <v>175.71884411302537</v>
      </c>
      <c r="T234" s="130">
        <f t="shared" si="302"/>
        <v>146.07937011888652</v>
      </c>
      <c r="U234" s="130">
        <f t="shared" si="302"/>
        <v>130.73202361595565</v>
      </c>
      <c r="V234" s="130">
        <f t="shared" si="302"/>
        <v>284.66214213118627</v>
      </c>
      <c r="W234" s="130">
        <f t="shared" ref="W234" si="303">IF(W22=0,0,W82/W22*1000)</f>
        <v>276.92706147525257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138.24470027201406</v>
      </c>
      <c r="C235" s="97">
        <f t="shared" si="304"/>
        <v>139.64431068964228</v>
      </c>
      <c r="D235" s="97">
        <f t="shared" si="304"/>
        <v>135.92518869861374</v>
      </c>
      <c r="E235" s="97">
        <f t="shared" si="304"/>
        <v>127.66263860186106</v>
      </c>
      <c r="F235" s="97">
        <f t="shared" si="304"/>
        <v>135.45009045618471</v>
      </c>
      <c r="G235" s="97">
        <f t="shared" si="304"/>
        <v>134.19333674464275</v>
      </c>
      <c r="H235" s="97">
        <f t="shared" si="304"/>
        <v>140.48573647713584</v>
      </c>
      <c r="I235" s="97">
        <f t="shared" si="304"/>
        <v>170.76665547221904</v>
      </c>
      <c r="J235" s="97">
        <f t="shared" si="304"/>
        <v>136.03565761077894</v>
      </c>
      <c r="K235" s="97">
        <f t="shared" si="304"/>
        <v>190.47807863691426</v>
      </c>
      <c r="L235" s="97">
        <f t="shared" si="304"/>
        <v>165.54703542298304</v>
      </c>
      <c r="M235" s="97">
        <f t="shared" si="304"/>
        <v>151.1233425843358</v>
      </c>
      <c r="N235" s="97">
        <f t="shared" si="304"/>
        <v>366.72313518130119</v>
      </c>
      <c r="O235" s="97">
        <f t="shared" si="304"/>
        <v>426.75956533046747</v>
      </c>
      <c r="P235" s="97">
        <f t="shared" si="304"/>
        <v>619.70429934115941</v>
      </c>
      <c r="Q235" s="97">
        <f t="shared" si="304"/>
        <v>490.93152632801497</v>
      </c>
      <c r="R235" s="97">
        <f t="shared" si="304"/>
        <v>591.92481610023719</v>
      </c>
      <c r="S235" s="97">
        <f t="shared" si="304"/>
        <v>646.78314664889899</v>
      </c>
      <c r="T235" s="97">
        <f t="shared" si="304"/>
        <v>859.18939075952846</v>
      </c>
      <c r="U235" s="97">
        <f t="shared" si="304"/>
        <v>818.49674214605477</v>
      </c>
      <c r="V235" s="97">
        <f t="shared" si="304"/>
        <v>954.36493281377818</v>
      </c>
      <c r="W235" s="97">
        <f t="shared" ref="W235" si="305">IF(W23=0,0,W83/W23*1000)</f>
        <v>1559.1714594374657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518.9780872356672</v>
      </c>
      <c r="C236" s="97">
        <f t="shared" si="306"/>
        <v>489.8600288845405</v>
      </c>
      <c r="D236" s="97">
        <f t="shared" si="306"/>
        <v>519.95598841398112</v>
      </c>
      <c r="E236" s="97">
        <f t="shared" si="306"/>
        <v>509.56288475750011</v>
      </c>
      <c r="F236" s="97">
        <f t="shared" si="306"/>
        <v>563.47785974329258</v>
      </c>
      <c r="G236" s="97">
        <f t="shared" si="306"/>
        <v>594.34909818277822</v>
      </c>
      <c r="H236" s="97">
        <f t="shared" si="306"/>
        <v>649.33773667784362</v>
      </c>
      <c r="I236" s="97">
        <f t="shared" si="306"/>
        <v>622.21815569485682</v>
      </c>
      <c r="J236" s="97">
        <f t="shared" si="306"/>
        <v>638.39052935753443</v>
      </c>
      <c r="K236" s="97">
        <f t="shared" si="306"/>
        <v>601.27557230843775</v>
      </c>
      <c r="L236" s="97">
        <f t="shared" si="306"/>
        <v>584.25469159308943</v>
      </c>
      <c r="M236" s="97">
        <f t="shared" si="306"/>
        <v>491.37510443921718</v>
      </c>
      <c r="N236" s="97">
        <f t="shared" si="306"/>
        <v>490.59743970666062</v>
      </c>
      <c r="O236" s="97">
        <f t="shared" si="306"/>
        <v>428.22515073344056</v>
      </c>
      <c r="P236" s="97">
        <f t="shared" si="306"/>
        <v>391.61544637777268</v>
      </c>
      <c r="Q236" s="97">
        <f t="shared" si="306"/>
        <v>362.9447370528822</v>
      </c>
      <c r="R236" s="97">
        <f t="shared" si="306"/>
        <v>325.45378215908823</v>
      </c>
      <c r="S236" s="97">
        <f t="shared" si="306"/>
        <v>407.39897838527332</v>
      </c>
      <c r="T236" s="97">
        <f t="shared" si="306"/>
        <v>389.82498404906107</v>
      </c>
      <c r="U236" s="97">
        <f t="shared" si="306"/>
        <v>334.53773251392306</v>
      </c>
      <c r="V236" s="97">
        <f t="shared" si="306"/>
        <v>529.46627533090168</v>
      </c>
      <c r="W236" s="97">
        <f t="shared" ref="W236" si="307">IF(W24=0,0,W84/W24*1000)</f>
        <v>526.20306454921354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44.502883148423983</v>
      </c>
      <c r="C237" s="97">
        <f t="shared" si="308"/>
        <v>42.496765771977593</v>
      </c>
      <c r="D237" s="97">
        <f t="shared" si="308"/>
        <v>44.918295811963823</v>
      </c>
      <c r="E237" s="97">
        <f t="shared" si="308"/>
        <v>49.395167924650998</v>
      </c>
      <c r="F237" s="97">
        <f t="shared" si="308"/>
        <v>50.890855986076076</v>
      </c>
      <c r="G237" s="97">
        <f t="shared" si="308"/>
        <v>51.923090474390669</v>
      </c>
      <c r="H237" s="97">
        <f t="shared" si="308"/>
        <v>63.657514387799417</v>
      </c>
      <c r="I237" s="97">
        <f t="shared" si="308"/>
        <v>69.35182946922518</v>
      </c>
      <c r="J237" s="97">
        <f t="shared" si="308"/>
        <v>102.3498079924575</v>
      </c>
      <c r="K237" s="97">
        <f t="shared" si="308"/>
        <v>127.19424895932868</v>
      </c>
      <c r="L237" s="97">
        <f t="shared" si="308"/>
        <v>164.03561291380439</v>
      </c>
      <c r="M237" s="97">
        <f t="shared" si="308"/>
        <v>153.43371127624985</v>
      </c>
      <c r="N237" s="97">
        <f t="shared" si="308"/>
        <v>162.09451067251806</v>
      </c>
      <c r="O237" s="97">
        <f t="shared" si="308"/>
        <v>168.37616516417305</v>
      </c>
      <c r="P237" s="97">
        <f t="shared" si="308"/>
        <v>131.15330822964879</v>
      </c>
      <c r="Q237" s="97">
        <f t="shared" si="308"/>
        <v>122.35687460685708</v>
      </c>
      <c r="R237" s="97">
        <f t="shared" si="308"/>
        <v>143.99712087887622</v>
      </c>
      <c r="S237" s="97">
        <f t="shared" si="308"/>
        <v>135.99891322110801</v>
      </c>
      <c r="T237" s="97">
        <f t="shared" si="308"/>
        <v>104.77939571498599</v>
      </c>
      <c r="U237" s="97">
        <f t="shared" si="308"/>
        <v>106.37958036010936</v>
      </c>
      <c r="V237" s="97">
        <f t="shared" si="308"/>
        <v>234.04872273814547</v>
      </c>
      <c r="W237" s="97">
        <f t="shared" ref="W237" si="309">IF(W25=0,0,W85/W25*1000)</f>
        <v>222.21634840406327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16.100779879213974</v>
      </c>
      <c r="C238" s="130">
        <f t="shared" si="310"/>
        <v>14.959482025512173</v>
      </c>
      <c r="D238" s="130">
        <f t="shared" si="310"/>
        <v>13.968013004069908</v>
      </c>
      <c r="E238" s="130">
        <f t="shared" si="310"/>
        <v>25.133725738548772</v>
      </c>
      <c r="F238" s="130">
        <f t="shared" si="310"/>
        <v>49.649503631929811</v>
      </c>
      <c r="G238" s="130">
        <f t="shared" si="310"/>
        <v>42.603358541829344</v>
      </c>
      <c r="H238" s="130">
        <f t="shared" si="310"/>
        <v>57.448859520225007</v>
      </c>
      <c r="I238" s="130">
        <f t="shared" si="310"/>
        <v>51.511383600620796</v>
      </c>
      <c r="J238" s="130">
        <f t="shared" si="310"/>
        <v>50.371159570129095</v>
      </c>
      <c r="K238" s="130">
        <f t="shared" si="310"/>
        <v>41.879866861588262</v>
      </c>
      <c r="L238" s="130">
        <f t="shared" si="310"/>
        <v>61.04878625474889</v>
      </c>
      <c r="M238" s="130">
        <f t="shared" si="310"/>
        <v>45.342992246163128</v>
      </c>
      <c r="N238" s="130">
        <f t="shared" si="310"/>
        <v>54.329181464130485</v>
      </c>
      <c r="O238" s="130">
        <f t="shared" si="310"/>
        <v>73.25789302240625</v>
      </c>
      <c r="P238" s="130">
        <f t="shared" si="310"/>
        <v>71.269388558989476</v>
      </c>
      <c r="Q238" s="130">
        <f t="shared" si="310"/>
        <v>51.832331329759967</v>
      </c>
      <c r="R238" s="130">
        <f t="shared" si="310"/>
        <v>36.693477589939647</v>
      </c>
      <c r="S238" s="130">
        <f t="shared" si="310"/>
        <v>80.302457774932108</v>
      </c>
      <c r="T238" s="130">
        <f t="shared" si="310"/>
        <v>35.493697089461641</v>
      </c>
      <c r="U238" s="130">
        <f t="shared" si="310"/>
        <v>38.261611874483251</v>
      </c>
      <c r="V238" s="130">
        <f t="shared" si="310"/>
        <v>18.132540349925396</v>
      </c>
      <c r="W238" s="130">
        <f t="shared" ref="W238" si="311">IF(W26=0,0,W86/W26*1000)</f>
        <v>17.963576024101993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52.602775944808144</v>
      </c>
      <c r="C239" s="97">
        <f t="shared" si="312"/>
        <v>53.799510960654089</v>
      </c>
      <c r="D239" s="97">
        <f t="shared" si="312"/>
        <v>55.059290517436551</v>
      </c>
      <c r="E239" s="97">
        <f t="shared" si="312"/>
        <v>57.177227899990555</v>
      </c>
      <c r="F239" s="97">
        <f t="shared" si="312"/>
        <v>67.175172952218205</v>
      </c>
      <c r="G239" s="97">
        <f t="shared" si="312"/>
        <v>67.569227107678259</v>
      </c>
      <c r="H239" s="97">
        <f t="shared" si="312"/>
        <v>79.462850945501359</v>
      </c>
      <c r="I239" s="97">
        <f t="shared" si="312"/>
        <v>76.874963881293482</v>
      </c>
      <c r="J239" s="97">
        <f t="shared" si="312"/>
        <v>74.74511806701986</v>
      </c>
      <c r="K239" s="97">
        <f t="shared" si="312"/>
        <v>78.307224343790423</v>
      </c>
      <c r="L239" s="97">
        <f t="shared" si="312"/>
        <v>94.310747451526652</v>
      </c>
      <c r="M239" s="97">
        <f t="shared" si="312"/>
        <v>66.487858291703674</v>
      </c>
      <c r="N239" s="97">
        <f t="shared" si="312"/>
        <v>69.664383072785654</v>
      </c>
      <c r="O239" s="97">
        <f t="shared" si="312"/>
        <v>79.991442211080539</v>
      </c>
      <c r="P239" s="97">
        <f t="shared" si="312"/>
        <v>88.094952547397156</v>
      </c>
      <c r="Q239" s="97">
        <f t="shared" si="312"/>
        <v>69.286368627056163</v>
      </c>
      <c r="R239" s="97">
        <f t="shared" si="312"/>
        <v>48.887099047504869</v>
      </c>
      <c r="S239" s="97">
        <f t="shared" si="312"/>
        <v>100.08911306494532</v>
      </c>
      <c r="T239" s="97">
        <f t="shared" si="312"/>
        <v>52.968217989559754</v>
      </c>
      <c r="U239" s="97">
        <f t="shared" si="312"/>
        <v>50.382475071296668</v>
      </c>
      <c r="V239" s="97">
        <f t="shared" si="312"/>
        <v>21.896281321252108</v>
      </c>
      <c r="W239" s="97">
        <f t="shared" ref="W239" si="313">IF(W27=0,0,W87/W27*1000)</f>
        <v>20.025290460611124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15.653015837110109</v>
      </c>
      <c r="C240" s="98">
        <f t="shared" si="314"/>
        <v>14.529967844772132</v>
      </c>
      <c r="D240" s="98">
        <f t="shared" si="314"/>
        <v>13.436453902595931</v>
      </c>
      <c r="E240" s="98">
        <f t="shared" si="314"/>
        <v>24.56723189758457</v>
      </c>
      <c r="F240" s="98">
        <f t="shared" si="314"/>
        <v>48.936303623941761</v>
      </c>
      <c r="G240" s="98">
        <f t="shared" si="314"/>
        <v>39.018962219415045</v>
      </c>
      <c r="H240" s="98">
        <f t="shared" si="314"/>
        <v>54.113930251747419</v>
      </c>
      <c r="I240" s="98">
        <f t="shared" si="314"/>
        <v>48.555656627840598</v>
      </c>
      <c r="J240" s="98">
        <f t="shared" si="314"/>
        <v>46.914721072958095</v>
      </c>
      <c r="K240" s="98">
        <f t="shared" si="314"/>
        <v>36.860104867159656</v>
      </c>
      <c r="L240" s="98">
        <f t="shared" si="314"/>
        <v>53.969361605874703</v>
      </c>
      <c r="M240" s="98">
        <f t="shared" si="314"/>
        <v>38.60789273965748</v>
      </c>
      <c r="N240" s="98">
        <f t="shared" si="314"/>
        <v>48.924400866637306</v>
      </c>
      <c r="O240" s="98">
        <f t="shared" si="314"/>
        <v>70.269085123187224</v>
      </c>
      <c r="P240" s="98">
        <f t="shared" si="314"/>
        <v>67.436525082430208</v>
      </c>
      <c r="Q240" s="98">
        <f t="shared" si="314"/>
        <v>44.900896768071213</v>
      </c>
      <c r="R240" s="98">
        <f t="shared" si="314"/>
        <v>29.278852512520917</v>
      </c>
      <c r="S240" s="98">
        <f t="shared" si="314"/>
        <v>68.917044263186426</v>
      </c>
      <c r="T240" s="98">
        <f t="shared" si="314"/>
        <v>28.20821983579275</v>
      </c>
      <c r="U240" s="98">
        <f t="shared" si="314"/>
        <v>29.150902358478461</v>
      </c>
      <c r="V240" s="98">
        <f t="shared" si="314"/>
        <v>13.246911290626075</v>
      </c>
      <c r="W240" s="98">
        <f t="shared" ref="W240:W243" si="315">IF(W28=0,0,W88/W28*1000)</f>
        <v>12.637060417586699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16.67475107468896</v>
      </c>
      <c r="C241" s="32">
        <f t="shared" si="316"/>
        <v>16.900310911678584</v>
      </c>
      <c r="D241" s="32">
        <f t="shared" si="316"/>
        <v>16.804012860847777</v>
      </c>
      <c r="E241" s="32">
        <f t="shared" si="316"/>
        <v>16.784845458679918</v>
      </c>
      <c r="F241" s="32">
        <f t="shared" si="316"/>
        <v>16.799056092240335</v>
      </c>
      <c r="G241" s="32">
        <f t="shared" si="316"/>
        <v>8.5146236614336139</v>
      </c>
      <c r="H241" s="32">
        <f t="shared" si="316"/>
        <v>8.1262635508151888</v>
      </c>
      <c r="I241" s="32">
        <f t="shared" si="316"/>
        <v>9.0124128953729858</v>
      </c>
      <c r="J241" s="32">
        <f t="shared" si="316"/>
        <v>10.665370969148986</v>
      </c>
      <c r="K241" s="32">
        <f t="shared" si="316"/>
        <v>9.5291593572582585</v>
      </c>
      <c r="L241" s="32">
        <f t="shared" si="316"/>
        <v>6.2612173920108116</v>
      </c>
      <c r="M241" s="32">
        <f t="shared" si="316"/>
        <v>5.3253984588885599</v>
      </c>
      <c r="N241" s="32">
        <f t="shared" si="316"/>
        <v>3.6974138020462624</v>
      </c>
      <c r="O241" s="32">
        <f t="shared" si="316"/>
        <v>3.139194260464222</v>
      </c>
      <c r="P241" s="32">
        <f t="shared" si="316"/>
        <v>2.76876112664642</v>
      </c>
      <c r="Q241" s="32">
        <f t="shared" si="316"/>
        <v>3.5168187458285938</v>
      </c>
      <c r="R241" s="32">
        <f t="shared" si="316"/>
        <v>2.8563638909744804</v>
      </c>
      <c r="S241" s="32">
        <f t="shared" si="316"/>
        <v>3.4515255208781714</v>
      </c>
      <c r="T241" s="32">
        <f t="shared" si="316"/>
        <v>3.0770015411858975</v>
      </c>
      <c r="U241" s="32">
        <f t="shared" si="316"/>
        <v>3.0532109436388661</v>
      </c>
      <c r="V241" s="32">
        <f t="shared" si="316"/>
        <v>3.5564523884467185</v>
      </c>
      <c r="W241" s="32">
        <f t="shared" si="315"/>
        <v>3.7936157971146618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26.347127856084825</v>
      </c>
      <c r="C242" s="97">
        <f t="shared" si="317"/>
        <v>27.141879377250113</v>
      </c>
      <c r="D242" s="97">
        <f t="shared" si="317"/>
        <v>26.823082124144076</v>
      </c>
      <c r="E242" s="97">
        <f t="shared" si="317"/>
        <v>26.734458065065315</v>
      </c>
      <c r="F242" s="97">
        <f t="shared" si="317"/>
        <v>26.791712903434867</v>
      </c>
      <c r="G242" s="97">
        <f t="shared" si="317"/>
        <v>14.821540523024737</v>
      </c>
      <c r="H242" s="97">
        <f t="shared" si="317"/>
        <v>15.651463157830323</v>
      </c>
      <c r="I242" s="97">
        <f t="shared" si="317"/>
        <v>14.609562415550842</v>
      </c>
      <c r="J242" s="97">
        <f t="shared" si="317"/>
        <v>18.975886674234729</v>
      </c>
      <c r="K242" s="97">
        <f t="shared" si="317"/>
        <v>16.612672931190314</v>
      </c>
      <c r="L242" s="97">
        <f t="shared" si="317"/>
        <v>10.791515753410744</v>
      </c>
      <c r="M242" s="97">
        <f t="shared" si="317"/>
        <v>9.2321851481359101</v>
      </c>
      <c r="N242" s="97">
        <f t="shared" si="317"/>
        <v>7.8349234347864716</v>
      </c>
      <c r="O242" s="97">
        <f t="shared" si="317"/>
        <v>6.6439933739110524</v>
      </c>
      <c r="P242" s="97">
        <f t="shared" si="317"/>
        <v>6.1934066054349382</v>
      </c>
      <c r="Q242" s="97">
        <f t="shared" si="317"/>
        <v>7.7791827158412339</v>
      </c>
      <c r="R242" s="97">
        <f t="shared" si="317"/>
        <v>6.8516917537589217</v>
      </c>
      <c r="S242" s="97">
        <f t="shared" si="317"/>
        <v>9.2912809741260691</v>
      </c>
      <c r="T242" s="97">
        <f t="shared" si="317"/>
        <v>8.1950190422809008</v>
      </c>
      <c r="U242" s="97">
        <f t="shared" si="317"/>
        <v>8.2824604110855322</v>
      </c>
      <c r="V242" s="97">
        <f t="shared" si="317"/>
        <v>8.1306977106252347</v>
      </c>
      <c r="W242" s="97">
        <f t="shared" si="315"/>
        <v>9.1429782601302705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13.056909423496302</v>
      </c>
      <c r="C243" s="98">
        <f t="shared" si="318"/>
        <v>13.161661425207905</v>
      </c>
      <c r="D243" s="98">
        <f t="shared" si="318"/>
        <v>13.142495082087244</v>
      </c>
      <c r="E243" s="98">
        <f t="shared" si="318"/>
        <v>13.136782823931677</v>
      </c>
      <c r="F243" s="98">
        <f t="shared" si="318"/>
        <v>13.137823622347716</v>
      </c>
      <c r="G243" s="98">
        <f t="shared" si="318"/>
        <v>6.6463980042068656</v>
      </c>
      <c r="H243" s="98">
        <f t="shared" si="318"/>
        <v>6.4020619478912959</v>
      </c>
      <c r="I243" s="98">
        <f t="shared" si="318"/>
        <v>7.0588983737214468</v>
      </c>
      <c r="J243" s="98">
        <f t="shared" si="318"/>
        <v>8.3127036302685049</v>
      </c>
      <c r="K243" s="98">
        <f t="shared" si="318"/>
        <v>7.3777657017416045</v>
      </c>
      <c r="L243" s="98">
        <f t="shared" si="318"/>
        <v>4.8212978101758681</v>
      </c>
      <c r="M243" s="98">
        <f t="shared" si="318"/>
        <v>4.1367735747838399</v>
      </c>
      <c r="N243" s="98">
        <f t="shared" si="318"/>
        <v>2.8911625028106309</v>
      </c>
      <c r="O243" s="98">
        <f t="shared" si="318"/>
        <v>2.4636423552957458</v>
      </c>
      <c r="P243" s="98">
        <f t="shared" si="318"/>
        <v>2.2028700773357781</v>
      </c>
      <c r="Q243" s="98">
        <f t="shared" si="318"/>
        <v>2.7463188973395476</v>
      </c>
      <c r="R243" s="98">
        <f t="shared" si="318"/>
        <v>2.2783595841882973</v>
      </c>
      <c r="S243" s="98">
        <f t="shared" si="318"/>
        <v>2.8357210794370529</v>
      </c>
      <c r="T243" s="98">
        <f t="shared" si="318"/>
        <v>2.5426653977610698</v>
      </c>
      <c r="U243" s="98">
        <f t="shared" si="318"/>
        <v>2.5318723409805064</v>
      </c>
      <c r="V243" s="98">
        <f t="shared" si="318"/>
        <v>3.0377916429358121</v>
      </c>
      <c r="W243" s="98">
        <f t="shared" si="315"/>
        <v>3.2204795513369087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191811.7466304999</v>
      </c>
      <c r="C4" s="29">
        <f t="shared" si="0"/>
        <v>189941.44088697375</v>
      </c>
      <c r="D4" s="29">
        <f t="shared" si="0"/>
        <v>189930.84798716812</v>
      </c>
      <c r="E4" s="29">
        <f t="shared" si="0"/>
        <v>194863.79036980725</v>
      </c>
      <c r="F4" s="29">
        <f t="shared" si="0"/>
        <v>199768.1023543156</v>
      </c>
      <c r="G4" s="29">
        <f t="shared" si="0"/>
        <v>203572.99603532464</v>
      </c>
      <c r="H4" s="29">
        <f t="shared" si="0"/>
        <v>207499.81719397014</v>
      </c>
      <c r="I4" s="29">
        <f t="shared" si="0"/>
        <v>212389.18763261841</v>
      </c>
      <c r="J4" s="29">
        <f t="shared" si="0"/>
        <v>222715.94363703093</v>
      </c>
      <c r="K4" s="29">
        <f t="shared" si="0"/>
        <v>229323.50214097404</v>
      </c>
      <c r="L4" s="29">
        <f t="shared" ref="L4" si="1">L5+L6+L13</f>
        <v>233380.44742792755</v>
      </c>
      <c r="M4" s="29">
        <f t="shared" ref="M4:V4" si="2">M5+M6+M13</f>
        <v>232067.47021639254</v>
      </c>
      <c r="N4" s="29">
        <f t="shared" si="2"/>
        <v>231611.45664402164</v>
      </c>
      <c r="O4" s="29">
        <f t="shared" si="2"/>
        <v>233921.68595036457</v>
      </c>
      <c r="P4" s="29">
        <f t="shared" si="2"/>
        <v>239014.83801841148</v>
      </c>
      <c r="Q4" s="29">
        <f t="shared" si="2"/>
        <v>241104.76404690597</v>
      </c>
      <c r="R4" s="29">
        <f t="shared" si="2"/>
        <v>253241.17904304632</v>
      </c>
      <c r="S4" s="29">
        <f t="shared" si="2"/>
        <v>260600.10311262694</v>
      </c>
      <c r="T4" s="29">
        <f t="shared" si="2"/>
        <v>265019.49136403407</v>
      </c>
      <c r="U4" s="29">
        <f t="shared" si="2"/>
        <v>271550.76462231518</v>
      </c>
      <c r="V4" s="29">
        <f t="shared" si="2"/>
        <v>246180.25090476358</v>
      </c>
      <c r="W4" s="29">
        <f t="shared" ref="W4" si="3">W5+W6+W13</f>
        <v>255673.24953466249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2511.7466304999107</v>
      </c>
      <c r="C5" s="152">
        <f t="shared" si="4"/>
        <v>2241.4408869737658</v>
      </c>
      <c r="D5" s="152">
        <f t="shared" si="4"/>
        <v>2130.8479871681316</v>
      </c>
      <c r="E5" s="152">
        <f t="shared" si="4"/>
        <v>1963.7903698072348</v>
      </c>
      <c r="F5" s="152">
        <f t="shared" si="4"/>
        <v>1868.1023543155986</v>
      </c>
      <c r="G5" s="152">
        <f t="shared" si="4"/>
        <v>2072.9960353246447</v>
      </c>
      <c r="H5" s="152">
        <f t="shared" si="4"/>
        <v>2199.817193970151</v>
      </c>
      <c r="I5" s="152">
        <f t="shared" si="4"/>
        <v>2389.1876326184129</v>
      </c>
      <c r="J5" s="152">
        <f t="shared" si="4"/>
        <v>2415.943637030939</v>
      </c>
      <c r="K5" s="152">
        <f t="shared" si="4"/>
        <v>2665.5021409740571</v>
      </c>
      <c r="L5" s="152">
        <f t="shared" ref="L5:L7" si="5">IF(L32=0,0,L32*L142)</f>
        <v>2870.447427927535</v>
      </c>
      <c r="M5" s="152">
        <f t="shared" ref="M5:V5" si="6">IF(M32=0,0,M32*M142)</f>
        <v>2864.4702163925222</v>
      </c>
      <c r="N5" s="152">
        <f t="shared" si="6"/>
        <v>2868.4566440216299</v>
      </c>
      <c r="O5" s="152">
        <f t="shared" si="6"/>
        <v>2785.6859503645719</v>
      </c>
      <c r="P5" s="152">
        <f t="shared" si="6"/>
        <v>2824.8380184114822</v>
      </c>
      <c r="Q5" s="152">
        <f t="shared" si="6"/>
        <v>2954.7640469059743</v>
      </c>
      <c r="R5" s="152">
        <f t="shared" si="6"/>
        <v>3149.1790430463293</v>
      </c>
      <c r="S5" s="152">
        <f t="shared" si="6"/>
        <v>2990.1031126269254</v>
      </c>
      <c r="T5" s="152">
        <f t="shared" si="6"/>
        <v>2863.4913640341101</v>
      </c>
      <c r="U5" s="152">
        <f t="shared" si="6"/>
        <v>3059.7646223151887</v>
      </c>
      <c r="V5" s="152">
        <f t="shared" si="6"/>
        <v>2750.2509047635549</v>
      </c>
      <c r="W5" s="152">
        <f t="shared" ref="W5" si="7">IF(W32=0,0,W32*W142)</f>
        <v>2866.2495346624614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130100</v>
      </c>
      <c r="C6" s="116">
        <f t="shared" si="8"/>
        <v>132300</v>
      </c>
      <c r="D6" s="116">
        <f t="shared" si="8"/>
        <v>135800</v>
      </c>
      <c r="E6" s="116">
        <f t="shared" si="8"/>
        <v>141300</v>
      </c>
      <c r="F6" s="116">
        <f t="shared" si="8"/>
        <v>146800</v>
      </c>
      <c r="G6" s="116">
        <f t="shared" si="8"/>
        <v>152300</v>
      </c>
      <c r="H6" s="116">
        <f t="shared" si="8"/>
        <v>156600</v>
      </c>
      <c r="I6" s="116">
        <f t="shared" si="8"/>
        <v>162300</v>
      </c>
      <c r="J6" s="116">
        <f t="shared" si="8"/>
        <v>172600</v>
      </c>
      <c r="K6" s="116">
        <f t="shared" si="8"/>
        <v>182758</v>
      </c>
      <c r="L6" s="116">
        <f t="shared" ref="L6" si="9">SUM(L7:L12)</f>
        <v>188810</v>
      </c>
      <c r="M6" s="116">
        <f t="shared" ref="M6:V6" si="10">SUM(M7:M12)</f>
        <v>189103.00000000003</v>
      </c>
      <c r="N6" s="116">
        <f t="shared" si="10"/>
        <v>189324</v>
      </c>
      <c r="O6" s="116">
        <f t="shared" si="10"/>
        <v>193336</v>
      </c>
      <c r="P6" s="116">
        <f t="shared" si="10"/>
        <v>197032</v>
      </c>
      <c r="Q6" s="116">
        <f t="shared" si="10"/>
        <v>200570</v>
      </c>
      <c r="R6" s="116">
        <f t="shared" si="10"/>
        <v>213318</v>
      </c>
      <c r="S6" s="116">
        <f t="shared" si="10"/>
        <v>221545</v>
      </c>
      <c r="T6" s="116">
        <f t="shared" si="10"/>
        <v>227611.99999999997</v>
      </c>
      <c r="U6" s="116">
        <f t="shared" si="10"/>
        <v>232255.00000000003</v>
      </c>
      <c r="V6" s="116">
        <f t="shared" si="10"/>
        <v>224130.00000000003</v>
      </c>
      <c r="W6" s="116">
        <f t="shared" ref="W6" si="11">SUM(W7:W12)</f>
        <v>231720.00000000003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102732.0565516214</v>
      </c>
      <c r="C7" s="87">
        <f t="shared" si="12"/>
        <v>97554.838723716108</v>
      </c>
      <c r="D7" s="87">
        <f t="shared" si="12"/>
        <v>95465.753066397447</v>
      </c>
      <c r="E7" s="87">
        <f t="shared" si="12"/>
        <v>89434.847750454515</v>
      </c>
      <c r="F7" s="87">
        <f t="shared" si="12"/>
        <v>84963.96879478998</v>
      </c>
      <c r="G7" s="87">
        <f t="shared" si="12"/>
        <v>89781.311196759285</v>
      </c>
      <c r="H7" s="87">
        <f t="shared" si="12"/>
        <v>86614.488333336471</v>
      </c>
      <c r="I7" s="87">
        <f t="shared" si="12"/>
        <v>81247.896221551069</v>
      </c>
      <c r="J7" s="87">
        <f t="shared" si="12"/>
        <v>78392.827961286283</v>
      </c>
      <c r="K7" s="87">
        <f t="shared" si="12"/>
        <v>77661.166189174648</v>
      </c>
      <c r="L7" s="87">
        <f t="shared" si="5"/>
        <v>73582.350476671651</v>
      </c>
      <c r="M7" s="87">
        <f t="shared" ref="M7:V7" si="13">IF(M34=0,0,M34*M144)</f>
        <v>69932.034181585943</v>
      </c>
      <c r="N7" s="87">
        <f t="shared" si="13"/>
        <v>69702.217841728954</v>
      </c>
      <c r="O7" s="87">
        <f t="shared" si="13"/>
        <v>72462.151414046777</v>
      </c>
      <c r="P7" s="87">
        <f t="shared" si="13"/>
        <v>71907.66549383002</v>
      </c>
      <c r="Q7" s="87">
        <f t="shared" si="13"/>
        <v>72962.147996153944</v>
      </c>
      <c r="R7" s="87">
        <f t="shared" si="13"/>
        <v>74291.751001459226</v>
      </c>
      <c r="S7" s="87">
        <f t="shared" si="13"/>
        <v>77411.178443307275</v>
      </c>
      <c r="T7" s="87">
        <f t="shared" si="13"/>
        <v>77643.141058456764</v>
      </c>
      <c r="U7" s="87">
        <f t="shared" si="13"/>
        <v>80648.486856386167</v>
      </c>
      <c r="V7" s="87">
        <f t="shared" si="13"/>
        <v>76198.883135001073</v>
      </c>
      <c r="W7" s="87">
        <f t="shared" ref="W7" si="14">IF(W34=0,0,W34*W144)</f>
        <v>88300.249344482567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18121.07263234182</v>
      </c>
      <c r="C8" s="87">
        <f t="shared" si="15"/>
        <v>20725.216297831023</v>
      </c>
      <c r="D8" s="87">
        <f t="shared" si="15"/>
        <v>20376.476801853216</v>
      </c>
      <c r="E8" s="87">
        <f t="shared" si="15"/>
        <v>24948.116889102996</v>
      </c>
      <c r="F8" s="87">
        <f t="shared" si="15"/>
        <v>30485.273268873512</v>
      </c>
      <c r="G8" s="87">
        <f t="shared" si="15"/>
        <v>25953.946274130169</v>
      </c>
      <c r="H8" s="87">
        <f t="shared" si="15"/>
        <v>32892.729244721195</v>
      </c>
      <c r="I8" s="87">
        <f t="shared" si="15"/>
        <v>43846.713946769305</v>
      </c>
      <c r="J8" s="87">
        <f t="shared" si="15"/>
        <v>57055.338668140001</v>
      </c>
      <c r="K8" s="87">
        <f t="shared" si="15"/>
        <v>66742.128340541167</v>
      </c>
      <c r="L8" s="87">
        <f t="shared" ref="L8" si="16">IF(L35=0,0,L35*L145)</f>
        <v>74388.515719560804</v>
      </c>
      <c r="M8" s="87">
        <f t="shared" ref="M8:V8" si="17">IF(M35=0,0,M35*M145)</f>
        <v>82917.67076699376</v>
      </c>
      <c r="N8" s="87">
        <f t="shared" si="17"/>
        <v>88510.335097614676</v>
      </c>
      <c r="O8" s="87">
        <f t="shared" si="17"/>
        <v>89588.643558866141</v>
      </c>
      <c r="P8" s="87">
        <f t="shared" si="17"/>
        <v>93939.777810661646</v>
      </c>
      <c r="Q8" s="87">
        <f t="shared" si="17"/>
        <v>96220.438065843453</v>
      </c>
      <c r="R8" s="87">
        <f t="shared" si="17"/>
        <v>103648.01493421831</v>
      </c>
      <c r="S8" s="87">
        <f t="shared" si="17"/>
        <v>108109.02958757343</v>
      </c>
      <c r="T8" s="87">
        <f t="shared" si="17"/>
        <v>112304.39825132523</v>
      </c>
      <c r="U8" s="87">
        <f t="shared" si="17"/>
        <v>114194.90160818452</v>
      </c>
      <c r="V8" s="87">
        <f t="shared" si="17"/>
        <v>113336.213471532</v>
      </c>
      <c r="W8" s="87">
        <f t="shared" ref="W8" si="18">IF(W35=0,0,W35*W145)</f>
        <v>107908.62556941943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9246.8708160367842</v>
      </c>
      <c r="C9" s="87">
        <f t="shared" si="19"/>
        <v>14019.944978452873</v>
      </c>
      <c r="D9" s="87">
        <f t="shared" si="19"/>
        <v>19957.77013174933</v>
      </c>
      <c r="E9" s="87">
        <f t="shared" si="19"/>
        <v>26917.035360442485</v>
      </c>
      <c r="F9" s="87">
        <f t="shared" si="19"/>
        <v>31350.757936336508</v>
      </c>
      <c r="G9" s="87">
        <f t="shared" si="19"/>
        <v>36564.742529110554</v>
      </c>
      <c r="H9" s="87">
        <f t="shared" si="19"/>
        <v>37092.782421942335</v>
      </c>
      <c r="I9" s="87">
        <f t="shared" si="19"/>
        <v>37205.389831679633</v>
      </c>
      <c r="J9" s="87">
        <f t="shared" si="19"/>
        <v>37151.83337057371</v>
      </c>
      <c r="K9" s="87">
        <f t="shared" si="19"/>
        <v>38354.705470284185</v>
      </c>
      <c r="L9" s="87">
        <f t="shared" ref="L9" si="20">IF(L36=0,0,L36*L146)</f>
        <v>40838.978493036579</v>
      </c>
      <c r="M9" s="87">
        <f t="shared" ref="M9:V9" si="21">IF(M36=0,0,M36*M146)</f>
        <v>36252.23706071054</v>
      </c>
      <c r="N9" s="87">
        <f t="shared" si="21"/>
        <v>31109.091676698026</v>
      </c>
      <c r="O9" s="87">
        <f t="shared" si="21"/>
        <v>31282.299054640127</v>
      </c>
      <c r="P9" s="87">
        <f t="shared" si="21"/>
        <v>31172.843744675949</v>
      </c>
      <c r="Q9" s="87">
        <f t="shared" si="21"/>
        <v>31317.611658792459</v>
      </c>
      <c r="R9" s="87">
        <f t="shared" si="21"/>
        <v>35277.381534199347</v>
      </c>
      <c r="S9" s="87">
        <f t="shared" si="21"/>
        <v>35900.095609918302</v>
      </c>
      <c r="T9" s="87">
        <f t="shared" si="21"/>
        <v>37506.555046300302</v>
      </c>
      <c r="U9" s="87">
        <f t="shared" si="21"/>
        <v>37226.086762237821</v>
      </c>
      <c r="V9" s="87">
        <f t="shared" si="21"/>
        <v>34344.898746944062</v>
      </c>
      <c r="W9" s="87">
        <f t="shared" ref="W9" si="22">IF(W36=0,0,W36*W146)</f>
        <v>35113.991803483856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62.537914193893847</v>
      </c>
      <c r="R10" s="87">
        <f t="shared" si="25"/>
        <v>84.49550023969843</v>
      </c>
      <c r="S10" s="87">
        <f t="shared" si="25"/>
        <v>90.111715338648295</v>
      </c>
      <c r="T10" s="87">
        <f t="shared" si="25"/>
        <v>90.851783703322411</v>
      </c>
      <c r="U10" s="87">
        <f t="shared" si="25"/>
        <v>91.880794098852135</v>
      </c>
      <c r="V10" s="87">
        <f t="shared" si="25"/>
        <v>83.57417312958718</v>
      </c>
      <c r="W10" s="87">
        <f t="shared" ref="W10" si="26">IF(W37=0,0,W37*W147)</f>
        <v>85.555855353095879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0.15178324735535323</v>
      </c>
      <c r="O11" s="87">
        <f t="shared" si="29"/>
        <v>0.27507680816957297</v>
      </c>
      <c r="P11" s="87">
        <f t="shared" si="29"/>
        <v>8.3752226408097972</v>
      </c>
      <c r="Q11" s="87">
        <f t="shared" si="29"/>
        <v>3.3934589825574113</v>
      </c>
      <c r="R11" s="87">
        <f t="shared" si="29"/>
        <v>5.7192781331756084</v>
      </c>
      <c r="S11" s="87">
        <f t="shared" si="29"/>
        <v>11.221979633758259</v>
      </c>
      <c r="T11" s="87">
        <f t="shared" si="29"/>
        <v>20.963592164538035</v>
      </c>
      <c r="U11" s="87">
        <f t="shared" si="29"/>
        <v>30.381622899556159</v>
      </c>
      <c r="V11" s="87">
        <f t="shared" si="29"/>
        <v>68.783626907023532</v>
      </c>
      <c r="W11" s="87">
        <f t="shared" ref="W11" si="30">IF(W38=0,0,W38*W148)</f>
        <v>181.56955338602896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0.15531073096014353</v>
      </c>
      <c r="M12" s="87">
        <f t="shared" ref="M12:V12" si="33">IF(M39=0,0,M39*M149)</f>
        <v>1.0579907097597587</v>
      </c>
      <c r="N12" s="87">
        <f t="shared" si="33"/>
        <v>2.2036007109855937</v>
      </c>
      <c r="O12" s="87">
        <f t="shared" si="33"/>
        <v>2.6308956387776856</v>
      </c>
      <c r="P12" s="87">
        <f t="shared" si="33"/>
        <v>3.3377281915730759</v>
      </c>
      <c r="Q12" s="87">
        <f t="shared" si="33"/>
        <v>3.870906033704006</v>
      </c>
      <c r="R12" s="87">
        <f t="shared" si="33"/>
        <v>10.637751750243043</v>
      </c>
      <c r="S12" s="87">
        <f t="shared" si="33"/>
        <v>23.362664228578435</v>
      </c>
      <c r="T12" s="87">
        <f t="shared" si="33"/>
        <v>46.090268049845413</v>
      </c>
      <c r="U12" s="87">
        <f t="shared" si="33"/>
        <v>63.262356193084763</v>
      </c>
      <c r="V12" s="87">
        <f t="shared" si="33"/>
        <v>97.646846486272125</v>
      </c>
      <c r="W12" s="87">
        <f t="shared" ref="W12" si="34">IF(W39=0,0,W39*W149)</f>
        <v>130.00787387502191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59200</v>
      </c>
      <c r="C13" s="116">
        <f t="shared" si="35"/>
        <v>55400</v>
      </c>
      <c r="D13" s="116">
        <f t="shared" si="35"/>
        <v>52000</v>
      </c>
      <c r="E13" s="116">
        <f t="shared" si="35"/>
        <v>51599.999999999993</v>
      </c>
      <c r="F13" s="116">
        <f t="shared" si="35"/>
        <v>51100</v>
      </c>
      <c r="G13" s="116">
        <f t="shared" si="35"/>
        <v>49200</v>
      </c>
      <c r="H13" s="116">
        <f t="shared" si="35"/>
        <v>48700</v>
      </c>
      <c r="I13" s="116">
        <f t="shared" si="35"/>
        <v>47700</v>
      </c>
      <c r="J13" s="116">
        <f t="shared" si="35"/>
        <v>47700</v>
      </c>
      <c r="K13" s="116">
        <f t="shared" si="35"/>
        <v>43900</v>
      </c>
      <c r="L13" s="116">
        <f t="shared" ref="L13" si="36">SUM(L14:L18)</f>
        <v>41700</v>
      </c>
      <c r="M13" s="116">
        <f t="shared" ref="M13:V13" si="37">SUM(M14:M18)</f>
        <v>40100.000000000007</v>
      </c>
      <c r="N13" s="116">
        <f t="shared" si="37"/>
        <v>39419</v>
      </c>
      <c r="O13" s="116">
        <f t="shared" si="37"/>
        <v>37800</v>
      </c>
      <c r="P13" s="116">
        <f t="shared" si="37"/>
        <v>39158.000000000007</v>
      </c>
      <c r="Q13" s="116">
        <f t="shared" si="37"/>
        <v>37580.000000000007</v>
      </c>
      <c r="R13" s="116">
        <f t="shared" si="37"/>
        <v>36774</v>
      </c>
      <c r="S13" s="116">
        <f t="shared" si="37"/>
        <v>36065</v>
      </c>
      <c r="T13" s="116">
        <f t="shared" si="37"/>
        <v>34544</v>
      </c>
      <c r="U13" s="116">
        <f t="shared" si="37"/>
        <v>36236</v>
      </c>
      <c r="V13" s="116">
        <f t="shared" si="37"/>
        <v>19300</v>
      </c>
      <c r="W13" s="116">
        <f t="shared" ref="W13" si="38">SUM(W14:W18)</f>
        <v>21086.999999999996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57941.583501989167</v>
      </c>
      <c r="C15" s="101">
        <f t="shared" si="43"/>
        <v>54257.578788174695</v>
      </c>
      <c r="D15" s="101">
        <f t="shared" si="43"/>
        <v>50993.657426070276</v>
      </c>
      <c r="E15" s="101">
        <f t="shared" si="43"/>
        <v>50732.810050688306</v>
      </c>
      <c r="F15" s="101">
        <f t="shared" si="43"/>
        <v>49395.224490258181</v>
      </c>
      <c r="G15" s="101">
        <f t="shared" si="43"/>
        <v>47163.267289145253</v>
      </c>
      <c r="H15" s="101">
        <f t="shared" si="43"/>
        <v>46738.434085557303</v>
      </c>
      <c r="I15" s="101">
        <f t="shared" si="43"/>
        <v>45916.56347861173</v>
      </c>
      <c r="J15" s="101">
        <f t="shared" si="43"/>
        <v>45993.280980209849</v>
      </c>
      <c r="K15" s="101">
        <f t="shared" si="43"/>
        <v>42444.353139308078</v>
      </c>
      <c r="L15" s="101">
        <f t="shared" ref="L15" si="44">IF(L42=0,0,L42*L152)</f>
        <v>40385.856979576187</v>
      </c>
      <c r="M15" s="101">
        <f t="shared" ref="M15:V15" si="45">IF(M42=0,0,M42*M152)</f>
        <v>38928.187808641364</v>
      </c>
      <c r="N15" s="101">
        <f t="shared" si="45"/>
        <v>38321.565434907825</v>
      </c>
      <c r="O15" s="101">
        <f t="shared" si="45"/>
        <v>36784.481864487861</v>
      </c>
      <c r="P15" s="101">
        <f t="shared" si="45"/>
        <v>38170.609324464349</v>
      </c>
      <c r="Q15" s="101">
        <f t="shared" si="45"/>
        <v>36292.724597894114</v>
      </c>
      <c r="R15" s="101">
        <f t="shared" si="45"/>
        <v>35594.442062335438</v>
      </c>
      <c r="S15" s="101">
        <f t="shared" si="45"/>
        <v>34983.009519318461</v>
      </c>
      <c r="T15" s="101">
        <f t="shared" si="45"/>
        <v>33491.84796530231</v>
      </c>
      <c r="U15" s="101">
        <f t="shared" si="45"/>
        <v>35089.91628518248</v>
      </c>
      <c r="V15" s="101">
        <f t="shared" si="45"/>
        <v>18479.149020267916</v>
      </c>
      <c r="W15" s="101">
        <f t="shared" ref="W15" si="46">IF(W42=0,0,W42*W152)</f>
        <v>19930.19458607896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909.69029029842727</v>
      </c>
      <c r="C16" s="101">
        <f t="shared" si="47"/>
        <v>781.43483110664658</v>
      </c>
      <c r="D16" s="101">
        <f t="shared" si="47"/>
        <v>658.3669848146609</v>
      </c>
      <c r="E16" s="101">
        <f t="shared" si="47"/>
        <v>594.2006303206814</v>
      </c>
      <c r="F16" s="101">
        <f t="shared" si="47"/>
        <v>1478.7231482669133</v>
      </c>
      <c r="G16" s="101">
        <f t="shared" si="47"/>
        <v>1285.8776128037434</v>
      </c>
      <c r="H16" s="101">
        <f t="shared" si="47"/>
        <v>1230.6031277279608</v>
      </c>
      <c r="I16" s="101">
        <f t="shared" si="47"/>
        <v>1101.7492918276721</v>
      </c>
      <c r="J16" s="101">
        <f t="shared" si="47"/>
        <v>1041.9362676447797</v>
      </c>
      <c r="K16" s="101">
        <f t="shared" si="47"/>
        <v>875.6670305287771</v>
      </c>
      <c r="L16" s="101">
        <f t="shared" ref="L16" si="48">IF(L43=0,0,L43*L153)</f>
        <v>770.25152596646228</v>
      </c>
      <c r="M16" s="101">
        <f t="shared" ref="M16:V16" si="49">IF(M43=0,0,M43*M153)</f>
        <v>673.57391376092448</v>
      </c>
      <c r="N16" s="101">
        <f t="shared" si="49"/>
        <v>622.99774912271073</v>
      </c>
      <c r="O16" s="101">
        <f t="shared" si="49"/>
        <v>544.13099516986358</v>
      </c>
      <c r="P16" s="101">
        <f t="shared" si="49"/>
        <v>503.58100822756273</v>
      </c>
      <c r="Q16" s="101">
        <f t="shared" si="49"/>
        <v>379.33338345050589</v>
      </c>
      <c r="R16" s="101">
        <f t="shared" si="49"/>
        <v>343.2259189159455</v>
      </c>
      <c r="S16" s="101">
        <f t="shared" si="49"/>
        <v>324.93196703951207</v>
      </c>
      <c r="T16" s="101">
        <f t="shared" si="49"/>
        <v>304.18421159615616</v>
      </c>
      <c r="U16" s="101">
        <f t="shared" si="49"/>
        <v>309.80094496571883</v>
      </c>
      <c r="V16" s="101">
        <f t="shared" si="49"/>
        <v>160.85114344957637</v>
      </c>
      <c r="W16" s="101">
        <f t="shared" ref="W16" si="50">IF(W43=0,0,W43*W153)</f>
        <v>175.40490074462016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484.39085520805753</v>
      </c>
      <c r="R17" s="101">
        <f t="shared" si="53"/>
        <v>395.25562687456556</v>
      </c>
      <c r="S17" s="101">
        <f t="shared" si="53"/>
        <v>270.77295389546822</v>
      </c>
      <c r="T17" s="101">
        <f t="shared" si="53"/>
        <v>324.90630490192206</v>
      </c>
      <c r="U17" s="101">
        <f t="shared" si="53"/>
        <v>554.68032894579494</v>
      </c>
      <c r="V17" s="101">
        <f t="shared" si="53"/>
        <v>423.40445853047629</v>
      </c>
      <c r="W17" s="101">
        <f t="shared" ref="W17" si="54">IF(W44=0,0,W44*W154)</f>
        <v>612.43244010652802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348.72620771240145</v>
      </c>
      <c r="C18" s="101">
        <f t="shared" si="55"/>
        <v>360.98638071865759</v>
      </c>
      <c r="D18" s="101">
        <f t="shared" si="55"/>
        <v>347.97558911506212</v>
      </c>
      <c r="E18" s="101">
        <f t="shared" si="55"/>
        <v>272.98931899101046</v>
      </c>
      <c r="F18" s="101">
        <f t="shared" si="55"/>
        <v>226.05236147490618</v>
      </c>
      <c r="G18" s="101">
        <f t="shared" si="55"/>
        <v>750.85509805100241</v>
      </c>
      <c r="H18" s="101">
        <f t="shared" si="55"/>
        <v>730.96278671473749</v>
      </c>
      <c r="I18" s="101">
        <f t="shared" si="55"/>
        <v>681.68722956059923</v>
      </c>
      <c r="J18" s="101">
        <f t="shared" si="55"/>
        <v>664.78275214536939</v>
      </c>
      <c r="K18" s="101">
        <f t="shared" si="55"/>
        <v>579.97983016314686</v>
      </c>
      <c r="L18" s="101">
        <f t="shared" ref="L18" si="56">IF(L45=0,0,L45*L155)</f>
        <v>543.89149445734836</v>
      </c>
      <c r="M18" s="101">
        <f t="shared" ref="M18:V18" si="57">IF(M45=0,0,M45*M155)</f>
        <v>498.23827759771342</v>
      </c>
      <c r="N18" s="101">
        <f t="shared" si="57"/>
        <v>474.43681596946539</v>
      </c>
      <c r="O18" s="101">
        <f t="shared" si="57"/>
        <v>471.38714034227689</v>
      </c>
      <c r="P18" s="101">
        <f t="shared" si="57"/>
        <v>483.80966730809092</v>
      </c>
      <c r="Q18" s="101">
        <f t="shared" si="57"/>
        <v>423.55116344732636</v>
      </c>
      <c r="R18" s="101">
        <f t="shared" si="57"/>
        <v>441.07639187404857</v>
      </c>
      <c r="S18" s="101">
        <f t="shared" si="57"/>
        <v>486.28555974655774</v>
      </c>
      <c r="T18" s="101">
        <f t="shared" si="57"/>
        <v>423.06151819960945</v>
      </c>
      <c r="U18" s="101">
        <f t="shared" si="57"/>
        <v>281.60244090600804</v>
      </c>
      <c r="V18" s="101">
        <f t="shared" si="57"/>
        <v>236.59537775203046</v>
      </c>
      <c r="W18" s="101">
        <f t="shared" ref="W18" si="58">IF(W45=0,0,W45*W155)</f>
        <v>368.96807306989047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70544.260432518742</v>
      </c>
      <c r="C19" s="29">
        <f t="shared" si="59"/>
        <v>72797.137600275499</v>
      </c>
      <c r="D19" s="29">
        <f t="shared" si="59"/>
        <v>75672.957365720562</v>
      </c>
      <c r="E19" s="29">
        <f t="shared" si="59"/>
        <v>78656.933152701677</v>
      </c>
      <c r="F19" s="29">
        <f t="shared" si="59"/>
        <v>87863.138221890811</v>
      </c>
      <c r="G19" s="29">
        <f t="shared" si="59"/>
        <v>91014.214731414715</v>
      </c>
      <c r="H19" s="29">
        <f t="shared" si="59"/>
        <v>95439.613181883615</v>
      </c>
      <c r="I19" s="29">
        <f t="shared" si="59"/>
        <v>99982.055797508976</v>
      </c>
      <c r="J19" s="29">
        <f t="shared" si="59"/>
        <v>106611.05364412046</v>
      </c>
      <c r="K19" s="29">
        <f t="shared" si="59"/>
        <v>112618.41029388714</v>
      </c>
      <c r="L19" s="29">
        <f t="shared" ref="L19" si="60">L20+L26</f>
        <v>121843.03489495581</v>
      </c>
      <c r="M19" s="29">
        <f t="shared" ref="M19:V19" si="61">M20+M26</f>
        <v>131520.76589460566</v>
      </c>
      <c r="N19" s="29">
        <f t="shared" si="61"/>
        <v>133808.73704450359</v>
      </c>
      <c r="O19" s="29">
        <f t="shared" si="61"/>
        <v>147659.4693523621</v>
      </c>
      <c r="P19" s="29">
        <f t="shared" si="61"/>
        <v>144666.2040003622</v>
      </c>
      <c r="Q19" s="29">
        <f t="shared" si="61"/>
        <v>153612.88376567207</v>
      </c>
      <c r="R19" s="29">
        <f t="shared" si="61"/>
        <v>160747.06065454698</v>
      </c>
      <c r="S19" s="29">
        <f t="shared" si="61"/>
        <v>180807.13443491561</v>
      </c>
      <c r="T19" s="29">
        <f t="shared" si="61"/>
        <v>169104.53360652592</v>
      </c>
      <c r="U19" s="29">
        <f t="shared" si="61"/>
        <v>180601.89719398911</v>
      </c>
      <c r="V19" s="29">
        <f t="shared" si="61"/>
        <v>182784.69415462617</v>
      </c>
      <c r="W19" s="29">
        <f t="shared" ref="W19" si="62">W20+W26</f>
        <v>197698.25889129197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3869.1154587522142</v>
      </c>
      <c r="C20" s="152">
        <f t="shared" si="63"/>
        <v>3792.6540508980656</v>
      </c>
      <c r="D20" s="152">
        <f t="shared" si="63"/>
        <v>3989.2869630346099</v>
      </c>
      <c r="E20" s="152">
        <f t="shared" si="63"/>
        <v>4131.9963086666576</v>
      </c>
      <c r="F20" s="152">
        <f t="shared" si="63"/>
        <v>4054.3197530436855</v>
      </c>
      <c r="G20" s="152">
        <f t="shared" si="63"/>
        <v>4202.6749026788402</v>
      </c>
      <c r="H20" s="152">
        <f t="shared" si="63"/>
        <v>4439.4903178175573</v>
      </c>
      <c r="I20" s="152">
        <f t="shared" si="63"/>
        <v>4647.2083811668754</v>
      </c>
      <c r="J20" s="152">
        <f t="shared" si="63"/>
        <v>4974.4094593712143</v>
      </c>
      <c r="K20" s="152">
        <f t="shared" si="63"/>
        <v>5262.5354835893204</v>
      </c>
      <c r="L20" s="152">
        <f t="shared" ref="L20" si="64">SUM(L21:L25)</f>
        <v>5626.0372920469017</v>
      </c>
      <c r="M20" s="152">
        <f t="shared" ref="M20:V20" si="65">SUM(M21:M25)</f>
        <v>5918.8960183949921</v>
      </c>
      <c r="N20" s="152">
        <f t="shared" si="65"/>
        <v>5932.1963835860106</v>
      </c>
      <c r="O20" s="152">
        <f t="shared" si="65"/>
        <v>6119.3768060422581</v>
      </c>
      <c r="P20" s="152">
        <f t="shared" si="65"/>
        <v>6127.7777340486518</v>
      </c>
      <c r="Q20" s="152">
        <f t="shared" si="65"/>
        <v>6213.9130106012253</v>
      </c>
      <c r="R20" s="152">
        <f t="shared" si="65"/>
        <v>6542.128102141497</v>
      </c>
      <c r="S20" s="152">
        <f t="shared" si="65"/>
        <v>6812.9725167452261</v>
      </c>
      <c r="T20" s="152">
        <f t="shared" si="65"/>
        <v>7179.5336065259162</v>
      </c>
      <c r="U20" s="152">
        <f t="shared" si="65"/>
        <v>7533.8971939891135</v>
      </c>
      <c r="V20" s="152">
        <f t="shared" si="65"/>
        <v>7643.6941546261778</v>
      </c>
      <c r="W20" s="152">
        <f t="shared" ref="W20" si="66">SUM(W21:W25)</f>
        <v>7918.2588912919764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2028.6258984504937</v>
      </c>
      <c r="C21" s="87">
        <f t="shared" si="67"/>
        <v>1982.2759941632719</v>
      </c>
      <c r="D21" s="87">
        <f t="shared" si="67"/>
        <v>1802.7243696287603</v>
      </c>
      <c r="E21" s="87">
        <f t="shared" si="67"/>
        <v>1761.2421643521579</v>
      </c>
      <c r="F21" s="87">
        <f t="shared" si="67"/>
        <v>1596.4594994069269</v>
      </c>
      <c r="G21" s="87">
        <f t="shared" si="67"/>
        <v>1430.5827029868508</v>
      </c>
      <c r="H21" s="87">
        <f t="shared" si="67"/>
        <v>1336.4452000210119</v>
      </c>
      <c r="I21" s="87">
        <f t="shared" si="67"/>
        <v>1229.7025721850468</v>
      </c>
      <c r="J21" s="87">
        <f t="shared" si="67"/>
        <v>1156.289192879455</v>
      </c>
      <c r="K21" s="87">
        <f t="shared" si="67"/>
        <v>1173.3432373227538</v>
      </c>
      <c r="L21" s="87">
        <f t="shared" ref="L21" si="68">IF(L48=0,0,L48*L158)</f>
        <v>1147.8457416022602</v>
      </c>
      <c r="M21" s="87">
        <f t="shared" ref="M21:V21" si="69">IF(M48=0,0,M48*M158)</f>
        <v>1070.7121786343096</v>
      </c>
      <c r="N21" s="87">
        <f t="shared" si="69"/>
        <v>1009.6712866705388</v>
      </c>
      <c r="O21" s="87">
        <f t="shared" si="69"/>
        <v>964.71767329715829</v>
      </c>
      <c r="P21" s="87">
        <f t="shared" si="69"/>
        <v>896.12356559839361</v>
      </c>
      <c r="Q21" s="87">
        <f t="shared" si="69"/>
        <v>810.77974612360958</v>
      </c>
      <c r="R21" s="87">
        <f t="shared" si="69"/>
        <v>809.37232146192491</v>
      </c>
      <c r="S21" s="87">
        <f t="shared" si="69"/>
        <v>842.80538004509765</v>
      </c>
      <c r="T21" s="87">
        <f t="shared" si="69"/>
        <v>838.51290962062888</v>
      </c>
      <c r="U21" s="87">
        <f t="shared" si="69"/>
        <v>845.79296980478546</v>
      </c>
      <c r="V21" s="87">
        <f t="shared" si="69"/>
        <v>792.60790282559196</v>
      </c>
      <c r="W21" s="87">
        <f t="shared" ref="W21" si="70">IF(W48=0,0,W48*W158)</f>
        <v>786.04628427760611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1770.1791833360694</v>
      </c>
      <c r="C22" s="87">
        <f t="shared" si="71"/>
        <v>1729.9400187029482</v>
      </c>
      <c r="D22" s="87">
        <f t="shared" si="71"/>
        <v>2073.2960669027343</v>
      </c>
      <c r="E22" s="87">
        <f t="shared" si="71"/>
        <v>2236.3717255135466</v>
      </c>
      <c r="F22" s="87">
        <f t="shared" si="71"/>
        <v>2318.7191633757216</v>
      </c>
      <c r="G22" s="87">
        <f t="shared" si="71"/>
        <v>2619.8785385082792</v>
      </c>
      <c r="H22" s="87">
        <f t="shared" si="71"/>
        <v>2921.4590292559374</v>
      </c>
      <c r="I22" s="87">
        <f t="shared" si="71"/>
        <v>3220.4456507801688</v>
      </c>
      <c r="J22" s="87">
        <f t="shared" si="71"/>
        <v>3610.992399159938</v>
      </c>
      <c r="K22" s="87">
        <f t="shared" si="71"/>
        <v>3877.5776350451156</v>
      </c>
      <c r="L22" s="87">
        <f t="shared" ref="L22" si="72">IF(L49=0,0,L49*L159)</f>
        <v>4259.8111057325423</v>
      </c>
      <c r="M22" s="87">
        <f t="shared" ref="M22:V22" si="73">IF(M49=0,0,M49*M159)</f>
        <v>4622.6698896984226</v>
      </c>
      <c r="N22" s="87">
        <f t="shared" si="73"/>
        <v>4716.3850175667831</v>
      </c>
      <c r="O22" s="87">
        <f t="shared" si="73"/>
        <v>4949.4654660911674</v>
      </c>
      <c r="P22" s="87">
        <f t="shared" si="73"/>
        <v>5003.9106237914766</v>
      </c>
      <c r="Q22" s="87">
        <f t="shared" si="73"/>
        <v>5172.0776229888988</v>
      </c>
      <c r="R22" s="87">
        <f t="shared" si="73"/>
        <v>5500.1513202052492</v>
      </c>
      <c r="S22" s="87">
        <f t="shared" si="73"/>
        <v>5744.1933999958401</v>
      </c>
      <c r="T22" s="87">
        <f t="shared" si="73"/>
        <v>6104.7988996195445</v>
      </c>
      <c r="U22" s="87">
        <f t="shared" si="73"/>
        <v>6451.1920357567069</v>
      </c>
      <c r="V22" s="87">
        <f t="shared" si="73"/>
        <v>6622.9350823699469</v>
      </c>
      <c r="W22" s="87">
        <f t="shared" ref="W22" si="74">IF(W49=0,0,W49*W159)</f>
        <v>6903.9763807096188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70.310376965650903</v>
      </c>
      <c r="C23" s="87">
        <f t="shared" si="75"/>
        <v>80.43803803184575</v>
      </c>
      <c r="D23" s="87">
        <f t="shared" si="75"/>
        <v>113.26652650311514</v>
      </c>
      <c r="E23" s="87">
        <f t="shared" si="75"/>
        <v>134.38241880095273</v>
      </c>
      <c r="F23" s="87">
        <f t="shared" si="75"/>
        <v>139.14109026103685</v>
      </c>
      <c r="G23" s="87">
        <f t="shared" si="75"/>
        <v>152.21366118371066</v>
      </c>
      <c r="H23" s="87">
        <f t="shared" si="75"/>
        <v>181.58608854060796</v>
      </c>
      <c r="I23" s="87">
        <f t="shared" si="75"/>
        <v>197.06015820165985</v>
      </c>
      <c r="J23" s="87">
        <f t="shared" si="75"/>
        <v>207.12786733182142</v>
      </c>
      <c r="K23" s="87">
        <f t="shared" si="75"/>
        <v>211.61461122145076</v>
      </c>
      <c r="L23" s="87">
        <f t="shared" ref="L23" si="76">IF(L50=0,0,L50*L160)</f>
        <v>218.38044471209903</v>
      </c>
      <c r="M23" s="87">
        <f t="shared" ref="M23:V23" si="77">IF(M50=0,0,M50*M160)</f>
        <v>225.51395006225985</v>
      </c>
      <c r="N23" s="87">
        <f t="shared" si="77"/>
        <v>206.13149747432522</v>
      </c>
      <c r="O23" s="87">
        <f t="shared" si="77"/>
        <v>205.17771761532177</v>
      </c>
      <c r="P23" s="87">
        <f t="shared" si="77"/>
        <v>227.72268700160612</v>
      </c>
      <c r="Q23" s="87">
        <f t="shared" si="77"/>
        <v>226.97439406525137</v>
      </c>
      <c r="R23" s="87">
        <f t="shared" si="77"/>
        <v>227.81664960492247</v>
      </c>
      <c r="S23" s="87">
        <f t="shared" si="77"/>
        <v>221.32084615797717</v>
      </c>
      <c r="T23" s="87">
        <f t="shared" si="77"/>
        <v>231.36681780427222</v>
      </c>
      <c r="U23" s="87">
        <f t="shared" si="77"/>
        <v>231.85638585870774</v>
      </c>
      <c r="V23" s="87">
        <f t="shared" si="77"/>
        <v>224.11432196699459</v>
      </c>
      <c r="W23" s="87">
        <f t="shared" ref="W23" si="78">IF(W50=0,0,W50*W160)</f>
        <v>223.98754315233202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4.0517870233922899</v>
      </c>
      <c r="R24" s="87">
        <f t="shared" si="81"/>
        <v>4.7508272822305093</v>
      </c>
      <c r="S24" s="87">
        <f t="shared" si="81"/>
        <v>4.5980923692923126</v>
      </c>
      <c r="T24" s="87">
        <f t="shared" si="81"/>
        <v>4.7459150603446334</v>
      </c>
      <c r="U24" s="87">
        <f t="shared" si="81"/>
        <v>4.7984087337742807</v>
      </c>
      <c r="V24" s="87">
        <f t="shared" si="81"/>
        <v>3.5239180621840824</v>
      </c>
      <c r="W24" s="87">
        <f t="shared" ref="W24" si="82">IF(W51=0,0,W51*W161)</f>
        <v>3.1844769555144903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8.581874363279068E-3</v>
      </c>
      <c r="O25" s="87">
        <f t="shared" si="85"/>
        <v>1.5949038610392194E-2</v>
      </c>
      <c r="P25" s="87">
        <f t="shared" si="85"/>
        <v>2.0857657174551052E-2</v>
      </c>
      <c r="Q25" s="87">
        <f t="shared" si="85"/>
        <v>2.9460400073138319E-2</v>
      </c>
      <c r="R25" s="87">
        <f t="shared" si="85"/>
        <v>3.6983587169462602E-2</v>
      </c>
      <c r="S25" s="87">
        <f t="shared" si="85"/>
        <v>5.479817701875795E-2</v>
      </c>
      <c r="T25" s="87">
        <f t="shared" si="85"/>
        <v>0.1090644211255139</v>
      </c>
      <c r="U25" s="87">
        <f t="shared" si="85"/>
        <v>0.25739383513870689</v>
      </c>
      <c r="V25" s="87">
        <f t="shared" si="85"/>
        <v>0.51292940146083865</v>
      </c>
      <c r="W25" s="87">
        <f t="shared" ref="W25" si="86">IF(W52=0,0,W52*W162)</f>
        <v>1.0642061969048011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66675.144973766524</v>
      </c>
      <c r="C26" s="116">
        <f t="shared" si="87"/>
        <v>69004.48354937743</v>
      </c>
      <c r="D26" s="116">
        <f t="shared" si="87"/>
        <v>71683.670402685952</v>
      </c>
      <c r="E26" s="116">
        <f t="shared" si="87"/>
        <v>74524.936844035023</v>
      </c>
      <c r="F26" s="116">
        <f t="shared" si="87"/>
        <v>83808.818468847123</v>
      </c>
      <c r="G26" s="116">
        <f t="shared" si="87"/>
        <v>86811.539828735869</v>
      </c>
      <c r="H26" s="116">
        <f t="shared" si="87"/>
        <v>91000.122864066056</v>
      </c>
      <c r="I26" s="116">
        <f t="shared" si="87"/>
        <v>95334.847416342105</v>
      </c>
      <c r="J26" s="116">
        <f t="shared" si="87"/>
        <v>101636.64418474924</v>
      </c>
      <c r="K26" s="116">
        <f t="shared" si="87"/>
        <v>107355.87481029781</v>
      </c>
      <c r="L26" s="116">
        <f t="shared" ref="L26" si="88">SUM(L27:L28)</f>
        <v>116216.99760290892</v>
      </c>
      <c r="M26" s="116">
        <f t="shared" ref="M26:V26" si="89">SUM(M27:M28)</f>
        <v>125601.86987621067</v>
      </c>
      <c r="N26" s="116">
        <f t="shared" si="89"/>
        <v>127876.54066091758</v>
      </c>
      <c r="O26" s="116">
        <f t="shared" si="89"/>
        <v>141540.09254631985</v>
      </c>
      <c r="P26" s="116">
        <f t="shared" si="89"/>
        <v>138538.42626631353</v>
      </c>
      <c r="Q26" s="116">
        <f t="shared" si="89"/>
        <v>147398.97075507086</v>
      </c>
      <c r="R26" s="116">
        <f t="shared" si="89"/>
        <v>154204.93255240549</v>
      </c>
      <c r="S26" s="116">
        <f t="shared" si="89"/>
        <v>173994.1619181704</v>
      </c>
      <c r="T26" s="116">
        <f t="shared" si="89"/>
        <v>161925</v>
      </c>
      <c r="U26" s="116">
        <f t="shared" si="89"/>
        <v>173068</v>
      </c>
      <c r="V26" s="116">
        <f t="shared" si="89"/>
        <v>175141</v>
      </c>
      <c r="W26" s="116">
        <f t="shared" ref="W26" si="90">SUM(W27:W28)</f>
        <v>189780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48000.000000000007</v>
      </c>
      <c r="C27" s="101">
        <f t="shared" si="91"/>
        <v>49000</v>
      </c>
      <c r="D27" s="101">
        <f t="shared" si="91"/>
        <v>50500</v>
      </c>
      <c r="E27" s="101">
        <f t="shared" si="91"/>
        <v>53000.000000000007</v>
      </c>
      <c r="F27" s="101">
        <f t="shared" si="91"/>
        <v>58825</v>
      </c>
      <c r="G27" s="101">
        <f t="shared" si="91"/>
        <v>60940</v>
      </c>
      <c r="H27" s="101">
        <f t="shared" si="91"/>
        <v>59420</v>
      </c>
      <c r="I27" s="101">
        <f t="shared" si="91"/>
        <v>65769</v>
      </c>
      <c r="J27" s="101">
        <f t="shared" si="91"/>
        <v>71917</v>
      </c>
      <c r="K27" s="101">
        <f t="shared" si="91"/>
        <v>79207</v>
      </c>
      <c r="L27" s="101">
        <f t="shared" ref="L27:V27" si="92">IF(L54=0,0,L54*L164)</f>
        <v>82217.999999999985</v>
      </c>
      <c r="M27" s="101">
        <f t="shared" si="92"/>
        <v>89733.999999999985</v>
      </c>
      <c r="N27" s="101">
        <f t="shared" si="92"/>
        <v>89013</v>
      </c>
      <c r="O27" s="101">
        <f t="shared" si="92"/>
        <v>100320</v>
      </c>
      <c r="P27" s="101">
        <f t="shared" si="92"/>
        <v>96627.000000000015</v>
      </c>
      <c r="Q27" s="101">
        <f t="shared" si="92"/>
        <v>104679</v>
      </c>
      <c r="R27" s="101">
        <f t="shared" si="92"/>
        <v>106634</v>
      </c>
      <c r="S27" s="101">
        <f t="shared" si="92"/>
        <v>120036</v>
      </c>
      <c r="T27" s="101">
        <f t="shared" si="92"/>
        <v>114692</v>
      </c>
      <c r="U27" s="101">
        <f t="shared" si="92"/>
        <v>119365</v>
      </c>
      <c r="V27" s="101">
        <f t="shared" si="92"/>
        <v>123819</v>
      </c>
      <c r="W27" s="101">
        <f t="shared" ref="W27" si="93">IF(W54=0,0,W54*W164)</f>
        <v>134730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18675.144973766524</v>
      </c>
      <c r="C28" s="88">
        <f t="shared" si="94"/>
        <v>20004.48354937743</v>
      </c>
      <c r="D28" s="88">
        <f t="shared" si="94"/>
        <v>21183.670402685952</v>
      </c>
      <c r="E28" s="88">
        <f t="shared" si="94"/>
        <v>21524.936844035023</v>
      </c>
      <c r="F28" s="88">
        <f t="shared" si="94"/>
        <v>24983.818468847123</v>
      </c>
      <c r="G28" s="88">
        <f t="shared" si="94"/>
        <v>25871.539828735869</v>
      </c>
      <c r="H28" s="88">
        <f t="shared" si="94"/>
        <v>31580.122864066056</v>
      </c>
      <c r="I28" s="88">
        <f t="shared" si="94"/>
        <v>29565.847416342105</v>
      </c>
      <c r="J28" s="88">
        <f t="shared" si="94"/>
        <v>29719.644184749239</v>
      </c>
      <c r="K28" s="88">
        <f t="shared" si="94"/>
        <v>28148.874810297813</v>
      </c>
      <c r="L28" s="88">
        <f t="shared" ref="L28:V28" si="95">IF(L55=0,0,L55*L165)</f>
        <v>33998.99760290893</v>
      </c>
      <c r="M28" s="88">
        <f t="shared" si="95"/>
        <v>35867.86987621068</v>
      </c>
      <c r="N28" s="88">
        <f t="shared" si="95"/>
        <v>38863.540660917584</v>
      </c>
      <c r="O28" s="88">
        <f t="shared" si="95"/>
        <v>41220.092546319851</v>
      </c>
      <c r="P28" s="88">
        <f t="shared" si="95"/>
        <v>41911.426266313501</v>
      </c>
      <c r="Q28" s="88">
        <f t="shared" si="95"/>
        <v>42719.970755070855</v>
      </c>
      <c r="R28" s="88">
        <f t="shared" si="95"/>
        <v>47570.932552405488</v>
      </c>
      <c r="S28" s="88">
        <f t="shared" si="95"/>
        <v>53958.161918170401</v>
      </c>
      <c r="T28" s="88">
        <f t="shared" si="95"/>
        <v>47233</v>
      </c>
      <c r="U28" s="88">
        <f t="shared" si="95"/>
        <v>53703</v>
      </c>
      <c r="V28" s="88">
        <f t="shared" si="95"/>
        <v>51322</v>
      </c>
      <c r="W28" s="88">
        <f t="shared" ref="W28" si="96">IF(W55=0,0,W55*W165)</f>
        <v>55050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100131.12381269377</v>
      </c>
      <c r="C30" s="62">
        <f t="shared" ref="C30:V30" si="98">C31+C46</f>
        <v>99349.43600489544</v>
      </c>
      <c r="D30" s="62">
        <f t="shared" si="98"/>
        <v>100967.14150571339</v>
      </c>
      <c r="E30" s="62">
        <f t="shared" si="98"/>
        <v>105480.04469925578</v>
      </c>
      <c r="F30" s="62">
        <f t="shared" si="98"/>
        <v>114360.64380192669</v>
      </c>
      <c r="G30" s="62">
        <f t="shared" si="98"/>
        <v>114544.49621909356</v>
      </c>
      <c r="H30" s="62">
        <f t="shared" si="98"/>
        <v>125558.6036289288</v>
      </c>
      <c r="I30" s="62">
        <f t="shared" si="98"/>
        <v>137042.02225548343</v>
      </c>
      <c r="J30" s="62">
        <f t="shared" si="98"/>
        <v>149326.1123736352</v>
      </c>
      <c r="K30" s="62">
        <f t="shared" si="98"/>
        <v>159003.08860713209</v>
      </c>
      <c r="L30" s="62">
        <f t="shared" si="98"/>
        <v>169387.71910825471</v>
      </c>
      <c r="M30" s="62">
        <f t="shared" si="98"/>
        <v>174565.73866833025</v>
      </c>
      <c r="N30" s="62">
        <f t="shared" si="98"/>
        <v>173896.76915291033</v>
      </c>
      <c r="O30" s="62">
        <f t="shared" si="98"/>
        <v>170461.27984263323</v>
      </c>
      <c r="P30" s="62">
        <f t="shared" si="98"/>
        <v>171353.94186206983</v>
      </c>
      <c r="Q30" s="62">
        <f t="shared" si="98"/>
        <v>181855.67930185213</v>
      </c>
      <c r="R30" s="62">
        <f t="shared" si="98"/>
        <v>190737.08567973645</v>
      </c>
      <c r="S30" s="62">
        <f t="shared" si="98"/>
        <v>209298.1453418388</v>
      </c>
      <c r="T30" s="62">
        <f t="shared" si="98"/>
        <v>223787.41965850728</v>
      </c>
      <c r="U30" s="62">
        <f t="shared" si="98"/>
        <v>231753.78017874679</v>
      </c>
      <c r="V30" s="62">
        <f t="shared" si="98"/>
        <v>234977.44180497021</v>
      </c>
      <c r="W30" s="62">
        <f t="shared" ref="W30" si="99">W31+W46</f>
        <v>236145.77201076518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73297.82614379283</v>
      </c>
      <c r="C31" s="29">
        <f t="shared" ref="C31:V31" si="101">C32+C33+C40</f>
        <v>72802.911540303379</v>
      </c>
      <c r="D31" s="29">
        <f t="shared" si="101"/>
        <v>73556.517377005599</v>
      </c>
      <c r="E31" s="29">
        <f t="shared" si="101"/>
        <v>77056.882867552296</v>
      </c>
      <c r="F31" s="29">
        <f t="shared" si="101"/>
        <v>85460.226076418854</v>
      </c>
      <c r="G31" s="29">
        <f t="shared" si="101"/>
        <v>85003.859385082629</v>
      </c>
      <c r="H31" s="29">
        <f t="shared" si="101"/>
        <v>94771.544071149066</v>
      </c>
      <c r="I31" s="29">
        <f t="shared" si="101"/>
        <v>104984.54826374803</v>
      </c>
      <c r="J31" s="29">
        <f t="shared" si="101"/>
        <v>115366.49938016821</v>
      </c>
      <c r="K31" s="29">
        <f t="shared" si="101"/>
        <v>122877.02896985457</v>
      </c>
      <c r="L31" s="29">
        <f t="shared" si="101"/>
        <v>131006.07948318313</v>
      </c>
      <c r="M31" s="29">
        <f t="shared" si="101"/>
        <v>134035.16508933983</v>
      </c>
      <c r="N31" s="29">
        <f t="shared" si="101"/>
        <v>133483.66116349658</v>
      </c>
      <c r="O31" s="29">
        <f t="shared" si="101"/>
        <v>128354.28896507277</v>
      </c>
      <c r="P31" s="29">
        <f t="shared" si="101"/>
        <v>129426.76473816912</v>
      </c>
      <c r="Q31" s="29">
        <f t="shared" si="101"/>
        <v>138870.20010318919</v>
      </c>
      <c r="R31" s="29">
        <f t="shared" si="101"/>
        <v>145827.81619272692</v>
      </c>
      <c r="S31" s="29">
        <f t="shared" si="101"/>
        <v>161520.82014349033</v>
      </c>
      <c r="T31" s="29">
        <f t="shared" si="101"/>
        <v>175178.93815723728</v>
      </c>
      <c r="U31" s="29">
        <f t="shared" si="101"/>
        <v>181182.75272220455</v>
      </c>
      <c r="V31" s="29">
        <f t="shared" si="101"/>
        <v>183772.37553394798</v>
      </c>
      <c r="W31" s="29">
        <f t="shared" ref="W31" si="102">W32+W33+W40</f>
        <v>182623.95164764195</v>
      </c>
      <c r="DA31" s="173" t="s">
        <v>474</v>
      </c>
    </row>
    <row r="32" spans="1:105" ht="11.45" customHeight="1" x14ac:dyDescent="0.25">
      <c r="A32" s="136" t="s">
        <v>180</v>
      </c>
      <c r="B32" s="152">
        <v>2174.7716963692501</v>
      </c>
      <c r="C32" s="152">
        <v>1940.7672888022237</v>
      </c>
      <c r="D32" s="152">
        <v>1845.3303024181728</v>
      </c>
      <c r="E32" s="152">
        <v>1699.9432312954325</v>
      </c>
      <c r="F32" s="152">
        <v>1616.8949489743106</v>
      </c>
      <c r="G32" s="152">
        <v>1795.862374035639</v>
      </c>
      <c r="H32" s="152">
        <v>1905.1976836866279</v>
      </c>
      <c r="I32" s="152">
        <v>2065.8900181617105</v>
      </c>
      <c r="J32" s="152">
        <v>2087.9266558465224</v>
      </c>
      <c r="K32" s="152">
        <v>2302.4972089654602</v>
      </c>
      <c r="L32" s="152">
        <v>2483.7988964069709</v>
      </c>
      <c r="M32" s="152">
        <v>2480.7999999999997</v>
      </c>
      <c r="N32" s="152">
        <v>2499.6800000000003</v>
      </c>
      <c r="O32" s="152">
        <v>2428.7999999999997</v>
      </c>
      <c r="P32" s="152">
        <v>2457.6</v>
      </c>
      <c r="Q32" s="152">
        <v>2566.1999999999998</v>
      </c>
      <c r="R32" s="152">
        <v>2731.189407051359</v>
      </c>
      <c r="S32" s="152">
        <v>2596.4619749266867</v>
      </c>
      <c r="T32" s="152">
        <v>2489.184105226358</v>
      </c>
      <c r="U32" s="152">
        <v>2657.3259449211491</v>
      </c>
      <c r="V32" s="152">
        <v>2391.2711789347068</v>
      </c>
      <c r="W32" s="152">
        <v>2491.9831026280103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69501.349908890261</v>
      </c>
      <c r="C33" s="116">
        <f t="shared" ref="C33:V33" si="104">SUM(C34:C39)</f>
        <v>69275.460660230034</v>
      </c>
      <c r="D33" s="116">
        <f t="shared" si="104"/>
        <v>70140.251422358837</v>
      </c>
      <c r="E33" s="116">
        <f t="shared" si="104"/>
        <v>73832.250133999973</v>
      </c>
      <c r="F33" s="116">
        <f t="shared" si="104"/>
        <v>82203.758457814474</v>
      </c>
      <c r="G33" s="116">
        <f t="shared" si="104"/>
        <v>81573.925315312023</v>
      </c>
      <c r="H33" s="116">
        <f t="shared" si="104"/>
        <v>91287.959553509339</v>
      </c>
      <c r="I33" s="116">
        <f t="shared" si="104"/>
        <v>101311.20025555673</v>
      </c>
      <c r="J33" s="116">
        <f t="shared" si="104"/>
        <v>111696.50880420479</v>
      </c>
      <c r="K33" s="116">
        <f t="shared" si="104"/>
        <v>118975.75340441147</v>
      </c>
      <c r="L33" s="116">
        <f t="shared" si="104"/>
        <v>126929.7522386101</v>
      </c>
      <c r="M33" s="116">
        <f t="shared" si="104"/>
        <v>129944.16446814559</v>
      </c>
      <c r="N33" s="116">
        <f t="shared" si="104"/>
        <v>129412.68341744691</v>
      </c>
      <c r="O33" s="116">
        <f t="shared" si="104"/>
        <v>124347.90597305979</v>
      </c>
      <c r="P33" s="116">
        <f t="shared" si="104"/>
        <v>125365.38335404002</v>
      </c>
      <c r="Q33" s="116">
        <f t="shared" si="104"/>
        <v>134453.00010318917</v>
      </c>
      <c r="R33" s="116">
        <f t="shared" si="104"/>
        <v>141285.71891753341</v>
      </c>
      <c r="S33" s="116">
        <f t="shared" si="104"/>
        <v>157148.71019066431</v>
      </c>
      <c r="T33" s="116">
        <f t="shared" si="104"/>
        <v>170989.72467386295</v>
      </c>
      <c r="U33" s="116">
        <f t="shared" si="104"/>
        <v>176741.27528014794</v>
      </c>
      <c r="V33" s="116">
        <f t="shared" si="104"/>
        <v>179608.15675819656</v>
      </c>
      <c r="W33" s="116">
        <f t="shared" ref="W33" si="105">SUM(W34:W39)</f>
        <v>178357.45027868287</v>
      </c>
      <c r="DA33" s="176" t="s">
        <v>476</v>
      </c>
    </row>
    <row r="34" spans="1:105" ht="11.45" customHeight="1" x14ac:dyDescent="0.25">
      <c r="A34" s="111" t="s">
        <v>110</v>
      </c>
      <c r="B34" s="87">
        <v>55069.995686183669</v>
      </c>
      <c r="C34" s="87">
        <v>51241.525848385281</v>
      </c>
      <c r="D34" s="87">
        <v>49380.444051385188</v>
      </c>
      <c r="E34" s="87">
        <v>46785.558898354211</v>
      </c>
      <c r="F34" s="87">
        <v>47663.822506186421</v>
      </c>
      <c r="G34" s="87">
        <v>48034.177322718715</v>
      </c>
      <c r="H34" s="87">
        <v>50543.341417272655</v>
      </c>
      <c r="I34" s="87">
        <v>50939.695930009002</v>
      </c>
      <c r="J34" s="87">
        <v>51132.610601282038</v>
      </c>
      <c r="K34" s="87">
        <v>51053.465107506461</v>
      </c>
      <c r="L34" s="87">
        <v>50015.348236755526</v>
      </c>
      <c r="M34" s="87">
        <v>48722.713220078629</v>
      </c>
      <c r="N34" s="87">
        <v>48400.884446238117</v>
      </c>
      <c r="O34" s="87">
        <v>47337.771722215824</v>
      </c>
      <c r="P34" s="87">
        <v>46503.694519266166</v>
      </c>
      <c r="Q34" s="87">
        <v>49721.818235273371</v>
      </c>
      <c r="R34" s="87">
        <v>50027.769238742192</v>
      </c>
      <c r="S34" s="87">
        <v>55836.335235518571</v>
      </c>
      <c r="T34" s="87">
        <v>59323.760561916672</v>
      </c>
      <c r="U34" s="87">
        <v>62418.511427456848</v>
      </c>
      <c r="V34" s="87">
        <v>62150.463185197106</v>
      </c>
      <c r="W34" s="87">
        <v>69048.093727722095</v>
      </c>
      <c r="DA34" s="171" t="s">
        <v>477</v>
      </c>
    </row>
    <row r="35" spans="1:105" ht="11.45" customHeight="1" x14ac:dyDescent="0.25">
      <c r="A35" s="111" t="s">
        <v>111</v>
      </c>
      <c r="B35" s="87">
        <v>9338.7608635326178</v>
      </c>
      <c r="C35" s="87">
        <v>10465.707752027549</v>
      </c>
      <c r="D35" s="87">
        <v>10132.877115211371</v>
      </c>
      <c r="E35" s="87">
        <v>12546.977330173657</v>
      </c>
      <c r="F35" s="87">
        <v>16441.463151352636</v>
      </c>
      <c r="G35" s="87">
        <v>13349.472584972178</v>
      </c>
      <c r="H35" s="87">
        <v>18453.111629005736</v>
      </c>
      <c r="I35" s="87">
        <v>26428.807526166736</v>
      </c>
      <c r="J35" s="87">
        <v>35777.848083054174</v>
      </c>
      <c r="K35" s="87">
        <v>42181.076692243638</v>
      </c>
      <c r="L35" s="87">
        <v>48610.694612947402</v>
      </c>
      <c r="M35" s="87">
        <v>55539.081194344595</v>
      </c>
      <c r="N35" s="87">
        <v>59087.685520410654</v>
      </c>
      <c r="O35" s="87">
        <v>56265.973997313427</v>
      </c>
      <c r="P35" s="87">
        <v>58406.084104665082</v>
      </c>
      <c r="Q35" s="87">
        <v>63039.536822928341</v>
      </c>
      <c r="R35" s="87">
        <v>67100.8197113325</v>
      </c>
      <c r="S35" s="87">
        <v>74967.234363785334</v>
      </c>
      <c r="T35" s="87">
        <v>82493.292046479837</v>
      </c>
      <c r="U35" s="87">
        <v>84968.938297030734</v>
      </c>
      <c r="V35" s="87">
        <v>88871.14098028942</v>
      </c>
      <c r="W35" s="87">
        <v>81122.666481941269</v>
      </c>
      <c r="DA35" s="171" t="s">
        <v>478</v>
      </c>
    </row>
    <row r="36" spans="1:105" ht="11.45" customHeight="1" x14ac:dyDescent="0.25">
      <c r="A36" s="111" t="s">
        <v>112</v>
      </c>
      <c r="B36" s="87">
        <v>5092.5933591739758</v>
      </c>
      <c r="C36" s="87">
        <v>7568.2270598172045</v>
      </c>
      <c r="D36" s="87">
        <v>10626.93025576228</v>
      </c>
      <c r="E36" s="87">
        <v>14499.713905472105</v>
      </c>
      <c r="F36" s="87">
        <v>18098.472800275409</v>
      </c>
      <c r="G36" s="87">
        <v>20190.275407621135</v>
      </c>
      <c r="H36" s="87">
        <v>22291.506507230944</v>
      </c>
      <c r="I36" s="87">
        <v>23942.696799380999</v>
      </c>
      <c r="J36" s="87">
        <v>24786.050119868571</v>
      </c>
      <c r="K36" s="87">
        <v>25741.211604661381</v>
      </c>
      <c r="L36" s="87">
        <v>28303.593378381589</v>
      </c>
      <c r="M36" s="87">
        <v>25681.562265146258</v>
      </c>
      <c r="N36" s="87">
        <v>21922.332852190411</v>
      </c>
      <c r="O36" s="87">
        <v>20742.097735023395</v>
      </c>
      <c r="P36" s="87">
        <v>20447.751363674502</v>
      </c>
      <c r="Q36" s="87">
        <v>21643.197524124604</v>
      </c>
      <c r="R36" s="87">
        <v>24087.702042570167</v>
      </c>
      <c r="S36" s="87">
        <v>26252.625229708014</v>
      </c>
      <c r="T36" s="87">
        <v>29047.602987395145</v>
      </c>
      <c r="U36" s="87">
        <v>29204.418481762717</v>
      </c>
      <c r="V36" s="87">
        <v>28373.739090050916</v>
      </c>
      <c r="W36" s="87">
        <v>27863.534407754611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43.219145967831096</v>
      </c>
      <c r="R37" s="87">
        <v>57.694260321976166</v>
      </c>
      <c r="S37" s="87">
        <v>65.895899478832845</v>
      </c>
      <c r="T37" s="87">
        <v>70.361741846272892</v>
      </c>
      <c r="U37" s="87">
        <v>72.081848904449444</v>
      </c>
      <c r="V37" s="87">
        <v>69.044075526839194</v>
      </c>
      <c r="W37" s="87">
        <v>67.889989060695299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0.10696046366415748</v>
      </c>
      <c r="O38" s="87">
        <v>0.18239292546003705</v>
      </c>
      <c r="P38" s="87">
        <v>5.493707009131783</v>
      </c>
      <c r="Q38" s="87">
        <v>2.3451757384853162</v>
      </c>
      <c r="R38" s="87">
        <v>3.9051727078146841</v>
      </c>
      <c r="S38" s="87">
        <v>8.2062852662453398</v>
      </c>
      <c r="T38" s="87">
        <v>16.235618057522331</v>
      </c>
      <c r="U38" s="87">
        <v>23.834834829155309</v>
      </c>
      <c r="V38" s="87">
        <v>56.824994532876445</v>
      </c>
      <c r="W38" s="87">
        <v>144.07844959599001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0.11601052557696716</v>
      </c>
      <c r="M39" s="87">
        <v>0.80778857609516852</v>
      </c>
      <c r="N39" s="87">
        <v>1.6736381440707144</v>
      </c>
      <c r="O39" s="87">
        <v>1.8801255816911764</v>
      </c>
      <c r="P39" s="87">
        <v>2.3596594251365004</v>
      </c>
      <c r="Q39" s="87">
        <v>2.8831991565651247</v>
      </c>
      <c r="R39" s="87">
        <v>7.8284918587864025</v>
      </c>
      <c r="S39" s="87">
        <v>18.413176907318416</v>
      </c>
      <c r="T39" s="87">
        <v>38.471718167503418</v>
      </c>
      <c r="U39" s="87">
        <v>53.490390164033151</v>
      </c>
      <c r="V39" s="87">
        <v>86.944432599383887</v>
      </c>
      <c r="W39" s="87">
        <v>111.18722260823166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1621.7045385333151</v>
      </c>
      <c r="C40" s="116">
        <f t="shared" ref="C40:V40" si="107">SUM(C41:C45)</f>
        <v>1586.6835912711188</v>
      </c>
      <c r="D40" s="116">
        <f t="shared" si="107"/>
        <v>1570.9356522285955</v>
      </c>
      <c r="E40" s="116">
        <f t="shared" si="107"/>
        <v>1524.6895022568974</v>
      </c>
      <c r="F40" s="116">
        <f t="shared" si="107"/>
        <v>1639.5726696300726</v>
      </c>
      <c r="G40" s="116">
        <f t="shared" si="107"/>
        <v>1634.07169573497</v>
      </c>
      <c r="H40" s="116">
        <f t="shared" si="107"/>
        <v>1578.3868339530995</v>
      </c>
      <c r="I40" s="116">
        <f t="shared" si="107"/>
        <v>1607.4579900295894</v>
      </c>
      <c r="J40" s="116">
        <f t="shared" si="107"/>
        <v>1582.0639201169122</v>
      </c>
      <c r="K40" s="116">
        <f t="shared" si="107"/>
        <v>1598.7783564776312</v>
      </c>
      <c r="L40" s="116">
        <f t="shared" si="107"/>
        <v>1592.5283481660538</v>
      </c>
      <c r="M40" s="116">
        <f t="shared" si="107"/>
        <v>1610.2006211942435</v>
      </c>
      <c r="N40" s="116">
        <f t="shared" si="107"/>
        <v>1571.29774604967</v>
      </c>
      <c r="O40" s="116">
        <f t="shared" si="107"/>
        <v>1577.5829920129829</v>
      </c>
      <c r="P40" s="116">
        <f t="shared" si="107"/>
        <v>1603.7813841290963</v>
      </c>
      <c r="Q40" s="116">
        <f t="shared" si="107"/>
        <v>1851</v>
      </c>
      <c r="R40" s="116">
        <f t="shared" si="107"/>
        <v>1810.9078681421661</v>
      </c>
      <c r="S40" s="116">
        <f t="shared" si="107"/>
        <v>1775.6479778993239</v>
      </c>
      <c r="T40" s="116">
        <f t="shared" si="107"/>
        <v>1700.0293781479722</v>
      </c>
      <c r="U40" s="116">
        <f t="shared" si="107"/>
        <v>1784.1514971354502</v>
      </c>
      <c r="V40" s="116">
        <f t="shared" si="107"/>
        <v>1772.9475968167285</v>
      </c>
      <c r="W40" s="116">
        <f t="shared" ref="W40" si="108">SUM(W41:W45)</f>
        <v>1774.5182663310911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1587.2319076855219</v>
      </c>
      <c r="C42" s="101">
        <v>1553.9640787959695</v>
      </c>
      <c r="D42" s="101">
        <v>1540.5337401566399</v>
      </c>
      <c r="E42" s="101">
        <v>1499.0655601604201</v>
      </c>
      <c r="F42" s="101">
        <v>1584.8739742557602</v>
      </c>
      <c r="G42" s="101">
        <v>1566.4260194222607</v>
      </c>
      <c r="H42" s="101">
        <v>1514.8116837829243</v>
      </c>
      <c r="I42" s="101">
        <v>1547.3573760669865</v>
      </c>
      <c r="J42" s="101">
        <v>1525.4572412282896</v>
      </c>
      <c r="K42" s="101">
        <v>1545.76567548563</v>
      </c>
      <c r="L42" s="101">
        <v>1542.3410576727808</v>
      </c>
      <c r="M42" s="101">
        <v>1563.1469374424064</v>
      </c>
      <c r="N42" s="101">
        <v>1527.5524339269286</v>
      </c>
      <c r="O42" s="101">
        <v>1535.2003428419596</v>
      </c>
      <c r="P42" s="101">
        <v>1563.3411475417647</v>
      </c>
      <c r="Q42" s="101">
        <v>1787.5953494066525</v>
      </c>
      <c r="R42" s="101">
        <v>1752.8214279875378</v>
      </c>
      <c r="S42" s="101">
        <v>1722.3765455097914</v>
      </c>
      <c r="T42" s="101">
        <v>1648.2493477732551</v>
      </c>
      <c r="U42" s="101">
        <v>1727.721787023014</v>
      </c>
      <c r="V42" s="101">
        <v>1697.5421164094407</v>
      </c>
      <c r="W42" s="101">
        <v>1677.1705005230774</v>
      </c>
      <c r="DA42" s="175" t="s">
        <v>485</v>
      </c>
    </row>
    <row r="43" spans="1:105" ht="11.45" customHeight="1" x14ac:dyDescent="0.25">
      <c r="A43" s="111" t="s">
        <v>112</v>
      </c>
      <c r="B43" s="101">
        <v>24.919744466835279</v>
      </c>
      <c r="C43" s="101">
        <v>22.380682746654049</v>
      </c>
      <c r="D43" s="101">
        <v>19.889464782607561</v>
      </c>
      <c r="E43" s="101">
        <v>17.557586497759193</v>
      </c>
      <c r="F43" s="101">
        <v>47.445676317960249</v>
      </c>
      <c r="G43" s="101">
        <v>42.707646570362762</v>
      </c>
      <c r="H43" s="101">
        <v>39.884348554975716</v>
      </c>
      <c r="I43" s="101">
        <v>37.128211785279525</v>
      </c>
      <c r="J43" s="101">
        <v>34.557856941343488</v>
      </c>
      <c r="K43" s="101">
        <v>31.890603551035223</v>
      </c>
      <c r="L43" s="101">
        <v>29.416004564022838</v>
      </c>
      <c r="M43" s="101">
        <v>27.047110582495719</v>
      </c>
      <c r="N43" s="101">
        <v>24.833581749677389</v>
      </c>
      <c r="O43" s="101">
        <v>22.709306968441151</v>
      </c>
      <c r="P43" s="101">
        <v>20.625002461727526</v>
      </c>
      <c r="Q43" s="101">
        <v>18.684036529188038</v>
      </c>
      <c r="R43" s="101">
        <v>16.901901264893969</v>
      </c>
      <c r="S43" s="101">
        <v>15.997914604978771</v>
      </c>
      <c r="T43" s="101">
        <v>14.969954147818568</v>
      </c>
      <c r="U43" s="101">
        <v>15.253665409387473</v>
      </c>
      <c r="V43" s="101">
        <v>14.776199389852295</v>
      </c>
      <c r="W43" s="101">
        <v>14.760715150344783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23.858634193457014</v>
      </c>
      <c r="R44" s="101">
        <v>19.464064954441042</v>
      </c>
      <c r="S44" s="101">
        <v>13.331414059456952</v>
      </c>
      <c r="T44" s="101">
        <v>15.989759827430813</v>
      </c>
      <c r="U44" s="101">
        <v>27.310788699641904</v>
      </c>
      <c r="V44" s="101">
        <v>38.895021618295132</v>
      </c>
      <c r="W44" s="101">
        <v>51.537561144911827</v>
      </c>
      <c r="DA44" s="175" t="s">
        <v>487</v>
      </c>
    </row>
    <row r="45" spans="1:105" ht="11.45" customHeight="1" x14ac:dyDescent="0.25">
      <c r="A45" s="111" t="s">
        <v>115</v>
      </c>
      <c r="B45" s="101">
        <v>9.5528863809579896</v>
      </c>
      <c r="C45" s="101">
        <v>10.338829728495362</v>
      </c>
      <c r="D45" s="101">
        <v>10.512447289348076</v>
      </c>
      <c r="E45" s="101">
        <v>8.0663555987180828</v>
      </c>
      <c r="F45" s="101">
        <v>7.2530190563521355</v>
      </c>
      <c r="G45" s="101">
        <v>24.938029742346515</v>
      </c>
      <c r="H45" s="101">
        <v>23.690801615199366</v>
      </c>
      <c r="I45" s="101">
        <v>22.972402177323275</v>
      </c>
      <c r="J45" s="101">
        <v>22.048821947279091</v>
      </c>
      <c r="K45" s="101">
        <v>21.122077440966098</v>
      </c>
      <c r="L45" s="101">
        <v>20.771285929250055</v>
      </c>
      <c r="M45" s="101">
        <v>20.006573169341348</v>
      </c>
      <c r="N45" s="101">
        <v>18.911730373063826</v>
      </c>
      <c r="O45" s="101">
        <v>19.673342202582358</v>
      </c>
      <c r="P45" s="101">
        <v>19.81523412560416</v>
      </c>
      <c r="Q45" s="101">
        <v>20.86197987070253</v>
      </c>
      <c r="R45" s="101">
        <v>21.720473935293192</v>
      </c>
      <c r="S45" s="101">
        <v>23.9421037250968</v>
      </c>
      <c r="T45" s="101">
        <v>20.820316399467899</v>
      </c>
      <c r="U45" s="101">
        <v>13.865256003406872</v>
      </c>
      <c r="V45" s="101">
        <v>21.734259399140335</v>
      </c>
      <c r="W45" s="101">
        <v>31.049489512756924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26833.297668900937</v>
      </c>
      <c r="C46" s="29">
        <f t="shared" ref="C46:V46" si="110">C47+C53</f>
        <v>26546.524464592065</v>
      </c>
      <c r="D46" s="29">
        <f t="shared" si="110"/>
        <v>27410.62412870779</v>
      </c>
      <c r="E46" s="29">
        <f t="shared" si="110"/>
        <v>28423.161831703484</v>
      </c>
      <c r="F46" s="29">
        <f t="shared" si="110"/>
        <v>28900.417725507832</v>
      </c>
      <c r="G46" s="29">
        <f t="shared" si="110"/>
        <v>29540.63683401094</v>
      </c>
      <c r="H46" s="29">
        <f t="shared" si="110"/>
        <v>30787.059557779736</v>
      </c>
      <c r="I46" s="29">
        <f t="shared" si="110"/>
        <v>32057.473991735413</v>
      </c>
      <c r="J46" s="29">
        <f t="shared" si="110"/>
        <v>33959.612993466981</v>
      </c>
      <c r="K46" s="29">
        <f t="shared" si="110"/>
        <v>36126.059637277518</v>
      </c>
      <c r="L46" s="29">
        <f t="shared" si="110"/>
        <v>38381.63962507157</v>
      </c>
      <c r="M46" s="29">
        <f t="shared" si="110"/>
        <v>40530.573578990414</v>
      </c>
      <c r="N46" s="29">
        <f t="shared" si="110"/>
        <v>40413.107989413744</v>
      </c>
      <c r="O46" s="29">
        <f t="shared" si="110"/>
        <v>42106.990877560471</v>
      </c>
      <c r="P46" s="29">
        <f t="shared" si="110"/>
        <v>41927.177123900692</v>
      </c>
      <c r="Q46" s="29">
        <f t="shared" si="110"/>
        <v>42985.479198662957</v>
      </c>
      <c r="R46" s="29">
        <f t="shared" si="110"/>
        <v>44909.269487009529</v>
      </c>
      <c r="S46" s="29">
        <f t="shared" si="110"/>
        <v>47777.325198348473</v>
      </c>
      <c r="T46" s="29">
        <f t="shared" si="110"/>
        <v>48608.481501269984</v>
      </c>
      <c r="U46" s="29">
        <f t="shared" si="110"/>
        <v>50571.027456542251</v>
      </c>
      <c r="V46" s="29">
        <f t="shared" si="110"/>
        <v>51205.066271022239</v>
      </c>
      <c r="W46" s="29">
        <f t="shared" ref="W46" si="111">W47+W53</f>
        <v>53521.820363123232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20580.077488346145</v>
      </c>
      <c r="C47" s="152">
        <f t="shared" ref="C47:V47" si="113">SUM(C48:C52)</f>
        <v>20043.778032037248</v>
      </c>
      <c r="D47" s="152">
        <f t="shared" si="113"/>
        <v>20602.195645755812</v>
      </c>
      <c r="E47" s="152">
        <f t="shared" si="113"/>
        <v>21194.363458357675</v>
      </c>
      <c r="F47" s="152">
        <f t="shared" si="113"/>
        <v>20492.984133802558</v>
      </c>
      <c r="G47" s="152">
        <f t="shared" si="113"/>
        <v>20728.590991726844</v>
      </c>
      <c r="H47" s="152">
        <f t="shared" si="113"/>
        <v>21678.561850474412</v>
      </c>
      <c r="I47" s="152">
        <f t="shared" si="113"/>
        <v>22322.872613108248</v>
      </c>
      <c r="J47" s="152">
        <f t="shared" si="113"/>
        <v>23495.882677281705</v>
      </c>
      <c r="K47" s="152">
        <f t="shared" si="113"/>
        <v>24797.155646466515</v>
      </c>
      <c r="L47" s="152">
        <f t="shared" si="113"/>
        <v>26169.747211468497</v>
      </c>
      <c r="M47" s="152">
        <f t="shared" si="113"/>
        <v>27181.729314339602</v>
      </c>
      <c r="N47" s="152">
        <f t="shared" si="113"/>
        <v>26965.172531812383</v>
      </c>
      <c r="O47" s="152">
        <f t="shared" si="113"/>
        <v>27527.650810162966</v>
      </c>
      <c r="P47" s="152">
        <f t="shared" si="113"/>
        <v>27476.769210356742</v>
      </c>
      <c r="Q47" s="152">
        <f t="shared" si="113"/>
        <v>27602.26328535697</v>
      </c>
      <c r="R47" s="152">
        <f t="shared" si="113"/>
        <v>29087.526878433047</v>
      </c>
      <c r="S47" s="152">
        <f t="shared" si="113"/>
        <v>30378.793972206269</v>
      </c>
      <c r="T47" s="152">
        <f t="shared" si="113"/>
        <v>32059.868414935063</v>
      </c>
      <c r="U47" s="152">
        <f t="shared" si="113"/>
        <v>33659.852918306031</v>
      </c>
      <c r="V47" s="152">
        <f t="shared" si="113"/>
        <v>33838.323821640064</v>
      </c>
      <c r="W47" s="152">
        <f t="shared" ref="W47" si="114">SUM(W48:W52)</f>
        <v>34962.096524865541</v>
      </c>
      <c r="DA47" s="174" t="s">
        <v>490</v>
      </c>
    </row>
    <row r="48" spans="1:105" ht="11.45" customHeight="1" x14ac:dyDescent="0.25">
      <c r="A48" s="111" t="s">
        <v>110</v>
      </c>
      <c r="B48" s="87">
        <v>12351.686292392476</v>
      </c>
      <c r="C48" s="87">
        <v>11977.351109031506</v>
      </c>
      <c r="D48" s="87">
        <v>10888.390950089812</v>
      </c>
      <c r="E48" s="87">
        <v>10644.910363205823</v>
      </c>
      <c r="F48" s="87">
        <v>9611.1874639529487</v>
      </c>
      <c r="G48" s="87">
        <v>8515.8783551187989</v>
      </c>
      <c r="H48" s="87">
        <v>7942.3523620781743</v>
      </c>
      <c r="I48" s="87">
        <v>7256.1124080308564</v>
      </c>
      <c r="J48" s="87">
        <v>6747.567764581745</v>
      </c>
      <c r="K48" s="87">
        <v>6951.9754747647812</v>
      </c>
      <c r="L48" s="87">
        <v>6722.418858549865</v>
      </c>
      <c r="M48" s="87">
        <v>6232.6361074517126</v>
      </c>
      <c r="N48" s="87">
        <v>5824.666190261084</v>
      </c>
      <c r="O48" s="87">
        <v>5502.1701006598005</v>
      </c>
      <c r="P48" s="87">
        <v>5077.4203044481519</v>
      </c>
      <c r="Q48" s="87">
        <v>4506.0570160334091</v>
      </c>
      <c r="R48" s="87">
        <v>4516.0182372766067</v>
      </c>
      <c r="S48" s="87">
        <v>4723.3008191571089</v>
      </c>
      <c r="T48" s="87">
        <v>4720.2484149633347</v>
      </c>
      <c r="U48" s="87">
        <v>4776.3879125410831</v>
      </c>
      <c r="V48" s="87">
        <v>4415.1707923323138</v>
      </c>
      <c r="W48" s="87">
        <v>4378.0003580873026</v>
      </c>
      <c r="DA48" s="171" t="s">
        <v>491</v>
      </c>
    </row>
    <row r="49" spans="1:105" ht="11.45" customHeight="1" x14ac:dyDescent="0.25">
      <c r="A49" s="111" t="s">
        <v>111</v>
      </c>
      <c r="B49" s="87">
        <v>7846.0656913978046</v>
      </c>
      <c r="C49" s="87">
        <v>7629.0384265058428</v>
      </c>
      <c r="D49" s="87">
        <v>9097.8694095178198</v>
      </c>
      <c r="E49" s="87">
        <v>9814.8932774987861</v>
      </c>
      <c r="F49" s="87">
        <v>10121.499732894241</v>
      </c>
      <c r="G49" s="87">
        <v>11380.823804598747</v>
      </c>
      <c r="H49" s="87">
        <v>12735.290889118602</v>
      </c>
      <c r="I49" s="87">
        <v>13979.648391927725</v>
      </c>
      <c r="J49" s="87">
        <v>15605.017231129834</v>
      </c>
      <c r="K49" s="87">
        <v>16676.838215494266</v>
      </c>
      <c r="L49" s="87">
        <v>18240.829029343844</v>
      </c>
      <c r="M49" s="87">
        <v>19702.704575177075</v>
      </c>
      <c r="N49" s="87">
        <v>20001.190269447805</v>
      </c>
      <c r="O49" s="87">
        <v>20891.022208792074</v>
      </c>
      <c r="P49" s="87">
        <v>21135.509737104032</v>
      </c>
      <c r="Q49" s="87">
        <v>21812.0722003583</v>
      </c>
      <c r="R49" s="87">
        <v>23275.665796277943</v>
      </c>
      <c r="S49" s="87">
        <v>24391.140769995538</v>
      </c>
      <c r="T49" s="87">
        <v>26012.125011083259</v>
      </c>
      <c r="U49" s="87">
        <v>27547.96193444548</v>
      </c>
      <c r="V49" s="87">
        <v>28142.071920616065</v>
      </c>
      <c r="W49" s="87">
        <v>29302.727564951092</v>
      </c>
      <c r="DA49" s="171" t="s">
        <v>492</v>
      </c>
    </row>
    <row r="50" spans="1:105" ht="11.45" customHeight="1" x14ac:dyDescent="0.25">
      <c r="A50" s="111" t="s">
        <v>112</v>
      </c>
      <c r="B50" s="87">
        <v>382.3255045558642</v>
      </c>
      <c r="C50" s="87">
        <v>437.38849649989635</v>
      </c>
      <c r="D50" s="87">
        <v>615.93528614818126</v>
      </c>
      <c r="E50" s="87">
        <v>734.5598176530649</v>
      </c>
      <c r="F50" s="87">
        <v>760.29693695536764</v>
      </c>
      <c r="G50" s="87">
        <v>831.88883200929547</v>
      </c>
      <c r="H50" s="87">
        <v>1000.9185992776382</v>
      </c>
      <c r="I50" s="87">
        <v>1087.1118131496667</v>
      </c>
      <c r="J50" s="87">
        <v>1143.2976815701256</v>
      </c>
      <c r="K50" s="87">
        <v>1168.3419562074666</v>
      </c>
      <c r="L50" s="87">
        <v>1206.4993235747863</v>
      </c>
      <c r="M50" s="87">
        <v>1246.3886317108161</v>
      </c>
      <c r="N50" s="87">
        <v>1139.26839167802</v>
      </c>
      <c r="O50" s="87">
        <v>1134.36987305975</v>
      </c>
      <c r="P50" s="87">
        <v>1263.7232626179048</v>
      </c>
      <c r="Q50" s="87">
        <v>1261.4517885128944</v>
      </c>
      <c r="R50" s="87">
        <v>1269.221023635886</v>
      </c>
      <c r="S50" s="87">
        <v>1238.4688471754434</v>
      </c>
      <c r="T50" s="87">
        <v>1300.4708836260818</v>
      </c>
      <c r="U50" s="87">
        <v>1307.3715788594029</v>
      </c>
      <c r="V50" s="87">
        <v>1258.7545071417148</v>
      </c>
      <c r="W50" s="87">
        <v>1257.8644919640542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22.518548880285476</v>
      </c>
      <c r="R51" s="87">
        <v>26.414306606494577</v>
      </c>
      <c r="S51" s="87">
        <v>25.574305424254714</v>
      </c>
      <c r="T51" s="87">
        <v>26.407551017679953</v>
      </c>
      <c r="U51" s="87">
        <v>26.676634481562321</v>
      </c>
      <c r="V51" s="87">
        <v>19.435524539740634</v>
      </c>
      <c r="W51" s="87">
        <v>17.490102469770406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4.7680425475365253E-2</v>
      </c>
      <c r="O52" s="87">
        <v>8.8627651341023503E-2</v>
      </c>
      <c r="P52" s="87">
        <v>0.11590618665330828</v>
      </c>
      <c r="Q52" s="87">
        <v>0.16373157208157157</v>
      </c>
      <c r="R52" s="87">
        <v>0.2075146361172259</v>
      </c>
      <c r="S52" s="87">
        <v>0.30923045392176235</v>
      </c>
      <c r="T52" s="87">
        <v>0.61655424470440323</v>
      </c>
      <c r="U52" s="87">
        <v>1.4548579785029441</v>
      </c>
      <c r="V52" s="87">
        <v>2.891077010238714</v>
      </c>
      <c r="W52" s="87">
        <v>6.0140073933202931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6253.2201805547938</v>
      </c>
      <c r="C53" s="116">
        <f t="shared" ref="C53:V53" si="116">SUM(C54:C55)</f>
        <v>6502.7464325548162</v>
      </c>
      <c r="D53" s="116">
        <f t="shared" si="116"/>
        <v>6808.4284829519793</v>
      </c>
      <c r="E53" s="116">
        <f t="shared" si="116"/>
        <v>7228.7983733458086</v>
      </c>
      <c r="F53" s="116">
        <f t="shared" si="116"/>
        <v>8407.433591705274</v>
      </c>
      <c r="G53" s="116">
        <f t="shared" si="116"/>
        <v>8812.0458422840966</v>
      </c>
      <c r="H53" s="116">
        <f t="shared" si="116"/>
        <v>9108.4977073053233</v>
      </c>
      <c r="I53" s="116">
        <f t="shared" si="116"/>
        <v>9734.6013786271651</v>
      </c>
      <c r="J53" s="116">
        <f t="shared" si="116"/>
        <v>10463.730316185276</v>
      </c>
      <c r="K53" s="116">
        <f t="shared" si="116"/>
        <v>11328.903990811003</v>
      </c>
      <c r="L53" s="116">
        <f t="shared" si="116"/>
        <v>12211.892413603071</v>
      </c>
      <c r="M53" s="116">
        <f t="shared" si="116"/>
        <v>13348.844264650816</v>
      </c>
      <c r="N53" s="116">
        <f t="shared" si="116"/>
        <v>13447.935457601361</v>
      </c>
      <c r="O53" s="116">
        <f t="shared" si="116"/>
        <v>14579.340067397505</v>
      </c>
      <c r="P53" s="116">
        <f t="shared" si="116"/>
        <v>14450.407913543946</v>
      </c>
      <c r="Q53" s="116">
        <f t="shared" si="116"/>
        <v>15383.215913305985</v>
      </c>
      <c r="R53" s="116">
        <f t="shared" si="116"/>
        <v>15821.742608576486</v>
      </c>
      <c r="S53" s="116">
        <f t="shared" si="116"/>
        <v>17398.531226142204</v>
      </c>
      <c r="T53" s="116">
        <f t="shared" si="116"/>
        <v>16548.613086334921</v>
      </c>
      <c r="U53" s="116">
        <f t="shared" si="116"/>
        <v>16911.174538236221</v>
      </c>
      <c r="V53" s="116">
        <f t="shared" si="116"/>
        <v>17366.742449382178</v>
      </c>
      <c r="W53" s="116">
        <f t="shared" ref="W53" si="117">SUM(W54:W55)</f>
        <v>18559.723838257694</v>
      </c>
      <c r="DA53" s="176" t="s">
        <v>496</v>
      </c>
    </row>
    <row r="54" spans="1:105" ht="11.45" customHeight="1" x14ac:dyDescent="0.25">
      <c r="A54" s="128" t="s">
        <v>27</v>
      </c>
      <c r="B54" s="101">
        <v>4943.3659158521041</v>
      </c>
      <c r="C54" s="101">
        <v>5098.4360390990232</v>
      </c>
      <c r="D54" s="101">
        <v>5331.0412239694015</v>
      </c>
      <c r="E54" s="101">
        <v>5718.7165320866989</v>
      </c>
      <c r="F54" s="101">
        <v>6622</v>
      </c>
      <c r="G54" s="101">
        <v>6964</v>
      </c>
      <c r="H54" s="101">
        <v>6867</v>
      </c>
      <c r="I54" s="101">
        <v>7640</v>
      </c>
      <c r="J54" s="101">
        <v>8328</v>
      </c>
      <c r="K54" s="101">
        <v>9279</v>
      </c>
      <c r="L54" s="101">
        <v>9814</v>
      </c>
      <c r="M54" s="101">
        <v>10811</v>
      </c>
      <c r="N54" s="101">
        <v>10689</v>
      </c>
      <c r="O54" s="101">
        <v>11657</v>
      </c>
      <c r="P54" s="101">
        <v>11486</v>
      </c>
      <c r="Q54" s="101">
        <v>12333</v>
      </c>
      <c r="R54" s="101">
        <v>12407</v>
      </c>
      <c r="S54" s="101">
        <v>13558</v>
      </c>
      <c r="T54" s="101">
        <v>13212</v>
      </c>
      <c r="U54" s="101">
        <v>13103</v>
      </c>
      <c r="V54" s="101">
        <v>13671</v>
      </c>
      <c r="W54" s="101">
        <v>14639</v>
      </c>
      <c r="DA54" s="175" t="s">
        <v>497</v>
      </c>
    </row>
    <row r="55" spans="1:105" ht="11.45" customHeight="1" x14ac:dyDescent="0.25">
      <c r="A55" s="138" t="s">
        <v>116</v>
      </c>
      <c r="B55" s="88">
        <v>1309.8542647026898</v>
      </c>
      <c r="C55" s="88">
        <v>1404.3103934557932</v>
      </c>
      <c r="D55" s="88">
        <v>1477.3872589825776</v>
      </c>
      <c r="E55" s="88">
        <v>1510.08184125911</v>
      </c>
      <c r="F55" s="88">
        <v>1785.4335917052736</v>
      </c>
      <c r="G55" s="88">
        <v>1848.0458422840968</v>
      </c>
      <c r="H55" s="88">
        <v>2241.4977073053237</v>
      </c>
      <c r="I55" s="88">
        <v>2094.6013786271651</v>
      </c>
      <c r="J55" s="88">
        <v>2135.7303161852765</v>
      </c>
      <c r="K55" s="88">
        <v>2049.9039908110017</v>
      </c>
      <c r="L55" s="88">
        <v>2397.892413603071</v>
      </c>
      <c r="M55" s="88">
        <v>2537.8442646508161</v>
      </c>
      <c r="N55" s="88">
        <v>2758.9354576013607</v>
      </c>
      <c r="O55" s="88">
        <v>2922.3400673975043</v>
      </c>
      <c r="P55" s="88">
        <v>2964.4079135439456</v>
      </c>
      <c r="Q55" s="88">
        <v>3050.2159133059854</v>
      </c>
      <c r="R55" s="88">
        <v>3414.7426085764864</v>
      </c>
      <c r="S55" s="88">
        <v>3840.5312261422032</v>
      </c>
      <c r="T55" s="88">
        <v>3336.6130863349199</v>
      </c>
      <c r="U55" s="88">
        <v>3808.1745382362196</v>
      </c>
      <c r="V55" s="88">
        <v>3695.7424493821768</v>
      </c>
      <c r="W55" s="88">
        <v>3920.7238382576957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12954807</v>
      </c>
      <c r="C57" s="54">
        <f t="shared" si="118"/>
        <v>14001742</v>
      </c>
      <c r="D57" s="54">
        <f t="shared" si="118"/>
        <v>14588832</v>
      </c>
      <c r="E57" s="54">
        <f t="shared" si="118"/>
        <v>14924164</v>
      </c>
      <c r="F57" s="54">
        <f t="shared" si="118"/>
        <v>15095969</v>
      </c>
      <c r="G57" s="54">
        <f t="shared" si="118"/>
        <v>15776072</v>
      </c>
      <c r="H57" s="54">
        <f t="shared" si="118"/>
        <v>16966229</v>
      </c>
      <c r="I57" s="54">
        <f t="shared" si="118"/>
        <v>18447030</v>
      </c>
      <c r="J57" s="54">
        <f t="shared" si="118"/>
        <v>20377166</v>
      </c>
      <c r="K57" s="54">
        <f t="shared" si="118"/>
        <v>21074319</v>
      </c>
      <c r="L57" s="54">
        <f t="shared" ref="L57" si="119">L58+L73</f>
        <v>22121584</v>
      </c>
      <c r="M57" s="54">
        <f t="shared" ref="M57:V57" si="120">M58+M73</f>
        <v>23326229</v>
      </c>
      <c r="N57" s="54">
        <f t="shared" si="120"/>
        <v>24087799</v>
      </c>
      <c r="O57" s="54">
        <f t="shared" si="120"/>
        <v>24965875</v>
      </c>
      <c r="P57" s="54">
        <f t="shared" si="120"/>
        <v>25698580</v>
      </c>
      <c r="Q57" s="54">
        <f t="shared" si="120"/>
        <v>26635066</v>
      </c>
      <c r="R57" s="54">
        <f t="shared" si="120"/>
        <v>27797498</v>
      </c>
      <c r="S57" s="54">
        <f t="shared" si="120"/>
        <v>28814613</v>
      </c>
      <c r="T57" s="54">
        <f t="shared" si="120"/>
        <v>29966233</v>
      </c>
      <c r="U57" s="54">
        <f t="shared" si="120"/>
        <v>31114368</v>
      </c>
      <c r="V57" s="54">
        <f t="shared" si="120"/>
        <v>32087664</v>
      </c>
      <c r="W57" s="54">
        <f t="shared" ref="W57" si="121">W58+W73</f>
        <v>33077265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10827968</v>
      </c>
      <c r="C58" s="28">
        <f t="shared" si="122"/>
        <v>11839703</v>
      </c>
      <c r="D58" s="28">
        <f t="shared" si="122"/>
        <v>12319492</v>
      </c>
      <c r="E58" s="28">
        <f t="shared" si="122"/>
        <v>12622951</v>
      </c>
      <c r="F58" s="28">
        <f t="shared" si="122"/>
        <v>12847477</v>
      </c>
      <c r="G58" s="28">
        <f t="shared" si="122"/>
        <v>13467425</v>
      </c>
      <c r="H58" s="28">
        <f t="shared" si="122"/>
        <v>14610835</v>
      </c>
      <c r="I58" s="28">
        <f t="shared" si="122"/>
        <v>15977887</v>
      </c>
      <c r="J58" s="28">
        <f t="shared" si="122"/>
        <v>17725555</v>
      </c>
      <c r="K58" s="28">
        <f t="shared" si="122"/>
        <v>18343082</v>
      </c>
      <c r="L58" s="28">
        <f t="shared" ref="L58" si="123">L59+L60+L67</f>
        <v>19215099</v>
      </c>
      <c r="M58" s="28">
        <f t="shared" ref="M58:V58" si="124">M59+M60+M67</f>
        <v>20268325</v>
      </c>
      <c r="N58" s="28">
        <f t="shared" si="124"/>
        <v>20992524</v>
      </c>
      <c r="O58" s="28">
        <f t="shared" si="124"/>
        <v>21747963</v>
      </c>
      <c r="P58" s="28">
        <f t="shared" si="124"/>
        <v>22453348</v>
      </c>
      <c r="Q58" s="28">
        <f t="shared" si="124"/>
        <v>23305616</v>
      </c>
      <c r="R58" s="28">
        <f t="shared" si="124"/>
        <v>24375224</v>
      </c>
      <c r="S58" s="28">
        <f t="shared" si="124"/>
        <v>25311729</v>
      </c>
      <c r="T58" s="28">
        <f t="shared" si="124"/>
        <v>26336359</v>
      </c>
      <c r="U58" s="28">
        <f t="shared" si="124"/>
        <v>27378222</v>
      </c>
      <c r="V58" s="28">
        <f t="shared" si="124"/>
        <v>28240112</v>
      </c>
      <c r="W58" s="28">
        <f t="shared" ref="W58" si="125">W59+W60+W67</f>
        <v>29096158</v>
      </c>
      <c r="DA58" s="173" t="s">
        <v>500</v>
      </c>
    </row>
    <row r="59" spans="1:105" ht="11.45" customHeight="1" x14ac:dyDescent="0.25">
      <c r="A59" s="136" t="s">
        <v>180</v>
      </c>
      <c r="B59" s="137">
        <v>803000</v>
      </c>
      <c r="C59" s="137">
        <v>803000</v>
      </c>
      <c r="D59" s="137">
        <v>869000</v>
      </c>
      <c r="E59" s="137">
        <v>845456</v>
      </c>
      <c r="F59" s="137">
        <v>835790</v>
      </c>
      <c r="G59" s="137">
        <v>1091159</v>
      </c>
      <c r="H59" s="137">
        <v>1190093</v>
      </c>
      <c r="I59" s="137">
        <v>1350789</v>
      </c>
      <c r="J59" s="137">
        <v>1607316</v>
      </c>
      <c r="K59" s="137">
        <v>1808723</v>
      </c>
      <c r="L59" s="137">
        <v>1935140</v>
      </c>
      <c r="M59" s="137">
        <v>2102175</v>
      </c>
      <c r="N59" s="137">
        <v>2207556</v>
      </c>
      <c r="O59" s="137">
        <v>2316610</v>
      </c>
      <c r="P59" s="137">
        <v>2406105</v>
      </c>
      <c r="Q59" s="137">
        <v>2531520</v>
      </c>
      <c r="R59" s="137">
        <v>2647825</v>
      </c>
      <c r="S59" s="137">
        <v>2755000</v>
      </c>
      <c r="T59" s="137">
        <v>2852800</v>
      </c>
      <c r="U59" s="137">
        <v>2962035</v>
      </c>
      <c r="V59" s="137">
        <v>3069151</v>
      </c>
      <c r="W59" s="137">
        <v>3169006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9991300</v>
      </c>
      <c r="C60" s="110">
        <f t="shared" si="126"/>
        <v>11003100</v>
      </c>
      <c r="D60" s="110">
        <f t="shared" si="126"/>
        <v>11416573</v>
      </c>
      <c r="E60" s="110">
        <f t="shared" si="126"/>
        <v>11743900</v>
      </c>
      <c r="F60" s="110">
        <f t="shared" si="126"/>
        <v>11975000</v>
      </c>
      <c r="G60" s="110">
        <f t="shared" si="126"/>
        <v>12339000</v>
      </c>
      <c r="H60" s="110">
        <f t="shared" si="126"/>
        <v>13384000</v>
      </c>
      <c r="I60" s="110">
        <f t="shared" si="126"/>
        <v>14589000</v>
      </c>
      <c r="J60" s="110">
        <f t="shared" si="126"/>
        <v>16080000</v>
      </c>
      <c r="K60" s="110">
        <f t="shared" si="126"/>
        <v>16495000</v>
      </c>
      <c r="L60" s="110">
        <f t="shared" ref="L60" si="127">SUM(L61:L66)</f>
        <v>17240000</v>
      </c>
      <c r="M60" s="110">
        <f t="shared" ref="M60:V60" si="128">SUM(M61:M66)</f>
        <v>18125000</v>
      </c>
      <c r="N60" s="110">
        <f t="shared" si="128"/>
        <v>18744000</v>
      </c>
      <c r="O60" s="110">
        <f t="shared" si="128"/>
        <v>19389446</v>
      </c>
      <c r="P60" s="110">
        <f t="shared" si="128"/>
        <v>20003863</v>
      </c>
      <c r="Q60" s="110">
        <f t="shared" si="128"/>
        <v>20723423</v>
      </c>
      <c r="R60" s="110">
        <f t="shared" si="128"/>
        <v>21675388</v>
      </c>
      <c r="S60" s="110">
        <f t="shared" si="128"/>
        <v>22503579</v>
      </c>
      <c r="T60" s="110">
        <f t="shared" si="128"/>
        <v>23429016</v>
      </c>
      <c r="U60" s="110">
        <f t="shared" si="128"/>
        <v>24360166</v>
      </c>
      <c r="V60" s="110">
        <f t="shared" si="128"/>
        <v>25113862</v>
      </c>
      <c r="W60" s="110">
        <f t="shared" ref="W60" si="129">SUM(W61:W66)</f>
        <v>25869804</v>
      </c>
      <c r="DA60" s="176" t="s">
        <v>502</v>
      </c>
    </row>
    <row r="61" spans="1:105" ht="11.45" customHeight="1" x14ac:dyDescent="0.25">
      <c r="A61" s="111" t="s">
        <v>110</v>
      </c>
      <c r="B61" s="84">
        <v>8094000</v>
      </c>
      <c r="C61" s="84">
        <v>8704483</v>
      </c>
      <c r="D61" s="84">
        <v>8615788</v>
      </c>
      <c r="E61" s="84">
        <v>8358098</v>
      </c>
      <c r="F61" s="84">
        <v>8201702</v>
      </c>
      <c r="G61" s="84">
        <v>8630106</v>
      </c>
      <c r="H61" s="84">
        <v>9114195</v>
      </c>
      <c r="I61" s="84">
        <v>9605644</v>
      </c>
      <c r="J61" s="84">
        <v>10231006</v>
      </c>
      <c r="K61" s="84">
        <v>10088132</v>
      </c>
      <c r="L61" s="84">
        <v>10239494</v>
      </c>
      <c r="M61" s="84">
        <v>10701727</v>
      </c>
      <c r="N61" s="84">
        <v>11050312</v>
      </c>
      <c r="O61" s="84">
        <v>11170811</v>
      </c>
      <c r="P61" s="84">
        <v>11309146</v>
      </c>
      <c r="Q61" s="84">
        <v>11648309</v>
      </c>
      <c r="R61" s="84">
        <v>11909716</v>
      </c>
      <c r="S61" s="84">
        <v>12427379</v>
      </c>
      <c r="T61" s="84">
        <v>12673350</v>
      </c>
      <c r="U61" s="84">
        <v>13175477</v>
      </c>
      <c r="V61" s="84">
        <v>13574976</v>
      </c>
      <c r="W61" s="84">
        <v>14014277</v>
      </c>
      <c r="DA61" s="171" t="s">
        <v>503</v>
      </c>
    </row>
    <row r="62" spans="1:105" ht="11.45" customHeight="1" x14ac:dyDescent="0.25">
      <c r="A62" s="111" t="s">
        <v>111</v>
      </c>
      <c r="B62" s="84">
        <v>1297300</v>
      </c>
      <c r="C62" s="84">
        <v>1298617</v>
      </c>
      <c r="D62" s="84">
        <v>1300785</v>
      </c>
      <c r="E62" s="84">
        <v>1385802</v>
      </c>
      <c r="F62" s="84">
        <v>1523298</v>
      </c>
      <c r="G62" s="84">
        <v>1187889</v>
      </c>
      <c r="H62" s="84">
        <v>1562706</v>
      </c>
      <c r="I62" s="84">
        <v>2101204</v>
      </c>
      <c r="J62" s="84">
        <v>2822146</v>
      </c>
      <c r="K62" s="84">
        <v>3271171</v>
      </c>
      <c r="L62" s="84">
        <v>3768857</v>
      </c>
      <c r="M62" s="84">
        <v>4402060</v>
      </c>
      <c r="N62" s="84">
        <v>4936461</v>
      </c>
      <c r="O62" s="84">
        <v>5371504</v>
      </c>
      <c r="P62" s="84">
        <v>5789670</v>
      </c>
      <c r="Q62" s="84">
        <v>6091857</v>
      </c>
      <c r="R62" s="84">
        <v>6674341</v>
      </c>
      <c r="S62" s="84">
        <v>7026903</v>
      </c>
      <c r="T62" s="84">
        <v>7459417</v>
      </c>
      <c r="U62" s="84">
        <v>7839868</v>
      </c>
      <c r="V62" s="84">
        <v>8176884</v>
      </c>
      <c r="W62" s="84">
        <v>8475200</v>
      </c>
      <c r="DA62" s="171" t="s">
        <v>504</v>
      </c>
    </row>
    <row r="63" spans="1:105" ht="11.45" customHeight="1" x14ac:dyDescent="0.25">
      <c r="A63" s="111" t="s">
        <v>112</v>
      </c>
      <c r="B63" s="84">
        <v>600000</v>
      </c>
      <c r="C63" s="84">
        <v>1000000</v>
      </c>
      <c r="D63" s="84">
        <v>1500000</v>
      </c>
      <c r="E63" s="84">
        <v>2000000</v>
      </c>
      <c r="F63" s="84">
        <v>2250000</v>
      </c>
      <c r="G63" s="84">
        <v>2521005</v>
      </c>
      <c r="H63" s="84">
        <v>2707099</v>
      </c>
      <c r="I63" s="84">
        <v>2882152</v>
      </c>
      <c r="J63" s="84">
        <v>3026848</v>
      </c>
      <c r="K63" s="84">
        <v>3135697</v>
      </c>
      <c r="L63" s="84">
        <v>3231634</v>
      </c>
      <c r="M63" s="84">
        <v>3021109</v>
      </c>
      <c r="N63" s="84">
        <v>2757000</v>
      </c>
      <c r="O63" s="84">
        <v>2846868</v>
      </c>
      <c r="P63" s="84">
        <v>2904072</v>
      </c>
      <c r="Q63" s="84">
        <v>2977264</v>
      </c>
      <c r="R63" s="84">
        <v>3082548</v>
      </c>
      <c r="S63" s="84">
        <v>3038596</v>
      </c>
      <c r="T63" s="84">
        <v>3281951</v>
      </c>
      <c r="U63" s="84">
        <v>3327624</v>
      </c>
      <c r="V63" s="84">
        <v>3336762</v>
      </c>
      <c r="W63" s="84">
        <v>3343040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5355</v>
      </c>
      <c r="R64" s="84">
        <v>7358</v>
      </c>
      <c r="S64" s="84">
        <v>7525</v>
      </c>
      <c r="T64" s="84">
        <v>7765</v>
      </c>
      <c r="U64" s="84">
        <v>7942</v>
      </c>
      <c r="V64" s="84">
        <v>7984</v>
      </c>
      <c r="W64" s="84">
        <v>8039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12</v>
      </c>
      <c r="O65" s="84">
        <v>22</v>
      </c>
      <c r="P65" s="84">
        <v>673</v>
      </c>
      <c r="Q65" s="84">
        <v>270</v>
      </c>
      <c r="R65" s="84">
        <v>425</v>
      </c>
      <c r="S65" s="84">
        <v>816</v>
      </c>
      <c r="T65" s="84">
        <v>1592</v>
      </c>
      <c r="U65" s="84">
        <v>2381</v>
      </c>
      <c r="V65" s="84">
        <v>5919</v>
      </c>
      <c r="W65" s="84">
        <v>15634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15</v>
      </c>
      <c r="M66" s="84">
        <v>104</v>
      </c>
      <c r="N66" s="84">
        <v>215</v>
      </c>
      <c r="O66" s="84">
        <v>241</v>
      </c>
      <c r="P66" s="84">
        <v>302</v>
      </c>
      <c r="Q66" s="84">
        <v>368</v>
      </c>
      <c r="R66" s="84">
        <v>1000</v>
      </c>
      <c r="S66" s="84">
        <v>2360</v>
      </c>
      <c r="T66" s="84">
        <v>4941</v>
      </c>
      <c r="U66" s="84">
        <v>6874</v>
      </c>
      <c r="V66" s="84">
        <v>11337</v>
      </c>
      <c r="W66" s="84">
        <v>13614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33668</v>
      </c>
      <c r="C67" s="110">
        <f t="shared" si="130"/>
        <v>33603</v>
      </c>
      <c r="D67" s="110">
        <f t="shared" si="130"/>
        <v>33919</v>
      </c>
      <c r="E67" s="110">
        <f t="shared" si="130"/>
        <v>33595</v>
      </c>
      <c r="F67" s="110">
        <f t="shared" si="130"/>
        <v>36687</v>
      </c>
      <c r="G67" s="110">
        <f t="shared" si="130"/>
        <v>37266</v>
      </c>
      <c r="H67" s="110">
        <f t="shared" si="130"/>
        <v>36742</v>
      </c>
      <c r="I67" s="110">
        <f t="shared" si="130"/>
        <v>38098</v>
      </c>
      <c r="J67" s="110">
        <f t="shared" si="130"/>
        <v>38239</v>
      </c>
      <c r="K67" s="110">
        <f t="shared" si="130"/>
        <v>39359</v>
      </c>
      <c r="L67" s="110">
        <f t="shared" ref="L67" si="131">SUM(L68:L72)</f>
        <v>39959</v>
      </c>
      <c r="M67" s="110">
        <f t="shared" ref="M67:V67" si="132">SUM(M68:M72)</f>
        <v>41150</v>
      </c>
      <c r="N67" s="110">
        <f t="shared" si="132"/>
        <v>40968</v>
      </c>
      <c r="O67" s="110">
        <f t="shared" si="132"/>
        <v>41907</v>
      </c>
      <c r="P67" s="110">
        <f t="shared" si="132"/>
        <v>43380</v>
      </c>
      <c r="Q67" s="110">
        <f t="shared" si="132"/>
        <v>50673</v>
      </c>
      <c r="R67" s="110">
        <f t="shared" si="132"/>
        <v>52011</v>
      </c>
      <c r="S67" s="110">
        <f t="shared" si="132"/>
        <v>53150</v>
      </c>
      <c r="T67" s="110">
        <f t="shared" si="132"/>
        <v>54543</v>
      </c>
      <c r="U67" s="110">
        <f t="shared" si="132"/>
        <v>56021</v>
      </c>
      <c r="V67" s="110">
        <f t="shared" si="132"/>
        <v>57099</v>
      </c>
      <c r="W67" s="110">
        <f t="shared" ref="W67" si="133">SUM(W68:W72)</f>
        <v>57348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32614</v>
      </c>
      <c r="C69" s="102">
        <v>32598</v>
      </c>
      <c r="D69" s="102">
        <v>32980</v>
      </c>
      <c r="E69" s="102">
        <v>32783</v>
      </c>
      <c r="F69" s="102">
        <v>34821</v>
      </c>
      <c r="G69" s="102">
        <v>35107</v>
      </c>
      <c r="H69" s="102">
        <v>34685</v>
      </c>
      <c r="I69" s="102">
        <v>36135</v>
      </c>
      <c r="J69" s="102">
        <v>36369</v>
      </c>
      <c r="K69" s="102">
        <v>37591</v>
      </c>
      <c r="L69" s="102">
        <v>38274</v>
      </c>
      <c r="M69" s="102">
        <v>39558</v>
      </c>
      <c r="N69" s="102">
        <v>39472</v>
      </c>
      <c r="O69" s="102">
        <v>40463</v>
      </c>
      <c r="P69" s="102">
        <v>42005</v>
      </c>
      <c r="Q69" s="102">
        <v>48793</v>
      </c>
      <c r="R69" s="102">
        <v>50218</v>
      </c>
      <c r="S69" s="102">
        <v>51442</v>
      </c>
      <c r="T69" s="102">
        <v>52792</v>
      </c>
      <c r="U69" s="102">
        <v>54114</v>
      </c>
      <c r="V69" s="102">
        <v>54603</v>
      </c>
      <c r="W69" s="102">
        <v>54272</v>
      </c>
      <c r="DA69" s="175" t="s">
        <v>511</v>
      </c>
    </row>
    <row r="70" spans="1:105" ht="11.45" customHeight="1" x14ac:dyDescent="0.25">
      <c r="A70" s="111" t="s">
        <v>112</v>
      </c>
      <c r="B70" s="102">
        <v>820</v>
      </c>
      <c r="C70" s="102">
        <v>752</v>
      </c>
      <c r="D70" s="102">
        <v>682</v>
      </c>
      <c r="E70" s="102">
        <v>615</v>
      </c>
      <c r="F70" s="102">
        <v>1689</v>
      </c>
      <c r="G70" s="102">
        <v>1551</v>
      </c>
      <c r="H70" s="102">
        <v>1480</v>
      </c>
      <c r="I70" s="102">
        <v>1404</v>
      </c>
      <c r="J70" s="102">
        <v>1334</v>
      </c>
      <c r="K70" s="102">
        <v>1255</v>
      </c>
      <c r="L70" s="102">
        <v>1181</v>
      </c>
      <c r="M70" s="102">
        <v>1107</v>
      </c>
      <c r="N70" s="102">
        <v>1038</v>
      </c>
      <c r="O70" s="102">
        <v>968</v>
      </c>
      <c r="P70" s="102">
        <v>896</v>
      </c>
      <c r="Q70" s="102">
        <v>822</v>
      </c>
      <c r="R70" s="102">
        <v>782</v>
      </c>
      <c r="S70" s="102">
        <v>773</v>
      </c>
      <c r="T70" s="102">
        <v>778</v>
      </c>
      <c r="U70" s="102">
        <v>775</v>
      </c>
      <c r="V70" s="102">
        <v>771</v>
      </c>
      <c r="W70" s="102">
        <v>773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554</v>
      </c>
      <c r="R71" s="102">
        <v>485</v>
      </c>
      <c r="S71" s="102">
        <v>354</v>
      </c>
      <c r="T71" s="102">
        <v>466</v>
      </c>
      <c r="U71" s="102">
        <v>794</v>
      </c>
      <c r="V71" s="102">
        <v>1185</v>
      </c>
      <c r="W71" s="102">
        <v>1545</v>
      </c>
      <c r="DA71" s="175" t="s">
        <v>513</v>
      </c>
    </row>
    <row r="72" spans="1:105" ht="11.45" customHeight="1" x14ac:dyDescent="0.25">
      <c r="A72" s="111" t="s">
        <v>115</v>
      </c>
      <c r="B72" s="102">
        <v>234</v>
      </c>
      <c r="C72" s="102">
        <v>253</v>
      </c>
      <c r="D72" s="102">
        <v>257</v>
      </c>
      <c r="E72" s="102">
        <v>197</v>
      </c>
      <c r="F72" s="102">
        <v>177</v>
      </c>
      <c r="G72" s="102">
        <v>608</v>
      </c>
      <c r="H72" s="102">
        <v>577</v>
      </c>
      <c r="I72" s="102">
        <v>559</v>
      </c>
      <c r="J72" s="102">
        <v>536</v>
      </c>
      <c r="K72" s="102">
        <v>513</v>
      </c>
      <c r="L72" s="102">
        <v>504</v>
      </c>
      <c r="M72" s="102">
        <v>485</v>
      </c>
      <c r="N72" s="102">
        <v>458</v>
      </c>
      <c r="O72" s="102">
        <v>476</v>
      </c>
      <c r="P72" s="102">
        <v>479</v>
      </c>
      <c r="Q72" s="102">
        <v>504</v>
      </c>
      <c r="R72" s="102">
        <v>526</v>
      </c>
      <c r="S72" s="102">
        <v>581</v>
      </c>
      <c r="T72" s="102">
        <v>507</v>
      </c>
      <c r="U72" s="102">
        <v>338</v>
      </c>
      <c r="V72" s="102">
        <v>540</v>
      </c>
      <c r="W72" s="102">
        <v>758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2126839</v>
      </c>
      <c r="C73" s="28">
        <f t="shared" si="134"/>
        <v>2162039</v>
      </c>
      <c r="D73" s="28">
        <f t="shared" si="134"/>
        <v>2269340</v>
      </c>
      <c r="E73" s="28">
        <f t="shared" si="134"/>
        <v>2301213</v>
      </c>
      <c r="F73" s="28">
        <f t="shared" si="134"/>
        <v>2248492</v>
      </c>
      <c r="G73" s="28">
        <f t="shared" si="134"/>
        <v>2308647</v>
      </c>
      <c r="H73" s="28">
        <f t="shared" si="134"/>
        <v>2355394</v>
      </c>
      <c r="I73" s="28">
        <f t="shared" si="134"/>
        <v>2469143</v>
      </c>
      <c r="J73" s="28">
        <f t="shared" si="134"/>
        <v>2651611</v>
      </c>
      <c r="K73" s="28">
        <f t="shared" si="134"/>
        <v>2731237</v>
      </c>
      <c r="L73" s="28">
        <f t="shared" ref="L73" si="135">L74+L80</f>
        <v>2906485</v>
      </c>
      <c r="M73" s="28">
        <f t="shared" ref="M73:V73" si="136">M74+M80</f>
        <v>3057904</v>
      </c>
      <c r="N73" s="28">
        <f t="shared" si="136"/>
        <v>3095275</v>
      </c>
      <c r="O73" s="28">
        <f t="shared" si="136"/>
        <v>3217912</v>
      </c>
      <c r="P73" s="28">
        <f t="shared" si="136"/>
        <v>3245232</v>
      </c>
      <c r="Q73" s="28">
        <f t="shared" si="136"/>
        <v>3329450</v>
      </c>
      <c r="R73" s="28">
        <f t="shared" si="136"/>
        <v>3422274</v>
      </c>
      <c r="S73" s="28">
        <f t="shared" si="136"/>
        <v>3502884</v>
      </c>
      <c r="T73" s="28">
        <f t="shared" si="136"/>
        <v>3629874</v>
      </c>
      <c r="U73" s="28">
        <f t="shared" si="136"/>
        <v>3736146</v>
      </c>
      <c r="V73" s="28">
        <f t="shared" si="136"/>
        <v>3847552</v>
      </c>
      <c r="W73" s="28">
        <f t="shared" ref="W73" si="137">W74+W80</f>
        <v>3981107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1629540</v>
      </c>
      <c r="C74" s="137">
        <f t="shared" si="138"/>
        <v>1645085</v>
      </c>
      <c r="D74" s="137">
        <f t="shared" si="138"/>
        <v>1673784</v>
      </c>
      <c r="E74" s="137">
        <f t="shared" si="138"/>
        <v>1706379</v>
      </c>
      <c r="F74" s="137">
        <f t="shared" si="138"/>
        <v>1667309</v>
      </c>
      <c r="G74" s="137">
        <f t="shared" si="138"/>
        <v>1717435</v>
      </c>
      <c r="H74" s="137">
        <f t="shared" si="138"/>
        <v>1758293</v>
      </c>
      <c r="I74" s="137">
        <f t="shared" si="138"/>
        <v>1824650</v>
      </c>
      <c r="J74" s="137">
        <f t="shared" si="138"/>
        <v>1947297</v>
      </c>
      <c r="K74" s="137">
        <f t="shared" si="138"/>
        <v>2014529</v>
      </c>
      <c r="L74" s="137">
        <f t="shared" ref="L74" si="139">SUM(L75:L79)</f>
        <v>2170600</v>
      </c>
      <c r="M74" s="137">
        <f t="shared" ref="M74:V74" si="140">SUM(M75:M79)</f>
        <v>2276879</v>
      </c>
      <c r="N74" s="137">
        <f t="shared" si="140"/>
        <v>2303433</v>
      </c>
      <c r="O74" s="137">
        <f t="shared" si="140"/>
        <v>2403569</v>
      </c>
      <c r="P74" s="137">
        <f t="shared" si="140"/>
        <v>2399323</v>
      </c>
      <c r="Q74" s="137">
        <f t="shared" si="140"/>
        <v>2447764</v>
      </c>
      <c r="R74" s="137">
        <f t="shared" si="140"/>
        <v>2515751</v>
      </c>
      <c r="S74" s="137">
        <f t="shared" si="140"/>
        <v>2574312</v>
      </c>
      <c r="T74" s="137">
        <f t="shared" si="140"/>
        <v>2649198</v>
      </c>
      <c r="U74" s="137">
        <f t="shared" si="140"/>
        <v>2733004</v>
      </c>
      <c r="V74" s="137">
        <f t="shared" si="140"/>
        <v>2814490</v>
      </c>
      <c r="W74" s="137">
        <f t="shared" ref="W74" si="141">SUM(W75:W79)</f>
        <v>2905731</v>
      </c>
      <c r="DA74" s="174" t="s">
        <v>516</v>
      </c>
    </row>
    <row r="75" spans="1:105" ht="11.45" customHeight="1" x14ac:dyDescent="0.25">
      <c r="A75" s="111" t="s">
        <v>110</v>
      </c>
      <c r="B75" s="84">
        <v>1113423</v>
      </c>
      <c r="C75" s="84">
        <v>1121845</v>
      </c>
      <c r="D75" s="84">
        <v>1021756</v>
      </c>
      <c r="E75" s="84">
        <v>995595</v>
      </c>
      <c r="F75" s="84">
        <v>916720</v>
      </c>
      <c r="G75" s="84">
        <v>859414</v>
      </c>
      <c r="H75" s="84">
        <v>808192</v>
      </c>
      <c r="I75" s="84">
        <v>765138</v>
      </c>
      <c r="J75" s="84">
        <v>752140</v>
      </c>
      <c r="K75" s="84">
        <v>718204</v>
      </c>
      <c r="L75" s="84">
        <v>735988</v>
      </c>
      <c r="M75" s="84">
        <v>703448</v>
      </c>
      <c r="N75" s="84">
        <v>687656</v>
      </c>
      <c r="O75" s="84">
        <v>687734</v>
      </c>
      <c r="P75" s="84">
        <v>655877</v>
      </c>
      <c r="Q75" s="84">
        <v>641037</v>
      </c>
      <c r="R75" s="84">
        <v>629904</v>
      </c>
      <c r="S75" s="84">
        <v>644480</v>
      </c>
      <c r="T75" s="84">
        <v>629861</v>
      </c>
      <c r="U75" s="84">
        <v>627303</v>
      </c>
      <c r="V75" s="84">
        <v>620951</v>
      </c>
      <c r="W75" s="84">
        <v>616159</v>
      </c>
      <c r="DA75" s="171" t="s">
        <v>517</v>
      </c>
    </row>
    <row r="76" spans="1:105" ht="11.45" customHeight="1" x14ac:dyDescent="0.25">
      <c r="A76" s="111" t="s">
        <v>111</v>
      </c>
      <c r="B76" s="84">
        <v>457911</v>
      </c>
      <c r="C76" s="84">
        <v>456645</v>
      </c>
      <c r="D76" s="84">
        <v>558278</v>
      </c>
      <c r="E76" s="84">
        <v>601839</v>
      </c>
      <c r="F76" s="84">
        <v>637623</v>
      </c>
      <c r="G76" s="84">
        <v>734537</v>
      </c>
      <c r="H76" s="84">
        <v>807730</v>
      </c>
      <c r="I76" s="84">
        <v>905519</v>
      </c>
      <c r="J76" s="84">
        <v>1033662</v>
      </c>
      <c r="K76" s="84">
        <v>1131489</v>
      </c>
      <c r="L76" s="84">
        <v>1264958</v>
      </c>
      <c r="M76" s="84">
        <v>1398504</v>
      </c>
      <c r="N76" s="84">
        <v>1455880</v>
      </c>
      <c r="O76" s="84">
        <v>1556881</v>
      </c>
      <c r="P76" s="84">
        <v>1569638</v>
      </c>
      <c r="Q76" s="84">
        <v>1632451</v>
      </c>
      <c r="R76" s="84">
        <v>1712251</v>
      </c>
      <c r="S76" s="84">
        <v>1764085</v>
      </c>
      <c r="T76" s="84">
        <v>1849082</v>
      </c>
      <c r="U76" s="84">
        <v>1937067</v>
      </c>
      <c r="V76" s="84">
        <v>2028294</v>
      </c>
      <c r="W76" s="84">
        <v>2124061</v>
      </c>
      <c r="DA76" s="171" t="s">
        <v>518</v>
      </c>
    </row>
    <row r="77" spans="1:105" ht="11.45" customHeight="1" x14ac:dyDescent="0.25">
      <c r="A77" s="111" t="s">
        <v>112</v>
      </c>
      <c r="B77" s="84">
        <v>58206</v>
      </c>
      <c r="C77" s="84">
        <v>66595</v>
      </c>
      <c r="D77" s="84">
        <v>93750</v>
      </c>
      <c r="E77" s="84">
        <v>108945</v>
      </c>
      <c r="F77" s="84">
        <v>112966</v>
      </c>
      <c r="G77" s="84">
        <v>123484</v>
      </c>
      <c r="H77" s="84">
        <v>142371</v>
      </c>
      <c r="I77" s="84">
        <v>153993</v>
      </c>
      <c r="J77" s="84">
        <v>161495</v>
      </c>
      <c r="K77" s="84">
        <v>164836</v>
      </c>
      <c r="L77" s="84">
        <v>169654</v>
      </c>
      <c r="M77" s="84">
        <v>174927</v>
      </c>
      <c r="N77" s="84">
        <v>159890</v>
      </c>
      <c r="O77" s="84">
        <v>158941</v>
      </c>
      <c r="P77" s="84">
        <v>173791</v>
      </c>
      <c r="Q77" s="84">
        <v>172189</v>
      </c>
      <c r="R77" s="84">
        <v>171152</v>
      </c>
      <c r="S77" s="84">
        <v>163371</v>
      </c>
      <c r="T77" s="84">
        <v>167767</v>
      </c>
      <c r="U77" s="84">
        <v>165998</v>
      </c>
      <c r="V77" s="84">
        <v>163000</v>
      </c>
      <c r="W77" s="84">
        <v>163000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2063</v>
      </c>
      <c r="R78" s="84">
        <v>2415</v>
      </c>
      <c r="S78" s="84">
        <v>2334</v>
      </c>
      <c r="T78" s="84">
        <v>2405</v>
      </c>
      <c r="U78" s="84">
        <v>2440</v>
      </c>
      <c r="V78" s="84">
        <v>1850</v>
      </c>
      <c r="W78" s="84">
        <v>1700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7</v>
      </c>
      <c r="O79" s="84">
        <v>13</v>
      </c>
      <c r="P79" s="84">
        <v>17</v>
      </c>
      <c r="Q79" s="84">
        <v>24</v>
      </c>
      <c r="R79" s="84">
        <v>29</v>
      </c>
      <c r="S79" s="84">
        <v>42</v>
      </c>
      <c r="T79" s="84">
        <v>83</v>
      </c>
      <c r="U79" s="84">
        <v>196</v>
      </c>
      <c r="V79" s="84">
        <v>395</v>
      </c>
      <c r="W79" s="84">
        <v>811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497299</v>
      </c>
      <c r="C80" s="110">
        <f t="shared" si="142"/>
        <v>516954</v>
      </c>
      <c r="D80" s="110">
        <f t="shared" si="142"/>
        <v>595556</v>
      </c>
      <c r="E80" s="110">
        <f t="shared" si="142"/>
        <v>594834</v>
      </c>
      <c r="F80" s="110">
        <f t="shared" si="142"/>
        <v>581183</v>
      </c>
      <c r="G80" s="110">
        <f t="shared" si="142"/>
        <v>591212</v>
      </c>
      <c r="H80" s="110">
        <f t="shared" si="142"/>
        <v>597101</v>
      </c>
      <c r="I80" s="110">
        <f t="shared" si="142"/>
        <v>644493</v>
      </c>
      <c r="J80" s="110">
        <f t="shared" si="142"/>
        <v>704314</v>
      </c>
      <c r="K80" s="110">
        <f t="shared" si="142"/>
        <v>716708</v>
      </c>
      <c r="L80" s="110">
        <f t="shared" ref="L80" si="143">SUM(L81:L82)</f>
        <v>735885</v>
      </c>
      <c r="M80" s="110">
        <f t="shared" ref="M80:V80" si="144">SUM(M81:M82)</f>
        <v>781025</v>
      </c>
      <c r="N80" s="110">
        <f t="shared" si="144"/>
        <v>791842</v>
      </c>
      <c r="O80" s="110">
        <f t="shared" si="144"/>
        <v>814343</v>
      </c>
      <c r="P80" s="110">
        <f t="shared" si="144"/>
        <v>845909</v>
      </c>
      <c r="Q80" s="110">
        <f t="shared" si="144"/>
        <v>881686</v>
      </c>
      <c r="R80" s="110">
        <f t="shared" si="144"/>
        <v>906523</v>
      </c>
      <c r="S80" s="110">
        <f t="shared" si="144"/>
        <v>928572</v>
      </c>
      <c r="T80" s="110">
        <f t="shared" si="144"/>
        <v>980676</v>
      </c>
      <c r="U80" s="110">
        <f t="shared" si="144"/>
        <v>1003142</v>
      </c>
      <c r="V80" s="110">
        <f t="shared" si="144"/>
        <v>1033062</v>
      </c>
      <c r="W80" s="110">
        <f t="shared" ref="W80" si="145">SUM(W81:W82)</f>
        <v>1075376</v>
      </c>
      <c r="DA80" s="176" t="s">
        <v>522</v>
      </c>
    </row>
    <row r="81" spans="1:105" ht="11.45" customHeight="1" x14ac:dyDescent="0.25">
      <c r="A81" s="128" t="s">
        <v>27</v>
      </c>
      <c r="B81" s="102">
        <v>481889</v>
      </c>
      <c r="C81" s="102">
        <v>500433</v>
      </c>
      <c r="D81" s="102">
        <v>578175</v>
      </c>
      <c r="E81" s="102">
        <v>577068</v>
      </c>
      <c r="F81" s="102">
        <v>560178</v>
      </c>
      <c r="G81" s="102">
        <v>569470</v>
      </c>
      <c r="H81" s="102">
        <v>570730</v>
      </c>
      <c r="I81" s="102">
        <v>619851</v>
      </c>
      <c r="J81" s="102">
        <v>679188</v>
      </c>
      <c r="K81" s="102">
        <v>692591</v>
      </c>
      <c r="L81" s="102">
        <v>707675</v>
      </c>
      <c r="M81" s="102">
        <v>751168</v>
      </c>
      <c r="N81" s="102">
        <v>759384</v>
      </c>
      <c r="O81" s="102">
        <v>779963</v>
      </c>
      <c r="P81" s="102">
        <v>811034</v>
      </c>
      <c r="Q81" s="102">
        <v>845801</v>
      </c>
      <c r="R81" s="102">
        <v>866350</v>
      </c>
      <c r="S81" s="102">
        <v>883389</v>
      </c>
      <c r="T81" s="102">
        <v>941422</v>
      </c>
      <c r="U81" s="102">
        <v>958340</v>
      </c>
      <c r="V81" s="102">
        <v>989583</v>
      </c>
      <c r="W81" s="102">
        <v>1029250</v>
      </c>
      <c r="DA81" s="175" t="s">
        <v>523</v>
      </c>
    </row>
    <row r="82" spans="1:105" ht="11.45" customHeight="1" x14ac:dyDescent="0.25">
      <c r="A82" s="138" t="s">
        <v>116</v>
      </c>
      <c r="B82" s="86">
        <v>15410</v>
      </c>
      <c r="C82" s="86">
        <v>16521</v>
      </c>
      <c r="D82" s="86">
        <v>17381</v>
      </c>
      <c r="E82" s="86">
        <v>17766</v>
      </c>
      <c r="F82" s="86">
        <v>21005</v>
      </c>
      <c r="G82" s="86">
        <v>21742</v>
      </c>
      <c r="H82" s="86">
        <v>26371</v>
      </c>
      <c r="I82" s="86">
        <v>24642</v>
      </c>
      <c r="J82" s="86">
        <v>25126</v>
      </c>
      <c r="K82" s="86">
        <v>24117</v>
      </c>
      <c r="L82" s="86">
        <v>28210</v>
      </c>
      <c r="M82" s="86">
        <v>29857</v>
      </c>
      <c r="N82" s="86">
        <v>32458</v>
      </c>
      <c r="O82" s="86">
        <v>34380</v>
      </c>
      <c r="P82" s="86">
        <v>34875</v>
      </c>
      <c r="Q82" s="86">
        <v>35885</v>
      </c>
      <c r="R82" s="86">
        <v>40173</v>
      </c>
      <c r="S82" s="86">
        <v>45183</v>
      </c>
      <c r="T82" s="86">
        <v>39254</v>
      </c>
      <c r="U82" s="86">
        <v>44802</v>
      </c>
      <c r="V82" s="86">
        <v>43479</v>
      </c>
      <c r="W82" s="86">
        <v>46126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12954807</v>
      </c>
      <c r="C84" s="54">
        <f t="shared" si="146"/>
        <v>14001742</v>
      </c>
      <c r="D84" s="54">
        <f t="shared" ref="D84:V84" si="147">D85+D100</f>
        <v>14588832</v>
      </c>
      <c r="E84" s="54">
        <f t="shared" si="147"/>
        <v>14924164</v>
      </c>
      <c r="F84" s="54">
        <f t="shared" si="147"/>
        <v>15095969</v>
      </c>
      <c r="G84" s="54">
        <f t="shared" si="147"/>
        <v>15776072</v>
      </c>
      <c r="H84" s="54">
        <f t="shared" si="147"/>
        <v>16966229</v>
      </c>
      <c r="I84" s="54">
        <f t="shared" si="147"/>
        <v>18447030</v>
      </c>
      <c r="J84" s="54">
        <f t="shared" si="147"/>
        <v>20377166</v>
      </c>
      <c r="K84" s="54">
        <f t="shared" si="147"/>
        <v>21074319</v>
      </c>
      <c r="L84" s="54">
        <f t="shared" si="147"/>
        <v>22121584</v>
      </c>
      <c r="M84" s="54">
        <f t="shared" si="147"/>
        <v>23326229</v>
      </c>
      <c r="N84" s="54">
        <f t="shared" si="147"/>
        <v>24087799</v>
      </c>
      <c r="O84" s="54">
        <f t="shared" si="147"/>
        <v>24965875</v>
      </c>
      <c r="P84" s="54">
        <f t="shared" si="147"/>
        <v>25698580</v>
      </c>
      <c r="Q84" s="54">
        <f t="shared" si="147"/>
        <v>26635066</v>
      </c>
      <c r="R84" s="54">
        <f t="shared" si="147"/>
        <v>27797498</v>
      </c>
      <c r="S84" s="54">
        <f t="shared" si="147"/>
        <v>28814613</v>
      </c>
      <c r="T84" s="54">
        <f t="shared" si="147"/>
        <v>29966233</v>
      </c>
      <c r="U84" s="54">
        <f t="shared" si="147"/>
        <v>31114368</v>
      </c>
      <c r="V84" s="54">
        <f t="shared" si="147"/>
        <v>32087664</v>
      </c>
      <c r="W84" s="54">
        <f t="shared" ref="W84" si="148">W85+W100</f>
        <v>33077265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10827968</v>
      </c>
      <c r="C85" s="28">
        <f t="shared" si="149"/>
        <v>11839703</v>
      </c>
      <c r="D85" s="28">
        <f t="shared" ref="D85:V85" si="150">D86+D87+D94</f>
        <v>12319492</v>
      </c>
      <c r="E85" s="28">
        <f t="shared" si="150"/>
        <v>12622951</v>
      </c>
      <c r="F85" s="28">
        <f t="shared" si="150"/>
        <v>12847477</v>
      </c>
      <c r="G85" s="28">
        <f t="shared" si="150"/>
        <v>13467425</v>
      </c>
      <c r="H85" s="28">
        <f t="shared" si="150"/>
        <v>14610835</v>
      </c>
      <c r="I85" s="28">
        <f t="shared" si="150"/>
        <v>15977887</v>
      </c>
      <c r="J85" s="28">
        <f t="shared" si="150"/>
        <v>17725555</v>
      </c>
      <c r="K85" s="28">
        <f t="shared" si="150"/>
        <v>18343082</v>
      </c>
      <c r="L85" s="28">
        <f t="shared" si="150"/>
        <v>19215099</v>
      </c>
      <c r="M85" s="28">
        <f t="shared" si="150"/>
        <v>20268325</v>
      </c>
      <c r="N85" s="28">
        <f t="shared" si="150"/>
        <v>20992524</v>
      </c>
      <c r="O85" s="28">
        <f t="shared" si="150"/>
        <v>21747963</v>
      </c>
      <c r="P85" s="28">
        <f t="shared" si="150"/>
        <v>22453348</v>
      </c>
      <c r="Q85" s="28">
        <f t="shared" si="150"/>
        <v>23305616</v>
      </c>
      <c r="R85" s="28">
        <f t="shared" si="150"/>
        <v>24375224</v>
      </c>
      <c r="S85" s="28">
        <f t="shared" si="150"/>
        <v>25311729</v>
      </c>
      <c r="T85" s="28">
        <f t="shared" si="150"/>
        <v>26336359</v>
      </c>
      <c r="U85" s="28">
        <f t="shared" si="150"/>
        <v>27378222</v>
      </c>
      <c r="V85" s="28">
        <f t="shared" si="150"/>
        <v>28240112</v>
      </c>
      <c r="W85" s="28">
        <f t="shared" ref="W85" si="151">W86+W87+W94</f>
        <v>29096158</v>
      </c>
      <c r="DA85" s="173"/>
    </row>
    <row r="86" spans="1:105" ht="11.45" hidden="1" customHeight="1" x14ac:dyDescent="0.25">
      <c r="A86" s="136" t="s">
        <v>180</v>
      </c>
      <c r="B86" s="137">
        <v>803000</v>
      </c>
      <c r="C86" s="137">
        <v>803000</v>
      </c>
      <c r="D86" s="137">
        <v>869000</v>
      </c>
      <c r="E86" s="137">
        <v>845456</v>
      </c>
      <c r="F86" s="137">
        <v>835790</v>
      </c>
      <c r="G86" s="137">
        <v>1091159</v>
      </c>
      <c r="H86" s="137">
        <v>1190093</v>
      </c>
      <c r="I86" s="137">
        <v>1350789</v>
      </c>
      <c r="J86" s="137">
        <v>1607316</v>
      </c>
      <c r="K86" s="137">
        <v>1808723</v>
      </c>
      <c r="L86" s="137">
        <v>1935140</v>
      </c>
      <c r="M86" s="137">
        <v>2102175</v>
      </c>
      <c r="N86" s="137">
        <v>2207556</v>
      </c>
      <c r="O86" s="137">
        <v>2316610</v>
      </c>
      <c r="P86" s="137">
        <v>2406105</v>
      </c>
      <c r="Q86" s="137">
        <v>2531520</v>
      </c>
      <c r="R86" s="137">
        <v>2647825</v>
      </c>
      <c r="S86" s="137">
        <v>2755000</v>
      </c>
      <c r="T86" s="137">
        <v>2852800</v>
      </c>
      <c r="U86" s="137">
        <v>2962035</v>
      </c>
      <c r="V86" s="137">
        <v>3069151</v>
      </c>
      <c r="W86" s="137">
        <v>3169006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9991300</v>
      </c>
      <c r="C87" s="110">
        <f t="shared" si="152"/>
        <v>11003100</v>
      </c>
      <c r="D87" s="110">
        <f t="shared" ref="D87:V87" si="153">SUM(D88:D93)</f>
        <v>11416573</v>
      </c>
      <c r="E87" s="110">
        <f t="shared" si="153"/>
        <v>11743900</v>
      </c>
      <c r="F87" s="110">
        <f t="shared" si="153"/>
        <v>11975000</v>
      </c>
      <c r="G87" s="110">
        <f t="shared" si="153"/>
        <v>12339000</v>
      </c>
      <c r="H87" s="110">
        <f t="shared" si="153"/>
        <v>13384000</v>
      </c>
      <c r="I87" s="110">
        <f t="shared" si="153"/>
        <v>14589000</v>
      </c>
      <c r="J87" s="110">
        <f t="shared" si="153"/>
        <v>16080000</v>
      </c>
      <c r="K87" s="110">
        <f t="shared" si="153"/>
        <v>16495000</v>
      </c>
      <c r="L87" s="110">
        <f t="shared" si="153"/>
        <v>17240000</v>
      </c>
      <c r="M87" s="110">
        <f t="shared" si="153"/>
        <v>18125000</v>
      </c>
      <c r="N87" s="110">
        <f t="shared" si="153"/>
        <v>18744000</v>
      </c>
      <c r="O87" s="110">
        <f t="shared" si="153"/>
        <v>19389446</v>
      </c>
      <c r="P87" s="110">
        <f t="shared" si="153"/>
        <v>20003863</v>
      </c>
      <c r="Q87" s="110">
        <f t="shared" si="153"/>
        <v>20723423</v>
      </c>
      <c r="R87" s="110">
        <f t="shared" si="153"/>
        <v>21675388</v>
      </c>
      <c r="S87" s="110">
        <f t="shared" si="153"/>
        <v>22503579</v>
      </c>
      <c r="T87" s="110">
        <f t="shared" si="153"/>
        <v>23429016</v>
      </c>
      <c r="U87" s="110">
        <f t="shared" si="153"/>
        <v>24360166</v>
      </c>
      <c r="V87" s="110">
        <f t="shared" si="153"/>
        <v>25113862</v>
      </c>
      <c r="W87" s="110">
        <f t="shared" ref="W87" si="154">SUM(W88:W93)</f>
        <v>25869804</v>
      </c>
      <c r="DA87" s="176"/>
    </row>
    <row r="88" spans="1:105" ht="11.45" hidden="1" customHeight="1" x14ac:dyDescent="0.25">
      <c r="A88" s="111" t="s">
        <v>110</v>
      </c>
      <c r="B88" s="84">
        <v>8094000</v>
      </c>
      <c r="C88" s="84">
        <v>8704483</v>
      </c>
      <c r="D88" s="84">
        <v>8615788</v>
      </c>
      <c r="E88" s="84">
        <v>8358098</v>
      </c>
      <c r="F88" s="84">
        <v>8201702</v>
      </c>
      <c r="G88" s="84">
        <v>8630106</v>
      </c>
      <c r="H88" s="84">
        <v>9114195</v>
      </c>
      <c r="I88" s="84">
        <v>9605644</v>
      </c>
      <c r="J88" s="84">
        <v>10231006</v>
      </c>
      <c r="K88" s="84">
        <v>10088132</v>
      </c>
      <c r="L88" s="84">
        <v>10239494</v>
      </c>
      <c r="M88" s="84">
        <v>10701727</v>
      </c>
      <c r="N88" s="84">
        <v>11050312</v>
      </c>
      <c r="O88" s="84">
        <v>11170811</v>
      </c>
      <c r="P88" s="84">
        <v>11309146</v>
      </c>
      <c r="Q88" s="84">
        <v>11648309</v>
      </c>
      <c r="R88" s="84">
        <v>11909716</v>
      </c>
      <c r="S88" s="84">
        <v>12427379</v>
      </c>
      <c r="T88" s="84">
        <v>12673350</v>
      </c>
      <c r="U88" s="84">
        <v>13175477</v>
      </c>
      <c r="V88" s="84">
        <v>13574976</v>
      </c>
      <c r="W88" s="84">
        <v>14014277</v>
      </c>
      <c r="DA88" s="171"/>
    </row>
    <row r="89" spans="1:105" ht="11.45" hidden="1" customHeight="1" x14ac:dyDescent="0.25">
      <c r="A89" s="111" t="s">
        <v>111</v>
      </c>
      <c r="B89" s="84">
        <v>1297300</v>
      </c>
      <c r="C89" s="84">
        <v>1298617</v>
      </c>
      <c r="D89" s="84">
        <v>1300785</v>
      </c>
      <c r="E89" s="84">
        <v>1385802</v>
      </c>
      <c r="F89" s="84">
        <v>1523298</v>
      </c>
      <c r="G89" s="84">
        <v>1187889</v>
      </c>
      <c r="H89" s="84">
        <v>1562706</v>
      </c>
      <c r="I89" s="84">
        <v>2101204</v>
      </c>
      <c r="J89" s="84">
        <v>2822146</v>
      </c>
      <c r="K89" s="84">
        <v>3271171</v>
      </c>
      <c r="L89" s="84">
        <v>3768857</v>
      </c>
      <c r="M89" s="84">
        <v>4402060</v>
      </c>
      <c r="N89" s="84">
        <v>4936461</v>
      </c>
      <c r="O89" s="84">
        <v>5371504</v>
      </c>
      <c r="P89" s="84">
        <v>5789670</v>
      </c>
      <c r="Q89" s="84">
        <v>6091857</v>
      </c>
      <c r="R89" s="84">
        <v>6674341</v>
      </c>
      <c r="S89" s="84">
        <v>7026903</v>
      </c>
      <c r="T89" s="84">
        <v>7459417</v>
      </c>
      <c r="U89" s="84">
        <v>7839868</v>
      </c>
      <c r="V89" s="84">
        <v>8176884</v>
      </c>
      <c r="W89" s="84">
        <v>8475200</v>
      </c>
      <c r="DA89" s="171"/>
    </row>
    <row r="90" spans="1:105" ht="11.45" hidden="1" customHeight="1" x14ac:dyDescent="0.25">
      <c r="A90" s="111" t="s">
        <v>112</v>
      </c>
      <c r="B90" s="84">
        <v>600000</v>
      </c>
      <c r="C90" s="84">
        <v>1000000</v>
      </c>
      <c r="D90" s="84">
        <v>1500000</v>
      </c>
      <c r="E90" s="84">
        <v>2000000</v>
      </c>
      <c r="F90" s="84">
        <v>2250000</v>
      </c>
      <c r="G90" s="84">
        <v>2521005</v>
      </c>
      <c r="H90" s="84">
        <v>2707099</v>
      </c>
      <c r="I90" s="84">
        <v>2882152</v>
      </c>
      <c r="J90" s="84">
        <v>3026848</v>
      </c>
      <c r="K90" s="84">
        <v>3135697</v>
      </c>
      <c r="L90" s="84">
        <v>3231634</v>
      </c>
      <c r="M90" s="84">
        <v>3021109</v>
      </c>
      <c r="N90" s="84">
        <v>2757000</v>
      </c>
      <c r="O90" s="84">
        <v>2846868</v>
      </c>
      <c r="P90" s="84">
        <v>2904072</v>
      </c>
      <c r="Q90" s="84">
        <v>2977264</v>
      </c>
      <c r="R90" s="84">
        <v>3082548</v>
      </c>
      <c r="S90" s="84">
        <v>3038596</v>
      </c>
      <c r="T90" s="84">
        <v>3281951</v>
      </c>
      <c r="U90" s="84">
        <v>3327624</v>
      </c>
      <c r="V90" s="84">
        <v>3336762</v>
      </c>
      <c r="W90" s="84">
        <v>3343040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5355</v>
      </c>
      <c r="R91" s="84">
        <v>7358</v>
      </c>
      <c r="S91" s="84">
        <v>7525</v>
      </c>
      <c r="T91" s="84">
        <v>7765</v>
      </c>
      <c r="U91" s="84">
        <v>7942</v>
      </c>
      <c r="V91" s="84">
        <v>7984</v>
      </c>
      <c r="W91" s="84">
        <v>8039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12</v>
      </c>
      <c r="O92" s="84">
        <v>22</v>
      </c>
      <c r="P92" s="84">
        <v>673</v>
      </c>
      <c r="Q92" s="84">
        <v>270</v>
      </c>
      <c r="R92" s="84">
        <v>425</v>
      </c>
      <c r="S92" s="84">
        <v>816</v>
      </c>
      <c r="T92" s="84">
        <v>1592</v>
      </c>
      <c r="U92" s="84">
        <v>2381</v>
      </c>
      <c r="V92" s="84">
        <v>5919</v>
      </c>
      <c r="W92" s="84">
        <v>15634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15</v>
      </c>
      <c r="M93" s="84">
        <v>104</v>
      </c>
      <c r="N93" s="84">
        <v>215</v>
      </c>
      <c r="O93" s="84">
        <v>241</v>
      </c>
      <c r="P93" s="84">
        <v>302</v>
      </c>
      <c r="Q93" s="84">
        <v>368</v>
      </c>
      <c r="R93" s="84">
        <v>1000</v>
      </c>
      <c r="S93" s="84">
        <v>2360</v>
      </c>
      <c r="T93" s="84">
        <v>4941</v>
      </c>
      <c r="U93" s="84">
        <v>6874</v>
      </c>
      <c r="V93" s="84">
        <v>11337</v>
      </c>
      <c r="W93" s="84">
        <v>13614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33668</v>
      </c>
      <c r="C94" s="110">
        <f t="shared" si="155"/>
        <v>33603</v>
      </c>
      <c r="D94" s="110">
        <f t="shared" ref="D94:V94" si="156">SUM(D95:D99)</f>
        <v>33919</v>
      </c>
      <c r="E94" s="110">
        <f t="shared" si="156"/>
        <v>33595</v>
      </c>
      <c r="F94" s="110">
        <f t="shared" si="156"/>
        <v>36687</v>
      </c>
      <c r="G94" s="110">
        <f t="shared" si="156"/>
        <v>37266</v>
      </c>
      <c r="H94" s="110">
        <f t="shared" si="156"/>
        <v>36742</v>
      </c>
      <c r="I94" s="110">
        <f t="shared" si="156"/>
        <v>38098</v>
      </c>
      <c r="J94" s="110">
        <f t="shared" si="156"/>
        <v>38239</v>
      </c>
      <c r="K94" s="110">
        <f t="shared" si="156"/>
        <v>39359</v>
      </c>
      <c r="L94" s="110">
        <f t="shared" si="156"/>
        <v>39959</v>
      </c>
      <c r="M94" s="110">
        <f t="shared" si="156"/>
        <v>41150</v>
      </c>
      <c r="N94" s="110">
        <f t="shared" si="156"/>
        <v>40968</v>
      </c>
      <c r="O94" s="110">
        <f t="shared" si="156"/>
        <v>41907</v>
      </c>
      <c r="P94" s="110">
        <f t="shared" si="156"/>
        <v>43380</v>
      </c>
      <c r="Q94" s="110">
        <f t="shared" si="156"/>
        <v>50673</v>
      </c>
      <c r="R94" s="110">
        <f t="shared" si="156"/>
        <v>52011</v>
      </c>
      <c r="S94" s="110">
        <f t="shared" si="156"/>
        <v>53150</v>
      </c>
      <c r="T94" s="110">
        <f t="shared" si="156"/>
        <v>54543</v>
      </c>
      <c r="U94" s="110">
        <f t="shared" si="156"/>
        <v>56021</v>
      </c>
      <c r="V94" s="110">
        <f t="shared" si="156"/>
        <v>57099</v>
      </c>
      <c r="W94" s="110">
        <f t="shared" ref="W94" si="157">SUM(W95:W99)</f>
        <v>57348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32614</v>
      </c>
      <c r="C96" s="102">
        <v>32598</v>
      </c>
      <c r="D96" s="102">
        <v>32980</v>
      </c>
      <c r="E96" s="102">
        <v>32783</v>
      </c>
      <c r="F96" s="102">
        <v>34821</v>
      </c>
      <c r="G96" s="102">
        <v>35107</v>
      </c>
      <c r="H96" s="102">
        <v>34685</v>
      </c>
      <c r="I96" s="102">
        <v>36135</v>
      </c>
      <c r="J96" s="102">
        <v>36369</v>
      </c>
      <c r="K96" s="102">
        <v>37591</v>
      </c>
      <c r="L96" s="102">
        <v>38274</v>
      </c>
      <c r="M96" s="102">
        <v>39558</v>
      </c>
      <c r="N96" s="102">
        <v>39472</v>
      </c>
      <c r="O96" s="102">
        <v>40463</v>
      </c>
      <c r="P96" s="102">
        <v>42005</v>
      </c>
      <c r="Q96" s="102">
        <v>48793</v>
      </c>
      <c r="R96" s="102">
        <v>50218</v>
      </c>
      <c r="S96" s="102">
        <v>51442</v>
      </c>
      <c r="T96" s="102">
        <v>52792</v>
      </c>
      <c r="U96" s="102">
        <v>54114</v>
      </c>
      <c r="V96" s="102">
        <v>54603</v>
      </c>
      <c r="W96" s="102">
        <v>54272</v>
      </c>
      <c r="DA96" s="175"/>
    </row>
    <row r="97" spans="1:105" ht="11.45" hidden="1" customHeight="1" x14ac:dyDescent="0.25">
      <c r="A97" s="111" t="s">
        <v>112</v>
      </c>
      <c r="B97" s="102">
        <v>820</v>
      </c>
      <c r="C97" s="102">
        <v>752</v>
      </c>
      <c r="D97" s="102">
        <v>682</v>
      </c>
      <c r="E97" s="102">
        <v>615</v>
      </c>
      <c r="F97" s="102">
        <v>1689</v>
      </c>
      <c r="G97" s="102">
        <v>1551</v>
      </c>
      <c r="H97" s="102">
        <v>1480</v>
      </c>
      <c r="I97" s="102">
        <v>1404</v>
      </c>
      <c r="J97" s="102">
        <v>1334</v>
      </c>
      <c r="K97" s="102">
        <v>1255</v>
      </c>
      <c r="L97" s="102">
        <v>1181</v>
      </c>
      <c r="M97" s="102">
        <v>1107</v>
      </c>
      <c r="N97" s="102">
        <v>1038</v>
      </c>
      <c r="O97" s="102">
        <v>968</v>
      </c>
      <c r="P97" s="102">
        <v>896</v>
      </c>
      <c r="Q97" s="102">
        <v>822</v>
      </c>
      <c r="R97" s="102">
        <v>782</v>
      </c>
      <c r="S97" s="102">
        <v>773</v>
      </c>
      <c r="T97" s="102">
        <v>778</v>
      </c>
      <c r="U97" s="102">
        <v>775</v>
      </c>
      <c r="V97" s="102">
        <v>771</v>
      </c>
      <c r="W97" s="102">
        <v>773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554</v>
      </c>
      <c r="R98" s="102">
        <v>485</v>
      </c>
      <c r="S98" s="102">
        <v>354</v>
      </c>
      <c r="T98" s="102">
        <v>466</v>
      </c>
      <c r="U98" s="102">
        <v>794</v>
      </c>
      <c r="V98" s="102">
        <v>1185</v>
      </c>
      <c r="W98" s="102">
        <v>1545</v>
      </c>
      <c r="DA98" s="175"/>
    </row>
    <row r="99" spans="1:105" ht="11.45" hidden="1" customHeight="1" x14ac:dyDescent="0.25">
      <c r="A99" s="111" t="s">
        <v>115</v>
      </c>
      <c r="B99" s="102">
        <v>234</v>
      </c>
      <c r="C99" s="102">
        <v>253</v>
      </c>
      <c r="D99" s="102">
        <v>257</v>
      </c>
      <c r="E99" s="102">
        <v>197</v>
      </c>
      <c r="F99" s="102">
        <v>177</v>
      </c>
      <c r="G99" s="102">
        <v>608</v>
      </c>
      <c r="H99" s="102">
        <v>577</v>
      </c>
      <c r="I99" s="102">
        <v>559</v>
      </c>
      <c r="J99" s="102">
        <v>536</v>
      </c>
      <c r="K99" s="102">
        <v>513</v>
      </c>
      <c r="L99" s="102">
        <v>504</v>
      </c>
      <c r="M99" s="102">
        <v>485</v>
      </c>
      <c r="N99" s="102">
        <v>458</v>
      </c>
      <c r="O99" s="102">
        <v>476</v>
      </c>
      <c r="P99" s="102">
        <v>479</v>
      </c>
      <c r="Q99" s="102">
        <v>504</v>
      </c>
      <c r="R99" s="102">
        <v>526</v>
      </c>
      <c r="S99" s="102">
        <v>581</v>
      </c>
      <c r="T99" s="102">
        <v>507</v>
      </c>
      <c r="U99" s="102">
        <v>338</v>
      </c>
      <c r="V99" s="102">
        <v>540</v>
      </c>
      <c r="W99" s="102">
        <v>758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2126839</v>
      </c>
      <c r="C100" s="28">
        <f t="shared" si="158"/>
        <v>2162039</v>
      </c>
      <c r="D100" s="28">
        <f t="shared" ref="D100:V100" si="159">D101+D107</f>
        <v>2269340</v>
      </c>
      <c r="E100" s="28">
        <f t="shared" si="159"/>
        <v>2301213</v>
      </c>
      <c r="F100" s="28">
        <f t="shared" si="159"/>
        <v>2248492</v>
      </c>
      <c r="G100" s="28">
        <f t="shared" si="159"/>
        <v>2308647</v>
      </c>
      <c r="H100" s="28">
        <f t="shared" si="159"/>
        <v>2355394</v>
      </c>
      <c r="I100" s="28">
        <f t="shared" si="159"/>
        <v>2469143</v>
      </c>
      <c r="J100" s="28">
        <f t="shared" si="159"/>
        <v>2651611</v>
      </c>
      <c r="K100" s="28">
        <f t="shared" si="159"/>
        <v>2731237</v>
      </c>
      <c r="L100" s="28">
        <f t="shared" si="159"/>
        <v>2906485</v>
      </c>
      <c r="M100" s="28">
        <f t="shared" si="159"/>
        <v>3057904</v>
      </c>
      <c r="N100" s="28">
        <f t="shared" si="159"/>
        <v>3095275</v>
      </c>
      <c r="O100" s="28">
        <f t="shared" si="159"/>
        <v>3217912</v>
      </c>
      <c r="P100" s="28">
        <f t="shared" si="159"/>
        <v>3245232</v>
      </c>
      <c r="Q100" s="28">
        <f t="shared" si="159"/>
        <v>3329450</v>
      </c>
      <c r="R100" s="28">
        <f t="shared" si="159"/>
        <v>3422274</v>
      </c>
      <c r="S100" s="28">
        <f t="shared" si="159"/>
        <v>3502884</v>
      </c>
      <c r="T100" s="28">
        <f t="shared" si="159"/>
        <v>3629874</v>
      </c>
      <c r="U100" s="28">
        <f t="shared" si="159"/>
        <v>3736146</v>
      </c>
      <c r="V100" s="28">
        <f t="shared" si="159"/>
        <v>3847552</v>
      </c>
      <c r="W100" s="28">
        <f t="shared" ref="W100" si="160">W101+W107</f>
        <v>3981107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1629540</v>
      </c>
      <c r="C101" s="137">
        <f t="shared" si="161"/>
        <v>1645085</v>
      </c>
      <c r="D101" s="137">
        <f t="shared" ref="D101:V101" si="162">SUM(D102:D106)</f>
        <v>1673784</v>
      </c>
      <c r="E101" s="137">
        <f t="shared" si="162"/>
        <v>1706379</v>
      </c>
      <c r="F101" s="137">
        <f t="shared" si="162"/>
        <v>1667309</v>
      </c>
      <c r="G101" s="137">
        <f t="shared" si="162"/>
        <v>1717435</v>
      </c>
      <c r="H101" s="137">
        <f t="shared" si="162"/>
        <v>1758293</v>
      </c>
      <c r="I101" s="137">
        <f t="shared" si="162"/>
        <v>1824650</v>
      </c>
      <c r="J101" s="137">
        <f t="shared" si="162"/>
        <v>1947297</v>
      </c>
      <c r="K101" s="137">
        <f t="shared" si="162"/>
        <v>2014529</v>
      </c>
      <c r="L101" s="137">
        <f t="shared" si="162"/>
        <v>2170600</v>
      </c>
      <c r="M101" s="137">
        <f t="shared" si="162"/>
        <v>2276879</v>
      </c>
      <c r="N101" s="137">
        <f t="shared" si="162"/>
        <v>2303433</v>
      </c>
      <c r="O101" s="137">
        <f t="shared" si="162"/>
        <v>2403569</v>
      </c>
      <c r="P101" s="137">
        <f t="shared" si="162"/>
        <v>2399323</v>
      </c>
      <c r="Q101" s="137">
        <f t="shared" si="162"/>
        <v>2447764</v>
      </c>
      <c r="R101" s="137">
        <f t="shared" si="162"/>
        <v>2515751</v>
      </c>
      <c r="S101" s="137">
        <f t="shared" si="162"/>
        <v>2574312</v>
      </c>
      <c r="T101" s="137">
        <f t="shared" si="162"/>
        <v>2649198</v>
      </c>
      <c r="U101" s="137">
        <f t="shared" si="162"/>
        <v>2733004</v>
      </c>
      <c r="V101" s="137">
        <f t="shared" si="162"/>
        <v>2814490</v>
      </c>
      <c r="W101" s="137">
        <f t="shared" ref="W101" si="163">SUM(W102:W106)</f>
        <v>2905731</v>
      </c>
      <c r="DA101" s="174"/>
    </row>
    <row r="102" spans="1:105" ht="11.45" hidden="1" customHeight="1" x14ac:dyDescent="0.25">
      <c r="A102" s="111" t="s">
        <v>110</v>
      </c>
      <c r="B102" s="84">
        <v>1113423</v>
      </c>
      <c r="C102" s="84">
        <v>1121845</v>
      </c>
      <c r="D102" s="84">
        <v>1021756</v>
      </c>
      <c r="E102" s="84">
        <v>995595</v>
      </c>
      <c r="F102" s="84">
        <v>916720</v>
      </c>
      <c r="G102" s="84">
        <v>859414</v>
      </c>
      <c r="H102" s="84">
        <v>808192</v>
      </c>
      <c r="I102" s="84">
        <v>765138</v>
      </c>
      <c r="J102" s="84">
        <v>752140</v>
      </c>
      <c r="K102" s="84">
        <v>718204</v>
      </c>
      <c r="L102" s="84">
        <v>735988</v>
      </c>
      <c r="M102" s="84">
        <v>703448</v>
      </c>
      <c r="N102" s="84">
        <v>687656</v>
      </c>
      <c r="O102" s="84">
        <v>687734</v>
      </c>
      <c r="P102" s="84">
        <v>655877</v>
      </c>
      <c r="Q102" s="84">
        <v>641037</v>
      </c>
      <c r="R102" s="84">
        <v>629904</v>
      </c>
      <c r="S102" s="84">
        <v>644480</v>
      </c>
      <c r="T102" s="84">
        <v>629861</v>
      </c>
      <c r="U102" s="84">
        <v>627303</v>
      </c>
      <c r="V102" s="84">
        <v>620951</v>
      </c>
      <c r="W102" s="84">
        <v>616159</v>
      </c>
      <c r="DA102" s="171"/>
    </row>
    <row r="103" spans="1:105" ht="11.45" hidden="1" customHeight="1" x14ac:dyDescent="0.25">
      <c r="A103" s="111" t="s">
        <v>111</v>
      </c>
      <c r="B103" s="84">
        <v>457911</v>
      </c>
      <c r="C103" s="84">
        <v>456645</v>
      </c>
      <c r="D103" s="84">
        <v>558278</v>
      </c>
      <c r="E103" s="84">
        <v>601839</v>
      </c>
      <c r="F103" s="84">
        <v>637623</v>
      </c>
      <c r="G103" s="84">
        <v>734537</v>
      </c>
      <c r="H103" s="84">
        <v>807730</v>
      </c>
      <c r="I103" s="84">
        <v>905519</v>
      </c>
      <c r="J103" s="84">
        <v>1033662</v>
      </c>
      <c r="K103" s="84">
        <v>1131489</v>
      </c>
      <c r="L103" s="84">
        <v>1264958</v>
      </c>
      <c r="M103" s="84">
        <v>1398504</v>
      </c>
      <c r="N103" s="84">
        <v>1455880</v>
      </c>
      <c r="O103" s="84">
        <v>1556881</v>
      </c>
      <c r="P103" s="84">
        <v>1569638</v>
      </c>
      <c r="Q103" s="84">
        <v>1632451</v>
      </c>
      <c r="R103" s="84">
        <v>1712251</v>
      </c>
      <c r="S103" s="84">
        <v>1764085</v>
      </c>
      <c r="T103" s="84">
        <v>1849082</v>
      </c>
      <c r="U103" s="84">
        <v>1937067</v>
      </c>
      <c r="V103" s="84">
        <v>2028294</v>
      </c>
      <c r="W103" s="84">
        <v>2124061</v>
      </c>
      <c r="DA103" s="171"/>
    </row>
    <row r="104" spans="1:105" ht="11.45" hidden="1" customHeight="1" x14ac:dyDescent="0.25">
      <c r="A104" s="111" t="s">
        <v>112</v>
      </c>
      <c r="B104" s="84">
        <v>58206</v>
      </c>
      <c r="C104" s="84">
        <v>66595</v>
      </c>
      <c r="D104" s="84">
        <v>93750</v>
      </c>
      <c r="E104" s="84">
        <v>108945</v>
      </c>
      <c r="F104" s="84">
        <v>112966</v>
      </c>
      <c r="G104" s="84">
        <v>123484</v>
      </c>
      <c r="H104" s="84">
        <v>142371</v>
      </c>
      <c r="I104" s="84">
        <v>153993</v>
      </c>
      <c r="J104" s="84">
        <v>161495</v>
      </c>
      <c r="K104" s="84">
        <v>164836</v>
      </c>
      <c r="L104" s="84">
        <v>169654</v>
      </c>
      <c r="M104" s="84">
        <v>174927</v>
      </c>
      <c r="N104" s="84">
        <v>159890</v>
      </c>
      <c r="O104" s="84">
        <v>158941</v>
      </c>
      <c r="P104" s="84">
        <v>173791</v>
      </c>
      <c r="Q104" s="84">
        <v>172189</v>
      </c>
      <c r="R104" s="84">
        <v>171152</v>
      </c>
      <c r="S104" s="84">
        <v>163371</v>
      </c>
      <c r="T104" s="84">
        <v>167767</v>
      </c>
      <c r="U104" s="84">
        <v>165998</v>
      </c>
      <c r="V104" s="84">
        <v>163000</v>
      </c>
      <c r="W104" s="84">
        <v>163000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2063</v>
      </c>
      <c r="R105" s="84">
        <v>2415</v>
      </c>
      <c r="S105" s="84">
        <v>2334</v>
      </c>
      <c r="T105" s="84">
        <v>2405</v>
      </c>
      <c r="U105" s="84">
        <v>2440</v>
      </c>
      <c r="V105" s="84">
        <v>1850</v>
      </c>
      <c r="W105" s="84">
        <v>1700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7</v>
      </c>
      <c r="O106" s="84">
        <v>13</v>
      </c>
      <c r="P106" s="84">
        <v>17</v>
      </c>
      <c r="Q106" s="84">
        <v>24</v>
      </c>
      <c r="R106" s="84">
        <v>29</v>
      </c>
      <c r="S106" s="84">
        <v>42</v>
      </c>
      <c r="T106" s="84">
        <v>83</v>
      </c>
      <c r="U106" s="84">
        <v>196</v>
      </c>
      <c r="V106" s="84">
        <v>395</v>
      </c>
      <c r="W106" s="84">
        <v>811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497299</v>
      </c>
      <c r="C107" s="110">
        <f t="shared" si="164"/>
        <v>516954</v>
      </c>
      <c r="D107" s="110">
        <f t="shared" ref="D107:V107" si="165">SUM(D108:D109)</f>
        <v>595556</v>
      </c>
      <c r="E107" s="110">
        <f t="shared" si="165"/>
        <v>594834</v>
      </c>
      <c r="F107" s="110">
        <f t="shared" si="165"/>
        <v>581183</v>
      </c>
      <c r="G107" s="110">
        <f t="shared" si="165"/>
        <v>591212</v>
      </c>
      <c r="H107" s="110">
        <f t="shared" si="165"/>
        <v>597101</v>
      </c>
      <c r="I107" s="110">
        <f t="shared" si="165"/>
        <v>644493</v>
      </c>
      <c r="J107" s="110">
        <f t="shared" si="165"/>
        <v>704314</v>
      </c>
      <c r="K107" s="110">
        <f t="shared" si="165"/>
        <v>716708</v>
      </c>
      <c r="L107" s="110">
        <f t="shared" si="165"/>
        <v>735885</v>
      </c>
      <c r="M107" s="110">
        <f t="shared" si="165"/>
        <v>781025</v>
      </c>
      <c r="N107" s="110">
        <f t="shared" si="165"/>
        <v>791842</v>
      </c>
      <c r="O107" s="110">
        <f t="shared" si="165"/>
        <v>814343</v>
      </c>
      <c r="P107" s="110">
        <f t="shared" si="165"/>
        <v>845909</v>
      </c>
      <c r="Q107" s="110">
        <f t="shared" si="165"/>
        <v>881686</v>
      </c>
      <c r="R107" s="110">
        <f t="shared" si="165"/>
        <v>906523</v>
      </c>
      <c r="S107" s="110">
        <f t="shared" si="165"/>
        <v>928572</v>
      </c>
      <c r="T107" s="110">
        <f t="shared" si="165"/>
        <v>980676</v>
      </c>
      <c r="U107" s="110">
        <f t="shared" si="165"/>
        <v>1003142</v>
      </c>
      <c r="V107" s="110">
        <f t="shared" si="165"/>
        <v>1033062</v>
      </c>
      <c r="W107" s="110">
        <f t="shared" ref="W107" si="166">SUM(W108:W109)</f>
        <v>1075376</v>
      </c>
      <c r="DA107" s="176"/>
    </row>
    <row r="108" spans="1:105" ht="11.45" hidden="1" customHeight="1" x14ac:dyDescent="0.25">
      <c r="A108" s="128" t="s">
        <v>27</v>
      </c>
      <c r="B108" s="102">
        <v>481889</v>
      </c>
      <c r="C108" s="102">
        <v>500433</v>
      </c>
      <c r="D108" s="102">
        <v>578175</v>
      </c>
      <c r="E108" s="102">
        <v>577068</v>
      </c>
      <c r="F108" s="102">
        <v>560178</v>
      </c>
      <c r="G108" s="102">
        <v>569470</v>
      </c>
      <c r="H108" s="102">
        <v>570730</v>
      </c>
      <c r="I108" s="102">
        <v>619851</v>
      </c>
      <c r="J108" s="102">
        <v>679188</v>
      </c>
      <c r="K108" s="102">
        <v>692591</v>
      </c>
      <c r="L108" s="102">
        <v>707675</v>
      </c>
      <c r="M108" s="102">
        <v>751168</v>
      </c>
      <c r="N108" s="102">
        <v>759384</v>
      </c>
      <c r="O108" s="102">
        <v>779963</v>
      </c>
      <c r="P108" s="102">
        <v>811034</v>
      </c>
      <c r="Q108" s="102">
        <v>845801</v>
      </c>
      <c r="R108" s="102">
        <v>866350</v>
      </c>
      <c r="S108" s="102">
        <v>883389</v>
      </c>
      <c r="T108" s="102">
        <v>941422</v>
      </c>
      <c r="U108" s="102">
        <v>958340</v>
      </c>
      <c r="V108" s="102">
        <v>989583</v>
      </c>
      <c r="W108" s="102">
        <v>1029250</v>
      </c>
      <c r="DA108" s="175"/>
    </row>
    <row r="109" spans="1:105" ht="11.45" hidden="1" customHeight="1" x14ac:dyDescent="0.25">
      <c r="A109" s="138" t="s">
        <v>116</v>
      </c>
      <c r="B109" s="86">
        <v>15410</v>
      </c>
      <c r="C109" s="86">
        <v>16521</v>
      </c>
      <c r="D109" s="86">
        <v>17381</v>
      </c>
      <c r="E109" s="86">
        <v>17766</v>
      </c>
      <c r="F109" s="86">
        <v>21005</v>
      </c>
      <c r="G109" s="86">
        <v>21742</v>
      </c>
      <c r="H109" s="86">
        <v>26371</v>
      </c>
      <c r="I109" s="86">
        <v>24642</v>
      </c>
      <c r="J109" s="86">
        <v>25126</v>
      </c>
      <c r="K109" s="86">
        <v>24117</v>
      </c>
      <c r="L109" s="86">
        <v>28210</v>
      </c>
      <c r="M109" s="86">
        <v>29857</v>
      </c>
      <c r="N109" s="86">
        <v>32458</v>
      </c>
      <c r="O109" s="86">
        <v>34380</v>
      </c>
      <c r="P109" s="86">
        <v>34875</v>
      </c>
      <c r="Q109" s="86">
        <v>35885</v>
      </c>
      <c r="R109" s="86">
        <v>40173</v>
      </c>
      <c r="S109" s="86">
        <v>45183</v>
      </c>
      <c r="T109" s="86">
        <v>39254</v>
      </c>
      <c r="U109" s="86">
        <v>44802</v>
      </c>
      <c r="V109" s="86">
        <v>43479</v>
      </c>
      <c r="W109" s="86">
        <v>46126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663054</v>
      </c>
      <c r="C111" s="54">
        <f t="shared" si="167"/>
        <v>1450268</v>
      </c>
      <c r="D111" s="54">
        <f t="shared" si="167"/>
        <v>1260594</v>
      </c>
      <c r="E111" s="54">
        <f t="shared" si="167"/>
        <v>1027645</v>
      </c>
      <c r="F111" s="54">
        <f t="shared" si="167"/>
        <v>1213202</v>
      </c>
      <c r="G111" s="54">
        <f t="shared" si="167"/>
        <v>1716025</v>
      </c>
      <c r="H111" s="54">
        <f t="shared" si="167"/>
        <v>1560220</v>
      </c>
      <c r="I111" s="54">
        <f t="shared" si="167"/>
        <v>2005059</v>
      </c>
      <c r="J111" s="54">
        <f t="shared" si="167"/>
        <v>2454549</v>
      </c>
      <c r="K111" s="54">
        <f t="shared" si="167"/>
        <v>1901809</v>
      </c>
      <c r="L111" s="54">
        <f t="shared" ref="L111" si="168">L112+L127</f>
        <v>1906385</v>
      </c>
      <c r="M111" s="54">
        <f t="shared" ref="M111:V111" si="169">M112+M127</f>
        <v>2092726</v>
      </c>
      <c r="N111" s="54">
        <f t="shared" si="169"/>
        <v>2293748</v>
      </c>
      <c r="O111" s="54">
        <f t="shared" si="169"/>
        <v>1865850</v>
      </c>
      <c r="P111" s="54">
        <f t="shared" si="169"/>
        <v>1669121</v>
      </c>
      <c r="Q111" s="54">
        <f t="shared" si="169"/>
        <v>2016147</v>
      </c>
      <c r="R111" s="54">
        <f t="shared" si="169"/>
        <v>1986069</v>
      </c>
      <c r="S111" s="54">
        <f t="shared" si="169"/>
        <v>1835223</v>
      </c>
      <c r="T111" s="54">
        <f t="shared" si="169"/>
        <v>2103964</v>
      </c>
      <c r="U111" s="54">
        <f t="shared" si="169"/>
        <v>2041222</v>
      </c>
      <c r="V111" s="54">
        <f t="shared" si="169"/>
        <v>1829399</v>
      </c>
      <c r="W111" s="54">
        <f t="shared" ref="W111" si="170">W112+W127</f>
        <v>2430630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533050</v>
      </c>
      <c r="C112" s="28">
        <f t="shared" si="171"/>
        <v>1317858</v>
      </c>
      <c r="D112" s="28">
        <f t="shared" si="171"/>
        <v>989124</v>
      </c>
      <c r="E112" s="28">
        <f t="shared" si="171"/>
        <v>832802</v>
      </c>
      <c r="F112" s="28">
        <f t="shared" si="171"/>
        <v>1069882</v>
      </c>
      <c r="G112" s="28">
        <f t="shared" si="171"/>
        <v>1524859</v>
      </c>
      <c r="H112" s="28">
        <f t="shared" si="171"/>
        <v>1332447</v>
      </c>
      <c r="I112" s="28">
        <f t="shared" si="171"/>
        <v>1705988</v>
      </c>
      <c r="J112" s="28">
        <f t="shared" si="171"/>
        <v>2091177</v>
      </c>
      <c r="K112" s="28">
        <f t="shared" si="171"/>
        <v>1622693</v>
      </c>
      <c r="L112" s="28">
        <f t="shared" ref="L112" si="172">L113+L114+L121</f>
        <v>1540958</v>
      </c>
      <c r="M112" s="28">
        <f t="shared" ref="M112:V112" si="173">M113+M114+M121</f>
        <v>1746088</v>
      </c>
      <c r="N112" s="28">
        <f t="shared" si="173"/>
        <v>2032592</v>
      </c>
      <c r="O112" s="28">
        <f t="shared" si="173"/>
        <v>1540032</v>
      </c>
      <c r="P112" s="28">
        <f t="shared" si="173"/>
        <v>1427339</v>
      </c>
      <c r="Q112" s="28">
        <f t="shared" si="173"/>
        <v>1727735</v>
      </c>
      <c r="R112" s="28">
        <f t="shared" si="173"/>
        <v>1658271</v>
      </c>
      <c r="S112" s="28">
        <f t="shared" si="173"/>
        <v>1511258</v>
      </c>
      <c r="T112" s="28">
        <f t="shared" si="173"/>
        <v>1774464</v>
      </c>
      <c r="U112" s="28">
        <f t="shared" si="173"/>
        <v>1658179</v>
      </c>
      <c r="V112" s="28">
        <f t="shared" si="173"/>
        <v>1479068</v>
      </c>
      <c r="W112" s="28">
        <f t="shared" ref="W112" si="174">W113+W114+W121</f>
        <v>2043815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14695</v>
      </c>
      <c r="D113" s="137">
        <v>95215</v>
      </c>
      <c r="E113" s="137">
        <v>1586</v>
      </c>
      <c r="F113" s="137">
        <v>3680</v>
      </c>
      <c r="G113" s="137">
        <v>326845</v>
      </c>
      <c r="H113" s="137">
        <v>140667</v>
      </c>
      <c r="I113" s="137">
        <v>217827</v>
      </c>
      <c r="J113" s="137">
        <v>337683</v>
      </c>
      <c r="K113" s="137">
        <v>275131</v>
      </c>
      <c r="L113" s="137">
        <v>187329</v>
      </c>
      <c r="M113" s="137">
        <v>239196</v>
      </c>
      <c r="N113" s="137">
        <v>167035</v>
      </c>
      <c r="O113" s="137">
        <v>173444</v>
      </c>
      <c r="P113" s="137">
        <v>151578</v>
      </c>
      <c r="Q113" s="137">
        <v>197039</v>
      </c>
      <c r="R113" s="137">
        <v>188219</v>
      </c>
      <c r="S113" s="137">
        <v>179208</v>
      </c>
      <c r="T113" s="137">
        <v>169733</v>
      </c>
      <c r="U113" s="137">
        <v>185473</v>
      </c>
      <c r="V113" s="137">
        <v>184887</v>
      </c>
      <c r="W113" s="137">
        <v>177988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529438</v>
      </c>
      <c r="C114" s="110">
        <f t="shared" si="175"/>
        <v>1299760</v>
      </c>
      <c r="D114" s="110">
        <f t="shared" si="175"/>
        <v>891099</v>
      </c>
      <c r="E114" s="110">
        <f t="shared" si="175"/>
        <v>829144</v>
      </c>
      <c r="F114" s="110">
        <f t="shared" si="175"/>
        <v>1061008</v>
      </c>
      <c r="G114" s="110">
        <f t="shared" si="175"/>
        <v>1193622</v>
      </c>
      <c r="H114" s="110">
        <f t="shared" si="175"/>
        <v>1187363</v>
      </c>
      <c r="I114" s="110">
        <f t="shared" si="175"/>
        <v>1483309</v>
      </c>
      <c r="J114" s="110">
        <f t="shared" si="175"/>
        <v>1748261</v>
      </c>
      <c r="K114" s="110">
        <f t="shared" si="175"/>
        <v>1343670</v>
      </c>
      <c r="L114" s="110">
        <f t="shared" ref="L114" si="176">SUM(L115:L120)</f>
        <v>1349690</v>
      </c>
      <c r="M114" s="110">
        <f t="shared" ref="M114:V114" si="177">SUM(M115:M120)</f>
        <v>1502288</v>
      </c>
      <c r="N114" s="110">
        <f t="shared" si="177"/>
        <v>1861196</v>
      </c>
      <c r="O114" s="110">
        <f t="shared" si="177"/>
        <v>1361651</v>
      </c>
      <c r="P114" s="110">
        <f t="shared" si="177"/>
        <v>1270442</v>
      </c>
      <c r="Q114" s="110">
        <f t="shared" si="177"/>
        <v>1519561</v>
      </c>
      <c r="R114" s="110">
        <f t="shared" si="177"/>
        <v>1464490</v>
      </c>
      <c r="S114" s="110">
        <f t="shared" si="177"/>
        <v>1326612</v>
      </c>
      <c r="T114" s="110">
        <f t="shared" si="177"/>
        <v>1598980</v>
      </c>
      <c r="U114" s="110">
        <f t="shared" si="177"/>
        <v>1467168</v>
      </c>
      <c r="V114" s="110">
        <f t="shared" si="177"/>
        <v>1288731</v>
      </c>
      <c r="W114" s="110">
        <f t="shared" ref="W114" si="178">SUM(W115:W120)</f>
        <v>1860396</v>
      </c>
      <c r="DA114" s="176" t="s">
        <v>528</v>
      </c>
    </row>
    <row r="115" spans="1:105" ht="11.45" customHeight="1" x14ac:dyDescent="0.25">
      <c r="A115" s="111" t="s">
        <v>110</v>
      </c>
      <c r="B115" s="84">
        <v>443682</v>
      </c>
      <c r="C115" s="84">
        <v>781578</v>
      </c>
      <c r="D115" s="84">
        <v>340029</v>
      </c>
      <c r="E115" s="84">
        <v>220339</v>
      </c>
      <c r="F115" s="84">
        <v>589018</v>
      </c>
      <c r="G115" s="84">
        <v>591783</v>
      </c>
      <c r="H115" s="84">
        <v>546325</v>
      </c>
      <c r="I115" s="84">
        <v>668932</v>
      </c>
      <c r="J115" s="84">
        <v>756796</v>
      </c>
      <c r="K115" s="84">
        <v>617436</v>
      </c>
      <c r="L115" s="84">
        <v>588495</v>
      </c>
      <c r="M115" s="84">
        <v>773506</v>
      </c>
      <c r="N115" s="84">
        <v>1081347</v>
      </c>
      <c r="O115" s="84">
        <v>772728</v>
      </c>
      <c r="P115" s="84">
        <v>708037</v>
      </c>
      <c r="Q115" s="84">
        <v>923791</v>
      </c>
      <c r="R115" s="84">
        <v>718987</v>
      </c>
      <c r="S115" s="84">
        <v>719775</v>
      </c>
      <c r="T115" s="84">
        <v>778390</v>
      </c>
      <c r="U115" s="84">
        <v>785558</v>
      </c>
      <c r="V115" s="84">
        <v>635816</v>
      </c>
      <c r="W115" s="84">
        <v>1155098</v>
      </c>
      <c r="DA115" s="171" t="s">
        <v>529</v>
      </c>
    </row>
    <row r="116" spans="1:105" ht="11.45" customHeight="1" x14ac:dyDescent="0.25">
      <c r="A116" s="111" t="s">
        <v>111</v>
      </c>
      <c r="B116" s="84">
        <v>85756</v>
      </c>
      <c r="C116" s="84">
        <v>98301</v>
      </c>
      <c r="D116" s="84">
        <v>32057</v>
      </c>
      <c r="E116" s="84">
        <v>85017</v>
      </c>
      <c r="F116" s="84">
        <v>191630</v>
      </c>
      <c r="G116" s="84">
        <v>292495</v>
      </c>
      <c r="H116" s="84">
        <v>407617</v>
      </c>
      <c r="I116" s="84">
        <v>582138</v>
      </c>
      <c r="J116" s="84">
        <v>779062</v>
      </c>
      <c r="K116" s="84">
        <v>538631</v>
      </c>
      <c r="L116" s="84">
        <v>575106</v>
      </c>
      <c r="M116" s="84">
        <v>721523</v>
      </c>
      <c r="N116" s="84">
        <v>631001</v>
      </c>
      <c r="O116" s="84">
        <v>468097</v>
      </c>
      <c r="P116" s="84">
        <v>470977</v>
      </c>
      <c r="Q116" s="84">
        <v>481020</v>
      </c>
      <c r="R116" s="84">
        <v>600549</v>
      </c>
      <c r="S116" s="84">
        <v>500121</v>
      </c>
      <c r="T116" s="84">
        <v>537590</v>
      </c>
      <c r="U116" s="84">
        <v>591623</v>
      </c>
      <c r="V116" s="84">
        <v>580884</v>
      </c>
      <c r="W116" s="84">
        <v>622138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419881</v>
      </c>
      <c r="D117" s="84">
        <v>519013</v>
      </c>
      <c r="E117" s="84">
        <v>523788</v>
      </c>
      <c r="F117" s="84">
        <v>280360</v>
      </c>
      <c r="G117" s="84">
        <v>309344</v>
      </c>
      <c r="H117" s="84">
        <v>233421</v>
      </c>
      <c r="I117" s="84">
        <v>232239</v>
      </c>
      <c r="J117" s="84">
        <v>212403</v>
      </c>
      <c r="K117" s="84">
        <v>187603</v>
      </c>
      <c r="L117" s="84">
        <v>186074</v>
      </c>
      <c r="M117" s="84">
        <v>7170</v>
      </c>
      <c r="N117" s="84">
        <v>148725</v>
      </c>
      <c r="O117" s="84">
        <v>120789</v>
      </c>
      <c r="P117" s="84">
        <v>90692</v>
      </c>
      <c r="Q117" s="84">
        <v>109068</v>
      </c>
      <c r="R117" s="84">
        <v>141883</v>
      </c>
      <c r="S117" s="84">
        <v>104376</v>
      </c>
      <c r="T117" s="84">
        <v>279315</v>
      </c>
      <c r="U117" s="84">
        <v>86336</v>
      </c>
      <c r="V117" s="84">
        <v>62875</v>
      </c>
      <c r="W117" s="84">
        <v>65535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5355</v>
      </c>
      <c r="R118" s="84">
        <v>2279</v>
      </c>
      <c r="S118" s="84">
        <v>313</v>
      </c>
      <c r="T118" s="84">
        <v>313</v>
      </c>
      <c r="U118" s="84">
        <v>280</v>
      </c>
      <c r="V118" s="84">
        <v>175</v>
      </c>
      <c r="W118" s="84">
        <v>214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12</v>
      </c>
      <c r="O119" s="84">
        <v>10</v>
      </c>
      <c r="P119" s="84">
        <v>673</v>
      </c>
      <c r="Q119" s="84">
        <v>259</v>
      </c>
      <c r="R119" s="84">
        <v>156</v>
      </c>
      <c r="S119" s="84">
        <v>660</v>
      </c>
      <c r="T119" s="84">
        <v>779</v>
      </c>
      <c r="U119" s="84">
        <v>1166</v>
      </c>
      <c r="V119" s="84">
        <v>4362</v>
      </c>
      <c r="W119" s="84">
        <v>10244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15</v>
      </c>
      <c r="M120" s="84">
        <v>89</v>
      </c>
      <c r="N120" s="84">
        <v>111</v>
      </c>
      <c r="O120" s="84">
        <v>27</v>
      </c>
      <c r="P120" s="84">
        <v>63</v>
      </c>
      <c r="Q120" s="84">
        <v>68</v>
      </c>
      <c r="R120" s="84">
        <v>636</v>
      </c>
      <c r="S120" s="84">
        <v>1367</v>
      </c>
      <c r="T120" s="84">
        <v>2593</v>
      </c>
      <c r="U120" s="84">
        <v>2205</v>
      </c>
      <c r="V120" s="84">
        <v>4619</v>
      </c>
      <c r="W120" s="84">
        <v>7167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3612</v>
      </c>
      <c r="C121" s="110">
        <f t="shared" si="179"/>
        <v>3403</v>
      </c>
      <c r="D121" s="110">
        <f t="shared" si="179"/>
        <v>2810</v>
      </c>
      <c r="E121" s="110">
        <f t="shared" si="179"/>
        <v>2072</v>
      </c>
      <c r="F121" s="110">
        <f t="shared" si="179"/>
        <v>5194</v>
      </c>
      <c r="G121" s="110">
        <f t="shared" si="179"/>
        <v>4392</v>
      </c>
      <c r="H121" s="110">
        <f t="shared" si="179"/>
        <v>4417</v>
      </c>
      <c r="I121" s="110">
        <f t="shared" si="179"/>
        <v>4852</v>
      </c>
      <c r="J121" s="110">
        <f t="shared" si="179"/>
        <v>5233</v>
      </c>
      <c r="K121" s="110">
        <f t="shared" si="179"/>
        <v>3892</v>
      </c>
      <c r="L121" s="110">
        <f t="shared" ref="L121" si="180">SUM(L122:L126)</f>
        <v>3939</v>
      </c>
      <c r="M121" s="110">
        <f t="shared" ref="M121:V121" si="181">SUM(M122:M126)</f>
        <v>4604</v>
      </c>
      <c r="N121" s="110">
        <f t="shared" si="181"/>
        <v>4361</v>
      </c>
      <c r="O121" s="110">
        <f t="shared" si="181"/>
        <v>4937</v>
      </c>
      <c r="P121" s="110">
        <f t="shared" si="181"/>
        <v>5319</v>
      </c>
      <c r="Q121" s="110">
        <f t="shared" si="181"/>
        <v>11135</v>
      </c>
      <c r="R121" s="110">
        <f t="shared" si="181"/>
        <v>5562</v>
      </c>
      <c r="S121" s="110">
        <f t="shared" si="181"/>
        <v>5438</v>
      </c>
      <c r="T121" s="110">
        <f t="shared" si="181"/>
        <v>5751</v>
      </c>
      <c r="U121" s="110">
        <f t="shared" si="181"/>
        <v>5538</v>
      </c>
      <c r="V121" s="110">
        <f t="shared" si="181"/>
        <v>5450</v>
      </c>
      <c r="W121" s="110">
        <f t="shared" ref="W121" si="182">SUM(W122:W126)</f>
        <v>5431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3612</v>
      </c>
      <c r="C123" s="102">
        <v>3384</v>
      </c>
      <c r="D123" s="102">
        <v>2806</v>
      </c>
      <c r="E123" s="102">
        <v>2068</v>
      </c>
      <c r="F123" s="102">
        <v>4120</v>
      </c>
      <c r="G123" s="102">
        <v>3956</v>
      </c>
      <c r="H123" s="102">
        <v>4403</v>
      </c>
      <c r="I123" s="102">
        <v>4847</v>
      </c>
      <c r="J123" s="102">
        <v>5225</v>
      </c>
      <c r="K123" s="102">
        <v>3891</v>
      </c>
      <c r="L123" s="102">
        <v>3918</v>
      </c>
      <c r="M123" s="102">
        <v>4592</v>
      </c>
      <c r="N123" s="102">
        <v>4351</v>
      </c>
      <c r="O123" s="102">
        <v>4883</v>
      </c>
      <c r="P123" s="102">
        <v>5281</v>
      </c>
      <c r="Q123" s="102">
        <v>10522</v>
      </c>
      <c r="R123" s="102">
        <v>5482</v>
      </c>
      <c r="S123" s="102">
        <v>5267</v>
      </c>
      <c r="T123" s="102">
        <v>5481</v>
      </c>
      <c r="U123" s="102">
        <v>5132</v>
      </c>
      <c r="V123" s="102">
        <v>4836</v>
      </c>
      <c r="W123" s="102">
        <v>4825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4</v>
      </c>
      <c r="F124" s="102">
        <v>1074</v>
      </c>
      <c r="G124" s="102">
        <v>5</v>
      </c>
      <c r="H124" s="102">
        <v>4</v>
      </c>
      <c r="I124" s="102">
        <v>1</v>
      </c>
      <c r="J124" s="102">
        <v>8</v>
      </c>
      <c r="K124" s="102">
        <v>0</v>
      </c>
      <c r="L124" s="102">
        <v>5</v>
      </c>
      <c r="M124" s="102">
        <v>5</v>
      </c>
      <c r="N124" s="102">
        <v>10</v>
      </c>
      <c r="O124" s="102">
        <v>8</v>
      </c>
      <c r="P124" s="102">
        <v>6</v>
      </c>
      <c r="Q124" s="102">
        <v>2</v>
      </c>
      <c r="R124" s="102">
        <v>3</v>
      </c>
      <c r="S124" s="102">
        <v>7</v>
      </c>
      <c r="T124" s="102">
        <v>95</v>
      </c>
      <c r="U124" s="102">
        <v>13</v>
      </c>
      <c r="V124" s="102">
        <v>12</v>
      </c>
      <c r="W124" s="102">
        <v>18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554</v>
      </c>
      <c r="R125" s="102">
        <v>32</v>
      </c>
      <c r="S125" s="102">
        <v>24</v>
      </c>
      <c r="T125" s="102">
        <v>112</v>
      </c>
      <c r="U125" s="102">
        <v>328</v>
      </c>
      <c r="V125" s="102">
        <v>391</v>
      </c>
      <c r="W125" s="102">
        <v>360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19</v>
      </c>
      <c r="D126" s="102">
        <v>4</v>
      </c>
      <c r="E126" s="102">
        <v>0</v>
      </c>
      <c r="F126" s="102">
        <v>0</v>
      </c>
      <c r="G126" s="102">
        <v>431</v>
      </c>
      <c r="H126" s="102">
        <v>10</v>
      </c>
      <c r="I126" s="102">
        <v>4</v>
      </c>
      <c r="J126" s="102">
        <v>0</v>
      </c>
      <c r="K126" s="102">
        <v>1</v>
      </c>
      <c r="L126" s="102">
        <v>16</v>
      </c>
      <c r="M126" s="102">
        <v>7</v>
      </c>
      <c r="N126" s="102">
        <v>0</v>
      </c>
      <c r="O126" s="102">
        <v>46</v>
      </c>
      <c r="P126" s="102">
        <v>32</v>
      </c>
      <c r="Q126" s="102">
        <v>57</v>
      </c>
      <c r="R126" s="102">
        <v>45</v>
      </c>
      <c r="S126" s="102">
        <v>140</v>
      </c>
      <c r="T126" s="102">
        <v>63</v>
      </c>
      <c r="U126" s="102">
        <v>65</v>
      </c>
      <c r="V126" s="102">
        <v>211</v>
      </c>
      <c r="W126" s="102">
        <v>228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130004</v>
      </c>
      <c r="C127" s="28">
        <f t="shared" si="183"/>
        <v>132410</v>
      </c>
      <c r="D127" s="28">
        <f t="shared" si="183"/>
        <v>271470</v>
      </c>
      <c r="E127" s="28">
        <f t="shared" si="183"/>
        <v>194843</v>
      </c>
      <c r="F127" s="28">
        <f t="shared" si="183"/>
        <v>143320</v>
      </c>
      <c r="G127" s="28">
        <f t="shared" si="183"/>
        <v>191166</v>
      </c>
      <c r="H127" s="28">
        <f t="shared" si="183"/>
        <v>227773</v>
      </c>
      <c r="I127" s="28">
        <f t="shared" si="183"/>
        <v>299071</v>
      </c>
      <c r="J127" s="28">
        <f t="shared" si="183"/>
        <v>363372</v>
      </c>
      <c r="K127" s="28">
        <f t="shared" si="183"/>
        <v>279116</v>
      </c>
      <c r="L127" s="28">
        <f t="shared" ref="L127" si="184">L128+L134</f>
        <v>365427</v>
      </c>
      <c r="M127" s="28">
        <f t="shared" ref="M127:V127" si="185">M128+M134</f>
        <v>346638</v>
      </c>
      <c r="N127" s="28">
        <f t="shared" si="185"/>
        <v>261156</v>
      </c>
      <c r="O127" s="28">
        <f t="shared" si="185"/>
        <v>325818</v>
      </c>
      <c r="P127" s="28">
        <f t="shared" si="185"/>
        <v>241782</v>
      </c>
      <c r="Q127" s="28">
        <f t="shared" si="185"/>
        <v>288412</v>
      </c>
      <c r="R127" s="28">
        <f t="shared" si="185"/>
        <v>327798</v>
      </c>
      <c r="S127" s="28">
        <f t="shared" si="185"/>
        <v>323965</v>
      </c>
      <c r="T127" s="28">
        <f t="shared" si="185"/>
        <v>329500</v>
      </c>
      <c r="U127" s="28">
        <f t="shared" si="185"/>
        <v>383043</v>
      </c>
      <c r="V127" s="28">
        <f t="shared" si="185"/>
        <v>350331</v>
      </c>
      <c r="W127" s="28">
        <f t="shared" ref="W127" si="186">W128+W134</f>
        <v>386815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128463</v>
      </c>
      <c r="C128" s="137">
        <f t="shared" si="187"/>
        <v>95437</v>
      </c>
      <c r="D128" s="137">
        <f t="shared" si="187"/>
        <v>174447</v>
      </c>
      <c r="E128" s="137">
        <f t="shared" si="187"/>
        <v>168638</v>
      </c>
      <c r="F128" s="137">
        <f t="shared" si="187"/>
        <v>116571</v>
      </c>
      <c r="G128" s="137">
        <f t="shared" si="187"/>
        <v>149504</v>
      </c>
      <c r="H128" s="137">
        <f t="shared" si="187"/>
        <v>176222</v>
      </c>
      <c r="I128" s="137">
        <f t="shared" si="187"/>
        <v>212194</v>
      </c>
      <c r="J128" s="137">
        <f t="shared" si="187"/>
        <v>266696</v>
      </c>
      <c r="K128" s="137">
        <f t="shared" si="187"/>
        <v>223775</v>
      </c>
      <c r="L128" s="137">
        <f t="shared" ref="L128" si="188">SUM(L129:L133)</f>
        <v>295967</v>
      </c>
      <c r="M128" s="137">
        <f t="shared" ref="M128:V128" si="189">SUM(M129:M133)</f>
        <v>264850</v>
      </c>
      <c r="N128" s="137">
        <f t="shared" si="189"/>
        <v>196713</v>
      </c>
      <c r="O128" s="137">
        <f t="shared" si="189"/>
        <v>249889</v>
      </c>
      <c r="P128" s="137">
        <f t="shared" si="189"/>
        <v>164007</v>
      </c>
      <c r="Q128" s="137">
        <f t="shared" si="189"/>
        <v>205087</v>
      </c>
      <c r="R128" s="137">
        <f t="shared" si="189"/>
        <v>235868</v>
      </c>
      <c r="S128" s="137">
        <f t="shared" si="189"/>
        <v>236418</v>
      </c>
      <c r="T128" s="137">
        <f t="shared" si="189"/>
        <v>242766</v>
      </c>
      <c r="U128" s="137">
        <f t="shared" si="189"/>
        <v>287809</v>
      </c>
      <c r="V128" s="137">
        <f t="shared" si="189"/>
        <v>275248</v>
      </c>
      <c r="W128" s="137">
        <f t="shared" ref="W128" si="190">SUM(W129:W133)</f>
        <v>291849</v>
      </c>
      <c r="DA128" s="174" t="s">
        <v>542</v>
      </c>
    </row>
    <row r="129" spans="1:105" ht="11.45" customHeight="1" x14ac:dyDescent="0.25">
      <c r="A129" s="111" t="s">
        <v>110</v>
      </c>
      <c r="B129" s="84">
        <v>29680</v>
      </c>
      <c r="C129" s="84">
        <v>32050</v>
      </c>
      <c r="D129" s="84">
        <v>45659</v>
      </c>
      <c r="E129" s="84">
        <v>74921</v>
      </c>
      <c r="F129" s="84">
        <v>37868</v>
      </c>
      <c r="G129" s="84">
        <v>11343</v>
      </c>
      <c r="H129" s="84">
        <v>38074</v>
      </c>
      <c r="I129" s="84">
        <v>54502</v>
      </c>
      <c r="J129" s="84">
        <v>78921</v>
      </c>
      <c r="K129" s="84">
        <v>62789</v>
      </c>
      <c r="L129" s="84">
        <v>95769</v>
      </c>
      <c r="M129" s="84">
        <v>56578</v>
      </c>
      <c r="N129" s="84">
        <v>56752</v>
      </c>
      <c r="O129" s="84">
        <v>64565</v>
      </c>
      <c r="P129" s="84">
        <v>36506</v>
      </c>
      <c r="Q129" s="84">
        <v>41422</v>
      </c>
      <c r="R129" s="84">
        <v>43248</v>
      </c>
      <c r="S129" s="84">
        <v>62951</v>
      </c>
      <c r="T129" s="84">
        <v>63772</v>
      </c>
      <c r="U129" s="84">
        <v>32349</v>
      </c>
      <c r="V129" s="84">
        <v>43019</v>
      </c>
      <c r="W129" s="84">
        <v>47378</v>
      </c>
      <c r="DA129" s="171" t="s">
        <v>543</v>
      </c>
    </row>
    <row r="130" spans="1:105" ht="11.45" customHeight="1" x14ac:dyDescent="0.25">
      <c r="A130" s="111" t="s">
        <v>111</v>
      </c>
      <c r="B130" s="84">
        <v>98783</v>
      </c>
      <c r="C130" s="84">
        <v>54998</v>
      </c>
      <c r="D130" s="84">
        <v>101633</v>
      </c>
      <c r="E130" s="84">
        <v>78522</v>
      </c>
      <c r="F130" s="84">
        <v>74387</v>
      </c>
      <c r="G130" s="84">
        <v>127643</v>
      </c>
      <c r="H130" s="84">
        <v>119261</v>
      </c>
      <c r="I130" s="84">
        <v>146070</v>
      </c>
      <c r="J130" s="84">
        <v>180273</v>
      </c>
      <c r="K130" s="84">
        <v>157645</v>
      </c>
      <c r="L130" s="84">
        <v>195380</v>
      </c>
      <c r="M130" s="84">
        <v>202999</v>
      </c>
      <c r="N130" s="84">
        <v>137551</v>
      </c>
      <c r="O130" s="84">
        <v>182901</v>
      </c>
      <c r="P130" s="84">
        <v>110395</v>
      </c>
      <c r="Q130" s="84">
        <v>159429</v>
      </c>
      <c r="R130" s="84">
        <v>187252</v>
      </c>
      <c r="S130" s="84">
        <v>169910</v>
      </c>
      <c r="T130" s="84">
        <v>172316</v>
      </c>
      <c r="U130" s="84">
        <v>254236</v>
      </c>
      <c r="V130" s="84">
        <v>231973</v>
      </c>
      <c r="W130" s="84">
        <v>242122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8389</v>
      </c>
      <c r="D131" s="84">
        <v>27155</v>
      </c>
      <c r="E131" s="84">
        <v>15195</v>
      </c>
      <c r="F131" s="84">
        <v>4316</v>
      </c>
      <c r="G131" s="84">
        <v>10518</v>
      </c>
      <c r="H131" s="84">
        <v>18887</v>
      </c>
      <c r="I131" s="84">
        <v>11622</v>
      </c>
      <c r="J131" s="84">
        <v>7502</v>
      </c>
      <c r="K131" s="84">
        <v>3341</v>
      </c>
      <c r="L131" s="84">
        <v>4818</v>
      </c>
      <c r="M131" s="84">
        <v>5273</v>
      </c>
      <c r="N131" s="84">
        <v>2403</v>
      </c>
      <c r="O131" s="84">
        <v>2417</v>
      </c>
      <c r="P131" s="84">
        <v>17102</v>
      </c>
      <c r="Q131" s="84">
        <v>2166</v>
      </c>
      <c r="R131" s="84">
        <v>5008</v>
      </c>
      <c r="S131" s="84">
        <v>3426</v>
      </c>
      <c r="T131" s="84">
        <v>6552</v>
      </c>
      <c r="U131" s="84">
        <v>1056</v>
      </c>
      <c r="V131" s="84">
        <v>9</v>
      </c>
      <c r="W131" s="84">
        <v>1901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2063</v>
      </c>
      <c r="R132" s="84">
        <v>354</v>
      </c>
      <c r="S132" s="84">
        <v>117</v>
      </c>
      <c r="T132" s="84">
        <v>84</v>
      </c>
      <c r="U132" s="84">
        <v>54</v>
      </c>
      <c r="V132" s="84">
        <v>45</v>
      </c>
      <c r="W132" s="84">
        <v>27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7</v>
      </c>
      <c r="O133" s="84">
        <v>6</v>
      </c>
      <c r="P133" s="84">
        <v>4</v>
      </c>
      <c r="Q133" s="84">
        <v>7</v>
      </c>
      <c r="R133" s="84">
        <v>6</v>
      </c>
      <c r="S133" s="84">
        <v>14</v>
      </c>
      <c r="T133" s="84">
        <v>42</v>
      </c>
      <c r="U133" s="84">
        <v>114</v>
      </c>
      <c r="V133" s="84">
        <v>202</v>
      </c>
      <c r="W133" s="84">
        <v>421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1541</v>
      </c>
      <c r="C134" s="110">
        <f t="shared" si="191"/>
        <v>36973</v>
      </c>
      <c r="D134" s="110">
        <f t="shared" si="191"/>
        <v>97023</v>
      </c>
      <c r="E134" s="110">
        <f t="shared" si="191"/>
        <v>26205</v>
      </c>
      <c r="F134" s="110">
        <f t="shared" si="191"/>
        <v>26749</v>
      </c>
      <c r="G134" s="110">
        <f t="shared" si="191"/>
        <v>41662</v>
      </c>
      <c r="H134" s="110">
        <f t="shared" si="191"/>
        <v>51551</v>
      </c>
      <c r="I134" s="110">
        <f t="shared" si="191"/>
        <v>86877</v>
      </c>
      <c r="J134" s="110">
        <f t="shared" si="191"/>
        <v>96676</v>
      </c>
      <c r="K134" s="110">
        <f t="shared" si="191"/>
        <v>55341</v>
      </c>
      <c r="L134" s="110">
        <f t="shared" ref="L134" si="192">SUM(L135:L136)</f>
        <v>69460</v>
      </c>
      <c r="M134" s="110">
        <f t="shared" ref="M134:V134" si="193">SUM(M135:M136)</f>
        <v>81788</v>
      </c>
      <c r="N134" s="110">
        <f t="shared" si="193"/>
        <v>64443</v>
      </c>
      <c r="O134" s="110">
        <f t="shared" si="193"/>
        <v>75929</v>
      </c>
      <c r="P134" s="110">
        <f t="shared" si="193"/>
        <v>77775</v>
      </c>
      <c r="Q134" s="110">
        <f t="shared" si="193"/>
        <v>83325</v>
      </c>
      <c r="R134" s="110">
        <f t="shared" si="193"/>
        <v>91930</v>
      </c>
      <c r="S134" s="110">
        <f t="shared" si="193"/>
        <v>87547</v>
      </c>
      <c r="T134" s="110">
        <f t="shared" si="193"/>
        <v>86734</v>
      </c>
      <c r="U134" s="110">
        <f t="shared" si="193"/>
        <v>95234</v>
      </c>
      <c r="V134" s="110">
        <f t="shared" si="193"/>
        <v>75083</v>
      </c>
      <c r="W134" s="110">
        <f t="shared" ref="W134" si="194">SUM(W135:W136)</f>
        <v>94966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34779</v>
      </c>
      <c r="D135" s="102">
        <v>94870</v>
      </c>
      <c r="E135" s="102">
        <v>24325</v>
      </c>
      <c r="F135" s="102">
        <v>21835</v>
      </c>
      <c r="G135" s="102">
        <v>39052</v>
      </c>
      <c r="H135" s="102">
        <v>44883</v>
      </c>
      <c r="I135" s="102">
        <v>86379</v>
      </c>
      <c r="J135" s="102">
        <v>93844</v>
      </c>
      <c r="K135" s="102">
        <v>53940</v>
      </c>
      <c r="L135" s="102">
        <v>62950</v>
      </c>
      <c r="M135" s="102">
        <v>77738</v>
      </c>
      <c r="N135" s="102">
        <v>59317</v>
      </c>
      <c r="O135" s="102">
        <v>71291</v>
      </c>
      <c r="P135" s="102">
        <v>74358</v>
      </c>
      <c r="Q135" s="102">
        <v>79189</v>
      </c>
      <c r="R135" s="102">
        <v>84340</v>
      </c>
      <c r="S135" s="102">
        <v>79052</v>
      </c>
      <c r="T135" s="102">
        <v>86734</v>
      </c>
      <c r="U135" s="102">
        <v>86196</v>
      </c>
      <c r="V135" s="102">
        <v>72653</v>
      </c>
      <c r="W135" s="102">
        <v>88300</v>
      </c>
      <c r="DA135" s="175" t="s">
        <v>549</v>
      </c>
    </row>
    <row r="136" spans="1:105" ht="11.45" customHeight="1" x14ac:dyDescent="0.25">
      <c r="A136" s="138" t="s">
        <v>116</v>
      </c>
      <c r="B136" s="86">
        <v>1541</v>
      </c>
      <c r="C136" s="86">
        <v>2194</v>
      </c>
      <c r="D136" s="86">
        <v>2153</v>
      </c>
      <c r="E136" s="86">
        <v>1880</v>
      </c>
      <c r="F136" s="86">
        <v>4914</v>
      </c>
      <c r="G136" s="86">
        <v>2610</v>
      </c>
      <c r="H136" s="86">
        <v>6668</v>
      </c>
      <c r="I136" s="86">
        <v>498</v>
      </c>
      <c r="J136" s="86">
        <v>2832</v>
      </c>
      <c r="K136" s="86">
        <v>1401</v>
      </c>
      <c r="L136" s="86">
        <v>6510</v>
      </c>
      <c r="M136" s="86">
        <v>4050</v>
      </c>
      <c r="N136" s="86">
        <v>5126</v>
      </c>
      <c r="O136" s="86">
        <v>4638</v>
      </c>
      <c r="P136" s="86">
        <v>3417</v>
      </c>
      <c r="Q136" s="86">
        <v>4136</v>
      </c>
      <c r="R136" s="86">
        <v>7590</v>
      </c>
      <c r="S136" s="86">
        <v>8495</v>
      </c>
      <c r="T136" s="86">
        <v>0</v>
      </c>
      <c r="U136" s="86">
        <v>9038</v>
      </c>
      <c r="V136" s="86">
        <v>2430</v>
      </c>
      <c r="W136" s="86">
        <v>6666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2.6168817920221952</v>
      </c>
      <c r="C141" s="32">
        <f t="shared" si="195"/>
        <v>2.6089813836885218</v>
      </c>
      <c r="D141" s="32">
        <f t="shared" si="195"/>
        <v>2.5821076739359352</v>
      </c>
      <c r="E141" s="32">
        <f t="shared" si="195"/>
        <v>2.5288304317311283</v>
      </c>
      <c r="F141" s="32">
        <f t="shared" si="195"/>
        <v>2.3375564461493727</v>
      </c>
      <c r="G141" s="32">
        <f t="shared" si="195"/>
        <v>2.3948676861023768</v>
      </c>
      <c r="H141" s="32">
        <f t="shared" si="195"/>
        <v>2.1894738471095407</v>
      </c>
      <c r="I141" s="32">
        <f t="shared" si="195"/>
        <v>2.0230518790159717</v>
      </c>
      <c r="J141" s="32">
        <f t="shared" si="195"/>
        <v>1.930507944972077</v>
      </c>
      <c r="K141" s="32">
        <f t="shared" si="195"/>
        <v>1.8662845615939656</v>
      </c>
      <c r="L141" s="32">
        <f t="shared" ref="L141" si="196">IF(L4=0,0,L4/L31)</f>
        <v>1.7814474591454812</v>
      </c>
      <c r="M141" s="32">
        <f t="shared" ref="M141:V141" si="197">IF(M4=0,0,M4/M31)</f>
        <v>1.7313924302007628</v>
      </c>
      <c r="N141" s="32">
        <f t="shared" si="197"/>
        <v>1.735129637778918</v>
      </c>
      <c r="O141" s="32">
        <f t="shared" si="197"/>
        <v>1.8224687919389928</v>
      </c>
      <c r="P141" s="32">
        <f t="shared" si="197"/>
        <v>1.8467187872766462</v>
      </c>
      <c r="Q141" s="32">
        <f t="shared" si="197"/>
        <v>1.7361879212944904</v>
      </c>
      <c r="R141" s="32">
        <f t="shared" si="197"/>
        <v>1.7365766398665756</v>
      </c>
      <c r="S141" s="32">
        <f t="shared" si="197"/>
        <v>1.6134149323976779</v>
      </c>
      <c r="T141" s="32">
        <f t="shared" si="197"/>
        <v>1.5128501984990776</v>
      </c>
      <c r="U141" s="32">
        <f t="shared" si="197"/>
        <v>1.498767186955515</v>
      </c>
      <c r="V141" s="32">
        <f t="shared" si="197"/>
        <v>1.3395933430663365</v>
      </c>
      <c r="W141" s="32">
        <f t="shared" ref="W141" si="198">IF(W4=0,0,W4/W31)</f>
        <v>1.3999984516158275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1.1553640856511076</v>
      </c>
      <c r="G142" s="141">
        <v>1.1543178727366699</v>
      </c>
      <c r="H142" s="141">
        <v>1.1546398637822315</v>
      </c>
      <c r="I142" s="141">
        <v>1.156493139331968</v>
      </c>
      <c r="J142" s="141">
        <v>1.1571017737935945</v>
      </c>
      <c r="K142" s="141">
        <v>1.1576570562583655</v>
      </c>
      <c r="L142" s="141">
        <v>1.1556682113354204</v>
      </c>
      <c r="M142" s="141">
        <v>1.1546558434345866</v>
      </c>
      <c r="N142" s="141">
        <v>1.1475295413899498</v>
      </c>
      <c r="O142" s="141">
        <v>1.1469392088128179</v>
      </c>
      <c r="P142" s="141">
        <v>1.1494295322312347</v>
      </c>
      <c r="Q142" s="141">
        <v>1.1514161199072459</v>
      </c>
      <c r="R142" s="141">
        <v>1.1530430789295714</v>
      </c>
      <c r="S142" s="141">
        <v>1.1516067408271418</v>
      </c>
      <c r="T142" s="141">
        <v>1.1503734729873321</v>
      </c>
      <c r="U142" s="141">
        <v>1.1514449810581973</v>
      </c>
      <c r="V142" s="141">
        <v>1.1501208767082498</v>
      </c>
      <c r="W142" s="141">
        <v>1.1501881901365041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1.8719060877313731</v>
      </c>
      <c r="C143" s="130">
        <f t="shared" si="199"/>
        <v>1.9097671634243116</v>
      </c>
      <c r="D143" s="130">
        <f t="shared" si="199"/>
        <v>1.9361208043333387</v>
      </c>
      <c r="E143" s="130">
        <f t="shared" si="199"/>
        <v>1.9137978287747039</v>
      </c>
      <c r="F143" s="130">
        <f t="shared" si="199"/>
        <v>1.7858064248404795</v>
      </c>
      <c r="G143" s="130">
        <f t="shared" si="199"/>
        <v>1.8670181606598766</v>
      </c>
      <c r="H143" s="130">
        <f t="shared" si="199"/>
        <v>1.7154507644374213</v>
      </c>
      <c r="I143" s="130">
        <f t="shared" si="199"/>
        <v>1.6019946421580189</v>
      </c>
      <c r="J143" s="130">
        <f t="shared" si="199"/>
        <v>1.5452586821899175</v>
      </c>
      <c r="K143" s="130">
        <f t="shared" si="199"/>
        <v>1.5360944963196472</v>
      </c>
      <c r="L143" s="130">
        <f t="shared" ref="L143" si="200">IF(L6=0,0,L6/L33)</f>
        <v>1.4875157058926871</v>
      </c>
      <c r="M143" s="130">
        <f t="shared" ref="M143:V143" si="201">IF(M6=0,0,M6/M33)</f>
        <v>1.4552635031668282</v>
      </c>
      <c r="N143" s="130">
        <f t="shared" si="201"/>
        <v>1.4629477961545467</v>
      </c>
      <c r="O143" s="130">
        <f t="shared" si="201"/>
        <v>1.5547990011338559</v>
      </c>
      <c r="P143" s="130">
        <f t="shared" si="201"/>
        <v>1.5716619271491299</v>
      </c>
      <c r="Q143" s="130">
        <f t="shared" si="201"/>
        <v>1.4917480446406384</v>
      </c>
      <c r="R143" s="130">
        <f t="shared" si="201"/>
        <v>1.5098341264378665</v>
      </c>
      <c r="S143" s="130">
        <f t="shared" si="201"/>
        <v>1.4097793086001495</v>
      </c>
      <c r="T143" s="130">
        <f t="shared" si="201"/>
        <v>1.3311443154501561</v>
      </c>
      <c r="U143" s="130">
        <f t="shared" si="201"/>
        <v>1.3140959837019324</v>
      </c>
      <c r="V143" s="130">
        <f t="shared" si="201"/>
        <v>1.2478831921967912</v>
      </c>
      <c r="W143" s="130">
        <f t="shared" ref="W143" si="202">IF(W6=0,0,W6/W33)</f>
        <v>1.2991887899156349</v>
      </c>
      <c r="DA143" s="176" t="s">
        <v>553</v>
      </c>
    </row>
    <row r="144" spans="1:105" ht="11.45" customHeight="1" x14ac:dyDescent="0.25">
      <c r="A144" s="111" t="s">
        <v>110</v>
      </c>
      <c r="B144" s="96">
        <v>1.865481470836496</v>
      </c>
      <c r="C144" s="96">
        <v>1.9038238442072124</v>
      </c>
      <c r="D144" s="96">
        <v>1.9332704454228071</v>
      </c>
      <c r="E144" s="96">
        <v>1.9115908809545201</v>
      </c>
      <c r="F144" s="96">
        <v>1.7825672454986645</v>
      </c>
      <c r="G144" s="96">
        <v>1.8691131232156117</v>
      </c>
      <c r="H144" s="96">
        <v>1.7136676346399387</v>
      </c>
      <c r="I144" s="96">
        <v>1.5949819632450388</v>
      </c>
      <c r="J144" s="96">
        <v>1.5331278227229954</v>
      </c>
      <c r="K144" s="96">
        <v>1.5211732646479272</v>
      </c>
      <c r="L144" s="96">
        <v>1.4711954044258175</v>
      </c>
      <c r="M144" s="96">
        <v>1.4353066477580101</v>
      </c>
      <c r="N144" s="96">
        <v>1.4401021518346748</v>
      </c>
      <c r="O144" s="96">
        <v>1.5307469865557692</v>
      </c>
      <c r="P144" s="96">
        <v>1.5462785535037256</v>
      </c>
      <c r="Q144" s="96">
        <v>1.4674070777321966</v>
      </c>
      <c r="R144" s="96">
        <v>1.4850102679358861</v>
      </c>
      <c r="S144" s="96">
        <v>1.3863943275787292</v>
      </c>
      <c r="T144" s="96">
        <v>1.3088034258620542</v>
      </c>
      <c r="U144" s="96">
        <v>1.2920604002246401</v>
      </c>
      <c r="V144" s="96">
        <v>1.2260388616564646</v>
      </c>
      <c r="W144" s="96">
        <v>1.2788224059114166</v>
      </c>
      <c r="DA144" s="171" t="s">
        <v>554</v>
      </c>
    </row>
    <row r="145" spans="1:105" ht="11.45" customHeight="1" x14ac:dyDescent="0.25">
      <c r="A145" s="111" t="s">
        <v>111</v>
      </c>
      <c r="B145" s="96">
        <v>1.9404151040106059</v>
      </c>
      <c r="C145" s="96">
        <v>1.9802976338428591</v>
      </c>
      <c r="D145" s="96">
        <v>2.0109270615020347</v>
      </c>
      <c r="E145" s="96">
        <v>1.9883766609752613</v>
      </c>
      <c r="F145" s="96">
        <v>1.8541703368027493</v>
      </c>
      <c r="G145" s="96">
        <v>1.9441926344975717</v>
      </c>
      <c r="H145" s="96">
        <v>1.7825031304215588</v>
      </c>
      <c r="I145" s="96">
        <v>1.659050031045002</v>
      </c>
      <c r="J145" s="96">
        <v>1.5947113011294747</v>
      </c>
      <c r="K145" s="96">
        <v>1.5822765461274695</v>
      </c>
      <c r="L145" s="96">
        <v>1.5302911491362954</v>
      </c>
      <c r="M145" s="96">
        <v>1.492960794163031</v>
      </c>
      <c r="N145" s="96">
        <v>1.4979489265498571</v>
      </c>
      <c r="O145" s="96">
        <v>1.5922348302927058</v>
      </c>
      <c r="P145" s="96">
        <v>1.6083902773265768</v>
      </c>
      <c r="Q145" s="96">
        <v>1.5263506509592051</v>
      </c>
      <c r="R145" s="96">
        <v>1.5446609352927687</v>
      </c>
      <c r="S145" s="96">
        <v>1.4420837383831517</v>
      </c>
      <c r="T145" s="96">
        <v>1.3613761248375043</v>
      </c>
      <c r="U145" s="96">
        <v>1.3439605566093686</v>
      </c>
      <c r="V145" s="96">
        <v>1.2752870304283439</v>
      </c>
      <c r="W145" s="96">
        <v>1.3301908116326648</v>
      </c>
      <c r="DA145" s="171" t="s">
        <v>555</v>
      </c>
    </row>
    <row r="146" spans="1:105" ht="11.45" customHeight="1" x14ac:dyDescent="0.25">
      <c r="A146" s="111" t="s">
        <v>112</v>
      </c>
      <c r="B146" s="96">
        <v>1.8157489050994318</v>
      </c>
      <c r="C146" s="96">
        <v>1.8524741485215821</v>
      </c>
      <c r="D146" s="96">
        <v>1.8780371802033382</v>
      </c>
      <c r="E146" s="96">
        <v>1.8563838939114625</v>
      </c>
      <c r="F146" s="96">
        <v>1.7322322320952648</v>
      </c>
      <c r="G146" s="96">
        <v>1.8110076158400801</v>
      </c>
      <c r="H146" s="96">
        <v>1.6639872415042982</v>
      </c>
      <c r="I146" s="96">
        <v>1.553934802893278</v>
      </c>
      <c r="J146" s="96">
        <v>1.4989009217242197</v>
      </c>
      <c r="K146" s="96">
        <v>1.4900116614300576</v>
      </c>
      <c r="L146" s="96">
        <v>1.4428902347159063</v>
      </c>
      <c r="M146" s="96">
        <v>1.4116055980718227</v>
      </c>
      <c r="N146" s="96">
        <v>1.4190593622699101</v>
      </c>
      <c r="O146" s="96">
        <v>1.5081550310998399</v>
      </c>
      <c r="P146" s="96">
        <v>1.5245120693346559</v>
      </c>
      <c r="Q146" s="96">
        <v>1.4469956033014191</v>
      </c>
      <c r="R146" s="96">
        <v>1.4645391026447303</v>
      </c>
      <c r="S146" s="96">
        <v>1.3674859293421449</v>
      </c>
      <c r="T146" s="96">
        <v>1.2912099859866515</v>
      </c>
      <c r="U146" s="96">
        <v>1.2746731041908743</v>
      </c>
      <c r="V146" s="96">
        <v>1.2104466964308873</v>
      </c>
      <c r="W146" s="96">
        <v>1.2602131262181655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1.4469956033014191</v>
      </c>
      <c r="R147" s="96">
        <v>1.4645391026447301</v>
      </c>
      <c r="S147" s="96">
        <v>1.3674859293421449</v>
      </c>
      <c r="T147" s="96">
        <v>1.2912099859866515</v>
      </c>
      <c r="U147" s="96">
        <v>1.2746731041908741</v>
      </c>
      <c r="V147" s="96">
        <v>1.2104466964308873</v>
      </c>
      <c r="W147" s="96">
        <v>1.2602131262181655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1.4190593622699104</v>
      </c>
      <c r="O148" s="96">
        <v>1.5081550310998399</v>
      </c>
      <c r="P148" s="96">
        <v>1.5245120693346559</v>
      </c>
      <c r="Q148" s="96">
        <v>1.4469956033014191</v>
      </c>
      <c r="R148" s="96">
        <v>1.4645391026447301</v>
      </c>
      <c r="S148" s="96">
        <v>1.3674859293421449</v>
      </c>
      <c r="T148" s="96">
        <v>1.2912099859866515</v>
      </c>
      <c r="U148" s="96">
        <v>1.2746731041908741</v>
      </c>
      <c r="V148" s="96">
        <v>1.2104466964308873</v>
      </c>
      <c r="W148" s="96">
        <v>1.2602131262181655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1.3387641353034183</v>
      </c>
      <c r="M149" s="96">
        <v>1.3097371528501449</v>
      </c>
      <c r="N149" s="96">
        <v>1.3166530165390922</v>
      </c>
      <c r="O149" s="96">
        <v>1.3993191010204702</v>
      </c>
      <c r="P149" s="96">
        <v>1.4144957344342168</v>
      </c>
      <c r="Q149" s="96">
        <v>1.3425732401765744</v>
      </c>
      <c r="R149" s="96">
        <v>1.3588507137940795</v>
      </c>
      <c r="S149" s="96">
        <v>1.2688013777401346</v>
      </c>
      <c r="T149" s="96">
        <v>1.1980298839051406</v>
      </c>
      <c r="U149" s="96">
        <v>1.1826863853317389</v>
      </c>
      <c r="V149" s="96">
        <v>1.123094872977112</v>
      </c>
      <c r="W149" s="96">
        <v>1.1692699109240712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36.504800099740137</v>
      </c>
      <c r="C150" s="130">
        <f t="shared" si="203"/>
        <v>34.915593950031422</v>
      </c>
      <c r="D150" s="130">
        <f t="shared" si="203"/>
        <v>33.101292167015629</v>
      </c>
      <c r="E150" s="130">
        <f t="shared" si="203"/>
        <v>33.842956171482726</v>
      </c>
      <c r="F150" s="130">
        <f t="shared" si="203"/>
        <v>31.166657597146578</v>
      </c>
      <c r="G150" s="130">
        <f t="shared" si="203"/>
        <v>30.108838020030024</v>
      </c>
      <c r="H150" s="130">
        <f t="shared" si="203"/>
        <v>30.85428676443653</v>
      </c>
      <c r="I150" s="130">
        <f t="shared" si="203"/>
        <v>29.674181406832261</v>
      </c>
      <c r="J150" s="130">
        <f t="shared" si="203"/>
        <v>30.150488481195527</v>
      </c>
      <c r="K150" s="130">
        <f t="shared" si="203"/>
        <v>27.458465285156127</v>
      </c>
      <c r="L150" s="130">
        <f t="shared" ref="L150" si="204">IF(L13=0,0,L13/L40)</f>
        <v>26.184777211671914</v>
      </c>
      <c r="M150" s="130">
        <f t="shared" ref="M150:V150" si="205">IF(M13=0,0,M13/M40)</f>
        <v>24.903729058469057</v>
      </c>
      <c r="N150" s="130">
        <f t="shared" si="205"/>
        <v>25.086906729868073</v>
      </c>
      <c r="O150" s="130">
        <f t="shared" si="205"/>
        <v>23.960704566019384</v>
      </c>
      <c r="P150" s="130">
        <f t="shared" si="205"/>
        <v>24.416045969547174</v>
      </c>
      <c r="Q150" s="130">
        <f t="shared" si="205"/>
        <v>20.30253916801729</v>
      </c>
      <c r="R150" s="130">
        <f t="shared" si="205"/>
        <v>20.30694142255118</v>
      </c>
      <c r="S150" s="130">
        <f t="shared" si="205"/>
        <v>20.310895204953074</v>
      </c>
      <c r="T150" s="130">
        <f t="shared" si="205"/>
        <v>20.319648850793715</v>
      </c>
      <c r="U150" s="130">
        <f t="shared" si="205"/>
        <v>20.309934474835135</v>
      </c>
      <c r="V150" s="130">
        <f t="shared" si="205"/>
        <v>10.885826538050274</v>
      </c>
      <c r="W150" s="130">
        <f t="shared" ref="W150" si="206">IF(W13=0,0,W13/W40)</f>
        <v>11.883225098380343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36.504800099740137</v>
      </c>
      <c r="C152" s="97">
        <v>34.915593950031415</v>
      </c>
      <c r="D152" s="97">
        <v>33.101292167015629</v>
      </c>
      <c r="E152" s="97">
        <v>33.842956171482733</v>
      </c>
      <c r="F152" s="97">
        <v>31.166657597146578</v>
      </c>
      <c r="G152" s="97">
        <v>30.108838020030024</v>
      </c>
      <c r="H152" s="97">
        <v>30.854286764436534</v>
      </c>
      <c r="I152" s="97">
        <v>29.674181406832265</v>
      </c>
      <c r="J152" s="97">
        <v>30.150488481195524</v>
      </c>
      <c r="K152" s="97">
        <v>27.458465285156123</v>
      </c>
      <c r="L152" s="97">
        <v>26.184777211671914</v>
      </c>
      <c r="M152" s="97">
        <v>24.903729058469054</v>
      </c>
      <c r="N152" s="97">
        <v>25.086906729868076</v>
      </c>
      <c r="O152" s="97">
        <v>23.96070456601938</v>
      </c>
      <c r="P152" s="97">
        <v>24.416045969547167</v>
      </c>
      <c r="Q152" s="97">
        <v>20.30253916801729</v>
      </c>
      <c r="R152" s="97">
        <v>20.306941422551176</v>
      </c>
      <c r="S152" s="97">
        <v>20.310895204953074</v>
      </c>
      <c r="T152" s="97">
        <v>20.319648850793712</v>
      </c>
      <c r="U152" s="97">
        <v>20.309934474835135</v>
      </c>
      <c r="V152" s="97">
        <v>10.885826538050273</v>
      </c>
      <c r="W152" s="97">
        <v>11.883225098380345</v>
      </c>
      <c r="DA152" s="175" t="s">
        <v>562</v>
      </c>
    </row>
    <row r="153" spans="1:105" ht="11.45" customHeight="1" x14ac:dyDescent="0.25">
      <c r="A153" s="111" t="s">
        <v>112</v>
      </c>
      <c r="B153" s="97">
        <v>36.504800099740137</v>
      </c>
      <c r="C153" s="97">
        <v>34.915593950031415</v>
      </c>
      <c r="D153" s="97">
        <v>33.101292167015629</v>
      </c>
      <c r="E153" s="97">
        <v>33.842956171482733</v>
      </c>
      <c r="F153" s="97">
        <v>31.166657597146578</v>
      </c>
      <c r="G153" s="97">
        <v>30.108838020030031</v>
      </c>
      <c r="H153" s="97">
        <v>30.854286764436537</v>
      </c>
      <c r="I153" s="97">
        <v>29.674181406832261</v>
      </c>
      <c r="J153" s="97">
        <v>30.150488481195527</v>
      </c>
      <c r="K153" s="97">
        <v>27.45846528515612</v>
      </c>
      <c r="L153" s="97">
        <v>26.184777211671914</v>
      </c>
      <c r="M153" s="97">
        <v>24.903729058469054</v>
      </c>
      <c r="N153" s="97">
        <v>25.086906729868076</v>
      </c>
      <c r="O153" s="97">
        <v>23.960704566019377</v>
      </c>
      <c r="P153" s="97">
        <v>24.416045969547167</v>
      </c>
      <c r="Q153" s="97">
        <v>20.302539168017287</v>
      </c>
      <c r="R153" s="97">
        <v>20.30694142255118</v>
      </c>
      <c r="S153" s="97">
        <v>20.310895204953074</v>
      </c>
      <c r="T153" s="97">
        <v>20.319648850793715</v>
      </c>
      <c r="U153" s="97">
        <v>20.309934474835135</v>
      </c>
      <c r="V153" s="97">
        <v>10.885826538050274</v>
      </c>
      <c r="W153" s="97">
        <v>11.883225098380347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20.302539168017287</v>
      </c>
      <c r="R154" s="97">
        <v>20.30694142255118</v>
      </c>
      <c r="S154" s="97">
        <v>20.310895204953077</v>
      </c>
      <c r="T154" s="97">
        <v>20.319648850793715</v>
      </c>
      <c r="U154" s="97">
        <v>20.309934474835135</v>
      </c>
      <c r="V154" s="97">
        <v>10.885826538050274</v>
      </c>
      <c r="W154" s="97">
        <v>11.883225098380347</v>
      </c>
      <c r="DA154" s="175" t="s">
        <v>564</v>
      </c>
    </row>
    <row r="155" spans="1:105" ht="11.45" customHeight="1" x14ac:dyDescent="0.25">
      <c r="A155" s="111" t="s">
        <v>115</v>
      </c>
      <c r="B155" s="97">
        <v>36.504800099740137</v>
      </c>
      <c r="C155" s="97">
        <v>34.915593950031415</v>
      </c>
      <c r="D155" s="97">
        <v>33.101292167015629</v>
      </c>
      <c r="E155" s="97">
        <v>33.842956171482733</v>
      </c>
      <c r="F155" s="97">
        <v>31.166657597146578</v>
      </c>
      <c r="G155" s="97">
        <v>30.108838020030028</v>
      </c>
      <c r="H155" s="97">
        <v>30.854286764436537</v>
      </c>
      <c r="I155" s="97">
        <v>29.674181406832258</v>
      </c>
      <c r="J155" s="97">
        <v>30.150488481195527</v>
      </c>
      <c r="K155" s="97">
        <v>27.458465285156123</v>
      </c>
      <c r="L155" s="97">
        <v>26.184777211671914</v>
      </c>
      <c r="M155" s="97">
        <v>24.903729058469054</v>
      </c>
      <c r="N155" s="97">
        <v>25.086906729868076</v>
      </c>
      <c r="O155" s="97">
        <v>23.96070456601938</v>
      </c>
      <c r="P155" s="97">
        <v>24.416045969547167</v>
      </c>
      <c r="Q155" s="97">
        <v>20.302539168017287</v>
      </c>
      <c r="R155" s="97">
        <v>20.30694142255118</v>
      </c>
      <c r="S155" s="97">
        <v>20.310895204953074</v>
      </c>
      <c r="T155" s="97">
        <v>20.319648850793715</v>
      </c>
      <c r="U155" s="97">
        <v>20.309934474835135</v>
      </c>
      <c r="V155" s="97">
        <v>10.885826538050274</v>
      </c>
      <c r="W155" s="97">
        <v>11.883225098380347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2.6289821438636527</v>
      </c>
      <c r="C156" s="32">
        <f t="shared" si="207"/>
        <v>2.7422473965423539</v>
      </c>
      <c r="D156" s="32">
        <f t="shared" si="207"/>
        <v>2.7607163197158471</v>
      </c>
      <c r="E156" s="32">
        <f t="shared" si="207"/>
        <v>2.7673533865949751</v>
      </c>
      <c r="F156" s="32">
        <f t="shared" si="207"/>
        <v>3.0402030536860312</v>
      </c>
      <c r="G156" s="32">
        <f t="shared" si="207"/>
        <v>3.0809835022455432</v>
      </c>
      <c r="H156" s="32">
        <f t="shared" si="207"/>
        <v>3.0999911830737501</v>
      </c>
      <c r="I156" s="32">
        <f t="shared" si="207"/>
        <v>3.1188376171898287</v>
      </c>
      <c r="J156" s="32">
        <f t="shared" si="207"/>
        <v>3.1393483095531707</v>
      </c>
      <c r="K156" s="32">
        <f t="shared" si="207"/>
        <v>3.1173732044022646</v>
      </c>
      <c r="L156" s="32">
        <f t="shared" ref="L156" si="208">IF(L19=0,0,L19/L46)</f>
        <v>3.1745135456736917</v>
      </c>
      <c r="M156" s="32">
        <f t="shared" ref="M156:V156" si="209">IF(M19=0,0,M19/M46)</f>
        <v>3.2449766751581643</v>
      </c>
      <c r="N156" s="32">
        <f t="shared" si="209"/>
        <v>3.311023172965438</v>
      </c>
      <c r="O156" s="32">
        <f t="shared" si="209"/>
        <v>3.5067685026870996</v>
      </c>
      <c r="P156" s="32">
        <f t="shared" si="209"/>
        <v>3.4504160290317962</v>
      </c>
      <c r="Q156" s="32">
        <f t="shared" si="209"/>
        <v>3.5735994254182963</v>
      </c>
      <c r="R156" s="32">
        <f t="shared" si="209"/>
        <v>3.5793737571492836</v>
      </c>
      <c r="S156" s="32">
        <f t="shared" si="209"/>
        <v>3.7843712197007964</v>
      </c>
      <c r="T156" s="32">
        <f t="shared" si="209"/>
        <v>3.4789100252413308</v>
      </c>
      <c r="U156" s="32">
        <f t="shared" si="209"/>
        <v>3.5712522817375558</v>
      </c>
      <c r="V156" s="32">
        <f t="shared" si="209"/>
        <v>3.569660337654263</v>
      </c>
      <c r="W156" s="32">
        <f t="shared" ref="W156" si="210">IF(W19=0,0,W19/W46)</f>
        <v>3.6937880204744857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0.18800295873245246</v>
      </c>
      <c r="C157" s="141">
        <f t="shared" si="211"/>
        <v>0.18921852181939078</v>
      </c>
      <c r="D157" s="141">
        <f t="shared" si="211"/>
        <v>0.19363406850552986</v>
      </c>
      <c r="E157" s="141">
        <f t="shared" si="211"/>
        <v>0.19495732045858011</v>
      </c>
      <c r="F157" s="141">
        <f t="shared" si="211"/>
        <v>0.19783940330857952</v>
      </c>
      <c r="G157" s="141">
        <f t="shared" si="211"/>
        <v>0.20274773641663363</v>
      </c>
      <c r="H157" s="141">
        <f t="shared" si="211"/>
        <v>0.2047871232620721</v>
      </c>
      <c r="I157" s="141">
        <f t="shared" si="211"/>
        <v>0.20818146757859385</v>
      </c>
      <c r="J157" s="141">
        <f t="shared" si="211"/>
        <v>0.21171409168556146</v>
      </c>
      <c r="K157" s="141">
        <f t="shared" si="211"/>
        <v>0.21222335168667655</v>
      </c>
      <c r="L157" s="141">
        <f t="shared" ref="L157" si="212">IF(L20=0,0,L20/L47)</f>
        <v>0.21498248517973365</v>
      </c>
      <c r="M157" s="141">
        <f t="shared" ref="M157:V157" si="213">IF(M20=0,0,M20/M47)</f>
        <v>0.21775273934732711</v>
      </c>
      <c r="N157" s="141">
        <f t="shared" si="213"/>
        <v>0.21999474976796285</v>
      </c>
      <c r="O157" s="141">
        <f t="shared" si="213"/>
        <v>0.22229927458187018</v>
      </c>
      <c r="P157" s="141">
        <f t="shared" si="213"/>
        <v>0.22301667591031502</v>
      </c>
      <c r="Q157" s="141">
        <f t="shared" si="213"/>
        <v>0.22512331493837001</v>
      </c>
      <c r="R157" s="141">
        <f t="shared" si="213"/>
        <v>0.22491180255658513</v>
      </c>
      <c r="S157" s="141">
        <f t="shared" si="213"/>
        <v>0.22426737950750952</v>
      </c>
      <c r="T157" s="141">
        <f t="shared" si="213"/>
        <v>0.22394145582897454</v>
      </c>
      <c r="U157" s="141">
        <f t="shared" si="213"/>
        <v>0.22382442407797262</v>
      </c>
      <c r="V157" s="141">
        <f t="shared" si="213"/>
        <v>0.22588867566004947</v>
      </c>
      <c r="W157" s="141">
        <f t="shared" ref="W157" si="214">IF(W20=0,0,W20/W47)</f>
        <v>0.2264812376357464</v>
      </c>
      <c r="DA157" s="174" t="s">
        <v>567</v>
      </c>
    </row>
    <row r="158" spans="1:105" ht="11.45" customHeight="1" x14ac:dyDescent="0.25">
      <c r="A158" s="111" t="s">
        <v>110</v>
      </c>
      <c r="B158" s="96">
        <v>0.16423878087803639</v>
      </c>
      <c r="C158" s="96">
        <v>0.16550203597759935</v>
      </c>
      <c r="D158" s="96">
        <v>0.16556389074309374</v>
      </c>
      <c r="E158" s="96">
        <v>0.16545392156987049</v>
      </c>
      <c r="F158" s="96">
        <v>0.16610429308495925</v>
      </c>
      <c r="G158" s="96">
        <v>0.16799003500642345</v>
      </c>
      <c r="H158" s="96">
        <v>0.16826818291291742</v>
      </c>
      <c r="I158" s="96">
        <v>0.16947126822677766</v>
      </c>
      <c r="J158" s="96">
        <v>0.17136385038604035</v>
      </c>
      <c r="K158" s="96">
        <v>0.16877839134817341</v>
      </c>
      <c r="L158" s="96">
        <v>0.17074891728032984</v>
      </c>
      <c r="M158" s="96">
        <v>0.17179122287504814</v>
      </c>
      <c r="N158" s="96">
        <v>0.17334406018987356</v>
      </c>
      <c r="O158" s="96">
        <v>0.175334032872134</v>
      </c>
      <c r="P158" s="96">
        <v>0.17649190176620416</v>
      </c>
      <c r="Q158" s="96">
        <v>0.17993108902943322</v>
      </c>
      <c r="R158" s="96">
        <v>0.17922255379332092</v>
      </c>
      <c r="S158" s="96">
        <v>0.17843567714907888</v>
      </c>
      <c r="T158" s="96">
        <v>0.17764169084036271</v>
      </c>
      <c r="U158" s="96">
        <v>0.17707794787438352</v>
      </c>
      <c r="V158" s="96">
        <v>0.17951919418430853</v>
      </c>
      <c r="W158" s="96">
        <v>0.17954459113407212</v>
      </c>
      <c r="DA158" s="171" t="s">
        <v>568</v>
      </c>
    </row>
    <row r="159" spans="1:105" ht="11.45" customHeight="1" x14ac:dyDescent="0.25">
      <c r="A159" s="111" t="s">
        <v>111</v>
      </c>
      <c r="B159" s="96">
        <v>0.22561360724736754</v>
      </c>
      <c r="C159" s="96">
        <v>0.2267572821094406</v>
      </c>
      <c r="D159" s="96">
        <v>0.22788808825215018</v>
      </c>
      <c r="E159" s="96">
        <v>0.22785492030163576</v>
      </c>
      <c r="F159" s="96">
        <v>0.22908849721548966</v>
      </c>
      <c r="G159" s="96">
        <v>0.23020113337047204</v>
      </c>
      <c r="H159" s="96">
        <v>0.229398688627687</v>
      </c>
      <c r="I159" s="96">
        <v>0.23036671313133686</v>
      </c>
      <c r="J159" s="96">
        <v>0.23139944965626258</v>
      </c>
      <c r="K159" s="96">
        <v>0.23251275721092629</v>
      </c>
      <c r="L159" s="96">
        <v>0.2335316612463077</v>
      </c>
      <c r="M159" s="96">
        <v>0.23462108321526601</v>
      </c>
      <c r="N159" s="96">
        <v>0.23580521729105042</v>
      </c>
      <c r="O159" s="96">
        <v>0.23691829995796779</v>
      </c>
      <c r="P159" s="96">
        <v>0.23675372328527089</v>
      </c>
      <c r="Q159" s="96">
        <v>0.23711995703479924</v>
      </c>
      <c r="R159" s="96">
        <v>0.2363047900904639</v>
      </c>
      <c r="S159" s="96">
        <v>0.23550326957491013</v>
      </c>
      <c r="T159" s="96">
        <v>0.23469051056068693</v>
      </c>
      <c r="U159" s="96">
        <v>0.23418037425448346</v>
      </c>
      <c r="V159" s="96">
        <v>0.23533928493438952</v>
      </c>
      <c r="W159" s="96">
        <v>0.23560866016334414</v>
      </c>
      <c r="DA159" s="171" t="s">
        <v>569</v>
      </c>
    </row>
    <row r="160" spans="1:105" ht="11.45" customHeight="1" x14ac:dyDescent="0.25">
      <c r="A160" s="111" t="s">
        <v>112</v>
      </c>
      <c r="B160" s="96">
        <v>0.1839018745226749</v>
      </c>
      <c r="C160" s="96">
        <v>0.18390524368046524</v>
      </c>
      <c r="D160" s="96">
        <v>0.18389355026473603</v>
      </c>
      <c r="E160" s="96">
        <v>0.18294278501417022</v>
      </c>
      <c r="F160" s="96">
        <v>0.1830088791600708</v>
      </c>
      <c r="G160" s="96">
        <v>0.18297356008021254</v>
      </c>
      <c r="H160" s="96">
        <v>0.18141943677703504</v>
      </c>
      <c r="I160" s="96">
        <v>0.18126944792433219</v>
      </c>
      <c r="J160" s="96">
        <v>0.18116704920398893</v>
      </c>
      <c r="K160" s="96">
        <v>0.18112386540355793</v>
      </c>
      <c r="L160" s="96">
        <v>0.1810033710297082</v>
      </c>
      <c r="M160" s="96">
        <v>0.1809338951950446</v>
      </c>
      <c r="N160" s="96">
        <v>0.18093321905535856</v>
      </c>
      <c r="O160" s="96">
        <v>0.18087373658989492</v>
      </c>
      <c r="P160" s="96">
        <v>0.1801998061900516</v>
      </c>
      <c r="Q160" s="96">
        <v>0.17993108902943322</v>
      </c>
      <c r="R160" s="96">
        <v>0.17949328396113812</v>
      </c>
      <c r="S160" s="96">
        <v>0.17870521867606132</v>
      </c>
      <c r="T160" s="96">
        <v>0.17791003298678698</v>
      </c>
      <c r="U160" s="96">
        <v>0.1773454384414471</v>
      </c>
      <c r="V160" s="96">
        <v>0.17804450406767286</v>
      </c>
      <c r="W160" s="96">
        <v>0.17806969238999146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0.17993108902943322</v>
      </c>
      <c r="R161" s="96">
        <v>0.17985811072028698</v>
      </c>
      <c r="S161" s="96">
        <v>0.17979344083892398</v>
      </c>
      <c r="T161" s="96">
        <v>0.17971810627828477</v>
      </c>
      <c r="U161" s="96">
        <v>0.17987309220324338</v>
      </c>
      <c r="V161" s="96">
        <v>0.18131324703784449</v>
      </c>
      <c r="W161" s="96">
        <v>0.18207308739434122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0.17998736961172906</v>
      </c>
      <c r="O162" s="96">
        <v>0.17995555979502512</v>
      </c>
      <c r="P162" s="96">
        <v>0.17995292379809924</v>
      </c>
      <c r="Q162" s="96">
        <v>0.17993108902943322</v>
      </c>
      <c r="R162" s="96">
        <v>0.17822158408417235</v>
      </c>
      <c r="S162" s="96">
        <v>0.17720821582670607</v>
      </c>
      <c r="T162" s="96">
        <v>0.1768934721677296</v>
      </c>
      <c r="U162" s="96">
        <v>0.17692024853420152</v>
      </c>
      <c r="V162" s="96">
        <v>0.17741810392608201</v>
      </c>
      <c r="W162" s="96">
        <v>0.17695458739987682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10.662529552549838</v>
      </c>
      <c r="C163" s="130">
        <f t="shared" si="215"/>
        <v>10.611590697112076</v>
      </c>
      <c r="D163" s="130">
        <f t="shared" si="215"/>
        <v>10.528666135243819</v>
      </c>
      <c r="E163" s="130">
        <f t="shared" si="215"/>
        <v>10.309450201132332</v>
      </c>
      <c r="F163" s="130">
        <f t="shared" si="215"/>
        <v>9.9684187278663039</v>
      </c>
      <c r="G163" s="130">
        <f t="shared" si="215"/>
        <v>9.8514625754868046</v>
      </c>
      <c r="H163" s="130">
        <f t="shared" si="215"/>
        <v>9.9906840610039218</v>
      </c>
      <c r="I163" s="130">
        <f t="shared" si="215"/>
        <v>9.7934002336916262</v>
      </c>
      <c r="J163" s="130">
        <f t="shared" si="215"/>
        <v>9.7132323859243481</v>
      </c>
      <c r="K163" s="130">
        <f t="shared" si="215"/>
        <v>9.4762807503157696</v>
      </c>
      <c r="L163" s="130">
        <f t="shared" ref="L163" si="216">IF(L26=0,0,L26/L53)</f>
        <v>9.5167066386412387</v>
      </c>
      <c r="M163" s="130">
        <f t="shared" ref="M163:V163" si="217">IF(M26=0,0,M26/M53)</f>
        <v>9.4091943381808729</v>
      </c>
      <c r="N163" s="130">
        <f t="shared" si="217"/>
        <v>9.5090091013662743</v>
      </c>
      <c r="O163" s="130">
        <f t="shared" si="217"/>
        <v>9.7082647014204362</v>
      </c>
      <c r="P163" s="130">
        <f t="shared" si="217"/>
        <v>9.5871637046636931</v>
      </c>
      <c r="Q163" s="130">
        <f t="shared" si="217"/>
        <v>9.5818047140309268</v>
      </c>
      <c r="R163" s="130">
        <f t="shared" si="217"/>
        <v>9.7463937043708242</v>
      </c>
      <c r="S163" s="130">
        <f t="shared" si="217"/>
        <v>10.000508643898346</v>
      </c>
      <c r="T163" s="130">
        <f t="shared" si="217"/>
        <v>9.7848078963010003</v>
      </c>
      <c r="U163" s="130">
        <f t="shared" si="217"/>
        <v>10.233943219537631</v>
      </c>
      <c r="V163" s="130">
        <f t="shared" si="217"/>
        <v>10.084850426640065</v>
      </c>
      <c r="W163" s="130">
        <f t="shared" ref="W163" si="218">IF(W26=0,0,W26/W53)</f>
        <v>10.225367664620149</v>
      </c>
      <c r="DA163" s="176" t="s">
        <v>573</v>
      </c>
    </row>
    <row r="164" spans="1:105" ht="11.45" customHeight="1" x14ac:dyDescent="0.25">
      <c r="A164" s="128" t="s">
        <v>27</v>
      </c>
      <c r="B164" s="97">
        <v>9.7099832011375771</v>
      </c>
      <c r="C164" s="97">
        <v>9.6107903726216204</v>
      </c>
      <c r="D164" s="97">
        <v>9.4728211391317227</v>
      </c>
      <c r="E164" s="97">
        <v>9.2678138009860174</v>
      </c>
      <c r="F164" s="97">
        <v>8.8832678948958019</v>
      </c>
      <c r="G164" s="97">
        <v>8.7507179781734639</v>
      </c>
      <c r="H164" s="97">
        <v>8.6529780107761756</v>
      </c>
      <c r="I164" s="97">
        <v>8.6085078534031414</v>
      </c>
      <c r="J164" s="97">
        <v>8.6355667627281463</v>
      </c>
      <c r="K164" s="97">
        <v>8.536156913460502</v>
      </c>
      <c r="L164" s="97">
        <v>8.3776238027307919</v>
      </c>
      <c r="M164" s="97">
        <v>8.3002497456294506</v>
      </c>
      <c r="N164" s="97">
        <v>8.3275329778276728</v>
      </c>
      <c r="O164" s="97">
        <v>8.6059878184781677</v>
      </c>
      <c r="P164" s="97">
        <v>8.4125892390736556</v>
      </c>
      <c r="Q164" s="97">
        <v>8.4877158842130864</v>
      </c>
      <c r="R164" s="97">
        <v>8.5946643024099298</v>
      </c>
      <c r="S164" s="97">
        <v>8.8535182180262577</v>
      </c>
      <c r="T164" s="97">
        <v>8.680896155010597</v>
      </c>
      <c r="U164" s="97">
        <v>9.1097458597267806</v>
      </c>
      <c r="V164" s="97">
        <v>9.0570550800965552</v>
      </c>
      <c r="W164" s="97">
        <v>9.2034975066602911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7729.2640340140742</v>
      </c>
      <c r="C167" s="54">
        <f t="shared" si="219"/>
        <v>7095.5054024631681</v>
      </c>
      <c r="D167" s="54">
        <f t="shared" si="219"/>
        <v>6920.8516148320423</v>
      </c>
      <c r="E167" s="54">
        <f t="shared" si="219"/>
        <v>7067.7355662438304</v>
      </c>
      <c r="F167" s="54">
        <f t="shared" si="219"/>
        <v>7575.5748969759206</v>
      </c>
      <c r="G167" s="54">
        <f t="shared" si="219"/>
        <v>7260.6474044422193</v>
      </c>
      <c r="H167" s="54">
        <f t="shared" si="219"/>
        <v>7400.5015274124144</v>
      </c>
      <c r="I167" s="54">
        <f t="shared" si="219"/>
        <v>7428.9477631620612</v>
      </c>
      <c r="J167" s="54">
        <f t="shared" si="219"/>
        <v>7328.1099233149098</v>
      </c>
      <c r="K167" s="54">
        <f t="shared" si="219"/>
        <v>7544.8743376776292</v>
      </c>
      <c r="L167" s="54">
        <f t="shared" si="219"/>
        <v>7657.1243319761688</v>
      </c>
      <c r="M167" s="54">
        <f>IF(M30=0,0,M30*1000000/M57)</f>
        <v>7483.6673629642519</v>
      </c>
      <c r="N167" s="54">
        <f t="shared" ref="N167:V167" si="220">IF(N30=0,0,N30*1000000/N57)</f>
        <v>7219.2884519216695</v>
      </c>
      <c r="O167" s="54">
        <f t="shared" si="220"/>
        <v>6827.7711012585478</v>
      </c>
      <c r="P167" s="54">
        <f t="shared" si="220"/>
        <v>6667.8369723957439</v>
      </c>
      <c r="Q167" s="54">
        <f t="shared" si="220"/>
        <v>6827.6789440601406</v>
      </c>
      <c r="R167" s="54">
        <f t="shared" si="220"/>
        <v>6861.6637972142835</v>
      </c>
      <c r="S167" s="54">
        <f t="shared" si="220"/>
        <v>7263.6111872069496</v>
      </c>
      <c r="T167" s="54">
        <f t="shared" si="220"/>
        <v>7467.9863718108072</v>
      </c>
      <c r="U167" s="54">
        <f t="shared" si="220"/>
        <v>7448.4489024089062</v>
      </c>
      <c r="V167" s="54">
        <f t="shared" si="220"/>
        <v>7322.983742442897</v>
      </c>
      <c r="W167" s="54">
        <f t="shared" ref="W167:W191" si="221">IF(W30=0,0,W30*1000000/W57)</f>
        <v>7139.2169821406096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6769.3057592886153</v>
      </c>
      <c r="C168" s="28">
        <f t="shared" si="219"/>
        <v>6149.0488013342374</v>
      </c>
      <c r="D168" s="28">
        <f t="shared" si="219"/>
        <v>5970.7427365516041</v>
      </c>
      <c r="E168" s="28">
        <f t="shared" si="219"/>
        <v>6104.5062178845728</v>
      </c>
      <c r="F168" s="28">
        <f t="shared" si="219"/>
        <v>6651.907302610377</v>
      </c>
      <c r="G168" s="28">
        <f t="shared" si="219"/>
        <v>6311.8123460930819</v>
      </c>
      <c r="H168" s="28">
        <f t="shared" si="219"/>
        <v>6486.3879491588987</v>
      </c>
      <c r="I168" s="28">
        <f t="shared" si="219"/>
        <v>6570.6152674473187</v>
      </c>
      <c r="J168" s="28">
        <f t="shared" si="219"/>
        <v>6508.4844666453728</v>
      </c>
      <c r="K168" s="28">
        <f t="shared" si="219"/>
        <v>6698.8213305623649</v>
      </c>
      <c r="L168" s="28">
        <f t="shared" si="219"/>
        <v>6817.8716895074613</v>
      </c>
      <c r="M168" s="28">
        <f t="shared" ref="M168:M192" si="222">IF(M31=0,0,M31*1000000/M58)</f>
        <v>6613.0361087726696</v>
      </c>
      <c r="N168" s="28">
        <f t="shared" si="219"/>
        <v>6358.6284890514635</v>
      </c>
      <c r="O168" s="28">
        <f t="shared" si="219"/>
        <v>5901.8993624861678</v>
      </c>
      <c r="P168" s="28">
        <f t="shared" si="219"/>
        <v>5764.2523840172571</v>
      </c>
      <c r="Q168" s="28">
        <f t="shared" si="219"/>
        <v>5958.6582093856341</v>
      </c>
      <c r="R168" s="28">
        <f t="shared" si="219"/>
        <v>5982.6246598893586</v>
      </c>
      <c r="S168" s="28">
        <f t="shared" si="219"/>
        <v>6381.2638063361983</v>
      </c>
      <c r="T168" s="28">
        <f t="shared" si="219"/>
        <v>6651.6004796728839</v>
      </c>
      <c r="U168" s="28">
        <f t="shared" si="219"/>
        <v>6617.7691422841326</v>
      </c>
      <c r="V168" s="28">
        <f t="shared" si="219"/>
        <v>6507.4945713369689</v>
      </c>
      <c r="W168" s="28">
        <f t="shared" si="221"/>
        <v>6276.5658492658013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2708.3084637226029</v>
      </c>
      <c r="C169" s="137">
        <f t="shared" si="219"/>
        <v>2416.8957519330306</v>
      </c>
      <c r="D169" s="137">
        <f t="shared" si="219"/>
        <v>2123.5101293649859</v>
      </c>
      <c r="E169" s="137">
        <f t="shared" si="219"/>
        <v>2010.6820831544546</v>
      </c>
      <c r="F169" s="137">
        <f t="shared" si="219"/>
        <v>1934.5708239800795</v>
      </c>
      <c r="G169" s="137">
        <f t="shared" si="219"/>
        <v>1645.8301439438605</v>
      </c>
      <c r="H169" s="137">
        <f t="shared" si="219"/>
        <v>1600.881345984413</v>
      </c>
      <c r="I169" s="137">
        <f t="shared" si="219"/>
        <v>1529.3950558982272</v>
      </c>
      <c r="J169" s="137">
        <f t="shared" si="219"/>
        <v>1299.0144164847002</v>
      </c>
      <c r="K169" s="137">
        <f t="shared" si="219"/>
        <v>1272.9960358581498</v>
      </c>
      <c r="L169" s="137">
        <f t="shared" si="219"/>
        <v>1283.5241359317522</v>
      </c>
      <c r="M169" s="137">
        <f t="shared" si="222"/>
        <v>1180.1110754337767</v>
      </c>
      <c r="N169" s="137">
        <f t="shared" si="219"/>
        <v>1132.3291458970918</v>
      </c>
      <c r="O169" s="137">
        <f t="shared" si="219"/>
        <v>1048.4285227120661</v>
      </c>
      <c r="P169" s="137">
        <f t="shared" si="219"/>
        <v>1021.4018091479799</v>
      </c>
      <c r="Q169" s="137">
        <f t="shared" si="219"/>
        <v>1013.6992794842624</v>
      </c>
      <c r="R169" s="137">
        <f t="shared" si="219"/>
        <v>1031.4841075416084</v>
      </c>
      <c r="S169" s="137">
        <f t="shared" si="219"/>
        <v>942.45443735995889</v>
      </c>
      <c r="T169" s="137">
        <f t="shared" si="219"/>
        <v>872.540698691236</v>
      </c>
      <c r="U169" s="137">
        <f t="shared" si="219"/>
        <v>897.12847583541361</v>
      </c>
      <c r="V169" s="137">
        <f t="shared" si="219"/>
        <v>779.13116002917639</v>
      </c>
      <c r="W169" s="137">
        <f t="shared" si="221"/>
        <v>786.3611184794255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6956.1868734689442</v>
      </c>
      <c r="C170" s="110">
        <f t="shared" si="219"/>
        <v>6295.994825115652</v>
      </c>
      <c r="D170" s="110">
        <f t="shared" si="219"/>
        <v>6143.7220628606183</v>
      </c>
      <c r="E170" s="110">
        <f t="shared" si="219"/>
        <v>6286.8595725440418</v>
      </c>
      <c r="F170" s="110">
        <f t="shared" si="219"/>
        <v>6864.6144849949451</v>
      </c>
      <c r="G170" s="110">
        <f t="shared" si="219"/>
        <v>6611.0645364544962</v>
      </c>
      <c r="H170" s="110">
        <f t="shared" si="219"/>
        <v>6820.6783886363819</v>
      </c>
      <c r="I170" s="110">
        <f t="shared" si="219"/>
        <v>6944.3553537292983</v>
      </c>
      <c r="J170" s="110">
        <f t="shared" si="219"/>
        <v>6946.3002987689542</v>
      </c>
      <c r="K170" s="110">
        <f t="shared" si="219"/>
        <v>7212.8374297915407</v>
      </c>
      <c r="L170" s="110">
        <f t="shared" si="219"/>
        <v>7362.5146310098671</v>
      </c>
      <c r="M170" s="110">
        <f t="shared" si="222"/>
        <v>7169.333212035619</v>
      </c>
      <c r="N170" s="110">
        <f t="shared" si="219"/>
        <v>6904.2191323861989</v>
      </c>
      <c r="O170" s="110">
        <f t="shared" si="219"/>
        <v>6413.1747742075659</v>
      </c>
      <c r="P170" s="110">
        <f t="shared" si="219"/>
        <v>6267.0586853169325</v>
      </c>
      <c r="Q170" s="110">
        <f t="shared" si="219"/>
        <v>6487.972575919971</v>
      </c>
      <c r="R170" s="110">
        <f t="shared" si="219"/>
        <v>6518.2555863605958</v>
      </c>
      <c r="S170" s="110">
        <f t="shared" si="219"/>
        <v>6983.2763130995436</v>
      </c>
      <c r="T170" s="110">
        <f t="shared" si="219"/>
        <v>7298.2034189512251</v>
      </c>
      <c r="U170" s="110">
        <f t="shared" si="219"/>
        <v>7255.3395276595384</v>
      </c>
      <c r="V170" s="110">
        <f t="shared" si="219"/>
        <v>7151.7537509044432</v>
      </c>
      <c r="W170" s="110">
        <f t="shared" si="221"/>
        <v>6894.4260373477455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6803.8047549028506</v>
      </c>
      <c r="C171" s="84">
        <f t="shared" si="219"/>
        <v>5886.7971651372382</v>
      </c>
      <c r="D171" s="84">
        <f t="shared" si="219"/>
        <v>5731.3903326527052</v>
      </c>
      <c r="E171" s="84">
        <f t="shared" si="219"/>
        <v>5597.6322481926163</v>
      </c>
      <c r="F171" s="84">
        <f t="shared" si="219"/>
        <v>5811.4550499623647</v>
      </c>
      <c r="G171" s="84">
        <f t="shared" si="219"/>
        <v>5565.8849755401279</v>
      </c>
      <c r="H171" s="84">
        <f t="shared" si="219"/>
        <v>5545.5628738767</v>
      </c>
      <c r="I171" s="84">
        <f t="shared" si="219"/>
        <v>5303.1005448472797</v>
      </c>
      <c r="J171" s="84">
        <f t="shared" si="219"/>
        <v>4997.808680913884</v>
      </c>
      <c r="K171" s="84">
        <f t="shared" si="219"/>
        <v>5060.7451515807352</v>
      </c>
      <c r="L171" s="84">
        <f t="shared" si="219"/>
        <v>4884.5527168388908</v>
      </c>
      <c r="M171" s="84">
        <f t="shared" si="222"/>
        <v>4552.7897712283848</v>
      </c>
      <c r="N171" s="84">
        <f t="shared" si="219"/>
        <v>4380.04686620958</v>
      </c>
      <c r="O171" s="84">
        <f t="shared" si="219"/>
        <v>4237.6307075838831</v>
      </c>
      <c r="P171" s="84">
        <f t="shared" si="219"/>
        <v>4112.0429888575291</v>
      </c>
      <c r="Q171" s="84">
        <f t="shared" si="219"/>
        <v>4268.5868167880308</v>
      </c>
      <c r="R171" s="84">
        <f t="shared" si="219"/>
        <v>4200.584567989883</v>
      </c>
      <c r="S171" s="84">
        <f t="shared" si="219"/>
        <v>4493.0097678294487</v>
      </c>
      <c r="T171" s="84">
        <f t="shared" si="219"/>
        <v>4680.9849457260052</v>
      </c>
      <c r="U171" s="84">
        <f t="shared" si="219"/>
        <v>4737.4764061640308</v>
      </c>
      <c r="V171" s="84">
        <f t="shared" si="219"/>
        <v>4578.3110913195796</v>
      </c>
      <c r="W171" s="84">
        <f t="shared" si="221"/>
        <v>4926.9822287458774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7198.6131685289583</v>
      </c>
      <c r="C172" s="84">
        <f t="shared" si="219"/>
        <v>8059.1180864162025</v>
      </c>
      <c r="D172" s="84">
        <f t="shared" si="219"/>
        <v>7789.8170068161689</v>
      </c>
      <c r="E172" s="84">
        <f t="shared" si="219"/>
        <v>9053.9466173188212</v>
      </c>
      <c r="F172" s="84">
        <f t="shared" si="219"/>
        <v>10793.333380174225</v>
      </c>
      <c r="G172" s="84">
        <f t="shared" si="219"/>
        <v>11237.979798594126</v>
      </c>
      <c r="H172" s="84">
        <f t="shared" si="219"/>
        <v>11808.434618543562</v>
      </c>
      <c r="I172" s="84">
        <f t="shared" si="219"/>
        <v>12577.935091579275</v>
      </c>
      <c r="J172" s="84">
        <f t="shared" si="219"/>
        <v>12677.532658853999</v>
      </c>
      <c r="K172" s="84">
        <f t="shared" si="219"/>
        <v>12894.794155439638</v>
      </c>
      <c r="L172" s="84">
        <f t="shared" si="219"/>
        <v>12897.993904504045</v>
      </c>
      <c r="M172" s="84">
        <f t="shared" si="222"/>
        <v>12616.611585108925</v>
      </c>
      <c r="N172" s="84">
        <f t="shared" si="219"/>
        <v>11969.644958282999</v>
      </c>
      <c r="O172" s="84">
        <f t="shared" si="219"/>
        <v>10474.901256205605</v>
      </c>
      <c r="P172" s="84">
        <f t="shared" si="219"/>
        <v>10087.981543795257</v>
      </c>
      <c r="Q172" s="84">
        <f t="shared" si="219"/>
        <v>10348.16424990415</v>
      </c>
      <c r="R172" s="84">
        <f t="shared" si="219"/>
        <v>10053.549812832833</v>
      </c>
      <c r="S172" s="84">
        <f t="shared" si="219"/>
        <v>10668.602421832968</v>
      </c>
      <c r="T172" s="84">
        <f t="shared" si="219"/>
        <v>11058.94630189998</v>
      </c>
      <c r="U172" s="84">
        <f t="shared" si="219"/>
        <v>10838.05726027922</v>
      </c>
      <c r="V172" s="84">
        <f t="shared" si="219"/>
        <v>10868.582822049257</v>
      </c>
      <c r="W172" s="84">
        <f t="shared" si="221"/>
        <v>9571.7701625851041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8487.6555986232925</v>
      </c>
      <c r="C173" s="84">
        <f t="shared" si="219"/>
        <v>7568.2270598172045</v>
      </c>
      <c r="D173" s="84">
        <f t="shared" si="219"/>
        <v>7084.6201705081867</v>
      </c>
      <c r="E173" s="84">
        <f t="shared" si="219"/>
        <v>7249.8569527360523</v>
      </c>
      <c r="F173" s="84">
        <f t="shared" si="219"/>
        <v>8043.765689011293</v>
      </c>
      <c r="G173" s="84">
        <f t="shared" si="219"/>
        <v>8008.8200569301271</v>
      </c>
      <c r="H173" s="84">
        <f t="shared" si="219"/>
        <v>8234.4629831531638</v>
      </c>
      <c r="I173" s="84">
        <f t="shared" si="219"/>
        <v>8307.2290425282918</v>
      </c>
      <c r="J173" s="84">
        <f t="shared" si="219"/>
        <v>8188.7330053800433</v>
      </c>
      <c r="K173" s="84">
        <f t="shared" si="219"/>
        <v>8209.087678006319</v>
      </c>
      <c r="L173" s="84">
        <f t="shared" si="219"/>
        <v>8758.2917429330137</v>
      </c>
      <c r="M173" s="84">
        <f t="shared" si="222"/>
        <v>8500.706947397879</v>
      </c>
      <c r="N173" s="84">
        <f t="shared" si="219"/>
        <v>7951.5171752594888</v>
      </c>
      <c r="O173" s="84">
        <f t="shared" si="219"/>
        <v>7285.9358899054669</v>
      </c>
      <c r="P173" s="84">
        <f t="shared" si="219"/>
        <v>7041.0621236920106</v>
      </c>
      <c r="Q173" s="84">
        <f t="shared" si="219"/>
        <v>7269.4922331793896</v>
      </c>
      <c r="R173" s="84">
        <f t="shared" si="219"/>
        <v>7814.2179919242681</v>
      </c>
      <c r="S173" s="84">
        <f t="shared" si="219"/>
        <v>8639.7221709328969</v>
      </c>
      <c r="T173" s="84">
        <f t="shared" si="219"/>
        <v>8850.7119659602304</v>
      </c>
      <c r="U173" s="84">
        <f t="shared" si="219"/>
        <v>8776.3576899802138</v>
      </c>
      <c r="V173" s="84">
        <f t="shared" si="219"/>
        <v>8503.375155330501</v>
      </c>
      <c r="W173" s="84">
        <f t="shared" si="221"/>
        <v>8334.7894155483064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8070.8022348890936</v>
      </c>
      <c r="R174" s="84">
        <f t="shared" si="219"/>
        <v>7841.0247787409853</v>
      </c>
      <c r="S174" s="84">
        <f t="shared" si="219"/>
        <v>8756.9301633000468</v>
      </c>
      <c r="T174" s="84">
        <f t="shared" si="219"/>
        <v>9061.3962454955417</v>
      </c>
      <c r="U174" s="84">
        <f t="shared" si="219"/>
        <v>9076.032347576107</v>
      </c>
      <c r="V174" s="84">
        <f t="shared" si="219"/>
        <v>8647.8050509568129</v>
      </c>
      <c r="W174" s="84">
        <f t="shared" si="221"/>
        <v>8445.0788730806453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8913.3719720131248</v>
      </c>
      <c r="O175" s="84">
        <f t="shared" si="219"/>
        <v>8290.5875209107744</v>
      </c>
      <c r="P175" s="84">
        <f t="shared" si="219"/>
        <v>8163.0119006415789</v>
      </c>
      <c r="Q175" s="84">
        <f t="shared" si="219"/>
        <v>8685.8360684641339</v>
      </c>
      <c r="R175" s="84">
        <f t="shared" si="219"/>
        <v>9188.6416654463155</v>
      </c>
      <c r="S175" s="84">
        <f t="shared" si="219"/>
        <v>10056.722140006545</v>
      </c>
      <c r="T175" s="84">
        <f t="shared" si="219"/>
        <v>10198.252548694931</v>
      </c>
      <c r="U175" s="84">
        <f t="shared" si="219"/>
        <v>10010.430419636836</v>
      </c>
      <c r="V175" s="84">
        <f t="shared" si="219"/>
        <v>9600.4383397324618</v>
      </c>
      <c r="W175" s="84">
        <f t="shared" si="221"/>
        <v>9215.7125237296914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7734.035038464478</v>
      </c>
      <c r="M176" s="84">
        <f t="shared" si="222"/>
        <v>7767.1978470689273</v>
      </c>
      <c r="N176" s="84">
        <f t="shared" si="219"/>
        <v>7784.3634607940212</v>
      </c>
      <c r="O176" s="84">
        <f t="shared" si="219"/>
        <v>7801.3509613741762</v>
      </c>
      <c r="P176" s="84">
        <f t="shared" si="219"/>
        <v>7813.4418050877503</v>
      </c>
      <c r="Q176" s="84">
        <f t="shared" si="219"/>
        <v>7834.7803167530565</v>
      </c>
      <c r="R176" s="84">
        <f t="shared" si="219"/>
        <v>7828.4918587864022</v>
      </c>
      <c r="S176" s="84">
        <f t="shared" si="219"/>
        <v>7802.1936047959398</v>
      </c>
      <c r="T176" s="84">
        <f t="shared" si="219"/>
        <v>7786.2210417938504</v>
      </c>
      <c r="U176" s="84">
        <f t="shared" si="219"/>
        <v>7781.5522496411331</v>
      </c>
      <c r="V176" s="84">
        <f t="shared" si="219"/>
        <v>7669.086407284457</v>
      </c>
      <c r="W176" s="84">
        <f t="shared" si="221"/>
        <v>8167.123740872019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48167.534113499918</v>
      </c>
      <c r="C177" s="110">
        <f t="shared" si="219"/>
        <v>47218.509992295883</v>
      </c>
      <c r="D177" s="110">
        <f t="shared" si="219"/>
        <v>46314.326844205178</v>
      </c>
      <c r="E177" s="110">
        <f t="shared" si="219"/>
        <v>45384.417391186114</v>
      </c>
      <c r="F177" s="110">
        <f t="shared" si="219"/>
        <v>44690.835163138785</v>
      </c>
      <c r="G177" s="110">
        <f t="shared" si="219"/>
        <v>43848.862119223159</v>
      </c>
      <c r="H177" s="110">
        <f t="shared" si="219"/>
        <v>42958.653147708334</v>
      </c>
      <c r="I177" s="110">
        <f t="shared" si="219"/>
        <v>42192.713266564897</v>
      </c>
      <c r="J177" s="110">
        <f t="shared" si="219"/>
        <v>41373.046369332675</v>
      </c>
      <c r="K177" s="110">
        <f t="shared" si="219"/>
        <v>40620.400835326887</v>
      </c>
      <c r="L177" s="110">
        <f t="shared" si="219"/>
        <v>39854.059114743955</v>
      </c>
      <c r="M177" s="110">
        <f t="shared" si="222"/>
        <v>39130.027246518672</v>
      </c>
      <c r="N177" s="110">
        <f t="shared" si="219"/>
        <v>38354.270309745902</v>
      </c>
      <c r="O177" s="110">
        <f t="shared" si="219"/>
        <v>37644.856277304098</v>
      </c>
      <c r="P177" s="110">
        <f t="shared" si="219"/>
        <v>36970.525221970871</v>
      </c>
      <c r="Q177" s="110">
        <f t="shared" si="219"/>
        <v>36528.328695755139</v>
      </c>
      <c r="R177" s="110">
        <f t="shared" si="219"/>
        <v>34817.786009539639</v>
      </c>
      <c r="S177" s="110">
        <f t="shared" si="219"/>
        <v>33408.240412028674</v>
      </c>
      <c r="T177" s="110">
        <f t="shared" si="219"/>
        <v>31168.607853399564</v>
      </c>
      <c r="U177" s="110">
        <f t="shared" si="219"/>
        <v>31847.905198683533</v>
      </c>
      <c r="V177" s="110">
        <f t="shared" si="219"/>
        <v>31050.414137143009</v>
      </c>
      <c r="W177" s="110">
        <f t="shared" si="221"/>
        <v>30942.984346988407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48667.195305253015</v>
      </c>
      <c r="C179" s="102">
        <f t="shared" si="219"/>
        <v>47670.534351677081</v>
      </c>
      <c r="D179" s="102">
        <f t="shared" si="219"/>
        <v>46711.150398927828</v>
      </c>
      <c r="E179" s="102">
        <f t="shared" si="219"/>
        <v>45726.918224702444</v>
      </c>
      <c r="F179" s="102">
        <f t="shared" si="219"/>
        <v>45514.88970034635</v>
      </c>
      <c r="G179" s="102">
        <f t="shared" si="219"/>
        <v>44618.623619855323</v>
      </c>
      <c r="H179" s="102">
        <f t="shared" si="219"/>
        <v>43673.394371714705</v>
      </c>
      <c r="I179" s="102">
        <f t="shared" si="219"/>
        <v>42821.56845349347</v>
      </c>
      <c r="J179" s="102">
        <f t="shared" si="219"/>
        <v>41943.88741038493</v>
      </c>
      <c r="K179" s="102">
        <f t="shared" si="219"/>
        <v>41120.631946094276</v>
      </c>
      <c r="L179" s="102">
        <f t="shared" si="219"/>
        <v>40297.357414244158</v>
      </c>
      <c r="M179" s="102">
        <f t="shared" si="222"/>
        <v>39515.317696607672</v>
      </c>
      <c r="N179" s="102">
        <f t="shared" si="219"/>
        <v>38699.646177719114</v>
      </c>
      <c r="O179" s="102">
        <f t="shared" si="219"/>
        <v>37940.843309738761</v>
      </c>
      <c r="P179" s="102">
        <f t="shared" si="219"/>
        <v>37217.977563189255</v>
      </c>
      <c r="Q179" s="102">
        <f t="shared" si="219"/>
        <v>36636.307449975458</v>
      </c>
      <c r="R179" s="102">
        <f t="shared" si="219"/>
        <v>34904.2460469859</v>
      </c>
      <c r="S179" s="102">
        <f t="shared" si="219"/>
        <v>33481.912552190646</v>
      </c>
      <c r="T179" s="102">
        <f t="shared" si="219"/>
        <v>31221.574249379737</v>
      </c>
      <c r="U179" s="102">
        <f t="shared" si="219"/>
        <v>31927.445522840928</v>
      </c>
      <c r="V179" s="102">
        <f t="shared" si="219"/>
        <v>31088.806776357356</v>
      </c>
      <c r="W179" s="102">
        <f t="shared" si="221"/>
        <v>30903.05314937864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30389.932276628388</v>
      </c>
      <c r="C180" s="102">
        <f t="shared" si="219"/>
        <v>29761.546205656978</v>
      </c>
      <c r="D180" s="102">
        <f t="shared" si="219"/>
        <v>29163.438097665046</v>
      </c>
      <c r="E180" s="102">
        <f t="shared" si="219"/>
        <v>28548.921134567794</v>
      </c>
      <c r="F180" s="102">
        <f t="shared" ref="B180:V192" si="223">IF(F43=0,0,F43*1000000/F70)</f>
        <v>28090.98657072839</v>
      </c>
      <c r="G180" s="102">
        <f t="shared" si="223"/>
        <v>27535.555493464064</v>
      </c>
      <c r="H180" s="102">
        <f t="shared" si="223"/>
        <v>26948.884158767378</v>
      </c>
      <c r="I180" s="102">
        <f t="shared" si="223"/>
        <v>26444.595288660632</v>
      </c>
      <c r="J180" s="102">
        <f t="shared" si="223"/>
        <v>25905.439986014608</v>
      </c>
      <c r="K180" s="102">
        <f t="shared" si="223"/>
        <v>25410.83948289659</v>
      </c>
      <c r="L180" s="102">
        <f t="shared" si="223"/>
        <v>24907.70919900325</v>
      </c>
      <c r="M180" s="102">
        <f t="shared" si="222"/>
        <v>24432.800887530007</v>
      </c>
      <c r="N180" s="102">
        <f t="shared" si="223"/>
        <v>23924.452552675713</v>
      </c>
      <c r="O180" s="102">
        <f t="shared" si="223"/>
        <v>23460.027859959868</v>
      </c>
      <c r="P180" s="102">
        <f t="shared" si="223"/>
        <v>23018.975961749471</v>
      </c>
      <c r="Q180" s="102">
        <f t="shared" si="223"/>
        <v>22729.971446700776</v>
      </c>
      <c r="R180" s="102">
        <f t="shared" si="223"/>
        <v>21613.684481961594</v>
      </c>
      <c r="S180" s="102">
        <f t="shared" si="223"/>
        <v>20695.879178497762</v>
      </c>
      <c r="T180" s="102">
        <f t="shared" si="223"/>
        <v>19241.586308250087</v>
      </c>
      <c r="U180" s="102">
        <f t="shared" si="223"/>
        <v>19682.148915338676</v>
      </c>
      <c r="V180" s="102">
        <f t="shared" si="223"/>
        <v>19164.979753375221</v>
      </c>
      <c r="W180" s="102">
        <f t="shared" si="221"/>
        <v>19095.362419592217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43066.126702991001</v>
      </c>
      <c r="R181" s="102">
        <f t="shared" si="223"/>
        <v>40132.092689569159</v>
      </c>
      <c r="S181" s="102">
        <f t="shared" si="223"/>
        <v>37659.361749878393</v>
      </c>
      <c r="T181" s="102">
        <f t="shared" si="223"/>
        <v>34312.789329250671</v>
      </c>
      <c r="U181" s="102">
        <f t="shared" si="223"/>
        <v>34396.459319448244</v>
      </c>
      <c r="V181" s="102">
        <f t="shared" si="223"/>
        <v>32822.803053413612</v>
      </c>
      <c r="W181" s="102">
        <f t="shared" si="221"/>
        <v>33357.644753988236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40824.300773324736</v>
      </c>
      <c r="C182" s="102">
        <f t="shared" si="223"/>
        <v>40864.939638321594</v>
      </c>
      <c r="D182" s="102">
        <f t="shared" si="223"/>
        <v>40904.464160887452</v>
      </c>
      <c r="E182" s="102">
        <f t="shared" si="223"/>
        <v>40945.967506183159</v>
      </c>
      <c r="F182" s="102">
        <f t="shared" si="223"/>
        <v>40977.50879294992</v>
      </c>
      <c r="G182" s="102">
        <f t="shared" si="223"/>
        <v>41016.496286754133</v>
      </c>
      <c r="H182" s="102">
        <f t="shared" si="223"/>
        <v>41058.581655458169</v>
      </c>
      <c r="I182" s="102">
        <f t="shared" si="223"/>
        <v>41095.531623118557</v>
      </c>
      <c r="J182" s="102">
        <f t="shared" si="223"/>
        <v>41135.861841938604</v>
      </c>
      <c r="K182" s="102">
        <f t="shared" si="223"/>
        <v>41173.640235801366</v>
      </c>
      <c r="L182" s="102">
        <f t="shared" si="223"/>
        <v>41212.868907242169</v>
      </c>
      <c r="M182" s="102">
        <f t="shared" si="222"/>
        <v>41250.666328538864</v>
      </c>
      <c r="N182" s="102">
        <f t="shared" si="223"/>
        <v>41291.987714113158</v>
      </c>
      <c r="O182" s="102">
        <f t="shared" si="223"/>
        <v>41330.55084576126</v>
      </c>
      <c r="P182" s="102">
        <f t="shared" si="223"/>
        <v>41367.920930280081</v>
      </c>
      <c r="Q182" s="102">
        <f t="shared" si="223"/>
        <v>41392.817203774866</v>
      </c>
      <c r="R182" s="102">
        <f t="shared" si="223"/>
        <v>41293.676683066908</v>
      </c>
      <c r="S182" s="102">
        <f t="shared" si="223"/>
        <v>41208.440146466091</v>
      </c>
      <c r="T182" s="102">
        <f t="shared" si="223"/>
        <v>41065.712819463311</v>
      </c>
      <c r="U182" s="102">
        <f t="shared" si="223"/>
        <v>41021.4674657008</v>
      </c>
      <c r="V182" s="102">
        <f t="shared" si="223"/>
        <v>40248.628516926547</v>
      </c>
      <c r="W182" s="102">
        <f t="shared" si="221"/>
        <v>40962.387219995944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12616.515715999629</v>
      </c>
      <c r="C183" s="28">
        <f t="shared" si="223"/>
        <v>12278.466977049009</v>
      </c>
      <c r="D183" s="28">
        <f t="shared" si="223"/>
        <v>12078.67667634986</v>
      </c>
      <c r="E183" s="28">
        <f t="shared" si="223"/>
        <v>12351.382436872851</v>
      </c>
      <c r="F183" s="28">
        <f t="shared" si="223"/>
        <v>12853.244630404659</v>
      </c>
      <c r="G183" s="28">
        <f t="shared" si="223"/>
        <v>12795.649068051955</v>
      </c>
      <c r="H183" s="28">
        <f t="shared" si="223"/>
        <v>13070.874578851664</v>
      </c>
      <c r="I183" s="28">
        <f t="shared" si="223"/>
        <v>12983.239120510805</v>
      </c>
      <c r="J183" s="28">
        <f t="shared" si="223"/>
        <v>12807.162511192999</v>
      </c>
      <c r="K183" s="28">
        <f t="shared" si="223"/>
        <v>13226.995547174236</v>
      </c>
      <c r="L183" s="28">
        <f t="shared" si="223"/>
        <v>13205.517876428597</v>
      </c>
      <c r="M183" s="28">
        <f t="shared" si="222"/>
        <v>13254.3642897195</v>
      </c>
      <c r="N183" s="28">
        <f t="shared" si="223"/>
        <v>13056.386908889757</v>
      </c>
      <c r="O183" s="28">
        <f t="shared" si="223"/>
        <v>13085.190296552693</v>
      </c>
      <c r="P183" s="28">
        <f t="shared" si="223"/>
        <v>12919.623966453151</v>
      </c>
      <c r="Q183" s="28">
        <f t="shared" si="223"/>
        <v>12910.684707282871</v>
      </c>
      <c r="R183" s="28">
        <f t="shared" si="223"/>
        <v>13122.63994262573</v>
      </c>
      <c r="S183" s="28">
        <f t="shared" si="223"/>
        <v>13639.425455809691</v>
      </c>
      <c r="T183" s="28">
        <f t="shared" si="223"/>
        <v>13391.231073384361</v>
      </c>
      <c r="U183" s="28">
        <f t="shared" si="223"/>
        <v>13535.613291488677</v>
      </c>
      <c r="V183" s="28">
        <f t="shared" si="223"/>
        <v>13308.479332058992</v>
      </c>
      <c r="W183" s="28">
        <f t="shared" si="221"/>
        <v>13443.954247681168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12629.378529122418</v>
      </c>
      <c r="C184" s="137">
        <f t="shared" si="223"/>
        <v>12184.0379263304</v>
      </c>
      <c r="D184" s="137">
        <f t="shared" si="223"/>
        <v>12308.754084013119</v>
      </c>
      <c r="E184" s="137">
        <f t="shared" si="223"/>
        <v>12420.665900340824</v>
      </c>
      <c r="F184" s="137">
        <f t="shared" si="223"/>
        <v>12291.053508259452</v>
      </c>
      <c r="G184" s="137">
        <f t="shared" si="223"/>
        <v>12069.505391311372</v>
      </c>
      <c r="H184" s="137">
        <f t="shared" si="223"/>
        <v>12329.322729758016</v>
      </c>
      <c r="I184" s="137">
        <f t="shared" si="223"/>
        <v>12234.05727844148</v>
      </c>
      <c r="J184" s="137">
        <f t="shared" si="223"/>
        <v>12065.895791593015</v>
      </c>
      <c r="K184" s="137">
        <f t="shared" si="223"/>
        <v>12309.157945339339</v>
      </c>
      <c r="L184" s="137">
        <f t="shared" si="223"/>
        <v>12056.457758900073</v>
      </c>
      <c r="M184" s="137">
        <f t="shared" si="222"/>
        <v>11938.152758376533</v>
      </c>
      <c r="N184" s="137">
        <f t="shared" si="223"/>
        <v>11706.514811506297</v>
      </c>
      <c r="O184" s="137">
        <f t="shared" si="223"/>
        <v>11452.823201731662</v>
      </c>
      <c r="P184" s="137">
        <f t="shared" si="223"/>
        <v>11451.884223323304</v>
      </c>
      <c r="Q184" s="137">
        <f t="shared" si="223"/>
        <v>11276.521464224888</v>
      </c>
      <c r="R184" s="137">
        <f t="shared" si="223"/>
        <v>11562.164490219044</v>
      </c>
      <c r="S184" s="137">
        <f t="shared" si="223"/>
        <v>11800.742867300571</v>
      </c>
      <c r="T184" s="137">
        <f t="shared" si="223"/>
        <v>12101.72603744041</v>
      </c>
      <c r="U184" s="137">
        <f t="shared" si="223"/>
        <v>12316.064271514433</v>
      </c>
      <c r="V184" s="137">
        <f t="shared" si="223"/>
        <v>12022.897157794152</v>
      </c>
      <c r="W184" s="137">
        <f t="shared" si="221"/>
        <v>12032.117400015879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11093.435551800598</v>
      </c>
      <c r="C185" s="84">
        <f t="shared" si="223"/>
        <v>10676.475902670605</v>
      </c>
      <c r="D185" s="84">
        <f t="shared" si="223"/>
        <v>10656.547111139853</v>
      </c>
      <c r="E185" s="84">
        <f t="shared" si="223"/>
        <v>10692.00866135911</v>
      </c>
      <c r="F185" s="84">
        <f t="shared" si="223"/>
        <v>10484.321781954086</v>
      </c>
      <c r="G185" s="84">
        <f t="shared" si="223"/>
        <v>9908.936036786461</v>
      </c>
      <c r="H185" s="84">
        <f t="shared" si="223"/>
        <v>9827.3088103794325</v>
      </c>
      <c r="I185" s="84">
        <f t="shared" si="223"/>
        <v>9483.4035272471847</v>
      </c>
      <c r="J185" s="84">
        <f t="shared" si="223"/>
        <v>8971.1593115400665</v>
      </c>
      <c r="K185" s="84">
        <f t="shared" si="223"/>
        <v>9679.6668840117582</v>
      </c>
      <c r="L185" s="84">
        <f t="shared" si="223"/>
        <v>9133.8701970003112</v>
      </c>
      <c r="M185" s="84">
        <f t="shared" si="222"/>
        <v>8860.1234312297602</v>
      </c>
      <c r="N185" s="84">
        <f t="shared" si="223"/>
        <v>8470.319738737222</v>
      </c>
      <c r="O185" s="84">
        <f t="shared" si="223"/>
        <v>8000.4334534279251</v>
      </c>
      <c r="P185" s="84">
        <f t="shared" si="223"/>
        <v>7741.4214928228184</v>
      </c>
      <c r="Q185" s="84">
        <f t="shared" si="223"/>
        <v>7029.3243853840095</v>
      </c>
      <c r="R185" s="84">
        <f t="shared" si="223"/>
        <v>7169.3753925623687</v>
      </c>
      <c r="S185" s="84">
        <f t="shared" si="223"/>
        <v>7328.8555411449688</v>
      </c>
      <c r="T185" s="84">
        <f t="shared" si="223"/>
        <v>7494.1112641731033</v>
      </c>
      <c r="U185" s="84">
        <f t="shared" si="223"/>
        <v>7614.1639886005378</v>
      </c>
      <c r="V185" s="84">
        <f t="shared" si="223"/>
        <v>7110.3368741371114</v>
      </c>
      <c r="W185" s="84">
        <f t="shared" si="221"/>
        <v>7105.3094381276624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17134.477423337295</v>
      </c>
      <c r="C186" s="84">
        <f t="shared" si="223"/>
        <v>16706.716216110639</v>
      </c>
      <c r="D186" s="84">
        <f t="shared" si="223"/>
        <v>16296.306516677749</v>
      </c>
      <c r="E186" s="84">
        <f t="shared" si="223"/>
        <v>16308.17091863237</v>
      </c>
      <c r="F186" s="84">
        <f t="shared" si="223"/>
        <v>15873.799616535542</v>
      </c>
      <c r="G186" s="84">
        <f t="shared" si="223"/>
        <v>15493.874106544323</v>
      </c>
      <c r="H186" s="84">
        <f t="shared" si="223"/>
        <v>15766.767223104998</v>
      </c>
      <c r="I186" s="84">
        <f t="shared" si="223"/>
        <v>15438.271744632331</v>
      </c>
      <c r="J186" s="84">
        <f t="shared" si="223"/>
        <v>15096.827813279227</v>
      </c>
      <c r="K186" s="84">
        <f t="shared" si="223"/>
        <v>14738.842547735123</v>
      </c>
      <c r="L186" s="84">
        <f t="shared" si="223"/>
        <v>14420.106461514015</v>
      </c>
      <c r="M186" s="84">
        <f t="shared" si="222"/>
        <v>14088.41488846444</v>
      </c>
      <c r="N186" s="84">
        <f t="shared" si="223"/>
        <v>13738.213499359703</v>
      </c>
      <c r="O186" s="84">
        <f t="shared" si="223"/>
        <v>13418.509320103509</v>
      </c>
      <c r="P186" s="84">
        <f t="shared" si="223"/>
        <v>13465.212830667982</v>
      </c>
      <c r="Q186" s="84">
        <f t="shared" si="223"/>
        <v>13361.547881289116</v>
      </c>
      <c r="R186" s="84">
        <f t="shared" si="223"/>
        <v>13593.606192245146</v>
      </c>
      <c r="S186" s="84">
        <f t="shared" si="223"/>
        <v>13826.511063806753</v>
      </c>
      <c r="T186" s="84">
        <f t="shared" si="223"/>
        <v>14067.588679724999</v>
      </c>
      <c r="U186" s="84">
        <f t="shared" si="223"/>
        <v>14221.481205578062</v>
      </c>
      <c r="V186" s="84">
        <f t="shared" si="223"/>
        <v>13874.749873842778</v>
      </c>
      <c r="W186" s="84">
        <f t="shared" si="221"/>
        <v>13795.614892863761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6568.4895810717835</v>
      </c>
      <c r="C187" s="84">
        <f t="shared" si="223"/>
        <v>6567.8879270199914</v>
      </c>
      <c r="D187" s="84">
        <f t="shared" si="223"/>
        <v>6569.9763855806004</v>
      </c>
      <c r="E187" s="84">
        <f t="shared" si="223"/>
        <v>6742.483066254209</v>
      </c>
      <c r="F187" s="84">
        <f t="shared" si="223"/>
        <v>6730.316528471998</v>
      </c>
      <c r="G187" s="84">
        <f t="shared" si="223"/>
        <v>6736.814745305428</v>
      </c>
      <c r="H187" s="84">
        <f t="shared" si="223"/>
        <v>7030.3544912772841</v>
      </c>
      <c r="I187" s="84">
        <f t="shared" si="223"/>
        <v>7059.488503696055</v>
      </c>
      <c r="J187" s="84">
        <f t="shared" si="223"/>
        <v>7079.4617887248869</v>
      </c>
      <c r="K187" s="84">
        <f t="shared" si="223"/>
        <v>7087.9052889385002</v>
      </c>
      <c r="L187" s="84">
        <f t="shared" si="223"/>
        <v>7111.5288974901059</v>
      </c>
      <c r="M187" s="84">
        <f t="shared" si="222"/>
        <v>7125.1929759889335</v>
      </c>
      <c r="N187" s="84">
        <f t="shared" si="223"/>
        <v>7125.3261096880351</v>
      </c>
      <c r="O187" s="84">
        <f t="shared" si="223"/>
        <v>7137.0500566861292</v>
      </c>
      <c r="P187" s="84">
        <f t="shared" si="223"/>
        <v>7271.5115432784478</v>
      </c>
      <c r="Q187" s="84">
        <f t="shared" si="223"/>
        <v>7325.9719756366221</v>
      </c>
      <c r="R187" s="84">
        <f t="shared" si="223"/>
        <v>7415.7533866731674</v>
      </c>
      <c r="S187" s="84">
        <f t="shared" si="223"/>
        <v>7580.7141241434738</v>
      </c>
      <c r="T187" s="84">
        <f t="shared" si="223"/>
        <v>7751.6489156155958</v>
      </c>
      <c r="U187" s="84">
        <f t="shared" si="223"/>
        <v>7875.8272922529359</v>
      </c>
      <c r="V187" s="84">
        <f t="shared" si="223"/>
        <v>7722.4202892129742</v>
      </c>
      <c r="W187" s="84">
        <f t="shared" si="221"/>
        <v>7716.9600733991047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10915.438138771437</v>
      </c>
      <c r="R188" s="84">
        <f t="shared" si="223"/>
        <v>10937.60107929382</v>
      </c>
      <c r="S188" s="84">
        <f t="shared" si="223"/>
        <v>10957.285957264232</v>
      </c>
      <c r="T188" s="84">
        <f t="shared" si="223"/>
        <v>10980.270693422017</v>
      </c>
      <c r="U188" s="84">
        <f t="shared" si="223"/>
        <v>10933.046918673082</v>
      </c>
      <c r="V188" s="84">
        <f t="shared" si="223"/>
        <v>10505.688940400341</v>
      </c>
      <c r="W188" s="84">
        <f t="shared" si="221"/>
        <v>10288.29557045318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6811.4893536236068</v>
      </c>
      <c r="O189" s="84">
        <f t="shared" si="223"/>
        <v>6817.5116416171932</v>
      </c>
      <c r="P189" s="84">
        <f t="shared" si="223"/>
        <v>6818.0109796063698</v>
      </c>
      <c r="Q189" s="84">
        <f t="shared" si="223"/>
        <v>6822.1488367321481</v>
      </c>
      <c r="R189" s="84">
        <f t="shared" si="223"/>
        <v>7155.6771074905482</v>
      </c>
      <c r="S189" s="84">
        <f t="shared" si="223"/>
        <v>7362.6298552800563</v>
      </c>
      <c r="T189" s="84">
        <f t="shared" si="223"/>
        <v>7428.3643940289548</v>
      </c>
      <c r="U189" s="84">
        <f t="shared" si="223"/>
        <v>7422.7447882803272</v>
      </c>
      <c r="V189" s="84">
        <f t="shared" si="223"/>
        <v>7319.1823044018074</v>
      </c>
      <c r="W189" s="84">
        <f t="shared" si="221"/>
        <v>7415.5454911470943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12574.367092141336</v>
      </c>
      <c r="C190" s="110">
        <f t="shared" si="223"/>
        <v>12578.965309398547</v>
      </c>
      <c r="D190" s="110">
        <f t="shared" si="223"/>
        <v>11432.054219841593</v>
      </c>
      <c r="E190" s="110">
        <f t="shared" si="223"/>
        <v>12152.631445656787</v>
      </c>
      <c r="F190" s="110">
        <f t="shared" si="223"/>
        <v>14466.069364907909</v>
      </c>
      <c r="G190" s="110">
        <f t="shared" si="223"/>
        <v>14905.052404694248</v>
      </c>
      <c r="H190" s="110">
        <f t="shared" si="223"/>
        <v>15254.534337248342</v>
      </c>
      <c r="I190" s="110">
        <f t="shared" si="223"/>
        <v>15104.277903138071</v>
      </c>
      <c r="J190" s="110">
        <f t="shared" si="223"/>
        <v>14856.626896789325</v>
      </c>
      <c r="K190" s="110">
        <f t="shared" si="223"/>
        <v>15806.861358895119</v>
      </c>
      <c r="L190" s="110">
        <f t="shared" si="223"/>
        <v>16594.838070626622</v>
      </c>
      <c r="M190" s="110">
        <f t="shared" si="222"/>
        <v>17091.442994335412</v>
      </c>
      <c r="N190" s="110">
        <f t="shared" si="223"/>
        <v>16983.104530450975</v>
      </c>
      <c r="O190" s="110">
        <f t="shared" si="223"/>
        <v>17903.193209001005</v>
      </c>
      <c r="P190" s="110">
        <f t="shared" si="223"/>
        <v>17082.697918504171</v>
      </c>
      <c r="Q190" s="110">
        <f t="shared" si="223"/>
        <v>17447.499351590006</v>
      </c>
      <c r="R190" s="110">
        <f t="shared" si="223"/>
        <v>17453.216971413283</v>
      </c>
      <c r="S190" s="110">
        <f t="shared" si="223"/>
        <v>18736.868251618835</v>
      </c>
      <c r="T190" s="110">
        <f t="shared" si="223"/>
        <v>16874.699784979872</v>
      </c>
      <c r="U190" s="110">
        <f t="shared" si="223"/>
        <v>16858.206054812003</v>
      </c>
      <c r="V190" s="110">
        <f t="shared" si="223"/>
        <v>16810.939178270208</v>
      </c>
      <c r="W190" s="110">
        <f t="shared" si="221"/>
        <v>17258.822810121943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10258.308274005225</v>
      </c>
      <c r="C191" s="102">
        <f t="shared" si="223"/>
        <v>10188.049227566973</v>
      </c>
      <c r="D191" s="102">
        <f t="shared" si="223"/>
        <v>9220.4630500616622</v>
      </c>
      <c r="E191" s="102">
        <f t="shared" si="223"/>
        <v>9909.9526088549337</v>
      </c>
      <c r="F191" s="102">
        <f t="shared" si="223"/>
        <v>11821.242533623241</v>
      </c>
      <c r="G191" s="102">
        <f t="shared" si="223"/>
        <v>12228.91460480798</v>
      </c>
      <c r="H191" s="102">
        <f t="shared" si="223"/>
        <v>12031.95906996303</v>
      </c>
      <c r="I191" s="102">
        <f t="shared" si="223"/>
        <v>12325.54275140316</v>
      </c>
      <c r="J191" s="102">
        <f t="shared" si="223"/>
        <v>12261.700736762134</v>
      </c>
      <c r="K191" s="102">
        <f t="shared" si="223"/>
        <v>13397.517438141702</v>
      </c>
      <c r="L191" s="102">
        <f t="shared" si="223"/>
        <v>13867.947857420426</v>
      </c>
      <c r="M191" s="102">
        <f t="shared" si="222"/>
        <v>14392.253131123796</v>
      </c>
      <c r="N191" s="102">
        <f t="shared" si="223"/>
        <v>14075.882557441295</v>
      </c>
      <c r="O191" s="102">
        <f t="shared" si="223"/>
        <v>14945.580751907462</v>
      </c>
      <c r="P191" s="102">
        <f t="shared" si="223"/>
        <v>14162.168293807657</v>
      </c>
      <c r="Q191" s="102">
        <f t="shared" si="223"/>
        <v>14581.444098552733</v>
      </c>
      <c r="R191" s="102">
        <f t="shared" si="223"/>
        <v>14321.001904542045</v>
      </c>
      <c r="S191" s="102">
        <f t="shared" si="223"/>
        <v>15347.712049844406</v>
      </c>
      <c r="T191" s="102">
        <f t="shared" si="223"/>
        <v>14034.088857069411</v>
      </c>
      <c r="U191" s="102">
        <f t="shared" si="223"/>
        <v>13672.600538431037</v>
      </c>
      <c r="V191" s="102">
        <f t="shared" si="223"/>
        <v>13814.909916601235</v>
      </c>
      <c r="W191" s="102">
        <f t="shared" si="221"/>
        <v>14222.977896526598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85000.276749038909</v>
      </c>
      <c r="C192" s="86">
        <f t="shared" si="223"/>
        <v>85001.537041086689</v>
      </c>
      <c r="D192" s="86">
        <f t="shared" si="223"/>
        <v>85000.129968504552</v>
      </c>
      <c r="E192" s="86">
        <f t="shared" si="223"/>
        <v>84998.4150207762</v>
      </c>
      <c r="F192" s="86">
        <f t="shared" si="223"/>
        <v>85000.409031434116</v>
      </c>
      <c r="G192" s="86">
        <f t="shared" si="223"/>
        <v>84998.888891734736</v>
      </c>
      <c r="H192" s="86">
        <f t="shared" si="223"/>
        <v>84998.585844500529</v>
      </c>
      <c r="I192" s="86">
        <f t="shared" si="223"/>
        <v>85001.273379886581</v>
      </c>
      <c r="J192" s="86">
        <f t="shared" si="223"/>
        <v>85000.808572207141</v>
      </c>
      <c r="K192" s="86">
        <f t="shared" si="223"/>
        <v>84998.299573371551</v>
      </c>
      <c r="L192" s="86">
        <f t="shared" si="223"/>
        <v>85001.503495323312</v>
      </c>
      <c r="M192" s="86">
        <f t="shared" si="222"/>
        <v>84999.975370962115</v>
      </c>
      <c r="N192" s="86">
        <f t="shared" si="223"/>
        <v>85000.168143488845</v>
      </c>
      <c r="O192" s="86">
        <f t="shared" si="223"/>
        <v>85001.165427501575</v>
      </c>
      <c r="P192" s="86">
        <f t="shared" si="223"/>
        <v>85000.943757532499</v>
      </c>
      <c r="Q192" s="86">
        <f t="shared" si="223"/>
        <v>84999.74678294512</v>
      </c>
      <c r="R192" s="86">
        <f t="shared" si="223"/>
        <v>85000.936165496387</v>
      </c>
      <c r="S192" s="86">
        <f t="shared" si="223"/>
        <v>84999.473831799638</v>
      </c>
      <c r="T192" s="86">
        <f t="shared" si="223"/>
        <v>85000.588126940434</v>
      </c>
      <c r="U192" s="86">
        <f t="shared" si="223"/>
        <v>85000.101295393499</v>
      </c>
      <c r="V192" s="86">
        <f t="shared" ref="V192:W192" si="224">IF(V55=0,0,V55*1000000/V82)</f>
        <v>85000.631325057548</v>
      </c>
      <c r="W192" s="86">
        <f t="shared" si="224"/>
        <v>85000.300009922721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17714.47298611336</v>
      </c>
      <c r="C195" s="28">
        <f t="shared" si="225"/>
        <v>16042.753850073246</v>
      </c>
      <c r="D195" s="28">
        <f t="shared" si="225"/>
        <v>15417.100639147144</v>
      </c>
      <c r="E195" s="28">
        <f t="shared" si="225"/>
        <v>15437.261094478403</v>
      </c>
      <c r="F195" s="28">
        <f t="shared" si="225"/>
        <v>15549.208794404973</v>
      </c>
      <c r="G195" s="28">
        <f t="shared" si="225"/>
        <v>15115.955428400355</v>
      </c>
      <c r="H195" s="28">
        <f t="shared" si="225"/>
        <v>14201.776776889901</v>
      </c>
      <c r="I195" s="28">
        <f t="shared" si="225"/>
        <v>13292.695563100327</v>
      </c>
      <c r="J195" s="28">
        <f t="shared" si="225"/>
        <v>12564.680972586242</v>
      </c>
      <c r="K195" s="28">
        <f t="shared" si="225"/>
        <v>12501.906830104888</v>
      </c>
      <c r="L195" s="28">
        <f t="shared" si="225"/>
        <v>12145.680198052976</v>
      </c>
      <c r="M195" s="28">
        <f>IF(M4=0,0,M4*1000000/M58)</f>
        <v>11449.760659373311</v>
      </c>
      <c r="N195" s="28">
        <f t="shared" ref="N195:V195" si="226">IF(N4=0,0,N4*1000000/N58)</f>
        <v>11033.044746978574</v>
      </c>
      <c r="O195" s="28">
        <f t="shared" si="226"/>
        <v>10756.027401295678</v>
      </c>
      <c r="P195" s="28">
        <f t="shared" si="226"/>
        <v>10644.953172168865</v>
      </c>
      <c r="Q195" s="28">
        <f t="shared" si="226"/>
        <v>10345.350410257595</v>
      </c>
      <c r="R195" s="28">
        <f t="shared" si="226"/>
        <v>10389.286229453577</v>
      </c>
      <c r="S195" s="28">
        <f t="shared" si="226"/>
        <v>10295.626312711665</v>
      </c>
      <c r="T195" s="28">
        <f t="shared" si="226"/>
        <v>10062.875106009682</v>
      </c>
      <c r="U195" s="28">
        <f t="shared" si="226"/>
        <v>9918.4952413022002</v>
      </c>
      <c r="V195" s="28">
        <f t="shared" si="226"/>
        <v>8717.3964078033259</v>
      </c>
      <c r="W195" s="28">
        <f t="shared" ref="W195" si="227">IF(W4=0,0,W4*1000000/W58)</f>
        <v>8787.1824704369046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3127.9534626399886</v>
      </c>
      <c r="C196" s="137">
        <f t="shared" si="228"/>
        <v>2791.3336076883761</v>
      </c>
      <c r="D196" s="137">
        <f t="shared" si="228"/>
        <v>2452.0690301129248</v>
      </c>
      <c r="E196" s="137">
        <f t="shared" si="228"/>
        <v>2322.7588068536206</v>
      </c>
      <c r="F196" s="137">
        <f t="shared" si="228"/>
        <v>2235.1336511750546</v>
      </c>
      <c r="G196" s="137">
        <f t="shared" si="228"/>
        <v>1899.8111506431646</v>
      </c>
      <c r="H196" s="137">
        <f t="shared" si="228"/>
        <v>1848.4414192589579</v>
      </c>
      <c r="I196" s="137">
        <f t="shared" si="228"/>
        <v>1768.7348894745314</v>
      </c>
      <c r="J196" s="137">
        <f t="shared" si="228"/>
        <v>1503.0918854978977</v>
      </c>
      <c r="K196" s="137">
        <f t="shared" si="228"/>
        <v>1473.6928435001143</v>
      </c>
      <c r="L196" s="137">
        <f t="shared" si="228"/>
        <v>1483.3280423780889</v>
      </c>
      <c r="M196" s="137">
        <f>IF(M5=0,0,M5*1000000/M59)</f>
        <v>1362.6221491514848</v>
      </c>
      <c r="N196" s="137">
        <f t="shared" ref="N196:V196" si="229">IF(N5=0,0,N5*1000000/N59)</f>
        <v>1299.3811454937631</v>
      </c>
      <c r="O196" s="137">
        <f t="shared" si="229"/>
        <v>1202.4837803361688</v>
      </c>
      <c r="P196" s="137">
        <f t="shared" si="229"/>
        <v>1174.0294037090994</v>
      </c>
      <c r="Q196" s="137">
        <f t="shared" si="229"/>
        <v>1167.1896911365402</v>
      </c>
      <c r="R196" s="137">
        <f t="shared" si="229"/>
        <v>1189.3456112266972</v>
      </c>
      <c r="S196" s="137">
        <f t="shared" si="229"/>
        <v>1085.3368829861799</v>
      </c>
      <c r="T196" s="137">
        <f t="shared" si="229"/>
        <v>1003.7476738762304</v>
      </c>
      <c r="U196" s="137">
        <f t="shared" si="229"/>
        <v>1032.9940808650772</v>
      </c>
      <c r="V196" s="137">
        <f t="shared" si="229"/>
        <v>896.09501284347209</v>
      </c>
      <c r="W196" s="137">
        <f t="shared" ref="W196" si="230">IF(W5=0,0,W5*1000000/W59)</f>
        <v>904.46327165756747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13021.328555843584</v>
      </c>
      <c r="C197" s="110">
        <f t="shared" si="231"/>
        <v>12023.884178095264</v>
      </c>
      <c r="D197" s="110">
        <f t="shared" si="231"/>
        <v>11894.988101946179</v>
      </c>
      <c r="E197" s="110">
        <f t="shared" si="231"/>
        <v>12031.778199746252</v>
      </c>
      <c r="F197" s="110">
        <f t="shared" si="231"/>
        <v>12258.872651356995</v>
      </c>
      <c r="G197" s="110">
        <f t="shared" si="231"/>
        <v>12342.977550855012</v>
      </c>
      <c r="H197" s="110">
        <f t="shared" si="231"/>
        <v>11700.537955768081</v>
      </c>
      <c r="I197" s="110">
        <f t="shared" si="231"/>
        <v>11124.82006991569</v>
      </c>
      <c r="J197" s="110">
        <f t="shared" si="231"/>
        <v>10733.830845771145</v>
      </c>
      <c r="K197" s="110">
        <f t="shared" si="231"/>
        <v>11079.599878751136</v>
      </c>
      <c r="L197" s="110">
        <f t="shared" si="231"/>
        <v>10951.856148491879</v>
      </c>
      <c r="M197" s="110">
        <f>IF(M6=0,0,M6*1000000/M60)</f>
        <v>10433.268965517243</v>
      </c>
      <c r="N197" s="110">
        <f t="shared" ref="N197:V197" si="232">IF(N6=0,0,N6*1000000/N60)</f>
        <v>10100.512163892445</v>
      </c>
      <c r="O197" s="110">
        <f t="shared" si="232"/>
        <v>9971.1977330347654</v>
      </c>
      <c r="P197" s="110">
        <f t="shared" si="232"/>
        <v>9849.6975309219033</v>
      </c>
      <c r="Q197" s="110">
        <f t="shared" si="232"/>
        <v>9678.4204038107018</v>
      </c>
      <c r="R197" s="110">
        <f t="shared" si="232"/>
        <v>9841.4847291314927</v>
      </c>
      <c r="S197" s="110">
        <f t="shared" si="232"/>
        <v>9844.8784524452749</v>
      </c>
      <c r="T197" s="110">
        <f t="shared" si="232"/>
        <v>9714.9619941358178</v>
      </c>
      <c r="U197" s="110">
        <f t="shared" si="232"/>
        <v>9534.2125336912741</v>
      </c>
      <c r="V197" s="110">
        <f t="shared" si="232"/>
        <v>8924.5533004840127</v>
      </c>
      <c r="W197" s="110">
        <f t="shared" ref="W197:W209" si="233">IF(W6=0,0,W6*1000000/W60)</f>
        <v>8957.1610206246642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12692.371701460514</v>
      </c>
      <c r="C198" s="84">
        <f t="shared" si="231"/>
        <v>11207.424808999696</v>
      </c>
      <c r="D198" s="84">
        <f t="shared" si="231"/>
        <v>11080.327541299466</v>
      </c>
      <c r="E198" s="84">
        <f t="shared" si="231"/>
        <v>10700.382760581955</v>
      </c>
      <c r="F198" s="84">
        <f t="shared" si="231"/>
        <v>10359.309420750715</v>
      </c>
      <c r="G198" s="84">
        <f t="shared" si="231"/>
        <v>10403.268650090657</v>
      </c>
      <c r="H198" s="84">
        <f t="shared" si="231"/>
        <v>9503.2516128233456</v>
      </c>
      <c r="I198" s="84">
        <f t="shared" si="231"/>
        <v>8458.3497183063482</v>
      </c>
      <c r="J198" s="84">
        <f t="shared" si="231"/>
        <v>7662.2795413555896</v>
      </c>
      <c r="K198" s="84">
        <f t="shared" si="231"/>
        <v>7698.2702237812364</v>
      </c>
      <c r="L198" s="84">
        <f t="shared" si="231"/>
        <v>7186.1315096890185</v>
      </c>
      <c r="M198" s="84">
        <f t="shared" ref="M198:M219" si="234">IF(M7=0,0,M7*1000000/M61)</f>
        <v>6534.6494244887708</v>
      </c>
      <c r="N198" s="84">
        <f t="shared" si="231"/>
        <v>6307.7149171651408</v>
      </c>
      <c r="O198" s="84">
        <f t="shared" si="231"/>
        <v>6486.7404357702217</v>
      </c>
      <c r="P198" s="84">
        <f t="shared" si="231"/>
        <v>6358.3638847557559</v>
      </c>
      <c r="Q198" s="84">
        <f t="shared" si="231"/>
        <v>6263.7545068691043</v>
      </c>
      <c r="R198" s="84">
        <f t="shared" si="231"/>
        <v>6237.911214798004</v>
      </c>
      <c r="S198" s="84">
        <f t="shared" si="231"/>
        <v>6229.0832558745715</v>
      </c>
      <c r="T198" s="84">
        <f t="shared" si="231"/>
        <v>6126.4891333748974</v>
      </c>
      <c r="U198" s="84">
        <f t="shared" si="231"/>
        <v>6121.1056614030877</v>
      </c>
      <c r="V198" s="84">
        <f t="shared" si="231"/>
        <v>5613.1873187106239</v>
      </c>
      <c r="W198" s="84">
        <f t="shared" si="233"/>
        <v>6300.7352676475966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13968.297720143235</v>
      </c>
      <c r="C199" s="84">
        <f t="shared" si="231"/>
        <v>15959.452477390196</v>
      </c>
      <c r="D199" s="84">
        <f t="shared" si="231"/>
        <v>15664.753823155414</v>
      </c>
      <c r="E199" s="84">
        <f t="shared" si="231"/>
        <v>18002.65614359266</v>
      </c>
      <c r="F199" s="84">
        <f t="shared" si="231"/>
        <v>20012.678588742001</v>
      </c>
      <c r="G199" s="84">
        <f t="shared" si="231"/>
        <v>21848.797551059204</v>
      </c>
      <c r="H199" s="84">
        <f t="shared" si="231"/>
        <v>21048.571672932205</v>
      </c>
      <c r="I199" s="84">
        <f t="shared" si="231"/>
        <v>20867.423604166612</v>
      </c>
      <c r="J199" s="84">
        <f t="shared" si="231"/>
        <v>20217.004601512464</v>
      </c>
      <c r="K199" s="84">
        <f t="shared" si="231"/>
        <v>20403.130359293711</v>
      </c>
      <c r="L199" s="84">
        <f t="shared" si="231"/>
        <v>19737.685913676429</v>
      </c>
      <c r="M199" s="84">
        <f t="shared" si="234"/>
        <v>18836.106451750715</v>
      </c>
      <c r="N199" s="84">
        <f t="shared" si="231"/>
        <v>17929.916816442928</v>
      </c>
      <c r="O199" s="84">
        <f t="shared" si="231"/>
        <v>16678.502624007378</v>
      </c>
      <c r="P199" s="84">
        <f t="shared" si="231"/>
        <v>16225.411432890243</v>
      </c>
      <c r="Q199" s="84">
        <f t="shared" si="231"/>
        <v>15794.927239073973</v>
      </c>
      <c r="R199" s="84">
        <f t="shared" si="231"/>
        <v>15529.325656902802</v>
      </c>
      <c r="S199" s="84">
        <f t="shared" si="231"/>
        <v>15385.018063800429</v>
      </c>
      <c r="T199" s="84">
        <f t="shared" si="231"/>
        <v>15055.385461266642</v>
      </c>
      <c r="U199" s="84">
        <f t="shared" si="231"/>
        <v>14565.921468089071</v>
      </c>
      <c r="V199" s="84">
        <f t="shared" si="231"/>
        <v>13860.562712095707</v>
      </c>
      <c r="W199" s="84">
        <f t="shared" si="233"/>
        <v>12732.280721330404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15411.451360061305</v>
      </c>
      <c r="C200" s="84">
        <f t="shared" si="231"/>
        <v>14019.944978452873</v>
      </c>
      <c r="D200" s="84">
        <f t="shared" si="231"/>
        <v>13305.180087832885</v>
      </c>
      <c r="E200" s="84">
        <f t="shared" si="231"/>
        <v>13458.517680221243</v>
      </c>
      <c r="F200" s="84">
        <f t="shared" si="231"/>
        <v>13933.670193927335</v>
      </c>
      <c r="G200" s="84">
        <f t="shared" si="231"/>
        <v>14504.034116993244</v>
      </c>
      <c r="H200" s="84">
        <f t="shared" si="231"/>
        <v>13702.041344606288</v>
      </c>
      <c r="I200" s="84">
        <f t="shared" si="231"/>
        <v>12908.892324790515</v>
      </c>
      <c r="J200" s="84">
        <f t="shared" si="231"/>
        <v>12274.099449517686</v>
      </c>
      <c r="K200" s="84">
        <f t="shared" si="231"/>
        <v>12231.636369931211</v>
      </c>
      <c r="L200" s="84">
        <f t="shared" si="231"/>
        <v>12637.253628670998</v>
      </c>
      <c r="M200" s="84">
        <f t="shared" si="234"/>
        <v>11999.645514514881</v>
      </c>
      <c r="N200" s="84">
        <f t="shared" si="231"/>
        <v>11283.674891801968</v>
      </c>
      <c r="O200" s="84">
        <f t="shared" si="231"/>
        <v>10988.320868631818</v>
      </c>
      <c r="P200" s="84">
        <f t="shared" si="231"/>
        <v>10734.184188503574</v>
      </c>
      <c r="Q200" s="84">
        <f t="shared" si="231"/>
        <v>10518.923299644392</v>
      </c>
      <c r="R200" s="84">
        <f t="shared" si="231"/>
        <v>11444.227805763072</v>
      </c>
      <c r="S200" s="84">
        <f t="shared" si="231"/>
        <v>11814.698502176105</v>
      </c>
      <c r="T200" s="84">
        <f t="shared" si="231"/>
        <v>11428.127673539399</v>
      </c>
      <c r="U200" s="84">
        <f t="shared" si="231"/>
        <v>11186.98710017653</v>
      </c>
      <c r="V200" s="84">
        <f t="shared" si="231"/>
        <v>10292.882365282288</v>
      </c>
      <c r="W200" s="84">
        <f t="shared" si="233"/>
        <v>10503.611025738208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11678.415348999784</v>
      </c>
      <c r="R201" s="84">
        <f t="shared" si="231"/>
        <v>11483.487393272415</v>
      </c>
      <c r="S201" s="84">
        <f t="shared" si="231"/>
        <v>11974.978782544624</v>
      </c>
      <c r="T201" s="84">
        <f t="shared" si="231"/>
        <v>11700.165319165797</v>
      </c>
      <c r="U201" s="84">
        <f t="shared" si="231"/>
        <v>11568.974326221623</v>
      </c>
      <c r="V201" s="84">
        <f t="shared" si="231"/>
        <v>10467.707055309014</v>
      </c>
      <c r="W201" s="84">
        <f t="shared" si="233"/>
        <v>10642.599247803941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12648.603946279436</v>
      </c>
      <c r="O202" s="84">
        <f t="shared" si="231"/>
        <v>12503.491280435135</v>
      </c>
      <c r="P202" s="84">
        <f t="shared" si="231"/>
        <v>12444.610164650516</v>
      </c>
      <c r="Q202" s="84">
        <f t="shared" si="231"/>
        <v>12568.366602064487</v>
      </c>
      <c r="R202" s="84">
        <f t="shared" si="231"/>
        <v>13457.125019236726</v>
      </c>
      <c r="S202" s="84">
        <f t="shared" si="231"/>
        <v>13752.426021762574</v>
      </c>
      <c r="T202" s="84">
        <f t="shared" si="231"/>
        <v>13168.085530488714</v>
      </c>
      <c r="U202" s="84">
        <f t="shared" si="231"/>
        <v>12760.026417285242</v>
      </c>
      <c r="V202" s="84">
        <f t="shared" si="231"/>
        <v>11620.818872617594</v>
      </c>
      <c r="W202" s="84">
        <f t="shared" si="233"/>
        <v>11613.761889857295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10354.048730676235</v>
      </c>
      <c r="M203" s="84">
        <f t="shared" si="234"/>
        <v>10172.987593843834</v>
      </c>
      <c r="N203" s="84">
        <f t="shared" si="231"/>
        <v>10249.305632491134</v>
      </c>
      <c r="O203" s="84">
        <f t="shared" si="231"/>
        <v>10916.579414015294</v>
      </c>
      <c r="P203" s="84">
        <f t="shared" si="231"/>
        <v>11052.080104546609</v>
      </c>
      <c r="Q203" s="84">
        <f t="shared" si="231"/>
        <v>10518.766395934799</v>
      </c>
      <c r="R203" s="84">
        <f t="shared" si="231"/>
        <v>10637.751750243042</v>
      </c>
      <c r="S203" s="84">
        <f t="shared" si="231"/>
        <v>9899.4339951603524</v>
      </c>
      <c r="T203" s="84">
        <f t="shared" si="231"/>
        <v>9328.1254907600505</v>
      </c>
      <c r="U203" s="84">
        <f t="shared" si="231"/>
        <v>9203.1359023981331</v>
      </c>
      <c r="V203" s="84">
        <f t="shared" si="231"/>
        <v>8613.1116244396344</v>
      </c>
      <c r="W203" s="84">
        <f t="shared" si="233"/>
        <v>9549.5720489952928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1758346.2041107283</v>
      </c>
      <c r="C204" s="110">
        <f t="shared" si="231"/>
        <v>1648662.3218165045</v>
      </c>
      <c r="D204" s="110">
        <f t="shared" si="231"/>
        <v>1533064.0643886907</v>
      </c>
      <c r="E204" s="110">
        <f t="shared" si="231"/>
        <v>1535942.84863819</v>
      </c>
      <c r="F204" s="110">
        <f t="shared" si="231"/>
        <v>1392863.9572600648</v>
      </c>
      <c r="G204" s="110">
        <f t="shared" si="231"/>
        <v>1320238.2869103204</v>
      </c>
      <c r="H204" s="110">
        <f t="shared" si="231"/>
        <v>1325458.603233357</v>
      </c>
      <c r="I204" s="110">
        <f t="shared" si="231"/>
        <v>1252034.227518505</v>
      </c>
      <c r="J204" s="110">
        <f t="shared" si="231"/>
        <v>1247417.5579905333</v>
      </c>
      <c r="K204" s="110">
        <f t="shared" si="231"/>
        <v>1115373.8662059503</v>
      </c>
      <c r="L204" s="110">
        <f t="shared" si="231"/>
        <v>1043569.6589003729</v>
      </c>
      <c r="M204" s="110">
        <f t="shared" si="234"/>
        <v>974483.59659781307</v>
      </c>
      <c r="N204" s="110">
        <f t="shared" si="231"/>
        <v>962190.00195274362</v>
      </c>
      <c r="O204" s="110">
        <f t="shared" si="231"/>
        <v>901997.27969074377</v>
      </c>
      <c r="P204" s="110">
        <f t="shared" si="231"/>
        <v>902674.04333794396</v>
      </c>
      <c r="Q204" s="110">
        <f t="shared" si="231"/>
        <v>741617.82408777869</v>
      </c>
      <c r="R204" s="110">
        <f t="shared" si="231"/>
        <v>707042.74095864338</v>
      </c>
      <c r="S204" s="110">
        <f t="shared" si="231"/>
        <v>678551.26999059261</v>
      </c>
      <c r="T204" s="110">
        <f t="shared" si="231"/>
        <v>633335.1667491704</v>
      </c>
      <c r="U204" s="110">
        <f t="shared" si="231"/>
        <v>646828.86774602381</v>
      </c>
      <c r="V204" s="110">
        <f t="shared" si="231"/>
        <v>338009.42223156273</v>
      </c>
      <c r="W204" s="110">
        <f t="shared" si="233"/>
        <v>367702.44821092271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1776586.2360332729</v>
      </c>
      <c r="C206" s="102">
        <f t="shared" si="231"/>
        <v>1664445.0208041812</v>
      </c>
      <c r="D206" s="102">
        <f t="shared" si="231"/>
        <v>1546199.4368123189</v>
      </c>
      <c r="E206" s="102">
        <f t="shared" si="231"/>
        <v>1547534.0893355797</v>
      </c>
      <c r="F206" s="102">
        <f t="shared" si="231"/>
        <v>1418546.982862588</v>
      </c>
      <c r="G206" s="102">
        <f t="shared" si="231"/>
        <v>1343414.9112469095</v>
      </c>
      <c r="H206" s="102">
        <f t="shared" si="231"/>
        <v>1347511.433921214</v>
      </c>
      <c r="I206" s="102">
        <f t="shared" si="231"/>
        <v>1270694.9904140509</v>
      </c>
      <c r="J206" s="102">
        <f t="shared" si="231"/>
        <v>1264628.6942233727</v>
      </c>
      <c r="K206" s="102">
        <f t="shared" si="231"/>
        <v>1129109.4447955117</v>
      </c>
      <c r="L206" s="102">
        <f t="shared" si="231"/>
        <v>1055177.3261110985</v>
      </c>
      <c r="M206" s="102">
        <f t="shared" si="234"/>
        <v>984078.76557564503</v>
      </c>
      <c r="N206" s="102">
        <f t="shared" si="231"/>
        <v>970854.41413933481</v>
      </c>
      <c r="O206" s="102">
        <f t="shared" si="231"/>
        <v>909089.33753028349</v>
      </c>
      <c r="P206" s="102">
        <f t="shared" si="231"/>
        <v>908715.85107640398</v>
      </c>
      <c r="Q206" s="102">
        <f t="shared" si="231"/>
        <v>743810.06697465025</v>
      </c>
      <c r="R206" s="102">
        <f t="shared" si="231"/>
        <v>708798.47987445618</v>
      </c>
      <c r="S206" s="102">
        <f t="shared" si="231"/>
        <v>680047.61710894713</v>
      </c>
      <c r="T206" s="102">
        <f t="shared" si="231"/>
        <v>634411.42531637964</v>
      </c>
      <c r="U206" s="102">
        <f t="shared" si="231"/>
        <v>648444.32651776762</v>
      </c>
      <c r="V206" s="102">
        <f t="shared" si="231"/>
        <v>338427.3578423881</v>
      </c>
      <c r="W206" s="102">
        <f t="shared" si="233"/>
        <v>367227.93680127803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1109378.40280296</v>
      </c>
      <c r="C207" s="102">
        <f t="shared" si="231"/>
        <v>1039142.0626418173</v>
      </c>
      <c r="D207" s="102">
        <f t="shared" si="231"/>
        <v>965347.48506548523</v>
      </c>
      <c r="E207" s="102">
        <f t="shared" si="231"/>
        <v>966179.88670029503</v>
      </c>
      <c r="F207" s="102">
        <f t="shared" si="231"/>
        <v>875502.1600159345</v>
      </c>
      <c r="G207" s="102">
        <f t="shared" si="231"/>
        <v>829063.58014425752</v>
      </c>
      <c r="H207" s="102">
        <f t="shared" si="231"/>
        <v>831488.59981618973</v>
      </c>
      <c r="I207" s="102">
        <f t="shared" si="231"/>
        <v>784721.71782597725</v>
      </c>
      <c r="J207" s="102">
        <f t="shared" si="231"/>
        <v>781061.66989863547</v>
      </c>
      <c r="K207" s="102">
        <f t="shared" si="231"/>
        <v>697742.65380779048</v>
      </c>
      <c r="L207" s="102">
        <f t="shared" si="231"/>
        <v>652202.81622901116</v>
      </c>
      <c r="M207" s="102">
        <f t="shared" si="234"/>
        <v>608467.8534425695</v>
      </c>
      <c r="N207" s="102">
        <f t="shared" si="231"/>
        <v>600190.50975212979</v>
      </c>
      <c r="O207" s="102">
        <f t="shared" si="231"/>
        <v>562118.7966630822</v>
      </c>
      <c r="P207" s="102">
        <f t="shared" si="231"/>
        <v>562032.37525397621</v>
      </c>
      <c r="Q207" s="102">
        <f t="shared" si="231"/>
        <v>461476.13558455708</v>
      </c>
      <c r="R207" s="102">
        <f t="shared" si="231"/>
        <v>438907.82470069756</v>
      </c>
      <c r="S207" s="102">
        <f t="shared" si="231"/>
        <v>420351.83316883841</v>
      </c>
      <c r="T207" s="102">
        <f t="shared" si="231"/>
        <v>390982.27711588197</v>
      </c>
      <c r="U207" s="102">
        <f t="shared" si="231"/>
        <v>399743.15479447588</v>
      </c>
      <c r="V207" s="102">
        <f t="shared" si="231"/>
        <v>208626.64520048816</v>
      </c>
      <c r="W207" s="102">
        <f t="shared" si="233"/>
        <v>226914.48996716712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874351.72420226992</v>
      </c>
      <c r="R208" s="102">
        <f t="shared" si="231"/>
        <v>814960.05541147536</v>
      </c>
      <c r="S208" s="102">
        <f t="shared" si="231"/>
        <v>764895.34998719837</v>
      </c>
      <c r="T208" s="102">
        <f t="shared" si="231"/>
        <v>697223.83026163524</v>
      </c>
      <c r="U208" s="102">
        <f t="shared" si="231"/>
        <v>698589.83494432608</v>
      </c>
      <c r="V208" s="102">
        <f t="shared" si="231"/>
        <v>357303.3405320475</v>
      </c>
      <c r="W208" s="102">
        <f t="shared" si="233"/>
        <v>396396.40136344859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1490282.9389418866</v>
      </c>
      <c r="C209" s="102">
        <f t="shared" si="231"/>
        <v>1426823.6392041803</v>
      </c>
      <c r="D209" s="102">
        <f t="shared" si="231"/>
        <v>1353990.6191247553</v>
      </c>
      <c r="E209" s="102">
        <f t="shared" si="231"/>
        <v>1385732.5837107131</v>
      </c>
      <c r="F209" s="102">
        <f t="shared" si="231"/>
        <v>1277131.9857339333</v>
      </c>
      <c r="G209" s="102">
        <f t="shared" si="231"/>
        <v>1234959.0428470434</v>
      </c>
      <c r="H209" s="102">
        <f t="shared" si="231"/>
        <v>1266833.2525385399</v>
      </c>
      <c r="I209" s="102">
        <f t="shared" si="231"/>
        <v>1219476.2603946319</v>
      </c>
      <c r="J209" s="102">
        <f t="shared" si="231"/>
        <v>1240266.3286294206</v>
      </c>
      <c r="K209" s="102">
        <f t="shared" si="231"/>
        <v>1130564.9710782589</v>
      </c>
      <c r="L209" s="102">
        <f t="shared" si="231"/>
        <v>1079149.7905899768</v>
      </c>
      <c r="M209" s="102">
        <f t="shared" si="234"/>
        <v>1027295.4177272442</v>
      </c>
      <c r="N209" s="102">
        <f t="shared" si="231"/>
        <v>1035888.2444748152</v>
      </c>
      <c r="O209" s="102">
        <f t="shared" si="231"/>
        <v>990309.11836612783</v>
      </c>
      <c r="P209" s="102">
        <f t="shared" si="231"/>
        <v>1010041.0590983109</v>
      </c>
      <c r="Q209" s="102">
        <f t="shared" si="231"/>
        <v>840379.29255421902</v>
      </c>
      <c r="R209" s="102">
        <f t="shared" si="231"/>
        <v>838548.27352480718</v>
      </c>
      <c r="S209" s="102">
        <f t="shared" si="231"/>
        <v>836980.30937445385</v>
      </c>
      <c r="T209" s="102">
        <f t="shared" si="231"/>
        <v>834440.86429903249</v>
      </c>
      <c r="U209" s="102">
        <f t="shared" si="231"/>
        <v>833143.31628996471</v>
      </c>
      <c r="V209" s="102">
        <f t="shared" si="231"/>
        <v>438139.58842968603</v>
      </c>
      <c r="W209" s="102">
        <f t="shared" si="233"/>
        <v>486765.26790223015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33168.594535138174</v>
      </c>
      <c r="C210" s="28">
        <f t="shared" si="231"/>
        <v>33670.594101343915</v>
      </c>
      <c r="D210" s="28">
        <f t="shared" si="231"/>
        <v>33345.79982097022</v>
      </c>
      <c r="E210" s="28">
        <f t="shared" si="231"/>
        <v>34180.640015809782</v>
      </c>
      <c r="F210" s="28">
        <f t="shared" ref="B210:V219" si="235">IF(F19=0,0,F19*1000000/F73)</f>
        <v>39076.473575129821</v>
      </c>
      <c r="G210" s="28">
        <f t="shared" si="235"/>
        <v>39423.183679191628</v>
      </c>
      <c r="H210" s="28">
        <f t="shared" si="235"/>
        <v>40519.595949502982</v>
      </c>
      <c r="I210" s="28">
        <f t="shared" si="235"/>
        <v>40492.614562019684</v>
      </c>
      <c r="J210" s="28">
        <f t="shared" si="235"/>
        <v>40206.14397968648</v>
      </c>
      <c r="K210" s="28">
        <f t="shared" si="235"/>
        <v>41233.481493509033</v>
      </c>
      <c r="L210" s="28">
        <f t="shared" si="235"/>
        <v>41921.095376358666</v>
      </c>
      <c r="M210" s="28">
        <f t="shared" si="234"/>
        <v>43010.102964189085</v>
      </c>
      <c r="N210" s="28">
        <f t="shared" si="235"/>
        <v>43229.999610536572</v>
      </c>
      <c r="O210" s="28">
        <f t="shared" si="235"/>
        <v>45886.733183617849</v>
      </c>
      <c r="P210" s="28">
        <f t="shared" si="235"/>
        <v>44578.077622913304</v>
      </c>
      <c r="Q210" s="28">
        <f t="shared" si="235"/>
        <v>46137.615451702848</v>
      </c>
      <c r="R210" s="28">
        <f t="shared" si="235"/>
        <v>46970.833035153519</v>
      </c>
      <c r="S210" s="28">
        <f t="shared" si="235"/>
        <v>51616.649148220611</v>
      </c>
      <c r="T210" s="28">
        <f t="shared" si="235"/>
        <v>46586.88803152008</v>
      </c>
      <c r="U210" s="28">
        <f t="shared" si="235"/>
        <v>48339.089851946126</v>
      </c>
      <c r="V210" s="28">
        <f t="shared" si="235"/>
        <v>47506.750826142481</v>
      </c>
      <c r="W210" s="28">
        <f t="shared" ref="W210" si="236">IF(W19=0,0,W19*1000000/W73)</f>
        <v>49659.117147891768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2374.3605304271227</v>
      </c>
      <c r="C211" s="137">
        <f t="shared" si="235"/>
        <v>2305.4456462116336</v>
      </c>
      <c r="D211" s="137">
        <f t="shared" si="235"/>
        <v>2383.3941315215166</v>
      </c>
      <c r="E211" s="137">
        <f t="shared" si="235"/>
        <v>2421.4997422417046</v>
      </c>
      <c r="F211" s="137">
        <f t="shared" si="235"/>
        <v>2431.654692107873</v>
      </c>
      <c r="G211" s="137">
        <f t="shared" si="235"/>
        <v>2447.0648977567362</v>
      </c>
      <c r="H211" s="137">
        <f t="shared" si="235"/>
        <v>2524.8865335968221</v>
      </c>
      <c r="I211" s="137">
        <f t="shared" si="235"/>
        <v>2546.9039986665257</v>
      </c>
      <c r="J211" s="137">
        <f t="shared" si="235"/>
        <v>2554.5201678897538</v>
      </c>
      <c r="K211" s="137">
        <f t="shared" si="235"/>
        <v>2612.2907556005994</v>
      </c>
      <c r="L211" s="137">
        <f t="shared" si="235"/>
        <v>2591.9272514728195</v>
      </c>
      <c r="M211" s="137">
        <f t="shared" si="234"/>
        <v>2599.5654658833396</v>
      </c>
      <c r="N211" s="137">
        <f t="shared" si="235"/>
        <v>2575.3717966122786</v>
      </c>
      <c r="O211" s="137">
        <f t="shared" si="235"/>
        <v>2545.9542896593598</v>
      </c>
      <c r="P211" s="137">
        <f t="shared" si="235"/>
        <v>2553.9611523953431</v>
      </c>
      <c r="Q211" s="137">
        <f t="shared" si="235"/>
        <v>2538.607892999989</v>
      </c>
      <c r="R211" s="137">
        <f t="shared" si="235"/>
        <v>2600.4672569509053</v>
      </c>
      <c r="S211" s="137">
        <f t="shared" si="235"/>
        <v>2646.5216790914333</v>
      </c>
      <c r="T211" s="137">
        <f t="shared" si="235"/>
        <v>2710.0781468678128</v>
      </c>
      <c r="U211" s="137">
        <f t="shared" si="235"/>
        <v>2756.6359924790136</v>
      </c>
      <c r="V211" s="137">
        <f t="shared" si="235"/>
        <v>2715.8363165710939</v>
      </c>
      <c r="W211" s="137">
        <f t="shared" ref="W211" si="237">IF(W20=0,0,W20*1000000/W74)</f>
        <v>2725.0488401341954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1821.972330776797</v>
      </c>
      <c r="C212" s="84">
        <f t="shared" si="235"/>
        <v>1766.9784989577633</v>
      </c>
      <c r="D212" s="84">
        <f t="shared" si="235"/>
        <v>1764.3394016073901</v>
      </c>
      <c r="E212" s="84">
        <f t="shared" si="235"/>
        <v>1769.0347624808862</v>
      </c>
      <c r="F212" s="84">
        <f t="shared" si="235"/>
        <v>1741.4908580667236</v>
      </c>
      <c r="G212" s="84">
        <f t="shared" si="235"/>
        <v>1664.6025116961682</v>
      </c>
      <c r="H212" s="84">
        <f t="shared" si="235"/>
        <v>1653.623396446651</v>
      </c>
      <c r="I212" s="84">
        <f t="shared" si="235"/>
        <v>1607.1644228688772</v>
      </c>
      <c r="J212" s="84">
        <f t="shared" si="235"/>
        <v>1537.3324020520845</v>
      </c>
      <c r="K212" s="84">
        <f t="shared" si="235"/>
        <v>1633.7186054696908</v>
      </c>
      <c r="L212" s="84">
        <f t="shared" si="235"/>
        <v>1559.598446716876</v>
      </c>
      <c r="M212" s="84">
        <f t="shared" si="234"/>
        <v>1522.0914390748278</v>
      </c>
      <c r="N212" s="84">
        <f t="shared" si="235"/>
        <v>1468.2796146191395</v>
      </c>
      <c r="O212" s="84">
        <f t="shared" si="235"/>
        <v>1402.7482621146523</v>
      </c>
      <c r="P212" s="84">
        <f t="shared" si="235"/>
        <v>1366.2982016420663</v>
      </c>
      <c r="Q212" s="84">
        <f t="shared" si="235"/>
        <v>1264.7939918032962</v>
      </c>
      <c r="R212" s="84">
        <f t="shared" si="235"/>
        <v>1284.9137669580205</v>
      </c>
      <c r="S212" s="84">
        <f t="shared" si="235"/>
        <v>1307.7293012119812</v>
      </c>
      <c r="T212" s="84">
        <f t="shared" si="235"/>
        <v>1331.2665963135182</v>
      </c>
      <c r="U212" s="84">
        <f t="shared" si="235"/>
        <v>1348.3005338804142</v>
      </c>
      <c r="V212" s="84">
        <f t="shared" si="235"/>
        <v>1276.4419460240695</v>
      </c>
      <c r="W212" s="84">
        <f t="shared" ref="W212" si="238">IF(W21=0,0,W21*1000000/W75)</f>
        <v>1275.719877949695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3865.7712597777063</v>
      </c>
      <c r="C213" s="84">
        <f t="shared" si="235"/>
        <v>3788.3695621389666</v>
      </c>
      <c r="D213" s="84">
        <f t="shared" si="235"/>
        <v>3713.7341376567488</v>
      </c>
      <c r="E213" s="84">
        <f t="shared" si="235"/>
        <v>3715.8969849304322</v>
      </c>
      <c r="F213" s="84">
        <f t="shared" si="235"/>
        <v>3636.5048992519428</v>
      </c>
      <c r="G213" s="84">
        <f t="shared" si="235"/>
        <v>3566.7073796259133</v>
      </c>
      <c r="H213" s="84">
        <f t="shared" si="235"/>
        <v>3616.8757248782854</v>
      </c>
      <c r="I213" s="84">
        <f t="shared" si="235"/>
        <v>3556.4639182393394</v>
      </c>
      <c r="J213" s="84">
        <f t="shared" si="235"/>
        <v>3493.3976475481713</v>
      </c>
      <c r="K213" s="84">
        <f t="shared" si="235"/>
        <v>3426.9689188716065</v>
      </c>
      <c r="L213" s="84">
        <f t="shared" si="235"/>
        <v>3367.5514173059833</v>
      </c>
      <c r="M213" s="84">
        <f t="shared" si="234"/>
        <v>3305.4391619176081</v>
      </c>
      <c r="N213" s="84">
        <f t="shared" si="235"/>
        <v>3239.5424194073571</v>
      </c>
      <c r="O213" s="84">
        <f t="shared" si="235"/>
        <v>3179.09041608907</v>
      </c>
      <c r="P213" s="84">
        <f t="shared" si="235"/>
        <v>3187.9392724892468</v>
      </c>
      <c r="Q213" s="84">
        <f t="shared" si="235"/>
        <v>3168.2896595296884</v>
      </c>
      <c r="R213" s="84">
        <f t="shared" si="235"/>
        <v>3212.234257830919</v>
      </c>
      <c r="S213" s="84">
        <f t="shared" si="235"/>
        <v>3256.1885623401595</v>
      </c>
      <c r="T213" s="84">
        <f t="shared" si="235"/>
        <v>3301.5295696023995</v>
      </c>
      <c r="U213" s="84">
        <f t="shared" si="235"/>
        <v>3330.3917911753733</v>
      </c>
      <c r="V213" s="84">
        <f t="shared" si="235"/>
        <v>3265.2737139536707</v>
      </c>
      <c r="W213" s="84">
        <f t="shared" ref="W213" si="239">IF(W22=0,0,W22*1000000/W76)</f>
        <v>3250.3663410371068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1207.9575467417603</v>
      </c>
      <c r="C214" s="84">
        <f t="shared" si="235"/>
        <v>1207.8690296845971</v>
      </c>
      <c r="D214" s="84">
        <f t="shared" si="235"/>
        <v>1208.176282699895</v>
      </c>
      <c r="E214" s="84">
        <f t="shared" si="235"/>
        <v>1233.4886300514272</v>
      </c>
      <c r="F214" s="84">
        <f t="shared" si="235"/>
        <v>1231.707684268159</v>
      </c>
      <c r="G214" s="84">
        <f t="shared" si="235"/>
        <v>1232.6589775494044</v>
      </c>
      <c r="H214" s="84">
        <f t="shared" si="235"/>
        <v>1275.4429521504237</v>
      </c>
      <c r="I214" s="84">
        <f t="shared" si="235"/>
        <v>1279.669583693154</v>
      </c>
      <c r="J214" s="84">
        <f t="shared" si="235"/>
        <v>1282.565202215681</v>
      </c>
      <c r="K214" s="84">
        <f t="shared" si="235"/>
        <v>1283.7888035468632</v>
      </c>
      <c r="L214" s="84">
        <f t="shared" si="235"/>
        <v>1287.2107036208934</v>
      </c>
      <c r="M214" s="84">
        <f t="shared" si="234"/>
        <v>1289.1889191620496</v>
      </c>
      <c r="N214" s="84">
        <f t="shared" si="235"/>
        <v>1289.208189845051</v>
      </c>
      <c r="O214" s="84">
        <f t="shared" si="235"/>
        <v>1290.9049119819415</v>
      </c>
      <c r="P214" s="84">
        <f t="shared" si="235"/>
        <v>1310.3249708074993</v>
      </c>
      <c r="Q214" s="84">
        <f t="shared" si="235"/>
        <v>1318.170115775406</v>
      </c>
      <c r="R214" s="84">
        <f t="shared" si="235"/>
        <v>1331.0779284198986</v>
      </c>
      <c r="S214" s="84">
        <f t="shared" si="235"/>
        <v>1354.7131752757659</v>
      </c>
      <c r="T214" s="84">
        <f t="shared" si="235"/>
        <v>1379.0961142791623</v>
      </c>
      <c r="U214" s="84">
        <f t="shared" si="235"/>
        <v>1396.742044233712</v>
      </c>
      <c r="V214" s="84">
        <f t="shared" si="235"/>
        <v>1374.9344905950588</v>
      </c>
      <c r="W214" s="84">
        <f t="shared" ref="W214" si="240">IF(W23=0,0,W23*1000000/W77)</f>
        <v>1374.1567064560247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1964.0266715425544</v>
      </c>
      <c r="R215" s="84">
        <f t="shared" si="235"/>
        <v>1967.2162659339583</v>
      </c>
      <c r="S215" s="84">
        <f t="shared" si="235"/>
        <v>1970.0481445125588</v>
      </c>
      <c r="T215" s="84">
        <f t="shared" si="235"/>
        <v>1973.3534554447542</v>
      </c>
      <c r="U215" s="84">
        <f t="shared" si="235"/>
        <v>1966.5609564648694</v>
      </c>
      <c r="V215" s="84">
        <f t="shared" si="235"/>
        <v>1904.820574153558</v>
      </c>
      <c r="W215" s="84">
        <f t="shared" ref="W215" si="241">IF(W24=0,0,W24*1000000/W78)</f>
        <v>1873.2217385379354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1225.9820518970098</v>
      </c>
      <c r="O216" s="84">
        <f t="shared" si="235"/>
        <v>1226.8491238763227</v>
      </c>
      <c r="P216" s="84">
        <f t="shared" si="235"/>
        <v>1226.9210102677089</v>
      </c>
      <c r="Q216" s="84">
        <f t="shared" si="235"/>
        <v>1227.5166697140967</v>
      </c>
      <c r="R216" s="84">
        <f t="shared" si="235"/>
        <v>1275.296109291814</v>
      </c>
      <c r="S216" s="84">
        <f t="shared" si="235"/>
        <v>1304.718500446618</v>
      </c>
      <c r="T216" s="84">
        <f t="shared" si="235"/>
        <v>1314.0291701869144</v>
      </c>
      <c r="U216" s="84">
        <f t="shared" si="235"/>
        <v>1313.2338527485047</v>
      </c>
      <c r="V216" s="84">
        <f t="shared" si="235"/>
        <v>1298.5554467363004</v>
      </c>
      <c r="W216" s="84">
        <f t="shared" ref="W216" si="242">IF(W25=0,0,W25*1000000/W79)</f>
        <v>1312.2147927309506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134074.56072456716</v>
      </c>
      <c r="C217" s="110">
        <f t="shared" si="235"/>
        <v>133482.83125650915</v>
      </c>
      <c r="D217" s="110">
        <f t="shared" si="235"/>
        <v>120364.28212071738</v>
      </c>
      <c r="E217" s="110">
        <f t="shared" si="235"/>
        <v>125286.94870171345</v>
      </c>
      <c r="F217" s="110">
        <f t="shared" si="235"/>
        <v>144203.83677576104</v>
      </c>
      <c r="G217" s="110">
        <f t="shared" si="235"/>
        <v>146836.56595051498</v>
      </c>
      <c r="H217" s="110">
        <f t="shared" si="235"/>
        <v>152403.23306118406</v>
      </c>
      <c r="I217" s="110">
        <f t="shared" si="235"/>
        <v>147922.23874633564</v>
      </c>
      <c r="J217" s="110">
        <f t="shared" si="235"/>
        <v>144305.8695194888</v>
      </c>
      <c r="K217" s="110">
        <f t="shared" si="235"/>
        <v>149790.25601820799</v>
      </c>
      <c r="L217" s="110">
        <f t="shared" si="235"/>
        <v>157928.20563390871</v>
      </c>
      <c r="M217" s="110">
        <f t="shared" si="234"/>
        <v>160816.70865364189</v>
      </c>
      <c r="N217" s="110">
        <f t="shared" si="235"/>
        <v>161492.49554951314</v>
      </c>
      <c r="O217" s="110">
        <f t="shared" si="235"/>
        <v>173808.93867365454</v>
      </c>
      <c r="P217" s="110">
        <f t="shared" si="235"/>
        <v>163774.62146201724</v>
      </c>
      <c r="Q217" s="110">
        <f t="shared" si="235"/>
        <v>167178.53153511666</v>
      </c>
      <c r="R217" s="110">
        <f t="shared" si="235"/>
        <v>170105.92401120046</v>
      </c>
      <c r="S217" s="110">
        <f t="shared" si="235"/>
        <v>187378.21290989866</v>
      </c>
      <c r="T217" s="110">
        <f t="shared" si="235"/>
        <v>165115.69570377984</v>
      </c>
      <c r="U217" s="110">
        <f t="shared" si="235"/>
        <v>172525.92354821152</v>
      </c>
      <c r="V217" s="110">
        <f t="shared" si="235"/>
        <v>169535.80714419851</v>
      </c>
      <c r="W217" s="110">
        <f t="shared" ref="W217" si="243">IF(W26=0,0,W26*1000000/W80)</f>
        <v>176477.80869202959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99608.001012681358</v>
      </c>
      <c r="C218" s="163">
        <f t="shared" si="235"/>
        <v>97915.205432095812</v>
      </c>
      <c r="D218" s="163">
        <f t="shared" si="235"/>
        <v>87343.79729320707</v>
      </c>
      <c r="E218" s="163">
        <f t="shared" si="235"/>
        <v>91843.595555463151</v>
      </c>
      <c r="F218" s="163">
        <f t="shared" si="235"/>
        <v>105011.26427671204</v>
      </c>
      <c r="G218" s="163">
        <f t="shared" si="235"/>
        <v>107011.78288584122</v>
      </c>
      <c r="H218" s="163">
        <f t="shared" si="235"/>
        <v>104112.27725894906</v>
      </c>
      <c r="I218" s="163">
        <f t="shared" si="235"/>
        <v>106104.53157291026</v>
      </c>
      <c r="J218" s="163">
        <f t="shared" si="235"/>
        <v>105886.7353369023</v>
      </c>
      <c r="K218" s="163">
        <f t="shared" si="235"/>
        <v>114363.31110280093</v>
      </c>
      <c r="L218" s="163">
        <f t="shared" si="235"/>
        <v>116180.45006535483</v>
      </c>
      <c r="M218" s="163">
        <f t="shared" si="234"/>
        <v>119459.29539064495</v>
      </c>
      <c r="N218" s="163">
        <f t="shared" si="235"/>
        <v>117217.37618912171</v>
      </c>
      <c r="O218" s="163">
        <f t="shared" si="235"/>
        <v>128621.4858909974</v>
      </c>
      <c r="P218" s="163">
        <f t="shared" si="235"/>
        <v>119140.50459043642</v>
      </c>
      <c r="Q218" s="163">
        <f t="shared" si="235"/>
        <v>123763.1546900512</v>
      </c>
      <c r="R218" s="163">
        <f t="shared" si="235"/>
        <v>123084.20384371212</v>
      </c>
      <c r="S218" s="163">
        <f t="shared" si="235"/>
        <v>135881.24823831857</v>
      </c>
      <c r="T218" s="163">
        <f t="shared" si="235"/>
        <v>121828.46799841091</v>
      </c>
      <c r="U218" s="163">
        <f t="shared" si="235"/>
        <v>124553.91614667028</v>
      </c>
      <c r="V218" s="163">
        <f t="shared" si="235"/>
        <v>125122.40004122948</v>
      </c>
      <c r="W218" s="163">
        <f t="shared" ref="W218" si="244">IF(W27=0,0,W27*1000000/W81)</f>
        <v>130901.14160796697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1211884.8133527921</v>
      </c>
      <c r="C219" s="86">
        <f t="shared" si="235"/>
        <v>1210851.8582033431</v>
      </c>
      <c r="D219" s="86">
        <f t="shared" si="235"/>
        <v>1218783.1771869254</v>
      </c>
      <c r="E219" s="86">
        <f t="shared" si="235"/>
        <v>1211580.3694717451</v>
      </c>
      <c r="F219" s="86">
        <f t="shared" si="235"/>
        <v>1189422.4455533028</v>
      </c>
      <c r="G219" s="86">
        <f t="shared" si="235"/>
        <v>1189933.7608654159</v>
      </c>
      <c r="H219" s="86">
        <f t="shared" si="235"/>
        <v>1197532.2461820203</v>
      </c>
      <c r="I219" s="86">
        <f t="shared" si="235"/>
        <v>1199815.2510487016</v>
      </c>
      <c r="J219" s="86">
        <f t="shared" si="235"/>
        <v>1182824.3327528948</v>
      </c>
      <c r="K219" s="86">
        <f t="shared" si="235"/>
        <v>1167179.7823235814</v>
      </c>
      <c r="L219" s="86">
        <f t="shared" si="235"/>
        <v>1205210.8331410468</v>
      </c>
      <c r="M219" s="86">
        <f t="shared" si="234"/>
        <v>1201321.9639016204</v>
      </c>
      <c r="N219" s="86">
        <f t="shared" si="235"/>
        <v>1197348.5939034317</v>
      </c>
      <c r="O219" s="86">
        <f t="shared" si="235"/>
        <v>1198955.5714461855</v>
      </c>
      <c r="P219" s="86">
        <f t="shared" si="235"/>
        <v>1201761.3266326452</v>
      </c>
      <c r="Q219" s="86">
        <f t="shared" si="235"/>
        <v>1190468.7405620972</v>
      </c>
      <c r="R219" s="86">
        <f t="shared" si="235"/>
        <v>1184151.857028489</v>
      </c>
      <c r="S219" s="86">
        <f t="shared" si="235"/>
        <v>1194213.7954135493</v>
      </c>
      <c r="T219" s="86">
        <f t="shared" si="235"/>
        <v>1203265.9092067049</v>
      </c>
      <c r="U219" s="86">
        <f t="shared" si="235"/>
        <v>1198674.1663318602</v>
      </c>
      <c r="V219" s="86">
        <f t="shared" si="235"/>
        <v>1180385.9334391316</v>
      </c>
      <c r="W219" s="86">
        <f t="shared" ref="W219" si="245">IF(W28=0,0,W28*1000000/W82)</f>
        <v>1193470.0602696959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1.3094853024504595E-2</v>
      </c>
      <c r="C223" s="154">
        <f t="shared" si="250"/>
        <v>1.180069434298729E-2</v>
      </c>
      <c r="D223" s="154">
        <f t="shared" si="250"/>
        <v>1.1219072676978168E-2</v>
      </c>
      <c r="E223" s="154">
        <f t="shared" si="250"/>
        <v>1.0077759270105577E-2</v>
      </c>
      <c r="F223" s="154">
        <f t="shared" si="250"/>
        <v>9.3513545571067593E-3</v>
      </c>
      <c r="G223" s="154">
        <f t="shared" si="250"/>
        <v>1.018306001138251E-2</v>
      </c>
      <c r="H223" s="154">
        <f t="shared" si="250"/>
        <v>1.0601537985519134E-2</v>
      </c>
      <c r="I223" s="154">
        <f t="shared" si="250"/>
        <v>1.1249101987014169E-2</v>
      </c>
      <c r="J223" s="154">
        <f t="shared" si="250"/>
        <v>1.0847645649331234E-2</v>
      </c>
      <c r="K223" s="154">
        <f t="shared" si="250"/>
        <v>1.1623327378523417E-2</v>
      </c>
      <c r="L223" s="154">
        <f t="shared" ref="L223" si="251">IF(L5=0,0,L5/L$4)</f>
        <v>1.2299434076687103E-2</v>
      </c>
      <c r="M223" s="154">
        <f t="shared" ref="M223:V223" si="252">IF(M5=0,0,M5/M$4)</f>
        <v>1.2343264714014125E-2</v>
      </c>
      <c r="N223" s="154">
        <f t="shared" si="252"/>
        <v>1.2384778739293294E-2</v>
      </c>
      <c r="O223" s="154">
        <f t="shared" si="252"/>
        <v>1.1908626338114124E-2</v>
      </c>
      <c r="P223" s="154">
        <f t="shared" si="252"/>
        <v>1.181867218717979E-2</v>
      </c>
      <c r="Q223" s="154">
        <f t="shared" si="252"/>
        <v>1.2255104367540149E-2</v>
      </c>
      <c r="R223" s="154">
        <f t="shared" si="252"/>
        <v>1.2435493528132039E-2</v>
      </c>
      <c r="S223" s="154">
        <f t="shared" si="252"/>
        <v>1.1473913774065751E-2</v>
      </c>
      <c r="T223" s="154">
        <f t="shared" si="252"/>
        <v>1.0804833068299807E-2</v>
      </c>
      <c r="U223" s="154">
        <f t="shared" si="252"/>
        <v>1.1267744454967176E-2</v>
      </c>
      <c r="V223" s="154">
        <f t="shared" si="252"/>
        <v>1.1171695920594001E-2</v>
      </c>
      <c r="W223" s="154">
        <f t="shared" ref="W223" si="253">IF(W5=0,0,W5/W$4)</f>
        <v>1.1210596102170142E-2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0.67826920032494431</v>
      </c>
      <c r="C224" s="156">
        <f t="shared" si="254"/>
        <v>0.69653046424306231</v>
      </c>
      <c r="D224" s="156">
        <f t="shared" si="254"/>
        <v>0.71499707098224907</v>
      </c>
      <c r="E224" s="156">
        <f t="shared" si="254"/>
        <v>0.72512189017695217</v>
      </c>
      <c r="F224" s="156">
        <f t="shared" si="254"/>
        <v>0.73485205230427852</v>
      </c>
      <c r="G224" s="156">
        <f t="shared" si="254"/>
        <v>0.74813459037353069</v>
      </c>
      <c r="H224" s="156">
        <f t="shared" si="254"/>
        <v>0.75469946006560018</v>
      </c>
      <c r="I224" s="156">
        <f t="shared" si="254"/>
        <v>0.7641631940357505</v>
      </c>
      <c r="J224" s="156">
        <f t="shared" si="254"/>
        <v>0.77497819501100973</v>
      </c>
      <c r="K224" s="156">
        <f t="shared" si="254"/>
        <v>0.79694404757368298</v>
      </c>
      <c r="L224" s="156">
        <f t="shared" ref="L224" si="255">IF(L6=0,0,L6/L$4)</f>
        <v>0.8090223584746028</v>
      </c>
      <c r="M224" s="156">
        <f t="shared" ref="M224:V224" si="256">IF(M6=0,0,M6/M$4)</f>
        <v>0.8148621598006387</v>
      </c>
      <c r="N224" s="156">
        <f t="shared" si="256"/>
        <v>0.81742070423996371</v>
      </c>
      <c r="O224" s="156">
        <f t="shared" si="256"/>
        <v>0.82649883107042765</v>
      </c>
      <c r="P224" s="156">
        <f t="shared" si="256"/>
        <v>0.82435049486267664</v>
      </c>
      <c r="Q224" s="156">
        <f t="shared" si="256"/>
        <v>0.83187904143188107</v>
      </c>
      <c r="R224" s="156">
        <f t="shared" si="256"/>
        <v>0.84235115634073032</v>
      </c>
      <c r="S224" s="156">
        <f t="shared" si="256"/>
        <v>0.85013396907311278</v>
      </c>
      <c r="T224" s="156">
        <f t="shared" si="256"/>
        <v>0.85885003713688857</v>
      </c>
      <c r="U224" s="156">
        <f t="shared" si="256"/>
        <v>0.85529127610091826</v>
      </c>
      <c r="V224" s="156">
        <f t="shared" si="256"/>
        <v>0.91043046376090564</v>
      </c>
      <c r="W224" s="156">
        <f t="shared" ref="W224" si="257">IF(W6=0,0,W6/W$4)</f>
        <v>0.90631303987312506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0.535587931168372</v>
      </c>
      <c r="C225" s="103">
        <f t="shared" si="258"/>
        <v>0.51360481561139115</v>
      </c>
      <c r="D225" s="103">
        <f t="shared" si="258"/>
        <v>0.50263426967296643</v>
      </c>
      <c r="E225" s="103">
        <f t="shared" si="258"/>
        <v>0.45896083403041416</v>
      </c>
      <c r="F225" s="103">
        <f t="shared" si="258"/>
        <v>0.42531298937852929</v>
      </c>
      <c r="G225" s="103">
        <f t="shared" si="258"/>
        <v>0.44102760653569267</v>
      </c>
      <c r="H225" s="103">
        <f t="shared" si="258"/>
        <v>0.41741958862724943</v>
      </c>
      <c r="I225" s="103">
        <f t="shared" si="258"/>
        <v>0.38254252547964046</v>
      </c>
      <c r="J225" s="103">
        <f t="shared" si="258"/>
        <v>0.3519857028693294</v>
      </c>
      <c r="K225" s="103">
        <f t="shared" si="258"/>
        <v>0.33865332364160966</v>
      </c>
      <c r="L225" s="103">
        <f t="shared" ref="L225" si="259">IF(L7=0,0,L7/L$4)</f>
        <v>0.31528926817828357</v>
      </c>
      <c r="M225" s="103">
        <f t="shared" ref="M225:V225" si="260">IF(M7=0,0,M7/M$4)</f>
        <v>0.30134354511805317</v>
      </c>
      <c r="N225" s="103">
        <f t="shared" si="260"/>
        <v>0.30094460287799457</v>
      </c>
      <c r="O225" s="103">
        <f t="shared" si="260"/>
        <v>0.30977098647203832</v>
      </c>
      <c r="P225" s="103">
        <f t="shared" si="260"/>
        <v>0.30085021536734435</v>
      </c>
      <c r="Q225" s="103">
        <f t="shared" si="260"/>
        <v>0.30261595321260198</v>
      </c>
      <c r="R225" s="103">
        <f t="shared" si="260"/>
        <v>0.29336362783570441</v>
      </c>
      <c r="S225" s="103">
        <f t="shared" si="260"/>
        <v>0.29704968462676118</v>
      </c>
      <c r="T225" s="103">
        <f t="shared" si="260"/>
        <v>0.2929714363982579</v>
      </c>
      <c r="U225" s="103">
        <f t="shared" si="260"/>
        <v>0.29699230259416004</v>
      </c>
      <c r="V225" s="103">
        <f t="shared" si="260"/>
        <v>0.3095247602313928</v>
      </c>
      <c r="W225" s="103">
        <f t="shared" ref="W225" si="261">IF(W7=0,0,W7/W$4)</f>
        <v>0.34536366047364453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9.4473216321050893E-2</v>
      </c>
      <c r="C226" s="103">
        <f t="shared" si="262"/>
        <v>0.1091137152642942</v>
      </c>
      <c r="D226" s="103">
        <f t="shared" si="262"/>
        <v>0.10728366148941676</v>
      </c>
      <c r="E226" s="103">
        <f t="shared" si="262"/>
        <v>0.12802849026880331</v>
      </c>
      <c r="F226" s="103">
        <f t="shared" si="262"/>
        <v>0.15260330808370887</v>
      </c>
      <c r="G226" s="103">
        <f t="shared" si="262"/>
        <v>0.12749208775031515</v>
      </c>
      <c r="H226" s="103">
        <f t="shared" si="262"/>
        <v>0.15851931673738864</v>
      </c>
      <c r="I226" s="103">
        <f t="shared" si="262"/>
        <v>0.20644513233231743</v>
      </c>
      <c r="J226" s="103">
        <f t="shared" si="262"/>
        <v>0.25617985733938009</v>
      </c>
      <c r="K226" s="103">
        <f t="shared" si="262"/>
        <v>0.29103919884980733</v>
      </c>
      <c r="L226" s="103">
        <f t="shared" ref="L226" si="263">IF(L8=0,0,L8/L$4)</f>
        <v>0.31874356459331682</v>
      </c>
      <c r="M226" s="103">
        <f t="shared" ref="M226:V226" si="264">IF(M8=0,0,M8/M$4)</f>
        <v>0.35729984340190696</v>
      </c>
      <c r="N226" s="103">
        <f t="shared" si="264"/>
        <v>0.38215007314448968</v>
      </c>
      <c r="O226" s="103">
        <f t="shared" si="264"/>
        <v>0.38298562698404881</v>
      </c>
      <c r="P226" s="103">
        <f t="shared" si="264"/>
        <v>0.39302906292129614</v>
      </c>
      <c r="Q226" s="103">
        <f t="shared" si="264"/>
        <v>0.39908144679847202</v>
      </c>
      <c r="R226" s="103">
        <f t="shared" si="264"/>
        <v>0.40928578569206581</v>
      </c>
      <c r="S226" s="103">
        <f t="shared" si="264"/>
        <v>0.41484645745074988</v>
      </c>
      <c r="T226" s="103">
        <f t="shared" si="264"/>
        <v>0.42375901362312446</v>
      </c>
      <c r="U226" s="103">
        <f t="shared" si="264"/>
        <v>0.42052874263496126</v>
      </c>
      <c r="V226" s="103">
        <f t="shared" si="264"/>
        <v>0.46037898269661298</v>
      </c>
      <c r="W226" s="103">
        <f t="shared" ref="W226" si="265">IF(W8=0,0,W8/W$4)</f>
        <v>0.4220567688086973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4.820805283552141E-2</v>
      </c>
      <c r="C227" s="103">
        <f t="shared" si="266"/>
        <v>7.3811933367376945E-2</v>
      </c>
      <c r="D227" s="103">
        <f t="shared" si="266"/>
        <v>0.10507913981986587</v>
      </c>
      <c r="E227" s="103">
        <f t="shared" si="266"/>
        <v>0.1381325658777347</v>
      </c>
      <c r="F227" s="103">
        <f t="shared" si="266"/>
        <v>0.15693575484204039</v>
      </c>
      <c r="G227" s="103">
        <f t="shared" si="266"/>
        <v>0.17961489608752293</v>
      </c>
      <c r="H227" s="103">
        <f t="shared" si="266"/>
        <v>0.17876055470096208</v>
      </c>
      <c r="I227" s="103">
        <f t="shared" si="266"/>
        <v>0.17517553622379262</v>
      </c>
      <c r="J227" s="103">
        <f t="shared" si="266"/>
        <v>0.16681263480230019</v>
      </c>
      <c r="K227" s="103">
        <f t="shared" si="266"/>
        <v>0.16725152508226593</v>
      </c>
      <c r="L227" s="103">
        <f t="shared" ref="L227" si="267">IF(L9=0,0,L9/L$4)</f>
        <v>0.17498886021995674</v>
      </c>
      <c r="M227" s="103">
        <f t="shared" ref="M227:V227" si="268">IF(M9=0,0,M9/M$4)</f>
        <v>0.15621421230173685</v>
      </c>
      <c r="N227" s="103">
        <f t="shared" si="268"/>
        <v>0.13431585866890672</v>
      </c>
      <c r="O227" s="103">
        <f t="shared" si="268"/>
        <v>0.1337297947710494</v>
      </c>
      <c r="P227" s="103">
        <f t="shared" si="268"/>
        <v>0.13042221145397961</v>
      </c>
      <c r="Q227" s="103">
        <f t="shared" si="268"/>
        <v>0.12989213125917223</v>
      </c>
      <c r="R227" s="103">
        <f t="shared" si="268"/>
        <v>0.1393034958512922</v>
      </c>
      <c r="S227" s="103">
        <f t="shared" si="268"/>
        <v>0.13775933002759747</v>
      </c>
      <c r="T227" s="103">
        <f t="shared" si="268"/>
        <v>0.14152376058552174</v>
      </c>
      <c r="U227" s="103">
        <f t="shared" si="268"/>
        <v>0.13708702611835216</v>
      </c>
      <c r="V227" s="103">
        <f t="shared" si="268"/>
        <v>0.13951118589212344</v>
      </c>
      <c r="W227" s="103">
        <f t="shared" ref="W227" si="269">IF(W9=0,0,W9/W$4)</f>
        <v>0.1373393261414442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2.5938066566667816E-4</v>
      </c>
      <c r="R228" s="103">
        <f t="shared" si="272"/>
        <v>3.3365624247601436E-4</v>
      </c>
      <c r="S228" s="103">
        <f t="shared" si="272"/>
        <v>3.4578541705220872E-4</v>
      </c>
      <c r="T228" s="103">
        <f t="shared" si="272"/>
        <v>3.4281170503994092E-4</v>
      </c>
      <c r="U228" s="103">
        <f t="shared" si="272"/>
        <v>3.3835586589728078E-4</v>
      </c>
      <c r="V228" s="103">
        <f t="shared" si="272"/>
        <v>3.3948366216394175E-4</v>
      </c>
      <c r="W228" s="103">
        <f t="shared" ref="W228" si="273">IF(W10=0,0,W10/W$4)</f>
        <v>3.3462967091321292E-4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6.5533566238322373E-7</v>
      </c>
      <c r="O229" s="103">
        <f t="shared" si="276"/>
        <v>1.1759354719593678E-6</v>
      </c>
      <c r="P229" s="103">
        <f t="shared" si="276"/>
        <v>3.5040597103702186E-5</v>
      </c>
      <c r="Q229" s="103">
        <f t="shared" si="276"/>
        <v>1.4074624348348535E-5</v>
      </c>
      <c r="R229" s="103">
        <f t="shared" si="276"/>
        <v>2.25843133205577E-5</v>
      </c>
      <c r="S229" s="103">
        <f t="shared" si="276"/>
        <v>4.3062069046489631E-5</v>
      </c>
      <c r="T229" s="103">
        <f t="shared" si="276"/>
        <v>7.9102076819482622E-5</v>
      </c>
      <c r="U229" s="103">
        <f t="shared" si="276"/>
        <v>1.1188192727725243E-4</v>
      </c>
      <c r="V229" s="103">
        <f t="shared" si="276"/>
        <v>2.7940351289036961E-4</v>
      </c>
      <c r="W229" s="103">
        <f t="shared" ref="W229" si="277">IF(W11=0,0,W11/W$4)</f>
        <v>7.1016249731442062E-4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6.6548304569561907E-7</v>
      </c>
      <c r="M230" s="103">
        <f t="shared" ref="M230:V230" si="280">IF(M12=0,0,M12/M$4)</f>
        <v>4.5589789416553287E-6</v>
      </c>
      <c r="N230" s="103">
        <f t="shared" si="280"/>
        <v>9.5142129103416829E-6</v>
      </c>
      <c r="O230" s="103">
        <f t="shared" si="280"/>
        <v>1.1246907819123408E-5</v>
      </c>
      <c r="P230" s="103">
        <f t="shared" si="280"/>
        <v>1.3964522952821733E-5</v>
      </c>
      <c r="Q230" s="103">
        <f t="shared" si="280"/>
        <v>1.6054871619836334E-5</v>
      </c>
      <c r="R230" s="103">
        <f t="shared" si="280"/>
        <v>4.2006405871435396E-5</v>
      </c>
      <c r="S230" s="103">
        <f t="shared" si="280"/>
        <v>8.9649481905544327E-5</v>
      </c>
      <c r="T230" s="103">
        <f t="shared" si="280"/>
        <v>1.739127481251379E-4</v>
      </c>
      <c r="U230" s="103">
        <f t="shared" si="280"/>
        <v>2.3296696027010953E-4</v>
      </c>
      <c r="V230" s="103">
        <f t="shared" si="280"/>
        <v>3.9664776572206613E-4</v>
      </c>
      <c r="W230" s="103">
        <f t="shared" ref="W230" si="281">IF(W12=0,0,W12/W$4)</f>
        <v>5.0849228111131081E-4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0.30863594665055116</v>
      </c>
      <c r="C231" s="156">
        <f t="shared" si="282"/>
        <v>0.2916688414139505</v>
      </c>
      <c r="D231" s="156">
        <f t="shared" si="282"/>
        <v>0.27378385634077285</v>
      </c>
      <c r="E231" s="156">
        <f t="shared" si="282"/>
        <v>0.26480035055294215</v>
      </c>
      <c r="F231" s="156">
        <f t="shared" si="282"/>
        <v>0.25579659313861469</v>
      </c>
      <c r="G231" s="156">
        <f t="shared" si="282"/>
        <v>0.24168234961508675</v>
      </c>
      <c r="H231" s="156">
        <f t="shared" si="282"/>
        <v>0.23469900194888077</v>
      </c>
      <c r="I231" s="156">
        <f t="shared" si="282"/>
        <v>0.22458770397723535</v>
      </c>
      <c r="J231" s="156">
        <f t="shared" si="282"/>
        <v>0.21417415933965911</v>
      </c>
      <c r="K231" s="156">
        <f t="shared" si="282"/>
        <v>0.19143262504779371</v>
      </c>
      <c r="L231" s="156">
        <f t="shared" ref="L231" si="283">IF(L13=0,0,L13/L$4)</f>
        <v>0.17867820744871002</v>
      </c>
      <c r="M231" s="156">
        <f t="shared" ref="M231:V231" si="284">IF(M13=0,0,M13/M$4)</f>
        <v>0.17279457548534721</v>
      </c>
      <c r="N231" s="156">
        <f t="shared" si="284"/>
        <v>0.1701945170207429</v>
      </c>
      <c r="O231" s="156">
        <f t="shared" si="284"/>
        <v>0.16159254259145822</v>
      </c>
      <c r="P231" s="156">
        <f t="shared" si="284"/>
        <v>0.16383083295014361</v>
      </c>
      <c r="Q231" s="156">
        <f t="shared" si="284"/>
        <v>0.15586585420057883</v>
      </c>
      <c r="R231" s="156">
        <f t="shared" si="284"/>
        <v>0.14521335013113765</v>
      </c>
      <c r="S231" s="156">
        <f t="shared" si="284"/>
        <v>0.13839211715282138</v>
      </c>
      <c r="T231" s="156">
        <f t="shared" si="284"/>
        <v>0.13034512979481169</v>
      </c>
      <c r="U231" s="156">
        <f t="shared" si="284"/>
        <v>0.13344097944411473</v>
      </c>
      <c r="V231" s="156">
        <f t="shared" si="284"/>
        <v>7.839784031850032E-2</v>
      </c>
      <c r="W231" s="156">
        <f t="shared" ref="W231" si="285">IF(W13=0,0,W13/W$4)</f>
        <v>8.2476364024704749E-2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0.30207526139473623</v>
      </c>
      <c r="C233" s="103">
        <f t="shared" si="290"/>
        <v>0.28565424445980231</v>
      </c>
      <c r="D233" s="103">
        <f t="shared" si="290"/>
        <v>0.26848538805826555</v>
      </c>
      <c r="E233" s="103">
        <f t="shared" si="290"/>
        <v>0.26035011406895525</v>
      </c>
      <c r="F233" s="103">
        <f t="shared" si="290"/>
        <v>0.24726282078131326</v>
      </c>
      <c r="G233" s="103">
        <f t="shared" si="290"/>
        <v>0.23167742386107698</v>
      </c>
      <c r="H233" s="103">
        <f t="shared" si="290"/>
        <v>0.22524566391239936</v>
      </c>
      <c r="I233" s="103">
        <f t="shared" si="290"/>
        <v>0.21619068272927436</v>
      </c>
      <c r="J233" s="103">
        <f t="shared" si="290"/>
        <v>0.20651094945931189</v>
      </c>
      <c r="K233" s="103">
        <f t="shared" si="290"/>
        <v>0.18508505557889085</v>
      </c>
      <c r="L233" s="103">
        <f t="shared" ref="L233" si="291">IF(L15=0,0,L15/L$4)</f>
        <v>0.1730473029110467</v>
      </c>
      <c r="M233" s="103">
        <f t="shared" ref="M233:V233" si="292">IF(M15=0,0,M15/M$4)</f>
        <v>0.16774512934683422</v>
      </c>
      <c r="N233" s="103">
        <f t="shared" si="292"/>
        <v>0.16545626019617274</v>
      </c>
      <c r="O233" s="103">
        <f t="shared" si="292"/>
        <v>0.15725126858179833</v>
      </c>
      <c r="P233" s="103">
        <f t="shared" si="292"/>
        <v>0.15969974768480291</v>
      </c>
      <c r="Q233" s="103">
        <f t="shared" si="292"/>
        <v>0.1505267834145057</v>
      </c>
      <c r="R233" s="103">
        <f t="shared" si="292"/>
        <v>0.14055550600751643</v>
      </c>
      <c r="S233" s="103">
        <f t="shared" si="292"/>
        <v>0.13424019830183798</v>
      </c>
      <c r="T233" s="103">
        <f t="shared" si="292"/>
        <v>0.12637503676775794</v>
      </c>
      <c r="U233" s="103">
        <f t="shared" si="292"/>
        <v>0.12922046577179441</v>
      </c>
      <c r="V233" s="103">
        <f t="shared" si="292"/>
        <v>7.5063490886670248E-2</v>
      </c>
      <c r="W233" s="103">
        <f t="shared" ref="W233" si="293">IF(W15=0,0,W15/W$4)</f>
        <v>7.7951817886121696E-2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4.7426203362342873E-3</v>
      </c>
      <c r="C234" s="103">
        <f t="shared" si="294"/>
        <v>4.1140828850068896E-3</v>
      </c>
      <c r="D234" s="103">
        <f t="shared" si="294"/>
        <v>3.4663509998077865E-3</v>
      </c>
      <c r="E234" s="103">
        <f t="shared" si="294"/>
        <v>3.0493126978235591E-3</v>
      </c>
      <c r="F234" s="103">
        <f t="shared" si="294"/>
        <v>7.4021985033636594E-3</v>
      </c>
      <c r="G234" s="103">
        <f t="shared" si="294"/>
        <v>6.3165431459318595E-3</v>
      </c>
      <c r="H234" s="103">
        <f t="shared" si="294"/>
        <v>5.9306227078629037E-3</v>
      </c>
      <c r="I234" s="103">
        <f t="shared" si="294"/>
        <v>5.1874076270465811E-3</v>
      </c>
      <c r="J234" s="103">
        <f t="shared" si="294"/>
        <v>4.67831916579293E-3</v>
      </c>
      <c r="K234" s="103">
        <f t="shared" si="294"/>
        <v>3.8184792328457931E-3</v>
      </c>
      <c r="L234" s="103">
        <f t="shared" ref="L234" si="295">IF(L16=0,0,L16/L$4)</f>
        <v>3.3004115574177696E-3</v>
      </c>
      <c r="M234" s="103">
        <f t="shared" ref="M234:V234" si="296">IF(M16=0,0,M16/M$4)</f>
        <v>2.9024917328260048E-3</v>
      </c>
      <c r="N234" s="103">
        <f t="shared" si="296"/>
        <v>2.6898399507077732E-3</v>
      </c>
      <c r="O234" s="103">
        <f t="shared" si="296"/>
        <v>2.3261246299555219E-3</v>
      </c>
      <c r="P234" s="103">
        <f t="shared" si="296"/>
        <v>2.1069027027885673E-3</v>
      </c>
      <c r="Q234" s="103">
        <f t="shared" si="296"/>
        <v>1.5733135135260459E-3</v>
      </c>
      <c r="R234" s="103">
        <f t="shared" si="296"/>
        <v>1.3553321786485737E-3</v>
      </c>
      <c r="S234" s="103">
        <f t="shared" si="296"/>
        <v>1.2468604699633675E-3</v>
      </c>
      <c r="T234" s="103">
        <f t="shared" si="296"/>
        <v>1.1477805275021261E-3</v>
      </c>
      <c r="U234" s="103">
        <f t="shared" si="296"/>
        <v>1.1408583046952701E-3</v>
      </c>
      <c r="V234" s="103">
        <f t="shared" si="296"/>
        <v>6.5338768182425272E-4</v>
      </c>
      <c r="W234" s="103">
        <f t="shared" ref="W234" si="297">IF(W16=0,0,W16/W$4)</f>
        <v>6.8605104782712097E-4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2.0090472169758586E-3</v>
      </c>
      <c r="R235" s="103">
        <f t="shared" si="300"/>
        <v>1.5607873425963611E-3</v>
      </c>
      <c r="S235" s="103">
        <f t="shared" si="300"/>
        <v>1.0390362500295894E-3</v>
      </c>
      <c r="T235" s="103">
        <f t="shared" si="300"/>
        <v>1.2259713548979185E-3</v>
      </c>
      <c r="U235" s="103">
        <f t="shared" si="300"/>
        <v>2.0426395400405845E-3</v>
      </c>
      <c r="V235" s="103">
        <f t="shared" si="300"/>
        <v>1.7198961207260815E-3</v>
      </c>
      <c r="W235" s="103">
        <f t="shared" ref="W235" si="301">IF(W17=0,0,W17/W$4)</f>
        <v>2.3953715972288236E-3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1.8180649195806376E-3</v>
      </c>
      <c r="C236" s="103">
        <f t="shared" si="302"/>
        <v>1.9005140691412653E-3</v>
      </c>
      <c r="D236" s="103">
        <f t="shared" si="302"/>
        <v>1.8321172826994993E-3</v>
      </c>
      <c r="E236" s="103">
        <f t="shared" si="302"/>
        <v>1.4009237861633435E-3</v>
      </c>
      <c r="F236" s="103">
        <f t="shared" si="302"/>
        <v>1.1315738539377617E-3</v>
      </c>
      <c r="G236" s="103">
        <f t="shared" si="302"/>
        <v>3.6883826080778984E-3</v>
      </c>
      <c r="H236" s="103">
        <f t="shared" si="302"/>
        <v>3.5227153286185109E-3</v>
      </c>
      <c r="I236" s="103">
        <f t="shared" si="302"/>
        <v>3.2096136209144137E-3</v>
      </c>
      <c r="J236" s="103">
        <f t="shared" si="302"/>
        <v>2.9848907145542864E-3</v>
      </c>
      <c r="K236" s="103">
        <f t="shared" si="302"/>
        <v>2.5290902360570562E-3</v>
      </c>
      <c r="L236" s="103">
        <f t="shared" ref="L236" si="303">IF(L18=0,0,L18/L$4)</f>
        <v>2.3304929802455397E-3</v>
      </c>
      <c r="M236" s="103">
        <f t="shared" ref="M236:V236" si="304">IF(M18=0,0,M18/M$4)</f>
        <v>2.1469544056869688E-3</v>
      </c>
      <c r="N236" s="103">
        <f t="shared" si="304"/>
        <v>2.0484168738624077E-3</v>
      </c>
      <c r="O236" s="103">
        <f t="shared" si="304"/>
        <v>2.0151493797043668E-3</v>
      </c>
      <c r="P236" s="103">
        <f t="shared" si="304"/>
        <v>2.0241825625521323E-3</v>
      </c>
      <c r="Q236" s="103">
        <f t="shared" si="304"/>
        <v>1.7567100555712211E-3</v>
      </c>
      <c r="R236" s="103">
        <f t="shared" si="304"/>
        <v>1.7417246023762737E-3</v>
      </c>
      <c r="S236" s="103">
        <f t="shared" si="304"/>
        <v>1.86602213099046E-3</v>
      </c>
      <c r="T236" s="103">
        <f t="shared" si="304"/>
        <v>1.5963411446537224E-3</v>
      </c>
      <c r="U236" s="103">
        <f t="shared" si="304"/>
        <v>1.0370158275844782E-3</v>
      </c>
      <c r="V236" s="103">
        <f t="shared" si="304"/>
        <v>9.6106562927973822E-4</v>
      </c>
      <c r="W236" s="103">
        <f t="shared" ref="W236" si="305">IF(W18=0,0,W18/W$4)</f>
        <v>1.4431234935271091E-3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5.4846637203792563E-2</v>
      </c>
      <c r="C238" s="154">
        <f t="shared" si="310"/>
        <v>5.2098944765153962E-2</v>
      </c>
      <c r="D238" s="154">
        <f t="shared" si="310"/>
        <v>5.2717471365031326E-2</v>
      </c>
      <c r="E238" s="154">
        <f t="shared" si="310"/>
        <v>5.2531876632476271E-2</v>
      </c>
      <c r="F238" s="154">
        <f t="shared" si="310"/>
        <v>4.6143580062037497E-2</v>
      </c>
      <c r="G238" s="154">
        <f t="shared" si="310"/>
        <v>4.6176027723592868E-2</v>
      </c>
      <c r="H238" s="154">
        <f t="shared" si="310"/>
        <v>4.6516222874426562E-2</v>
      </c>
      <c r="I238" s="154">
        <f t="shared" si="310"/>
        <v>4.6480424353133369E-2</v>
      </c>
      <c r="J238" s="154">
        <f t="shared" si="310"/>
        <v>4.6659415598464545E-2</v>
      </c>
      <c r="K238" s="154">
        <f t="shared" si="310"/>
        <v>4.6728909330688427E-2</v>
      </c>
      <c r="L238" s="154">
        <f t="shared" ref="L238" si="311">IF(L20=0,0,L20/L$19)</f>
        <v>4.6174467805215634E-2</v>
      </c>
      <c r="M238" s="154">
        <f t="shared" ref="M238:V238" si="312">IF(M20=0,0,M20/M$19)</f>
        <v>4.5003509355610864E-2</v>
      </c>
      <c r="N238" s="154">
        <f t="shared" si="312"/>
        <v>4.4333400902012959E-2</v>
      </c>
      <c r="O238" s="154">
        <f t="shared" si="312"/>
        <v>4.1442494903184933E-2</v>
      </c>
      <c r="P238" s="154">
        <f t="shared" si="312"/>
        <v>4.235804607158497E-2</v>
      </c>
      <c r="Q238" s="154">
        <f t="shared" si="312"/>
        <v>4.0451769788269872E-2</v>
      </c>
      <c r="R238" s="154">
        <f t="shared" si="312"/>
        <v>4.0698275137987371E-2</v>
      </c>
      <c r="S238" s="154">
        <f t="shared" si="312"/>
        <v>3.7680883213143689E-2</v>
      </c>
      <c r="T238" s="154">
        <f t="shared" si="312"/>
        <v>4.2456186439278593E-2</v>
      </c>
      <c r="U238" s="154">
        <f t="shared" si="312"/>
        <v>4.1715493087521455E-2</v>
      </c>
      <c r="V238" s="154">
        <f t="shared" si="312"/>
        <v>4.1818020868640227E-2</v>
      </c>
      <c r="W238" s="154">
        <f t="shared" ref="W238" si="313">IF(W20=0,0,W20/W$19)</f>
        <v>4.0052243938303859E-2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2.8756781714240769E-2</v>
      </c>
      <c r="C239" s="103">
        <f t="shared" si="314"/>
        <v>2.7230136506847628E-2</v>
      </c>
      <c r="D239" s="103">
        <f t="shared" si="314"/>
        <v>2.3822570603608848E-2</v>
      </c>
      <c r="E239" s="103">
        <f t="shared" si="314"/>
        <v>2.2391442098726975E-2</v>
      </c>
      <c r="F239" s="103">
        <f t="shared" si="314"/>
        <v>1.8169843824326026E-2</v>
      </c>
      <c r="G239" s="103">
        <f t="shared" si="314"/>
        <v>1.5718233763907508E-2</v>
      </c>
      <c r="H239" s="103">
        <f t="shared" si="314"/>
        <v>1.4003045019410205E-2</v>
      </c>
      <c r="I239" s="103">
        <f t="shared" si="314"/>
        <v>1.229923272107478E-2</v>
      </c>
      <c r="J239" s="103">
        <f t="shared" si="314"/>
        <v>1.0845865914985483E-2</v>
      </c>
      <c r="K239" s="103">
        <f t="shared" si="314"/>
        <v>1.0418751554571021E-2</v>
      </c>
      <c r="L239" s="103">
        <f t="shared" ref="L239" si="315">IF(L21=0,0,L21/L$19)</f>
        <v>9.4206923078684734E-3</v>
      </c>
      <c r="M239" s="103">
        <f t="shared" ref="M239:V239" si="316">IF(M21=0,0,M21/M$19)</f>
        <v>8.141012343954309E-3</v>
      </c>
      <c r="N239" s="103">
        <f t="shared" si="316"/>
        <v>7.5456304944775858E-3</v>
      </c>
      <c r="O239" s="103">
        <f t="shared" si="316"/>
        <v>6.5333952338338525E-3</v>
      </c>
      <c r="P239" s="103">
        <f t="shared" si="316"/>
        <v>6.1944223378955186E-3</v>
      </c>
      <c r="Q239" s="103">
        <f t="shared" si="316"/>
        <v>5.2780712544945717E-3</v>
      </c>
      <c r="R239" s="103">
        <f t="shared" si="316"/>
        <v>5.0350676283985327E-3</v>
      </c>
      <c r="S239" s="103">
        <f t="shared" si="316"/>
        <v>4.6613502430595671E-3</v>
      </c>
      <c r="T239" s="103">
        <f t="shared" si="316"/>
        <v>4.9585477795154147E-3</v>
      </c>
      <c r="U239" s="103">
        <f t="shared" si="316"/>
        <v>4.6831898387883356E-3</v>
      </c>
      <c r="V239" s="103">
        <f t="shared" si="316"/>
        <v>4.3362925243351485E-3</v>
      </c>
      <c r="W239" s="103">
        <f t="shared" ref="W239" si="317">IF(W21=0,0,W21/W$19)</f>
        <v>3.9759899186053438E-3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2.509317090409344E-2</v>
      </c>
      <c r="C240" s="103">
        <f t="shared" si="318"/>
        <v>2.3763846707846398E-2</v>
      </c>
      <c r="D240" s="103">
        <f t="shared" si="318"/>
        <v>2.739811075286356E-2</v>
      </c>
      <c r="E240" s="103">
        <f t="shared" si="318"/>
        <v>2.8431972057338377E-2</v>
      </c>
      <c r="F240" s="103">
        <f t="shared" si="318"/>
        <v>2.6390124576702409E-2</v>
      </c>
      <c r="G240" s="103">
        <f t="shared" si="318"/>
        <v>2.878537760546095E-2</v>
      </c>
      <c r="H240" s="103">
        <f t="shared" si="318"/>
        <v>3.0610549769186302E-2</v>
      </c>
      <c r="I240" s="103">
        <f t="shared" si="318"/>
        <v>3.2210236377840165E-2</v>
      </c>
      <c r="J240" s="103">
        <f t="shared" si="318"/>
        <v>3.3870712986421012E-2</v>
      </c>
      <c r="K240" s="103">
        <f t="shared" si="318"/>
        <v>3.4431116767909026E-2</v>
      </c>
      <c r="L240" s="103">
        <f t="shared" ref="L240" si="319">IF(L22=0,0,L22/L$19)</f>
        <v>3.4961465867991891E-2</v>
      </c>
      <c r="M240" s="103">
        <f t="shared" ref="M240:V240" si="320">IF(M22=0,0,M22/M$19)</f>
        <v>3.5147832802333322E-2</v>
      </c>
      <c r="N240" s="103">
        <f t="shared" si="320"/>
        <v>3.5247212713756915E-2</v>
      </c>
      <c r="O240" s="103">
        <f t="shared" si="320"/>
        <v>3.351945857451364E-2</v>
      </c>
      <c r="P240" s="103">
        <f t="shared" si="320"/>
        <v>3.4589354565347882E-2</v>
      </c>
      <c r="Q240" s="103">
        <f t="shared" si="320"/>
        <v>3.3669556199977448E-2</v>
      </c>
      <c r="R240" s="103">
        <f t="shared" si="320"/>
        <v>3.4216185962027225E-2</v>
      </c>
      <c r="S240" s="103">
        <f t="shared" si="320"/>
        <v>3.1769727549459913E-2</v>
      </c>
      <c r="T240" s="103">
        <f t="shared" si="320"/>
        <v>3.610074058584526E-2</v>
      </c>
      <c r="U240" s="103">
        <f t="shared" si="320"/>
        <v>3.5720510891573395E-2</v>
      </c>
      <c r="V240" s="103">
        <f t="shared" si="320"/>
        <v>3.6233532096332392E-2</v>
      </c>
      <c r="W240" s="103">
        <f t="shared" ref="W240" si="321">IF(W22=0,0,W22/W$19)</f>
        <v>3.4921786460981923E-2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9.9668458545835114E-4</v>
      </c>
      <c r="C241" s="103">
        <f t="shared" si="322"/>
        <v>1.1049615504599363E-3</v>
      </c>
      <c r="D241" s="103">
        <f t="shared" si="322"/>
        <v>1.4967900085589131E-3</v>
      </c>
      <c r="E241" s="103">
        <f t="shared" si="322"/>
        <v>1.7084624764109179E-3</v>
      </c>
      <c r="F241" s="103">
        <f t="shared" si="322"/>
        <v>1.5836116610090567E-3</v>
      </c>
      <c r="G241" s="103">
        <f t="shared" si="322"/>
        <v>1.6724163542244151E-3</v>
      </c>
      <c r="H241" s="103">
        <f t="shared" si="322"/>
        <v>1.9026280858300535E-3</v>
      </c>
      <c r="I241" s="103">
        <f t="shared" si="322"/>
        <v>1.9709552542184227E-3</v>
      </c>
      <c r="J241" s="103">
        <f t="shared" si="322"/>
        <v>1.9428366970580485E-3</v>
      </c>
      <c r="K241" s="103">
        <f t="shared" si="322"/>
        <v>1.8790410082083807E-3</v>
      </c>
      <c r="L241" s="103">
        <f t="shared" ref="L241" si="323">IF(L23=0,0,L23/L$19)</f>
        <v>1.7923096293552664E-3</v>
      </c>
      <c r="M241" s="103">
        <f t="shared" ref="M241:V241" si="324">IF(M23=0,0,M23/M$19)</f>
        <v>1.7146642093232316E-3</v>
      </c>
      <c r="N241" s="103">
        <f t="shared" si="324"/>
        <v>1.5404935583972197E-3</v>
      </c>
      <c r="O241" s="103">
        <f t="shared" si="324"/>
        <v>1.3895330825394135E-3</v>
      </c>
      <c r="P241" s="103">
        <f t="shared" si="324"/>
        <v>1.5741249905267161E-3</v>
      </c>
      <c r="Q241" s="103">
        <f t="shared" si="324"/>
        <v>1.4775739410731214E-3</v>
      </c>
      <c r="R241" s="103">
        <f t="shared" si="324"/>
        <v>1.4172367984663259E-3</v>
      </c>
      <c r="S241" s="103">
        <f t="shared" si="324"/>
        <v>1.2240714220137431E-3</v>
      </c>
      <c r="T241" s="103">
        <f t="shared" si="324"/>
        <v>1.3681881429779925E-3</v>
      </c>
      <c r="U241" s="103">
        <f t="shared" si="324"/>
        <v>1.283798174111454E-3</v>
      </c>
      <c r="V241" s="103">
        <f t="shared" si="324"/>
        <v>1.2261109881410845E-3</v>
      </c>
      <c r="W241" s="103">
        <f t="shared" ref="W241" si="325">IF(W23=0,0,W23/W$19)</f>
        <v>1.1329768122818708E-3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2.6376609331630453E-5</v>
      </c>
      <c r="R242" s="103">
        <f t="shared" si="328"/>
        <v>2.9554675916844673E-5</v>
      </c>
      <c r="S242" s="103">
        <f t="shared" si="328"/>
        <v>2.5430923307661117E-5</v>
      </c>
      <c r="T242" s="103">
        <f t="shared" si="328"/>
        <v>2.8064978265972899E-5</v>
      </c>
      <c r="U242" s="103">
        <f t="shared" si="328"/>
        <v>2.6568982985932798E-5</v>
      </c>
      <c r="V242" s="103">
        <f t="shared" si="328"/>
        <v>1.9279065342325842E-5</v>
      </c>
      <c r="W242" s="103">
        <f t="shared" ref="W242" si="329">IF(W24=0,0,W24/W$19)</f>
        <v>1.6107764293794482E-5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6.4135381237660244E-8</v>
      </c>
      <c r="O243" s="103">
        <f t="shared" si="332"/>
        <v>1.0801229802832864E-7</v>
      </c>
      <c r="P243" s="103">
        <f t="shared" si="332"/>
        <v>1.4417781484401727E-7</v>
      </c>
      <c r="Q243" s="103">
        <f t="shared" si="332"/>
        <v>1.9178339310443859E-7</v>
      </c>
      <c r="R243" s="103">
        <f t="shared" si="332"/>
        <v>2.3007317843865323E-7</v>
      </c>
      <c r="S243" s="103">
        <f t="shared" si="332"/>
        <v>3.0307530280827176E-7</v>
      </c>
      <c r="T243" s="103">
        <f t="shared" si="332"/>
        <v>6.449526739435979E-7</v>
      </c>
      <c r="U243" s="103">
        <f t="shared" si="332"/>
        <v>1.4252000623350796E-6</v>
      </c>
      <c r="V243" s="103">
        <f t="shared" si="332"/>
        <v>2.8061944892766983E-6</v>
      </c>
      <c r="W243" s="103">
        <f t="shared" ref="W243" si="333">IF(W25=0,0,W25/W$19)</f>
        <v>5.3829821409301057E-6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0.94515336279620743</v>
      </c>
      <c r="C244" s="156">
        <f t="shared" si="334"/>
        <v>0.94790105523484602</v>
      </c>
      <c r="D244" s="156">
        <f t="shared" si="334"/>
        <v>0.94728252863496865</v>
      </c>
      <c r="E244" s="156">
        <f t="shared" si="334"/>
        <v>0.94746812336752373</v>
      </c>
      <c r="F244" s="156">
        <f t="shared" si="334"/>
        <v>0.95385641993796244</v>
      </c>
      <c r="G244" s="156">
        <f t="shared" si="334"/>
        <v>0.95382397227640703</v>
      </c>
      <c r="H244" s="156">
        <f t="shared" si="334"/>
        <v>0.95348377712557342</v>
      </c>
      <c r="I244" s="156">
        <f t="shared" si="334"/>
        <v>0.95351957564686662</v>
      </c>
      <c r="J244" s="156">
        <f t="shared" si="334"/>
        <v>0.95334058440153535</v>
      </c>
      <c r="K244" s="156">
        <f t="shared" si="334"/>
        <v>0.95327109066931159</v>
      </c>
      <c r="L244" s="156">
        <f t="shared" ref="L244" si="335">IF(L26=0,0,L26/L$19)</f>
        <v>0.95382553219478439</v>
      </c>
      <c r="M244" s="156">
        <f t="shared" ref="M244:V244" si="336">IF(M26=0,0,M26/M$19)</f>
        <v>0.95499649064438907</v>
      </c>
      <c r="N244" s="156">
        <f t="shared" si="336"/>
        <v>0.95566659909798701</v>
      </c>
      <c r="O244" s="156">
        <f t="shared" si="336"/>
        <v>0.95855750509681514</v>
      </c>
      <c r="P244" s="156">
        <f t="shared" si="336"/>
        <v>0.95764195392841489</v>
      </c>
      <c r="Q244" s="156">
        <f t="shared" si="336"/>
        <v>0.95954823021173019</v>
      </c>
      <c r="R244" s="156">
        <f t="shared" si="336"/>
        <v>0.95930172486201271</v>
      </c>
      <c r="S244" s="156">
        <f t="shared" si="336"/>
        <v>0.96231911678685633</v>
      </c>
      <c r="T244" s="156">
        <f t="shared" si="336"/>
        <v>0.95754381356072138</v>
      </c>
      <c r="U244" s="156">
        <f t="shared" si="336"/>
        <v>0.95828450691247857</v>
      </c>
      <c r="V244" s="156">
        <f t="shared" si="336"/>
        <v>0.95818197913135983</v>
      </c>
      <c r="W244" s="156">
        <f t="shared" ref="W244" si="337">IF(W26=0,0,W26/W$19)</f>
        <v>0.95994775606169613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0.68042388857298841</v>
      </c>
      <c r="C245" s="103">
        <f t="shared" si="338"/>
        <v>0.67310338861200725</v>
      </c>
      <c r="D245" s="103">
        <f t="shared" si="338"/>
        <v>0.66734539996815589</v>
      </c>
      <c r="E245" s="103">
        <f t="shared" si="338"/>
        <v>0.67381218508872898</v>
      </c>
      <c r="F245" s="103">
        <f t="shared" si="338"/>
        <v>0.66950715841087438</v>
      </c>
      <c r="G245" s="103">
        <f t="shared" si="338"/>
        <v>0.6695657395917276</v>
      </c>
      <c r="H245" s="103">
        <f t="shared" si="338"/>
        <v>0.62259263233559636</v>
      </c>
      <c r="I245" s="103">
        <f t="shared" si="338"/>
        <v>0.65780803840641389</v>
      </c>
      <c r="J245" s="103">
        <f t="shared" si="338"/>
        <v>0.67457357883420732</v>
      </c>
      <c r="K245" s="103">
        <f t="shared" si="338"/>
        <v>0.70332195058785441</v>
      </c>
      <c r="L245" s="103">
        <f t="shared" ref="L245" si="339">IF(L27=0,0,L27/L$19)</f>
        <v>0.67478621220230073</v>
      </c>
      <c r="M245" s="103">
        <f t="shared" ref="M245:V245" si="340">IF(M27=0,0,M27/M$19)</f>
        <v>0.68228009006508106</v>
      </c>
      <c r="N245" s="103">
        <f t="shared" si="340"/>
        <v>0.66522561953779646</v>
      </c>
      <c r="O245" s="103">
        <f t="shared" si="340"/>
        <v>0.67940106002009815</v>
      </c>
      <c r="P245" s="103">
        <f t="shared" si="340"/>
        <v>0.66793070757395478</v>
      </c>
      <c r="Q245" s="103">
        <f t="shared" si="340"/>
        <v>0.68144674739445688</v>
      </c>
      <c r="R245" s="103">
        <f t="shared" si="340"/>
        <v>0.66336516242223242</v>
      </c>
      <c r="S245" s="103">
        <f t="shared" si="340"/>
        <v>0.66388973186900901</v>
      </c>
      <c r="T245" s="103">
        <f t="shared" si="340"/>
        <v>0.67823137294986113</v>
      </c>
      <c r="U245" s="103">
        <f t="shared" si="340"/>
        <v>0.66092882663235264</v>
      </c>
      <c r="V245" s="103">
        <f t="shared" si="340"/>
        <v>0.67740354613748832</v>
      </c>
      <c r="W245" s="103">
        <f t="shared" ref="W245" si="341">IF(W27=0,0,W27/W$19)</f>
        <v>0.68149310345764735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0.26472947422321907</v>
      </c>
      <c r="C246" s="105">
        <f t="shared" si="342"/>
        <v>0.27479766662283878</v>
      </c>
      <c r="D246" s="105">
        <f t="shared" si="342"/>
        <v>0.27993712866681275</v>
      </c>
      <c r="E246" s="105">
        <f t="shared" si="342"/>
        <v>0.27365593827879486</v>
      </c>
      <c r="F246" s="105">
        <f t="shared" si="342"/>
        <v>0.28434926152708812</v>
      </c>
      <c r="G246" s="105">
        <f t="shared" si="342"/>
        <v>0.28425823268467948</v>
      </c>
      <c r="H246" s="105">
        <f t="shared" si="342"/>
        <v>0.33089114478997705</v>
      </c>
      <c r="I246" s="105">
        <f t="shared" si="342"/>
        <v>0.29571153724045279</v>
      </c>
      <c r="J246" s="105">
        <f t="shared" si="342"/>
        <v>0.27876700556732809</v>
      </c>
      <c r="K246" s="105">
        <f t="shared" si="342"/>
        <v>0.24994914008145716</v>
      </c>
      <c r="L246" s="105">
        <f t="shared" ref="L246" si="343">IF(L28=0,0,L28/L$19)</f>
        <v>0.27903931999248371</v>
      </c>
      <c r="M246" s="105">
        <f t="shared" ref="M246:V246" si="344">IF(M28=0,0,M28/M$19)</f>
        <v>0.27271640057930807</v>
      </c>
      <c r="N246" s="105">
        <f t="shared" si="344"/>
        <v>0.2904409795601906</v>
      </c>
      <c r="O246" s="105">
        <f t="shared" si="344"/>
        <v>0.27915644507671705</v>
      </c>
      <c r="P246" s="105">
        <f t="shared" si="344"/>
        <v>0.28971124635445999</v>
      </c>
      <c r="Q246" s="105">
        <f t="shared" si="344"/>
        <v>0.27810148281727332</v>
      </c>
      <c r="R246" s="105">
        <f t="shared" si="344"/>
        <v>0.29593656243978028</v>
      </c>
      <c r="S246" s="105">
        <f t="shared" si="344"/>
        <v>0.29842938491784732</v>
      </c>
      <c r="T246" s="105">
        <f t="shared" si="344"/>
        <v>0.2793124406108603</v>
      </c>
      <c r="U246" s="105">
        <f t="shared" si="344"/>
        <v>0.29735568028012593</v>
      </c>
      <c r="V246" s="105">
        <f t="shared" si="344"/>
        <v>0.28077843299387151</v>
      </c>
      <c r="W246" s="105">
        <f t="shared" ref="W246" si="345">IF(W28=0,0,W28/W$19)</f>
        <v>0.27845465260404878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2.9670343730288363E-2</v>
      </c>
      <c r="C250" s="154">
        <f t="shared" si="350"/>
        <v>2.6657825185024686E-2</v>
      </c>
      <c r="D250" s="154">
        <f t="shared" si="350"/>
        <v>2.5087244043381519E-2</v>
      </c>
      <c r="E250" s="154">
        <f t="shared" si="350"/>
        <v>2.2060887594134146E-2</v>
      </c>
      <c r="F250" s="154">
        <f t="shared" si="350"/>
        <v>1.8919853400908127E-2</v>
      </c>
      <c r="G250" s="154">
        <f t="shared" si="350"/>
        <v>2.1126833381765204E-2</v>
      </c>
      <c r="H250" s="154">
        <f t="shared" si="350"/>
        <v>2.0103056274532304E-2</v>
      </c>
      <c r="I250" s="154">
        <f t="shared" si="350"/>
        <v>1.967803883835997E-2</v>
      </c>
      <c r="J250" s="154">
        <f t="shared" si="350"/>
        <v>1.8098205866212164E-2</v>
      </c>
      <c r="K250" s="154">
        <f t="shared" si="350"/>
        <v>1.8738223313735328E-2</v>
      </c>
      <c r="L250" s="154">
        <f t="shared" ref="L250" si="351">IF(L32=0,0,L32/L$31)</f>
        <v>1.8959417045418942E-2</v>
      </c>
      <c r="M250" s="154">
        <f t="shared" ref="M250:V250" si="352">IF(M32=0,0,M32/M$31)</f>
        <v>1.8508575703595744E-2</v>
      </c>
      <c r="N250" s="154">
        <f t="shared" si="352"/>
        <v>1.872648665920456E-2</v>
      </c>
      <c r="O250" s="154">
        <f t="shared" si="352"/>
        <v>1.892262439832388E-2</v>
      </c>
      <c r="P250" s="154">
        <f t="shared" si="352"/>
        <v>1.8988344528055961E-2</v>
      </c>
      <c r="Q250" s="154">
        <f t="shared" si="352"/>
        <v>1.84791265375376E-2</v>
      </c>
      <c r="R250" s="154">
        <f t="shared" si="352"/>
        <v>1.8728864481120683E-2</v>
      </c>
      <c r="S250" s="154">
        <f t="shared" si="352"/>
        <v>1.6075091574077365E-2</v>
      </c>
      <c r="T250" s="154">
        <f t="shared" si="352"/>
        <v>1.4209380028277794E-2</v>
      </c>
      <c r="U250" s="154">
        <f t="shared" si="352"/>
        <v>1.4666550237237262E-2</v>
      </c>
      <c r="V250" s="154">
        <f t="shared" si="352"/>
        <v>1.3012136192868503E-2</v>
      </c>
      <c r="W250" s="154">
        <f t="shared" ref="W250" si="353">IF(W32=0,0,W32/W$31)</f>
        <v>1.3645434129232342E-2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0.94820479085621467</v>
      </c>
      <c r="C251" s="156">
        <f t="shared" si="354"/>
        <v>0.95154794217095884</v>
      </c>
      <c r="D251" s="156">
        <f t="shared" si="354"/>
        <v>0.95355590399777801</v>
      </c>
      <c r="E251" s="156">
        <f t="shared" si="354"/>
        <v>0.95815256712246044</v>
      </c>
      <c r="F251" s="156">
        <f t="shared" si="354"/>
        <v>0.96189493325594022</v>
      </c>
      <c r="G251" s="156">
        <f t="shared" si="354"/>
        <v>0.95964966656122763</v>
      </c>
      <c r="H251" s="156">
        <f t="shared" si="354"/>
        <v>0.96324229438506936</v>
      </c>
      <c r="I251" s="156">
        <f t="shared" si="354"/>
        <v>0.96501058423413977</v>
      </c>
      <c r="J251" s="156">
        <f t="shared" si="354"/>
        <v>0.96818842041943498</v>
      </c>
      <c r="K251" s="156">
        <f t="shared" si="354"/>
        <v>0.9682505705244534</v>
      </c>
      <c r="L251" s="156">
        <f t="shared" ref="L251" si="355">IF(L33=0,0,L33/L$31)</f>
        <v>0.96888444215219571</v>
      </c>
      <c r="M251" s="156">
        <f t="shared" ref="M251:V251" si="356">IF(M33=0,0,M33/M$31)</f>
        <v>0.96947815434503759</v>
      </c>
      <c r="N251" s="156">
        <f t="shared" si="356"/>
        <v>0.96950205208213935</v>
      </c>
      <c r="O251" s="156">
        <f t="shared" si="356"/>
        <v>0.9687865280987753</v>
      </c>
      <c r="P251" s="156">
        <f t="shared" si="356"/>
        <v>0.96862023560315913</v>
      </c>
      <c r="Q251" s="156">
        <f t="shared" si="356"/>
        <v>0.9681918799229946</v>
      </c>
      <c r="R251" s="156">
        <f t="shared" si="356"/>
        <v>0.96885301176566574</v>
      </c>
      <c r="S251" s="156">
        <f t="shared" si="356"/>
        <v>0.97293160133200185</v>
      </c>
      <c r="T251" s="156">
        <f t="shared" si="356"/>
        <v>0.97608608930136243</v>
      </c>
      <c r="U251" s="156">
        <f t="shared" si="356"/>
        <v>0.97548620177514123</v>
      </c>
      <c r="V251" s="156">
        <f t="shared" si="356"/>
        <v>0.97734034419671434</v>
      </c>
      <c r="W251" s="156">
        <f t="shared" ref="W251" si="357">IF(W33=0,0,W33/W$31)</f>
        <v>0.97663777762737847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0.75131826663112067</v>
      </c>
      <c r="C252" s="103">
        <f t="shared" si="358"/>
        <v>0.7038389641878291</v>
      </c>
      <c r="D252" s="103">
        <f t="shared" si="358"/>
        <v>0.67132656373997857</v>
      </c>
      <c r="E252" s="103">
        <f t="shared" si="358"/>
        <v>0.60715613138375513</v>
      </c>
      <c r="F252" s="103">
        <f t="shared" si="358"/>
        <v>0.55773106033636344</v>
      </c>
      <c r="G252" s="103">
        <f t="shared" si="358"/>
        <v>0.56508231120560459</v>
      </c>
      <c r="H252" s="103">
        <f t="shared" si="358"/>
        <v>0.53331769480644531</v>
      </c>
      <c r="I252" s="103">
        <f t="shared" si="358"/>
        <v>0.48521136464801906</v>
      </c>
      <c r="J252" s="103">
        <f t="shared" si="358"/>
        <v>0.44321887962279505</v>
      </c>
      <c r="K252" s="103">
        <f t="shared" si="358"/>
        <v>0.41548420836274785</v>
      </c>
      <c r="L252" s="103">
        <f t="shared" ref="L252" si="359">IF(L34=0,0,L34/L$31)</f>
        <v>0.38177883373096322</v>
      </c>
      <c r="M252" s="103">
        <f t="shared" ref="M252:V252" si="360">IF(M34=0,0,M34/M$31)</f>
        <v>0.36350694377556053</v>
      </c>
      <c r="N252" s="103">
        <f t="shared" si="360"/>
        <v>0.3625978192713385</v>
      </c>
      <c r="O252" s="103">
        <f t="shared" si="360"/>
        <v>0.36880553118951231</v>
      </c>
      <c r="P252" s="103">
        <f t="shared" si="360"/>
        <v>0.35930508356091057</v>
      </c>
      <c r="Q252" s="103">
        <f t="shared" si="360"/>
        <v>0.3580452695994315</v>
      </c>
      <c r="R252" s="103">
        <f t="shared" si="360"/>
        <v>0.34306053909924283</v>
      </c>
      <c r="S252" s="103">
        <f t="shared" si="360"/>
        <v>0.34569125630934278</v>
      </c>
      <c r="T252" s="103">
        <f t="shared" si="360"/>
        <v>0.33864665002518052</v>
      </c>
      <c r="U252" s="103">
        <f t="shared" si="360"/>
        <v>0.34450581244429485</v>
      </c>
      <c r="V252" s="103">
        <f t="shared" si="360"/>
        <v>0.33819263099048391</v>
      </c>
      <c r="W252" s="103">
        <f t="shared" ref="W252" si="361">IF(W34=0,0,W34/W$31)</f>
        <v>0.37808892593094673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0.12740842880131534</v>
      </c>
      <c r="C253" s="103">
        <f t="shared" si="362"/>
        <v>0.14375397261734207</v>
      </c>
      <c r="D253" s="103">
        <f t="shared" si="362"/>
        <v>0.13775634677314122</v>
      </c>
      <c r="E253" s="103">
        <f t="shared" si="362"/>
        <v>0.16282747060687339</v>
      </c>
      <c r="F253" s="103">
        <f t="shared" si="362"/>
        <v>0.19238731169106221</v>
      </c>
      <c r="G253" s="103">
        <f t="shared" si="362"/>
        <v>0.15704548807009677</v>
      </c>
      <c r="H253" s="103">
        <f t="shared" si="362"/>
        <v>0.19471152242863315</v>
      </c>
      <c r="I253" s="103">
        <f t="shared" si="362"/>
        <v>0.25173997472247833</v>
      </c>
      <c r="J253" s="103">
        <f t="shared" si="362"/>
        <v>0.31012337442219795</v>
      </c>
      <c r="K253" s="103">
        <f t="shared" si="362"/>
        <v>0.34327878079304736</v>
      </c>
      <c r="L253" s="103">
        <f t="shared" ref="L253" si="363">IF(L35=0,0,L35/L$31)</f>
        <v>0.37105678457607316</v>
      </c>
      <c r="M253" s="103">
        <f t="shared" ref="M253:V253" si="364">IF(M35=0,0,M35/M$31)</f>
        <v>0.41436201579880594</v>
      </c>
      <c r="N253" s="103">
        <f t="shared" si="364"/>
        <v>0.44265856214445221</v>
      </c>
      <c r="O253" s="103">
        <f t="shared" si="364"/>
        <v>0.43836458018652019</v>
      </c>
      <c r="P253" s="103">
        <f t="shared" si="364"/>
        <v>0.45126743469807679</v>
      </c>
      <c r="Q253" s="103">
        <f t="shared" si="364"/>
        <v>0.4539457477276338</v>
      </c>
      <c r="R253" s="103">
        <f t="shared" si="364"/>
        <v>0.46013731442464756</v>
      </c>
      <c r="S253" s="103">
        <f t="shared" si="364"/>
        <v>0.46413356678839701</v>
      </c>
      <c r="T253" s="103">
        <f t="shared" si="364"/>
        <v>0.47090873431619634</v>
      </c>
      <c r="U253" s="103">
        <f t="shared" si="364"/>
        <v>0.468968138635734</v>
      </c>
      <c r="V253" s="103">
        <f t="shared" si="364"/>
        <v>0.48359357994951963</v>
      </c>
      <c r="W253" s="103">
        <f t="shared" ref="W253" si="365">IF(W35=0,0,W35/W$31)</f>
        <v>0.44420606251287809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6.9478095423778655E-2</v>
      </c>
      <c r="C254" s="103">
        <f t="shared" si="366"/>
        <v>0.10395500536578769</v>
      </c>
      <c r="D254" s="103">
        <f t="shared" si="366"/>
        <v>0.14447299348465822</v>
      </c>
      <c r="E254" s="103">
        <f t="shared" si="366"/>
        <v>0.18816896513183193</v>
      </c>
      <c r="F254" s="103">
        <f t="shared" si="366"/>
        <v>0.21177656122851451</v>
      </c>
      <c r="G254" s="103">
        <f t="shared" si="366"/>
        <v>0.23752186728552629</v>
      </c>
      <c r="H254" s="103">
        <f t="shared" si="366"/>
        <v>0.23521307714999087</v>
      </c>
      <c r="I254" s="103">
        <f t="shared" si="366"/>
        <v>0.22805924486364243</v>
      </c>
      <c r="J254" s="103">
        <f t="shared" si="366"/>
        <v>0.21484616637444193</v>
      </c>
      <c r="K254" s="103">
        <f t="shared" si="366"/>
        <v>0.20948758136865822</v>
      </c>
      <c r="L254" s="103">
        <f t="shared" ref="L254" si="367">IF(L36=0,0,L36/L$31)</f>
        <v>0.21604793830972432</v>
      </c>
      <c r="M254" s="103">
        <f t="shared" ref="M254:V254" si="368">IF(M36=0,0,M36/M$31)</f>
        <v>0.1916031680792758</v>
      </c>
      <c r="N254" s="103">
        <f t="shared" si="368"/>
        <v>0.16423233121646991</v>
      </c>
      <c r="O254" s="103">
        <f t="shared" si="368"/>
        <v>0.16160034777386867</v>
      </c>
      <c r="P254" s="103">
        <f t="shared" si="368"/>
        <v>0.15798703927306218</v>
      </c>
      <c r="Q254" s="103">
        <f t="shared" si="368"/>
        <v>0.15585199350215068</v>
      </c>
      <c r="R254" s="103">
        <f t="shared" si="368"/>
        <v>0.1651790630309907</v>
      </c>
      <c r="S254" s="103">
        <f t="shared" si="368"/>
        <v>0.16253400153853823</v>
      </c>
      <c r="T254" s="103">
        <f t="shared" si="368"/>
        <v>0.16581675453085901</v>
      </c>
      <c r="U254" s="103">
        <f t="shared" si="368"/>
        <v>0.16118762985426052</v>
      </c>
      <c r="V254" s="103">
        <f t="shared" si="368"/>
        <v>0.15439610554965852</v>
      </c>
      <c r="W254" s="103">
        <f t="shared" ref="W254" si="369">IF(W36=0,0,W36/W$31)</f>
        <v>0.15257327506259985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3.1121972846382149E-4</v>
      </c>
      <c r="R255" s="103">
        <f t="shared" si="372"/>
        <v>3.9563275257257564E-4</v>
      </c>
      <c r="S255" s="103">
        <f t="shared" si="372"/>
        <v>4.0797155079012643E-4</v>
      </c>
      <c r="T255" s="103">
        <f t="shared" si="372"/>
        <v>4.0165640108582879E-4</v>
      </c>
      <c r="U255" s="103">
        <f t="shared" si="372"/>
        <v>3.9784056606628418E-4</v>
      </c>
      <c r="V255" s="103">
        <f t="shared" si="372"/>
        <v>3.7570432077309025E-4</v>
      </c>
      <c r="W255" s="103">
        <f t="shared" ref="W255" si="373">IF(W37=0,0,W37/W$31)</f>
        <v>3.7174745397954977E-4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8.0130004475339992E-7</v>
      </c>
      <c r="O256" s="103">
        <f t="shared" si="376"/>
        <v>1.4210115371342912E-6</v>
      </c>
      <c r="P256" s="103">
        <f t="shared" si="376"/>
        <v>4.2446452402990795E-5</v>
      </c>
      <c r="Q256" s="103">
        <f t="shared" si="376"/>
        <v>1.6887537691619259E-5</v>
      </c>
      <c r="R256" s="103">
        <f t="shared" si="376"/>
        <v>2.6779340250515611E-5</v>
      </c>
      <c r="S256" s="103">
        <f t="shared" si="376"/>
        <v>5.080636204642298E-5</v>
      </c>
      <c r="T256" s="103">
        <f t="shared" si="376"/>
        <v>9.2680194481767835E-5</v>
      </c>
      <c r="U256" s="103">
        <f t="shared" si="376"/>
        <v>1.315513450979502E-4</v>
      </c>
      <c r="V256" s="103">
        <f t="shared" si="376"/>
        <v>3.0921401743745348E-4</v>
      </c>
      <c r="W256" s="103">
        <f t="shared" ref="W256" si="377">IF(W38=0,0,W38/W$31)</f>
        <v>7.8893512212449351E-4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8.8553543495558989E-7</v>
      </c>
      <c r="M257" s="103">
        <f t="shared" ref="M257:V257" si="380">IF(M39=0,0,M39/M$31)</f>
        <v>6.0266913951778622E-6</v>
      </c>
      <c r="N257" s="103">
        <f t="shared" si="380"/>
        <v>1.2538149834089207E-5</v>
      </c>
      <c r="O257" s="103">
        <f t="shared" si="380"/>
        <v>1.4647937336965719E-5</v>
      </c>
      <c r="P257" s="103">
        <f t="shared" si="380"/>
        <v>1.8231618706610656E-5</v>
      </c>
      <c r="Q257" s="103">
        <f t="shared" si="380"/>
        <v>2.0761827623368648E-5</v>
      </c>
      <c r="R257" s="103">
        <f t="shared" si="380"/>
        <v>5.3683117961803805E-5</v>
      </c>
      <c r="S257" s="103">
        <f t="shared" si="380"/>
        <v>1.1399878288731256E-4</v>
      </c>
      <c r="T257" s="103">
        <f t="shared" si="380"/>
        <v>2.1961383355898604E-4</v>
      </c>
      <c r="U257" s="103">
        <f t="shared" si="380"/>
        <v>2.9522892968761994E-4</v>
      </c>
      <c r="V257" s="103">
        <f t="shared" si="380"/>
        <v>4.7310936884157966E-4</v>
      </c>
      <c r="W257" s="103">
        <f t="shared" ref="W257" si="381">IF(W39=0,0,W39/W$31)</f>
        <v>6.0883154484992397E-4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2.2124865413496959E-2</v>
      </c>
      <c r="C258" s="156">
        <f t="shared" si="382"/>
        <v>2.1794232644016406E-2</v>
      </c>
      <c r="D258" s="156">
        <f t="shared" si="382"/>
        <v>2.1356851958840611E-2</v>
      </c>
      <c r="E258" s="156">
        <f t="shared" si="382"/>
        <v>1.9786545283405507E-2</v>
      </c>
      <c r="F258" s="156">
        <f t="shared" si="382"/>
        <v>1.9185213343151708E-2</v>
      </c>
      <c r="G258" s="156">
        <f t="shared" si="382"/>
        <v>1.9223500057007226E-2</v>
      </c>
      <c r="H258" s="156">
        <f t="shared" si="382"/>
        <v>1.6654649340398387E-2</v>
      </c>
      <c r="I258" s="156">
        <f t="shared" si="382"/>
        <v>1.5311376927500262E-2</v>
      </c>
      <c r="J258" s="156">
        <f t="shared" si="382"/>
        <v>1.3713373714352928E-2</v>
      </c>
      <c r="K258" s="156">
        <f t="shared" si="382"/>
        <v>1.3011206161811249E-2</v>
      </c>
      <c r="L258" s="156">
        <f t="shared" ref="L258" si="383">IF(L40=0,0,L40/L$31)</f>
        <v>1.2156140802385296E-2</v>
      </c>
      <c r="M258" s="156">
        <f t="shared" ref="M258:V258" si="384">IF(M40=0,0,M40/M$31)</f>
        <v>1.2013269951366718E-2</v>
      </c>
      <c r="N258" s="156">
        <f t="shared" si="384"/>
        <v>1.1771461258656041E-2</v>
      </c>
      <c r="O258" s="156">
        <f t="shared" si="384"/>
        <v>1.2290847502900881E-2</v>
      </c>
      <c r="P258" s="156">
        <f t="shared" si="384"/>
        <v>1.2391419868784889E-2</v>
      </c>
      <c r="Q258" s="156">
        <f t="shared" si="384"/>
        <v>1.3328993539467733E-2</v>
      </c>
      <c r="R258" s="156">
        <f t="shared" si="384"/>
        <v>1.241812375321358E-2</v>
      </c>
      <c r="S258" s="156">
        <f t="shared" si="384"/>
        <v>1.0993307093920714E-2</v>
      </c>
      <c r="T258" s="156">
        <f t="shared" si="384"/>
        <v>9.7045306703598018E-3</v>
      </c>
      <c r="U258" s="156">
        <f t="shared" si="384"/>
        <v>9.8472479876214863E-3</v>
      </c>
      <c r="V258" s="156">
        <f t="shared" si="384"/>
        <v>9.6475196104172621E-3</v>
      </c>
      <c r="W258" s="156">
        <f t="shared" ref="W258" si="385">IF(W40=0,0,W40/W$31)</f>
        <v>9.7167882433892329E-3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2.1654556365310915E-2</v>
      </c>
      <c r="C260" s="103">
        <f t="shared" si="390"/>
        <v>2.134480676553302E-2</v>
      </c>
      <c r="D260" s="103">
        <f t="shared" si="390"/>
        <v>2.0943538317084925E-2</v>
      </c>
      <c r="E260" s="103">
        <f t="shared" si="390"/>
        <v>1.9454012469425467E-2</v>
      </c>
      <c r="F260" s="103">
        <f t="shared" si="390"/>
        <v>1.8545164774529849E-2</v>
      </c>
      <c r="G260" s="103">
        <f t="shared" si="390"/>
        <v>1.8427704703689648E-2</v>
      </c>
      <c r="H260" s="103">
        <f t="shared" si="390"/>
        <v>1.598382403314744E-2</v>
      </c>
      <c r="I260" s="103">
        <f t="shared" si="390"/>
        <v>1.4738905883365131E-2</v>
      </c>
      <c r="J260" s="103">
        <f t="shared" si="390"/>
        <v>1.3222705459766421E-2</v>
      </c>
      <c r="K260" s="103">
        <f t="shared" si="390"/>
        <v>1.2579777428251889E-2</v>
      </c>
      <c r="L260" s="103">
        <f t="shared" ref="L260" si="391">IF(L42=0,0,L42/L$31)</f>
        <v>1.1773049493254752E-2</v>
      </c>
      <c r="M260" s="103">
        <f t="shared" ref="M260:V260" si="392">IF(M42=0,0,M42/M$31)</f>
        <v>1.1662215183608764E-2</v>
      </c>
      <c r="N260" s="103">
        <f t="shared" si="392"/>
        <v>1.1443740908903571E-2</v>
      </c>
      <c r="O260" s="103">
        <f t="shared" si="392"/>
        <v>1.1960647012424429E-2</v>
      </c>
      <c r="P260" s="103">
        <f t="shared" si="392"/>
        <v>1.2078963348148355E-2</v>
      </c>
      <c r="Q260" s="103">
        <f t="shared" si="392"/>
        <v>1.2872418618813527E-2</v>
      </c>
      <c r="R260" s="103">
        <f t="shared" si="392"/>
        <v>1.2019801665760381E-2</v>
      </c>
      <c r="S260" s="103">
        <f t="shared" si="392"/>
        <v>1.066349554181116E-2</v>
      </c>
      <c r="T260" s="103">
        <f t="shared" si="392"/>
        <v>9.4089470178990234E-3</v>
      </c>
      <c r="U260" s="103">
        <f t="shared" si="392"/>
        <v>9.5357961012548197E-3</v>
      </c>
      <c r="V260" s="103">
        <f t="shared" si="392"/>
        <v>9.2371996143449566E-3</v>
      </c>
      <c r="W260" s="103">
        <f t="shared" ref="W260" si="393">IF(W42=0,0,W42/W$31)</f>
        <v>9.183737868946355E-3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3.3997931150029866E-4</v>
      </c>
      <c r="C261" s="103">
        <f t="shared" si="394"/>
        <v>3.0741466616021531E-4</v>
      </c>
      <c r="D261" s="103">
        <f t="shared" si="394"/>
        <v>2.7039704287067264E-4</v>
      </c>
      <c r="E261" s="103">
        <f t="shared" si="394"/>
        <v>2.2785228060597396E-4</v>
      </c>
      <c r="F261" s="103">
        <f t="shared" si="394"/>
        <v>5.5517845547862403E-4</v>
      </c>
      <c r="G261" s="103">
        <f t="shared" si="394"/>
        <v>5.0242008867961525E-4</v>
      </c>
      <c r="H261" s="103">
        <f t="shared" si="394"/>
        <v>4.2084730122190291E-4</v>
      </c>
      <c r="I261" s="103">
        <f t="shared" si="394"/>
        <v>3.5365406051949627E-4</v>
      </c>
      <c r="J261" s="103">
        <f t="shared" si="394"/>
        <v>2.9954845754194797E-4</v>
      </c>
      <c r="K261" s="103">
        <f t="shared" si="394"/>
        <v>2.5953267114603613E-4</v>
      </c>
      <c r="L261" s="103">
        <f t="shared" ref="L261" si="395">IF(L43=0,0,L43/L$31)</f>
        <v>2.2453923268346402E-4</v>
      </c>
      <c r="M261" s="103">
        <f t="shared" ref="M261:V261" si="396">IF(M43=0,0,M43/M$31)</f>
        <v>2.0179115357128654E-4</v>
      </c>
      <c r="N261" s="103">
        <f t="shared" si="396"/>
        <v>1.8604210832410522E-4</v>
      </c>
      <c r="O261" s="103">
        <f t="shared" si="396"/>
        <v>1.7692674823371668E-4</v>
      </c>
      <c r="P261" s="103">
        <f t="shared" si="396"/>
        <v>1.5935654811006047E-4</v>
      </c>
      <c r="Q261" s="103">
        <f t="shared" si="396"/>
        <v>1.3454316703875014E-4</v>
      </c>
      <c r="R261" s="103">
        <f t="shared" si="396"/>
        <v>1.1590313635744441E-4</v>
      </c>
      <c r="S261" s="103">
        <f t="shared" si="396"/>
        <v>9.9045526086152206E-5</v>
      </c>
      <c r="T261" s="103">
        <f t="shared" si="396"/>
        <v>8.5455216850223299E-5</v>
      </c>
      <c r="U261" s="103">
        <f t="shared" si="396"/>
        <v>8.4189389885111761E-5</v>
      </c>
      <c r="V261" s="103">
        <f t="shared" si="396"/>
        <v>8.0404899522685394E-5</v>
      </c>
      <c r="W261" s="103">
        <f t="shared" ref="W261" si="397">IF(W43=0,0,W43/W$31)</f>
        <v>8.082573516328451E-5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1.7180528418428553E-4</v>
      </c>
      <c r="R262" s="103">
        <f t="shared" si="400"/>
        <v>1.3347292349710028E-4</v>
      </c>
      <c r="S262" s="103">
        <f t="shared" si="400"/>
        <v>8.2536815053401273E-5</v>
      </c>
      <c r="T262" s="103">
        <f t="shared" si="400"/>
        <v>9.1276725362261925E-5</v>
      </c>
      <c r="U262" s="103">
        <f t="shared" si="400"/>
        <v>1.5073613955692415E-4</v>
      </c>
      <c r="V262" s="103">
        <f t="shared" si="400"/>
        <v>2.1164781434253221E-4</v>
      </c>
      <c r="W262" s="103">
        <f t="shared" ref="W262" si="401">IF(W44=0,0,W44/W$31)</f>
        <v>2.8220592468806803E-4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1.3032973668574438E-4</v>
      </c>
      <c r="C263" s="103">
        <f t="shared" si="402"/>
        <v>1.4201121232317515E-4</v>
      </c>
      <c r="D263" s="103">
        <f t="shared" si="402"/>
        <v>1.4291659888501407E-4</v>
      </c>
      <c r="E263" s="103">
        <f t="shared" si="402"/>
        <v>1.0468053337406314E-4</v>
      </c>
      <c r="F263" s="103">
        <f t="shared" si="402"/>
        <v>8.4870113143235292E-5</v>
      </c>
      <c r="G263" s="103">
        <f t="shared" si="402"/>
        <v>2.9337526463795951E-4</v>
      </c>
      <c r="H263" s="103">
        <f t="shared" si="402"/>
        <v>2.4997800602904248E-4</v>
      </c>
      <c r="I263" s="103">
        <f t="shared" si="402"/>
        <v>2.1881698361563386E-4</v>
      </c>
      <c r="J263" s="103">
        <f t="shared" si="402"/>
        <v>1.9111979704455987E-4</v>
      </c>
      <c r="K263" s="103">
        <f t="shared" si="402"/>
        <v>1.7189606241332526E-4</v>
      </c>
      <c r="L263" s="103">
        <f t="shared" ref="L263" si="403">IF(L45=0,0,L45/L$31)</f>
        <v>1.5855207644708126E-4</v>
      </c>
      <c r="M263" s="103">
        <f t="shared" ref="M263:V263" si="404">IF(M45=0,0,M45/M$31)</f>
        <v>1.4926361418666633E-4</v>
      </c>
      <c r="N263" s="103">
        <f t="shared" si="404"/>
        <v>1.4167824142836415E-4</v>
      </c>
      <c r="O263" s="103">
        <f t="shared" si="404"/>
        <v>1.532737422427371E-4</v>
      </c>
      <c r="P263" s="103">
        <f t="shared" si="404"/>
        <v>1.5309997252647441E-4</v>
      </c>
      <c r="Q263" s="103">
        <f t="shared" si="404"/>
        <v>1.5022646943117229E-4</v>
      </c>
      <c r="R263" s="103">
        <f t="shared" si="404"/>
        <v>1.4894602759865294E-4</v>
      </c>
      <c r="S263" s="103">
        <f t="shared" si="404"/>
        <v>1.4822921096999966E-4</v>
      </c>
      <c r="T263" s="103">
        <f t="shared" si="404"/>
        <v>1.1885171024829468E-4</v>
      </c>
      <c r="U263" s="103">
        <f t="shared" si="404"/>
        <v>7.6526356924632583E-5</v>
      </c>
      <c r="V263" s="103">
        <f t="shared" si="404"/>
        <v>1.1826728220708775E-4</v>
      </c>
      <c r="W263" s="103">
        <f t="shared" ref="W263" si="405">IF(W45=0,0,W45/W$31)</f>
        <v>1.7001871459152514E-4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0.76696042887780791</v>
      </c>
      <c r="C265" s="154">
        <f t="shared" si="410"/>
        <v>0.75504339781924279</v>
      </c>
      <c r="D265" s="154">
        <f t="shared" si="410"/>
        <v>0.75161351850352975</v>
      </c>
      <c r="E265" s="154">
        <f t="shared" si="410"/>
        <v>0.74567226488916749</v>
      </c>
      <c r="F265" s="154">
        <f t="shared" si="410"/>
        <v>0.70908954771664845</v>
      </c>
      <c r="G265" s="154">
        <f t="shared" si="410"/>
        <v>0.70169749921780467</v>
      </c>
      <c r="H265" s="154">
        <f t="shared" si="410"/>
        <v>0.70414525329348476</v>
      </c>
      <c r="I265" s="154">
        <f t="shared" si="410"/>
        <v>0.69633910079325656</v>
      </c>
      <c r="J265" s="154">
        <f t="shared" si="410"/>
        <v>0.69187722138652619</v>
      </c>
      <c r="K265" s="154">
        <f t="shared" si="410"/>
        <v>0.68640631985446299</v>
      </c>
      <c r="L265" s="154">
        <f t="shared" ref="L265" si="411">IF(L47=0,0,L47/L$46)</f>
        <v>0.68182984018155268</v>
      </c>
      <c r="M265" s="154">
        <f t="shared" ref="M265:V265" si="412">IF(M47=0,0,M47/M$46)</f>
        <v>0.6706475362694998</v>
      </c>
      <c r="N265" s="154">
        <f t="shared" si="412"/>
        <v>0.66723827672140279</v>
      </c>
      <c r="O265" s="154">
        <f t="shared" si="412"/>
        <v>0.65375488099371448</v>
      </c>
      <c r="P265" s="154">
        <f t="shared" si="412"/>
        <v>0.65534507913945728</v>
      </c>
      <c r="Q265" s="154">
        <f t="shared" si="412"/>
        <v>0.64212994248103028</v>
      </c>
      <c r="R265" s="154">
        <f t="shared" si="412"/>
        <v>0.64769539141238797</v>
      </c>
      <c r="S265" s="154">
        <f t="shared" si="412"/>
        <v>0.63584124573923151</v>
      </c>
      <c r="T265" s="154">
        <f t="shared" si="412"/>
        <v>0.65955297151377668</v>
      </c>
      <c r="U265" s="154">
        <f t="shared" si="412"/>
        <v>0.6655955912153716</v>
      </c>
      <c r="V265" s="154">
        <f t="shared" si="412"/>
        <v>0.66083937168517459</v>
      </c>
      <c r="W265" s="154">
        <f t="shared" ref="W265" si="413">IF(W47=0,0,W47/W$46)</f>
        <v>0.6532307064233297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0.46031190220454138</v>
      </c>
      <c r="C266" s="103">
        <f t="shared" si="414"/>
        <v>0.45118339784957456</v>
      </c>
      <c r="D266" s="103">
        <f t="shared" si="414"/>
        <v>0.3972325073286509</v>
      </c>
      <c r="E266" s="103">
        <f t="shared" si="414"/>
        <v>0.3745153486524635</v>
      </c>
      <c r="F266" s="103">
        <f t="shared" si="414"/>
        <v>0.33256223336419138</v>
      </c>
      <c r="G266" s="103">
        <f t="shared" si="414"/>
        <v>0.28827673563605222</v>
      </c>
      <c r="H266" s="103">
        <f t="shared" si="414"/>
        <v>0.25797697071954317</v>
      </c>
      <c r="I266" s="103">
        <f t="shared" si="414"/>
        <v>0.22634697948757662</v>
      </c>
      <c r="J266" s="103">
        <f t="shared" si="414"/>
        <v>0.19869389459414086</v>
      </c>
      <c r="K266" s="103">
        <f t="shared" si="414"/>
        <v>0.1924365830252692</v>
      </c>
      <c r="L266" s="103">
        <f t="shared" ref="L266" si="415">IF(L48=0,0,L48/L$46)</f>
        <v>0.17514673485076082</v>
      </c>
      <c r="M266" s="103">
        <f t="shared" ref="M266:V266" si="416">IF(M48=0,0,M48/M$46)</f>
        <v>0.15377616345115053</v>
      </c>
      <c r="N266" s="103">
        <f t="shared" si="416"/>
        <v>0.14412814257658335</v>
      </c>
      <c r="O266" s="103">
        <f t="shared" si="416"/>
        <v>0.13067117801552522</v>
      </c>
      <c r="P266" s="103">
        <f t="shared" si="416"/>
        <v>0.12110093387502961</v>
      </c>
      <c r="Q266" s="103">
        <f t="shared" si="416"/>
        <v>0.10482742312137741</v>
      </c>
      <c r="R266" s="103">
        <f t="shared" si="416"/>
        <v>0.10055871068183177</v>
      </c>
      <c r="S266" s="103">
        <f t="shared" si="416"/>
        <v>9.8860721054354464E-2</v>
      </c>
      <c r="T266" s="103">
        <f t="shared" si="416"/>
        <v>9.7107506121951362E-2</v>
      </c>
      <c r="U266" s="103">
        <f t="shared" si="416"/>
        <v>9.4449097690285769E-2</v>
      </c>
      <c r="V266" s="103">
        <f t="shared" si="416"/>
        <v>8.6225272494782984E-2</v>
      </c>
      <c r="W266" s="103">
        <f t="shared" ref="W266" si="417">IF(W48=0,0,W48/W$46)</f>
        <v>8.1798420315011638E-2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0.29240035228659883</v>
      </c>
      <c r="C267" s="103">
        <f t="shared" si="418"/>
        <v>0.28738370014054027</v>
      </c>
      <c r="D267" s="103">
        <f t="shared" si="418"/>
        <v>0.33191033399306685</v>
      </c>
      <c r="E267" s="103">
        <f t="shared" si="418"/>
        <v>0.34531321095146966</v>
      </c>
      <c r="F267" s="103">
        <f t="shared" si="418"/>
        <v>0.3502198421153232</v>
      </c>
      <c r="G267" s="103">
        <f t="shared" si="418"/>
        <v>0.38525993425760185</v>
      </c>
      <c r="H267" s="103">
        <f t="shared" si="418"/>
        <v>0.41365726613863835</v>
      </c>
      <c r="I267" s="103">
        <f t="shared" si="418"/>
        <v>0.43608078401722333</v>
      </c>
      <c r="J267" s="103">
        <f t="shared" si="418"/>
        <v>0.45951693366269714</v>
      </c>
      <c r="K267" s="103">
        <f t="shared" si="418"/>
        <v>0.46162903961676133</v>
      </c>
      <c r="L267" s="103">
        <f t="shared" ref="L267" si="419">IF(L49=0,0,L49/L$46)</f>
        <v>0.47524882228920229</v>
      </c>
      <c r="M267" s="103">
        <f t="shared" ref="M267:V267" si="420">IF(M49=0,0,M49/M$46)</f>
        <v>0.48611955951667668</v>
      </c>
      <c r="N267" s="103">
        <f t="shared" si="420"/>
        <v>0.49491838822906514</v>
      </c>
      <c r="O267" s="103">
        <f t="shared" si="420"/>
        <v>0.49614141911825033</v>
      </c>
      <c r="P267" s="103">
        <f t="shared" si="420"/>
        <v>0.50410047102970068</v>
      </c>
      <c r="Q267" s="103">
        <f t="shared" si="420"/>
        <v>0.50742884822921208</v>
      </c>
      <c r="R267" s="103">
        <f t="shared" si="420"/>
        <v>0.51828199527963081</v>
      </c>
      <c r="S267" s="103">
        <f t="shared" si="420"/>
        <v>0.51051708459473721</v>
      </c>
      <c r="T267" s="103">
        <f t="shared" si="420"/>
        <v>0.53513551972208073</v>
      </c>
      <c r="U267" s="103">
        <f t="shared" si="420"/>
        <v>0.54473803123969688</v>
      </c>
      <c r="V267" s="103">
        <f t="shared" si="420"/>
        <v>0.54959545939582366</v>
      </c>
      <c r="W267" s="103">
        <f t="shared" ref="W267" si="421">IF(W49=0,0,W49/W$46)</f>
        <v>0.54749123565200708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1.4248174386667692E-2</v>
      </c>
      <c r="C268" s="103">
        <f t="shared" si="422"/>
        <v>1.6476299829127843E-2</v>
      </c>
      <c r="D268" s="103">
        <f t="shared" si="422"/>
        <v>2.2470677181812063E-2</v>
      </c>
      <c r="E268" s="103">
        <f t="shared" si="422"/>
        <v>2.5843705285234289E-2</v>
      </c>
      <c r="F268" s="103">
        <f t="shared" si="422"/>
        <v>2.6307472237133828E-2</v>
      </c>
      <c r="G268" s="103">
        <f t="shared" si="422"/>
        <v>2.8160829324150493E-2</v>
      </c>
      <c r="H268" s="103">
        <f t="shared" si="422"/>
        <v>3.251101643530329E-2</v>
      </c>
      <c r="I268" s="103">
        <f t="shared" si="422"/>
        <v>3.3911337288456661E-2</v>
      </c>
      <c r="J268" s="103">
        <f t="shared" si="422"/>
        <v>3.3666393129688166E-2</v>
      </c>
      <c r="K268" s="103">
        <f t="shared" si="422"/>
        <v>3.2340697212432372E-2</v>
      </c>
      <c r="L268" s="103">
        <f t="shared" ref="L268" si="423">IF(L50=0,0,L50/L$46)</f>
        <v>3.1434283041589489E-2</v>
      </c>
      <c r="M268" s="103">
        <f t="shared" ref="M268:V268" si="424">IF(M50=0,0,M50/M$46)</f>
        <v>3.0751813301672565E-2</v>
      </c>
      <c r="N268" s="103">
        <f t="shared" si="424"/>
        <v>2.8190566090003581E-2</v>
      </c>
      <c r="O268" s="103">
        <f t="shared" si="424"/>
        <v>2.6940179039587342E-2</v>
      </c>
      <c r="P268" s="103">
        <f t="shared" si="424"/>
        <v>3.0140909770372214E-2</v>
      </c>
      <c r="Q268" s="103">
        <f t="shared" si="424"/>
        <v>2.9345998044663681E-2</v>
      </c>
      <c r="R268" s="103">
        <f t="shared" si="424"/>
        <v>2.8261894217696443E-2</v>
      </c>
      <c r="S268" s="103">
        <f t="shared" si="424"/>
        <v>2.5921686532971791E-2</v>
      </c>
      <c r="T268" s="103">
        <f t="shared" si="424"/>
        <v>2.6753991144366537E-2</v>
      </c>
      <c r="U268" s="103">
        <f t="shared" si="424"/>
        <v>2.5852185423420174E-2</v>
      </c>
      <c r="V268" s="103">
        <f t="shared" si="424"/>
        <v>2.458261650281398E-2</v>
      </c>
      <c r="W268" s="103">
        <f t="shared" ref="W268" si="425">IF(W50=0,0,W50/W$46)</f>
        <v>2.3501900410523562E-2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5.2386408852657168E-4</v>
      </c>
      <c r="R269" s="103">
        <f t="shared" si="428"/>
        <v>5.8817048035339763E-4</v>
      </c>
      <c r="S269" s="103">
        <f t="shared" si="428"/>
        <v>5.3528123054362084E-4</v>
      </c>
      <c r="T269" s="103">
        <f t="shared" si="428"/>
        <v>5.4327043762907935E-4</v>
      </c>
      <c r="U269" s="103">
        <f t="shared" si="428"/>
        <v>5.2750825568032293E-4</v>
      </c>
      <c r="V269" s="103">
        <f t="shared" si="428"/>
        <v>3.7956253072441598E-4</v>
      </c>
      <c r="W269" s="103">
        <f t="shared" ref="W269" si="429">IF(W51=0,0,W51/W$46)</f>
        <v>3.2678452173538482E-4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1.1798257507899465E-6</v>
      </c>
      <c r="O270" s="103">
        <f t="shared" si="432"/>
        <v>2.1048203515358461E-6</v>
      </c>
      <c r="P270" s="103">
        <f t="shared" si="432"/>
        <v>2.7644643547260343E-6</v>
      </c>
      <c r="Q270" s="103">
        <f t="shared" si="432"/>
        <v>3.8089972505567499E-6</v>
      </c>
      <c r="R270" s="103">
        <f t="shared" si="432"/>
        <v>4.6207528754670939E-6</v>
      </c>
      <c r="S270" s="103">
        <f t="shared" si="432"/>
        <v>6.4723266243555123E-6</v>
      </c>
      <c r="T270" s="103">
        <f t="shared" si="432"/>
        <v>1.2684087748931113E-5</v>
      </c>
      <c r="U270" s="103">
        <f t="shared" si="432"/>
        <v>2.8768606288514961E-5</v>
      </c>
      <c r="V270" s="103">
        <f t="shared" si="432"/>
        <v>5.6460761029711246E-5</v>
      </c>
      <c r="W270" s="103">
        <f t="shared" ref="W270" si="433">IF(W52=0,0,W52/W$46)</f>
        <v>1.1236552405201768E-4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0.23303957112219217</v>
      </c>
      <c r="C271" s="156">
        <f t="shared" si="434"/>
        <v>0.24495660218075718</v>
      </c>
      <c r="D271" s="156">
        <f t="shared" si="434"/>
        <v>0.24838648149647027</v>
      </c>
      <c r="E271" s="156">
        <f t="shared" si="434"/>
        <v>0.25432773511083251</v>
      </c>
      <c r="F271" s="156">
        <f t="shared" si="434"/>
        <v>0.29091045228335155</v>
      </c>
      <c r="G271" s="156">
        <f t="shared" si="434"/>
        <v>0.29830250078219533</v>
      </c>
      <c r="H271" s="156">
        <f t="shared" si="434"/>
        <v>0.29585474670651524</v>
      </c>
      <c r="I271" s="156">
        <f t="shared" si="434"/>
        <v>0.30366089920674338</v>
      </c>
      <c r="J271" s="156">
        <f t="shared" si="434"/>
        <v>0.30812277861347381</v>
      </c>
      <c r="K271" s="156">
        <f t="shared" si="434"/>
        <v>0.31359368014553707</v>
      </c>
      <c r="L271" s="156">
        <f t="shared" ref="L271" si="435">IF(L53=0,0,L53/L$46)</f>
        <v>0.31817015981844732</v>
      </c>
      <c r="M271" s="156">
        <f t="shared" ref="M271:V271" si="436">IF(M53=0,0,M53/M$46)</f>
        <v>0.32935246373050037</v>
      </c>
      <c r="N271" s="156">
        <f t="shared" si="436"/>
        <v>0.33276172327859715</v>
      </c>
      <c r="O271" s="156">
        <f t="shared" si="436"/>
        <v>0.34624511900628552</v>
      </c>
      <c r="P271" s="156">
        <f t="shared" si="436"/>
        <v>0.34465492086054261</v>
      </c>
      <c r="Q271" s="156">
        <f t="shared" si="436"/>
        <v>0.35787005751896961</v>
      </c>
      <c r="R271" s="156">
        <f t="shared" si="436"/>
        <v>0.35230460858761214</v>
      </c>
      <c r="S271" s="156">
        <f t="shared" si="436"/>
        <v>0.36415875426076849</v>
      </c>
      <c r="T271" s="156">
        <f t="shared" si="436"/>
        <v>0.34044702848622332</v>
      </c>
      <c r="U271" s="156">
        <f t="shared" si="436"/>
        <v>0.3344044087846284</v>
      </c>
      <c r="V271" s="156">
        <f t="shared" si="436"/>
        <v>0.33916062831482546</v>
      </c>
      <c r="W271" s="156">
        <f t="shared" ref="W271" si="437">IF(W53=0,0,W53/W$46)</f>
        <v>0.34676929357667036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0.18422506159506927</v>
      </c>
      <c r="C272" s="104">
        <f t="shared" si="438"/>
        <v>0.19205663046020777</v>
      </c>
      <c r="D272" s="104">
        <f t="shared" si="438"/>
        <v>0.19448813711564039</v>
      </c>
      <c r="E272" s="104">
        <f t="shared" si="438"/>
        <v>0.20119916869023291</v>
      </c>
      <c r="F272" s="104">
        <f t="shared" si="438"/>
        <v>0.22913163618930493</v>
      </c>
      <c r="G272" s="104">
        <f t="shared" si="438"/>
        <v>0.23574305588368891</v>
      </c>
      <c r="H272" s="104">
        <f t="shared" si="438"/>
        <v>0.22304825789264904</v>
      </c>
      <c r="I272" s="104">
        <f t="shared" si="438"/>
        <v>0.23832195892819355</v>
      </c>
      <c r="J272" s="104">
        <f t="shared" si="438"/>
        <v>0.24523247663635356</v>
      </c>
      <c r="K272" s="104">
        <f t="shared" si="438"/>
        <v>0.25685059741265687</v>
      </c>
      <c r="L272" s="104">
        <f t="shared" ref="L272" si="439">IF(L54=0,0,L54/L$46)</f>
        <v>0.25569517341800374</v>
      </c>
      <c r="M272" s="104">
        <f t="shared" ref="M272:V272" si="440">IF(M54=0,0,M54/M$46)</f>
        <v>0.26673691106123482</v>
      </c>
      <c r="N272" s="104">
        <f t="shared" si="440"/>
        <v>0.26449339166886138</v>
      </c>
      <c r="O272" s="104">
        <f t="shared" si="440"/>
        <v>0.27684239023150459</v>
      </c>
      <c r="P272" s="104">
        <f t="shared" si="440"/>
        <v>0.27395118841550575</v>
      </c>
      <c r="Q272" s="104">
        <f t="shared" si="440"/>
        <v>0.28691084128669225</v>
      </c>
      <c r="R272" s="104">
        <f t="shared" si="440"/>
        <v>0.27626813220795882</v>
      </c>
      <c r="S272" s="104">
        <f t="shared" si="440"/>
        <v>0.2837747811061776</v>
      </c>
      <c r="T272" s="104">
        <f t="shared" si="440"/>
        <v>0.27180441749974876</v>
      </c>
      <c r="U272" s="104">
        <f t="shared" si="440"/>
        <v>0.25910092515442645</v>
      </c>
      <c r="V272" s="104">
        <f t="shared" si="440"/>
        <v>0.26698530039275892</v>
      </c>
      <c r="W272" s="104">
        <f t="shared" ref="W272" si="441">IF(W54=0,0,W54/W$46)</f>
        <v>0.27351461330501259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4.8814509527122907E-2</v>
      </c>
      <c r="C273" s="105">
        <f t="shared" si="442"/>
        <v>5.2899971720549409E-2</v>
      </c>
      <c r="D273" s="105">
        <f t="shared" si="442"/>
        <v>5.3898344380829882E-2</v>
      </c>
      <c r="E273" s="105">
        <f t="shared" si="442"/>
        <v>5.3128566420599599E-2</v>
      </c>
      <c r="F273" s="105">
        <f t="shared" si="442"/>
        <v>6.1778816094046625E-2</v>
      </c>
      <c r="G273" s="105">
        <f t="shared" si="442"/>
        <v>6.2559444898506428E-2</v>
      </c>
      <c r="H273" s="105">
        <f t="shared" si="442"/>
        <v>7.2806488813866227E-2</v>
      </c>
      <c r="I273" s="105">
        <f t="shared" si="442"/>
        <v>6.5338940278549848E-2</v>
      </c>
      <c r="J273" s="105">
        <f t="shared" si="442"/>
        <v>6.2890301977120297E-2</v>
      </c>
      <c r="K273" s="105">
        <f t="shared" si="442"/>
        <v>5.674308273288018E-2</v>
      </c>
      <c r="L273" s="105">
        <f t="shared" ref="L273" si="443">IF(L55=0,0,L55/L$46)</f>
        <v>6.2474986400443536E-2</v>
      </c>
      <c r="M273" s="105">
        <f t="shared" ref="M273:V273" si="444">IF(M55=0,0,M55/M$46)</f>
        <v>6.2615552669265523E-2</v>
      </c>
      <c r="N273" s="105">
        <f t="shared" si="444"/>
        <v>6.8268331609735805E-2</v>
      </c>
      <c r="O273" s="105">
        <f t="shared" si="444"/>
        <v>6.9402728774780931E-2</v>
      </c>
      <c r="P273" s="105">
        <f t="shared" si="444"/>
        <v>7.0703732445036888E-2</v>
      </c>
      <c r="Q273" s="105">
        <f t="shared" si="444"/>
        <v>7.0959216232277356E-2</v>
      </c>
      <c r="R273" s="105">
        <f t="shared" si="444"/>
        <v>7.6036476379653342E-2</v>
      </c>
      <c r="S273" s="105">
        <f t="shared" si="444"/>
        <v>8.0383973154590907E-2</v>
      </c>
      <c r="T273" s="105">
        <f t="shared" si="444"/>
        <v>6.8642610986474548E-2</v>
      </c>
      <c r="U273" s="105">
        <f t="shared" si="444"/>
        <v>7.5303483630201881E-2</v>
      </c>
      <c r="V273" s="105">
        <f t="shared" si="444"/>
        <v>7.2175327922066504E-2</v>
      </c>
      <c r="W273" s="105">
        <f t="shared" ref="W273" si="445">IF(W55=0,0,W55/W$46)</f>
        <v>7.3254680271657796E-2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8958.2298430352785</v>
      </c>
      <c r="C4" s="145">
        <f t="shared" si="0"/>
        <v>8899.1223948086736</v>
      </c>
      <c r="D4" s="145">
        <f t="shared" si="0"/>
        <v>8625.5355050587987</v>
      </c>
      <c r="E4" s="145">
        <f t="shared" si="0"/>
        <v>9427.9193106251005</v>
      </c>
      <c r="F4" s="145">
        <f t="shared" si="0"/>
        <v>10664.73095057876</v>
      </c>
      <c r="G4" s="145">
        <f t="shared" si="0"/>
        <v>11480.708722586407</v>
      </c>
      <c r="H4" s="145">
        <f t="shared" si="0"/>
        <v>12732.316243380839</v>
      </c>
      <c r="I4" s="145">
        <f t="shared" si="0"/>
        <v>14091.651656750973</v>
      </c>
      <c r="J4" s="145">
        <f t="shared" si="0"/>
        <v>15048.420581552489</v>
      </c>
      <c r="K4" s="145">
        <f t="shared" si="0"/>
        <v>15492.998125416771</v>
      </c>
      <c r="L4" s="145">
        <f t="shared" ref="L4" si="1">L5+L9+L10+L15</f>
        <v>16561.708347838539</v>
      </c>
      <c r="M4" s="145">
        <f t="shared" ref="M4:V4" si="2">M5+M9+M10+M15</f>
        <v>16778.54597169202</v>
      </c>
      <c r="N4" s="145">
        <f t="shared" si="2"/>
        <v>16019.121743147871</v>
      </c>
      <c r="O4" s="145">
        <f t="shared" si="2"/>
        <v>14986.921766334457</v>
      </c>
      <c r="P4" s="145">
        <f t="shared" si="2"/>
        <v>15067.462578162655</v>
      </c>
      <c r="Q4" s="145">
        <f t="shared" si="2"/>
        <v>15850.670726256667</v>
      </c>
      <c r="R4" s="145">
        <f t="shared" si="2"/>
        <v>17800.856212219827</v>
      </c>
      <c r="S4" s="145">
        <f t="shared" si="2"/>
        <v>20662.187452148428</v>
      </c>
      <c r="T4" s="145">
        <f t="shared" si="2"/>
        <v>21510.165250855254</v>
      </c>
      <c r="U4" s="145">
        <f t="shared" si="2"/>
        <v>22000.961857837592</v>
      </c>
      <c r="V4" s="145">
        <f t="shared" si="2"/>
        <v>21081.798530506228</v>
      </c>
      <c r="W4" s="145">
        <f t="shared" ref="W4" si="3">W5+W9+W10+W15</f>
        <v>22856.057621799355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8955.2044711951839</v>
      </c>
      <c r="C5" s="97">
        <f t="shared" si="4"/>
        <v>8895.8894239036963</v>
      </c>
      <c r="D5" s="97">
        <f t="shared" si="4"/>
        <v>8622.2557179707655</v>
      </c>
      <c r="E5" s="97">
        <f t="shared" si="4"/>
        <v>9397.0383490971617</v>
      </c>
      <c r="F5" s="97">
        <f t="shared" si="4"/>
        <v>10648.939466895958</v>
      </c>
      <c r="G5" s="97">
        <f t="shared" si="4"/>
        <v>11423.846431642303</v>
      </c>
      <c r="H5" s="97">
        <f t="shared" si="4"/>
        <v>12634.91203783319</v>
      </c>
      <c r="I5" s="97">
        <f t="shared" si="4"/>
        <v>13988.361049011179</v>
      </c>
      <c r="J5" s="97">
        <f t="shared" si="4"/>
        <v>14605.044368013756</v>
      </c>
      <c r="K5" s="97">
        <f t="shared" si="4"/>
        <v>14851.07007738607</v>
      </c>
      <c r="L5" s="97">
        <f t="shared" ref="L5" si="5">SUM(L6:L8)</f>
        <v>15688.351504729149</v>
      </c>
      <c r="M5" s="97">
        <f t="shared" ref="M5:V5" si="6">SUM(M6:M8)</f>
        <v>15857.294411006025</v>
      </c>
      <c r="N5" s="97">
        <f t="shared" si="6"/>
        <v>15206.360447119518</v>
      </c>
      <c r="O5" s="97">
        <f t="shared" si="6"/>
        <v>14233.748925193464</v>
      </c>
      <c r="P5" s="97">
        <f t="shared" si="6"/>
        <v>14356.340154772141</v>
      </c>
      <c r="Q5" s="97">
        <f t="shared" si="6"/>
        <v>15175.217368873602</v>
      </c>
      <c r="R5" s="97">
        <f t="shared" si="6"/>
        <v>17322.441874462602</v>
      </c>
      <c r="S5" s="97">
        <f t="shared" si="6"/>
        <v>20038.785898538266</v>
      </c>
      <c r="T5" s="97">
        <f t="shared" si="6"/>
        <v>20578.015219260531</v>
      </c>
      <c r="U5" s="97">
        <f t="shared" si="6"/>
        <v>20953.353138435083</v>
      </c>
      <c r="V5" s="97">
        <f t="shared" si="6"/>
        <v>20013.88056749785</v>
      </c>
      <c r="W5" s="97">
        <f t="shared" ref="W5" si="7">SUM(W6:W8)</f>
        <v>21694.908082545138</v>
      </c>
      <c r="DA5" s="175"/>
    </row>
    <row r="6" spans="1:105" ht="11.45" customHeight="1" x14ac:dyDescent="0.25">
      <c r="A6" s="128" t="s">
        <v>52</v>
      </c>
      <c r="B6" s="97">
        <v>480.13998280309539</v>
      </c>
      <c r="C6" s="97">
        <v>662.02828890799651</v>
      </c>
      <c r="D6" s="97">
        <v>936.55537403267397</v>
      </c>
      <c r="E6" s="97">
        <v>1208.8229578675839</v>
      </c>
      <c r="F6" s="97">
        <v>1514.9828030954429</v>
      </c>
      <c r="G6" s="97">
        <v>1749.968959587274</v>
      </c>
      <c r="H6" s="97">
        <v>1920.5598452278589</v>
      </c>
      <c r="I6" s="97">
        <v>1977.046947549441</v>
      </c>
      <c r="J6" s="97">
        <v>1942.024935511608</v>
      </c>
      <c r="K6" s="97">
        <v>1816.136457437661</v>
      </c>
      <c r="L6" s="97">
        <v>1823.8272570937229</v>
      </c>
      <c r="M6" s="97">
        <v>1766.6953568357701</v>
      </c>
      <c r="N6" s="97">
        <v>1764.4979363714531</v>
      </c>
      <c r="O6" s="97">
        <v>1750.2149613069651</v>
      </c>
      <c r="P6" s="97">
        <v>1763.399226139295</v>
      </c>
      <c r="Q6" s="97">
        <v>1790.8665520206359</v>
      </c>
      <c r="R6" s="97">
        <v>1896.3408426483229</v>
      </c>
      <c r="S6" s="97">
        <v>2012.302235597592</v>
      </c>
      <c r="T6" s="97">
        <v>2039.494840928633</v>
      </c>
      <c r="U6" s="97">
        <v>2125.9673258813409</v>
      </c>
      <c r="V6" s="97">
        <v>1906.2290627687009</v>
      </c>
      <c r="W6" s="97">
        <v>1994.1244196044711</v>
      </c>
      <c r="DA6" s="175" t="s">
        <v>629</v>
      </c>
    </row>
    <row r="7" spans="1:105" ht="11.45" customHeight="1" x14ac:dyDescent="0.25">
      <c r="A7" s="128" t="s">
        <v>53</v>
      </c>
      <c r="B7" s="97">
        <v>5248.113155631986</v>
      </c>
      <c r="C7" s="97">
        <v>4868.2597592433358</v>
      </c>
      <c r="D7" s="97">
        <v>4457.7219260533102</v>
      </c>
      <c r="E7" s="97">
        <v>4257.7434221840067</v>
      </c>
      <c r="F7" s="97">
        <v>4322.2866723989682</v>
      </c>
      <c r="G7" s="97">
        <v>4172.0383490971617</v>
      </c>
      <c r="H7" s="97">
        <v>4279.9631986242484</v>
      </c>
      <c r="I7" s="97">
        <v>4273.6147033533962</v>
      </c>
      <c r="J7" s="97">
        <v>4222.8264832330178</v>
      </c>
      <c r="K7" s="97">
        <v>4293.8521066208077</v>
      </c>
      <c r="L7" s="97">
        <v>4243.3361994840934</v>
      </c>
      <c r="M7" s="97">
        <v>4013.3276010318141</v>
      </c>
      <c r="N7" s="97">
        <v>3841.3585554600172</v>
      </c>
      <c r="O7" s="97">
        <v>3659.7162510748062</v>
      </c>
      <c r="P7" s="97">
        <v>3535.3933791917452</v>
      </c>
      <c r="Q7" s="97">
        <v>3654.198882201204</v>
      </c>
      <c r="R7" s="97">
        <v>3859.6063628546858</v>
      </c>
      <c r="S7" s="97">
        <v>4218.9072226999142</v>
      </c>
      <c r="T7" s="97">
        <v>4386.9828890799654</v>
      </c>
      <c r="U7" s="97">
        <v>4535.6978503869304</v>
      </c>
      <c r="V7" s="97">
        <v>4226.9263112639719</v>
      </c>
      <c r="W7" s="97">
        <v>4673.9576956147876</v>
      </c>
      <c r="DA7" s="175" t="s">
        <v>630</v>
      </c>
    </row>
    <row r="8" spans="1:105" ht="11.45" customHeight="1" x14ac:dyDescent="0.25">
      <c r="A8" s="128" t="s">
        <v>54</v>
      </c>
      <c r="B8" s="97">
        <v>3226.951332760103</v>
      </c>
      <c r="C8" s="97">
        <v>3365.6013757523651</v>
      </c>
      <c r="D8" s="97">
        <v>3227.9784178847808</v>
      </c>
      <c r="E8" s="97">
        <v>3930.4719690455722</v>
      </c>
      <c r="F8" s="97">
        <v>4811.6699914015471</v>
      </c>
      <c r="G8" s="97">
        <v>5501.8391229578674</v>
      </c>
      <c r="H8" s="97">
        <v>6434.3889939810833</v>
      </c>
      <c r="I8" s="97">
        <v>7737.6993981083406</v>
      </c>
      <c r="J8" s="97">
        <v>8440.1929492691306</v>
      </c>
      <c r="K8" s="97">
        <v>8741.081513327601</v>
      </c>
      <c r="L8" s="97">
        <v>9621.1880481513326</v>
      </c>
      <c r="M8" s="97">
        <v>10077.271453138441</v>
      </c>
      <c r="N8" s="97">
        <v>9600.503955288048</v>
      </c>
      <c r="O8" s="97">
        <v>8823.8177128116931</v>
      </c>
      <c r="P8" s="97">
        <v>9057.5475494411003</v>
      </c>
      <c r="Q8" s="97">
        <v>9730.1519346517616</v>
      </c>
      <c r="R8" s="97">
        <v>11566.494668959591</v>
      </c>
      <c r="S8" s="97">
        <v>13807.57644024076</v>
      </c>
      <c r="T8" s="97">
        <v>14151.53748925193</v>
      </c>
      <c r="U8" s="97">
        <v>14291.68796216681</v>
      </c>
      <c r="V8" s="97">
        <v>13880.725193465179</v>
      </c>
      <c r="W8" s="97">
        <v>15026.82596732588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15.97162510748065</v>
      </c>
      <c r="R9" s="97">
        <v>14.59587274290628</v>
      </c>
      <c r="S9" s="97">
        <v>11.132502149613069</v>
      </c>
      <c r="T9" s="97">
        <v>12.769389509888221</v>
      </c>
      <c r="U9" s="97">
        <v>17.157953568357691</v>
      </c>
      <c r="V9" s="97">
        <v>19.50842648323302</v>
      </c>
      <c r="W9" s="97">
        <v>27.790627687016329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28.37489251934652</v>
      </c>
      <c r="F10" s="97">
        <f t="shared" si="8"/>
        <v>13.542562338779019</v>
      </c>
      <c r="G10" s="97">
        <f t="shared" si="8"/>
        <v>49.664058469475492</v>
      </c>
      <c r="H10" s="97">
        <f t="shared" si="8"/>
        <v>90.592089423903673</v>
      </c>
      <c r="I10" s="97">
        <f t="shared" si="8"/>
        <v>96.698882201203787</v>
      </c>
      <c r="J10" s="97">
        <f t="shared" si="8"/>
        <v>437.06036113499567</v>
      </c>
      <c r="K10" s="97">
        <f t="shared" si="8"/>
        <v>635.88787618228707</v>
      </c>
      <c r="L10" s="97">
        <f t="shared" si="8"/>
        <v>867.42476354256223</v>
      </c>
      <c r="M10" s="97">
        <f t="shared" si="8"/>
        <v>915.53447979363716</v>
      </c>
      <c r="N10" s="97">
        <f t="shared" si="8"/>
        <v>807.3490971625107</v>
      </c>
      <c r="O10" s="97">
        <f t="shared" si="8"/>
        <v>747.53069647463451</v>
      </c>
      <c r="P10" s="97">
        <f t="shared" si="8"/>
        <v>705.37042132416161</v>
      </c>
      <c r="Q10" s="97">
        <f t="shared" si="8"/>
        <v>653.42777300085982</v>
      </c>
      <c r="R10" s="97">
        <f t="shared" si="8"/>
        <v>457.41745485812567</v>
      </c>
      <c r="S10" s="97">
        <f t="shared" si="8"/>
        <v>604.88710232158212</v>
      </c>
      <c r="T10" s="97">
        <f t="shared" si="8"/>
        <v>912.40447119518467</v>
      </c>
      <c r="U10" s="97">
        <f t="shared" si="8"/>
        <v>1025.1036973344799</v>
      </c>
      <c r="V10" s="97">
        <f t="shared" si="8"/>
        <v>1039.5315563198624</v>
      </c>
      <c r="W10" s="97">
        <f t="shared" si="8"/>
        <v>1119.6875322441961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28.37489251934652</v>
      </c>
      <c r="F12" s="97">
        <v>13.542562338779019</v>
      </c>
      <c r="G12" s="97">
        <v>34.178847807394668</v>
      </c>
      <c r="H12" s="97">
        <v>55.460017196904552</v>
      </c>
      <c r="I12" s="97">
        <v>72.226999140154774</v>
      </c>
      <c r="J12" s="97">
        <v>127.6870163370593</v>
      </c>
      <c r="K12" s="97">
        <v>168.35769561478929</v>
      </c>
      <c r="L12" s="97">
        <v>169.63310404127259</v>
      </c>
      <c r="M12" s="97">
        <v>160.70507308684441</v>
      </c>
      <c r="N12" s="97">
        <v>138.38495270851249</v>
      </c>
      <c r="O12" s="97">
        <v>144.1244196044712</v>
      </c>
      <c r="P12" s="97">
        <v>132.8460877042132</v>
      </c>
      <c r="Q12" s="97">
        <v>153.48237317282889</v>
      </c>
      <c r="R12" s="97">
        <v>167.66981943250221</v>
      </c>
      <c r="S12" s="97">
        <v>176.1597592433362</v>
      </c>
      <c r="T12" s="97">
        <v>172.83920894239029</v>
      </c>
      <c r="U12" s="97">
        <v>187.3181427343078</v>
      </c>
      <c r="V12" s="97">
        <v>183.01616509028369</v>
      </c>
      <c r="W12" s="97">
        <v>208.00799656061909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15.485210662080826</v>
      </c>
      <c r="H13" s="97">
        <v>35.132072226999128</v>
      </c>
      <c r="I13" s="97">
        <v>24.471883061049006</v>
      </c>
      <c r="J13" s="97">
        <v>309.3733447979364</v>
      </c>
      <c r="K13" s="97">
        <v>467.53018056749784</v>
      </c>
      <c r="L13" s="97">
        <v>697.7916595012897</v>
      </c>
      <c r="M13" s="97">
        <v>754.82940670679272</v>
      </c>
      <c r="N13" s="97">
        <v>668.96414445399819</v>
      </c>
      <c r="O13" s="97">
        <v>603.40627687016331</v>
      </c>
      <c r="P13" s="97">
        <v>572.52433361994838</v>
      </c>
      <c r="Q13" s="97">
        <v>499.94539982803093</v>
      </c>
      <c r="R13" s="97">
        <v>289.74763542562346</v>
      </c>
      <c r="S13" s="97">
        <v>428.72734307824589</v>
      </c>
      <c r="T13" s="97">
        <v>739.56526225279435</v>
      </c>
      <c r="U13" s="97">
        <v>837.78555460017196</v>
      </c>
      <c r="V13" s="97">
        <v>856.51539122957865</v>
      </c>
      <c r="W13" s="97">
        <v>911.67953568357689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3.0253718400948322</v>
      </c>
      <c r="C15" s="98">
        <v>3.2329709049772783</v>
      </c>
      <c r="D15" s="98">
        <v>3.2797870880337694</v>
      </c>
      <c r="E15" s="98">
        <v>2.5060690085916253</v>
      </c>
      <c r="F15" s="98">
        <v>2.2489213440240987</v>
      </c>
      <c r="G15" s="98">
        <v>7.1982324746268533</v>
      </c>
      <c r="H15" s="98">
        <v>6.8121161237443371</v>
      </c>
      <c r="I15" s="98">
        <v>6.5917255385909153</v>
      </c>
      <c r="J15" s="98">
        <v>6.3158524037370141</v>
      </c>
      <c r="K15" s="98">
        <v>6.0401718484140101</v>
      </c>
      <c r="L15" s="98">
        <v>5.9320795668267392</v>
      </c>
      <c r="M15" s="98">
        <v>5.7170808923600136</v>
      </c>
      <c r="N15" s="98">
        <v>5.4121988658429769</v>
      </c>
      <c r="O15" s="98">
        <v>5.642144666359056</v>
      </c>
      <c r="P15" s="98">
        <v>5.7520020663520466</v>
      </c>
      <c r="Q15" s="98">
        <v>6.0539592747251083</v>
      </c>
      <c r="R15" s="98">
        <v>6.4010101561959658</v>
      </c>
      <c r="S15" s="98">
        <v>7.381949138966962</v>
      </c>
      <c r="T15" s="98">
        <v>6.9761708896502093</v>
      </c>
      <c r="U15" s="98">
        <v>5.3470684996755669</v>
      </c>
      <c r="V15" s="98">
        <v>8.8779802052798154</v>
      </c>
      <c r="W15" s="98">
        <v>13.671379323003494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8958.2298430352785</v>
      </c>
      <c r="C17" s="79">
        <f t="shared" si="9"/>
        <v>8899.1223948086754</v>
      </c>
      <c r="D17" s="79">
        <f t="shared" si="9"/>
        <v>8625.5355050587987</v>
      </c>
      <c r="E17" s="79">
        <f t="shared" si="9"/>
        <v>9427.9193106251005</v>
      </c>
      <c r="F17" s="79">
        <f t="shared" si="9"/>
        <v>10664.73095057876</v>
      </c>
      <c r="G17" s="79">
        <f t="shared" si="9"/>
        <v>11480.708722586405</v>
      </c>
      <c r="H17" s="79">
        <f t="shared" si="9"/>
        <v>12732.316243380839</v>
      </c>
      <c r="I17" s="79">
        <f t="shared" si="9"/>
        <v>14091.651656750972</v>
      </c>
      <c r="J17" s="79">
        <f t="shared" si="9"/>
        <v>15048.420581552487</v>
      </c>
      <c r="K17" s="79">
        <f t="shared" si="9"/>
        <v>15492.998125416771</v>
      </c>
      <c r="L17" s="79">
        <f t="shared" ref="L17" si="10">L18+L42</f>
        <v>16561.708347838539</v>
      </c>
      <c r="M17" s="79">
        <f t="shared" ref="M17:V17" si="11">M18+M42</f>
        <v>16778.545971692023</v>
      </c>
      <c r="N17" s="79">
        <f t="shared" si="11"/>
        <v>16019.121743147873</v>
      </c>
      <c r="O17" s="79">
        <f t="shared" si="11"/>
        <v>14986.921766334455</v>
      </c>
      <c r="P17" s="79">
        <f t="shared" si="11"/>
        <v>15067.462578162656</v>
      </c>
      <c r="Q17" s="79">
        <f t="shared" si="11"/>
        <v>15850.670726256667</v>
      </c>
      <c r="R17" s="79">
        <f t="shared" si="11"/>
        <v>17800.856212219827</v>
      </c>
      <c r="S17" s="79">
        <f t="shared" si="11"/>
        <v>20662.187452148428</v>
      </c>
      <c r="T17" s="79">
        <f t="shared" si="11"/>
        <v>21510.165250855251</v>
      </c>
      <c r="U17" s="79">
        <f t="shared" si="11"/>
        <v>22000.961857837592</v>
      </c>
      <c r="V17" s="79">
        <f t="shared" si="11"/>
        <v>21081.798530506228</v>
      </c>
      <c r="W17" s="79">
        <f t="shared" ref="W17" si="12">W18+W42</f>
        <v>22856.057621799351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6285.4582123793989</v>
      </c>
      <c r="C18" s="32">
        <f t="shared" si="13"/>
        <v>6101.8644522880968</v>
      </c>
      <c r="D18" s="32">
        <f t="shared" si="13"/>
        <v>6010.6052007741491</v>
      </c>
      <c r="E18" s="32">
        <f t="shared" si="13"/>
        <v>6278.6439681758029</v>
      </c>
      <c r="F18" s="32">
        <f t="shared" si="13"/>
        <v>6983.9123436541986</v>
      </c>
      <c r="G18" s="32">
        <f t="shared" si="13"/>
        <v>7030.0857207459067</v>
      </c>
      <c r="H18" s="32">
        <f t="shared" si="13"/>
        <v>7765.638533280955</v>
      </c>
      <c r="I18" s="32">
        <f t="shared" si="13"/>
        <v>8495.7055385497824</v>
      </c>
      <c r="J18" s="32">
        <f t="shared" si="13"/>
        <v>9033.1552484878721</v>
      </c>
      <c r="K18" s="32">
        <f t="shared" si="13"/>
        <v>9431.9943911362461</v>
      </c>
      <c r="L18" s="32">
        <f t="shared" ref="L18" si="14">L19+L21+L33</f>
        <v>9924.817652815118</v>
      </c>
      <c r="M18" s="32">
        <f t="shared" ref="M18:V18" si="15">M19+M21+M33</f>
        <v>10036.502137112935</v>
      </c>
      <c r="N18" s="32">
        <f t="shared" si="15"/>
        <v>9945.1624118545169</v>
      </c>
      <c r="O18" s="32">
        <f t="shared" si="15"/>
        <v>9492.6420829591516</v>
      </c>
      <c r="P18" s="32">
        <f t="shared" si="15"/>
        <v>9469.2012720067378</v>
      </c>
      <c r="Q18" s="32">
        <f t="shared" si="15"/>
        <v>10061.04519669478</v>
      </c>
      <c r="R18" s="32">
        <f t="shared" si="15"/>
        <v>10804.206662606675</v>
      </c>
      <c r="S18" s="32">
        <f t="shared" si="15"/>
        <v>11946.244291876243</v>
      </c>
      <c r="T18" s="32">
        <f t="shared" si="15"/>
        <v>12557.769799760315</v>
      </c>
      <c r="U18" s="32">
        <f t="shared" si="15"/>
        <v>12947.901465110242</v>
      </c>
      <c r="V18" s="32">
        <f t="shared" si="15"/>
        <v>12472.520565825454</v>
      </c>
      <c r="W18" s="32">
        <f t="shared" ref="W18" si="16">W19+W21+W33</f>
        <v>12454.576246645895</v>
      </c>
      <c r="DA18" s="173" t="s">
        <v>390</v>
      </c>
    </row>
    <row r="19" spans="1:105" ht="11.45" customHeight="1" x14ac:dyDescent="0.25">
      <c r="A19" s="107" t="s">
        <v>181</v>
      </c>
      <c r="B19" s="129">
        <v>103.84491730023861</v>
      </c>
      <c r="C19" s="129">
        <v>92.484497260811906</v>
      </c>
      <c r="D19" s="129">
        <v>86.876346719217139</v>
      </c>
      <c r="E19" s="129">
        <v>79.983381733521441</v>
      </c>
      <c r="F19" s="129">
        <v>76.026417750338567</v>
      </c>
      <c r="G19" s="129">
        <v>77.763929278837097</v>
      </c>
      <c r="H19" s="129">
        <v>81.542227465599638</v>
      </c>
      <c r="I19" s="129">
        <v>87.096325272954076</v>
      </c>
      <c r="J19" s="129">
        <v>90.275060974697908</v>
      </c>
      <c r="K19" s="129">
        <v>92.636409052625652</v>
      </c>
      <c r="L19" s="129">
        <v>98.401893895607529</v>
      </c>
      <c r="M19" s="129">
        <v>96.696098561129318</v>
      </c>
      <c r="N19" s="129">
        <v>96.329553681546997</v>
      </c>
      <c r="O19" s="129">
        <v>92.95568279216306</v>
      </c>
      <c r="P19" s="129">
        <v>93.053716227826428</v>
      </c>
      <c r="Q19" s="129">
        <v>95.959187332823973</v>
      </c>
      <c r="R19" s="129">
        <v>101.41624282535557</v>
      </c>
      <c r="S19" s="129">
        <v>95.416932331043284</v>
      </c>
      <c r="T19" s="129">
        <v>91.040635132535158</v>
      </c>
      <c r="U19" s="129">
        <v>96.785600510893886</v>
      </c>
      <c r="V19" s="129">
        <v>86.829656708876513</v>
      </c>
      <c r="W19" s="129">
        <v>86.27897941839268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0.52950471577908609</v>
      </c>
      <c r="F20" s="97">
        <v>0.2374614972216014</v>
      </c>
      <c r="G20" s="97">
        <v>0.63189354693389732</v>
      </c>
      <c r="H20" s="97">
        <v>1.0431123127755599</v>
      </c>
      <c r="I20" s="97">
        <v>1.4475230901739524</v>
      </c>
      <c r="J20" s="97">
        <v>2.6495615257013645</v>
      </c>
      <c r="K20" s="97">
        <v>3.4951409838047813</v>
      </c>
      <c r="L20" s="97">
        <v>3.7825367812363964</v>
      </c>
      <c r="M20" s="97">
        <v>3.7229113425088736</v>
      </c>
      <c r="N20" s="97">
        <v>3.3496029840344397</v>
      </c>
      <c r="O20" s="97">
        <v>3.5220149820222115</v>
      </c>
      <c r="P20" s="97">
        <v>3.369960510692966</v>
      </c>
      <c r="Q20" s="97">
        <v>3.8679823261968735</v>
      </c>
      <c r="R20" s="97">
        <v>4.2223185975770177</v>
      </c>
      <c r="S20" s="97">
        <v>3.8244295015823542</v>
      </c>
      <c r="T20" s="97">
        <v>3.4508783500007096</v>
      </c>
      <c r="U20" s="97">
        <v>3.8385851238975324</v>
      </c>
      <c r="V20" s="97">
        <v>3.6035006969301433</v>
      </c>
      <c r="W20" s="97">
        <v>3.6761253121624624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5190.1061418169465</v>
      </c>
      <c r="C21" s="130">
        <f t="shared" si="17"/>
        <v>5088.8770812207658</v>
      </c>
      <c r="D21" s="130">
        <f t="shared" si="17"/>
        <v>5027.6460102038327</v>
      </c>
      <c r="E21" s="130">
        <f t="shared" si="17"/>
        <v>5338.80886128974</v>
      </c>
      <c r="F21" s="130">
        <f t="shared" si="17"/>
        <v>6001.1622552715462</v>
      </c>
      <c r="G21" s="130">
        <f t="shared" si="17"/>
        <v>6066.0395436838444</v>
      </c>
      <c r="H21" s="130">
        <f t="shared" si="17"/>
        <v>6839.937770968394</v>
      </c>
      <c r="I21" s="130">
        <f t="shared" si="17"/>
        <v>7555.1892992869653</v>
      </c>
      <c r="J21" s="130">
        <f t="shared" si="17"/>
        <v>8109.6576277321192</v>
      </c>
      <c r="K21" s="130">
        <f t="shared" si="17"/>
        <v>8499.3624958668115</v>
      </c>
      <c r="L21" s="130">
        <f t="shared" ref="L21" si="18">L22+L24+L26+L27+L29+L32</f>
        <v>8990.7233446089067</v>
      </c>
      <c r="M21" s="130">
        <f t="shared" ref="M21:V21" si="19">M22+M24+M26+M27+M29+M32</f>
        <v>9092.9388407471542</v>
      </c>
      <c r="N21" s="130">
        <f t="shared" si="19"/>
        <v>9018.39950306637</v>
      </c>
      <c r="O21" s="130">
        <f t="shared" si="19"/>
        <v>8560.7491972479274</v>
      </c>
      <c r="P21" s="130">
        <f t="shared" si="19"/>
        <v>8517.4613035840248</v>
      </c>
      <c r="Q21" s="130">
        <f t="shared" si="19"/>
        <v>8963.8728578278642</v>
      </c>
      <c r="R21" s="130">
        <f t="shared" si="19"/>
        <v>9717.5525375037232</v>
      </c>
      <c r="S21" s="130">
        <f t="shared" si="19"/>
        <v>10880.007427186221</v>
      </c>
      <c r="T21" s="130">
        <f t="shared" si="19"/>
        <v>11532.264659053946</v>
      </c>
      <c r="U21" s="130">
        <f t="shared" si="19"/>
        <v>11865.067417718354</v>
      </c>
      <c r="V21" s="130">
        <f t="shared" si="19"/>
        <v>11406.453796406407</v>
      </c>
      <c r="W21" s="130">
        <f t="shared" ref="W21" si="20">W22+W24+W26+W27+W29+W32</f>
        <v>11384.550748504797</v>
      </c>
      <c r="DA21" s="176" t="s">
        <v>392</v>
      </c>
    </row>
    <row r="22" spans="1:105" ht="11.45" customHeight="1" x14ac:dyDescent="0.25">
      <c r="A22" s="111" t="s">
        <v>110</v>
      </c>
      <c r="B22" s="96">
        <v>4085.2018971441876</v>
      </c>
      <c r="C22" s="96">
        <v>3755.8206073394822</v>
      </c>
      <c r="D22" s="96">
        <v>3449.4939906815775</v>
      </c>
      <c r="E22" s="96">
        <v>3314.481108339387</v>
      </c>
      <c r="F22" s="96">
        <v>3460.253991744723</v>
      </c>
      <c r="G22" s="96">
        <v>3422.2777502301001</v>
      </c>
      <c r="H22" s="96">
        <v>3600.3288041602955</v>
      </c>
      <c r="I22" s="96">
        <v>3668.282967133146</v>
      </c>
      <c r="J22" s="96">
        <v>3719.1115241396396</v>
      </c>
      <c r="K22" s="96">
        <v>3819.1895349053775</v>
      </c>
      <c r="L22" s="96">
        <v>3789.1192570391991</v>
      </c>
      <c r="M22" s="96">
        <v>3595.7545864935423</v>
      </c>
      <c r="N22" s="96">
        <v>3435.6679131443452</v>
      </c>
      <c r="O22" s="96">
        <v>3293.4743996444431</v>
      </c>
      <c r="P22" s="96">
        <v>3194.375574442483</v>
      </c>
      <c r="Q22" s="96">
        <v>3377.8805356358926</v>
      </c>
      <c r="R22" s="96">
        <v>3593.7179178357624</v>
      </c>
      <c r="S22" s="96">
        <v>3956.7105234453666</v>
      </c>
      <c r="T22" s="96">
        <v>4130.1257373216722</v>
      </c>
      <c r="U22" s="96">
        <v>4283.5249868475084</v>
      </c>
      <c r="V22" s="96">
        <v>4007.6278817462789</v>
      </c>
      <c r="W22" s="96">
        <v>4476.0437583607772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21.942475289099384</v>
      </c>
      <c r="F23" s="96">
        <v>10.80778389881543</v>
      </c>
      <c r="G23" s="96">
        <v>27.808718595375424</v>
      </c>
      <c r="H23" s="96">
        <v>46.056471872128718</v>
      </c>
      <c r="I23" s="96">
        <v>60.966111711097987</v>
      </c>
      <c r="J23" s="96">
        <v>109.1554488887558</v>
      </c>
      <c r="K23" s="96">
        <v>144.09675423388785</v>
      </c>
      <c r="L23" s="96">
        <v>145.65251125600207</v>
      </c>
      <c r="M23" s="96">
        <v>138.44069961594496</v>
      </c>
      <c r="N23" s="96">
        <v>119.46617682942907</v>
      </c>
      <c r="O23" s="96">
        <v>124.78705798320796</v>
      </c>
      <c r="P23" s="96">
        <v>115.68500408771664</v>
      </c>
      <c r="Q23" s="96">
        <v>136.15769969505382</v>
      </c>
      <c r="R23" s="96">
        <v>149.61924812235318</v>
      </c>
      <c r="S23" s="96">
        <v>158.58988635880371</v>
      </c>
      <c r="T23" s="96">
        <v>156.55164827173576</v>
      </c>
      <c r="U23" s="96">
        <v>169.88761970336159</v>
      </c>
      <c r="V23" s="96">
        <v>166.31978533934534</v>
      </c>
      <c r="W23" s="96">
        <v>190.71270742163111</v>
      </c>
      <c r="DA23" s="171" t="s">
        <v>641</v>
      </c>
    </row>
    <row r="24" spans="1:105" ht="11.45" customHeight="1" x14ac:dyDescent="0.25">
      <c r="A24" s="111" t="s">
        <v>111</v>
      </c>
      <c r="B24" s="96">
        <v>676.66168802204197</v>
      </c>
      <c r="C24" s="96">
        <v>726.28684226634402</v>
      </c>
      <c r="D24" s="96">
        <v>710.46866699185546</v>
      </c>
      <c r="E24" s="96">
        <v>893.23378036185068</v>
      </c>
      <c r="F24" s="96">
        <v>1118.4786269962872</v>
      </c>
      <c r="G24" s="96">
        <v>989.7080390668234</v>
      </c>
      <c r="H24" s="96">
        <v>1427.0125194409</v>
      </c>
      <c r="I24" s="96">
        <v>2023.178981089668</v>
      </c>
      <c r="J24" s="96">
        <v>2565.0045467319492</v>
      </c>
      <c r="K24" s="96">
        <v>2981.2317796073712</v>
      </c>
      <c r="L24" s="96">
        <v>3496.847021492913</v>
      </c>
      <c r="M24" s="96">
        <v>3851.6565126107917</v>
      </c>
      <c r="N24" s="96">
        <v>3927.9478616933784</v>
      </c>
      <c r="O24" s="96">
        <v>3625.0346979105689</v>
      </c>
      <c r="P24" s="96">
        <v>3675.8045963952186</v>
      </c>
      <c r="Q24" s="96">
        <v>3907.5875582812632</v>
      </c>
      <c r="R24" s="96">
        <v>4338.0564318714478</v>
      </c>
      <c r="S24" s="96">
        <v>5017.0499940024129</v>
      </c>
      <c r="T24" s="96">
        <v>5471.8197828754219</v>
      </c>
      <c r="U24" s="96">
        <v>5564.6412900257792</v>
      </c>
      <c r="V24" s="96">
        <v>5595.7498723855488</v>
      </c>
      <c r="W24" s="96">
        <v>5012.1716055433644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2.7777662780337784</v>
      </c>
      <c r="H25" s="96">
        <v>7.7492454833622162</v>
      </c>
      <c r="I25" s="96">
        <v>6.3784987013762064</v>
      </c>
      <c r="J25" s="96">
        <v>90.695242412468687</v>
      </c>
      <c r="K25" s="96">
        <v>151.36003977205763</v>
      </c>
      <c r="L25" s="96">
        <v>236.46433613394063</v>
      </c>
      <c r="M25" s="96">
        <v>268.40071357070963</v>
      </c>
      <c r="N25" s="96">
        <v>255.8707281853892</v>
      </c>
      <c r="O25" s="96">
        <v>232.0268079962309</v>
      </c>
      <c r="P25" s="96">
        <v>218.53290428392688</v>
      </c>
      <c r="Q25" s="96">
        <v>190.96401141791347</v>
      </c>
      <c r="R25" s="96">
        <v>106.01517421862829</v>
      </c>
      <c r="S25" s="96">
        <v>151.08883223886357</v>
      </c>
      <c r="T25" s="96">
        <v>271.75743128314451</v>
      </c>
      <c r="U25" s="96">
        <v>308.13868599913326</v>
      </c>
      <c r="V25" s="96">
        <v>325.22003448506797</v>
      </c>
      <c r="W25" s="96">
        <v>286.69527900500992</v>
      </c>
      <c r="DA25" s="171" t="s">
        <v>643</v>
      </c>
    </row>
    <row r="26" spans="1:105" ht="11.45" customHeight="1" x14ac:dyDescent="0.25">
      <c r="A26" s="111" t="s">
        <v>112</v>
      </c>
      <c r="B26" s="96">
        <v>428.24255665071752</v>
      </c>
      <c r="C26" s="96">
        <v>606.76963161493973</v>
      </c>
      <c r="D26" s="96">
        <v>867.6833525303997</v>
      </c>
      <c r="E26" s="96">
        <v>1131.0939725885025</v>
      </c>
      <c r="F26" s="96">
        <v>1422.4296365305361</v>
      </c>
      <c r="G26" s="96">
        <v>1654.0537543869218</v>
      </c>
      <c r="H26" s="96">
        <v>1812.5964473671982</v>
      </c>
      <c r="I26" s="96">
        <v>1863.7273510641521</v>
      </c>
      <c r="J26" s="96">
        <v>1825.5415568605301</v>
      </c>
      <c r="K26" s="96">
        <v>1698.9411813540626</v>
      </c>
      <c r="L26" s="96">
        <v>1704.7554683826359</v>
      </c>
      <c r="M26" s="96">
        <v>1645.5165731447439</v>
      </c>
      <c r="N26" s="96">
        <v>1654.75879170658</v>
      </c>
      <c r="O26" s="96">
        <v>1642.2097042441862</v>
      </c>
      <c r="P26" s="96">
        <v>1646.9597689522091</v>
      </c>
      <c r="Q26" s="96">
        <v>1675.7814077024195</v>
      </c>
      <c r="R26" s="96">
        <v>1782.1741741177439</v>
      </c>
      <c r="S26" s="96">
        <v>1901.8290073071298</v>
      </c>
      <c r="T26" s="96">
        <v>1924.9877322859111</v>
      </c>
      <c r="U26" s="96">
        <v>2010.9473325329952</v>
      </c>
      <c r="V26" s="96">
        <v>1795.5170338016917</v>
      </c>
      <c r="W26" s="96">
        <v>1883.7153489804714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2.5106665101573786</v>
      </c>
      <c r="R27" s="96">
        <v>3.3845458919210616</v>
      </c>
      <c r="S27" s="96">
        <v>3.8636954181045464</v>
      </c>
      <c r="T27" s="96">
        <v>4.1535648083143926</v>
      </c>
      <c r="U27" s="96">
        <v>4.2736657008513763</v>
      </c>
      <c r="V27" s="96">
        <v>4.1065019525229598</v>
      </c>
      <c r="W27" s="96">
        <v>4.0431149129625377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2.6775300827714078E-3</v>
      </c>
      <c r="O29" s="96">
        <v>5.4774078060117522E-3</v>
      </c>
      <c r="P29" s="96">
        <v>0.29060511201161243</v>
      </c>
      <c r="Q29" s="96">
        <v>7.570079758436607E-2</v>
      </c>
      <c r="R29" s="96">
        <v>0.12411362035121409</v>
      </c>
      <c r="S29" s="96">
        <v>0.26586959370908247</v>
      </c>
      <c r="T29" s="96">
        <v>0.56669984029987086</v>
      </c>
      <c r="U29" s="96">
        <v>0.82070734458732952</v>
      </c>
      <c r="V29" s="96">
        <v>1.9960547315126083</v>
      </c>
      <c r="W29" s="96">
        <v>6.7051500075177328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5.8125795256719265E-5</v>
      </c>
      <c r="O30" s="96">
        <v>1.3829961977667048E-4</v>
      </c>
      <c r="P30" s="96">
        <v>8.3837756231120216E-3</v>
      </c>
      <c r="Q30" s="96">
        <v>2.0075878142671679E-3</v>
      </c>
      <c r="R30" s="96">
        <v>3.3366947468557941E-3</v>
      </c>
      <c r="S30" s="96">
        <v>5.7996805850106612E-3</v>
      </c>
      <c r="T30" s="96">
        <v>1.1992980658598062E-2</v>
      </c>
      <c r="U30" s="96">
        <v>1.8675659113009595E-2</v>
      </c>
      <c r="V30" s="96">
        <v>4.468916481560118E-2</v>
      </c>
      <c r="W30" s="96">
        <v>0.18128094569114686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1.0059194646913107E-3</v>
      </c>
      <c r="O31" s="96">
        <v>1.8272996571657609E-3</v>
      </c>
      <c r="P31" s="96">
        <v>5.9106411870935023E-2</v>
      </c>
      <c r="Q31" s="96">
        <v>2.5895374779920578E-2</v>
      </c>
      <c r="R31" s="96">
        <v>4.3969254912896868E-2</v>
      </c>
      <c r="S31" s="96">
        <v>0.1211714812997247</v>
      </c>
      <c r="T31" s="96">
        <v>0.25030254501684457</v>
      </c>
      <c r="U31" s="96">
        <v>0.34982163439781844</v>
      </c>
      <c r="V31" s="96">
        <v>0.91922828803481016</v>
      </c>
      <c r="W31" s="96">
        <v>2.4504705137350165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1.5976941581085783E-3</v>
      </c>
      <c r="M32" s="96">
        <v>1.1168498076874393E-2</v>
      </c>
      <c r="N32" s="96">
        <v>2.2258991982686421E-2</v>
      </c>
      <c r="O32" s="96">
        <v>2.4918040924810887E-2</v>
      </c>
      <c r="P32" s="96">
        <v>3.0758682101821245E-2</v>
      </c>
      <c r="Q32" s="96">
        <v>3.6988900546728654E-2</v>
      </c>
      <c r="R32" s="96">
        <v>9.5354166496827139E-2</v>
      </c>
      <c r="S32" s="96">
        <v>0.28833741949841124</v>
      </c>
      <c r="T32" s="96">
        <v>0.61114192232758424</v>
      </c>
      <c r="U32" s="96">
        <v>0.85943526663377279</v>
      </c>
      <c r="V32" s="96">
        <v>1.4564517888525179</v>
      </c>
      <c r="W32" s="96">
        <v>1.871770699703674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991.50715326221393</v>
      </c>
      <c r="C33" s="130">
        <f t="shared" si="21"/>
        <v>920.50287380651889</v>
      </c>
      <c r="D33" s="130">
        <f t="shared" si="21"/>
        <v>896.08284385109903</v>
      </c>
      <c r="E33" s="130">
        <f t="shared" si="21"/>
        <v>859.8517251525418</v>
      </c>
      <c r="F33" s="130">
        <f t="shared" si="21"/>
        <v>906.72367063231411</v>
      </c>
      <c r="G33" s="130">
        <f t="shared" si="21"/>
        <v>886.28224778322522</v>
      </c>
      <c r="H33" s="130">
        <f t="shared" si="21"/>
        <v>844.15853484696152</v>
      </c>
      <c r="I33" s="130">
        <f t="shared" si="21"/>
        <v>853.41991398986329</v>
      </c>
      <c r="J33" s="130">
        <f t="shared" si="21"/>
        <v>833.22255978105648</v>
      </c>
      <c r="K33" s="130">
        <f t="shared" si="21"/>
        <v>839.99548621680947</v>
      </c>
      <c r="L33" s="130">
        <f t="shared" ref="L33" si="22">L34+L36+L38+L39+L41</f>
        <v>835.69241431060505</v>
      </c>
      <c r="M33" s="130">
        <f t="shared" ref="M33:V33" si="23">M34+M36+M38+M39+M41</f>
        <v>846.86719780465069</v>
      </c>
      <c r="N33" s="130">
        <f t="shared" si="23"/>
        <v>830.43335510659961</v>
      </c>
      <c r="O33" s="130">
        <f t="shared" si="23"/>
        <v>838.93720291906152</v>
      </c>
      <c r="P33" s="130">
        <f t="shared" si="23"/>
        <v>858.68625219488547</v>
      </c>
      <c r="Q33" s="130">
        <f t="shared" si="23"/>
        <v>1001.2131515340925</v>
      </c>
      <c r="R33" s="130">
        <f t="shared" si="23"/>
        <v>985.23788227759678</v>
      </c>
      <c r="S33" s="130">
        <f t="shared" si="23"/>
        <v>970.81993235897789</v>
      </c>
      <c r="T33" s="130">
        <f t="shared" si="23"/>
        <v>934.46450557383412</v>
      </c>
      <c r="U33" s="130">
        <f t="shared" si="23"/>
        <v>986.04844688099524</v>
      </c>
      <c r="V33" s="130">
        <f t="shared" si="23"/>
        <v>979.23711271017055</v>
      </c>
      <c r="W33" s="130">
        <f t="shared" ref="W33" si="24">W34+W36+W38+W39+W41</f>
        <v>983.74651872270692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976.74651869896593</v>
      </c>
      <c r="C36" s="97">
        <v>906.73034089659939</v>
      </c>
      <c r="D36" s="97">
        <v>883.4366647859149</v>
      </c>
      <c r="E36" s="97">
        <v>849.08545191086978</v>
      </c>
      <c r="F36" s="97">
        <v>883.37703645787781</v>
      </c>
      <c r="G36" s="97">
        <v>860.15463112776501</v>
      </c>
      <c r="H36" s="97">
        <v>819.70077470325907</v>
      </c>
      <c r="I36" s="97">
        <v>830.43437756213609</v>
      </c>
      <c r="J36" s="97">
        <v>811.67962677853723</v>
      </c>
      <c r="K36" s="97">
        <v>819.93525537609605</v>
      </c>
      <c r="L36" s="97">
        <v>816.86015573463737</v>
      </c>
      <c r="M36" s="97">
        <v>829.32682242483725</v>
      </c>
      <c r="N36" s="97">
        <v>814.17516730914781</v>
      </c>
      <c r="O36" s="97">
        <v>823.37672161898718</v>
      </c>
      <c r="P36" s="97">
        <v>843.98633572674362</v>
      </c>
      <c r="Q36" s="97">
        <v>975.8663430899021</v>
      </c>
      <c r="R36" s="97">
        <v>963.07348045396748</v>
      </c>
      <c r="S36" s="97">
        <v>952.18302824604484</v>
      </c>
      <c r="T36" s="97">
        <v>915.79170987571376</v>
      </c>
      <c r="U36" s="97">
        <v>964.97568316995591</v>
      </c>
      <c r="V36" s="97">
        <v>952.77965429395965</v>
      </c>
      <c r="W36" s="97">
        <v>945.98891844196226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2.4141549163267606</v>
      </c>
      <c r="H37" s="97">
        <v>4.4513011901020061</v>
      </c>
      <c r="I37" s="97">
        <v>2.6181196267694329</v>
      </c>
      <c r="J37" s="97">
        <v>28.699941528655152</v>
      </c>
      <c r="K37" s="97">
        <v>41.628911147788337</v>
      </c>
      <c r="L37" s="97">
        <v>55.23784519392359</v>
      </c>
      <c r="M37" s="97">
        <v>57.791215336404612</v>
      </c>
      <c r="N37" s="97">
        <v>53.036241891470091</v>
      </c>
      <c r="O37" s="97">
        <v>52.701694857092349</v>
      </c>
      <c r="P37" s="97">
        <v>50.17643900418151</v>
      </c>
      <c r="Q37" s="97">
        <v>47.69063999327124</v>
      </c>
      <c r="R37" s="97">
        <v>23.535978477721574</v>
      </c>
      <c r="S37" s="97">
        <v>28.675062434566311</v>
      </c>
      <c r="T37" s="97">
        <v>45.482711884096574</v>
      </c>
      <c r="U37" s="97">
        <v>53.434951784956596</v>
      </c>
      <c r="V37" s="97">
        <v>55.374711002594132</v>
      </c>
      <c r="W37" s="97">
        <v>54.110389318756035</v>
      </c>
      <c r="DA37" s="175" t="s">
        <v>654</v>
      </c>
    </row>
    <row r="38" spans="1:105" ht="11.45" customHeight="1" x14ac:dyDescent="0.25">
      <c r="A38" s="111" t="s">
        <v>112</v>
      </c>
      <c r="B38" s="97">
        <v>11.735262723153124</v>
      </c>
      <c r="C38" s="97">
        <v>10.539562004942193</v>
      </c>
      <c r="D38" s="97">
        <v>9.3663919771502915</v>
      </c>
      <c r="E38" s="97">
        <v>8.2602042330803798</v>
      </c>
      <c r="F38" s="97">
        <v>21.09771283041222</v>
      </c>
      <c r="G38" s="97">
        <v>18.929384180833335</v>
      </c>
      <c r="H38" s="97">
        <v>17.645644019958155</v>
      </c>
      <c r="I38" s="97">
        <v>16.393810889136262</v>
      </c>
      <c r="J38" s="97">
        <v>15.227080598782216</v>
      </c>
      <c r="K38" s="97">
        <v>14.02005899229939</v>
      </c>
      <c r="L38" s="97">
        <v>12.901776703298985</v>
      </c>
      <c r="M38" s="97">
        <v>11.834462985530285</v>
      </c>
      <c r="N38" s="97">
        <v>10.870039278646283</v>
      </c>
      <c r="O38" s="97">
        <v>9.9465530496096637</v>
      </c>
      <c r="P38" s="97">
        <v>9.0397150134131543</v>
      </c>
      <c r="Q38" s="97">
        <v>8.1927058935268597</v>
      </c>
      <c r="R38" s="97">
        <v>7.4156421389034461</v>
      </c>
      <c r="S38" s="97">
        <v>7.0275617618134554</v>
      </c>
      <c r="T38" s="97">
        <v>6.6796265251832025</v>
      </c>
      <c r="U38" s="97">
        <v>6.8207424929463523</v>
      </c>
      <c r="V38" s="97">
        <v>6.6207697613418635</v>
      </c>
      <c r="W38" s="97">
        <v>6.6327391158472713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11.165840802574342</v>
      </c>
      <c r="R39" s="97">
        <v>8.4907126193421831</v>
      </c>
      <c r="S39" s="97">
        <v>4.6423160270268475</v>
      </c>
      <c r="T39" s="97">
        <v>5.8901420601609136</v>
      </c>
      <c r="U39" s="97">
        <v>10.146427985955398</v>
      </c>
      <c r="V39" s="97">
        <v>13.405606714997136</v>
      </c>
      <c r="W39" s="97">
        <v>21.947481403901886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3.0253718400948322</v>
      </c>
      <c r="C41" s="97">
        <v>3.2329709049772783</v>
      </c>
      <c r="D41" s="97">
        <v>3.2797870880337694</v>
      </c>
      <c r="E41" s="97">
        <v>2.5060690085916253</v>
      </c>
      <c r="F41" s="97">
        <v>2.2489213440240987</v>
      </c>
      <c r="G41" s="97">
        <v>7.1982324746268533</v>
      </c>
      <c r="H41" s="97">
        <v>6.8121161237443371</v>
      </c>
      <c r="I41" s="97">
        <v>6.5917255385909153</v>
      </c>
      <c r="J41" s="97">
        <v>6.3158524037370141</v>
      </c>
      <c r="K41" s="97">
        <v>6.0401718484140101</v>
      </c>
      <c r="L41" s="97">
        <v>5.930481872668631</v>
      </c>
      <c r="M41" s="97">
        <v>5.7059123942831391</v>
      </c>
      <c r="N41" s="97">
        <v>5.3881485188055205</v>
      </c>
      <c r="O41" s="97">
        <v>5.613928250464709</v>
      </c>
      <c r="P41" s="97">
        <v>5.6602014547287895</v>
      </c>
      <c r="Q41" s="97">
        <v>5.9882617480891671</v>
      </c>
      <c r="R41" s="97">
        <v>6.258047065383761</v>
      </c>
      <c r="S41" s="97">
        <v>6.9670263240928092</v>
      </c>
      <c r="T41" s="97">
        <v>6.1030271127763456</v>
      </c>
      <c r="U41" s="97">
        <v>4.105593232137652</v>
      </c>
      <c r="V41" s="97">
        <v>6.4310819398719206</v>
      </c>
      <c r="W41" s="97">
        <v>9.1773797609955245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2672.7716306558796</v>
      </c>
      <c r="C42" s="32">
        <f t="shared" si="25"/>
        <v>2797.2579425205781</v>
      </c>
      <c r="D42" s="32">
        <f t="shared" si="25"/>
        <v>2614.9303042846495</v>
      </c>
      <c r="E42" s="32">
        <f t="shared" si="25"/>
        <v>3149.2753424492976</v>
      </c>
      <c r="F42" s="32">
        <f t="shared" si="25"/>
        <v>3680.8186069245621</v>
      </c>
      <c r="G42" s="32">
        <f t="shared" si="25"/>
        <v>4450.6230018404985</v>
      </c>
      <c r="H42" s="32">
        <f t="shared" si="25"/>
        <v>4966.6777100998843</v>
      </c>
      <c r="I42" s="32">
        <f t="shared" si="25"/>
        <v>5595.9461182011892</v>
      </c>
      <c r="J42" s="32">
        <f t="shared" si="25"/>
        <v>6015.2653330646153</v>
      </c>
      <c r="K42" s="32">
        <f t="shared" si="25"/>
        <v>6061.0037342805244</v>
      </c>
      <c r="L42" s="32">
        <f t="shared" ref="L42" si="26">L43+L52</f>
        <v>6636.8906950234204</v>
      </c>
      <c r="M42" s="32">
        <f t="shared" ref="M42:V42" si="27">M43+M52</f>
        <v>6742.0438345790872</v>
      </c>
      <c r="N42" s="32">
        <f t="shared" si="27"/>
        <v>6073.9593312933566</v>
      </c>
      <c r="O42" s="32">
        <f t="shared" si="27"/>
        <v>5494.2796833753036</v>
      </c>
      <c r="P42" s="32">
        <f t="shared" si="27"/>
        <v>5598.2613061559186</v>
      </c>
      <c r="Q42" s="32">
        <f t="shared" si="27"/>
        <v>5789.6255295618876</v>
      </c>
      <c r="R42" s="32">
        <f t="shared" si="27"/>
        <v>6996.6495496131538</v>
      </c>
      <c r="S42" s="32">
        <f t="shared" si="27"/>
        <v>8715.943160272187</v>
      </c>
      <c r="T42" s="32">
        <f t="shared" si="27"/>
        <v>8952.3954510949352</v>
      </c>
      <c r="U42" s="32">
        <f t="shared" si="27"/>
        <v>9053.0603927273496</v>
      </c>
      <c r="V42" s="32">
        <f t="shared" si="27"/>
        <v>8609.2779646807739</v>
      </c>
      <c r="W42" s="32">
        <f t="shared" ref="W42" si="28">W43+W52</f>
        <v>10401.481375153455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1933.7469489967784</v>
      </c>
      <c r="C43" s="141">
        <f t="shared" si="29"/>
        <v>1838.7593615975036</v>
      </c>
      <c r="D43" s="141">
        <f t="shared" si="29"/>
        <v>1889.8500841719285</v>
      </c>
      <c r="E43" s="141">
        <f t="shared" si="29"/>
        <v>1931.057806059669</v>
      </c>
      <c r="F43" s="141">
        <f t="shared" si="29"/>
        <v>1862.4828582663306</v>
      </c>
      <c r="G43" s="141">
        <f t="shared" si="29"/>
        <v>1888.3573433805095</v>
      </c>
      <c r="H43" s="141">
        <f t="shared" si="29"/>
        <v>1973.3855159681229</v>
      </c>
      <c r="I43" s="141">
        <f t="shared" si="29"/>
        <v>2031.7708703381493</v>
      </c>
      <c r="J43" s="141">
        <f t="shared" si="29"/>
        <v>2139.3877241117934</v>
      </c>
      <c r="K43" s="141">
        <f t="shared" si="29"/>
        <v>2247.6946518765271</v>
      </c>
      <c r="L43" s="141">
        <f t="shared" ref="L43" si="30">L44+L46+L48+L49+L51</f>
        <v>2375.9885533999422</v>
      </c>
      <c r="M43" s="141">
        <f t="shared" ref="M43:V43" si="31">M44+M46+M48+M49+M51</f>
        <v>2485.2081053841139</v>
      </c>
      <c r="N43" s="141">
        <f t="shared" si="31"/>
        <v>2470.2244384985888</v>
      </c>
      <c r="O43" s="141">
        <f t="shared" si="31"/>
        <v>2520.7049628031882</v>
      </c>
      <c r="P43" s="141">
        <f t="shared" si="31"/>
        <v>2506.0710601250339</v>
      </c>
      <c r="Q43" s="141">
        <f t="shared" si="31"/>
        <v>2514.3145850128803</v>
      </c>
      <c r="R43" s="141">
        <f t="shared" si="31"/>
        <v>2635.961746567742</v>
      </c>
      <c r="S43" s="141">
        <f t="shared" si="31"/>
        <v>2731.4227714699832</v>
      </c>
      <c r="T43" s="141">
        <f t="shared" si="31"/>
        <v>2871.8514336256071</v>
      </c>
      <c r="U43" s="141">
        <f t="shared" si="31"/>
        <v>2985.9395887908227</v>
      </c>
      <c r="V43" s="141">
        <f t="shared" si="31"/>
        <v>3011.4130749718747</v>
      </c>
      <c r="W43" s="141">
        <f t="shared" ref="W43" si="32">W44+W46+W48+W49+W51</f>
        <v>3107.8203332163753</v>
      </c>
      <c r="DA43" s="174" t="s">
        <v>399</v>
      </c>
    </row>
    <row r="44" spans="1:105" ht="11.45" customHeight="1" x14ac:dyDescent="0.25">
      <c r="A44" s="111" t="s">
        <v>110</v>
      </c>
      <c r="B44" s="96">
        <v>1059.0663411875601</v>
      </c>
      <c r="C44" s="96">
        <v>1019.9546546430419</v>
      </c>
      <c r="D44" s="96">
        <v>921.35158865251503</v>
      </c>
      <c r="E44" s="96">
        <v>891.653824630445</v>
      </c>
      <c r="F44" s="96">
        <v>799.54882524268555</v>
      </c>
      <c r="G44" s="96">
        <v>706.17551739561907</v>
      </c>
      <c r="H44" s="96">
        <v>653.55218419525806</v>
      </c>
      <c r="I44" s="96">
        <v>590.46241008745119</v>
      </c>
      <c r="J44" s="96">
        <v>541.12691445573989</v>
      </c>
      <c r="K44" s="96">
        <v>550.38385827759407</v>
      </c>
      <c r="L44" s="96">
        <v>525.44815259055929</v>
      </c>
      <c r="M44" s="96">
        <v>481.58198906398707</v>
      </c>
      <c r="N44" s="96">
        <v>447.74436973201921</v>
      </c>
      <c r="O44" s="96">
        <v>417.40693813452242</v>
      </c>
      <c r="P44" s="96">
        <v>380.57867752550834</v>
      </c>
      <c r="Q44" s="96">
        <v>333.79172698251227</v>
      </c>
      <c r="R44" s="96">
        <v>332.06187726063189</v>
      </c>
      <c r="S44" s="96">
        <v>342.79482805443178</v>
      </c>
      <c r="T44" s="96">
        <v>338.3393282728664</v>
      </c>
      <c r="U44" s="96">
        <v>342.23452005264642</v>
      </c>
      <c r="V44" s="96">
        <v>314.40811145562282</v>
      </c>
      <c r="W44" s="96">
        <v>315.38827490245353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5.9029125144680492</v>
      </c>
      <c r="F45" s="96">
        <v>2.4973169427419872</v>
      </c>
      <c r="G45" s="96">
        <v>5.738235665085349</v>
      </c>
      <c r="H45" s="96">
        <v>8.3604330120002714</v>
      </c>
      <c r="I45" s="96">
        <v>9.8133643388828293</v>
      </c>
      <c r="J45" s="96">
        <v>15.882005922602143</v>
      </c>
      <c r="K45" s="96">
        <v>20.765800397096648</v>
      </c>
      <c r="L45" s="96">
        <v>20.198056004034129</v>
      </c>
      <c r="M45" s="96">
        <v>18.541462128390577</v>
      </c>
      <c r="N45" s="96">
        <v>15.569114769253705</v>
      </c>
      <c r="O45" s="96">
        <v>15.815208339621265</v>
      </c>
      <c r="P45" s="96">
        <v>13.782739330180469</v>
      </c>
      <c r="Q45" s="96">
        <v>13.454683563763918</v>
      </c>
      <c r="R45" s="96">
        <v>13.824916017825148</v>
      </c>
      <c r="S45" s="96">
        <v>13.739643702365136</v>
      </c>
      <c r="T45" s="96">
        <v>12.824689339995217</v>
      </c>
      <c r="U45" s="96">
        <v>13.573262247935681</v>
      </c>
      <c r="V45" s="96">
        <v>13.048189889192601</v>
      </c>
      <c r="W45" s="96">
        <v>13.437882881134357</v>
      </c>
      <c r="DA45" s="171" t="s">
        <v>660</v>
      </c>
    </row>
    <row r="46" spans="1:105" ht="11.45" customHeight="1" x14ac:dyDescent="0.25">
      <c r="A46" s="111" t="s">
        <v>111</v>
      </c>
      <c r="B46" s="96">
        <v>834.51844437999387</v>
      </c>
      <c r="C46" s="96">
        <v>774.0856116663474</v>
      </c>
      <c r="D46" s="96">
        <v>908.99286599428933</v>
      </c>
      <c r="E46" s="96">
        <v>969.93520038322322</v>
      </c>
      <c r="F46" s="96">
        <v>991.4785792891505</v>
      </c>
      <c r="G46" s="96">
        <v>1105.1960049653715</v>
      </c>
      <c r="H46" s="96">
        <v>1229.5155779321622</v>
      </c>
      <c r="I46" s="96">
        <v>1344.3826746545456</v>
      </c>
      <c r="J46" s="96">
        <v>1497.0045116037584</v>
      </c>
      <c r="K46" s="96">
        <v>1594.1355765076346</v>
      </c>
      <c r="L46" s="96">
        <v>1744.370388801595</v>
      </c>
      <c r="M46" s="96">
        <v>1894.2817956146312</v>
      </c>
      <c r="N46" s="96">
        <v>1923.6101779447531</v>
      </c>
      <c r="O46" s="96">
        <v>2005.2378495801843</v>
      </c>
      <c r="P46" s="96">
        <v>2018.0907049082018</v>
      </c>
      <c r="Q46" s="96">
        <v>2071.3324885596198</v>
      </c>
      <c r="R46" s="96">
        <v>2194.4245890143889</v>
      </c>
      <c r="S46" s="96">
        <v>2282.5503722683452</v>
      </c>
      <c r="T46" s="96">
        <v>2422.9472412842601</v>
      </c>
      <c r="U46" s="96">
        <v>2532.7357396347197</v>
      </c>
      <c r="V46" s="96">
        <v>2590.846168306351</v>
      </c>
      <c r="W46" s="96">
        <v>2686.6839370870484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3.1019008354272657</v>
      </c>
      <c r="H47" s="96">
        <v>6.6767585492152994</v>
      </c>
      <c r="I47" s="96">
        <v>4.2384500949185355</v>
      </c>
      <c r="J47" s="96">
        <v>52.932142847640208</v>
      </c>
      <c r="K47" s="96">
        <v>80.935815159606719</v>
      </c>
      <c r="L47" s="96">
        <v>117.95808722097651</v>
      </c>
      <c r="M47" s="96">
        <v>132.00205781131359</v>
      </c>
      <c r="N47" s="96">
        <v>125.30602602330865</v>
      </c>
      <c r="O47" s="96">
        <v>128.34882319319379</v>
      </c>
      <c r="P47" s="96">
        <v>119.97896277851237</v>
      </c>
      <c r="Q47" s="96">
        <v>101.22612867811858</v>
      </c>
      <c r="R47" s="96">
        <v>53.628233926325329</v>
      </c>
      <c r="S47" s="96">
        <v>68.739173555112416</v>
      </c>
      <c r="T47" s="96">
        <v>120.33545411833296</v>
      </c>
      <c r="U47" s="96">
        <v>140.2487280164774</v>
      </c>
      <c r="V47" s="96">
        <v>150.57768832024067</v>
      </c>
      <c r="W47" s="96">
        <v>153.6778190294917</v>
      </c>
      <c r="DA47" s="171" t="s">
        <v>662</v>
      </c>
    </row>
    <row r="48" spans="1:105" ht="11.45" customHeight="1" x14ac:dyDescent="0.25">
      <c r="A48" s="111" t="s">
        <v>112</v>
      </c>
      <c r="B48" s="96">
        <v>40.162163429224726</v>
      </c>
      <c r="C48" s="96">
        <v>44.719095288114502</v>
      </c>
      <c r="D48" s="96">
        <v>59.505629525123986</v>
      </c>
      <c r="E48" s="96">
        <v>69.468781046000828</v>
      </c>
      <c r="F48" s="96">
        <v>71.45545373449454</v>
      </c>
      <c r="G48" s="96">
        <v>76.985821019518895</v>
      </c>
      <c r="H48" s="96">
        <v>90.317753840702608</v>
      </c>
      <c r="I48" s="96">
        <v>96.925785596152593</v>
      </c>
      <c r="J48" s="96">
        <v>101.25629805229548</v>
      </c>
      <c r="K48" s="96">
        <v>103.17521709129886</v>
      </c>
      <c r="L48" s="96">
        <v>106.1700120077881</v>
      </c>
      <c r="M48" s="96">
        <v>109.34432070549576</v>
      </c>
      <c r="N48" s="96">
        <v>98.869105386226778</v>
      </c>
      <c r="O48" s="96">
        <v>98.058704013169063</v>
      </c>
      <c r="P48" s="96">
        <v>107.39974217367288</v>
      </c>
      <c r="Q48" s="96">
        <v>106.89243842468957</v>
      </c>
      <c r="R48" s="96">
        <v>106.75102639167568</v>
      </c>
      <c r="S48" s="96">
        <v>103.44566652864859</v>
      </c>
      <c r="T48" s="96">
        <v>107.82748211753875</v>
      </c>
      <c r="U48" s="96">
        <v>108.19925085539931</v>
      </c>
      <c r="V48" s="96">
        <v>104.0912592056675</v>
      </c>
      <c r="W48" s="96">
        <v>103.77633150815247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2.2951177947489292</v>
      </c>
      <c r="R49" s="96">
        <v>2.7206142316430375</v>
      </c>
      <c r="S49" s="96">
        <v>2.6264907044816748</v>
      </c>
      <c r="T49" s="96">
        <v>2.7256826414129143</v>
      </c>
      <c r="U49" s="96">
        <v>2.7378598815509156</v>
      </c>
      <c r="V49" s="96">
        <v>1.9963178157129227</v>
      </c>
      <c r="W49" s="96">
        <v>1.8000313701519068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7.8543559007910333E-4</v>
      </c>
      <c r="O51" s="96">
        <v>1.4710753123708014E-3</v>
      </c>
      <c r="P51" s="96">
        <v>1.9355176505003505E-3</v>
      </c>
      <c r="Q51" s="96">
        <v>2.8132513092918765E-3</v>
      </c>
      <c r="R51" s="96">
        <v>3.6396694024810328E-3</v>
      </c>
      <c r="S51" s="96">
        <v>5.4139140760168479E-3</v>
      </c>
      <c r="T51" s="96">
        <v>1.16993095294351E-2</v>
      </c>
      <c r="U51" s="96">
        <v>3.2218366506323662E-2</v>
      </c>
      <c r="V51" s="96">
        <v>7.1218188520566855E-2</v>
      </c>
      <c r="W51" s="96">
        <v>0.17175834856927849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739.02468165910113</v>
      </c>
      <c r="C52" s="130">
        <f t="shared" si="33"/>
        <v>958.49858092307443</v>
      </c>
      <c r="D52" s="130">
        <f t="shared" si="33"/>
        <v>725.08022011272112</v>
      </c>
      <c r="E52" s="130">
        <f t="shared" si="33"/>
        <v>1218.2175363896285</v>
      </c>
      <c r="F52" s="130">
        <f t="shared" si="33"/>
        <v>1818.3357486582315</v>
      </c>
      <c r="G52" s="130">
        <f t="shared" si="33"/>
        <v>2562.2656584599886</v>
      </c>
      <c r="H52" s="130">
        <f t="shared" si="33"/>
        <v>2993.2921941317618</v>
      </c>
      <c r="I52" s="130">
        <f t="shared" si="33"/>
        <v>3564.1752478630397</v>
      </c>
      <c r="J52" s="130">
        <f t="shared" si="33"/>
        <v>3875.8776089528219</v>
      </c>
      <c r="K52" s="130">
        <f t="shared" si="33"/>
        <v>3813.3090824039973</v>
      </c>
      <c r="L52" s="130">
        <f t="shared" ref="L52" si="34">L53+L55</f>
        <v>4260.9021416234782</v>
      </c>
      <c r="M52" s="130">
        <f t="shared" ref="M52:V52" si="35">M53+M55</f>
        <v>4256.8357291949733</v>
      </c>
      <c r="N52" s="130">
        <f t="shared" si="35"/>
        <v>3603.7348927947678</v>
      </c>
      <c r="O52" s="130">
        <f t="shared" si="35"/>
        <v>2973.5747205721159</v>
      </c>
      <c r="P52" s="130">
        <f t="shared" si="35"/>
        <v>3092.1902460308843</v>
      </c>
      <c r="Q52" s="130">
        <f t="shared" si="35"/>
        <v>3275.3109445490072</v>
      </c>
      <c r="R52" s="130">
        <f t="shared" si="35"/>
        <v>4360.6878030454118</v>
      </c>
      <c r="S52" s="130">
        <f t="shared" si="35"/>
        <v>5984.5203888022033</v>
      </c>
      <c r="T52" s="130">
        <f t="shared" si="35"/>
        <v>6080.5440174693285</v>
      </c>
      <c r="U52" s="130">
        <f t="shared" si="35"/>
        <v>6067.1208039365265</v>
      </c>
      <c r="V52" s="130">
        <f t="shared" si="35"/>
        <v>5597.8648897088988</v>
      </c>
      <c r="W52" s="130">
        <f t="shared" ref="W52" si="36">W53+W55</f>
        <v>7293.66104193708</v>
      </c>
      <c r="DA52" s="176" t="s">
        <v>400</v>
      </c>
    </row>
    <row r="53" spans="1:105" ht="11.45" customHeight="1" x14ac:dyDescent="0.25">
      <c r="A53" s="128" t="s">
        <v>27</v>
      </c>
      <c r="B53" s="97">
        <v>563.6815654722476</v>
      </c>
      <c r="C53" s="97">
        <v>725.86024720273736</v>
      </c>
      <c r="D53" s="97">
        <v>548.69834287196181</v>
      </c>
      <c r="E53" s="97">
        <v>933.99502818844849</v>
      </c>
      <c r="F53" s="97">
        <v>1391.7342444621979</v>
      </c>
      <c r="G53" s="97">
        <v>1970.5702245077136</v>
      </c>
      <c r="H53" s="97">
        <v>2190.873654826959</v>
      </c>
      <c r="I53" s="97">
        <v>2724.4041044673013</v>
      </c>
      <c r="J53" s="97">
        <v>3009.1243289574345</v>
      </c>
      <c r="K53" s="97">
        <v>3056.2070381788835</v>
      </c>
      <c r="L53" s="97">
        <v>3346.7246872186797</v>
      </c>
      <c r="M53" s="97">
        <v>3369.9871572589204</v>
      </c>
      <c r="N53" s="97">
        <v>2792.5991801393993</v>
      </c>
      <c r="O53" s="97">
        <v>2317.086309130591</v>
      </c>
      <c r="P53" s="97">
        <v>2391.6690930723321</v>
      </c>
      <c r="Q53" s="97">
        <v>2555.2270489372845</v>
      </c>
      <c r="R53" s="97">
        <v>3316.6092130119277</v>
      </c>
      <c r="S53" s="97">
        <v>4514.5314289069856</v>
      </c>
      <c r="T53" s="97">
        <v>4707.2176221647824</v>
      </c>
      <c r="U53" s="97">
        <v>4538.1320590536443</v>
      </c>
      <c r="V53" s="97">
        <v>4259.6330828687287</v>
      </c>
      <c r="W53" s="97">
        <v>5556.4756263942372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5.5307053212340316</v>
      </c>
      <c r="H54" s="97">
        <v>11.897315225333038</v>
      </c>
      <c r="I54" s="97">
        <v>8.5892588865317538</v>
      </c>
      <c r="J54" s="97">
        <v>106.39874335184636</v>
      </c>
      <c r="K54" s="97">
        <v>155.16660664046759</v>
      </c>
      <c r="L54" s="97">
        <v>226.31274016910515</v>
      </c>
      <c r="M54" s="97">
        <v>234.83583096544459</v>
      </c>
      <c r="N54" s="97">
        <v>181.91289979193908</v>
      </c>
      <c r="O54" s="97">
        <v>148.30923976237273</v>
      </c>
      <c r="P54" s="97">
        <v>142.18884037191799</v>
      </c>
      <c r="Q54" s="97">
        <v>124.8740815326085</v>
      </c>
      <c r="R54" s="97">
        <v>81.052634758114749</v>
      </c>
      <c r="S54" s="97">
        <v>135.9554484237967</v>
      </c>
      <c r="T54" s="97">
        <v>233.78353459185502</v>
      </c>
      <c r="U54" s="97">
        <v>251.29635077715011</v>
      </c>
      <c r="V54" s="97">
        <v>247.56610815303003</v>
      </c>
      <c r="W54" s="97">
        <v>317.82936726104708</v>
      </c>
      <c r="DA54" s="175" t="s">
        <v>668</v>
      </c>
    </row>
    <row r="55" spans="1:105" ht="11.45" customHeight="1" x14ac:dyDescent="0.25">
      <c r="A55" s="128" t="s">
        <v>116</v>
      </c>
      <c r="B55" s="97">
        <v>175.34311618685351</v>
      </c>
      <c r="C55" s="97">
        <v>232.63833372033704</v>
      </c>
      <c r="D55" s="97">
        <v>176.38187724075928</v>
      </c>
      <c r="E55" s="97">
        <v>284.22250820118001</v>
      </c>
      <c r="F55" s="97">
        <v>426.60150419603355</v>
      </c>
      <c r="G55" s="97">
        <v>591.69543395227481</v>
      </c>
      <c r="H55" s="97">
        <v>802.41853930480295</v>
      </c>
      <c r="I55" s="97">
        <v>839.77114339573836</v>
      </c>
      <c r="J55" s="97">
        <v>866.75327999538763</v>
      </c>
      <c r="K55" s="97">
        <v>757.10204422511367</v>
      </c>
      <c r="L55" s="97">
        <v>914.17745440479848</v>
      </c>
      <c r="M55" s="97">
        <v>886.84857193605296</v>
      </c>
      <c r="N55" s="97">
        <v>811.13571265536825</v>
      </c>
      <c r="O55" s="97">
        <v>656.48841144152505</v>
      </c>
      <c r="P55" s="97">
        <v>700.52115295855231</v>
      </c>
      <c r="Q55" s="97">
        <v>720.0838956117226</v>
      </c>
      <c r="R55" s="97">
        <v>1044.0785900334838</v>
      </c>
      <c r="S55" s="97">
        <v>1469.9889598952179</v>
      </c>
      <c r="T55" s="97">
        <v>1373.3263953045459</v>
      </c>
      <c r="U55" s="97">
        <v>1528.9887448828827</v>
      </c>
      <c r="V55" s="97">
        <v>1338.2318068401701</v>
      </c>
      <c r="W55" s="97">
        <v>1737.1854155428427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1.6606833110589898</v>
      </c>
      <c r="H56" s="98">
        <v>4.3574517789865661</v>
      </c>
      <c r="I56" s="98">
        <v>2.6475557514530785</v>
      </c>
      <c r="J56" s="98">
        <v>30.647274657326008</v>
      </c>
      <c r="K56" s="98">
        <v>38.438807847577543</v>
      </c>
      <c r="L56" s="98">
        <v>61.818650783343841</v>
      </c>
      <c r="M56" s="98">
        <v>61.799589022920316</v>
      </c>
      <c r="N56" s="98">
        <v>52.838248561891213</v>
      </c>
      <c r="O56" s="98">
        <v>42.019711061273597</v>
      </c>
      <c r="P56" s="98">
        <v>41.647187181409592</v>
      </c>
      <c r="Q56" s="98">
        <v>35.190538206119136</v>
      </c>
      <c r="R56" s="98">
        <v>25.515614044833519</v>
      </c>
      <c r="S56" s="98">
        <v>44.268826425906902</v>
      </c>
      <c r="T56" s="98">
        <v>68.20613037536522</v>
      </c>
      <c r="U56" s="98">
        <v>84.666838022454598</v>
      </c>
      <c r="V56" s="98">
        <v>77.776849268645847</v>
      </c>
      <c r="W56" s="98">
        <v>99.366681069272175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8.946498852637097</v>
      </c>
      <c r="C60" s="79">
        <f>IF(C17=0,0,C17/TrRoad_act!C30*100)</f>
        <v>8.9573959880055796</v>
      </c>
      <c r="D60" s="79">
        <f>IF(D17=0,0,D17/TrRoad_act!D30*100)</f>
        <v>8.542913443350983</v>
      </c>
      <c r="E60" s="79">
        <f>IF(E17=0,0,E17/TrRoad_act!E30*100)</f>
        <v>8.9381070490687975</v>
      </c>
      <c r="F60" s="79">
        <f>IF(F17=0,0,F17/TrRoad_act!F30*100)</f>
        <v>9.3255254570358446</v>
      </c>
      <c r="G60" s="79">
        <f>IF(G17=0,0,G17/TrRoad_act!G30*100)</f>
        <v>10.022924803498915</v>
      </c>
      <c r="H60" s="79">
        <f>IF(H17=0,0,H17/TrRoad_act!H30*100)</f>
        <v>10.140536670039316</v>
      </c>
      <c r="I60" s="79">
        <f>IF(I17=0,0,I17/TrRoad_act!I30*100)</f>
        <v>10.282723083639498</v>
      </c>
      <c r="J60" s="79">
        <f>IF(J17=0,0,J17/TrRoad_act!J30*100)</f>
        <v>10.077554650253798</v>
      </c>
      <c r="K60" s="79">
        <f>IF(K17=0,0,K17/TrRoad_act!K30*100)</f>
        <v>9.7438347022913323</v>
      </c>
      <c r="L60" s="79">
        <f>IF(L17=0,0,L17/TrRoad_act!L30*100)</f>
        <v>9.7773961625010415</v>
      </c>
      <c r="M60" s="79">
        <f>IF(M17=0,0,M17/TrRoad_act!M30*100)</f>
        <v>9.6115916557777492</v>
      </c>
      <c r="N60" s="79">
        <f>IF(N17=0,0,N17/TrRoad_act!N30*100)</f>
        <v>9.21185702367017</v>
      </c>
      <c r="O60" s="79">
        <f>IF(O17=0,0,O17/TrRoad_act!O30*100)</f>
        <v>8.7919800790948592</v>
      </c>
      <c r="P60" s="79">
        <f>IF(P17=0,0,P17/TrRoad_act!P30*100)</f>
        <v>8.7931811865122462</v>
      </c>
      <c r="Q60" s="79">
        <f>IF(Q17=0,0,Q17/TrRoad_act!Q30*100)</f>
        <v>8.7160713303580799</v>
      </c>
      <c r="R60" s="79">
        <f>IF(R17=0,0,R17/TrRoad_act!R30*100)</f>
        <v>9.3326665597213516</v>
      </c>
      <c r="S60" s="79">
        <f>IF(S17=0,0,S17/TrRoad_act!S30*100)</f>
        <v>9.8721311736430604</v>
      </c>
      <c r="T60" s="79">
        <f>IF(T17=0,0,T17/TrRoad_act!T30*100)</f>
        <v>9.6118741990408143</v>
      </c>
      <c r="U60" s="79">
        <f>IF(U17=0,0,U17/TrRoad_act!U30*100)</f>
        <v>9.4932483262489686</v>
      </c>
      <c r="V60" s="79">
        <f>IF(V17=0,0,V17/TrRoad_act!V30*100)</f>
        <v>8.9718393257528053</v>
      </c>
      <c r="W60" s="79">
        <f>IF(W17=0,0,W17/TrRoad_act!W30*100)</f>
        <v>9.6787918018525492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8.5752314127963771</v>
      </c>
      <c r="C61" s="32">
        <f>IF(C18=0,0,C18/TrRoad_act!C31*100)</f>
        <v>8.3813467390107483</v>
      </c>
      <c r="D61" s="32">
        <f>IF(D18=0,0,D18/TrRoad_act!D31*100)</f>
        <v>8.1714107941890095</v>
      </c>
      <c r="E61" s="32">
        <f>IF(E18=0,0,E18/TrRoad_act!E31*100)</f>
        <v>8.1480637868102281</v>
      </c>
      <c r="F61" s="32">
        <f>IF(F18=0,0,F18/TrRoad_act!F31*100)</f>
        <v>8.1721201362247253</v>
      </c>
      <c r="G61" s="32">
        <f>IF(G18=0,0,G18/TrRoad_act!G31*100)</f>
        <v>8.2703135735265452</v>
      </c>
      <c r="H61" s="32">
        <f>IF(H18=0,0,H18/TrRoad_act!H31*100)</f>
        <v>8.1940614235966827</v>
      </c>
      <c r="I61" s="32">
        <f>IF(I18=0,0,I18/TrRoad_act!I31*100)</f>
        <v>8.0923389956457186</v>
      </c>
      <c r="J61" s="32">
        <f>IF(J18=0,0,J18/TrRoad_act!J31*100)</f>
        <v>7.8299638950826074</v>
      </c>
      <c r="K61" s="32">
        <f>IF(K18=0,0,K18/TrRoad_act!K31*100)</f>
        <v>7.6759622772537881</v>
      </c>
      <c r="L61" s="32">
        <f>IF(L18=0,0,L18/TrRoad_act!L31*100)</f>
        <v>7.5758450996842006</v>
      </c>
      <c r="M61" s="32">
        <f>IF(M18=0,0,M18/TrRoad_act!M31*100)</f>
        <v>7.4879619317984218</v>
      </c>
      <c r="N61" s="32">
        <f>IF(N18=0,0,N18/TrRoad_act!N31*100)</f>
        <v>7.4504717095474708</v>
      </c>
      <c r="O61" s="32">
        <f>IF(O18=0,0,O18/TrRoad_act!O31*100)</f>
        <v>7.3956563193164886</v>
      </c>
      <c r="P61" s="32">
        <f>IF(P18=0,0,P18/TrRoad_act!P31*100)</f>
        <v>7.3162620507149123</v>
      </c>
      <c r="Q61" s="32">
        <f>IF(Q18=0,0,Q18/TrRoad_act!Q31*100)</f>
        <v>7.2449274136703181</v>
      </c>
      <c r="R61" s="32">
        <f>IF(R18=0,0,R18/TrRoad_act!R31*100)</f>
        <v>7.4088791457507464</v>
      </c>
      <c r="S61" s="32">
        <f>IF(S18=0,0,S18/TrRoad_act!S31*100)</f>
        <v>7.3961018036334574</v>
      </c>
      <c r="T61" s="32">
        <f>IF(T18=0,0,T18/TrRoad_act!T31*100)</f>
        <v>7.168538599365581</v>
      </c>
      <c r="U61" s="32">
        <f>IF(U18=0,0,U18/TrRoad_act!U31*100)</f>
        <v>7.1463211981122727</v>
      </c>
      <c r="V61" s="32">
        <f>IF(V18=0,0,V18/TrRoad_act!V31*100)</f>
        <v>6.7869398377132182</v>
      </c>
      <c r="W61" s="32">
        <f>IF(W18=0,0,W18/TrRoad_act!W31*100)</f>
        <v>6.8197934248383731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4.7749801725673642</v>
      </c>
      <c r="C62" s="141">
        <f>IF(C19=0,0,C19/TrRoad_act!C32*100)</f>
        <v>4.7653573818162522</v>
      </c>
      <c r="D62" s="141">
        <f>IF(D19=0,0,D19/TrRoad_act!D32*100)</f>
        <v>4.7079022441333089</v>
      </c>
      <c r="E62" s="141">
        <f>IF(E19=0,0,E19/TrRoad_act!E32*100)</f>
        <v>4.7050619256603374</v>
      </c>
      <c r="F62" s="141">
        <f>IF(F19=0,0,F19/TrRoad_act!F32*100)</f>
        <v>4.7020010668328514</v>
      </c>
      <c r="G62" s="141">
        <f>IF(G19=0,0,G19/TrRoad_act!G32*100)</f>
        <v>4.3301719777160308</v>
      </c>
      <c r="H62" s="141">
        <f>IF(H19=0,0,H19/TrRoad_act!H32*100)</f>
        <v>4.2799877495028449</v>
      </c>
      <c r="I62" s="141">
        <f>IF(I19=0,0,I19/TrRoad_act!I32*100)</f>
        <v>4.2159226535425605</v>
      </c>
      <c r="J62" s="141">
        <f>IF(J19=0,0,J19/TrRoad_act!J32*100)</f>
        <v>4.3236701213576429</v>
      </c>
      <c r="K62" s="141">
        <f>IF(K19=0,0,K19/TrRoad_act!K32*100)</f>
        <v>4.0233016870516991</v>
      </c>
      <c r="L62" s="141">
        <f>IF(L19=0,0,L19/TrRoad_act!L32*100)</f>
        <v>3.9617496423705783</v>
      </c>
      <c r="M62" s="141">
        <f>IF(M19=0,0,M19/TrRoad_act!M32*100)</f>
        <v>3.8977788842764163</v>
      </c>
      <c r="N62" s="141">
        <f>IF(N19=0,0,N19/TrRoad_act!N32*100)</f>
        <v>3.8536754177153472</v>
      </c>
      <c r="O62" s="141">
        <f>IF(O19=0,0,O19/TrRoad_act!O32*100)</f>
        <v>3.8272267289263451</v>
      </c>
      <c r="P62" s="141">
        <f>IF(P19=0,0,P19/TrRoad_act!P32*100)</f>
        <v>3.786365406405698</v>
      </c>
      <c r="Q62" s="141">
        <f>IF(Q19=0,0,Q19/TrRoad_act!Q32*100)</f>
        <v>3.7393495180743503</v>
      </c>
      <c r="R62" s="141">
        <f>IF(R19=0,0,R19/TrRoad_act!R32*100)</f>
        <v>3.7132628943097123</v>
      </c>
      <c r="S62" s="141">
        <f>IF(S19=0,0,S19/TrRoad_act!S32*100)</f>
        <v>3.674882715497402</v>
      </c>
      <c r="T62" s="141">
        <f>IF(T19=0,0,T19/TrRoad_act!T32*100)</f>
        <v>3.6574488380101653</v>
      </c>
      <c r="U62" s="141">
        <f>IF(U19=0,0,U19/TrRoad_act!U32*100)</f>
        <v>3.6422178730417585</v>
      </c>
      <c r="V62" s="141">
        <f>IF(V19=0,0,V19/TrRoad_act!V32*100)</f>
        <v>3.631108737218105</v>
      </c>
      <c r="W62" s="141">
        <f>IF(W19=0,0,W19/TrRoad_act!W32*100)</f>
        <v>3.462261815796587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7.4676335763559827</v>
      </c>
      <c r="C63" s="130">
        <f>IF(C21=0,0,C21/TrRoad_act!C33*100)</f>
        <v>7.3458581620695185</v>
      </c>
      <c r="D63" s="130">
        <f>IF(D21=0,0,D21/TrRoad_act!D33*100)</f>
        <v>7.167989718099518</v>
      </c>
      <c r="E63" s="130">
        <f>IF(E21=0,0,E21/TrRoad_act!E33*100)</f>
        <v>7.2309984479684744</v>
      </c>
      <c r="F63" s="130">
        <f>IF(F21=0,0,F21/TrRoad_act!F33*100)</f>
        <v>7.3003502125164239</v>
      </c>
      <c r="G63" s="130">
        <f>IF(G21=0,0,G21/TrRoad_act!G33*100)</f>
        <v>7.4362481886662435</v>
      </c>
      <c r="H63" s="130">
        <f>IF(H21=0,0,H21/TrRoad_act!H33*100)</f>
        <v>7.4927052860230674</v>
      </c>
      <c r="I63" s="130">
        <f>IF(I21=0,0,I21/TrRoad_act!I33*100)</f>
        <v>7.4574077498135036</v>
      </c>
      <c r="J63" s="130">
        <f>IF(J21=0,0,J21/TrRoad_act!J33*100)</f>
        <v>7.2604396632912778</v>
      </c>
      <c r="K63" s="130">
        <f>IF(K21=0,0,K21/TrRoad_act!K33*100)</f>
        <v>7.143776990406236</v>
      </c>
      <c r="L63" s="130">
        <f>IF(L21=0,0,L21/TrRoad_act!L33*100)</f>
        <v>7.0832276799119649</v>
      </c>
      <c r="M63" s="130">
        <f>IF(M21=0,0,M21/TrRoad_act!M33*100)</f>
        <v>6.9975738256227658</v>
      </c>
      <c r="N63" s="130">
        <f>IF(N21=0,0,N21/TrRoad_act!N33*100)</f>
        <v>6.9687137805308383</v>
      </c>
      <c r="O63" s="130">
        <f>IF(O21=0,0,O21/TrRoad_act!O33*100)</f>
        <v>6.8845141623073491</v>
      </c>
      <c r="P63" s="130">
        <f>IF(P21=0,0,P21/TrRoad_act!P33*100)</f>
        <v>6.7941094070044503</v>
      </c>
      <c r="Q63" s="130">
        <f>IF(Q21=0,0,Q21/TrRoad_act!Q33*100)</f>
        <v>6.6669191843605757</v>
      </c>
      <c r="R63" s="130">
        <f>IF(R21=0,0,R21/TrRoad_act!R33*100)</f>
        <v>6.877943936552942</v>
      </c>
      <c r="S63" s="130">
        <f>IF(S21=0,0,S21/TrRoad_act!S33*100)</f>
        <v>6.9233832170724154</v>
      </c>
      <c r="T63" s="130">
        <f>IF(T21=0,0,T21/TrRoad_act!T33*100)</f>
        <v>6.7444196901597433</v>
      </c>
      <c r="U63" s="130">
        <f>IF(U21=0,0,U21/TrRoad_act!U33*100)</f>
        <v>6.7132408085838176</v>
      </c>
      <c r="V63" s="130">
        <f>IF(V21=0,0,V21/TrRoad_act!V33*100)</f>
        <v>6.3507437536719031</v>
      </c>
      <c r="W63" s="130">
        <f>IF(W21=0,0,W21/TrRoad_act!W33*100)</f>
        <v>6.3829970268785949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7.4181990505750308</v>
      </c>
      <c r="C64" s="96">
        <f>IF(C22=0,0,C22/TrRoad_act!C34*100)</f>
        <v>7.3296424045847086</v>
      </c>
      <c r="D64" s="96">
        <f>IF(D22=0,0,D22/TrRoad_act!D34*100)</f>
        <v>6.9855467218805103</v>
      </c>
      <c r="E64" s="96">
        <f>IF(E22=0,0,E22/TrRoad_act!E34*100)</f>
        <v>7.0844106309393293</v>
      </c>
      <c r="F64" s="96">
        <f>IF(F22=0,0,F22/TrRoad_act!F34*100)</f>
        <v>7.2597072786086487</v>
      </c>
      <c r="G64" s="96">
        <f>IF(G22=0,0,G22/TrRoad_act!G34*100)</f>
        <v>7.1246723499341913</v>
      </c>
      <c r="H64" s="96">
        <f>IF(H22=0,0,H22/TrRoad_act!H34*100)</f>
        <v>7.1232504682207667</v>
      </c>
      <c r="I64" s="96">
        <f>IF(I22=0,0,I22/TrRoad_act!I34*100)</f>
        <v>7.2012266664751134</v>
      </c>
      <c r="J64" s="96">
        <f>IF(J22=0,0,J22/TrRoad_act!J34*100)</f>
        <v>7.2734630217499419</v>
      </c>
      <c r="K64" s="96">
        <f>IF(K22=0,0,K22/TrRoad_act!K34*100)</f>
        <v>7.4807645805491791</v>
      </c>
      <c r="L64" s="96">
        <f>IF(L22=0,0,L22/TrRoad_act!L34*100)</f>
        <v>7.5759129759585129</v>
      </c>
      <c r="M64" s="96">
        <f>IF(M22=0,0,M22/TrRoad_act!M34*100)</f>
        <v>7.3800376638543437</v>
      </c>
      <c r="N64" s="96">
        <f>IF(N22=0,0,N22/TrRoad_act!N34*100)</f>
        <v>7.098357710716126</v>
      </c>
      <c r="O64" s="96">
        <f>IF(O22=0,0,O22/TrRoad_act!O34*100)</f>
        <v>6.9573921201255047</v>
      </c>
      <c r="P64" s="96">
        <f>IF(P22=0,0,P22/TrRoad_act!P34*100)</f>
        <v>6.8690791290121584</v>
      </c>
      <c r="Q64" s="96">
        <f>IF(Q22=0,0,Q22/TrRoad_act!Q34*100)</f>
        <v>6.7935579500581804</v>
      </c>
      <c r="R64" s="96">
        <f>IF(R22=0,0,R22/TrRoad_act!R34*100)</f>
        <v>7.1834462589883739</v>
      </c>
      <c r="S64" s="96">
        <f>IF(S22=0,0,S22/TrRoad_act!S34*100)</f>
        <v>7.0862647176894704</v>
      </c>
      <c r="T64" s="96">
        <f>IF(T22=0,0,T22/TrRoad_act!T34*100)</f>
        <v>6.9620093166734236</v>
      </c>
      <c r="U64" s="96">
        <f>IF(U22=0,0,U22/TrRoad_act!U34*100)</f>
        <v>6.8625875383552613</v>
      </c>
      <c r="V64" s="96">
        <f>IF(V22=0,0,V22/TrRoad_act!V34*100)</f>
        <v>6.4482671187892429</v>
      </c>
      <c r="W64" s="96">
        <f>IF(W22=0,0,W22/TrRoad_act!W34*100)</f>
        <v>6.4825015676916395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7.2457331107424663</v>
      </c>
      <c r="C65" s="96">
        <f>IF(C24=0,0,C24/TrRoad_act!C35*100)</f>
        <v>6.9396820499372209</v>
      </c>
      <c r="D65" s="96">
        <f>IF(D24=0,0,D24/TrRoad_act!D35*100)</f>
        <v>7.0115196198847336</v>
      </c>
      <c r="E65" s="96">
        <f>IF(E24=0,0,E24/TrRoad_act!E35*100)</f>
        <v>7.1191152805684386</v>
      </c>
      <c r="F65" s="96">
        <f>IF(F24=0,0,F24/TrRoad_act!F35*100)</f>
        <v>6.8027925294730851</v>
      </c>
      <c r="G65" s="96">
        <f>IF(G24=0,0,G24/TrRoad_act!G35*100)</f>
        <v>7.4138362603250823</v>
      </c>
      <c r="H65" s="96">
        <f>IF(H24=0,0,H24/TrRoad_act!H35*100)</f>
        <v>7.7331809839476282</v>
      </c>
      <c r="I65" s="96">
        <f>IF(I24=0,0,I24/TrRoad_act!I35*100)</f>
        <v>7.6552034331724998</v>
      </c>
      <c r="J65" s="96">
        <f>IF(J24=0,0,J24/TrRoad_act!J35*100)</f>
        <v>7.1692532786700447</v>
      </c>
      <c r="K65" s="96">
        <f>IF(K24=0,0,K24/TrRoad_act!K35*100)</f>
        <v>7.0676995785543042</v>
      </c>
      <c r="L65" s="96">
        <f>IF(L24=0,0,L24/TrRoad_act!L35*100)</f>
        <v>7.193575507068628</v>
      </c>
      <c r="M65" s="96">
        <f>IF(M24=0,0,M24/TrRoad_act!M35*100)</f>
        <v>6.9350382285456247</v>
      </c>
      <c r="N65" s="96">
        <f>IF(N24=0,0,N24/TrRoad_act!N35*100)</f>
        <v>6.6476590292854629</v>
      </c>
      <c r="O65" s="96">
        <f>IF(O24=0,0,O24/TrRoad_act!O35*100)</f>
        <v>6.4426765243300617</v>
      </c>
      <c r="P65" s="96">
        <f>IF(P24=0,0,P24/TrRoad_act!P35*100)</f>
        <v>6.293530293536012</v>
      </c>
      <c r="Q65" s="96">
        <f>IF(Q24=0,0,Q24/TrRoad_act!Q35*100)</f>
        <v>6.1986298682004595</v>
      </c>
      <c r="R65" s="96">
        <f>IF(R24=0,0,R24/TrRoad_act!R35*100)</f>
        <v>6.4649827685172134</v>
      </c>
      <c r="S65" s="96">
        <f>IF(S24=0,0,S24/TrRoad_act!S35*100)</f>
        <v>6.6923237019211896</v>
      </c>
      <c r="T65" s="96">
        <f>IF(T24=0,0,T24/TrRoad_act!T35*100)</f>
        <v>6.6330481511059007</v>
      </c>
      <c r="U65" s="96">
        <f>IF(U24=0,0,U24/TrRoad_act!U35*100)</f>
        <v>6.5490300356268394</v>
      </c>
      <c r="V65" s="96">
        <f>IF(V24=0,0,V24/TrRoad_act!V35*100)</f>
        <v>6.2964757857971243</v>
      </c>
      <c r="W65" s="96">
        <f>IF(W24=0,0,W24/TrRoad_act!W35*100)</f>
        <v>6.178509438738832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8.409125301144778</v>
      </c>
      <c r="C66" s="96">
        <f>IF(C26=0,0,C26/TrRoad_act!C36*100)</f>
        <v>8.0173285872529707</v>
      </c>
      <c r="D66" s="96">
        <f>IF(D26=0,0,D26/TrRoad_act!D36*100)</f>
        <v>8.1649482178535298</v>
      </c>
      <c r="E66" s="96">
        <f>IF(E26=0,0,E26/TrRoad_act!E36*100)</f>
        <v>7.8008020017666313</v>
      </c>
      <c r="F66" s="96">
        <f>IF(F26=0,0,F26/TrRoad_act!F36*100)</f>
        <v>7.8593904150238068</v>
      </c>
      <c r="G66" s="96">
        <f>IF(G26=0,0,G26/TrRoad_act!G36*100)</f>
        <v>8.1923288364980564</v>
      </c>
      <c r="H66" s="96">
        <f>IF(H26=0,0,H26/TrRoad_act!H36*100)</f>
        <v>8.1313322039460463</v>
      </c>
      <c r="I66" s="96">
        <f>IF(I26=0,0,I26/TrRoad_act!I36*100)</f>
        <v>7.7841162450519601</v>
      </c>
      <c r="J66" s="96">
        <f>IF(J26=0,0,J26/TrRoad_act!J36*100)</f>
        <v>7.3651975527846236</v>
      </c>
      <c r="K66" s="96">
        <f>IF(K26=0,0,K26/TrRoad_act!K36*100)</f>
        <v>6.6000824182122315</v>
      </c>
      <c r="L66" s="96">
        <f>IF(L26=0,0,L26/TrRoad_act!L36*100)</f>
        <v>6.0231061321165518</v>
      </c>
      <c r="M66" s="96">
        <f>IF(M26=0,0,M26/TrRoad_act!M36*100)</f>
        <v>6.407385018698637</v>
      </c>
      <c r="N66" s="96">
        <f>IF(N26=0,0,N26/TrRoad_act!N36*100)</f>
        <v>7.548278747812379</v>
      </c>
      <c r="O66" s="96">
        <f>IF(O26=0,0,O26/TrRoad_act!O36*100)</f>
        <v>7.9172787883999129</v>
      </c>
      <c r="P66" s="96">
        <f>IF(P26=0,0,P26/TrRoad_act!P36*100)</f>
        <v>8.0544786546947087</v>
      </c>
      <c r="Q66" s="96">
        <f>IF(Q26=0,0,Q26/TrRoad_act!Q36*100)</f>
        <v>7.7427626201466246</v>
      </c>
      <c r="R66" s="96">
        <f>IF(R26=0,0,R26/TrRoad_act!R36*100)</f>
        <v>7.3986890528955795</v>
      </c>
      <c r="S66" s="96">
        <f>IF(S26=0,0,S26/TrRoad_act!S36*100)</f>
        <v>7.2443383877471454</v>
      </c>
      <c r="T66" s="96">
        <f>IF(T26=0,0,T26/TrRoad_act!T36*100)</f>
        <v>6.6270106112412659</v>
      </c>
      <c r="U66" s="96">
        <f>IF(U26=0,0,U26/TrRoad_act!U36*100)</f>
        <v>6.8857639942009854</v>
      </c>
      <c r="V66" s="96">
        <f>IF(V26=0,0,V26/TrRoad_act!V36*100)</f>
        <v>6.3280945387676422</v>
      </c>
      <c r="W66" s="96">
        <f>IF(W26=0,0,W26/TrRoad_act!W36*100)</f>
        <v>6.7605039669921441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5.8091534525603992</v>
      </c>
      <c r="R67" s="96">
        <f>IF(R27=0,0,R27/TrRoad_act!R37*100)</f>
        <v>5.866347662718649</v>
      </c>
      <c r="S67" s="96">
        <f>IF(S27=0,0,S27/TrRoad_act!S37*100)</f>
        <v>5.8633320869163441</v>
      </c>
      <c r="T67" s="96">
        <f>IF(T27=0,0,T27/TrRoad_act!T37*100)</f>
        <v>5.9031580221381486</v>
      </c>
      <c r="U67" s="96">
        <f>IF(U27=0,0,U27/TrRoad_act!U37*100)</f>
        <v>5.928906882669561</v>
      </c>
      <c r="V67" s="96">
        <f>IF(V27=0,0,V27/TrRoad_act!V37*100)</f>
        <v>5.9476528886633551</v>
      </c>
      <c r="W67" s="96">
        <f>IF(W27=0,0,W27/TrRoad_act!W37*100)</f>
        <v>5.9553919052010666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2.5032895249767413</v>
      </c>
      <c r="O68" s="96">
        <f>IF(O29=0,0,O29/TrRoad_act!O38*100)</f>
        <v>3.0030812830028721</v>
      </c>
      <c r="P68" s="96">
        <f>IF(P29=0,0,P29/TrRoad_act!P38*100)</f>
        <v>5.2897817726457026</v>
      </c>
      <c r="Q68" s="96">
        <f>IF(Q29=0,0,Q29/TrRoad_act!Q38*100)</f>
        <v>3.2279370940985048</v>
      </c>
      <c r="R68" s="96">
        <f>IF(R29=0,0,R29/TrRoad_act!R38*100)</f>
        <v>3.1781851825105956</v>
      </c>
      <c r="S68" s="96">
        <f>IF(S29=0,0,S29/TrRoad_act!S38*100)</f>
        <v>3.2398288029624767</v>
      </c>
      <c r="T68" s="96">
        <f>IF(T29=0,0,T29/TrRoad_act!T38*100)</f>
        <v>3.4904728498297359</v>
      </c>
      <c r="U68" s="96">
        <f>IF(U29=0,0,U29/TrRoad_act!U38*100)</f>
        <v>3.4433103919957597</v>
      </c>
      <c r="V68" s="96">
        <f>IF(V29=0,0,V29/TrRoad_act!V38*100)</f>
        <v>3.5126351492348649</v>
      </c>
      <c r="W68" s="96">
        <f>IF(W29=0,0,W29/TrRoad_act!W38*100)</f>
        <v>4.653818823231112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1.3771975863074497</v>
      </c>
      <c r="M69" s="96">
        <f>IF(M32=0,0,M32/TrRoad_act!M39*100)</f>
        <v>1.3826016370351084</v>
      </c>
      <c r="N69" s="96">
        <f>IF(N32=0,0,N32/TrRoad_act!N39*100)</f>
        <v>1.3299763787975625</v>
      </c>
      <c r="O69" s="96">
        <f>IF(O32=0,0,O32/TrRoad_act!O39*100)</f>
        <v>1.3253391777371095</v>
      </c>
      <c r="P69" s="96">
        <f>IF(P32=0,0,P32/TrRoad_act!P39*100)</f>
        <v>1.3035221004421826</v>
      </c>
      <c r="Q69" s="96">
        <f>IF(Q32=0,0,Q32/TrRoad_act!Q39*100)</f>
        <v>1.2829117427599095</v>
      </c>
      <c r="R69" s="96">
        <f>IF(R32=0,0,R32/TrRoad_act!R39*100)</f>
        <v>1.218040054417445</v>
      </c>
      <c r="S69" s="96">
        <f>IF(S32=0,0,S32/TrRoad_act!S39*100)</f>
        <v>1.5659297738230604</v>
      </c>
      <c r="T69" s="96">
        <f>IF(T32=0,0,T32/TrRoad_act!T39*100)</f>
        <v>1.5885485531649799</v>
      </c>
      <c r="U69" s="96">
        <f>IF(U32=0,0,U32/TrRoad_act!U39*100)</f>
        <v>1.6067096613022196</v>
      </c>
      <c r="V69" s="96">
        <f>IF(V32=0,0,V32/TrRoad_act!V39*100)</f>
        <v>1.6751524454285054</v>
      </c>
      <c r="W69" s="96">
        <f>IF(W32=0,0,W32/TrRoad_act!W39*100)</f>
        <v>1.6834404671648835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61.139814910978927</v>
      </c>
      <c r="C70" s="130">
        <f>IF(C33=0,0,C33/TrRoad_act!C40*100)</f>
        <v>58.014268179901492</v>
      </c>
      <c r="D70" s="130">
        <f>IF(D33=0,0,D33/TrRoad_act!D40*100)</f>
        <v>57.041346192625916</v>
      </c>
      <c r="E70" s="130">
        <f>IF(E33=0,0,E33/TrRoad_act!E40*100)</f>
        <v>56.395202031611028</v>
      </c>
      <c r="F70" s="130">
        <f>IF(F33=0,0,F33/TrRoad_act!F40*100)</f>
        <v>55.302438704158995</v>
      </c>
      <c r="G70" s="130">
        <f>IF(G33=0,0,G33/TrRoad_act!G40*100)</f>
        <v>54.237659834417165</v>
      </c>
      <c r="H70" s="130">
        <f>IF(H33=0,0,H33/TrRoad_act!H40*100)</f>
        <v>53.482360387709939</v>
      </c>
      <c r="I70" s="130">
        <f>IF(I33=0,0,I33/TrRoad_act!I40*100)</f>
        <v>53.091273257732475</v>
      </c>
      <c r="J70" s="130">
        <f>IF(J33=0,0,J33/TrRoad_act!J40*100)</f>
        <v>52.666807528199143</v>
      </c>
      <c r="K70" s="130">
        <f>IF(K33=0,0,K33/TrRoad_act!K40*100)</f>
        <v>52.539833480574273</v>
      </c>
      <c r="L70" s="130">
        <f>IF(L33=0,0,L33/TrRoad_act!L40*100)</f>
        <v>52.475826585629292</v>
      </c>
      <c r="M70" s="130">
        <f>IF(M33=0,0,M33/TrRoad_act!M40*100)</f>
        <v>52.593893373146983</v>
      </c>
      <c r="N70" s="130">
        <f>IF(N33=0,0,N33/TrRoad_act!N40*100)</f>
        <v>52.850158869912164</v>
      </c>
      <c r="O70" s="130">
        <f>IF(O33=0,0,O33/TrRoad_act!O40*100)</f>
        <v>53.178641451286481</v>
      </c>
      <c r="P70" s="130">
        <f>IF(P33=0,0,P33/TrRoad_act!P40*100)</f>
        <v>53.54135299813192</v>
      </c>
      <c r="Q70" s="130">
        <f>IF(Q33=0,0,Q33/TrRoad_act!Q40*100)</f>
        <v>54.090391763052004</v>
      </c>
      <c r="R70" s="130">
        <f>IF(R33=0,0,R33/TrRoad_act!R40*100)</f>
        <v>54.405743086663215</v>
      </c>
      <c r="S70" s="130">
        <f>IF(S33=0,0,S33/TrRoad_act!S40*100)</f>
        <v>54.674121472404913</v>
      </c>
      <c r="T70" s="130">
        <f>IF(T33=0,0,T33/TrRoad_act!T40*100)</f>
        <v>54.967550419149134</v>
      </c>
      <c r="U70" s="130">
        <f>IF(U33=0,0,U33/TrRoad_act!U40*100)</f>
        <v>55.267080652295967</v>
      </c>
      <c r="V70" s="130">
        <f>IF(V33=0,0,V33/TrRoad_act!V40*100)</f>
        <v>55.232152065202598</v>
      </c>
      <c r="W70" s="130">
        <f>IF(W33=0,0,W33/TrRoad_act!W40*100)</f>
        <v>55.437384747616832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61.537732071127728</v>
      </c>
      <c r="C72" s="97">
        <f>IF(C36=0,0,C36/TrRoad_act!C42*100)</f>
        <v>58.349504552199505</v>
      </c>
      <c r="D72" s="97">
        <f>IF(D36=0,0,D36/TrRoad_act!D42*100)</f>
        <v>57.346141908978119</v>
      </c>
      <c r="E72" s="97">
        <f>IF(E36=0,0,E36/TrRoad_act!E42*100)</f>
        <v>56.640981854056214</v>
      </c>
      <c r="F72" s="97">
        <f>IF(F36=0,0,F36/TrRoad_act!F42*100)</f>
        <v>55.737998781430065</v>
      </c>
      <c r="G72" s="97">
        <f>IF(G36=0,0,G36/TrRoad_act!G42*100)</f>
        <v>54.911921818370516</v>
      </c>
      <c r="H72" s="97">
        <f>IF(H36=0,0,H36/TrRoad_act!H42*100)</f>
        <v>54.112387927734254</v>
      </c>
      <c r="I72" s="97">
        <f>IF(I36=0,0,I36/TrRoad_act!I42*100)</f>
        <v>53.667910878668657</v>
      </c>
      <c r="J72" s="97">
        <f>IF(J36=0,0,J36/TrRoad_act!J42*100)</f>
        <v>53.208939906108242</v>
      </c>
      <c r="K72" s="97">
        <f>IF(K36=0,0,K36/TrRoad_act!K42*100)</f>
        <v>53.043955392430277</v>
      </c>
      <c r="L72" s="97">
        <f>IF(L36=0,0,L36/TrRoad_act!L42*100)</f>
        <v>52.962355613303039</v>
      </c>
      <c r="M72" s="97">
        <f>IF(M36=0,0,M36/TrRoad_act!M42*100)</f>
        <v>53.054949765744176</v>
      </c>
      <c r="N72" s="97">
        <f>IF(N36=0,0,N36/TrRoad_act!N42*100)</f>
        <v>53.299327029719123</v>
      </c>
      <c r="O72" s="97">
        <f>IF(O36=0,0,O36/TrRoad_act!O42*100)</f>
        <v>53.633177289079669</v>
      </c>
      <c r="P72" s="97">
        <f>IF(P36=0,0,P36/TrRoad_act!P42*100)</f>
        <v>53.986062930272652</v>
      </c>
      <c r="Q72" s="97">
        <f>IF(Q36=0,0,Q36/TrRoad_act!Q42*100)</f>
        <v>54.591009280361824</v>
      </c>
      <c r="R72" s="97">
        <f>IF(R36=0,0,R36/TrRoad_act!R42*100)</f>
        <v>54.944186845074029</v>
      </c>
      <c r="S72" s="97">
        <f>IF(S36=0,0,S36/TrRoad_act!S42*100)</f>
        <v>55.283093045383779</v>
      </c>
      <c r="T72" s="97">
        <f>IF(T36=0,0,T36/TrRoad_act!T42*100)</f>
        <v>55.561478675112241</v>
      </c>
      <c r="U72" s="97">
        <f>IF(U36=0,0,U36/TrRoad_act!U42*100)</f>
        <v>55.852492595620781</v>
      </c>
      <c r="V72" s="97">
        <f>IF(V36=0,0,V36/TrRoad_act!V42*100)</f>
        <v>56.1270112289899</v>
      </c>
      <c r="W72" s="97">
        <f>IF(W36=0,0,W36/TrRoad_act!W42*100)</f>
        <v>56.403861035412106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47.092227365216885</v>
      </c>
      <c r="C73" s="97">
        <f>IF(C38=0,0,C38/TrRoad_act!C43*100)</f>
        <v>47.092227365216885</v>
      </c>
      <c r="D73" s="97">
        <f>IF(D38=0,0,D38/TrRoad_act!D43*100)</f>
        <v>47.092227365216878</v>
      </c>
      <c r="E73" s="97">
        <f>IF(E38=0,0,E38/TrRoad_act!E43*100)</f>
        <v>47.046353632571297</v>
      </c>
      <c r="F73" s="97">
        <f>IF(F38=0,0,F38/TrRoad_act!F43*100)</f>
        <v>44.467092615614838</v>
      </c>
      <c r="G73" s="97">
        <f>IF(G38=0,0,G38/TrRoad_act!G43*100)</f>
        <v>44.323173251062492</v>
      </c>
      <c r="H73" s="97">
        <f>IF(H38=0,0,H38/TrRoad_act!H43*100)</f>
        <v>44.242026407014734</v>
      </c>
      <c r="I73" s="97">
        <f>IF(I38=0,0,I38/TrRoad_act!I43*100)</f>
        <v>44.154593234775788</v>
      </c>
      <c r="J73" s="97">
        <f>IF(J38=0,0,J38/TrRoad_act!J43*100)</f>
        <v>44.062572006787875</v>
      </c>
      <c r="K73" s="97">
        <f>IF(K38=0,0,K38/TrRoad_act!K43*100)</f>
        <v>43.962977903076641</v>
      </c>
      <c r="L73" s="97">
        <f>IF(L38=0,0,L38/TrRoad_act!L43*100)</f>
        <v>43.859718185788111</v>
      </c>
      <c r="M73" s="97">
        <f>IF(M38=0,0,M38/TrRoad_act!M43*100)</f>
        <v>43.754999076275759</v>
      </c>
      <c r="N73" s="97">
        <f>IF(N38=0,0,N38/TrRoad_act!N43*100)</f>
        <v>43.77153238794277</v>
      </c>
      <c r="O73" s="97">
        <f>IF(O38=0,0,O38/TrRoad_act!O43*100)</f>
        <v>43.799456599147952</v>
      </c>
      <c r="P73" s="97">
        <f>IF(P38=0,0,P38/TrRoad_act!P43*100)</f>
        <v>43.828916045889279</v>
      </c>
      <c r="Q73" s="97">
        <f>IF(Q38=0,0,Q38/TrRoad_act!Q43*100)</f>
        <v>43.848693405883068</v>
      </c>
      <c r="R73" s="97">
        <f>IF(R38=0,0,R38/TrRoad_act!R43*100)</f>
        <v>43.874603351908569</v>
      </c>
      <c r="S73" s="97">
        <f>IF(S38=0,0,S38/TrRoad_act!S43*100)</f>
        <v>43.92798646160032</v>
      </c>
      <c r="T73" s="97">
        <f>IF(T38=0,0,T38/TrRoad_act!T43*100)</f>
        <v>44.620220337525637</v>
      </c>
      <c r="U73" s="97">
        <f>IF(U38=0,0,U38/TrRoad_act!U43*100)</f>
        <v>44.715432716576458</v>
      </c>
      <c r="V73" s="97">
        <f>IF(V38=0,0,V38/TrRoad_act!V43*100)</f>
        <v>44.806987146429172</v>
      </c>
      <c r="W73" s="97">
        <f>IF(W38=0,0,W38/TrRoad_act!W43*100)</f>
        <v>44.935079691530682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46.800000000152814</v>
      </c>
      <c r="R74" s="97">
        <f>IF(R39=0,0,R39/TrRoad_act!R44*100)</f>
        <v>43.622504544739968</v>
      </c>
      <c r="S74" s="97">
        <f>IF(S39=0,0,S39/TrRoad_act!S44*100)</f>
        <v>34.822382729412801</v>
      </c>
      <c r="T74" s="97">
        <f>IF(T39=0,0,T39/TrRoad_act!T44*100)</f>
        <v>36.836963930228862</v>
      </c>
      <c r="U74" s="97">
        <f>IF(U39=0,0,U39/TrRoad_act!U44*100)</f>
        <v>37.151720873181652</v>
      </c>
      <c r="V74" s="97">
        <f>IF(V39=0,0,V39/TrRoad_act!V44*100)</f>
        <v>34.466124859258365</v>
      </c>
      <c r="W74" s="97">
        <f>IF(W39=0,0,W39/TrRoad_act!W44*100)</f>
        <v>42.58540939139629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31.66971446583289</v>
      </c>
      <c r="C75" s="97">
        <f>IF(C41=0,0,C41/TrRoad_act!C45*100)</f>
        <v>31.270182311511778</v>
      </c>
      <c r="D75" s="97">
        <f>IF(D41=0,0,D41/TrRoad_act!D45*100)</f>
        <v>31.199082361697755</v>
      </c>
      <c r="E75" s="97">
        <f>IF(E41=0,0,E41/TrRoad_act!E45*100)</f>
        <v>31.068169236053684</v>
      </c>
      <c r="F75" s="97">
        <f>IF(F41=0,0,F41/TrRoad_act!F45*100)</f>
        <v>31.00669288955627</v>
      </c>
      <c r="G75" s="97">
        <f>IF(G41=0,0,G41/TrRoad_act!G45*100)</f>
        <v>28.864479467693283</v>
      </c>
      <c r="H75" s="97">
        <f>IF(H41=0,0,H41/TrRoad_act!H45*100)</f>
        <v>28.754266041271777</v>
      </c>
      <c r="I75" s="97">
        <f>IF(I41=0,0,I41/TrRoad_act!I45*100)</f>
        <v>28.694106466139612</v>
      </c>
      <c r="J75" s="97">
        <f>IF(J41=0,0,J41/TrRoad_act!J45*100)</f>
        <v>28.64485195099693</v>
      </c>
      <c r="K75" s="97">
        <f>IF(K41=0,0,K41/TrRoad_act!K45*100)</f>
        <v>28.596485669061821</v>
      </c>
      <c r="L75" s="97">
        <f>IF(L41=0,0,L41/TrRoad_act!L45*100)</f>
        <v>28.551346762394459</v>
      </c>
      <c r="M75" s="97">
        <f>IF(M41=0,0,M41/TrRoad_act!M45*100)</f>
        <v>28.520188569959821</v>
      </c>
      <c r="N75" s="97">
        <f>IF(N41=0,0,N41/TrRoad_act!N45*100)</f>
        <v>28.491039225474136</v>
      </c>
      <c r="O75" s="97">
        <f>IF(O41=0,0,O41/TrRoad_act!O45*100)</f>
        <v>28.535711892043516</v>
      </c>
      <c r="P75" s="97">
        <f>IF(P41=0,0,P41/TrRoad_act!P45*100)</f>
        <v>28.564898193228956</v>
      </c>
      <c r="Q75" s="97">
        <f>IF(Q41=0,0,Q41/TrRoad_act!Q45*100)</f>
        <v>28.704187163456947</v>
      </c>
      <c r="R75" s="97">
        <f>IF(R41=0,0,R41/TrRoad_act!R45*100)</f>
        <v>28.811742708869616</v>
      </c>
      <c r="S75" s="97">
        <f>IF(S41=0,0,S41/TrRoad_act!S45*100)</f>
        <v>29.099474315574753</v>
      </c>
      <c r="T75" s="97">
        <f>IF(T41=0,0,T41/TrRoad_act!T45*100)</f>
        <v>29.312845182949861</v>
      </c>
      <c r="U75" s="97">
        <f>IF(U41=0,0,U41/TrRoad_act!U45*100)</f>
        <v>29.610655808510533</v>
      </c>
      <c r="V75" s="97">
        <f>IF(V41=0,0,V41/TrRoad_act!V45*100)</f>
        <v>29.589606996805664</v>
      </c>
      <c r="W75" s="97">
        <f>IF(W41=0,0,W41/TrRoad_act!W45*100)</f>
        <v>29.557264563802011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9.9606528561472683</v>
      </c>
      <c r="C76" s="32">
        <f>IF(C42=0,0,C42/TrRoad_act!C46*100)</f>
        <v>10.537190833593225</v>
      </c>
      <c r="D76" s="32">
        <f>IF(D42=0,0,D42/TrRoad_act!D46*100)</f>
        <v>9.5398422597242938</v>
      </c>
      <c r="E76" s="32">
        <f>IF(E42=0,0,E42/TrRoad_act!E46*100)</f>
        <v>11.079961339616213</v>
      </c>
      <c r="F76" s="32">
        <f>IF(F42=0,0,F42/TrRoad_act!F46*100)</f>
        <v>12.736212472374856</v>
      </c>
      <c r="G76" s="32">
        <f>IF(G42=0,0,G42/TrRoad_act!G46*100)</f>
        <v>15.06610377714124</v>
      </c>
      <c r="H76" s="32">
        <f>IF(H42=0,0,H42/TrRoad_act!H46*100)</f>
        <v>16.132354896636532</v>
      </c>
      <c r="I76" s="32">
        <f>IF(I42=0,0,I42/TrRoad_act!I46*100)</f>
        <v>17.455979593538324</v>
      </c>
      <c r="J76" s="32">
        <f>IF(J42=0,0,J42/TrRoad_act!J46*100)</f>
        <v>17.712997301299659</v>
      </c>
      <c r="K76" s="32">
        <f>IF(K42=0,0,K42/TrRoad_act!K46*100)</f>
        <v>16.777372885766752</v>
      </c>
      <c r="L76" s="32">
        <f>IF(L42=0,0,L42/TrRoad_act!L46*100)</f>
        <v>17.291837346854994</v>
      </c>
      <c r="M76" s="32">
        <f>IF(M42=0,0,M42/TrRoad_act!M46*100)</f>
        <v>16.634464403617322</v>
      </c>
      <c r="N76" s="32">
        <f>IF(N42=0,0,N42/TrRoad_act!N46*100)</f>
        <v>15.029676343834868</v>
      </c>
      <c r="O76" s="32">
        <f>IF(O42=0,0,O42/TrRoad_act!O46*100)</f>
        <v>13.048378829424495</v>
      </c>
      <c r="P76" s="32">
        <f>IF(P42=0,0,P42/TrRoad_act!P46*100)</f>
        <v>13.352344923227887</v>
      </c>
      <c r="Q76" s="32">
        <f>IF(Q42=0,0,Q42/TrRoad_act!Q46*100)</f>
        <v>13.468793735680794</v>
      </c>
      <c r="R76" s="32">
        <f>IF(R42=0,0,R42/TrRoad_act!R46*100)</f>
        <v>15.579522066456697</v>
      </c>
      <c r="S76" s="32">
        <f>IF(S42=0,0,S42/TrRoad_act!S46*100)</f>
        <v>18.242844537838366</v>
      </c>
      <c r="T76" s="32">
        <f>IF(T42=0,0,T42/TrRoad_act!T46*100)</f>
        <v>18.417352640117009</v>
      </c>
      <c r="U76" s="32">
        <f>IF(U42=0,0,U42/TrRoad_act!U46*100)</f>
        <v>17.901673839842417</v>
      </c>
      <c r="V76" s="32">
        <f>IF(V42=0,0,V42/TrRoad_act!V46*100)</f>
        <v>16.813332335345304</v>
      </c>
      <c r="W76" s="32">
        <f>IF(W42=0,0,W42/TrRoad_act!W46*100)</f>
        <v>19.434094925366406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9.3962082994672826</v>
      </c>
      <c r="C77" s="141">
        <f>IF(C43=0,0,C43/TrRoad_act!C47*100)</f>
        <v>9.1737164453652262</v>
      </c>
      <c r="D77" s="141">
        <f>IF(D43=0,0,D43/TrRoad_act!D47*100)</f>
        <v>9.1730518274213662</v>
      </c>
      <c r="E77" s="141">
        <f>IF(E43=0,0,E43/TrRoad_act!E47*100)</f>
        <v>9.1111856690283659</v>
      </c>
      <c r="F77" s="141">
        <f>IF(F43=0,0,F43/TrRoad_act!F47*100)</f>
        <v>9.088392623084216</v>
      </c>
      <c r="G77" s="141">
        <f>IF(G43=0,0,G43/TrRoad_act!G47*100)</f>
        <v>9.1099165598577692</v>
      </c>
      <c r="H77" s="141">
        <f>IF(H43=0,0,H43/TrRoad_act!H47*100)</f>
        <v>9.1029355617745349</v>
      </c>
      <c r="I77" s="141">
        <f>IF(I43=0,0,I43/TrRoad_act!I47*100)</f>
        <v>9.1017446793342813</v>
      </c>
      <c r="J77" s="141">
        <f>IF(J43=0,0,J43/TrRoad_act!J47*100)</f>
        <v>9.105372858285417</v>
      </c>
      <c r="K77" s="141">
        <f>IF(K43=0,0,K43/TrRoad_act!K47*100)</f>
        <v>9.0643244891549237</v>
      </c>
      <c r="L77" s="141">
        <f>IF(L43=0,0,L43/TrRoad_act!L47*100)</f>
        <v>9.079142164425269</v>
      </c>
      <c r="M77" s="141">
        <f>IF(M43=0,0,M43/TrRoad_act!M47*100)</f>
        <v>9.1429359649794364</v>
      </c>
      <c r="N77" s="141">
        <f>IF(N43=0,0,N43/TrRoad_act!N47*100)</f>
        <v>9.1607959696320194</v>
      </c>
      <c r="O77" s="141">
        <f>IF(O43=0,0,O43/TrRoad_act!O47*100)</f>
        <v>9.1569926550817993</v>
      </c>
      <c r="P77" s="141">
        <f>IF(P43=0,0,P43/TrRoad_act!P47*100)</f>
        <v>9.120690431029379</v>
      </c>
      <c r="Q77" s="141">
        <f>IF(Q43=0,0,Q43/TrRoad_act!Q47*100)</f>
        <v>9.1090884795187321</v>
      </c>
      <c r="R77" s="141">
        <f>IF(R43=0,0,R43/TrRoad_act!R47*100)</f>
        <v>9.0621721041611707</v>
      </c>
      <c r="S77" s="141">
        <f>IF(S43=0,0,S43/TrRoad_act!S47*100)</f>
        <v>8.991215299623077</v>
      </c>
      <c r="T77" s="141">
        <f>IF(T43=0,0,T43/TrRoad_act!T47*100)</f>
        <v>8.9577767333809692</v>
      </c>
      <c r="U77" s="141">
        <f>IF(U43=0,0,U43/TrRoad_act!U47*100)</f>
        <v>8.8709228648082092</v>
      </c>
      <c r="V77" s="141">
        <f>IF(V43=0,0,V43/TrRoad_act!V47*100)</f>
        <v>8.8994156177618802</v>
      </c>
      <c r="W77" s="141">
        <f>IF(W43=0,0,W43/TrRoad_act!W47*100)</f>
        <v>8.8891131886385857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8.574265214619718</v>
      </c>
      <c r="C78" s="96">
        <f>IF(C44=0,0,C44/TrRoad_act!C48*100)</f>
        <v>8.5156947087736814</v>
      </c>
      <c r="D78" s="96">
        <f>IF(D44=0,0,D44/TrRoad_act!D48*100)</f>
        <v>8.4617790900033345</v>
      </c>
      <c r="E78" s="96">
        <f>IF(E44=0,0,E44/TrRoad_act!E48*100)</f>
        <v>8.3763394355339074</v>
      </c>
      <c r="F78" s="96">
        <f>IF(F44=0,0,F44/TrRoad_act!F48*100)</f>
        <v>8.3189390305976012</v>
      </c>
      <c r="G78" s="96">
        <f>IF(G44=0,0,G44/TrRoad_act!G48*100)</f>
        <v>8.2924566080860576</v>
      </c>
      <c r="H78" s="96">
        <f>IF(H44=0,0,H44/TrRoad_act!H48*100)</f>
        <v>8.2286979272756842</v>
      </c>
      <c r="I78" s="96">
        <f>IF(I44=0,0,I44/TrRoad_act!I48*100)</f>
        <v>8.137448496993299</v>
      </c>
      <c r="J78" s="96">
        <f>IF(J44=0,0,J44/TrRoad_act!J48*100)</f>
        <v>8.019584735349186</v>
      </c>
      <c r="K78" s="96">
        <f>IF(K44=0,0,K44/TrRoad_act!K48*100)</f>
        <v>7.9169418861653309</v>
      </c>
      <c r="L78" s="96">
        <f>IF(L44=0,0,L44/TrRoad_act!L48*100)</f>
        <v>7.8163554465558391</v>
      </c>
      <c r="M78" s="96">
        <f>IF(M44=0,0,M44/TrRoad_act!M48*100)</f>
        <v>7.7267785373866085</v>
      </c>
      <c r="N78" s="96">
        <f>IF(N44=0,0,N44/TrRoad_act!N48*100)</f>
        <v>7.6870391384943826</v>
      </c>
      <c r="O78" s="96">
        <f>IF(O44=0,0,O44/TrRoad_act!O48*100)</f>
        <v>7.5862238080292812</v>
      </c>
      <c r="P78" s="96">
        <f>IF(P44=0,0,P44/TrRoad_act!P48*100)</f>
        <v>7.495512577363284</v>
      </c>
      <c r="Q78" s="96">
        <f>IF(Q44=0,0,Q44/TrRoad_act!Q48*100)</f>
        <v>7.4076232456628439</v>
      </c>
      <c r="R78" s="96">
        <f>IF(R44=0,0,R44/TrRoad_act!R48*100)</f>
        <v>7.3529791026903029</v>
      </c>
      <c r="S78" s="96">
        <f>IF(S44=0,0,S44/TrRoad_act!S48*100)</f>
        <v>7.2575269113518974</v>
      </c>
      <c r="T78" s="96">
        <f>IF(T44=0,0,T44/TrRoad_act!T48*100)</f>
        <v>7.1678288625725752</v>
      </c>
      <c r="U78" s="96">
        <f>IF(U44=0,0,U44/TrRoad_act!U48*100)</f>
        <v>7.1651324456722039</v>
      </c>
      <c r="V78" s="96">
        <f>IF(V44=0,0,V44/TrRoad_act!V48*100)</f>
        <v>7.1210860517931795</v>
      </c>
      <c r="W78" s="96">
        <f>IF(W44=0,0,W44/TrRoad_act!W48*100)</f>
        <v>7.2039344245335561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10.636138890538929</v>
      </c>
      <c r="C79" s="96">
        <f>IF(C46=0,0,C46/TrRoad_act!C49*100)</f>
        <v>10.146568523982182</v>
      </c>
      <c r="D79" s="96">
        <f>IF(D46=0,0,D46/TrRoad_act!D49*100)</f>
        <v>9.9912718580389601</v>
      </c>
      <c r="E79" s="96">
        <f>IF(E46=0,0,E46/TrRoad_act!E49*100)</f>
        <v>9.882279643395167</v>
      </c>
      <c r="F79" s="96">
        <f>IF(F46=0,0,F46/TrRoad_act!F49*100)</f>
        <v>9.7957674796641765</v>
      </c>
      <c r="G79" s="96">
        <f>IF(G46=0,0,G46/TrRoad_act!G49*100)</f>
        <v>9.7110369507590963</v>
      </c>
      <c r="H79" s="96">
        <f>IF(H46=0,0,H46/TrRoad_act!H49*100)</f>
        <v>9.6543972857557225</v>
      </c>
      <c r="I79" s="96">
        <f>IF(I46=0,0,I46/TrRoad_act!I49*100)</f>
        <v>9.6167130743490876</v>
      </c>
      <c r="J79" s="96">
        <f>IF(J46=0,0,J46/TrRoad_act!J49*100)</f>
        <v>9.5930974598185195</v>
      </c>
      <c r="K79" s="96">
        <f>IF(K46=0,0,K46/TrRoad_act!K49*100)</f>
        <v>9.5589796813315662</v>
      </c>
      <c r="L79" s="96">
        <f>IF(L46=0,0,L46/TrRoad_act!L49*100)</f>
        <v>9.5629994996139889</v>
      </c>
      <c r="M79" s="96">
        <f>IF(M46=0,0,M46/TrRoad_act!M49*100)</f>
        <v>9.6143237005197122</v>
      </c>
      <c r="N79" s="96">
        <f>IF(N46=0,0,N46/TrRoad_act!N49*100)</f>
        <v>9.6174785201813915</v>
      </c>
      <c r="O79" s="96">
        <f>IF(O46=0,0,O46/TrRoad_act!O49*100)</f>
        <v>9.5985626243615378</v>
      </c>
      <c r="P79" s="96">
        <f>IF(P46=0,0,P46/TrRoad_act!P49*100)</f>
        <v>9.5483417717878929</v>
      </c>
      <c r="Q79" s="96">
        <f>IF(Q46=0,0,Q46/TrRoad_act!Q49*100)</f>
        <v>9.4962664231672349</v>
      </c>
      <c r="R79" s="96">
        <f>IF(R46=0,0,R46/TrRoad_act!R49*100)</f>
        <v>9.427977735293414</v>
      </c>
      <c r="S79" s="96">
        <f>IF(S46=0,0,S46/TrRoad_act!S49*100)</f>
        <v>9.3581124138162348</v>
      </c>
      <c r="T79" s="96">
        <f>IF(T46=0,0,T46/TrRoad_act!T49*100)</f>
        <v>9.3146839800742516</v>
      </c>
      <c r="U79" s="96">
        <f>IF(U46=0,0,U46/TrRoad_act!U49*100)</f>
        <v>9.1939133125773349</v>
      </c>
      <c r="V79" s="96">
        <f>IF(V46=0,0,V46/TrRoad_act!V49*100)</f>
        <v>9.2063092426694144</v>
      </c>
      <c r="W79" s="96">
        <f>IF(W46=0,0,W46/TrRoad_act!W49*100)</f>
        <v>9.1687162266101918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10.50470422471027</v>
      </c>
      <c r="C80" s="96">
        <f>IF(C48=0,0,C48/TrRoad_act!C50*100)</f>
        <v>10.224113264516342</v>
      </c>
      <c r="D80" s="96">
        <f>IF(D48=0,0,D48/TrRoad_act!D50*100)</f>
        <v>9.6610197310254708</v>
      </c>
      <c r="E80" s="96">
        <f>IF(E48=0,0,E48/TrRoad_act!E50*100)</f>
        <v>9.4571986346809904</v>
      </c>
      <c r="F80" s="96">
        <f>IF(F48=0,0,F48/TrRoad_act!F50*100)</f>
        <v>9.3983613850451757</v>
      </c>
      <c r="G80" s="96">
        <f>IF(G48=0,0,G48/TrRoad_act!G50*100)</f>
        <v>9.2543400100193498</v>
      </c>
      <c r="H80" s="96">
        <f>IF(H48=0,0,H48/TrRoad_act!H50*100)</f>
        <v>9.0234864159667758</v>
      </c>
      <c r="I80" s="96">
        <f>IF(I48=0,0,I48/TrRoad_act!I50*100)</f>
        <v>8.9158984773913463</v>
      </c>
      <c r="J80" s="96">
        <f>IF(J48=0,0,J48/TrRoad_act!J50*100)</f>
        <v>8.856512147670685</v>
      </c>
      <c r="K80" s="96">
        <f>IF(K48=0,0,K48/TrRoad_act!K50*100)</f>
        <v>8.8309091822923182</v>
      </c>
      <c r="L80" s="96">
        <f>IF(L48=0,0,L48/TrRoad_act!L50*100)</f>
        <v>8.7998401601430345</v>
      </c>
      <c r="M80" s="96">
        <f>IF(M48=0,0,M48/TrRoad_act!M50*100)</f>
        <v>8.7728913697975344</v>
      </c>
      <c r="N80" s="96">
        <f>IF(N48=0,0,N48/TrRoad_act!N50*100)</f>
        <v>8.6782979417697366</v>
      </c>
      <c r="O80" s="96">
        <f>IF(O48=0,0,O48/TrRoad_act!O50*100)</f>
        <v>8.6443325357957619</v>
      </c>
      <c r="P80" s="96">
        <f>IF(P48=0,0,P48/TrRoad_act!P50*100)</f>
        <v>8.498675726771511</v>
      </c>
      <c r="Q80" s="96">
        <f>IF(Q48=0,0,Q48/TrRoad_act!Q50*100)</f>
        <v>8.473763278000769</v>
      </c>
      <c r="R80" s="96">
        <f>IF(R48=0,0,R48/TrRoad_act!R50*100)</f>
        <v>8.4107515085016757</v>
      </c>
      <c r="S80" s="96">
        <f>IF(S48=0,0,S48/TrRoad_act!S50*100)</f>
        <v>8.3527063893916669</v>
      </c>
      <c r="T80" s="96">
        <f>IF(T48=0,0,T48/TrRoad_act!T50*100)</f>
        <v>8.291418398917564</v>
      </c>
      <c r="U80" s="96">
        <f>IF(U48=0,0,U48/TrRoad_act!U50*100)</f>
        <v>8.2760901800998425</v>
      </c>
      <c r="V80" s="96">
        <f>IF(V48=0,0,V48/TrRoad_act!V50*100)</f>
        <v>8.2693852228605014</v>
      </c>
      <c r="W80" s="96">
        <f>IF(W48=0,0,W48/TrRoad_act!W50*100)</f>
        <v>8.250199617775527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10.192121201727424</v>
      </c>
      <c r="R81" s="96">
        <f>IF(R49=0,0,R49/TrRoad_act!R51*100)</f>
        <v>10.299775315601549</v>
      </c>
      <c r="S81" s="96">
        <f>IF(S49=0,0,S49/TrRoad_act!S51*100)</f>
        <v>10.270037292941323</v>
      </c>
      <c r="T81" s="96">
        <f>IF(T49=0,0,T49/TrRoad_act!T51*100)</f>
        <v>10.321603239876579</v>
      </c>
      <c r="U81" s="96">
        <f>IF(U49=0,0,U49/TrRoad_act!U51*100)</f>
        <v>10.263138265972795</v>
      </c>
      <c r="V81" s="96">
        <f>IF(V49=0,0,V49/TrRoad_act!V51*100)</f>
        <v>10.271489259942369</v>
      </c>
      <c r="W81" s="96">
        <f>IF(W49=0,0,W49/TrRoad_act!W51*100)</f>
        <v>10.291714261040209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1.6472914875411704</v>
      </c>
      <c r="O82" s="96">
        <f>IF(O51=0,0,O51/TrRoad_act!O52*100)</f>
        <v>1.6598378611099196</v>
      </c>
      <c r="P82" s="96">
        <f>IF(P51=0,0,P51/TrRoad_act!P52*100)</f>
        <v>1.6699002066988506</v>
      </c>
      <c r="Q82" s="96">
        <f>IF(Q51=0,0,Q51/TrRoad_act!Q52*100)</f>
        <v>1.7182094287168426</v>
      </c>
      <c r="R82" s="96">
        <f>IF(R51=0,0,R51/TrRoad_act!R52*100)</f>
        <v>1.7539338287565258</v>
      </c>
      <c r="S82" s="96">
        <f>IF(S51=0,0,S51/TrRoad_act!S52*100)</f>
        <v>1.7507700187209276</v>
      </c>
      <c r="T82" s="96">
        <f>IF(T51=0,0,T51/TrRoad_act!T52*100)</f>
        <v>1.8975312602128207</v>
      </c>
      <c r="U82" s="96">
        <f>IF(U51=0,0,U51/TrRoad_act!U52*100)</f>
        <v>2.2145368814264965</v>
      </c>
      <c r="V82" s="96">
        <f>IF(V51=0,0,V51/TrRoad_act!V52*100)</f>
        <v>2.46337915829805</v>
      </c>
      <c r="W82" s="96">
        <f>IF(W51=0,0,W51/TrRoad_act!W52*100)</f>
        <v>2.8559716896931162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11.818305773994574</v>
      </c>
      <c r="C83" s="130">
        <f>IF(C52=0,0,C52/TrRoad_act!C53*100)</f>
        <v>14.73990399078958</v>
      </c>
      <c r="D83" s="130">
        <f>IF(D52=0,0,D52/TrRoad_act!D53*100)</f>
        <v>10.649744238751889</v>
      </c>
      <c r="E83" s="130">
        <f>IF(E52=0,0,E52/TrRoad_act!E53*100)</f>
        <v>16.852282682021791</v>
      </c>
      <c r="F83" s="130">
        <f>IF(F52=0,0,F52/TrRoad_act!F53*100)</f>
        <v>21.627714674454179</v>
      </c>
      <c r="G83" s="130">
        <f>IF(G52=0,0,G52/TrRoad_act!G53*100)</f>
        <v>29.076853483502134</v>
      </c>
      <c r="H83" s="130">
        <f>IF(H52=0,0,H52/TrRoad_act!H53*100)</f>
        <v>32.862633227991481</v>
      </c>
      <c r="I83" s="130">
        <f>IF(I52=0,0,I52/TrRoad_act!I53*100)</f>
        <v>36.61346889548426</v>
      </c>
      <c r="J83" s="130">
        <f>IF(J52=0,0,J52/TrRoad_act!J53*100)</f>
        <v>37.041069406745152</v>
      </c>
      <c r="K83" s="130">
        <f>IF(K52=0,0,K52/TrRoad_act!K53*100)</f>
        <v>33.659999992029363</v>
      </c>
      <c r="L83" s="130">
        <f>IF(L52=0,0,L52/TrRoad_act!L53*100)</f>
        <v>34.891415657062083</v>
      </c>
      <c r="M83" s="130">
        <f>IF(M52=0,0,M52/TrRoad_act!M53*100)</f>
        <v>31.889170663767015</v>
      </c>
      <c r="N83" s="130">
        <f>IF(N52=0,0,N52/TrRoad_act!N53*100)</f>
        <v>26.797681355302604</v>
      </c>
      <c r="O83" s="130">
        <f>IF(O52=0,0,O52/TrRoad_act!O53*100)</f>
        <v>20.395811517022359</v>
      </c>
      <c r="P83" s="130">
        <f>IF(P52=0,0,P52/TrRoad_act!P53*100)</f>
        <v>21.398636388199566</v>
      </c>
      <c r="Q83" s="130">
        <f>IF(Q52=0,0,Q52/TrRoad_act!Q53*100)</f>
        <v>21.291457930561638</v>
      </c>
      <c r="R83" s="130">
        <f>IF(R52=0,0,R52/TrRoad_act!R53*100)</f>
        <v>27.561362303300367</v>
      </c>
      <c r="S83" s="130">
        <f>IF(S52=0,0,S52/TrRoad_act!S53*100)</f>
        <v>34.396698842084717</v>
      </c>
      <c r="T83" s="130">
        <f>IF(T52=0,0,T52/TrRoad_act!T53*100)</f>
        <v>36.743526395516248</v>
      </c>
      <c r="U83" s="130">
        <f>IF(U52=0,0,U52/TrRoad_act!U53*100)</f>
        <v>35.876401075624564</v>
      </c>
      <c r="V83" s="130">
        <f>IF(V52=0,0,V52/TrRoad_act!V53*100)</f>
        <v>32.233246425025683</v>
      </c>
      <c r="W83" s="130">
        <f>IF(W52=0,0,W52/TrRoad_act!W53*100)</f>
        <v>39.298327418549441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11.402788607346782</v>
      </c>
      <c r="C84" s="97">
        <f>IF(C53=0,0,C53/TrRoad_act!C54*100)</f>
        <v>14.236919746295545</v>
      </c>
      <c r="D84" s="97">
        <f>IF(D53=0,0,D53/TrRoad_act!D54*100)</f>
        <v>10.292517349235775</v>
      </c>
      <c r="E84" s="97">
        <f>IF(E53=0,0,E53/TrRoad_act!E54*100)</f>
        <v>16.33224907980609</v>
      </c>
      <c r="F84" s="97">
        <f>IF(F53=0,0,F53/TrRoad_act!F54*100)</f>
        <v>21.016826403838689</v>
      </c>
      <c r="G84" s="97">
        <f>IF(G53=0,0,G53/TrRoad_act!G54*100)</f>
        <v>28.296528209473198</v>
      </c>
      <c r="H84" s="97">
        <f>IF(H53=0,0,H53/TrRoad_act!H54*100)</f>
        <v>31.904378255817079</v>
      </c>
      <c r="I84" s="97">
        <f>IF(I53=0,0,I53/TrRoad_act!I54*100)</f>
        <v>35.659739587268341</v>
      </c>
      <c r="J84" s="97">
        <f>IF(J53=0,0,J53/TrRoad_act!J54*100)</f>
        <v>36.132616822255457</v>
      </c>
      <c r="K84" s="97">
        <f>IF(K53=0,0,K53/TrRoad_act!K54*100)</f>
        <v>32.936814723341776</v>
      </c>
      <c r="L84" s="97">
        <f>IF(L53=0,0,L53/TrRoad_act!L54*100)</f>
        <v>34.101535431207253</v>
      </c>
      <c r="M84" s="97">
        <f>IF(M53=0,0,M53/TrRoad_act!M54*100)</f>
        <v>31.171835697520304</v>
      </c>
      <c r="N84" s="97">
        <f>IF(N53=0,0,N53/TrRoad_act!N54*100)</f>
        <v>26.125916176811671</v>
      </c>
      <c r="O84" s="97">
        <f>IF(O53=0,0,O53/TrRoad_act!O54*100)</f>
        <v>19.877209480403113</v>
      </c>
      <c r="P84" s="97">
        <f>IF(P53=0,0,P53/TrRoad_act!P54*100)</f>
        <v>20.822471644369948</v>
      </c>
      <c r="Q84" s="97">
        <f>IF(Q53=0,0,Q53/TrRoad_act!Q54*100)</f>
        <v>20.718617116170314</v>
      </c>
      <c r="R84" s="97">
        <f>IF(R53=0,0,R53/TrRoad_act!R54*100)</f>
        <v>26.731757983492603</v>
      </c>
      <c r="S84" s="97">
        <f>IF(S53=0,0,S53/TrRoad_act!S54*100)</f>
        <v>33.297915834982931</v>
      </c>
      <c r="T84" s="97">
        <f>IF(T53=0,0,T53/TrRoad_act!T54*100)</f>
        <v>35.628350152624755</v>
      </c>
      <c r="U84" s="97">
        <f>IF(U53=0,0,U53/TrRoad_act!U54*100)</f>
        <v>34.634297939812598</v>
      </c>
      <c r="V84" s="97">
        <f>IF(V53=0,0,V53/TrRoad_act!V54*100)</f>
        <v>31.158167528847404</v>
      </c>
      <c r="W84" s="97">
        <f>IF(W53=0,0,W53/TrRoad_act!W54*100)</f>
        <v>37.956661154411073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13.386459922444335</v>
      </c>
      <c r="C85" s="98">
        <f>IF(C55=0,0,C55/TrRoad_act!C55*100)</f>
        <v>16.566019507115492</v>
      </c>
      <c r="D85" s="98">
        <f>IF(D55=0,0,D55/TrRoad_act!D55*100)</f>
        <v>11.938770702694905</v>
      </c>
      <c r="E85" s="98">
        <f>IF(E55=0,0,E55/TrRoad_act!E55*100)</f>
        <v>18.821662537455229</v>
      </c>
      <c r="F85" s="98">
        <f>IF(F55=0,0,F55/TrRoad_act!F55*100)</f>
        <v>23.893440012438941</v>
      </c>
      <c r="G85" s="98">
        <f>IF(G55=0,0,G55/TrRoad_act!G55*100)</f>
        <v>32.017356951544414</v>
      </c>
      <c r="H85" s="98">
        <f>IF(H55=0,0,H55/TrRoad_act!H55*100)</f>
        <v>35.798320769618449</v>
      </c>
      <c r="I85" s="98">
        <f>IF(I55=0,0,I55/TrRoad_act!I55*100)</f>
        <v>40.092169897555294</v>
      </c>
      <c r="J85" s="98">
        <f>IF(J55=0,0,J55/TrRoad_act!J55*100)</f>
        <v>40.583461002863622</v>
      </c>
      <c r="K85" s="98">
        <f>IF(K55=0,0,K55/TrRoad_act!K55*100)</f>
        <v>36.933536771426162</v>
      </c>
      <c r="L85" s="98">
        <f>IF(L55=0,0,L55/TrRoad_act!L55*100)</f>
        <v>38.124206458085261</v>
      </c>
      <c r="M85" s="98">
        <f>IF(M55=0,0,M55/TrRoad_act!M55*100)</f>
        <v>34.944956406065174</v>
      </c>
      <c r="N85" s="98">
        <f>IF(N55=0,0,N55/TrRoad_act!N55*100)</f>
        <v>29.400314908438478</v>
      </c>
      <c r="O85" s="98">
        <f>IF(O55=0,0,O55/TrRoad_act!O55*100)</f>
        <v>22.464476970545117</v>
      </c>
      <c r="P85" s="98">
        <f>IF(P55=0,0,P55/TrRoad_act!P55*100)</f>
        <v>23.631064731610444</v>
      </c>
      <c r="Q85" s="98">
        <f>IF(Q55=0,0,Q55/TrRoad_act!Q55*100)</f>
        <v>23.607636838772425</v>
      </c>
      <c r="R85" s="98">
        <f>IF(R55=0,0,R55/TrRoad_act!R55*100)</f>
        <v>30.575616077509626</v>
      </c>
      <c r="S85" s="98">
        <f>IF(S55=0,0,S55/TrRoad_act!S55*100)</f>
        <v>38.275667436033721</v>
      </c>
      <c r="T85" s="98">
        <f>IF(T55=0,0,T55/TrRoad_act!T55*100)</f>
        <v>41.159294163563537</v>
      </c>
      <c r="U85" s="98">
        <f>IF(U55=0,0,U55/TrRoad_act!U55*100)</f>
        <v>40.150175091266789</v>
      </c>
      <c r="V85" s="98">
        <f>IF(V55=0,0,V55/TrRoad_act!V55*100)</f>
        <v>36.210093781396601</v>
      </c>
      <c r="W85" s="98">
        <f>IF(W55=0,0,W55/TrRoad_act!W55*100)</f>
        <v>44.307772931919096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32.768890971456031</v>
      </c>
      <c r="C88" s="29">
        <f>IF(TrRoad_act!C4=0,0,C18/TrRoad_act!C4*1000)</f>
        <v>32.124977170827414</v>
      </c>
      <c r="D88" s="29">
        <f>IF(TrRoad_act!D4=0,0,D18/TrRoad_act!D4*1000)</f>
        <v>31.646282130958685</v>
      </c>
      <c r="E88" s="29">
        <f>IF(TrRoad_act!E4=0,0,E18/TrRoad_act!E4*1000)</f>
        <v>32.220680693218384</v>
      </c>
      <c r="F88" s="29">
        <f>IF(TrRoad_act!F4=0,0,F18/TrRoad_act!F4*1000)</f>
        <v>34.960097539832908</v>
      </c>
      <c r="G88" s="29">
        <f>IF(TrRoad_act!G4=0,0,G18/TrRoad_act!G4*1000)</f>
        <v>34.533488515962226</v>
      </c>
      <c r="H88" s="29">
        <f>IF(TrRoad_act!H4=0,0,H18/TrRoad_act!H4*1000)</f>
        <v>37.424796986792828</v>
      </c>
      <c r="I88" s="29">
        <f>IF(TrRoad_act!I4=0,0,I18/TrRoad_act!I4*1000)</f>
        <v>40.000649907119026</v>
      </c>
      <c r="J88" s="29">
        <f>IF(TrRoad_act!J4=0,0,J18/TrRoad_act!J4*1000)</f>
        <v>40.559086614874623</v>
      </c>
      <c r="K88" s="29">
        <f>IF(TrRoad_act!K4=0,0,K18/TrRoad_act!K4*1000)</f>
        <v>41.129645688639599</v>
      </c>
      <c r="L88" s="29">
        <f>IF(TrRoad_act!L4=0,0,L18/TrRoad_act!L4*1000)</f>
        <v>42.526345982261844</v>
      </c>
      <c r="M88" s="29">
        <f>IF(TrRoad_act!M4=0,0,M18/TrRoad_act!M4*1000)</f>
        <v>43.248207634419188</v>
      </c>
      <c r="N88" s="29">
        <f>IF(TrRoad_act!N4=0,0,N18/TrRoad_act!N4*1000)</f>
        <v>42.938991688739598</v>
      </c>
      <c r="O88" s="29">
        <f>IF(TrRoad_act!O4=0,0,O18/TrRoad_act!O4*1000)</f>
        <v>40.580427780318658</v>
      </c>
      <c r="P88" s="29">
        <f>IF(TrRoad_act!P4=0,0,P18/TrRoad_act!P4*1000)</f>
        <v>39.617629392855179</v>
      </c>
      <c r="Q88" s="29">
        <f>IF(TrRoad_act!Q4=0,0,Q18/TrRoad_act!Q4*1000)</f>
        <v>41.728935703391755</v>
      </c>
      <c r="R88" s="29">
        <f>IF(TrRoad_act!R4=0,0,R18/TrRoad_act!R4*1000)</f>
        <v>42.663703839296062</v>
      </c>
      <c r="S88" s="29">
        <f>IF(TrRoad_act!S4=0,0,S18/TrRoad_act!S4*1000)</f>
        <v>45.841287663317914</v>
      </c>
      <c r="T88" s="29">
        <f>IF(TrRoad_act!T4=0,0,T18/TrRoad_act!T4*1000)</f>
        <v>47.384325338209955</v>
      </c>
      <c r="U88" s="29">
        <f>IF(TrRoad_act!U4=0,0,U18/TrRoad_act!U4*1000)</f>
        <v>47.681329430682162</v>
      </c>
      <c r="V88" s="29">
        <f>IF(TrRoad_act!V4=0,0,V18/TrRoad_act!V4*1000)</f>
        <v>50.664180087502352</v>
      </c>
      <c r="W88" s="29">
        <f>IF(TrRoad_act!W4=0,0,W18/TrRoad_act!W4*1000)</f>
        <v>48.71286405329387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41.343707219215197</v>
      </c>
      <c r="C89" s="152">
        <f>IF(TrRoad_act!C5=0,0,C19/TrRoad_act!C5*1000)</f>
        <v>41.261180608549481</v>
      </c>
      <c r="D89" s="152">
        <f>IF(TrRoad_act!D5=0,0,D19/TrRoad_act!D5*1000)</f>
        <v>40.77078573524836</v>
      </c>
      <c r="E89" s="152">
        <f>IF(TrRoad_act!E5=0,0,E19/TrRoad_act!E5*1000)</f>
        <v>40.729083390592542</v>
      </c>
      <c r="F89" s="152">
        <f>IF(TrRoad_act!F5=0,0,F19/TrRoad_act!F5*1000)</f>
        <v>40.69713716419556</v>
      </c>
      <c r="G89" s="152">
        <f>IF(TrRoad_act!G5=0,0,G19/TrRoad_act!G5*1000)</f>
        <v>37.512821034729456</v>
      </c>
      <c r="H89" s="152">
        <f>IF(TrRoad_act!H5=0,0,H19/TrRoad_act!H5*1000)</f>
        <v>37.067728940892202</v>
      </c>
      <c r="I89" s="152">
        <f>IF(TrRoad_act!I5=0,0,I19/TrRoad_act!I5*1000)</f>
        <v>36.454368038688315</v>
      </c>
      <c r="J89" s="152">
        <f>IF(TrRoad_act!J5=0,0,J19/TrRoad_act!J5*1000)</f>
        <v>37.366377092158061</v>
      </c>
      <c r="K89" s="152">
        <f>IF(TrRoad_act!K5=0,0,K19/TrRoad_act!K5*1000)</f>
        <v>34.753830292844349</v>
      </c>
      <c r="L89" s="152">
        <f>IF(TrRoad_act!L5=0,0,L19/TrRoad_act!L5*1000)</f>
        <v>34.28102982769267</v>
      </c>
      <c r="M89" s="152">
        <f>IF(TrRoad_act!M5=0,0,M19/TrRoad_act!M5*1000)</f>
        <v>33.757061954341836</v>
      </c>
      <c r="N89" s="152">
        <f>IF(TrRoad_act!N5=0,0,N19/TrRoad_act!N5*1000)</f>
        <v>33.582363492338224</v>
      </c>
      <c r="O89" s="152">
        <f>IF(TrRoad_act!O5=0,0,O19/TrRoad_act!O5*1000)</f>
        <v>33.369046062065124</v>
      </c>
      <c r="P89" s="152">
        <f>IF(TrRoad_act!P5=0,0,P19/TrRoad_act!P5*1000)</f>
        <v>32.941257382309736</v>
      </c>
      <c r="Q89" s="152">
        <f>IF(TrRoad_act!Q5=0,0,Q19/TrRoad_act!Q5*1000)</f>
        <v>32.476091427099178</v>
      </c>
      <c r="R89" s="152">
        <f>IF(TrRoad_act!R5=0,0,R19/TrRoad_act!R5*1000)</f>
        <v>32.204025696567413</v>
      </c>
      <c r="S89" s="152">
        <f>IF(TrRoad_act!S5=0,0,S19/TrRoad_act!S5*1000)</f>
        <v>31.91091702761236</v>
      </c>
      <c r="T89" s="152">
        <f>IF(TrRoad_act!T5=0,0,T19/TrRoad_act!T5*1000)</f>
        <v>31.793577684926689</v>
      </c>
      <c r="U89" s="152">
        <f>IF(TrRoad_act!U5=0,0,U19/TrRoad_act!U5*1000)</f>
        <v>31.631714349864108</v>
      </c>
      <c r="V89" s="152">
        <f>IF(TrRoad_act!V5=0,0,V19/TrRoad_act!V5*1000)</f>
        <v>31.571540094208768</v>
      </c>
      <c r="W89" s="152">
        <f>IF(TrRoad_act!W5=0,0,W19/TrRoad_act!W5*1000)</f>
        <v>30.101698534964843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39.893206316809732</v>
      </c>
      <c r="C90" s="116">
        <f>IF(TrRoad_act!C6=0,0,C21/TrRoad_act!C6*1000)</f>
        <v>38.46467937430662</v>
      </c>
      <c r="D90" s="116">
        <f>IF(TrRoad_act!D6=0,0,D21/TrRoad_act!D6*1000)</f>
        <v>37.022430119321299</v>
      </c>
      <c r="E90" s="116">
        <f>IF(TrRoad_act!E6=0,0,E21/TrRoad_act!E6*1000)</f>
        <v>37.78350220304133</v>
      </c>
      <c r="F90" s="116">
        <f>IF(TrRoad_act!F6=0,0,F21/TrRoad_act!F6*1000)</f>
        <v>40.87985187514677</v>
      </c>
      <c r="G90" s="116">
        <f>IF(TrRoad_act!G6=0,0,G21/TrRoad_act!G6*1000)</f>
        <v>39.829543950649011</v>
      </c>
      <c r="H90" s="116">
        <f>IF(TrRoad_act!H6=0,0,H21/TrRoad_act!H6*1000)</f>
        <v>43.677763543859477</v>
      </c>
      <c r="I90" s="116">
        <f>IF(TrRoad_act!I6=0,0,I21/TrRoad_act!I6*1000)</f>
        <v>46.550765861287523</v>
      </c>
      <c r="J90" s="116">
        <f>IF(TrRoad_act!J6=0,0,J21/TrRoad_act!J6*1000)</f>
        <v>46.985270149085281</v>
      </c>
      <c r="K90" s="116">
        <f>IF(TrRoad_act!K6=0,0,K21/TrRoad_act!K6*1000)</f>
        <v>46.506103677359199</v>
      </c>
      <c r="L90" s="116">
        <f>IF(TrRoad_act!L6=0,0,L21/TrRoad_act!L6*1000)</f>
        <v>47.617834567072229</v>
      </c>
      <c r="M90" s="116">
        <f>IF(TrRoad_act!M6=0,0,M21/TrRoad_act!M6*1000)</f>
        <v>48.084582691692631</v>
      </c>
      <c r="N90" s="116">
        <f>IF(TrRoad_act!N6=0,0,N21/TrRoad_act!N6*1000)</f>
        <v>47.634739932952876</v>
      </c>
      <c r="O90" s="116">
        <f>IF(TrRoad_act!O6=0,0,O21/TrRoad_act!O6*1000)</f>
        <v>44.279126480572309</v>
      </c>
      <c r="P90" s="116">
        <f>IF(TrRoad_act!P6=0,0,P21/TrRoad_act!P6*1000)</f>
        <v>43.228822239961147</v>
      </c>
      <c r="Q90" s="116">
        <f>IF(TrRoad_act!Q6=0,0,Q21/TrRoad_act!Q6*1000)</f>
        <v>44.691992111621197</v>
      </c>
      <c r="R90" s="116">
        <f>IF(TrRoad_act!R6=0,0,R21/TrRoad_act!R6*1000)</f>
        <v>45.554301734985906</v>
      </c>
      <c r="S90" s="116">
        <f>IF(TrRoad_act!S6=0,0,S21/TrRoad_act!S6*1000)</f>
        <v>49.109695218516421</v>
      </c>
      <c r="T90" s="116">
        <f>IF(TrRoad_act!T6=0,0,T21/TrRoad_act!T6*1000)</f>
        <v>50.666329802707892</v>
      </c>
      <c r="U90" s="116">
        <f>IF(TrRoad_act!U6=0,0,U21/TrRoad_act!U6*1000)</f>
        <v>51.086380993814352</v>
      </c>
      <c r="V90" s="116">
        <f>IF(TrRoad_act!V6=0,0,V21/TrRoad_act!V6*1000)</f>
        <v>50.892133120985172</v>
      </c>
      <c r="W90" s="116">
        <f>IF(TrRoad_act!W6=0,0,W21/TrRoad_act!W6*1000)</f>
        <v>49.130635027208676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39.765600283602147</v>
      </c>
      <c r="C91" s="87">
        <f>IF(TrRoad_act!C7=0,0,C22/TrRoad_act!C7*1000)</f>
        <v>38.499582967650603</v>
      </c>
      <c r="D91" s="87">
        <f>IF(TrRoad_act!D7=0,0,D22/TrRoad_act!D7*1000)</f>
        <v>36.13331356934269</v>
      </c>
      <c r="E91" s="87">
        <f>IF(TrRoad_act!E7=0,0,E22/TrRoad_act!E7*1000)</f>
        <v>37.060286808869115</v>
      </c>
      <c r="F91" s="87">
        <f>IF(TrRoad_act!F7=0,0,F22/TrRoad_act!F7*1000)</f>
        <v>40.726134158141008</v>
      </c>
      <c r="G91" s="87">
        <f>IF(TrRoad_act!G7=0,0,G22/TrRoad_act!G7*1000)</f>
        <v>38.117930163996412</v>
      </c>
      <c r="H91" s="87">
        <f>IF(TrRoad_act!H7=0,0,H22/TrRoad_act!H7*1000)</f>
        <v>41.567281334092797</v>
      </c>
      <c r="I91" s="87">
        <f>IF(TrRoad_act!I7=0,0,I22/TrRoad_act!I7*1000)</f>
        <v>45.14926709154755</v>
      </c>
      <c r="J91" s="87">
        <f>IF(TrRoad_act!J7=0,0,J22/TrRoad_act!J7*1000)</f>
        <v>47.441986988609408</v>
      </c>
      <c r="K91" s="87">
        <f>IF(TrRoad_act!K7=0,0,K22/TrRoad_act!K7*1000)</f>
        <v>49.177597019367731</v>
      </c>
      <c r="L91" s="87">
        <f>IF(TrRoad_act!L7=0,0,L22/TrRoad_act!L7*1000)</f>
        <v>51.494947259675961</v>
      </c>
      <c r="M91" s="87">
        <f>IF(TrRoad_act!M7=0,0,M22/TrRoad_act!M7*1000)</f>
        <v>51.417846321426659</v>
      </c>
      <c r="N91" s="87">
        <f>IF(TrRoad_act!N7=0,0,N22/TrRoad_act!N7*1000)</f>
        <v>49.290654150282975</v>
      </c>
      <c r="O91" s="87">
        <f>IF(TrRoad_act!O7=0,0,O22/TrRoad_act!O7*1000)</f>
        <v>45.450960748123791</v>
      </c>
      <c r="P91" s="87">
        <f>IF(TrRoad_act!P7=0,0,P22/TrRoad_act!P7*1000)</f>
        <v>44.42329691146174</v>
      </c>
      <c r="Q91" s="87">
        <f>IF(TrRoad_act!Q7=0,0,Q22/TrRoad_act!Q7*1000)</f>
        <v>46.296341711512532</v>
      </c>
      <c r="R91" s="87">
        <f>IF(TrRoad_act!R7=0,0,R22/TrRoad_act!R7*1000)</f>
        <v>48.373041009158271</v>
      </c>
      <c r="S91" s="87">
        <f>IF(TrRoad_act!S7=0,0,S22/TrRoad_act!S7*1000)</f>
        <v>51.112909052832684</v>
      </c>
      <c r="T91" s="87">
        <f>IF(TrRoad_act!T7=0,0,T22/TrRoad_act!T7*1000)</f>
        <v>53.193697228350679</v>
      </c>
      <c r="U91" s="87">
        <f>IF(TrRoad_act!U7=0,0,U22/TrRoad_act!U7*1000)</f>
        <v>53.113519593682454</v>
      </c>
      <c r="V91" s="87">
        <f>IF(TrRoad_act!V7=0,0,V22/TrRoad_act!V7*1000)</f>
        <v>52.594312631144348</v>
      </c>
      <c r="W91" s="87">
        <f>IF(TrRoad_act!W7=0,0,W22/TrRoad_act!W7*1000)</f>
        <v>50.691179148300591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37.341149817718915</v>
      </c>
      <c r="C92" s="87">
        <f>IF(TrRoad_act!C8=0,0,C24/TrRoad_act!C8*1000)</f>
        <v>35.043631479124919</v>
      </c>
      <c r="D92" s="87">
        <f>IF(TrRoad_act!D8=0,0,D24/TrRoad_act!D8*1000)</f>
        <v>34.86710062297125</v>
      </c>
      <c r="E92" s="87">
        <f>IF(TrRoad_act!E8=0,0,E24/TrRoad_act!E8*1000)</f>
        <v>35.803655415451544</v>
      </c>
      <c r="F92" s="87">
        <f>IF(TrRoad_act!F8=0,0,F24/TrRoad_act!F8*1000)</f>
        <v>36.689145514017468</v>
      </c>
      <c r="G92" s="87">
        <f>IF(TrRoad_act!G8=0,0,G24/TrRoad_act!G8*1000)</f>
        <v>38.133239107970411</v>
      </c>
      <c r="H92" s="87">
        <f>IF(TrRoad_act!H8=0,0,H24/TrRoad_act!H8*1000)</f>
        <v>43.383828347716531</v>
      </c>
      <c r="I92" s="87">
        <f>IF(TrRoad_act!I8=0,0,I24/TrRoad_act!I8*1000)</f>
        <v>46.14208908667235</v>
      </c>
      <c r="J92" s="87">
        <f>IF(TrRoad_act!J8=0,0,J24/TrRoad_act!J8*1000)</f>
        <v>44.956433641577192</v>
      </c>
      <c r="K92" s="87">
        <f>IF(TrRoad_act!K8=0,0,K24/TrRoad_act!K8*1000)</f>
        <v>44.667915958509852</v>
      </c>
      <c r="L92" s="87">
        <f>IF(TrRoad_act!L8=0,0,L24/TrRoad_act!L8*1000)</f>
        <v>47.007888081485149</v>
      </c>
      <c r="M92" s="87">
        <f>IF(TrRoad_act!M8=0,0,M24/TrRoad_act!M8*1000)</f>
        <v>46.45157632845595</v>
      </c>
      <c r="N92" s="87">
        <f>IF(TrRoad_act!N8=0,0,N24/TrRoad_act!N8*1000)</f>
        <v>44.378409113030635</v>
      </c>
      <c r="O92" s="87">
        <f>IF(TrRoad_act!O8=0,0,O24/TrRoad_act!O8*1000)</f>
        <v>40.463105075685874</v>
      </c>
      <c r="P92" s="87">
        <f>IF(TrRoad_act!P8=0,0,P24/TrRoad_act!P8*1000)</f>
        <v>39.129372903179622</v>
      </c>
      <c r="Q92" s="87">
        <f>IF(TrRoad_act!Q8=0,0,Q24/TrRoad_act!Q8*1000)</f>
        <v>40.610785367733506</v>
      </c>
      <c r="R92" s="87">
        <f>IF(TrRoad_act!R8=0,0,R24/TrRoad_act!R8*1000)</f>
        <v>41.853733857080201</v>
      </c>
      <c r="S92" s="87">
        <f>IF(TrRoad_act!S8=0,0,S24/TrRoad_act!S8*1000)</f>
        <v>46.407316883168996</v>
      </c>
      <c r="T92" s="87">
        <f>IF(TrRoad_act!T8=0,0,T24/TrRoad_act!T8*1000)</f>
        <v>48.723112078211528</v>
      </c>
      <c r="U92" s="87">
        <f>IF(TrRoad_act!U8=0,0,U24/TrRoad_act!U8*1000)</f>
        <v>48.729332147582959</v>
      </c>
      <c r="V92" s="87">
        <f>IF(TrRoad_act!V8=0,0,V24/TrRoad_act!V8*1000)</f>
        <v>49.37300886438296</v>
      </c>
      <c r="W92" s="87">
        <f>IF(TrRoad_act!W8=0,0,W24/TrRoad_act!W8*1000)</f>
        <v>46.448294370304538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46.312159558671389</v>
      </c>
      <c r="C93" s="87">
        <f>IF(TrRoad_act!C9=0,0,C26/TrRoad_act!C9*1000)</f>
        <v>43.279030876902759</v>
      </c>
      <c r="D93" s="87">
        <f>IF(TrRoad_act!D9=0,0,D26/TrRoad_act!D9*1000)</f>
        <v>43.475966844114858</v>
      </c>
      <c r="E93" s="87">
        <f>IF(TrRoad_act!E9=0,0,E26/TrRoad_act!E9*1000)</f>
        <v>42.021491499423014</v>
      </c>
      <c r="F93" s="87">
        <f>IF(TrRoad_act!F9=0,0,F26/TrRoad_act!F9*1000)</f>
        <v>45.371459261656177</v>
      </c>
      <c r="G93" s="87">
        <f>IF(TrRoad_act!G9=0,0,G26/TrRoad_act!G9*1000)</f>
        <v>45.236302513823745</v>
      </c>
      <c r="H93" s="87">
        <f>IF(TrRoad_act!H9=0,0,H26/TrRoad_act!H9*1000)</f>
        <v>48.8665537879669</v>
      </c>
      <c r="I93" s="87">
        <f>IF(TrRoad_act!I9=0,0,I26/TrRoad_act!I9*1000)</f>
        <v>50.092939745983422</v>
      </c>
      <c r="J93" s="87">
        <f>IF(TrRoad_act!J9=0,0,J26/TrRoad_act!J9*1000)</f>
        <v>49.137320859822204</v>
      </c>
      <c r="K93" s="87">
        <f>IF(TrRoad_act!K9=0,0,K26/TrRoad_act!K9*1000)</f>
        <v>44.295508478623042</v>
      </c>
      <c r="L93" s="87">
        <f>IF(TrRoad_act!L9=0,0,L26/TrRoad_act!L9*1000)</f>
        <v>41.743342544018638</v>
      </c>
      <c r="M93" s="87">
        <f>IF(TrRoad_act!M9=0,0,M26/TrRoad_act!M9*1000)</f>
        <v>45.390759483036767</v>
      </c>
      <c r="N93" s="87">
        <f>IF(TrRoad_act!N9=0,0,N26/TrRoad_act!N9*1000)</f>
        <v>53.192128169594284</v>
      </c>
      <c r="O93" s="87">
        <f>IF(TrRoad_act!O9=0,0,O26/TrRoad_act!O9*1000)</f>
        <v>52.49645179133968</v>
      </c>
      <c r="P93" s="87">
        <f>IF(TrRoad_act!P9=0,0,P26/TrRoad_act!P9*1000)</f>
        <v>52.833157681788194</v>
      </c>
      <c r="Q93" s="87">
        <f>IF(TrRoad_act!Q9=0,0,Q26/TrRoad_act!Q9*1000)</f>
        <v>53.509233908389113</v>
      </c>
      <c r="R93" s="87">
        <f>IF(TrRoad_act!R9=0,0,R26/TrRoad_act!R9*1000)</f>
        <v>50.518890479159587</v>
      </c>
      <c r="S93" s="87">
        <f>IF(TrRoad_act!S9=0,0,S26/TrRoad_act!S9*1000)</f>
        <v>52.975597278958276</v>
      </c>
      <c r="T93" s="87">
        <f>IF(TrRoad_act!T9=0,0,T26/TrRoad_act!T9*1000)</f>
        <v>51.324034689658724</v>
      </c>
      <c r="U93" s="87">
        <f>IF(TrRoad_act!U9=0,0,U26/TrRoad_act!U9*1000)</f>
        <v>54.019842197673654</v>
      </c>
      <c r="V93" s="87">
        <f>IF(TrRoad_act!V9=0,0,V26/TrRoad_act!V9*1000)</f>
        <v>52.279002102501551</v>
      </c>
      <c r="W93" s="87">
        <f>IF(TrRoad_act!W9=0,0,W26/TrRoad_act!W9*1000)</f>
        <v>53.645719333840518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40.146310322618952</v>
      </c>
      <c r="R94" s="87">
        <f>IF(TrRoad_act!R10=0,0,R27/TrRoad_act!R10*1000)</f>
        <v>40.055930579968376</v>
      </c>
      <c r="S94" s="87">
        <f>IF(TrRoad_act!S10=0,0,S27/TrRoad_act!S10*1000)</f>
        <v>42.876727000306403</v>
      </c>
      <c r="T94" s="87">
        <f>IF(TrRoad_act!T10=0,0,T27/TrRoad_act!T10*1000)</f>
        <v>45.718032591169681</v>
      </c>
      <c r="U94" s="87">
        <f>IF(TrRoad_act!U10=0,0,U27/TrRoad_act!U10*1000)</f>
        <v>46.513155907789077</v>
      </c>
      <c r="V94" s="87">
        <f>IF(TrRoad_act!V10=0,0,V27/TrRoad_act!V10*1000)</f>
        <v>49.136016531752723</v>
      </c>
      <c r="W94" s="87">
        <f>IF(TrRoad_act!W10=0,0,W27/TrRoad_act!W10*1000)</f>
        <v>47.257021699757175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17.640484898196998</v>
      </c>
      <c r="O95" s="87">
        <f>IF(TrRoad_act!O11=0,0,O29/TrRoad_act!O11*1000)</f>
        <v>19.91228501762739</v>
      </c>
      <c r="P95" s="87">
        <f>IF(TrRoad_act!P11=0,0,P29/TrRoad_act!P11*1000)</f>
        <v>34.698195436093378</v>
      </c>
      <c r="Q95" s="87">
        <f>IF(TrRoad_act!Q11=0,0,Q29/TrRoad_act!Q11*1000)</f>
        <v>22.307856960544637</v>
      </c>
      <c r="R95" s="87">
        <f>IF(TrRoad_act!R11=0,0,R29/TrRoad_act!R11*1000)</f>
        <v>21.700924043416027</v>
      </c>
      <c r="S95" s="87">
        <f>IF(TrRoad_act!S11=0,0,S29/TrRoad_act!S11*1000)</f>
        <v>23.691862076570381</v>
      </c>
      <c r="T95" s="87">
        <f>IF(TrRoad_act!T11=0,0,T29/TrRoad_act!T11*1000)</f>
        <v>27.032573227526292</v>
      </c>
      <c r="U95" s="87">
        <f>IF(TrRoad_act!U11=0,0,U29/TrRoad_act!U11*1000)</f>
        <v>27.01328192047697</v>
      </c>
      <c r="V95" s="87">
        <f>IF(TrRoad_act!V11=0,0,V29/TrRoad_act!V11*1000)</f>
        <v>29.019329472269948</v>
      </c>
      <c r="W95" s="87">
        <f>IF(TrRoad_act!W11=0,0,W29/TrRoad_act!W11*1000)</f>
        <v>36.928823596664017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10.287081570162625</v>
      </c>
      <c r="M96" s="87">
        <f>IF(TrRoad_act!M12=0,0,M32/TrRoad_act!M12*1000)</f>
        <v>10.556329062105336</v>
      </c>
      <c r="N96" s="87">
        <f>IF(TrRoad_act!N12=0,0,N32/TrRoad_act!N12*1000)</f>
        <v>10.10119114216965</v>
      </c>
      <c r="O96" s="87">
        <f>IF(TrRoad_act!O12=0,0,O32/TrRoad_act!O12*1000)</f>
        <v>9.4713148471323674</v>
      </c>
      <c r="P96" s="87">
        <f>IF(TrRoad_act!P12=0,0,P32/TrRoad_act!P12*1000)</f>
        <v>9.2154544457751761</v>
      </c>
      <c r="Q96" s="87">
        <f>IF(TrRoad_act!Q12=0,0,Q32/TrRoad_act!Q12*1000)</f>
        <v>9.5556183034839997</v>
      </c>
      <c r="R96" s="87">
        <f>IF(TrRoad_act!R12=0,0,R32/TrRoad_act!R12*1000)</f>
        <v>8.9637518091779658</v>
      </c>
      <c r="S96" s="87">
        <f>IF(TrRoad_act!S12=0,0,S32/TrRoad_act!S12*1000)</f>
        <v>12.341803857528449</v>
      </c>
      <c r="T96" s="87">
        <f>IF(TrRoad_act!T12=0,0,T32/TrRoad_act!T12*1000)</f>
        <v>13.259673857106892</v>
      </c>
      <c r="U96" s="87">
        <f>IF(TrRoad_act!U12=0,0,U32/TrRoad_act!U12*1000)</f>
        <v>13.58525540861404</v>
      </c>
      <c r="V96" s="87">
        <f>IF(TrRoad_act!V12=0,0,V32/TrRoad_act!V12*1000)</f>
        <v>14.915502561132643</v>
      </c>
      <c r="W96" s="87">
        <f>IF(TrRoad_act!W12=0,0,W32/TrRoad_act!W12*1000)</f>
        <v>14.397364128137569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16.748431642942805</v>
      </c>
      <c r="C97" s="116">
        <f>IF(TrRoad_act!C13=0,0,C33/TrRoad_act!C13*1000)</f>
        <v>16.615575339467849</v>
      </c>
      <c r="D97" s="116">
        <f>IF(TrRoad_act!D13=0,0,D33/TrRoad_act!D13*1000)</f>
        <v>17.232362381751905</v>
      </c>
      <c r="E97" s="116">
        <f>IF(TrRoad_act!E13=0,0,E33/TrRoad_act!E13*1000)</f>
        <v>16.663793123111279</v>
      </c>
      <c r="F97" s="116">
        <f>IF(TrRoad_act!F13=0,0,F33/TrRoad_act!F13*1000)</f>
        <v>17.744103143489511</v>
      </c>
      <c r="G97" s="116">
        <f>IF(TrRoad_act!G13=0,0,G33/TrRoad_act!G13*1000)</f>
        <v>18.013866824862301</v>
      </c>
      <c r="H97" s="116">
        <f>IF(TrRoad_act!H13=0,0,H33/TrRoad_act!H13*1000)</f>
        <v>17.333850818212763</v>
      </c>
      <c r="I97" s="116">
        <f>IF(TrRoad_act!I13=0,0,I33/TrRoad_act!I13*1000)</f>
        <v>17.891402809011808</v>
      </c>
      <c r="J97" s="116">
        <f>IF(TrRoad_act!J13=0,0,J33/TrRoad_act!J13*1000)</f>
        <v>17.46797819247498</v>
      </c>
      <c r="K97" s="116">
        <f>IF(TrRoad_act!K13=0,0,K33/TrRoad_act!K13*1000)</f>
        <v>19.134293535690418</v>
      </c>
      <c r="L97" s="116">
        <f>IF(TrRoad_act!L13=0,0,L33/TrRoad_act!L13*1000)</f>
        <v>20.040585475074462</v>
      </c>
      <c r="M97" s="116">
        <f>IF(TrRoad_act!M13=0,0,M33/TrRoad_act!M13*1000)</f>
        <v>21.118882738270585</v>
      </c>
      <c r="N97" s="116">
        <f>IF(TrRoad_act!N13=0,0,N33/TrRoad_act!N13*1000)</f>
        <v>21.066829577274905</v>
      </c>
      <c r="O97" s="116">
        <f>IF(TrRoad_act!O13=0,0,O33/TrRoad_act!O13*1000)</f>
        <v>22.194105897329671</v>
      </c>
      <c r="P97" s="116">
        <f>IF(TrRoad_act!P13=0,0,P33/TrRoad_act!P13*1000)</f>
        <v>21.928756631975212</v>
      </c>
      <c r="Q97" s="116">
        <f>IF(TrRoad_act!Q13=0,0,Q33/TrRoad_act!Q13*1000)</f>
        <v>26.642180722035455</v>
      </c>
      <c r="R97" s="116">
        <f>IF(TrRoad_act!R13=0,0,R33/TrRoad_act!R13*1000)</f>
        <v>26.791697456833546</v>
      </c>
      <c r="S97" s="116">
        <f>IF(TrRoad_act!S13=0,0,S33/TrRoad_act!S13*1000)</f>
        <v>26.918617284319364</v>
      </c>
      <c r="T97" s="116">
        <f>IF(TrRoad_act!T13=0,0,T33/TrRoad_act!T13*1000)</f>
        <v>27.051427326708954</v>
      </c>
      <c r="U97" s="116">
        <f>IF(TrRoad_act!U13=0,0,U33/TrRoad_act!U13*1000)</f>
        <v>27.211845868224838</v>
      </c>
      <c r="V97" s="116">
        <f>IF(TrRoad_act!V13=0,0,V33/TrRoad_act!V13*1000)</f>
        <v>50.737674233687592</v>
      </c>
      <c r="W97" s="116">
        <f>IF(TrRoad_act!W13=0,0,W33/TrRoad_act!W13*1000)</f>
        <v>46.651800574890082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16.857435707904557</v>
      </c>
      <c r="C99" s="101">
        <f>IF(TrRoad_act!C15=0,0,C36/TrRoad_act!C15*1000)</f>
        <v>16.711588706096464</v>
      </c>
      <c r="D99" s="101">
        <f>IF(TrRoad_act!D15=0,0,D36/TrRoad_act!D15*1000)</f>
        <v>17.324442085110412</v>
      </c>
      <c r="E99" s="101">
        <f>IF(TrRoad_act!E15=0,0,E36/TrRoad_act!E15*1000)</f>
        <v>16.736416750078089</v>
      </c>
      <c r="F99" s="101">
        <f>IF(TrRoad_act!F15=0,0,F36/TrRoad_act!F15*1000)</f>
        <v>17.883855080608029</v>
      </c>
      <c r="G99" s="101">
        <f>IF(TrRoad_act!G15=0,0,G36/TrRoad_act!G15*1000)</f>
        <v>18.237808374351786</v>
      </c>
      <c r="H99" s="101">
        <f>IF(TrRoad_act!H15=0,0,H36/TrRoad_act!H15*1000)</f>
        <v>17.538045309835397</v>
      </c>
      <c r="I99" s="101">
        <f>IF(TrRoad_act!I15=0,0,I36/TrRoad_act!I15*1000)</f>
        <v>18.085725817633509</v>
      </c>
      <c r="J99" s="101">
        <f>IF(TrRoad_act!J15=0,0,J36/TrRoad_act!J15*1000)</f>
        <v>17.647787013233295</v>
      </c>
      <c r="K99" s="101">
        <f>IF(TrRoad_act!K15=0,0,K36/TrRoad_act!K15*1000)</f>
        <v>19.317887886875273</v>
      </c>
      <c r="L99" s="101">
        <f>IF(TrRoad_act!L15=0,0,L36/TrRoad_act!L15*1000)</f>
        <v>20.226391534732997</v>
      </c>
      <c r="M99" s="101">
        <f>IF(TrRoad_act!M15=0,0,M36/TrRoad_act!M15*1000)</f>
        <v>21.304018222002657</v>
      </c>
      <c r="N99" s="101">
        <f>IF(TrRoad_act!N15=0,0,N36/TrRoad_act!N15*1000)</f>
        <v>21.245874433080974</v>
      </c>
      <c r="O99" s="101">
        <f>IF(TrRoad_act!O15=0,0,O36/TrRoad_act!O15*1000)</f>
        <v>22.383806428272244</v>
      </c>
      <c r="P99" s="101">
        <f>IF(TrRoad_act!P15=0,0,P36/TrRoad_act!P15*1000)</f>
        <v>22.110895022726687</v>
      </c>
      <c r="Q99" s="101">
        <f>IF(TrRoad_act!Q15=0,0,Q36/TrRoad_act!Q15*1000)</f>
        <v>26.888759493866349</v>
      </c>
      <c r="R99" s="101">
        <f>IF(TrRoad_act!R15=0,0,R36/TrRoad_act!R15*1000)</f>
        <v>27.056850020780406</v>
      </c>
      <c r="S99" s="101">
        <f>IF(TrRoad_act!S15=0,0,S36/TrRoad_act!S15*1000)</f>
        <v>27.218442361862159</v>
      </c>
      <c r="T99" s="101">
        <f>IF(TrRoad_act!T15=0,0,T36/TrRoad_act!T15*1000)</f>
        <v>27.343719905347644</v>
      </c>
      <c r="U99" s="101">
        <f>IF(TrRoad_act!U15=0,0,U36/TrRoad_act!U15*1000)</f>
        <v>27.500085076504984</v>
      </c>
      <c r="V99" s="101">
        <f>IF(TrRoad_act!V15=0,0,V36/TrRoad_act!V15*1000)</f>
        <v>51.559714857483513</v>
      </c>
      <c r="W99" s="101">
        <f>IF(TrRoad_act!W15=0,0,W36/TrRoad_act!W15*1000)</f>
        <v>47.465112011637153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12.90028358915794</v>
      </c>
      <c r="C100" s="101">
        <f>IF(TrRoad_act!C16=0,0,C38/TrRoad_act!C16*1000)</f>
        <v>13.487448454295739</v>
      </c>
      <c r="D100" s="101">
        <f>IF(TrRoad_act!D16=0,0,D38/TrRoad_act!D16*1000)</f>
        <v>14.226703636706594</v>
      </c>
      <c r="E100" s="101">
        <f>IF(TrRoad_act!E16=0,0,E38/TrRoad_act!E16*1000)</f>
        <v>13.901372384311454</v>
      </c>
      <c r="F100" s="101">
        <f>IF(TrRoad_act!F16=0,0,F38/TrRoad_act!F16*1000)</f>
        <v>14.267520499113759</v>
      </c>
      <c r="G100" s="101">
        <f>IF(TrRoad_act!G16=0,0,G38/TrRoad_act!G16*1000)</f>
        <v>14.720984324129784</v>
      </c>
      <c r="H100" s="101">
        <f>IF(TrRoad_act!H16=0,0,H38/TrRoad_act!H16*1000)</f>
        <v>14.3390209421432</v>
      </c>
      <c r="I100" s="101">
        <f>IF(TrRoad_act!I16=0,0,I38/TrRoad_act!I16*1000)</f>
        <v>14.879801612525535</v>
      </c>
      <c r="J100" s="101">
        <f>IF(TrRoad_act!J16=0,0,J38/TrRoad_act!J16*1000)</f>
        <v>14.614214968447072</v>
      </c>
      <c r="K100" s="101">
        <f>IF(TrRoad_act!K16=0,0,K38/TrRoad_act!K16*1000)</f>
        <v>16.010719261444944</v>
      </c>
      <c r="L100" s="101">
        <f>IF(TrRoad_act!L16=0,0,L38/TrRoad_act!L16*1000)</f>
        <v>16.750082626724645</v>
      </c>
      <c r="M100" s="101">
        <f>IF(TrRoad_act!M16=0,0,M38/TrRoad_act!M16*1000)</f>
        <v>17.569657529419647</v>
      </c>
      <c r="N100" s="101">
        <f>IF(TrRoad_act!N16=0,0,N38/TrRoad_act!N16*1000)</f>
        <v>17.447959152265305</v>
      </c>
      <c r="O100" s="101">
        <f>IF(TrRoad_act!O16=0,0,O38/TrRoad_act!O16*1000)</f>
        <v>18.279703119107577</v>
      </c>
      <c r="P100" s="101">
        <f>IF(TrRoad_act!P16=0,0,P38/TrRoad_act!P16*1000)</f>
        <v>17.9508656317877</v>
      </c>
      <c r="Q100" s="101">
        <f>IF(TrRoad_act!Q16=0,0,Q38/TrRoad_act!Q16*1000)</f>
        <v>21.597640099598078</v>
      </c>
      <c r="R100" s="101">
        <f>IF(TrRoad_act!R16=0,0,R38/TrRoad_act!R16*1000)</f>
        <v>21.60571719736441</v>
      </c>
      <c r="S100" s="101">
        <f>IF(TrRoad_act!S16=0,0,S38/TrRoad_act!S16*1000)</f>
        <v>21.627794352898793</v>
      </c>
      <c r="T100" s="101">
        <f>IF(TrRoad_act!T16=0,0,T38/TrRoad_act!T16*1000)</f>
        <v>21.959149326432726</v>
      </c>
      <c r="U100" s="101">
        <f>IF(TrRoad_act!U16=0,0,U38/TrRoad_act!U16*1000)</f>
        <v>22.016532240407159</v>
      </c>
      <c r="V100" s="101">
        <f>IF(TrRoad_act!V16=0,0,V38/TrRoad_act!V16*1000)</f>
        <v>41.160849835160441</v>
      </c>
      <c r="W100" s="101">
        <f>IF(TrRoad_act!W16=0,0,W38/TrRoad_act!W16*1000)</f>
        <v>37.813875710942497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23.051303885120511</v>
      </c>
      <c r="R101" s="101">
        <f>IF(TrRoad_act!R17=0,0,R39/TrRoad_act!R17*1000)</f>
        <v>21.481573042948007</v>
      </c>
      <c r="S101" s="101">
        <f>IF(TrRoad_act!S17=0,0,S39/TrRoad_act!S17*1000)</f>
        <v>17.14468140277781</v>
      </c>
      <c r="T101" s="101">
        <f>IF(TrRoad_act!T17=0,0,T39/TrRoad_act!T17*1000)</f>
        <v>18.12874041314447</v>
      </c>
      <c r="U101" s="101">
        <f>IF(TrRoad_act!U17=0,0,U39/TrRoad_act!U17*1000)</f>
        <v>18.292388347788226</v>
      </c>
      <c r="V101" s="101">
        <f>IF(TrRoad_act!V17=0,0,V39/TrRoad_act!V17*1000)</f>
        <v>31.66146800041836</v>
      </c>
      <c r="W101" s="101">
        <f>IF(TrRoad_act!W17=0,0,W39/TrRoad_act!W17*1000)</f>
        <v>35.836575541433248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8.6754931897458398</v>
      </c>
      <c r="C102" s="101">
        <f>IF(TrRoad_act!C18=0,0,C41/TrRoad_act!C18*1000)</f>
        <v>8.9559359512151868</v>
      </c>
      <c r="D102" s="101">
        <f>IF(TrRoad_act!D18=0,0,D41/TrRoad_act!D18*1000)</f>
        <v>9.4253366920783357</v>
      </c>
      <c r="E102" s="101">
        <f>IF(TrRoad_act!E18=0,0,E41/TrRoad_act!E18*1000)</f>
        <v>9.1800991256883222</v>
      </c>
      <c r="F102" s="101">
        <f>IF(TrRoad_act!F18=0,0,F41/TrRoad_act!F18*1000)</f>
        <v>9.9486744104363147</v>
      </c>
      <c r="G102" s="101">
        <f>IF(TrRoad_act!G18=0,0,G41/TrRoad_act!G18*1000)</f>
        <v>9.5867131931464993</v>
      </c>
      <c r="H102" s="101">
        <f>IF(TrRoad_act!H18=0,0,H41/TrRoad_act!H18*1000)</f>
        <v>9.3193747309092565</v>
      </c>
      <c r="I102" s="101">
        <f>IF(TrRoad_act!I18=0,0,I41/TrRoad_act!I18*1000)</f>
        <v>9.66972132196139</v>
      </c>
      <c r="J102" s="101">
        <f>IF(TrRoad_act!J18=0,0,J41/TrRoad_act!J18*1000)</f>
        <v>9.5006261569733308</v>
      </c>
      <c r="K102" s="101">
        <f>IF(TrRoad_act!K18=0,0,K41/TrRoad_act!K18*1000)</f>
        <v>10.41445156241886</v>
      </c>
      <c r="L102" s="101">
        <f>IF(TrRoad_act!L18=0,0,L41/TrRoad_act!L18*1000)</f>
        <v>10.903795946626438</v>
      </c>
      <c r="M102" s="101">
        <f>IF(TrRoad_act!M18=0,0,M41/TrRoad_act!M18*1000)</f>
        <v>11.452175898235975</v>
      </c>
      <c r="N102" s="101">
        <f>IF(TrRoad_act!N18=0,0,N41/TrRoad_act!N18*1000)</f>
        <v>11.356935923691681</v>
      </c>
      <c r="O102" s="101">
        <f>IF(TrRoad_act!O18=0,0,O41/TrRoad_act!O18*1000)</f>
        <v>11.90937929784933</v>
      </c>
      <c r="P102" s="101">
        <f>IF(TrRoad_act!P18=0,0,P41/TrRoad_act!P18*1000)</f>
        <v>11.69923182027771</v>
      </c>
      <c r="Q102" s="101">
        <f>IF(TrRoad_act!Q18=0,0,Q41/TrRoad_act!Q18*1000)</f>
        <v>14.138225236710698</v>
      </c>
      <c r="R102" s="101">
        <f>IF(TrRoad_act!R18=0,0,R41/TrRoad_act!R18*1000)</f>
        <v>14.18812518800774</v>
      </c>
      <c r="S102" s="101">
        <f>IF(TrRoad_act!S18=0,0,S41/TrRoad_act!S18*1000)</f>
        <v>14.327026958653438</v>
      </c>
      <c r="T102" s="101">
        <f>IF(TrRoad_act!T18=0,0,T41/TrRoad_act!T18*1000)</f>
        <v>14.425862079700682</v>
      </c>
      <c r="U102" s="101">
        <f>IF(TrRoad_act!U18=0,0,U41/TrRoad_act!U18*1000)</f>
        <v>14.57939504689165</v>
      </c>
      <c r="V102" s="101">
        <f>IF(TrRoad_act!V18=0,0,V41/TrRoad_act!V18*1000)</f>
        <v>27.18177337603008</v>
      </c>
      <c r="W102" s="101">
        <f>IF(TrRoad_act!W18=0,0,W41/TrRoad_act!W18*1000)</f>
        <v>24.873099953168936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37.887868045800843</v>
      </c>
      <c r="C103" s="29">
        <f>IF(TrRoad_act!C19=0,0,C42/TrRoad_act!C19*1000)</f>
        <v>38.425383672090859</v>
      </c>
      <c r="D103" s="29">
        <f>IF(TrRoad_act!D19=0,0,D42/TrRoad_act!D19*1000)</f>
        <v>34.555677421815666</v>
      </c>
      <c r="E103" s="29">
        <f>IF(TrRoad_act!E19=0,0,E42/TrRoad_act!E19*1000)</f>
        <v>40.038115093241814</v>
      </c>
      <c r="F103" s="29">
        <f>IF(TrRoad_act!F19=0,0,F42/TrRoad_act!F19*1000)</f>
        <v>41.892637588575205</v>
      </c>
      <c r="G103" s="29">
        <f>IF(TrRoad_act!G19=0,0,G42/TrRoad_act!G19*1000)</f>
        <v>48.900306561721166</v>
      </c>
      <c r="H103" s="29">
        <f>IF(TrRoad_act!H19=0,0,H42/TrRoad_act!H19*1000)</f>
        <v>52.040002515880495</v>
      </c>
      <c r="I103" s="29">
        <f>IF(TrRoad_act!I19=0,0,I42/TrRoad_act!I19*1000)</f>
        <v>55.969504463225995</v>
      </c>
      <c r="J103" s="29">
        <f>IF(TrRoad_act!J19=0,0,J42/TrRoad_act!J19*1000)</f>
        <v>56.422529629472002</v>
      </c>
      <c r="K103" s="29">
        <f>IF(TrRoad_act!K19=0,0,K42/TrRoad_act!K19*1000)</f>
        <v>53.818942377750048</v>
      </c>
      <c r="L103" s="29">
        <f>IF(TrRoad_act!L19=0,0,L42/TrRoad_act!L19*1000)</f>
        <v>54.470825523553842</v>
      </c>
      <c r="M103" s="29">
        <f>IF(TrRoad_act!M19=0,0,M42/TrRoad_act!M19*1000)</f>
        <v>51.262200221536368</v>
      </c>
      <c r="N103" s="29">
        <f>IF(TrRoad_act!N19=0,0,N42/TrRoad_act!N19*1000)</f>
        <v>45.392845530506811</v>
      </c>
      <c r="O103" s="29">
        <f>IF(TrRoad_act!O19=0,0,O42/TrRoad_act!O19*1000)</f>
        <v>37.209125208653013</v>
      </c>
      <c r="P103" s="29">
        <f>IF(TrRoad_act!P19=0,0,P42/TrRoad_act!P19*1000)</f>
        <v>38.69778255978779</v>
      </c>
      <c r="Q103" s="29">
        <f>IF(TrRoad_act!Q19=0,0,Q42/TrRoad_act!Q19*1000)</f>
        <v>37.689713177923537</v>
      </c>
      <c r="R103" s="29">
        <f>IF(TrRoad_act!R19=0,0,R42/TrRoad_act!R19*1000)</f>
        <v>43.525831956885874</v>
      </c>
      <c r="S103" s="29">
        <f>IF(TrRoad_act!S19=0,0,S42/TrRoad_act!S19*1000)</f>
        <v>48.205748006086722</v>
      </c>
      <c r="T103" s="29">
        <f>IF(TrRoad_act!T19=0,0,T42/TrRoad_act!T19*1000)</f>
        <v>52.940008527065608</v>
      </c>
      <c r="U103" s="29">
        <f>IF(TrRoad_act!U19=0,0,U42/TrRoad_act!U19*1000)</f>
        <v>50.127161084045682</v>
      </c>
      <c r="V103" s="29">
        <f>IF(TrRoad_act!V19=0,0,V42/TrRoad_act!V19*1000)</f>
        <v>47.100650327963351</v>
      </c>
      <c r="W103" s="29">
        <f>IF(TrRoad_act!W19=0,0,W42/TrRoad_act!W19*1000)</f>
        <v>52.612913403920778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499.79044813007721</v>
      </c>
      <c r="C104" s="152">
        <f>IF(TrRoad_act!C20=0,0,C43/TrRoad_act!C20*1000)</f>
        <v>484.82127210155176</v>
      </c>
      <c r="D104" s="152">
        <f>IF(TrRoad_act!D20=0,0,D43/TrRoad_act!D20*1000)</f>
        <v>473.73129626511974</v>
      </c>
      <c r="E104" s="152">
        <f>IF(TrRoad_act!E20=0,0,E43/TrRoad_act!E20*1000)</f>
        <v>467.3425777291647</v>
      </c>
      <c r="F104" s="152">
        <f>IF(TrRoad_act!F20=0,0,F43/TrRoad_act!F20*1000)</f>
        <v>459.3823308751401</v>
      </c>
      <c r="G104" s="152">
        <f>IF(TrRoad_act!G20=0,0,G43/TrRoad_act!G20*1000)</f>
        <v>449.32272590888385</v>
      </c>
      <c r="H104" s="152">
        <f>IF(TrRoad_act!H20=0,0,H43/TrRoad_act!H20*1000)</f>
        <v>444.50722373424037</v>
      </c>
      <c r="I104" s="152">
        <f>IF(TrRoad_act!I20=0,0,I43/TrRoad_act!I20*1000)</f>
        <v>437.20244578918334</v>
      </c>
      <c r="J104" s="152">
        <f>IF(TrRoad_act!J20=0,0,J43/TrRoad_act!J20*1000)</f>
        <v>430.07873428702845</v>
      </c>
      <c r="K104" s="152">
        <f>IF(TrRoad_act!K20=0,0,K43/TrRoad_act!K20*1000)</f>
        <v>427.11249337619358</v>
      </c>
      <c r="L104" s="152">
        <f>IF(TrRoad_act!L20=0,0,L43/TrRoad_act!L20*1000)</f>
        <v>422.32008606816299</v>
      </c>
      <c r="M104" s="152">
        <f>IF(TrRoad_act!M20=0,0,M43/TrRoad_act!M20*1000)</f>
        <v>419.87696652559538</v>
      </c>
      <c r="N104" s="152">
        <f>IF(TrRoad_act!N20=0,0,N43/TrRoad_act!N20*1000)</f>
        <v>416.40975429160335</v>
      </c>
      <c r="O104" s="152">
        <f>IF(TrRoad_act!O20=0,0,O43/TrRoad_act!O20*1000)</f>
        <v>411.92184150422804</v>
      </c>
      <c r="P104" s="152">
        <f>IF(TrRoad_act!P20=0,0,P43/TrRoad_act!P20*1000)</f>
        <v>408.9689882516775</v>
      </c>
      <c r="Q104" s="152">
        <f>IF(TrRoad_act!Q20=0,0,Q43/TrRoad_act!Q20*1000)</f>
        <v>404.6266146184123</v>
      </c>
      <c r="R104" s="152">
        <f>IF(TrRoad_act!R20=0,0,R43/TrRoad_act!R20*1000)</f>
        <v>402.92114514004817</v>
      </c>
      <c r="S104" s="152">
        <f>IF(TrRoad_act!S20=0,0,S43/TrRoad_act!S20*1000)</f>
        <v>400.91498457634623</v>
      </c>
      <c r="T104" s="152">
        <f>IF(TrRoad_act!T20=0,0,T43/TrRoad_act!T20*1000)</f>
        <v>400.00529157147565</v>
      </c>
      <c r="U104" s="152">
        <f>IF(TrRoad_act!U20=0,0,U43/TrRoad_act!U20*1000)</f>
        <v>396.33399712079182</v>
      </c>
      <c r="V104" s="152">
        <f>IF(TrRoad_act!V20=0,0,V43/TrRoad_act!V20*1000)</f>
        <v>393.97351778515144</v>
      </c>
      <c r="W104" s="152">
        <f>IF(TrRoad_act!W20=0,0,W43/TrRoad_act!W20*1000)</f>
        <v>392.48784055724281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522.06093888306202</v>
      </c>
      <c r="C105" s="87">
        <f>IF(TrRoad_act!C21=0,0,C44/TrRoad_act!C21*1000)</f>
        <v>514.53715710943152</v>
      </c>
      <c r="D105" s="87">
        <f>IF(TrRoad_act!D21=0,0,D44/TrRoad_act!D21*1000)</f>
        <v>511.08844156927404</v>
      </c>
      <c r="E105" s="87">
        <f>IF(TrRoad_act!E21=0,0,E44/TrRoad_act!E21*1000)</f>
        <v>506.26418256255192</v>
      </c>
      <c r="F105" s="87">
        <f>IF(TrRoad_act!F21=0,0,F44/TrRoad_act!F21*1000)</f>
        <v>500.82625054986494</v>
      </c>
      <c r="G105" s="87">
        <f>IF(TrRoad_act!G21=0,0,G44/TrRoad_act!G21*1000)</f>
        <v>493.62788737849706</v>
      </c>
      <c r="H105" s="87">
        <f>IF(TrRoad_act!H21=0,0,H44/TrRoad_act!H21*1000)</f>
        <v>489.02280780759492</v>
      </c>
      <c r="I105" s="87">
        <f>IF(TrRoad_act!I21=0,0,I44/TrRoad_act!I21*1000)</f>
        <v>480.16684964581651</v>
      </c>
      <c r="J105" s="87">
        <f>IF(TrRoad_act!J21=0,0,J44/TrRoad_act!J21*1000)</f>
        <v>467.9857926443089</v>
      </c>
      <c r="K105" s="87">
        <f>IF(TrRoad_act!K21=0,0,K44/TrRoad_act!K21*1000)</f>
        <v>469.07319254118556</v>
      </c>
      <c r="L105" s="87">
        <f>IF(TrRoad_act!L21=0,0,L44/TrRoad_act!L21*1000)</f>
        <v>457.76896106012845</v>
      </c>
      <c r="M105" s="87">
        <f>IF(TrRoad_act!M21=0,0,M44/TrRoad_act!M21*1000)</f>
        <v>449.77725916804604</v>
      </c>
      <c r="N105" s="87">
        <f>IF(TrRoad_act!N21=0,0,N44/TrRoad_act!N21*1000)</f>
        <v>443.45558365682297</v>
      </c>
      <c r="O105" s="87">
        <f>IF(TrRoad_act!O21=0,0,O44/TrRoad_act!O21*1000)</f>
        <v>432.67263541252669</v>
      </c>
      <c r="P105" s="87">
        <f>IF(TrRoad_act!P21=0,0,P44/TrRoad_act!P21*1000)</f>
        <v>424.69441953730336</v>
      </c>
      <c r="Q105" s="87">
        <f>IF(TrRoad_act!Q21=0,0,Q44/TrRoad_act!Q21*1000)</f>
        <v>411.69223649010985</v>
      </c>
      <c r="R105" s="87">
        <f>IF(TrRoad_act!R21=0,0,R44/TrRoad_act!R21*1000)</f>
        <v>410.27085860910921</v>
      </c>
      <c r="S105" s="87">
        <f>IF(TrRoad_act!S21=0,0,S44/TrRoad_act!S21*1000)</f>
        <v>406.7307069588108</v>
      </c>
      <c r="T105" s="87">
        <f>IF(TrRoad_act!T21=0,0,T44/TrRoad_act!T21*1000)</f>
        <v>403.49924776464371</v>
      </c>
      <c r="U105" s="87">
        <f>IF(TrRoad_act!U21=0,0,U44/TrRoad_act!U21*1000)</f>
        <v>404.63154964699737</v>
      </c>
      <c r="V105" s="87">
        <f>IF(TrRoad_act!V21=0,0,V44/TrRoad_act!V21*1000)</f>
        <v>396.67546883494322</v>
      </c>
      <c r="W105" s="87">
        <f>IF(TrRoad_act!W21=0,0,W44/TrRoad_act!W21*1000)</f>
        <v>401.23372021572789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471.43162242325394</v>
      </c>
      <c r="C106" s="87">
        <f>IF(TrRoad_act!C22=0,0,C46/TrRoad_act!C22*1000)</f>
        <v>447.46384458273371</v>
      </c>
      <c r="D106" s="87">
        <f>IF(TrRoad_act!D22=0,0,D46/TrRoad_act!D22*1000)</f>
        <v>438.42887685221922</v>
      </c>
      <c r="E106" s="87">
        <f>IF(TrRoad_act!E22=0,0,E46/TrRoad_act!E22*1000)</f>
        <v>433.70929319028716</v>
      </c>
      <c r="F106" s="87">
        <f>IF(TrRoad_act!F22=0,0,F46/TrRoad_act!F22*1000)</f>
        <v>427.59752666454887</v>
      </c>
      <c r="G106" s="87">
        <f>IF(TrRoad_act!G22=0,0,G46/TrRoad_act!G22*1000)</f>
        <v>421.85009294158118</v>
      </c>
      <c r="H106" s="87">
        <f>IF(TrRoad_act!H22=0,0,H46/TrRoad_act!H22*1000)</f>
        <v>420.85669031111001</v>
      </c>
      <c r="I106" s="87">
        <f>IF(TrRoad_act!I22=0,0,I46/TrRoad_act!I22*1000)</f>
        <v>417.45237163957802</v>
      </c>
      <c r="J106" s="87">
        <f>IF(TrRoad_act!J22=0,0,J46/TrRoad_act!J22*1000)</f>
        <v>414.56872408593875</v>
      </c>
      <c r="K106" s="87">
        <f>IF(TrRoad_act!K22=0,0,K46/TrRoad_act!K22*1000)</f>
        <v>411.11635318401221</v>
      </c>
      <c r="L106" s="87">
        <f>IF(TrRoad_act!L22=0,0,L46/TrRoad_act!L22*1000)</f>
        <v>409.49477465189688</v>
      </c>
      <c r="M106" s="87">
        <f>IF(TrRoad_act!M22=0,0,M46/TrRoad_act!M22*1000)</f>
        <v>409.78089303673204</v>
      </c>
      <c r="N106" s="87">
        <f>IF(TrRoad_act!N22=0,0,N46/TrRoad_act!N22*1000)</f>
        <v>407.8569011605328</v>
      </c>
      <c r="O106" s="87">
        <f>IF(TrRoad_act!O22=0,0,O46/TrRoad_act!O22*1000)</f>
        <v>405.14230543037161</v>
      </c>
      <c r="P106" s="87">
        <f>IF(TrRoad_act!P22=0,0,P46/TrRoad_act!P22*1000)</f>
        <v>403.30270794866618</v>
      </c>
      <c r="Q106" s="87">
        <f>IF(TrRoad_act!Q22=0,0,Q46/TrRoad_act!Q22*1000)</f>
        <v>400.48364304374354</v>
      </c>
      <c r="R106" s="87">
        <f>IF(TrRoad_act!R22=0,0,R46/TrRoad_act!R22*1000)</f>
        <v>398.97531199787056</v>
      </c>
      <c r="S106" s="87">
        <f>IF(TrRoad_act!S22=0,0,S46/TrRoad_act!S22*1000)</f>
        <v>397.36656016317244</v>
      </c>
      <c r="T106" s="87">
        <f>IF(TrRoad_act!T22=0,0,T46/TrRoad_act!T22*1000)</f>
        <v>396.89222874077967</v>
      </c>
      <c r="U106" s="87">
        <f>IF(TrRoad_act!U22=0,0,U46/TrRoad_act!U22*1000)</f>
        <v>392.59965066869023</v>
      </c>
      <c r="V106" s="87">
        <f>IF(TrRoad_act!V22=0,0,V46/TrRoad_act!V22*1000)</f>
        <v>391.19304901585178</v>
      </c>
      <c r="W106" s="87">
        <f>IF(TrRoad_act!W22=0,0,W46/TrRoad_act!W22*1000)</f>
        <v>389.15022139906279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571.21246055678751</v>
      </c>
      <c r="C107" s="87">
        <f>IF(TrRoad_act!C23=0,0,C48/TrRoad_act!C23*1000)</f>
        <v>555.94462995740935</v>
      </c>
      <c r="D107" s="87">
        <f>IF(TrRoad_act!D23=0,0,D48/TrRoad_act!D23*1000)</f>
        <v>525.35935692781584</v>
      </c>
      <c r="E107" s="87">
        <f>IF(TrRoad_act!E23=0,0,E48/TrRoad_act!E23*1000)</f>
        <v>516.94843466761824</v>
      </c>
      <c r="F107" s="87">
        <f>IF(TrRoad_act!F23=0,0,F48/TrRoad_act!F23*1000)</f>
        <v>513.54674309680854</v>
      </c>
      <c r="G107" s="87">
        <f>IF(TrRoad_act!G23=0,0,G48/TrRoad_act!G23*1000)</f>
        <v>505.77471444302682</v>
      </c>
      <c r="H107" s="87">
        <f>IF(TrRoad_act!H23=0,0,H48/TrRoad_act!H23*1000)</f>
        <v>497.38256144277773</v>
      </c>
      <c r="I107" s="87">
        <f>IF(TrRoad_act!I23=0,0,I48/TrRoad_act!I23*1000)</f>
        <v>491.85886422035856</v>
      </c>
      <c r="J107" s="87">
        <f>IF(TrRoad_act!J23=0,0,J48/TrRoad_act!J23*1000)</f>
        <v>488.85888391870338</v>
      </c>
      <c r="K107" s="87">
        <f>IF(TrRoad_act!K23=0,0,K48/TrRoad_act!K23*1000)</f>
        <v>487.56187720576588</v>
      </c>
      <c r="L107" s="87">
        <f>IF(TrRoad_act!L23=0,0,L48/TrRoad_act!L23*1000)</f>
        <v>486.16995971299946</v>
      </c>
      <c r="M107" s="87">
        <f>IF(TrRoad_act!M23=0,0,M48/TrRoad_act!M23*1000)</f>
        <v>484.86721409166927</v>
      </c>
      <c r="N107" s="87">
        <f>IF(TrRoad_act!N23=0,0,N48/TrRoad_act!N23*1000)</f>
        <v>479.64094084428535</v>
      </c>
      <c r="O107" s="87">
        <f>IF(TrRoad_act!O23=0,0,O48/TrRoad_act!O23*1000)</f>
        <v>477.92082470190451</v>
      </c>
      <c r="P107" s="87">
        <f>IF(TrRoad_act!P23=0,0,P48/TrRoad_act!P23*1000)</f>
        <v>471.62513137268309</v>
      </c>
      <c r="Q107" s="87">
        <f>IF(TrRoad_act!Q23=0,0,Q48/TrRoad_act!Q23*1000)</f>
        <v>470.94492250945177</v>
      </c>
      <c r="R107" s="87">
        <f>IF(TrRoad_act!R23=0,0,R48/TrRoad_act!R23*1000)</f>
        <v>468.58307580592691</v>
      </c>
      <c r="S107" s="87">
        <f>IF(TrRoad_act!S23=0,0,S48/TrRoad_act!S23*1000)</f>
        <v>467.40136920861869</v>
      </c>
      <c r="T107" s="87">
        <f>IF(TrRoad_act!T23=0,0,T48/TrRoad_act!T23*1000)</f>
        <v>466.04557706609779</v>
      </c>
      <c r="U107" s="87">
        <f>IF(TrRoad_act!U23=0,0,U48/TrRoad_act!U23*1000)</f>
        <v>466.66495923616895</v>
      </c>
      <c r="V107" s="87">
        <f>IF(TrRoad_act!V23=0,0,V48/TrRoad_act!V23*1000)</f>
        <v>464.45607889797003</v>
      </c>
      <c r="W107" s="87">
        <f>IF(TrRoad_act!W23=0,0,W48/TrRoad_act!W23*1000)</f>
        <v>463.3129594960335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566.4458130445812</v>
      </c>
      <c r="R108" s="87">
        <f>IF(TrRoad_act!R24=0,0,R49/TrRoad_act!R24*1000)</f>
        <v>572.66115352560473</v>
      </c>
      <c r="S108" s="87">
        <f>IF(TrRoad_act!S24=0,0,S49/TrRoad_act!S24*1000)</f>
        <v>571.2131235166803</v>
      </c>
      <c r="T108" s="87">
        <f>IF(TrRoad_act!T24=0,0,T49/TrRoad_act!T24*1000)</f>
        <v>574.32183398895131</v>
      </c>
      <c r="U108" s="87">
        <f>IF(TrRoad_act!U24=0,0,U49/TrRoad_act!U24*1000)</f>
        <v>570.57662934799623</v>
      </c>
      <c r="V108" s="87">
        <f>IF(TrRoad_act!V24=0,0,V49/TrRoad_act!V24*1000)</f>
        <v>566.50517420817346</v>
      </c>
      <c r="W108" s="87">
        <f>IF(TrRoad_act!W24=0,0,W49/TrRoad_act!W24*1000)</f>
        <v>565.25181224339883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91.52261578658144</v>
      </c>
      <c r="O109" s="87">
        <f>IF(TrRoad_act!O25=0,0,O51/TrRoad_act!O25*1000)</f>
        <v>92.235986651400225</v>
      </c>
      <c r="P109" s="87">
        <f>IF(TrRoad_act!P25=0,0,P51/TrRoad_act!P25*1000)</f>
        <v>92.796503188379376</v>
      </c>
      <c r="Q109" s="87">
        <f>IF(TrRoad_act!Q25=0,0,Q51/TrRoad_act!Q25*1000)</f>
        <v>95.49263765283925</v>
      </c>
      <c r="R109" s="87">
        <f>IF(TrRoad_act!R25=0,0,R51/TrRoad_act!R25*1000)</f>
        <v>98.413098378037077</v>
      </c>
      <c r="S109" s="87">
        <f>IF(TrRoad_act!S25=0,0,S51/TrRoad_act!S25*1000)</f>
        <v>98.797339082349623</v>
      </c>
      <c r="T109" s="87">
        <f>IF(TrRoad_act!T25=0,0,T51/TrRoad_act!T25*1000)</f>
        <v>107.26971645474796</v>
      </c>
      <c r="U109" s="87">
        <f>IF(TrRoad_act!U25=0,0,U51/TrRoad_act!U25*1000)</f>
        <v>125.17147696626657</v>
      </c>
      <c r="V109" s="87">
        <f>IF(TrRoad_act!V25=0,0,V51/TrRoad_act!V25*1000)</f>
        <v>138.84598605136549</v>
      </c>
      <c r="W109" s="87">
        <f>IF(TrRoad_act!W25=0,0,W51/TrRoad_act!W25*1000)</f>
        <v>161.39574179217377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11.083960626555397</v>
      </c>
      <c r="C110" s="116">
        <f>IF(TrRoad_act!C26=0,0,C52/TrRoad_act!C26*1000)</f>
        <v>13.89038119874056</v>
      </c>
      <c r="D110" s="116">
        <f>IF(TrRoad_act!D26=0,0,D52/TrRoad_act!D26*1000)</f>
        <v>10.114998521135334</v>
      </c>
      <c r="E110" s="116">
        <f>IF(TrRoad_act!E26=0,0,E52/TrRoad_act!E26*1000)</f>
        <v>16.346441714390188</v>
      </c>
      <c r="F110" s="116">
        <f>IF(TrRoad_act!F26=0,0,F52/TrRoad_act!F26*1000)</f>
        <v>21.69623414192543</v>
      </c>
      <c r="G110" s="116">
        <f>IF(TrRoad_act!G26=0,0,G52/TrRoad_act!G26*1000)</f>
        <v>29.515265637666314</v>
      </c>
      <c r="H110" s="116">
        <f>IF(TrRoad_act!H26=0,0,H52/TrRoad_act!H26*1000)</f>
        <v>32.893276403627219</v>
      </c>
      <c r="I110" s="116">
        <f>IF(TrRoad_act!I26=0,0,I52/TrRoad_act!I26*1000)</f>
        <v>37.385859887075</v>
      </c>
      <c r="J110" s="116">
        <f>IF(TrRoad_act!J26=0,0,J52/TrRoad_act!J26*1000)</f>
        <v>38.134647597253156</v>
      </c>
      <c r="K110" s="116">
        <f>IF(TrRoad_act!K26=0,0,K52/TrRoad_act!K26*1000)</f>
        <v>35.520264625874169</v>
      </c>
      <c r="L110" s="116">
        <f>IF(TrRoad_act!L26=0,0,L52/TrRoad_act!L26*1000)</f>
        <v>36.663330059361535</v>
      </c>
      <c r="M110" s="116">
        <f>IF(TrRoad_act!M26=0,0,M52/TrRoad_act!M26*1000)</f>
        <v>33.891499651958839</v>
      </c>
      <c r="N110" s="116">
        <f>IF(TrRoad_act!N26=0,0,N52/TrRoad_act!N26*1000)</f>
        <v>28.181360507323788</v>
      </c>
      <c r="O110" s="116">
        <f>IF(TrRoad_act!O26=0,0,O52/TrRoad_act!O26*1000)</f>
        <v>21.008709737836266</v>
      </c>
      <c r="P110" s="116">
        <f>IF(TrRoad_act!P26=0,0,P52/TrRoad_act!P26*1000)</f>
        <v>22.320090745702149</v>
      </c>
      <c r="Q110" s="116">
        <f>IF(TrRoad_act!Q26=0,0,Q52/TrRoad_act!Q26*1000)</f>
        <v>22.220717877274115</v>
      </c>
      <c r="R110" s="116">
        <f>IF(TrRoad_act!R26=0,0,R52/TrRoad_act!R26*1000)</f>
        <v>28.278523461390979</v>
      </c>
      <c r="S110" s="116">
        <f>IF(TrRoad_act!S26=0,0,S52/TrRoad_act!S26*1000)</f>
        <v>34.394949363971925</v>
      </c>
      <c r="T110" s="116">
        <f>IF(TrRoad_act!T26=0,0,T52/TrRoad_act!T26*1000)</f>
        <v>37.551607333452701</v>
      </c>
      <c r="U110" s="116">
        <f>IF(TrRoad_act!U26=0,0,U52/TrRoad_act!U26*1000)</f>
        <v>35.056283102228754</v>
      </c>
      <c r="V110" s="116">
        <f>IF(TrRoad_act!V26=0,0,V52/TrRoad_act!V26*1000)</f>
        <v>31.962047091822583</v>
      </c>
      <c r="W110" s="116">
        <f>IF(TrRoad_act!W26=0,0,W52/TrRoad_act!W26*1000)</f>
        <v>38.432190125076829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11.743365947338489</v>
      </c>
      <c r="C111" s="101">
        <f>IF(TrRoad_act!C27=0,0,C53/TrRoad_act!C27*1000)</f>
        <v>14.813474432708926</v>
      </c>
      <c r="D111" s="101">
        <f>IF(TrRoad_act!D27=0,0,D53/TrRoad_act!D27*1000)</f>
        <v>10.865313720236868</v>
      </c>
      <c r="E111" s="101">
        <f>IF(TrRoad_act!E27=0,0,E53/TrRoad_act!E27*1000)</f>
        <v>17.622547701668836</v>
      </c>
      <c r="F111" s="101">
        <f>IF(TrRoad_act!F27=0,0,F53/TrRoad_act!F27*1000)</f>
        <v>23.658890683590275</v>
      </c>
      <c r="G111" s="101">
        <f>IF(TrRoad_act!G27=0,0,G53/TrRoad_act!G27*1000)</f>
        <v>32.336236043776069</v>
      </c>
      <c r="H111" s="101">
        <f>IF(TrRoad_act!H27=0,0,H53/TrRoad_act!H27*1000)</f>
        <v>36.870980390894637</v>
      </c>
      <c r="I111" s="101">
        <f>IF(TrRoad_act!I27=0,0,I53/TrRoad_act!I27*1000)</f>
        <v>41.423833484883474</v>
      </c>
      <c r="J111" s="101">
        <f>IF(TrRoad_act!J27=0,0,J53/TrRoad_act!J27*1000)</f>
        <v>41.841627556174963</v>
      </c>
      <c r="K111" s="101">
        <f>IF(TrRoad_act!K27=0,0,K53/TrRoad_act!K27*1000)</f>
        <v>38.585062408358901</v>
      </c>
      <c r="L111" s="101">
        <f>IF(TrRoad_act!L27=0,0,L53/TrRoad_act!L27*1000)</f>
        <v>40.705498640427649</v>
      </c>
      <c r="M111" s="101">
        <f>IF(TrRoad_act!M27=0,0,M53/TrRoad_act!M27*1000)</f>
        <v>37.55529851849824</v>
      </c>
      <c r="N111" s="101">
        <f>IF(TrRoad_act!N27=0,0,N53/TrRoad_act!N27*1000)</f>
        <v>31.372936314239485</v>
      </c>
      <c r="O111" s="101">
        <f>IF(TrRoad_act!O27=0,0,O53/TrRoad_act!O27*1000)</f>
        <v>23.096952842210836</v>
      </c>
      <c r="P111" s="101">
        <f>IF(TrRoad_act!P27=0,0,P53/TrRoad_act!P27*1000)</f>
        <v>24.751561086159477</v>
      </c>
      <c r="Q111" s="101">
        <f>IF(TrRoad_act!Q27=0,0,Q53/TrRoad_act!Q27*1000)</f>
        <v>24.410120931010848</v>
      </c>
      <c r="R111" s="101">
        <f>IF(TrRoad_act!R27=0,0,R53/TrRoad_act!R27*1000)</f>
        <v>31.102736585065998</v>
      </c>
      <c r="S111" s="101">
        <f>IF(TrRoad_act!S27=0,0,S53/TrRoad_act!S27*1000)</f>
        <v>37.609812297202389</v>
      </c>
      <c r="T111" s="101">
        <f>IF(TrRoad_act!T27=0,0,T53/TrRoad_act!T27*1000)</f>
        <v>41.042248998751283</v>
      </c>
      <c r="U111" s="101">
        <f>IF(TrRoad_act!U27=0,0,U53/TrRoad_act!U27*1000)</f>
        <v>38.018950773289028</v>
      </c>
      <c r="V111" s="101">
        <f>IF(TrRoad_act!V27=0,0,V53/TrRoad_act!V27*1000)</f>
        <v>34.4020956627717</v>
      </c>
      <c r="W111" s="101">
        <f>IF(TrRoad_act!W27=0,0,W53/TrRoad_act!W27*1000)</f>
        <v>41.241561837706804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9.3891167342027426</v>
      </c>
      <c r="C112" s="88">
        <f>IF(TrRoad_act!C28=0,0,C55/TrRoad_act!C28*1000)</f>
        <v>11.629309656813264</v>
      </c>
      <c r="D112" s="88">
        <f>IF(TrRoad_act!D28=0,0,D55/TrRoad_act!D28*1000)</f>
        <v>8.3263133294594329</v>
      </c>
      <c r="E112" s="88">
        <f>IF(TrRoad_act!E28=0,0,E55/TrRoad_act!E28*1000)</f>
        <v>13.20433645220862</v>
      </c>
      <c r="F112" s="88">
        <f>IF(TrRoad_act!F28=0,0,F55/TrRoad_act!F28*1000)</f>
        <v>17.075112226258462</v>
      </c>
      <c r="G112" s="88">
        <f>IF(TrRoad_act!G28=0,0,G55/TrRoad_act!G28*1000)</f>
        <v>22.870514776823246</v>
      </c>
      <c r="H112" s="88">
        <f>IF(TrRoad_act!H28=0,0,H55/TrRoad_act!H28*1000)</f>
        <v>25.408974586918013</v>
      </c>
      <c r="I112" s="88">
        <f>IF(TrRoad_act!I28=0,0,I55/TrRoad_act!I28*1000)</f>
        <v>28.403418700306446</v>
      </c>
      <c r="J112" s="88">
        <f>IF(TrRoad_act!J28=0,0,J55/TrRoad_act!J28*1000)</f>
        <v>29.164322244482513</v>
      </c>
      <c r="K112" s="88">
        <f>IF(TrRoad_act!K28=0,0,K55/TrRoad_act!K28*1000)</f>
        <v>26.896351961753727</v>
      </c>
      <c r="L112" s="88">
        <f>IF(TrRoad_act!L28=0,0,L55/TrRoad_act!L28*1000)</f>
        <v>26.888364918340478</v>
      </c>
      <c r="M112" s="88">
        <f>IF(TrRoad_act!M28=0,0,M55/TrRoad_act!M28*1000)</f>
        <v>24.725431841834972</v>
      </c>
      <c r="N112" s="88">
        <f>IF(TrRoad_act!N28=0,0,N55/TrRoad_act!N28*1000)</f>
        <v>20.871379675168715</v>
      </c>
      <c r="O112" s="88">
        <f>IF(TrRoad_act!O28=0,0,O55/TrRoad_act!O28*1000)</f>
        <v>15.926417697966489</v>
      </c>
      <c r="P112" s="88">
        <f>IF(TrRoad_act!P28=0,0,P55/TrRoad_act!P28*1000)</f>
        <v>16.714323881685683</v>
      </c>
      <c r="Q112" s="88">
        <f>IF(TrRoad_act!Q28=0,0,Q55/TrRoad_act!Q28*1000)</f>
        <v>16.855907971946557</v>
      </c>
      <c r="R112" s="88">
        <f>IF(TrRoad_act!R28=0,0,R55/TrRoad_act!R28*1000)</f>
        <v>21.947826834870167</v>
      </c>
      <c r="S112" s="88">
        <f>IF(TrRoad_act!S28=0,0,S55/TrRoad_act!S28*1000)</f>
        <v>27.243125185111236</v>
      </c>
      <c r="T112" s="88">
        <f>IF(TrRoad_act!T28=0,0,T55/TrRoad_act!T28*1000)</f>
        <v>29.075569946955433</v>
      </c>
      <c r="U112" s="88">
        <f>IF(TrRoad_act!U28=0,0,U55/TrRoad_act!U28*1000)</f>
        <v>28.47119797558577</v>
      </c>
      <c r="V112" s="88">
        <f>IF(TrRoad_act!V28=0,0,V55/TrRoad_act!V28*1000)</f>
        <v>26.075207646626595</v>
      </c>
      <c r="W112" s="88">
        <f>IF(TrRoad_act!W28=0,0,W55/TrRoad_act!W28*1000)</f>
        <v>31.55650164473829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129.32119215471806</v>
      </c>
      <c r="C116" s="152">
        <f>IF(C19=0,0,1000000*C19/TrRoad_act!C59)</f>
        <v>115.17372012554409</v>
      </c>
      <c r="D116" s="152">
        <f>IF(D19=0,0,1000000*D19/TrRoad_act!D59)</f>
        <v>99.972781034772311</v>
      </c>
      <c r="E116" s="152">
        <f>IF(E19=0,0,1000000*E19/TrRoad_act!E59)</f>
        <v>94.60383714057437</v>
      </c>
      <c r="F116" s="152">
        <f>IF(F19=0,0,1000000*F19/TrRoad_act!F59)</f>
        <v>90.963540782180416</v>
      </c>
      <c r="G116" s="152">
        <f>IF(G19=0,0,1000000*G19/TrRoad_act!G59)</f>
        <v>71.267275693860469</v>
      </c>
      <c r="H116" s="152">
        <f>IF(H19=0,0,1000000*H19/TrRoad_act!H59)</f>
        <v>68.517525492209131</v>
      </c>
      <c r="I116" s="152">
        <f>IF(I19=0,0,1000000*I19/TrRoad_act!I59)</f>
        <v>64.478112623773271</v>
      </c>
      <c r="J116" s="152">
        <f>IF(J19=0,0,1000000*J19/TrRoad_act!J59)</f>
        <v>56.16509819767731</v>
      </c>
      <c r="K116" s="152">
        <f>IF(K19=0,0,1000000*K19/TrRoad_act!K59)</f>
        <v>51.216470986782198</v>
      </c>
      <c r="L116" s="152">
        <f>IF(L19=0,0,1000000*L19/TrRoad_act!L59)</f>
        <v>50.85001286501624</v>
      </c>
      <c r="M116" s="152">
        <f>IF(M19=0,0,1000000*M19/TrRoad_act!M59)</f>
        <v>45.998120309265076</v>
      </c>
      <c r="N116" s="152">
        <f>IF(N19=0,0,1000000*N19/TrRoad_act!N59)</f>
        <v>43.636289943062373</v>
      </c>
      <c r="O116" s="152">
        <f>IF(O19=0,0,1000000*O19/TrRoad_act!O59)</f>
        <v>40.125736654923813</v>
      </c>
      <c r="P116" s="152">
        <f>IF(P19=0,0,1000000*P19/TrRoad_act!P59)</f>
        <v>38.67400476198106</v>
      </c>
      <c r="Q116" s="152">
        <f>IF(Q19=0,0,1000000*Q19/TrRoad_act!Q59)</f>
        <v>37.905759122117928</v>
      </c>
      <c r="R116" s="152">
        <f>IF(R19=0,0,1000000*R19/TrRoad_act!R59)</f>
        <v>38.301716626044232</v>
      </c>
      <c r="S116" s="152">
        <f>IF(S19=0,0,1000000*S19/TrRoad_act!S59)</f>
        <v>34.634095219979415</v>
      </c>
      <c r="T116" s="152">
        <f>IF(T19=0,0,1000000*T19/TrRoad_act!T59)</f>
        <v>31.912729645448387</v>
      </c>
      <c r="U116" s="152">
        <f>IF(U19=0,0,1000000*U19/TrRoad_act!U59)</f>
        <v>32.675373691024539</v>
      </c>
      <c r="V116" s="152">
        <f>IF(V19=0,0,1000000*V19/TrRoad_act!V59)</f>
        <v>28.291099626208201</v>
      </c>
      <c r="W116" s="152">
        <f>IF(W19=0,0,1000000*W19/TrRoad_act!W59)</f>
        <v>27.225880739384106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519.46254659723434</v>
      </c>
      <c r="C117" s="116">
        <f>IF(C21=0,0,1000000*C21/TrRoad_act!C60)</f>
        <v>462.49484974423262</v>
      </c>
      <c r="D117" s="116">
        <f>IF(D21=0,0,1000000*D21/TrRoad_act!D60)</f>
        <v>440.38136577446073</v>
      </c>
      <c r="E117" s="116">
        <f>IF(E21=0,0,1000000*E21/TrRoad_act!E60)</f>
        <v>454.6027181166171</v>
      </c>
      <c r="F117" s="116">
        <f>IF(F21=0,0,1000000*F21/TrRoad_act!F60)</f>
        <v>501.14089814376172</v>
      </c>
      <c r="G117" s="116">
        <f>IF(G21=0,0,1000000*G21/TrRoad_act!G60)</f>
        <v>491.61516684365381</v>
      </c>
      <c r="H117" s="116">
        <f>IF(H21=0,0,1000000*H21/TrRoad_act!H60)</f>
        <v>511.05333016799119</v>
      </c>
      <c r="I117" s="116">
        <f>IF(I21=0,0,1000000*I21/TrRoad_act!I60)</f>
        <v>517.8688943235976</v>
      </c>
      <c r="J117" s="116">
        <f>IF(J21=0,0,1000000*J21/TrRoad_act!J60)</f>
        <v>504.33194202314178</v>
      </c>
      <c r="K117" s="116">
        <f>IF(K21=0,0,1000000*K21/TrRoad_act!K60)</f>
        <v>515.26902066485673</v>
      </c>
      <c r="L117" s="116">
        <f>IF(L21=0,0,1000000*L21/TrRoad_act!L60)</f>
        <v>521.50367428125901</v>
      </c>
      <c r="M117" s="116">
        <f>IF(M21=0,0,1000000*M21/TrRoad_act!M60)</f>
        <v>501.67938431708438</v>
      </c>
      <c r="N117" s="116">
        <f>IF(N21=0,0,1000000*N21/TrRoad_act!N60)</f>
        <v>481.13527011664371</v>
      </c>
      <c r="O117" s="116">
        <f>IF(O21=0,0,1000000*O21/TrRoad_act!O60)</f>
        <v>441.51592558384226</v>
      </c>
      <c r="P117" s="116">
        <f>IF(P21=0,0,1000000*P21/TrRoad_act!P60)</f>
        <v>425.79082368160709</v>
      </c>
      <c r="Q117" s="116">
        <f>IF(Q21=0,0,1000000*Q21/TrRoad_act!Q60)</f>
        <v>432.54788834006155</v>
      </c>
      <c r="R117" s="116">
        <f>IF(R21=0,0,1000000*R21/TrRoad_act!R60)</f>
        <v>448.32196487111202</v>
      </c>
      <c r="S117" s="116">
        <f>IF(S21=0,0,1000000*S21/TrRoad_act!S60)</f>
        <v>483.47898026292717</v>
      </c>
      <c r="T117" s="116">
        <f>IF(T21=0,0,1000000*T21/TrRoad_act!T60)</f>
        <v>492.22146841565797</v>
      </c>
      <c r="U117" s="116">
        <f>IF(U21=0,0,1000000*U21/TrRoad_act!U60)</f>
        <v>487.06841397215248</v>
      </c>
      <c r="V117" s="116">
        <f>IF(V21=0,0,1000000*V21/TrRoad_act!V60)</f>
        <v>454.18955461355995</v>
      </c>
      <c r="W117" s="116">
        <f>IF(W21=0,0,1000000*W21/TrRoad_act!W60)</f>
        <v>440.0710089842504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504.71977973118203</v>
      </c>
      <c r="C118" s="87">
        <f>IF(C22=0,0,1000000*C22/TrRoad_act!C61)</f>
        <v>431.48118128778958</v>
      </c>
      <c r="D118" s="87">
        <f>IF(D22=0,0,1000000*D22/TrRoad_act!D61)</f>
        <v>400.36894950079756</v>
      </c>
      <c r="E118" s="87">
        <f>IF(E22=0,0,1000000*E22/TrRoad_act!E61)</f>
        <v>396.55925407184588</v>
      </c>
      <c r="F118" s="87">
        <f>IF(F22=0,0,1000000*F22/TrRoad_act!F61)</f>
        <v>421.89462525518763</v>
      </c>
      <c r="G118" s="87">
        <f>IF(G22=0,0,1000000*G22/TrRoad_act!G61)</f>
        <v>396.551067881449</v>
      </c>
      <c r="H118" s="87">
        <f>IF(H22=0,0,1000000*H22/TrRoad_act!H61)</f>
        <v>395.02433337889914</v>
      </c>
      <c r="I118" s="87">
        <f>IF(I22=0,0,1000000*I22/TrRoad_act!I61)</f>
        <v>381.88829058552926</v>
      </c>
      <c r="J118" s="87">
        <f>IF(J22=0,0,1000000*J22/TrRoad_act!J61)</f>
        <v>363.51376630407998</v>
      </c>
      <c r="K118" s="87">
        <f>IF(K22=0,0,1000000*K22/TrRoad_act!K61)</f>
        <v>378.5824308113115</v>
      </c>
      <c r="L118" s="87">
        <f>IF(L22=0,0,1000000*L22/TrRoad_act!L61)</f>
        <v>370.0494630925316</v>
      </c>
      <c r="M118" s="87">
        <f>IF(M22=0,0,1000000*M22/TrRoad_act!M61)</f>
        <v>335.99759987276281</v>
      </c>
      <c r="N118" s="87">
        <f>IF(N22=0,0,1000000*N22/TrRoad_act!N61)</f>
        <v>310.91139446056775</v>
      </c>
      <c r="O118" s="87">
        <f>IF(O22=0,0,1000000*O22/TrRoad_act!O61)</f>
        <v>294.82858492945974</v>
      </c>
      <c r="P118" s="87">
        <f>IF(P22=0,0,1000000*P22/TrRoad_act!P61)</f>
        <v>282.45948672362022</v>
      </c>
      <c r="Q118" s="87">
        <f>IF(Q22=0,0,1000000*Q22/TrRoad_act!Q61)</f>
        <v>289.98891904703873</v>
      </c>
      <c r="R118" s="87">
        <f>IF(R22=0,0,1000000*R22/TrRoad_act!R61)</f>
        <v>301.74673500491218</v>
      </c>
      <c r="S118" s="87">
        <f>IF(S22=0,0,1000000*S22/TrRoad_act!S61)</f>
        <v>318.38656594003982</v>
      </c>
      <c r="T118" s="87">
        <f>IF(T22=0,0,1000000*T22/TrRoad_act!T61)</f>
        <v>325.89060803352487</v>
      </c>
      <c r="U118" s="87">
        <f>IF(U22=0,0,1000000*U22/TrRoad_act!U61)</f>
        <v>325.11346548193347</v>
      </c>
      <c r="V118" s="87">
        <f>IF(V22=0,0,1000000*V22/TrRoad_act!V61)</f>
        <v>295.22172869744145</v>
      </c>
      <c r="W118" s="87">
        <f>IF(W22=0,0,1000000*W22/TrRoad_act!W61)</f>
        <v>319.39170021833996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521.59229786637013</v>
      </c>
      <c r="C119" s="87">
        <f>IF(C24=0,0,1000000*C24/TrRoad_act!C62)</f>
        <v>559.27717122626927</v>
      </c>
      <c r="D119" s="87">
        <f>IF(D24=0,0,1000000*D24/TrRoad_act!D62)</f>
        <v>546.18454778603348</v>
      </c>
      <c r="E119" s="87">
        <f>IF(E24=0,0,1000000*E24/TrRoad_act!E62)</f>
        <v>644.5608971280534</v>
      </c>
      <c r="F119" s="87">
        <f>IF(F24=0,0,1000000*F24/TrRoad_act!F62)</f>
        <v>734.24807686761687</v>
      </c>
      <c r="G119" s="87">
        <f>IF(G24=0,0,1000000*G24/TrRoad_act!G62)</f>
        <v>833.16542123617899</v>
      </c>
      <c r="H119" s="87">
        <f>IF(H24=0,0,1000000*H24/TrRoad_act!H62)</f>
        <v>913.16762042309927</v>
      </c>
      <c r="I119" s="87">
        <f>IF(I24=0,0,1000000*I24/TrRoad_act!I62)</f>
        <v>962.86651895278521</v>
      </c>
      <c r="J119" s="87">
        <f>IF(J24=0,0,1000000*J24/TrRoad_act!J62)</f>
        <v>908.88442579935599</v>
      </c>
      <c r="K119" s="87">
        <f>IF(K24=0,0,1000000*K24/TrRoad_act!K62)</f>
        <v>911.3653121794523</v>
      </c>
      <c r="L119" s="87">
        <f>IF(L24=0,0,1000000*L24/TrRoad_act!L62)</f>
        <v>927.8269304176074</v>
      </c>
      <c r="M119" s="87">
        <f>IF(M24=0,0,1000000*M24/TrRoad_act!M62)</f>
        <v>874.96683657442009</v>
      </c>
      <c r="N119" s="87">
        <f>IF(N24=0,0,1000000*N24/TrRoad_act!N62)</f>
        <v>795.70118384271211</v>
      </c>
      <c r="O119" s="87">
        <f>IF(O24=0,0,1000000*O24/TrRoad_act!O62)</f>
        <v>674.86400418031315</v>
      </c>
      <c r="P119" s="87">
        <f>IF(P24=0,0,1000000*P24/TrRoad_act!P62)</f>
        <v>634.89017446507626</v>
      </c>
      <c r="Q119" s="87">
        <f>IF(Q24=0,0,1000000*Q24/TrRoad_act!Q62)</f>
        <v>641.44440000500072</v>
      </c>
      <c r="R119" s="87">
        <f>IF(R24=0,0,1000000*R24/TrRoad_act!R62)</f>
        <v>649.96026302393716</v>
      </c>
      <c r="S119" s="87">
        <f>IF(S24=0,0,1000000*S24/TrRoad_act!S62)</f>
        <v>713.97740854006565</v>
      </c>
      <c r="T119" s="87">
        <f>IF(T24=0,0,1000000*T24/TrRoad_act!T62)</f>
        <v>733.54523320997089</v>
      </c>
      <c r="U119" s="87">
        <f>IF(U24=0,0,1000000*U24/TrRoad_act!U62)</f>
        <v>709.78762525412151</v>
      </c>
      <c r="V119" s="87">
        <f>IF(V24=0,0,1000000*V24/TrRoad_act!V62)</f>
        <v>684.33768564963725</v>
      </c>
      <c r="W119" s="87">
        <f>IF(W24=0,0,1000000*W24/TrRoad_act!W62)</f>
        <v>591.39272294970795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713.73759441786251</v>
      </c>
      <c r="C120" s="87">
        <f>IF(C26=0,0,1000000*C26/TrRoad_act!C63)</f>
        <v>606.76963161493973</v>
      </c>
      <c r="D120" s="87">
        <f>IF(D26=0,0,1000000*D26/TrRoad_act!D63)</f>
        <v>578.4555683535998</v>
      </c>
      <c r="E120" s="87">
        <f>IF(E26=0,0,1000000*E26/TrRoad_act!E63)</f>
        <v>565.54698629425127</v>
      </c>
      <c r="F120" s="87">
        <f>IF(F26=0,0,1000000*F26/TrRoad_act!F63)</f>
        <v>632.19094956912716</v>
      </c>
      <c r="G120" s="87">
        <f>IF(G26=0,0,1000000*G26/TrRoad_act!G63)</f>
        <v>656.10887498712691</v>
      </c>
      <c r="H120" s="87">
        <f>IF(H26=0,0,1000000*H26/TrRoad_act!H63)</f>
        <v>669.57154037114947</v>
      </c>
      <c r="I120" s="87">
        <f>IF(I26=0,0,1000000*I26/TrRoad_act!I63)</f>
        <v>646.64436541311909</v>
      </c>
      <c r="J120" s="87">
        <f>IF(J26=0,0,1000000*J26/TrRoad_act!J63)</f>
        <v>603.1163629163176</v>
      </c>
      <c r="K120" s="87">
        <f>IF(K26=0,0,1000000*K26/TrRoad_act!K63)</f>
        <v>541.80655253172188</v>
      </c>
      <c r="L120" s="87">
        <f>IF(L26=0,0,1000000*L26/TrRoad_act!L63)</f>
        <v>527.52120703725598</v>
      </c>
      <c r="M120" s="87">
        <f>IF(M26=0,0,1000000*M26/TrRoad_act!M63)</f>
        <v>544.67302343104598</v>
      </c>
      <c r="N120" s="87">
        <f>IF(N26=0,0,1000000*N26/TrRoad_act!N63)</f>
        <v>600.20268106876313</v>
      </c>
      <c r="O120" s="87">
        <f>IF(O26=0,0,1000000*O26/TrRoad_act!O63)</f>
        <v>576.84785674790191</v>
      </c>
      <c r="P120" s="87">
        <f>IF(P26=0,0,1000000*P26/TrRoad_act!P63)</f>
        <v>567.12084581656688</v>
      </c>
      <c r="Q120" s="87">
        <f>IF(Q26=0,0,1000000*Q26/TrRoad_act!Q63)</f>
        <v>562.85952730507586</v>
      </c>
      <c r="R120" s="87">
        <f>IF(R26=0,0,1000000*R26/TrRoad_act!R63)</f>
        <v>578.14969113789755</v>
      </c>
      <c r="S120" s="87">
        <f>IF(S26=0,0,1000000*S26/TrRoad_act!S63)</f>
        <v>625.89070982359283</v>
      </c>
      <c r="T120" s="87">
        <f>IF(T26=0,0,1000000*T26/TrRoad_act!T63)</f>
        <v>586.53762115458494</v>
      </c>
      <c r="U120" s="87">
        <f>IF(U26=0,0,1000000*U26/TrRoad_act!U63)</f>
        <v>604.31927781894683</v>
      </c>
      <c r="V120" s="87">
        <f>IF(V26=0,0,1000000*V26/TrRoad_act!V63)</f>
        <v>538.10161881539398</v>
      </c>
      <c r="W120" s="87">
        <f>IF(W26=0,0,1000000*W26/TrRoad_act!W63)</f>
        <v>563.47376907858461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468.84528667738169</v>
      </c>
      <c r="R121" s="87">
        <f>IF(R27=0,0,1000000*R27/TrRoad_act!R64)</f>
        <v>459.98177384086188</v>
      </c>
      <c r="S121" s="87">
        <f>IF(S27=0,0,1000000*S27/TrRoad_act!S64)</f>
        <v>513.44789609362749</v>
      </c>
      <c r="T121" s="87">
        <f>IF(T27=0,0,1000000*T27/TrRoad_act!T64)</f>
        <v>534.90853938369514</v>
      </c>
      <c r="U121" s="87">
        <f>IF(U27=0,0,1000000*U27/TrRoad_act!U64)</f>
        <v>538.10950652875545</v>
      </c>
      <c r="V121" s="87">
        <f>IF(V27=0,0,1000000*V27/TrRoad_act!V64)</f>
        <v>514.3414269192084</v>
      </c>
      <c r="W121" s="87">
        <f>IF(W27=0,0,1000000*W27/TrRoad_act!W64)</f>
        <v>502.93754359529015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223.12750689761731</v>
      </c>
      <c r="O122" s="87">
        <f>IF(O29=0,0,1000000*O29/TrRoad_act!O65)</f>
        <v>248.9730820914433</v>
      </c>
      <c r="P122" s="87">
        <f>IF(P29=0,0,1000000*P29/TrRoad_act!P65)</f>
        <v>431.80551561903781</v>
      </c>
      <c r="Q122" s="87">
        <f>IF(Q29=0,0,1000000*Q29/TrRoad_act!Q65)</f>
        <v>280.37332438654101</v>
      </c>
      <c r="R122" s="87">
        <f>IF(R29=0,0,1000000*R29/TrRoad_act!R65)</f>
        <v>292.03204788520964</v>
      </c>
      <c r="S122" s="87">
        <f>IF(S29=0,0,1000000*S29/TrRoad_act!S65)</f>
        <v>325.82058052583636</v>
      </c>
      <c r="T122" s="87">
        <f>IF(T29=0,0,1000000*T29/TrRoad_act!T65)</f>
        <v>355.96723636926561</v>
      </c>
      <c r="U122" s="87">
        <f>IF(U29=0,0,1000000*U29/TrRoad_act!U65)</f>
        <v>344.69019092285993</v>
      </c>
      <c r="V122" s="87">
        <f>IF(V29=0,0,1000000*V29/TrRoad_act!V65)</f>
        <v>337.22837160206257</v>
      </c>
      <c r="W122" s="87">
        <f>IF(W29=0,0,1000000*W29/TrRoad_act!W65)</f>
        <v>428.88256412419935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106.51294387390521</v>
      </c>
      <c r="M123" s="87">
        <f>IF(M32=0,0,1000000*M32/TrRoad_act!M66)</f>
        <v>107.38940458533071</v>
      </c>
      <c r="N123" s="87">
        <f>IF(N32=0,0,1000000*N32/TrRoad_act!N66)</f>
        <v>103.53019526830893</v>
      </c>
      <c r="O123" s="87">
        <f>IF(O32=0,0,1000000*O32/TrRoad_act!O66)</f>
        <v>103.3943606838626</v>
      </c>
      <c r="P123" s="87">
        <f>IF(P32=0,0,1000000*P32/TrRoad_act!P66)</f>
        <v>101.84994073450743</v>
      </c>
      <c r="Q123" s="87">
        <f>IF(Q32=0,0,1000000*Q32/TrRoad_act!Q66)</f>
        <v>100.51331670306699</v>
      </c>
      <c r="R123" s="87">
        <f>IF(R32=0,0,1000000*R32/TrRoad_act!R66)</f>
        <v>95.354166496827133</v>
      </c>
      <c r="S123" s="87">
        <f>IF(S32=0,0,1000000*S32/TrRoad_act!S66)</f>
        <v>122.17687266881832</v>
      </c>
      <c r="T123" s="87">
        <f>IF(T32=0,0,1000000*T32/TrRoad_act!T66)</f>
        <v>123.68790170564344</v>
      </c>
      <c r="U123" s="87">
        <f>IF(U32=0,0,1000000*U32/TrRoad_act!U66)</f>
        <v>125.02695179426429</v>
      </c>
      <c r="V123" s="87">
        <f>IF(V32=0,0,1000000*V32/TrRoad_act!V66)</f>
        <v>128.4688884936507</v>
      </c>
      <c r="W123" s="87">
        <f>IF(W32=0,0,1000000*W32/TrRoad_act!W66)</f>
        <v>137.48866605727002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29449.541204176487</v>
      </c>
      <c r="C124" s="116">
        <f>IF(C33=0,0,1000000*C33/TrRoad_act!C67)</f>
        <v>27393.473017484121</v>
      </c>
      <c r="D124" s="116">
        <f>IF(D33=0,0,1000000*D33/TrRoad_act!D67)</f>
        <v>26418.315511987352</v>
      </c>
      <c r="E124" s="116">
        <f>IF(E33=0,0,1000000*E33/TrRoad_act!E67)</f>
        <v>25594.633878629014</v>
      </c>
      <c r="F124" s="116">
        <f>IF(F33=0,0,1000000*F33/TrRoad_act!F67)</f>
        <v>24715.121722471558</v>
      </c>
      <c r="G124" s="116">
        <f>IF(G33=0,0,1000000*G33/TrRoad_act!G67)</f>
        <v>23782.596677486858</v>
      </c>
      <c r="H124" s="116">
        <f>IF(H33=0,0,1000000*H33/TrRoad_act!H67)</f>
        <v>22975.301694163667</v>
      </c>
      <c r="I124" s="116">
        <f>IF(I33=0,0,1000000*I33/TrRoad_act!I67)</f>
        <v>22400.648695203508</v>
      </c>
      <c r="J124" s="116">
        <f>IF(J33=0,0,1000000*J33/TrRoad_act!J67)</f>
        <v>21789.862699889029</v>
      </c>
      <c r="K124" s="116">
        <f>IF(K33=0,0,1000000*K33/TrRoad_act!K67)</f>
        <v>21341.890958022548</v>
      </c>
      <c r="L124" s="116">
        <f>IF(L33=0,0,1000000*L33/TrRoad_act!L67)</f>
        <v>20913.746948387223</v>
      </c>
      <c r="M124" s="116">
        <f>IF(M33=0,0,1000000*M33/TrRoad_act!M67)</f>
        <v>20580.00480691739</v>
      </c>
      <c r="N124" s="116">
        <f>IF(N33=0,0,1000000*N33/TrRoad_act!N67)</f>
        <v>20270.292792096261</v>
      </c>
      <c r="O124" s="116">
        <f>IF(O33=0,0,1000000*O33/TrRoad_act!O67)</f>
        <v>20019.023144559658</v>
      </c>
      <c r="P124" s="116">
        <f>IF(P33=0,0,1000000*P33/TrRoad_act!P67)</f>
        <v>19794.519414358816</v>
      </c>
      <c r="Q124" s="116">
        <f>IF(Q33=0,0,1000000*Q33/TrRoad_act!Q67)</f>
        <v>19758.316096029295</v>
      </c>
      <c r="R124" s="116">
        <f>IF(R33=0,0,1000000*R33/TrRoad_act!R67)</f>
        <v>18942.875204814307</v>
      </c>
      <c r="S124" s="116">
        <f>IF(S33=0,0,1000000*S33/TrRoad_act!S67)</f>
        <v>18265.661944665622</v>
      </c>
      <c r="T124" s="116">
        <f>IF(T33=0,0,1000000*T33/TrRoad_act!T67)</f>
        <v>17132.62023676428</v>
      </c>
      <c r="U124" s="116">
        <f>IF(U33=0,0,1000000*U33/TrRoad_act!U67)</f>
        <v>17601.407452223189</v>
      </c>
      <c r="V124" s="116">
        <f>IF(V33=0,0,1000000*V33/TrRoad_act!V67)</f>
        <v>17149.811953101991</v>
      </c>
      <c r="W124" s="116">
        <f>IF(W33=0,0,1000000*W33/TrRoad_act!W67)</f>
        <v>17153.981284834816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29948.688253479057</v>
      </c>
      <c r="C126" s="101">
        <f>IF(C36=0,0,1000000*C36/TrRoad_act!C69)</f>
        <v>27815.520611589651</v>
      </c>
      <c r="D126" s="101">
        <f>IF(D36=0,0,1000000*D36/TrRoad_act!D69)</f>
        <v>26787.042595085353</v>
      </c>
      <c r="E126" s="101">
        <f>IF(E36=0,0,1000000*E36/TrRoad_act!E69)</f>
        <v>25900.175454072836</v>
      </c>
      <c r="F126" s="101">
        <f>IF(F36=0,0,1000000*F36/TrRoad_act!F69)</f>
        <v>25369.088666548283</v>
      </c>
      <c r="G126" s="101">
        <f>IF(G36=0,0,1000000*G36/TrRoad_act!G69)</f>
        <v>24500.943718567953</v>
      </c>
      <c r="H126" s="101">
        <f>IF(H36=0,0,1000000*H36/TrRoad_act!H69)</f>
        <v>23632.716583631514</v>
      </c>
      <c r="I126" s="101">
        <f>IF(I36=0,0,1000000*I36/TrRoad_act!I69)</f>
        <v>22981.441194468964</v>
      </c>
      <c r="J126" s="101">
        <f>IF(J36=0,0,1000000*J36/TrRoad_act!J69)</f>
        <v>22317.897846477419</v>
      </c>
      <c r="K126" s="101">
        <f>IF(K36=0,0,1000000*K36/TrRoad_act!K69)</f>
        <v>21812.009666571681</v>
      </c>
      <c r="L126" s="101">
        <f>IF(L36=0,0,1000000*L36/TrRoad_act!L69)</f>
        <v>21342.429736495724</v>
      </c>
      <c r="M126" s="101">
        <f>IF(M36=0,0,1000000*M36/TrRoad_act!M69)</f>
        <v>20964.831953709421</v>
      </c>
      <c r="N126" s="101">
        <f>IF(N36=0,0,1000000*N36/TrRoad_act!N69)</f>
        <v>20626.650975606703</v>
      </c>
      <c r="O126" s="101">
        <f>IF(O36=0,0,1000000*O36/TrRoad_act!O69)</f>
        <v>20348.879757284118</v>
      </c>
      <c r="P126" s="101">
        <f>IF(P36=0,0,1000000*P36/TrRoad_act!P69)</f>
        <v>20092.520788638103</v>
      </c>
      <c r="Q126" s="101">
        <f>IF(Q36=0,0,1000000*Q36/TrRoad_act!Q69)</f>
        <v>20000.129999997993</v>
      </c>
      <c r="R126" s="101">
        <f>IF(R36=0,0,1000000*R36/TrRoad_act!R69)</f>
        <v>19177.854164920296</v>
      </c>
      <c r="S126" s="101">
        <f>IF(S36=0,0,1000000*S36/TrRoad_act!S69)</f>
        <v>18509.836869601586</v>
      </c>
      <c r="T126" s="101">
        <f>IF(T36=0,0,1000000*T36/TrRoad_act!T69)</f>
        <v>17347.168318603457</v>
      </c>
      <c r="U126" s="101">
        <f>IF(U36=0,0,1000000*U36/TrRoad_act!U69)</f>
        <v>17832.274146615589</v>
      </c>
      <c r="V126" s="101">
        <f>IF(V36=0,0,1000000*V36/TrRoad_act!V69)</f>
        <v>17449.218070325067</v>
      </c>
      <c r="W126" s="101">
        <f>IF(W36=0,0,1000000*W36/TrRoad_act!W69)</f>
        <v>17430.51515407507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14311.296003845273</v>
      </c>
      <c r="C127" s="101">
        <f>IF(C38=0,0,1000000*C38/TrRoad_act!C70)</f>
        <v>14015.375006572063</v>
      </c>
      <c r="D127" s="101">
        <f>IF(D38=0,0,1000000*D38/TrRoad_act!D70)</f>
        <v>13733.712576466703</v>
      </c>
      <c r="E127" s="101">
        <f>IF(E38=0,0,1000000*E38/TrRoad_act!E70)</f>
        <v>13431.22639525265</v>
      </c>
      <c r="F127" s="101">
        <f>IF(F38=0,0,1000000*F38/TrRoad_act!F70)</f>
        <v>12491.245015045719</v>
      </c>
      <c r="G127" s="101">
        <f>IF(G38=0,0,1000000*G38/TrRoad_act!G70)</f>
        <v>12204.631967010533</v>
      </c>
      <c r="H127" s="101">
        <f>IF(H38=0,0,1000000*H38/TrRoad_act!H70)</f>
        <v>11922.732445917671</v>
      </c>
      <c r="I127" s="101">
        <f>IF(I38=0,0,1000000*I38/TrRoad_act!I70)</f>
        <v>11676.503482290786</v>
      </c>
      <c r="J127" s="101">
        <f>IF(J38=0,0,1000000*J38/TrRoad_act!J70)</f>
        <v>11414.603147512906</v>
      </c>
      <c r="K127" s="101">
        <f>IF(K38=0,0,1000000*K38/TrRoad_act!K70)</f>
        <v>11171.361746852102</v>
      </c>
      <c r="L127" s="101">
        <f>IF(L38=0,0,1000000*L38/TrRoad_act!L70)</f>
        <v>10924.451061218448</v>
      </c>
      <c r="M127" s="101">
        <f>IF(M38=0,0,1000000*M38/TrRoad_act!M70)</f>
        <v>10690.571802647051</v>
      </c>
      <c r="N127" s="101">
        <f>IF(N38=0,0,1000000*N38/TrRoad_act!N70)</f>
        <v>10472.09949773245</v>
      </c>
      <c r="O127" s="101">
        <f>IF(O38=0,0,1000000*O38/TrRoad_act!O70)</f>
        <v>10275.364720671139</v>
      </c>
      <c r="P127" s="101">
        <f>IF(P38=0,0,1000000*P38/TrRoad_act!P70)</f>
        <v>10088.96764889861</v>
      </c>
      <c r="Q127" s="101">
        <f>IF(Q38=0,0,1000000*Q38/TrRoad_act!Q70)</f>
        <v>9966.7954909085875</v>
      </c>
      <c r="R127" s="101">
        <f>IF(R38=0,0,1000000*R38/TrRoad_act!R70)</f>
        <v>9482.9183361936648</v>
      </c>
      <c r="S127" s="101">
        <f>IF(S38=0,0,1000000*S38/TrRoad_act!S70)</f>
        <v>9091.2830036396572</v>
      </c>
      <c r="T127" s="101">
        <f>IF(T38=0,0,1000000*T38/TrRoad_act!T70)</f>
        <v>8585.6382071763528</v>
      </c>
      <c r="U127" s="101">
        <f>IF(U38=0,0,1000000*U38/TrRoad_act!U70)</f>
        <v>8800.9580554146469</v>
      </c>
      <c r="V127" s="101">
        <f>IF(V38=0,0,1000000*V38/TrRoad_act!V70)</f>
        <v>8587.2500147105875</v>
      </c>
      <c r="W127" s="101">
        <f>IF(W38=0,0,1000000*W38/TrRoad_act!W70)</f>
        <v>8580.5163206303641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20154.947297065599</v>
      </c>
      <c r="R128" s="101">
        <f>IF(R39=0,0,1000000*R39/TrRoad_act!R71)</f>
        <v>17506.623957406566</v>
      </c>
      <c r="S128" s="101">
        <f>IF(S39=0,0,1000000*S39/TrRoad_act!S71)</f>
        <v>13113.887081996745</v>
      </c>
      <c r="T128" s="101">
        <f>IF(T39=0,0,1000000*T39/TrRoad_act!T71)</f>
        <v>12639.789828671488</v>
      </c>
      <c r="U128" s="101">
        <f>IF(U39=0,0,1000000*U39/TrRoad_act!U71)</f>
        <v>12778.87655661889</v>
      </c>
      <c r="V128" s="101">
        <f>IF(V39=0,0,1000000*V39/TrRoad_act!V71)</f>
        <v>11312.748282698005</v>
      </c>
      <c r="W128" s="101">
        <f>IF(W39=0,0,1000000*W39/TrRoad_act!W71)</f>
        <v>14205.489581813519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12928.939487584754</v>
      </c>
      <c r="C129" s="101">
        <f>IF(C41=0,0,1000000*C41/TrRoad_act!C72)</f>
        <v>12778.541126392405</v>
      </c>
      <c r="D129" s="101">
        <f>IF(D41=0,0,1000000*D41/TrRoad_act!D72)</f>
        <v>12761.817463166417</v>
      </c>
      <c r="E129" s="101">
        <f>IF(E41=0,0,1000000*E41/TrRoad_act!E72)</f>
        <v>12721.162480160536</v>
      </c>
      <c r="F129" s="101">
        <f>IF(F41=0,0,1000000*F41/TrRoad_act!F72)</f>
        <v>12705.770305220898</v>
      </c>
      <c r="G129" s="101">
        <f>IF(G41=0,0,1000000*G41/TrRoad_act!G72)</f>
        <v>11839.198149057323</v>
      </c>
      <c r="H129" s="101">
        <f>IF(H41=0,0,1000000*H41/TrRoad_act!H72)</f>
        <v>11806.093801983252</v>
      </c>
      <c r="I129" s="101">
        <f>IF(I41=0,0,1000000*I41/TrRoad_act!I72)</f>
        <v>11791.995596763712</v>
      </c>
      <c r="J129" s="101">
        <f>IF(J41=0,0,1000000*J41/TrRoad_act!J72)</f>
        <v>11783.306723389951</v>
      </c>
      <c r="K129" s="101">
        <f>IF(K41=0,0,1000000*K41/TrRoad_act!K72)</f>
        <v>11774.214129462009</v>
      </c>
      <c r="L129" s="101">
        <f>IF(L41=0,0,1000000*L41/TrRoad_act!L72)</f>
        <v>11766.829112437761</v>
      </c>
      <c r="M129" s="101">
        <f>IF(M41=0,0,1000000*M41/TrRoad_act!M72)</f>
        <v>11764.767823264205</v>
      </c>
      <c r="N129" s="101">
        <f>IF(N41=0,0,1000000*N41/TrRoad_act!N72)</f>
        <v>11764.51641660594</v>
      </c>
      <c r="O129" s="101">
        <f>IF(O41=0,0,1000000*O41/TrRoad_act!O72)</f>
        <v>11793.966912740985</v>
      </c>
      <c r="P129" s="101">
        <f>IF(P41=0,0,1000000*P41/TrRoad_act!P72)</f>
        <v>11816.704498389958</v>
      </c>
      <c r="Q129" s="101">
        <f>IF(Q41=0,0,1000000*Q41/TrRoad_act!Q72)</f>
        <v>11881.471722399141</v>
      </c>
      <c r="R129" s="101">
        <f>IF(R41=0,0,1000000*R41/TrRoad_act!R72)</f>
        <v>11897.427880957721</v>
      </c>
      <c r="S129" s="101">
        <f>IF(S41=0,0,1000000*S41/TrRoad_act!S72)</f>
        <v>11991.439456269894</v>
      </c>
      <c r="T129" s="101">
        <f>IF(T41=0,0,1000000*T41/TrRoad_act!T72)</f>
        <v>12037.528822044074</v>
      </c>
      <c r="U129" s="101">
        <f>IF(U41=0,0,1000000*U41/TrRoad_act!U72)</f>
        <v>12146.725538868794</v>
      </c>
      <c r="V129" s="101">
        <f>IF(V41=0,0,1000000*V41/TrRoad_act!V72)</f>
        <v>11909.410999762815</v>
      </c>
      <c r="W129" s="101">
        <f>IF(W41=0,0,1000000*W41/TrRoad_act!W72)</f>
        <v>12107.361162263223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1186.6827135245398</v>
      </c>
      <c r="C131" s="152">
        <f>IF(C43=0,0,1000000*C43/TrRoad_act!C74)</f>
        <v>1117.7290909573085</v>
      </c>
      <c r="D131" s="152">
        <f>IF(D43=0,0,1000000*D43/TrRoad_act!D74)</f>
        <v>1129.0883914363674</v>
      </c>
      <c r="E131" s="152">
        <f>IF(E43=0,0,1000000*E43/TrRoad_act!E74)</f>
        <v>1131.669931509746</v>
      </c>
      <c r="F131" s="152">
        <f>IF(F43=0,0,1000000*F43/TrRoad_act!F74)</f>
        <v>1117.0592003439858</v>
      </c>
      <c r="G131" s="152">
        <f>IF(G43=0,0,1000000*G43/TrRoad_act!G74)</f>
        <v>1099.5218703360008</v>
      </c>
      <c r="H131" s="152">
        <f>IF(H43=0,0,1000000*H43/TrRoad_act!H74)</f>
        <v>1122.3303032930933</v>
      </c>
      <c r="I131" s="152">
        <f>IF(I43=0,0,1000000*I43/TrRoad_act!I74)</f>
        <v>1113.5126574072558</v>
      </c>
      <c r="J131" s="152">
        <f>IF(J43=0,0,1000000*J43/TrRoad_act!J74)</f>
        <v>1098.6448005167128</v>
      </c>
      <c r="K131" s="152">
        <f>IF(K43=0,0,1000000*K43/TrRoad_act!K74)</f>
        <v>1115.7420180481529</v>
      </c>
      <c r="L131" s="152">
        <f>IF(L43=0,0,1000000*L43/TrRoad_act!L74)</f>
        <v>1094.6229399244182</v>
      </c>
      <c r="M131" s="152">
        <f>IF(M43=0,0,1000000*M43/TrRoad_act!M74)</f>
        <v>1091.4976620997927</v>
      </c>
      <c r="N131" s="152">
        <f>IF(N43=0,0,1000000*N43/TrRoad_act!N74)</f>
        <v>1072.4099370368442</v>
      </c>
      <c r="O131" s="152">
        <f>IF(O43=0,0,1000000*O43/TrRoad_act!O74)</f>
        <v>1048.7341793820724</v>
      </c>
      <c r="P131" s="152">
        <f>IF(P43=0,0,1000000*P43/TrRoad_act!P74)</f>
        <v>1044.4909085292118</v>
      </c>
      <c r="Q131" s="152">
        <f>IF(Q43=0,0,1000000*Q43/TrRoad_act!Q74)</f>
        <v>1027.1883175881662</v>
      </c>
      <c r="R131" s="152">
        <f>IF(R43=0,0,1000000*R43/TrRoad_act!R74)</f>
        <v>1047.7832450698586</v>
      </c>
      <c r="S131" s="152">
        <f>IF(S43=0,0,1000000*S43/TrRoad_act!S74)</f>
        <v>1061.030198153908</v>
      </c>
      <c r="T131" s="152">
        <f>IF(T43=0,0,1000000*T43/TrRoad_act!T74)</f>
        <v>1084.0455993193439</v>
      </c>
      <c r="U131" s="152">
        <f>IF(U43=0,0,1000000*U43/TrRoad_act!U74)</f>
        <v>1092.5485615062482</v>
      </c>
      <c r="V131" s="152">
        <f>IF(V43=0,0,1000000*V43/TrRoad_act!V74)</f>
        <v>1069.967587368182</v>
      </c>
      <c r="W131" s="152">
        <f>IF(W43=0,0,1000000*W43/TrRoad_act!W74)</f>
        <v>1069.5485346772896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951.18058562429565</v>
      </c>
      <c r="C132" s="87">
        <f>IF(C44=0,0,1000000*C44/TrRoad_act!C75)</f>
        <v>909.17609352721797</v>
      </c>
      <c r="D132" s="87">
        <f>IF(D44=0,0,1000000*D44/TrRoad_act!D75)</f>
        <v>901.73347516678643</v>
      </c>
      <c r="E132" s="87">
        <f>IF(E44=0,0,1000000*E44/TrRoad_act!E75)</f>
        <v>895.59893795212406</v>
      </c>
      <c r="F132" s="87">
        <f>IF(F44=0,0,1000000*F44/TrRoad_act!F75)</f>
        <v>872.18433681242425</v>
      </c>
      <c r="G132" s="87">
        <f>IF(G44=0,0,1000000*G44/TrRoad_act!G75)</f>
        <v>821.6942211735194</v>
      </c>
      <c r="H132" s="87">
        <f>IF(H44=0,0,1000000*H44/TrRoad_act!H75)</f>
        <v>808.65955638667299</v>
      </c>
      <c r="I132" s="87">
        <f>IF(I44=0,0,1000000*I44/TrRoad_act!I75)</f>
        <v>771.70707779178554</v>
      </c>
      <c r="J132" s="87">
        <f>IF(J44=0,0,1000000*J44/TrRoad_act!J75)</f>
        <v>719.4497227321242</v>
      </c>
      <c r="K132" s="87">
        <f>IF(K44=0,0,1000000*K44/TrRoad_act!K75)</f>
        <v>766.33360198160142</v>
      </c>
      <c r="L132" s="87">
        <f>IF(L44=0,0,1000000*L44/TrRoad_act!L75)</f>
        <v>713.93576062457441</v>
      </c>
      <c r="M132" s="87">
        <f>IF(M44=0,0,1000000*M44/TrRoad_act!M75)</f>
        <v>684.60211567022304</v>
      </c>
      <c r="N132" s="87">
        <f>IF(N44=0,0,1000000*N44/TrRoad_act!N75)</f>
        <v>651.11679347234542</v>
      </c>
      <c r="O132" s="87">
        <f>IF(O44=0,0,1000000*O44/TrRoad_act!O75)</f>
        <v>606.93078738948839</v>
      </c>
      <c r="P132" s="87">
        <f>IF(P44=0,0,1000000*P44/TrRoad_act!P75)</f>
        <v>580.25922166123883</v>
      </c>
      <c r="Q132" s="87">
        <f>IF(Q44=0,0,1000000*Q44/TrRoad_act!Q75)</f>
        <v>520.70586718475272</v>
      </c>
      <c r="R132" s="87">
        <f>IF(R44=0,0,1000000*R44/TrRoad_act!R75)</f>
        <v>527.16267440853187</v>
      </c>
      <c r="S132" s="87">
        <f>IF(S44=0,0,1000000*S44/TrRoad_act!S75)</f>
        <v>531.89366319270073</v>
      </c>
      <c r="T132" s="87">
        <f>IF(T44=0,0,1000000*T44/TrRoad_act!T75)</f>
        <v>537.16507018670211</v>
      </c>
      <c r="U132" s="87">
        <f>IF(U44=0,0,1000000*U44/TrRoad_act!U75)</f>
        <v>545.56493441390592</v>
      </c>
      <c r="V132" s="87">
        <f>IF(V44=0,0,1000000*V44/TrRoad_act!V75)</f>
        <v>506.33320737968501</v>
      </c>
      <c r="W132" s="87">
        <f>IF(W44=0,0,1000000*W44/TrRoad_act!W75)</f>
        <v>511.86183258291049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1822.4468169141905</v>
      </c>
      <c r="C133" s="87">
        <f>IF(C46=0,0,1000000*C46/TrRoad_act!C76)</f>
        <v>1695.1584089749092</v>
      </c>
      <c r="D133" s="87">
        <f>IF(D46=0,0,1000000*D46/TrRoad_act!D76)</f>
        <v>1628.2082869005931</v>
      </c>
      <c r="E133" s="87">
        <f>IF(E46=0,0,1000000*E46/TrRoad_act!E76)</f>
        <v>1611.6190549020971</v>
      </c>
      <c r="F133" s="87">
        <f>IF(F46=0,0,1000000*F46/TrRoad_act!F76)</f>
        <v>1554.9605006236452</v>
      </c>
      <c r="G133" s="87">
        <f>IF(G46=0,0,1000000*G46/TrRoad_act!G76)</f>
        <v>1504.6158395906148</v>
      </c>
      <c r="H133" s="87">
        <f>IF(H46=0,0,1000000*H46/TrRoad_act!H76)</f>
        <v>1522.1863468388719</v>
      </c>
      <c r="I133" s="87">
        <f>IF(I46=0,0,1000000*I46/TrRoad_act!I76)</f>
        <v>1484.6542973195985</v>
      </c>
      <c r="J133" s="87">
        <f>IF(J46=0,0,1000000*J46/TrRoad_act!J76)</f>
        <v>1448.2534054688654</v>
      </c>
      <c r="K133" s="87">
        <f>IF(K46=0,0,1000000*K46/TrRoad_act!K76)</f>
        <v>1408.882964401452</v>
      </c>
      <c r="L133" s="87">
        <f>IF(L46=0,0,1000000*L46/TrRoad_act!L76)</f>
        <v>1378.9947087583896</v>
      </c>
      <c r="M133" s="87">
        <f>IF(M46=0,0,1000000*M46/TrRoad_act!M76)</f>
        <v>1354.5058116491846</v>
      </c>
      <c r="N133" s="87">
        <f>IF(N46=0,0,1000000*N46/TrRoad_act!N76)</f>
        <v>1321.2697323575796</v>
      </c>
      <c r="O133" s="87">
        <f>IF(O46=0,0,1000000*O46/TrRoad_act!O76)</f>
        <v>1287.984020345925</v>
      </c>
      <c r="P133" s="87">
        <f>IF(P46=0,0,1000000*P46/TrRoad_act!P76)</f>
        <v>1285.704541370814</v>
      </c>
      <c r="Q133" s="87">
        <f>IF(Q46=0,0,1000000*Q46/TrRoad_act!Q76)</f>
        <v>1268.8481850662715</v>
      </c>
      <c r="R133" s="87">
        <f>IF(R46=0,0,1000000*R46/TrRoad_act!R76)</f>
        <v>1281.6021652283391</v>
      </c>
      <c r="S133" s="87">
        <f>IF(S46=0,0,1000000*S46/TrRoad_act!S76)</f>
        <v>1293.9004482597752</v>
      </c>
      <c r="T133" s="87">
        <f>IF(T46=0,0,1000000*T46/TrRoad_act!T76)</f>
        <v>1310.3514291330835</v>
      </c>
      <c r="U133" s="87">
        <f>IF(U46=0,0,1000000*U46/TrRoad_act!U76)</f>
        <v>1307.5106538053251</v>
      </c>
      <c r="V133" s="87">
        <f>IF(V46=0,0,1000000*V46/TrRoad_act!V76)</f>
        <v>1277.3523800328508</v>
      </c>
      <c r="W133" s="87">
        <f>IF(W46=0,0,1000000*W46/TrRoad_act!W76)</f>
        <v>1264.8807812426519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690.00040252250164</v>
      </c>
      <c r="C134" s="87">
        <f>IF(C48=0,0,1000000*C48/TrRoad_act!C77)</f>
        <v>671.50830074501846</v>
      </c>
      <c r="D134" s="87">
        <f>IF(D48=0,0,1000000*D48/TrRoad_act!D77)</f>
        <v>634.72671493465577</v>
      </c>
      <c r="E134" s="87">
        <f>IF(E48=0,0,1000000*E48/TrRoad_act!E77)</f>
        <v>637.6500164853901</v>
      </c>
      <c r="F134" s="87">
        <f>IF(F48=0,0,1000000*F48/TrRoad_act!F77)</f>
        <v>632.53946970322522</v>
      </c>
      <c r="G134" s="87">
        <f>IF(G48=0,0,1000000*G48/TrRoad_act!G77)</f>
        <v>623.44774237568345</v>
      </c>
      <c r="H134" s="87">
        <f>IF(H48=0,0,1000000*H48/TrRoad_act!H77)</f>
        <v>634.38308251471585</v>
      </c>
      <c r="I134" s="87">
        <f>IF(I48=0,0,1000000*I48/TrRoad_act!I77)</f>
        <v>629.4168280126537</v>
      </c>
      <c r="J134" s="87">
        <f>IF(J48=0,0,1000000*J48/TrRoad_act!J77)</f>
        <v>626.99339330812393</v>
      </c>
      <c r="K134" s="87">
        <f>IF(K48=0,0,1000000*K48/TrRoad_act!K77)</f>
        <v>625.92647899305291</v>
      </c>
      <c r="L134" s="87">
        <f>IF(L48=0,0,1000000*L48/TrRoad_act!L77)</f>
        <v>625.80317592151152</v>
      </c>
      <c r="M134" s="87">
        <f>IF(M48=0,0,1000000*M48/TrRoad_act!M77)</f>
        <v>625.08543967195317</v>
      </c>
      <c r="N134" s="87">
        <f>IF(N48=0,0,1000000*N48/TrRoad_act!N77)</f>
        <v>618.35702912143836</v>
      </c>
      <c r="O134" s="87">
        <f>IF(O48=0,0,1000000*O48/TrRoad_act!O77)</f>
        <v>616.95034014614896</v>
      </c>
      <c r="P134" s="87">
        <f>IF(P48=0,0,1000000*P48/TrRoad_act!P77)</f>
        <v>617.98218649799401</v>
      </c>
      <c r="Q134" s="87">
        <f>IF(Q48=0,0,1000000*Q48/TrRoad_act!Q77)</f>
        <v>620.78552302812363</v>
      </c>
      <c r="R134" s="87">
        <f>IF(R48=0,0,1000000*R48/TrRoad_act!R77)</f>
        <v>623.72058983637748</v>
      </c>
      <c r="S134" s="87">
        <f>IF(S48=0,0,1000000*S48/TrRoad_act!S77)</f>
        <v>633.19479300884848</v>
      </c>
      <c r="T134" s="87">
        <f>IF(T48=0,0,1000000*T48/TrRoad_act!T77)</f>
        <v>642.72164440884535</v>
      </c>
      <c r="U134" s="87">
        <f>IF(U48=0,0,1000000*U48/TrRoad_act!U77)</f>
        <v>651.81056913576856</v>
      </c>
      <c r="V134" s="87">
        <f>IF(V48=0,0,1000000*V48/TrRoad_act!V77)</f>
        <v>638.59668224335883</v>
      </c>
      <c r="W134" s="87">
        <f>IF(W48=0,0,1000000*W48/TrRoad_act!W77)</f>
        <v>636.66461047946302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1112.514684803165</v>
      </c>
      <c r="R135" s="87">
        <f>IF(R49=0,0,1000000*R49/TrRoad_act!R78)</f>
        <v>1126.5483360840735</v>
      </c>
      <c r="S135" s="87">
        <f>IF(S49=0,0,1000000*S49/TrRoad_act!S78)</f>
        <v>1125.317354105259</v>
      </c>
      <c r="T135" s="87">
        <f>IF(T49=0,0,1000000*T49/TrRoad_act!T78)</f>
        <v>1133.3399756394654</v>
      </c>
      <c r="U135" s="87">
        <f>IF(U49=0,0,1000000*U49/TrRoad_act!U78)</f>
        <v>1122.0737219470966</v>
      </c>
      <c r="V135" s="87">
        <f>IF(V49=0,0,1000000*V49/TrRoad_act!V78)</f>
        <v>1079.0907111961744</v>
      </c>
      <c r="W135" s="87">
        <f>IF(W49=0,0,1000000*W49/TrRoad_act!W78)</f>
        <v>1058.8419824422981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112.20508429701476</v>
      </c>
      <c r="O136" s="87">
        <f>IF(O51=0,0,1000000*O51/TrRoad_act!O79)</f>
        <v>113.15963941313856</v>
      </c>
      <c r="P136" s="87">
        <f>IF(P51=0,0,1000000*P51/TrRoad_act!P79)</f>
        <v>113.8539794411971</v>
      </c>
      <c r="Q136" s="87">
        <f>IF(Q51=0,0,1000000*Q51/TrRoad_act!Q79)</f>
        <v>117.21880455382819</v>
      </c>
      <c r="R136" s="87">
        <f>IF(R51=0,0,1000000*R51/TrRoad_act!R79)</f>
        <v>125.5058414648632</v>
      </c>
      <c r="S136" s="87">
        <f>IF(S51=0,0,1000000*S51/TrRoad_act!S79)</f>
        <v>128.90271609563922</v>
      </c>
      <c r="T136" s="87">
        <f>IF(T51=0,0,1000000*T51/TrRoad_act!T79)</f>
        <v>140.95553649921808</v>
      </c>
      <c r="U136" s="87">
        <f>IF(U51=0,0,1000000*U51/TrRoad_act!U79)</f>
        <v>164.37942095063093</v>
      </c>
      <c r="V136" s="87">
        <f>IF(V51=0,0,1000000*V51/TrRoad_act!V79)</f>
        <v>180.29921144447303</v>
      </c>
      <c r="W136" s="87">
        <f>IF(W51=0,0,1000000*W51/TrRoad_act!W79)</f>
        <v>211.78587986347532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1486.0771520938131</v>
      </c>
      <c r="C137" s="116">
        <f>IF(C52=0,0,1000000*C52/TrRoad_act!C80)</f>
        <v>1854.1274096400734</v>
      </c>
      <c r="D137" s="116">
        <f>IF(D52=0,0,1000000*D52/TrRoad_act!D80)</f>
        <v>1217.4845356485723</v>
      </c>
      <c r="E137" s="116">
        <f>IF(E52=0,0,1000000*E52/TrRoad_act!E80)</f>
        <v>2047.9958045263529</v>
      </c>
      <c r="F137" s="116">
        <f>IF(F52=0,0,1000000*F52/TrRoad_act!F80)</f>
        <v>3128.6802068509082</v>
      </c>
      <c r="G137" s="116">
        <f>IF(G52=0,0,1000000*G52/TrRoad_act!G80)</f>
        <v>4333.9202493521589</v>
      </c>
      <c r="H137" s="116">
        <f>IF(H52=0,0,1000000*H52/TrRoad_act!H80)</f>
        <v>5013.0416698879444</v>
      </c>
      <c r="I137" s="116">
        <f>IF(I52=0,0,1000000*I52/TrRoad_act!I80)</f>
        <v>5530.200091952961</v>
      </c>
      <c r="J137" s="116">
        <f>IF(J52=0,0,1000000*J52/TrRoad_act!J80)</f>
        <v>5503.0534803409018</v>
      </c>
      <c r="K137" s="116">
        <f>IF(K52=0,0,1000000*K52/TrRoad_act!K80)</f>
        <v>5320.5895321441894</v>
      </c>
      <c r="L137" s="116">
        <f>IF(L52=0,0,1000000*L52/TrRoad_act!L80)</f>
        <v>5790.1739288387162</v>
      </c>
      <c r="M137" s="116">
        <f>IF(M52=0,0,1000000*M52/TrRoad_act!M80)</f>
        <v>5450.3194253640713</v>
      </c>
      <c r="N137" s="116">
        <f>IF(N52=0,0,1000000*N52/TrRoad_act!N80)</f>
        <v>4551.0782363082126</v>
      </c>
      <c r="O137" s="116">
        <f>IF(O52=0,0,1000000*O52/TrRoad_act!O80)</f>
        <v>3651.5015424361918</v>
      </c>
      <c r="P137" s="116">
        <f>IF(P52=0,0,1000000*P52/TrRoad_act!P80)</f>
        <v>3655.4644128752434</v>
      </c>
      <c r="Q137" s="116">
        <f>IF(Q52=0,0,1000000*Q52/TrRoad_act!Q80)</f>
        <v>3714.8269843788007</v>
      </c>
      <c r="R137" s="116">
        <f>IF(R52=0,0,1000000*R52/TrRoad_act!R80)</f>
        <v>4810.3443630723241</v>
      </c>
      <c r="S137" s="116">
        <f>IF(S52=0,0,1000000*S52/TrRoad_act!S80)</f>
        <v>6444.8641449475144</v>
      </c>
      <c r="T137" s="116">
        <f>IF(T52=0,0,1000000*T52/TrRoad_act!T80)</f>
        <v>6200.3597696582037</v>
      </c>
      <c r="U137" s="116">
        <f>IF(U52=0,0,1000000*U52/TrRoad_act!U80)</f>
        <v>6048.1176183795778</v>
      </c>
      <c r="V137" s="116">
        <f>IF(V52=0,0,1000000*V52/TrRoad_act!V80)</f>
        <v>5418.7114516930242</v>
      </c>
      <c r="W137" s="116">
        <f>IF(W52=0,0,1000000*W52/TrRoad_act!W80)</f>
        <v>6782.4286965090168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1169.7332071747801</v>
      </c>
      <c r="C138" s="101">
        <f>IF(C53=0,0,1000000*C53/TrRoad_act!C81)</f>
        <v>1450.4643922417933</v>
      </c>
      <c r="D138" s="101">
        <f>IF(D53=0,0,1000000*D53/TrRoad_act!D81)</f>
        <v>949.01775910747062</v>
      </c>
      <c r="E138" s="101">
        <f>IF(E53=0,0,1000000*E53/TrRoad_act!E81)</f>
        <v>1618.5181437689291</v>
      </c>
      <c r="F138" s="101">
        <f>IF(F53=0,0,1000000*F53/TrRoad_act!F81)</f>
        <v>2484.450022068339</v>
      </c>
      <c r="G138" s="101">
        <f>IF(G53=0,0,1000000*G53/TrRoad_act!G81)</f>
        <v>3460.3582708618778</v>
      </c>
      <c r="H138" s="101">
        <f>IF(H53=0,0,1000000*H53/TrRoad_act!H81)</f>
        <v>3838.7217332660962</v>
      </c>
      <c r="I138" s="101">
        <f>IF(I53=0,0,1000000*I53/TrRoad_act!I81)</f>
        <v>4395.2564478677959</v>
      </c>
      <c r="J138" s="101">
        <f>IF(J53=0,0,1000000*J53/TrRoad_act!J81)</f>
        <v>4430.4733431059367</v>
      </c>
      <c r="K138" s="101">
        <f>IF(K53=0,0,1000000*K53/TrRoad_act!K81)</f>
        <v>4412.7154961281385</v>
      </c>
      <c r="L138" s="101">
        <f>IF(L53=0,0,1000000*L53/TrRoad_act!L81)</f>
        <v>4729.1831521795739</v>
      </c>
      <c r="M138" s="101">
        <f>IF(M53=0,0,1000000*M53/TrRoad_act!M81)</f>
        <v>4486.3294992051324</v>
      </c>
      <c r="N138" s="101">
        <f>IF(N53=0,0,1000000*N53/TrRoad_act!N81)</f>
        <v>3677.4532781035678</v>
      </c>
      <c r="O138" s="101">
        <f>IF(O53=0,0,1000000*O53/TrRoad_act!O81)</f>
        <v>2970.7643941194528</v>
      </c>
      <c r="P138" s="101">
        <f>IF(P53=0,0,1000000*P53/TrRoad_act!P81)</f>
        <v>2948.9134772060506</v>
      </c>
      <c r="Q138" s="101">
        <f>IF(Q53=0,0,1000000*Q53/TrRoad_act!Q81)</f>
        <v>3021.0735727875522</v>
      </c>
      <c r="R138" s="101">
        <f>IF(R53=0,0,1000000*R53/TrRoad_act!R81)</f>
        <v>3828.2555699335462</v>
      </c>
      <c r="S138" s="101">
        <f>IF(S53=0,0,1000000*S53/TrRoad_act!S81)</f>
        <v>5110.4682409527231</v>
      </c>
      <c r="T138" s="101">
        <f>IF(T53=0,0,1000000*T53/TrRoad_act!T81)</f>
        <v>5000.1143187271837</v>
      </c>
      <c r="U138" s="101">
        <f>IF(U53=0,0,1000000*U53/TrRoad_act!U81)</f>
        <v>4735.409206600626</v>
      </c>
      <c r="V138" s="101">
        <f>IF(V53=0,0,1000000*V53/TrRoad_act!V81)</f>
        <v>4304.4727757739656</v>
      </c>
      <c r="W138" s="101">
        <f>IF(W53=0,0,1000000*W53/TrRoad_act!W81)</f>
        <v>5398.5675262513842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11378.527980976865</v>
      </c>
      <c r="C139" s="88">
        <f>IF(C55=0,0,1000000*C55/TrRoad_act!C82)</f>
        <v>14081.371207574422</v>
      </c>
      <c r="D139" s="88">
        <f>IF(D55=0,0,1000000*D55/TrRoad_act!D82)</f>
        <v>10147.970613932413</v>
      </c>
      <c r="E139" s="88">
        <f>IF(E55=0,0,1000000*E55/TrRoad_act!E82)</f>
        <v>15998.11483739615</v>
      </c>
      <c r="F139" s="88">
        <f>IF(F55=0,0,1000000*F55/TrRoad_act!F82)</f>
        <v>20309.521742253441</v>
      </c>
      <c r="G139" s="88">
        <f>IF(G55=0,0,1000000*G55/TrRoad_act!G82)</f>
        <v>27214.397661313349</v>
      </c>
      <c r="H139" s="88">
        <f>IF(H55=0,0,1000000*H55/TrRoad_act!H82)</f>
        <v>30428.066410253796</v>
      </c>
      <c r="I139" s="88">
        <f>IF(I55=0,0,1000000*I55/TrRoad_act!I82)</f>
        <v>34078.854938549564</v>
      </c>
      <c r="J139" s="88">
        <f>IF(J55=0,0,1000000*J55/TrRoad_act!J82)</f>
        <v>34496.269999020442</v>
      </c>
      <c r="K139" s="88">
        <f>IF(K55=0,0,1000000*K55/TrRoad_act!K82)</f>
        <v>31392.878228018148</v>
      </c>
      <c r="L139" s="88">
        <f>IF(L55=0,0,1000000*L55/TrRoad_act!L82)</f>
        <v>32406.148685033622</v>
      </c>
      <c r="M139" s="88">
        <f>IF(M55=0,0,1000000*M55/TrRoad_act!M82)</f>
        <v>29703.204338548847</v>
      </c>
      <c r="N139" s="88">
        <f>IF(N55=0,0,1000000*N55/TrRoad_act!N82)</f>
        <v>24990.317106887924</v>
      </c>
      <c r="O139" s="88">
        <f>IF(O55=0,0,1000000*O55/TrRoad_act!O82)</f>
        <v>19095.067232156052</v>
      </c>
      <c r="P139" s="88">
        <f>IF(P55=0,0,1000000*P55/TrRoad_act!P82)</f>
        <v>20086.628041822289</v>
      </c>
      <c r="Q139" s="88">
        <f>IF(Q55=0,0,1000000*Q55/TrRoad_act!Q82)</f>
        <v>20066.431534393829</v>
      </c>
      <c r="R139" s="88">
        <f>IF(R55=0,0,1000000*R55/TrRoad_act!R82)</f>
        <v>25989.559904251211</v>
      </c>
      <c r="S139" s="88">
        <f>IF(S55=0,0,1000000*S55/TrRoad_act!S82)</f>
        <v>32534.115926238141</v>
      </c>
      <c r="T139" s="88">
        <f>IF(T55=0,0,1000000*T55/TrRoad_act!T82)</f>
        <v>34985.642107926476</v>
      </c>
      <c r="U139" s="88">
        <f>IF(U55=0,0,1000000*U55/TrRoad_act!U82)</f>
        <v>34127.689497854619</v>
      </c>
      <c r="V139" s="88">
        <f>IF(V55=0,0,1000000*V55/TrRoad_act!V82)</f>
        <v>30778.808317582516</v>
      </c>
      <c r="W139" s="88">
        <f>IF(W55=0,0,1000000*W55/TrRoad_act!W82)</f>
        <v>37661.739919846572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0.7016406502749124</v>
      </c>
      <c r="C142" s="46">
        <f t="shared" si="41"/>
        <v>0.68567035956799904</v>
      </c>
      <c r="D142" s="46">
        <f t="shared" si="41"/>
        <v>0.69683849741839021</v>
      </c>
      <c r="E142" s="46">
        <f t="shared" si="41"/>
        <v>0.66596284517410753</v>
      </c>
      <c r="F142" s="46">
        <f t="shared" si="41"/>
        <v>0.65486062199020512</v>
      </c>
      <c r="G142" s="46">
        <f t="shared" si="41"/>
        <v>0.61233900193943336</v>
      </c>
      <c r="H142" s="46">
        <f t="shared" si="41"/>
        <v>0.60991561824566565</v>
      </c>
      <c r="I142" s="46">
        <f t="shared" si="41"/>
        <v>0.60288926702780754</v>
      </c>
      <c r="J142" s="46">
        <f t="shared" si="41"/>
        <v>0.6002726465235434</v>
      </c>
      <c r="K142" s="46">
        <f t="shared" si="41"/>
        <v>0.60879077856872332</v>
      </c>
      <c r="L142" s="46">
        <f t="shared" ref="L142" si="42">IF(L18=0,0,L18/L$17)</f>
        <v>0.59926291686632682</v>
      </c>
      <c r="M142" s="46">
        <f t="shared" ref="M142:V142" si="43">IF(M18=0,0,M18/M$17)</f>
        <v>0.59817472586993248</v>
      </c>
      <c r="N142" s="46">
        <f t="shared" si="43"/>
        <v>0.62083069042836436</v>
      </c>
      <c r="O142" s="46">
        <f t="shared" si="43"/>
        <v>0.63339505142962316</v>
      </c>
      <c r="P142" s="46">
        <f t="shared" si="43"/>
        <v>0.62845361140836653</v>
      </c>
      <c r="Q142" s="46">
        <f t="shared" si="43"/>
        <v>0.63473939812708613</v>
      </c>
      <c r="R142" s="46">
        <f t="shared" si="43"/>
        <v>0.60694870706218429</v>
      </c>
      <c r="S142" s="46">
        <f t="shared" si="43"/>
        <v>0.57816938886758995</v>
      </c>
      <c r="T142" s="46">
        <f t="shared" si="43"/>
        <v>0.58380629127249573</v>
      </c>
      <c r="U142" s="46">
        <f t="shared" si="43"/>
        <v>0.58851524532313571</v>
      </c>
      <c r="V142" s="46">
        <f t="shared" si="43"/>
        <v>0.59162507163595202</v>
      </c>
      <c r="W142" s="46">
        <f t="shared" ref="W142" si="44">IF(W18=0,0,W18/W$17)</f>
        <v>0.54491358276797186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1.1592124685322126E-2</v>
      </c>
      <c r="C143" s="154">
        <f t="shared" si="45"/>
        <v>1.0392541326857463E-2</v>
      </c>
      <c r="D143" s="154">
        <f t="shared" si="45"/>
        <v>1.0071994564078363E-2</v>
      </c>
      <c r="E143" s="154">
        <f t="shared" si="45"/>
        <v>8.4836727063819437E-3</v>
      </c>
      <c r="F143" s="154">
        <f t="shared" si="45"/>
        <v>7.1287703461673096E-3</v>
      </c>
      <c r="G143" s="154">
        <f t="shared" si="45"/>
        <v>6.7734432740941646E-3</v>
      </c>
      <c r="H143" s="154">
        <f t="shared" si="45"/>
        <v>6.404351408408589E-3</v>
      </c>
      <c r="I143" s="154">
        <f t="shared" si="45"/>
        <v>6.1807038234037185E-3</v>
      </c>
      <c r="J143" s="154">
        <f t="shared" si="45"/>
        <v>5.9989724825583379E-3</v>
      </c>
      <c r="K143" s="154">
        <f t="shared" si="45"/>
        <v>5.9792435461960454E-3</v>
      </c>
      <c r="L143" s="154">
        <f t="shared" ref="L143" si="46">IF(L19=0,0,L19/L$17)</f>
        <v>5.9415304163625074E-3</v>
      </c>
      <c r="M143" s="154">
        <f t="shared" ref="M143:V143" si="47">IF(M19=0,0,M19/M$17)</f>
        <v>5.763079752218723E-3</v>
      </c>
      <c r="N143" s="154">
        <f t="shared" si="47"/>
        <v>6.013410424497938E-3</v>
      </c>
      <c r="O143" s="154">
        <f t="shared" si="47"/>
        <v>6.2024533284061063E-3</v>
      </c>
      <c r="P143" s="154">
        <f t="shared" si="47"/>
        <v>6.1758053650446502E-3</v>
      </c>
      <c r="Q143" s="154">
        <f t="shared" si="47"/>
        <v>6.0539512169581183E-3</v>
      </c>
      <c r="R143" s="154">
        <f t="shared" si="47"/>
        <v>5.6972676828733635E-3</v>
      </c>
      <c r="S143" s="154">
        <f t="shared" si="47"/>
        <v>4.6179492153006268E-3</v>
      </c>
      <c r="T143" s="154">
        <f t="shared" si="47"/>
        <v>4.2324470347300264E-3</v>
      </c>
      <c r="U143" s="154">
        <f t="shared" si="47"/>
        <v>4.3991531432256504E-3</v>
      </c>
      <c r="V143" s="154">
        <f t="shared" si="47"/>
        <v>4.1187025188211736E-3</v>
      </c>
      <c r="W143" s="154">
        <f t="shared" ref="W143" si="48">IF(W19=0,0,W19/W$17)</f>
        <v>3.7748845774742291E-3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0.57936737868498422</v>
      </c>
      <c r="C144" s="156">
        <f t="shared" si="49"/>
        <v>0.57184032935532769</v>
      </c>
      <c r="D144" s="156">
        <f t="shared" si="49"/>
        <v>0.58287928990091842</v>
      </c>
      <c r="E144" s="156">
        <f t="shared" si="49"/>
        <v>0.56627646942979193</v>
      </c>
      <c r="F144" s="156">
        <f t="shared" si="49"/>
        <v>0.56271107851491287</v>
      </c>
      <c r="G144" s="156">
        <f t="shared" si="49"/>
        <v>0.52836803809419097</v>
      </c>
      <c r="H144" s="156">
        <f t="shared" si="49"/>
        <v>0.53721079811572214</v>
      </c>
      <c r="I144" s="156">
        <f t="shared" si="49"/>
        <v>0.53614647050031605</v>
      </c>
      <c r="J144" s="156">
        <f t="shared" si="49"/>
        <v>0.53890423807489551</v>
      </c>
      <c r="K144" s="156">
        <f t="shared" si="49"/>
        <v>0.54859378585500052</v>
      </c>
      <c r="L144" s="156">
        <f t="shared" ref="L144" si="50">IF(L21=0,0,L21/L$17)</f>
        <v>0.54286207411581922</v>
      </c>
      <c r="M144" s="156">
        <f t="shared" ref="M144:V144" si="51">IF(M21=0,0,M21/M$17)</f>
        <v>0.5419384287582687</v>
      </c>
      <c r="N144" s="156">
        <f t="shared" si="51"/>
        <v>0.56297714991297576</v>
      </c>
      <c r="O144" s="156">
        <f t="shared" si="51"/>
        <v>0.57121464505661057</v>
      </c>
      <c r="P144" s="156">
        <f t="shared" si="51"/>
        <v>0.56528836619965606</v>
      </c>
      <c r="Q144" s="156">
        <f t="shared" si="51"/>
        <v>0.56552009770660316</v>
      </c>
      <c r="R144" s="156">
        <f t="shared" si="51"/>
        <v>0.54590365888315384</v>
      </c>
      <c r="S144" s="156">
        <f t="shared" si="51"/>
        <v>0.52656609821120037</v>
      </c>
      <c r="T144" s="156">
        <f t="shared" si="51"/>
        <v>0.53613091878015307</v>
      </c>
      <c r="U144" s="156">
        <f t="shared" si="51"/>
        <v>0.53929766772862975</v>
      </c>
      <c r="V144" s="156">
        <f t="shared" si="51"/>
        <v>0.54105695867934611</v>
      </c>
      <c r="W144" s="156">
        <f t="shared" ref="W144" si="52">IF(W21=0,0,W21/W$17)</f>
        <v>0.49809774445294491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0.4560278055736976</v>
      </c>
      <c r="C145" s="103">
        <f t="shared" si="53"/>
        <v>0.42204393205451912</v>
      </c>
      <c r="D145" s="103">
        <f t="shared" si="53"/>
        <v>0.39991650241987647</v>
      </c>
      <c r="E145" s="103">
        <f t="shared" si="53"/>
        <v>0.35156019044456865</v>
      </c>
      <c r="F145" s="103">
        <f t="shared" si="53"/>
        <v>0.32445769216118292</v>
      </c>
      <c r="G145" s="103">
        <f t="shared" si="53"/>
        <v>0.2980894152899578</v>
      </c>
      <c r="H145" s="103">
        <f t="shared" si="53"/>
        <v>0.28277092206471088</v>
      </c>
      <c r="I145" s="103">
        <f t="shared" si="53"/>
        <v>0.26031604076558051</v>
      </c>
      <c r="J145" s="103">
        <f t="shared" si="53"/>
        <v>0.24714298115104605</v>
      </c>
      <c r="K145" s="103">
        <f t="shared" si="53"/>
        <v>0.24651068205061433</v>
      </c>
      <c r="L145" s="103">
        <f t="shared" ref="L145" si="54">IF(L22=0,0,L22/L$17)</f>
        <v>0.22878794732149207</v>
      </c>
      <c r="M145" s="103">
        <f t="shared" ref="M145:V145" si="55">IF(M22=0,0,M22/M$17)</f>
        <v>0.2143066862027336</v>
      </c>
      <c r="N145" s="103">
        <f t="shared" si="55"/>
        <v>0.21447292605875481</v>
      </c>
      <c r="O145" s="103">
        <f t="shared" si="55"/>
        <v>0.21975656182063133</v>
      </c>
      <c r="P145" s="103">
        <f t="shared" si="55"/>
        <v>0.21200487858334596</v>
      </c>
      <c r="Q145" s="103">
        <f t="shared" si="55"/>
        <v>0.21310647315639628</v>
      </c>
      <c r="R145" s="103">
        <f t="shared" si="55"/>
        <v>0.20188455403447211</v>
      </c>
      <c r="S145" s="103">
        <f t="shared" si="55"/>
        <v>0.19149523895321902</v>
      </c>
      <c r="T145" s="103">
        <f t="shared" si="55"/>
        <v>0.19200808962439084</v>
      </c>
      <c r="U145" s="103">
        <f t="shared" si="55"/>
        <v>0.1946971689022565</v>
      </c>
      <c r="V145" s="103">
        <f t="shared" si="55"/>
        <v>0.19009895554912343</v>
      </c>
      <c r="W145" s="103">
        <f t="shared" ref="W145" si="56">IF(W22=0,0,W22/W$17)</f>
        <v>0.1958362125448824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7.5535200578507544E-2</v>
      </c>
      <c r="C146" s="103">
        <f t="shared" si="57"/>
        <v>8.161331084624987E-2</v>
      </c>
      <c r="D146" s="103">
        <f t="shared" si="57"/>
        <v>8.2368064750898307E-2</v>
      </c>
      <c r="E146" s="103">
        <f t="shared" si="57"/>
        <v>9.4743468938601527E-2</v>
      </c>
      <c r="F146" s="103">
        <f t="shared" si="57"/>
        <v>0.10487640355667753</v>
      </c>
      <c r="G146" s="103">
        <f t="shared" si="57"/>
        <v>8.6206179686427867E-2</v>
      </c>
      <c r="H146" s="103">
        <f t="shared" si="57"/>
        <v>0.11207799839112245</v>
      </c>
      <c r="I146" s="103">
        <f t="shared" si="57"/>
        <v>0.14357287778401842</v>
      </c>
      <c r="J146" s="103">
        <f t="shared" si="57"/>
        <v>0.1704500836371047</v>
      </c>
      <c r="K146" s="103">
        <f t="shared" si="57"/>
        <v>0.19242445880869002</v>
      </c>
      <c r="L146" s="103">
        <f t="shared" ref="L146" si="58">IF(L24=0,0,L24/L$17)</f>
        <v>0.21114047826770749</v>
      </c>
      <c r="M146" s="103">
        <f t="shared" ref="M146:V146" si="59">IF(M24=0,0,M24/M$17)</f>
        <v>0.2295584205633269</v>
      </c>
      <c r="N146" s="103">
        <f t="shared" si="59"/>
        <v>0.24520369622470378</v>
      </c>
      <c r="O146" s="103">
        <f t="shared" si="59"/>
        <v>0.2418798706251731</v>
      </c>
      <c r="P146" s="103">
        <f t="shared" si="59"/>
        <v>0.24395644437986388</v>
      </c>
      <c r="Q146" s="103">
        <f t="shared" si="59"/>
        <v>0.24652506040696037</v>
      </c>
      <c r="R146" s="103">
        <f t="shared" si="59"/>
        <v>0.24369931312031409</v>
      </c>
      <c r="S146" s="103">
        <f t="shared" si="59"/>
        <v>0.2428131099682162</v>
      </c>
      <c r="T146" s="103">
        <f t="shared" si="59"/>
        <v>0.2543829728438679</v>
      </c>
      <c r="U146" s="103">
        <f t="shared" si="59"/>
        <v>0.25292718227423494</v>
      </c>
      <c r="V146" s="103">
        <f t="shared" si="59"/>
        <v>0.26543038366903415</v>
      </c>
      <c r="W146" s="103">
        <f t="shared" ref="W146" si="60">IF(W24=0,0,W24/W$17)</f>
        <v>0.21929291956119856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4.7804372532779082E-2</v>
      </c>
      <c r="C147" s="103">
        <f t="shared" si="61"/>
        <v>6.8183086454558742E-2</v>
      </c>
      <c r="D147" s="103">
        <f t="shared" si="61"/>
        <v>0.10059472273014368</v>
      </c>
      <c r="E147" s="103">
        <f t="shared" si="61"/>
        <v>0.11997281004662178</v>
      </c>
      <c r="F147" s="103">
        <f t="shared" si="61"/>
        <v>0.13337698279705246</v>
      </c>
      <c r="G147" s="103">
        <f t="shared" si="61"/>
        <v>0.14407244311780537</v>
      </c>
      <c r="H147" s="103">
        <f t="shared" si="61"/>
        <v>0.14236187765988881</v>
      </c>
      <c r="I147" s="103">
        <f t="shared" si="61"/>
        <v>0.13225755195071723</v>
      </c>
      <c r="J147" s="103">
        <f t="shared" si="61"/>
        <v>0.12131117328674476</v>
      </c>
      <c r="K147" s="103">
        <f t="shared" si="61"/>
        <v>0.10965864499569608</v>
      </c>
      <c r="L147" s="103">
        <f t="shared" ref="L147" si="62">IF(L26=0,0,L26/L$17)</f>
        <v>0.10293355205745564</v>
      </c>
      <c r="M147" s="103">
        <f t="shared" ref="M147:V147" si="63">IF(M26=0,0,M26/M$17)</f>
        <v>9.8072656350614795E-2</v>
      </c>
      <c r="N147" s="103">
        <f t="shared" si="63"/>
        <v>0.10329897095728097</v>
      </c>
      <c r="O147" s="103">
        <f t="shared" si="63"/>
        <v>0.10957618447926566</v>
      </c>
      <c r="P147" s="103">
        <f t="shared" si="63"/>
        <v>0.10930571490777455</v>
      </c>
      <c r="Q147" s="103">
        <f t="shared" si="63"/>
        <v>0.10572305971421665</v>
      </c>
      <c r="R147" s="103">
        <f t="shared" si="63"/>
        <v>0.10011732878861902</v>
      </c>
      <c r="S147" s="103">
        <f t="shared" si="63"/>
        <v>9.2043933475658216E-2</v>
      </c>
      <c r="T147" s="103">
        <f t="shared" si="63"/>
        <v>8.9492001099776439E-2</v>
      </c>
      <c r="U147" s="103">
        <f t="shared" si="63"/>
        <v>9.1402700733132641E-2</v>
      </c>
      <c r="V147" s="103">
        <f t="shared" si="63"/>
        <v>8.5169063313241741E-2</v>
      </c>
      <c r="W147" s="103">
        <f t="shared" ref="W147" si="64">IF(W26=0,0,W26/W$17)</f>
        <v>8.2416459572793782E-2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1.5839496974714482E-4</v>
      </c>
      <c r="R148" s="103">
        <f t="shared" si="67"/>
        <v>1.9013388185213577E-4</v>
      </c>
      <c r="S148" s="103">
        <f t="shared" si="67"/>
        <v>1.8699353236691327E-4</v>
      </c>
      <c r="T148" s="103">
        <f t="shared" si="67"/>
        <v>1.9309776377237481E-4</v>
      </c>
      <c r="U148" s="103">
        <f t="shared" si="67"/>
        <v>1.9424903913139286E-4</v>
      </c>
      <c r="V148" s="103">
        <f t="shared" si="67"/>
        <v>1.9478897621475144E-4</v>
      </c>
      <c r="W148" s="103">
        <f t="shared" ref="W148" si="68">IF(W27=0,0,W27/W$17)</f>
        <v>1.7689467623263028E-4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1.6714587264540347E-7</v>
      </c>
      <c r="O149" s="103">
        <f t="shared" si="71"/>
        <v>3.6547917520433101E-7</v>
      </c>
      <c r="P149" s="103">
        <f t="shared" si="71"/>
        <v>1.9286931061158748E-5</v>
      </c>
      <c r="Q149" s="103">
        <f t="shared" si="71"/>
        <v>4.775873456191829E-6</v>
      </c>
      <c r="R149" s="103">
        <f t="shared" si="71"/>
        <v>6.972339918459276E-6</v>
      </c>
      <c r="S149" s="103">
        <f t="shared" si="71"/>
        <v>1.2867446601421559E-5</v>
      </c>
      <c r="T149" s="103">
        <f t="shared" si="71"/>
        <v>2.6345675809131159E-5</v>
      </c>
      <c r="U149" s="103">
        <f t="shared" si="71"/>
        <v>3.7303248371159819E-5</v>
      </c>
      <c r="V149" s="103">
        <f t="shared" si="71"/>
        <v>9.4681425241031268E-5</v>
      </c>
      <c r="W149" s="103">
        <f t="shared" ref="W149" si="72">IF(W29=0,0,W29/W$17)</f>
        <v>2.9336424148329864E-4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9.6469163962610935E-8</v>
      </c>
      <c r="M150" s="103">
        <f t="shared" ref="M150:V150" si="75">IF(M32=0,0,M32/M$17)</f>
        <v>6.6564159347999285E-7</v>
      </c>
      <c r="N150" s="103">
        <f t="shared" si="75"/>
        <v>1.3895263635291138E-6</v>
      </c>
      <c r="O150" s="103">
        <f t="shared" si="75"/>
        <v>1.6626523653966743E-6</v>
      </c>
      <c r="P150" s="103">
        <f t="shared" si="75"/>
        <v>2.0413976103979145E-6</v>
      </c>
      <c r="Q150" s="103">
        <f t="shared" si="75"/>
        <v>2.3335858264632593E-6</v>
      </c>
      <c r="R150" s="103">
        <f t="shared" si="75"/>
        <v>5.3567179780582112E-6</v>
      </c>
      <c r="S150" s="103">
        <f t="shared" si="75"/>
        <v>1.3954835138640187E-5</v>
      </c>
      <c r="T150" s="103">
        <f t="shared" si="75"/>
        <v>2.8411772536395789E-5</v>
      </c>
      <c r="U150" s="103">
        <f t="shared" si="75"/>
        <v>3.9063531503174204E-5</v>
      </c>
      <c r="V150" s="103">
        <f t="shared" si="75"/>
        <v>6.9085746490982371E-5</v>
      </c>
      <c r="W150" s="103">
        <f t="shared" ref="W150" si="76">IF(W32=0,0,W32/W$17)</f>
        <v>8.1893856354231501E-5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0.11068114690460608</v>
      </c>
      <c r="C151" s="156">
        <f t="shared" si="77"/>
        <v>0.10343748888581378</v>
      </c>
      <c r="D151" s="156">
        <f t="shared" si="77"/>
        <v>0.10388721295339338</v>
      </c>
      <c r="E151" s="156">
        <f t="shared" si="77"/>
        <v>9.1202703037933722E-2</v>
      </c>
      <c r="F151" s="156">
        <f t="shared" si="77"/>
        <v>8.5020773129124982E-2</v>
      </c>
      <c r="G151" s="156">
        <f t="shared" si="77"/>
        <v>7.7197520571148259E-2</v>
      </c>
      <c r="H151" s="156">
        <f t="shared" si="77"/>
        <v>6.6300468721534861E-2</v>
      </c>
      <c r="I151" s="156">
        <f t="shared" si="77"/>
        <v>6.0562092704087696E-2</v>
      </c>
      <c r="J151" s="156">
        <f t="shared" si="77"/>
        <v>5.5369435966089682E-2</v>
      </c>
      <c r="K151" s="156">
        <f t="shared" si="77"/>
        <v>5.4217749167526808E-2</v>
      </c>
      <c r="L151" s="156">
        <f t="shared" ref="L151" si="78">IF(L33=0,0,L33/L$17)</f>
        <v>5.0459312334145218E-2</v>
      </c>
      <c r="M151" s="156">
        <f t="shared" ref="M151:V151" si="79">IF(M33=0,0,M33/M$17)</f>
        <v>5.0473217359444933E-2</v>
      </c>
      <c r="N151" s="156">
        <f t="shared" si="79"/>
        <v>5.1840130090890578E-2</v>
      </c>
      <c r="O151" s="156">
        <f t="shared" si="79"/>
        <v>5.5977953044606517E-2</v>
      </c>
      <c r="P151" s="156">
        <f t="shared" si="79"/>
        <v>5.6989439843665744E-2</v>
      </c>
      <c r="Q151" s="156">
        <f t="shared" si="79"/>
        <v>6.3165349203524929E-2</v>
      </c>
      <c r="R151" s="156">
        <f t="shared" si="79"/>
        <v>5.5347780496157059E-2</v>
      </c>
      <c r="S151" s="156">
        <f t="shared" si="79"/>
        <v>4.6985341441088964E-2</v>
      </c>
      <c r="T151" s="156">
        <f t="shared" si="79"/>
        <v>4.3442925457612629E-2</v>
      </c>
      <c r="U151" s="156">
        <f t="shared" si="79"/>
        <v>4.4818424451280377E-2</v>
      </c>
      <c r="V151" s="156">
        <f t="shared" si="79"/>
        <v>4.6449410437784722E-2</v>
      </c>
      <c r="W151" s="156">
        <f t="shared" ref="W151" si="80">IF(W33=0,0,W33/W$17)</f>
        <v>4.3040953737552796E-2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0.10903342912755844</v>
      </c>
      <c r="C153" s="103">
        <f t="shared" si="85"/>
        <v>0.10188986067047945</v>
      </c>
      <c r="D153" s="103">
        <f t="shared" si="85"/>
        <v>0.10242108032223475</v>
      </c>
      <c r="E153" s="103">
        <f t="shared" si="85"/>
        <v>9.0060746590604063E-2</v>
      </c>
      <c r="F153" s="103">
        <f t="shared" si="85"/>
        <v>8.2831628903862614E-2</v>
      </c>
      <c r="G153" s="103">
        <f t="shared" si="85"/>
        <v>7.492173627186903E-2</v>
      </c>
      <c r="H153" s="103">
        <f t="shared" si="85"/>
        <v>6.4379548782366888E-2</v>
      </c>
      <c r="I153" s="103">
        <f t="shared" si="85"/>
        <v>5.8930947045110565E-2</v>
      </c>
      <c r="J153" s="103">
        <f t="shared" si="85"/>
        <v>5.3937861610111867E-2</v>
      </c>
      <c r="K153" s="103">
        <f t="shared" si="85"/>
        <v>5.2922955824216196E-2</v>
      </c>
      <c r="L153" s="103">
        <f t="shared" ref="L153" si="86">IF(L36=0,0,L36/L$17)</f>
        <v>4.9322215956136277E-2</v>
      </c>
      <c r="M153" s="103">
        <f t="shared" ref="M153:V153" si="87">IF(M36=0,0,M36/M$17)</f>
        <v>4.9427812387559604E-2</v>
      </c>
      <c r="N153" s="103">
        <f t="shared" si="87"/>
        <v>5.0825206298054926E-2</v>
      </c>
      <c r="O153" s="103">
        <f t="shared" si="87"/>
        <v>5.4939682374839746E-2</v>
      </c>
      <c r="P153" s="103">
        <f t="shared" si="87"/>
        <v>5.6013833208382206E-2</v>
      </c>
      <c r="Q153" s="103">
        <f t="shared" si="87"/>
        <v>6.1566249147638759E-2</v>
      </c>
      <c r="R153" s="103">
        <f t="shared" si="87"/>
        <v>5.4102649275535548E-2</v>
      </c>
      <c r="S153" s="103">
        <f t="shared" si="87"/>
        <v>4.6083360266245092E-2</v>
      </c>
      <c r="T153" s="103">
        <f t="shared" si="87"/>
        <v>4.2574833767922891E-2</v>
      </c>
      <c r="U153" s="103">
        <f t="shared" si="87"/>
        <v>4.3860613431598416E-2</v>
      </c>
      <c r="V153" s="103">
        <f t="shared" si="87"/>
        <v>4.5194419864853959E-2</v>
      </c>
      <c r="W153" s="103">
        <f t="shared" ref="W153" si="88">IF(W36=0,0,W36/W$17)</f>
        <v>4.1388980291146509E-2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1.3099979492351265E-3</v>
      </c>
      <c r="C154" s="103">
        <f t="shared" si="89"/>
        <v>1.1843372343199226E-3</v>
      </c>
      <c r="D154" s="103">
        <f t="shared" si="89"/>
        <v>1.0858910697958391E-3</v>
      </c>
      <c r="E154" s="103">
        <f t="shared" si="89"/>
        <v>8.7614286471154608E-4</v>
      </c>
      <c r="F154" s="103">
        <f t="shared" si="89"/>
        <v>1.9782695811249957E-3</v>
      </c>
      <c r="G154" s="103">
        <f t="shared" si="89"/>
        <v>1.6487992717377183E-3</v>
      </c>
      <c r="H154" s="103">
        <f t="shared" si="89"/>
        <v>1.3858942617083999E-3</v>
      </c>
      <c r="I154" s="103">
        <f t="shared" si="89"/>
        <v>1.1633704329671235E-3</v>
      </c>
      <c r="J154" s="103">
        <f t="shared" si="89"/>
        <v>1.0118723434304291E-3</v>
      </c>
      <c r="K154" s="103">
        <f t="shared" si="89"/>
        <v>9.0492872191722689E-4</v>
      </c>
      <c r="L154" s="103">
        <f t="shared" ref="L154" si="90">IF(L38=0,0,L38/L$17)</f>
        <v>7.7901243231244261E-4</v>
      </c>
      <c r="M154" s="103">
        <f t="shared" ref="M154:V154" si="91">IF(M38=0,0,M38/M$17)</f>
        <v>7.0533304885279317E-4</v>
      </c>
      <c r="N154" s="103">
        <f t="shared" si="91"/>
        <v>6.785664940274211E-4</v>
      </c>
      <c r="O154" s="103">
        <f t="shared" si="91"/>
        <v>6.6368218935744939E-4</v>
      </c>
      <c r="P154" s="103">
        <f t="shared" si="91"/>
        <v>5.9994939204391687E-4</v>
      </c>
      <c r="Q154" s="103">
        <f t="shared" si="91"/>
        <v>5.1686808937085715E-4</v>
      </c>
      <c r="R154" s="103">
        <f t="shared" si="91"/>
        <v>4.1658907023881241E-4</v>
      </c>
      <c r="S154" s="103">
        <f t="shared" si="91"/>
        <v>3.4011702672277994E-4</v>
      </c>
      <c r="T154" s="103">
        <f t="shared" si="91"/>
        <v>3.1053348253182845E-4</v>
      </c>
      <c r="U154" s="103">
        <f t="shared" si="91"/>
        <v>3.100201953450749E-4</v>
      </c>
      <c r="V154" s="103">
        <f t="shared" si="91"/>
        <v>3.1405146727691842E-4</v>
      </c>
      <c r="W154" s="103">
        <f t="shared" ref="W154" si="92">IF(W38=0,0,W38/W$17)</f>
        <v>2.901961145530708E-4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7.0443964141391857E-4</v>
      </c>
      <c r="R155" s="103">
        <f t="shared" si="95"/>
        <v>4.76983383165217E-4</v>
      </c>
      <c r="S155" s="103">
        <f t="shared" si="95"/>
        <v>2.2467689046854259E-4</v>
      </c>
      <c r="T155" s="103">
        <f t="shared" si="95"/>
        <v>2.7383062805278634E-4</v>
      </c>
      <c r="U155" s="103">
        <f t="shared" si="95"/>
        <v>4.6118110887687617E-4</v>
      </c>
      <c r="V155" s="103">
        <f t="shared" si="95"/>
        <v>6.3588534420337391E-4</v>
      </c>
      <c r="W155" s="103">
        <f t="shared" ref="W155" si="96">IF(W39=0,0,W39/W$17)</f>
        <v>9.6024790307533631E-4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3.3771982781251775E-4</v>
      </c>
      <c r="C156" s="103">
        <f t="shared" si="97"/>
        <v>3.6329098101440204E-4</v>
      </c>
      <c r="D156" s="103">
        <f t="shared" si="97"/>
        <v>3.8024156136279351E-4</v>
      </c>
      <c r="E156" s="103">
        <f t="shared" si="97"/>
        <v>2.6581358261809998E-4</v>
      </c>
      <c r="F156" s="103">
        <f t="shared" si="97"/>
        <v>2.1087464413737067E-4</v>
      </c>
      <c r="G156" s="103">
        <f t="shared" si="97"/>
        <v>6.2698502754150666E-4</v>
      </c>
      <c r="H156" s="103">
        <f t="shared" si="97"/>
        <v>5.3502567745957125E-4</v>
      </c>
      <c r="I156" s="103">
        <f t="shared" si="97"/>
        <v>4.6777522601000273E-4</v>
      </c>
      <c r="J156" s="103">
        <f t="shared" si="97"/>
        <v>4.1970201254738136E-4</v>
      </c>
      <c r="K156" s="103">
        <f t="shared" si="97"/>
        <v>3.8986462139338355E-4</v>
      </c>
      <c r="L156" s="103">
        <f t="shared" ref="L156" si="98">IF(L41=0,0,L41/L$17)</f>
        <v>3.5808394569649668E-4</v>
      </c>
      <c r="M156" s="103">
        <f t="shared" ref="M156:V156" si="99">IF(M41=0,0,M41/M$17)</f>
        <v>3.4007192303253734E-4</v>
      </c>
      <c r="N156" s="103">
        <f t="shared" si="99"/>
        <v>3.3635729880823734E-4</v>
      </c>
      <c r="O156" s="103">
        <f t="shared" si="99"/>
        <v>3.7458848040932823E-4</v>
      </c>
      <c r="P156" s="103">
        <f t="shared" si="99"/>
        <v>3.7565724323962457E-4</v>
      </c>
      <c r="Q156" s="103">
        <f t="shared" si="99"/>
        <v>3.7779232510139774E-4</v>
      </c>
      <c r="R156" s="103">
        <f t="shared" si="99"/>
        <v>3.5155876721748775E-4</v>
      </c>
      <c r="S156" s="103">
        <f t="shared" si="99"/>
        <v>3.3718725765254765E-4</v>
      </c>
      <c r="T156" s="103">
        <f t="shared" si="99"/>
        <v>2.8372757910512508E-4</v>
      </c>
      <c r="U156" s="103">
        <f t="shared" si="99"/>
        <v>1.8660971546001208E-4</v>
      </c>
      <c r="V156" s="103">
        <f t="shared" si="99"/>
        <v>3.0505376145047023E-4</v>
      </c>
      <c r="W156" s="103">
        <f t="shared" ref="W156" si="100">IF(W41=0,0,W41/W$17)</f>
        <v>4.0152942877788529E-4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0.29835934972508765</v>
      </c>
      <c r="C157" s="46">
        <f t="shared" si="101"/>
        <v>0.31432964043200096</v>
      </c>
      <c r="D157" s="46">
        <f t="shared" si="101"/>
        <v>0.30316150258160973</v>
      </c>
      <c r="E157" s="46">
        <f t="shared" si="101"/>
        <v>0.33403715482589241</v>
      </c>
      <c r="F157" s="46">
        <f t="shared" si="101"/>
        <v>0.34513937800979494</v>
      </c>
      <c r="G157" s="46">
        <f t="shared" si="101"/>
        <v>0.38766099806056659</v>
      </c>
      <c r="H157" s="46">
        <f t="shared" si="101"/>
        <v>0.39008438175433441</v>
      </c>
      <c r="I157" s="46">
        <f t="shared" si="101"/>
        <v>0.39711073297219251</v>
      </c>
      <c r="J157" s="46">
        <f t="shared" si="101"/>
        <v>0.39972735347645655</v>
      </c>
      <c r="K157" s="46">
        <f t="shared" si="101"/>
        <v>0.39120922143127673</v>
      </c>
      <c r="L157" s="46">
        <f t="shared" ref="L157" si="102">IF(L42=0,0,L42/L$17)</f>
        <v>0.40073708313367312</v>
      </c>
      <c r="M157" s="46">
        <f t="shared" ref="M157:V157" si="103">IF(M42=0,0,M42/M$17)</f>
        <v>0.40182527413006752</v>
      </c>
      <c r="N157" s="46">
        <f t="shared" si="103"/>
        <v>0.37916930957163575</v>
      </c>
      <c r="O157" s="46">
        <f t="shared" si="103"/>
        <v>0.36660494857037679</v>
      </c>
      <c r="P157" s="46">
        <f t="shared" si="103"/>
        <v>0.37154638859163353</v>
      </c>
      <c r="Q157" s="46">
        <f t="shared" si="103"/>
        <v>0.36526060187291393</v>
      </c>
      <c r="R157" s="46">
        <f t="shared" si="103"/>
        <v>0.39305129293781582</v>
      </c>
      <c r="S157" s="46">
        <f t="shared" si="103"/>
        <v>0.4218306111324101</v>
      </c>
      <c r="T157" s="46">
        <f t="shared" si="103"/>
        <v>0.41619370872750433</v>
      </c>
      <c r="U157" s="46">
        <f t="shared" si="103"/>
        <v>0.41148475467686429</v>
      </c>
      <c r="V157" s="46">
        <f t="shared" si="103"/>
        <v>0.40837492836404804</v>
      </c>
      <c r="W157" s="46">
        <f t="shared" ref="W157" si="104">IF(W42=0,0,W42/W$17)</f>
        <v>0.45508641723202808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0.21586261827164452</v>
      </c>
      <c r="C158" s="154">
        <f t="shared" si="105"/>
        <v>0.20662254995730234</v>
      </c>
      <c r="D158" s="154">
        <f t="shared" si="105"/>
        <v>0.21909944989079791</v>
      </c>
      <c r="E158" s="154">
        <f t="shared" si="105"/>
        <v>0.20482332765442748</v>
      </c>
      <c r="F158" s="154">
        <f t="shared" si="105"/>
        <v>0.17463946037619038</v>
      </c>
      <c r="G158" s="154">
        <f t="shared" si="105"/>
        <v>0.16448090348860409</v>
      </c>
      <c r="H158" s="154">
        <f t="shared" si="105"/>
        <v>0.15499030013443379</v>
      </c>
      <c r="I158" s="154">
        <f t="shared" si="105"/>
        <v>0.14418259263205507</v>
      </c>
      <c r="J158" s="154">
        <f t="shared" si="105"/>
        <v>0.14216692791896179</v>
      </c>
      <c r="K158" s="154">
        <f t="shared" si="105"/>
        <v>0.14507809487107021</v>
      </c>
      <c r="L158" s="154">
        <f t="shared" ref="L158" si="106">IF(L43=0,0,L43/L$17)</f>
        <v>0.14346276987241061</v>
      </c>
      <c r="M158" s="154">
        <f t="shared" ref="M158:V158" si="107">IF(M43=0,0,M43/M$17)</f>
        <v>0.14811820461540831</v>
      </c>
      <c r="N158" s="154">
        <f t="shared" si="107"/>
        <v>0.15420473594660203</v>
      </c>
      <c r="O158" s="154">
        <f t="shared" si="107"/>
        <v>0.16819364257078587</v>
      </c>
      <c r="P158" s="154">
        <f t="shared" si="107"/>
        <v>0.166323363812902</v>
      </c>
      <c r="Q158" s="154">
        <f t="shared" si="107"/>
        <v>0.15862512245919747</v>
      </c>
      <c r="R158" s="154">
        <f t="shared" si="107"/>
        <v>0.14808061562556876</v>
      </c>
      <c r="S158" s="154">
        <f t="shared" si="107"/>
        <v>0.13219426925613209</v>
      </c>
      <c r="T158" s="154">
        <f t="shared" si="107"/>
        <v>0.1335113607977243</v>
      </c>
      <c r="U158" s="154">
        <f t="shared" si="107"/>
        <v>0.13571859303629108</v>
      </c>
      <c r="V158" s="154">
        <f t="shared" si="107"/>
        <v>0.14284422036451189</v>
      </c>
      <c r="W158" s="154">
        <f t="shared" ref="W158" si="108">IF(W43=0,0,W43/W$17)</f>
        <v>0.13597359547484861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0.11822272477312562</v>
      </c>
      <c r="C159" s="103">
        <f t="shared" si="109"/>
        <v>0.1146129482653295</v>
      </c>
      <c r="D159" s="103">
        <f t="shared" si="109"/>
        <v>0.10681674060841216</v>
      </c>
      <c r="E159" s="103">
        <f t="shared" si="109"/>
        <v>9.4575886285488964E-2</v>
      </c>
      <c r="F159" s="103">
        <f t="shared" si="109"/>
        <v>7.497130766334946E-2</v>
      </c>
      <c r="G159" s="103">
        <f t="shared" si="109"/>
        <v>6.1509749481435318E-2</v>
      </c>
      <c r="H159" s="103">
        <f t="shared" si="109"/>
        <v>5.1330187823053861E-2</v>
      </c>
      <c r="I159" s="103">
        <f t="shared" si="109"/>
        <v>4.1901575803186625E-2</v>
      </c>
      <c r="J159" s="103">
        <f t="shared" si="109"/>
        <v>3.5959050421483764E-2</v>
      </c>
      <c r="K159" s="103">
        <f t="shared" si="109"/>
        <v>3.5524683719845761E-2</v>
      </c>
      <c r="L159" s="103">
        <f t="shared" ref="L159" si="110">IF(L44=0,0,L44/L$17)</f>
        <v>3.1726687945156047E-2</v>
      </c>
      <c r="M159" s="103">
        <f t="shared" ref="M159:V159" si="111">IF(M44=0,0,M44/M$17)</f>
        <v>2.8702248089702745E-2</v>
      </c>
      <c r="N159" s="103">
        <f t="shared" si="111"/>
        <v>2.7950619073329686E-2</v>
      </c>
      <c r="O159" s="103">
        <f t="shared" si="111"/>
        <v>2.7851412360886237E-2</v>
      </c>
      <c r="P159" s="103">
        <f t="shared" si="111"/>
        <v>2.5258312443203462E-2</v>
      </c>
      <c r="Q159" s="103">
        <f t="shared" si="111"/>
        <v>2.1058523815625393E-2</v>
      </c>
      <c r="R159" s="103">
        <f t="shared" si="111"/>
        <v>1.8654264339974837E-2</v>
      </c>
      <c r="S159" s="103">
        <f t="shared" si="111"/>
        <v>1.6590442267950114E-2</v>
      </c>
      <c r="T159" s="103">
        <f t="shared" si="111"/>
        <v>1.5729276103976651E-2</v>
      </c>
      <c r="U159" s="103">
        <f t="shared" si="111"/>
        <v>1.5555434451640999E-2</v>
      </c>
      <c r="V159" s="103">
        <f t="shared" si="111"/>
        <v>1.4913723371403126E-2</v>
      </c>
      <c r="W159" s="103">
        <f t="shared" ref="W159" si="112">IF(W44=0,0,W44/W$17)</f>
        <v>1.3798892185222995E-2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9.3156623462703828E-2</v>
      </c>
      <c r="C160" s="103">
        <f t="shared" si="113"/>
        <v>8.6984488730923862E-2</v>
      </c>
      <c r="D160" s="103">
        <f t="shared" si="113"/>
        <v>0.10538393418717866</v>
      </c>
      <c r="E160" s="103">
        <f t="shared" si="113"/>
        <v>0.10287903071997266</v>
      </c>
      <c r="F160" s="103">
        <f t="shared" si="113"/>
        <v>9.2967988023677645E-2</v>
      </c>
      <c r="G160" s="103">
        <f t="shared" si="113"/>
        <v>9.6265486014036769E-2</v>
      </c>
      <c r="H160" s="103">
        <f t="shared" si="113"/>
        <v>9.6566528385701345E-2</v>
      </c>
      <c r="I160" s="103">
        <f t="shared" si="113"/>
        <v>9.5402775160886424E-2</v>
      </c>
      <c r="J160" s="103">
        <f t="shared" si="113"/>
        <v>9.9479178129756804E-2</v>
      </c>
      <c r="K160" s="103">
        <f t="shared" si="113"/>
        <v>0.1028939372226737</v>
      </c>
      <c r="L160" s="103">
        <f t="shared" ref="L160" si="114">IF(L46=0,0,L46/L$17)</f>
        <v>0.10532551063968301</v>
      </c>
      <c r="M160" s="103">
        <f t="shared" ref="M160:V160" si="115">IF(M46=0,0,M46/M$17)</f>
        <v>0.11289904374375316</v>
      </c>
      <c r="N160" s="103">
        <f t="shared" si="115"/>
        <v>0.1200821248997356</v>
      </c>
      <c r="O160" s="103">
        <f t="shared" si="115"/>
        <v>0.13379918043507819</v>
      </c>
      <c r="P160" s="103">
        <f t="shared" si="115"/>
        <v>0.13393699798086972</v>
      </c>
      <c r="Q160" s="103">
        <f t="shared" si="115"/>
        <v>0.13067790785209193</v>
      </c>
      <c r="R160" s="103">
        <f t="shared" si="115"/>
        <v>0.12327635046610697</v>
      </c>
      <c r="S160" s="103">
        <f t="shared" si="115"/>
        <v>0.11046992858594981</v>
      </c>
      <c r="T160" s="103">
        <f t="shared" si="115"/>
        <v>0.1126419631382387</v>
      </c>
      <c r="U160" s="103">
        <f t="shared" si="115"/>
        <v>0.11511931869162627</v>
      </c>
      <c r="V160" s="103">
        <f t="shared" si="115"/>
        <v>0.1228949306463246</v>
      </c>
      <c r="W160" s="103">
        <f t="shared" ref="W160" si="116">IF(W46=0,0,W46/W$17)</f>
        <v>0.11754800331464768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4.4832700358151062E-3</v>
      </c>
      <c r="C161" s="103">
        <f t="shared" si="117"/>
        <v>5.0251129610490016E-3</v>
      </c>
      <c r="D161" s="103">
        <f t="shared" si="117"/>
        <v>6.8987750952070707E-3</v>
      </c>
      <c r="E161" s="103">
        <f t="shared" si="117"/>
        <v>7.3684106489658565E-3</v>
      </c>
      <c r="F161" s="103">
        <f t="shared" si="117"/>
        <v>6.7001646891632792E-3</v>
      </c>
      <c r="G161" s="103">
        <f t="shared" si="117"/>
        <v>6.7056679931319883E-3</v>
      </c>
      <c r="H161" s="103">
        <f t="shared" si="117"/>
        <v>7.0935839256785803E-3</v>
      </c>
      <c r="I161" s="103">
        <f t="shared" si="117"/>
        <v>6.8782416679820336E-3</v>
      </c>
      <c r="J161" s="103">
        <f t="shared" si="117"/>
        <v>6.7286993677212375E-3</v>
      </c>
      <c r="K161" s="103">
        <f t="shared" si="117"/>
        <v>6.6594739285507649E-3</v>
      </c>
      <c r="L161" s="103">
        <f t="shared" ref="L161" si="118">IF(L48=0,0,L48/L$17)</f>
        <v>6.4105712875715684E-3</v>
      </c>
      <c r="M161" s="103">
        <f t="shared" ref="M161:V161" si="119">IF(M48=0,0,M48/M$17)</f>
        <v>6.5169127819524036E-3</v>
      </c>
      <c r="N161" s="103">
        <f t="shared" si="119"/>
        <v>6.171942942409918E-3</v>
      </c>
      <c r="O161" s="103">
        <f t="shared" si="119"/>
        <v>6.5429516175523842E-3</v>
      </c>
      <c r="P161" s="103">
        <f t="shared" si="119"/>
        <v>7.1279249320537769E-3</v>
      </c>
      <c r="Q161" s="103">
        <f t="shared" si="119"/>
        <v>6.7437170496275622E-3</v>
      </c>
      <c r="R161" s="103">
        <f t="shared" si="119"/>
        <v>5.9969602090484764E-3</v>
      </c>
      <c r="S161" s="103">
        <f t="shared" si="119"/>
        <v>5.0065205713682769E-3</v>
      </c>
      <c r="T161" s="103">
        <f t="shared" si="119"/>
        <v>5.0128616335595793E-3</v>
      </c>
      <c r="U161" s="103">
        <f t="shared" si="119"/>
        <v>4.9179327501472194E-3</v>
      </c>
      <c r="V161" s="103">
        <f t="shared" si="119"/>
        <v>4.9374942586157041E-3</v>
      </c>
      <c r="W161" s="103">
        <f t="shared" ref="W161" si="120">IF(W48=0,0,W48/W$17)</f>
        <v>4.5404300787715039E-3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1.4479625716702714E-4</v>
      </c>
      <c r="R162" s="103">
        <f t="shared" si="123"/>
        <v>1.5283614446452335E-4</v>
      </c>
      <c r="S162" s="103">
        <f t="shared" si="123"/>
        <v>1.2711581049026712E-4</v>
      </c>
      <c r="T162" s="103">
        <f t="shared" si="123"/>
        <v>1.2671602517347189E-4</v>
      </c>
      <c r="U162" s="103">
        <f t="shared" si="123"/>
        <v>1.2444273569682974E-4</v>
      </c>
      <c r="V162" s="103">
        <f t="shared" si="123"/>
        <v>9.4693904451471193E-5</v>
      </c>
      <c r="W162" s="103">
        <f t="shared" ref="W162" si="124">IF(W49=0,0,W49/W$17)</f>
        <v>7.8755111661737176E-5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4.9031126841586735E-8</v>
      </c>
      <c r="O163" s="103">
        <f t="shared" si="127"/>
        <v>9.8157269071445965E-8</v>
      </c>
      <c r="P163" s="103">
        <f t="shared" si="127"/>
        <v>1.2845677501834351E-7</v>
      </c>
      <c r="Q163" s="103">
        <f t="shared" si="127"/>
        <v>1.7748468553016626E-7</v>
      </c>
      <c r="R163" s="103">
        <f t="shared" si="127"/>
        <v>2.0446597394469675E-7</v>
      </c>
      <c r="S163" s="103">
        <f t="shared" si="127"/>
        <v>2.6202037361992456E-7</v>
      </c>
      <c r="T163" s="103">
        <f t="shared" si="127"/>
        <v>5.4389677591946585E-7</v>
      </c>
      <c r="U163" s="103">
        <f t="shared" si="127"/>
        <v>1.4644071797636536E-6</v>
      </c>
      <c r="V163" s="103">
        <f t="shared" si="127"/>
        <v>3.3781837169874862E-6</v>
      </c>
      <c r="W163" s="103">
        <f t="shared" ref="W163" si="128">IF(W51=0,0,W51/W$17)</f>
        <v>7.5147845447091041E-6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8.2496731453443106E-2</v>
      </c>
      <c r="C164" s="156">
        <f t="shared" si="129"/>
        <v>0.10770709047469859</v>
      </c>
      <c r="D164" s="156">
        <f t="shared" si="129"/>
        <v>8.406205269081185E-2</v>
      </c>
      <c r="E164" s="156">
        <f t="shared" si="129"/>
        <v>0.12921382717146493</v>
      </c>
      <c r="F164" s="156">
        <f t="shared" si="129"/>
        <v>0.17049991763360453</v>
      </c>
      <c r="G164" s="156">
        <f t="shared" si="129"/>
        <v>0.2231800945719625</v>
      </c>
      <c r="H164" s="156">
        <f t="shared" si="129"/>
        <v>0.23509408161990064</v>
      </c>
      <c r="I164" s="156">
        <f t="shared" si="129"/>
        <v>0.25292814034013744</v>
      </c>
      <c r="J164" s="156">
        <f t="shared" si="129"/>
        <v>0.25756042555749481</v>
      </c>
      <c r="K164" s="156">
        <f t="shared" si="129"/>
        <v>0.2461311265602065</v>
      </c>
      <c r="L164" s="156">
        <f t="shared" ref="L164" si="130">IF(L52=0,0,L52/L$17)</f>
        <v>0.25727431326126249</v>
      </c>
      <c r="M164" s="156">
        <f t="shared" ref="M164:V164" si="131">IF(M52=0,0,M52/M$17)</f>
        <v>0.25370706951465921</v>
      </c>
      <c r="N164" s="156">
        <f t="shared" si="131"/>
        <v>0.22496457362503369</v>
      </c>
      <c r="O164" s="156">
        <f t="shared" si="131"/>
        <v>0.19841130599959098</v>
      </c>
      <c r="P164" s="156">
        <f t="shared" si="131"/>
        <v>0.2052230247787315</v>
      </c>
      <c r="Q164" s="156">
        <f t="shared" si="131"/>
        <v>0.20663547941371643</v>
      </c>
      <c r="R164" s="156">
        <f t="shared" si="131"/>
        <v>0.24497067731224706</v>
      </c>
      <c r="S164" s="156">
        <f t="shared" si="131"/>
        <v>0.28963634187627801</v>
      </c>
      <c r="T164" s="156">
        <f t="shared" si="131"/>
        <v>0.28268234792978003</v>
      </c>
      <c r="U164" s="156">
        <f t="shared" si="131"/>
        <v>0.27576616164057316</v>
      </c>
      <c r="V164" s="156">
        <f t="shared" si="131"/>
        <v>0.2655307079995361</v>
      </c>
      <c r="W164" s="156">
        <f t="shared" ref="W164" si="132">IF(W52=0,0,W52/W$17)</f>
        <v>0.31911282175717948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6.2923320270744224E-2</v>
      </c>
      <c r="C165" s="104">
        <f t="shared" si="133"/>
        <v>8.1565374089715828E-2</v>
      </c>
      <c r="D165" s="104">
        <f t="shared" si="133"/>
        <v>6.36132495831888E-2</v>
      </c>
      <c r="E165" s="104">
        <f t="shared" si="133"/>
        <v>9.9066930614886833E-2</v>
      </c>
      <c r="F165" s="104">
        <f t="shared" si="133"/>
        <v>0.13049876747117287</v>
      </c>
      <c r="G165" s="104">
        <f t="shared" si="133"/>
        <v>0.17164186219888508</v>
      </c>
      <c r="H165" s="104">
        <f t="shared" si="133"/>
        <v>0.17207188487530148</v>
      </c>
      <c r="I165" s="104">
        <f t="shared" si="133"/>
        <v>0.19333461902332114</v>
      </c>
      <c r="J165" s="104">
        <f t="shared" si="133"/>
        <v>0.1999628009231913</v>
      </c>
      <c r="K165" s="104">
        <f t="shared" si="133"/>
        <v>0.19726375834029669</v>
      </c>
      <c r="L165" s="104">
        <f t="shared" ref="L165" si="134">IF(L53=0,0,L53/L$17)</f>
        <v>0.20207605501370027</v>
      </c>
      <c r="M165" s="104">
        <f t="shared" ref="M165:V165" si="135">IF(M53=0,0,M53/M$17)</f>
        <v>0.20085096544984321</v>
      </c>
      <c r="N165" s="104">
        <f t="shared" si="135"/>
        <v>0.17432910648387603</v>
      </c>
      <c r="O165" s="104">
        <f t="shared" si="135"/>
        <v>0.154607219898587</v>
      </c>
      <c r="P165" s="104">
        <f t="shared" si="135"/>
        <v>0.1587307139915243</v>
      </c>
      <c r="Q165" s="104">
        <f t="shared" si="135"/>
        <v>0.16120624124154859</v>
      </c>
      <c r="R165" s="104">
        <f t="shared" si="135"/>
        <v>0.18631739807746783</v>
      </c>
      <c r="S165" s="104">
        <f t="shared" si="135"/>
        <v>0.21849242435546534</v>
      </c>
      <c r="T165" s="104">
        <f t="shared" si="135"/>
        <v>0.21883688792105499</v>
      </c>
      <c r="U165" s="104">
        <f t="shared" si="135"/>
        <v>0.20626971167794586</v>
      </c>
      <c r="V165" s="104">
        <f t="shared" si="135"/>
        <v>0.20205264160478836</v>
      </c>
      <c r="W165" s="104">
        <f t="shared" ref="W165" si="136">IF(W53=0,0,W53/W$17)</f>
        <v>0.24310735115992421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1.9573411182698876E-2</v>
      </c>
      <c r="C166" s="105">
        <f t="shared" si="137"/>
        <v>2.614171638498277E-2</v>
      </c>
      <c r="D166" s="105">
        <f t="shared" si="137"/>
        <v>2.0448803107623047E-2</v>
      </c>
      <c r="E166" s="105">
        <f t="shared" si="137"/>
        <v>3.0146896556578099E-2</v>
      </c>
      <c r="F166" s="105">
        <f t="shared" si="137"/>
        <v>4.0001150162431665E-2</v>
      </c>
      <c r="G166" s="105">
        <f t="shared" si="137"/>
        <v>5.1538232373077406E-2</v>
      </c>
      <c r="H166" s="105">
        <f t="shared" si="137"/>
        <v>6.3022196744599163E-2</v>
      </c>
      <c r="I166" s="105">
        <f t="shared" si="137"/>
        <v>5.9593521316816271E-2</v>
      </c>
      <c r="J166" s="105">
        <f t="shared" si="137"/>
        <v>5.7597624634303519E-2</v>
      </c>
      <c r="K166" s="105">
        <f t="shared" si="137"/>
        <v>4.8867368219909807E-2</v>
      </c>
      <c r="L166" s="105">
        <f t="shared" ref="L166" si="138">IF(L55=0,0,L55/L$17)</f>
        <v>5.5198258247562207E-2</v>
      </c>
      <c r="M166" s="105">
        <f t="shared" ref="M166:V166" si="139">IF(M55=0,0,M55/M$17)</f>
        <v>5.2856104064816008E-2</v>
      </c>
      <c r="N166" s="105">
        <f t="shared" si="139"/>
        <v>5.0635467141157658E-2</v>
      </c>
      <c r="O166" s="105">
        <f t="shared" si="139"/>
        <v>4.3804086101003975E-2</v>
      </c>
      <c r="P166" s="105">
        <f t="shared" si="139"/>
        <v>4.649231078720719E-2</v>
      </c>
      <c r="Q166" s="105">
        <f t="shared" si="139"/>
        <v>4.5429238172167832E-2</v>
      </c>
      <c r="R166" s="105">
        <f t="shared" si="139"/>
        <v>5.865327923477922E-2</v>
      </c>
      <c r="S166" s="105">
        <f t="shared" si="139"/>
        <v>7.1143917520812658E-2</v>
      </c>
      <c r="T166" s="105">
        <f t="shared" si="139"/>
        <v>6.3845460008725041E-2</v>
      </c>
      <c r="U166" s="105">
        <f t="shared" si="139"/>
        <v>6.9496449962627327E-2</v>
      </c>
      <c r="V166" s="105">
        <f t="shared" si="139"/>
        <v>6.3478066394747762E-2</v>
      </c>
      <c r="W166" s="105">
        <f t="shared" ref="W166" si="140">IF(W55=0,0,W55/W$17)</f>
        <v>7.6005470597255265E-2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26506.972792799999</v>
      </c>
      <c r="C4" s="146">
        <f t="shared" si="0"/>
        <v>26315.522148960001</v>
      </c>
      <c r="D4" s="146">
        <f t="shared" si="0"/>
        <v>25422.667205760001</v>
      </c>
      <c r="E4" s="146">
        <f t="shared" si="0"/>
        <v>27741.164075280001</v>
      </c>
      <c r="F4" s="146">
        <f t="shared" si="0"/>
        <v>31471.113309839999</v>
      </c>
      <c r="G4" s="146">
        <f t="shared" si="0"/>
        <v>33797.171705759996</v>
      </c>
      <c r="H4" s="146">
        <f t="shared" si="0"/>
        <v>37454.149850760004</v>
      </c>
      <c r="I4" s="146">
        <f t="shared" si="0"/>
        <v>41628.376320119998</v>
      </c>
      <c r="J4" s="146">
        <f t="shared" si="0"/>
        <v>43567.922286000001</v>
      </c>
      <c r="K4" s="146">
        <f t="shared" si="0"/>
        <v>44374.900995000004</v>
      </c>
      <c r="L4" s="146">
        <f t="shared" ref="L4" si="1">L5+L9+L10+L15</f>
        <v>46979.108653679999</v>
      </c>
      <c r="M4" s="146">
        <f t="shared" ref="M4:V4" si="2">M5+M9+M10+M15</f>
        <v>47575.776284640022</v>
      </c>
      <c r="N4" s="146">
        <f t="shared" si="2"/>
        <v>45591.878535120006</v>
      </c>
      <c r="O4" s="146">
        <f t="shared" si="2"/>
        <v>42617.512260000003</v>
      </c>
      <c r="P4" s="146">
        <f t="shared" si="2"/>
        <v>43016.754328559997</v>
      </c>
      <c r="Q4" s="146">
        <f t="shared" si="2"/>
        <v>45558.242526239999</v>
      </c>
      <c r="R4" s="146">
        <f t="shared" si="2"/>
        <v>52126.744864680011</v>
      </c>
      <c r="S4" s="146">
        <f t="shared" si="2"/>
        <v>60420.23369748002</v>
      </c>
      <c r="T4" s="146">
        <f t="shared" si="2"/>
        <v>62050.692530519984</v>
      </c>
      <c r="U4" s="146">
        <f t="shared" si="2"/>
        <v>63155.744343359998</v>
      </c>
      <c r="V4" s="146">
        <f t="shared" si="2"/>
        <v>60409.880478000014</v>
      </c>
      <c r="W4" s="146">
        <f t="shared" ref="W4" si="3">W5+W9+W10+W15</f>
        <v>65514.266716319995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26506.972792799999</v>
      </c>
      <c r="C5" s="101">
        <f t="shared" si="4"/>
        <v>26315.522148960001</v>
      </c>
      <c r="D5" s="101">
        <f t="shared" si="4"/>
        <v>25422.667205760001</v>
      </c>
      <c r="E5" s="101">
        <f t="shared" si="4"/>
        <v>27741.164075280001</v>
      </c>
      <c r="F5" s="101">
        <f t="shared" si="4"/>
        <v>31471.113309839999</v>
      </c>
      <c r="G5" s="101">
        <f t="shared" si="4"/>
        <v>33797.171705759996</v>
      </c>
      <c r="H5" s="101">
        <f t="shared" si="4"/>
        <v>37454.149850760004</v>
      </c>
      <c r="I5" s="101">
        <f t="shared" si="4"/>
        <v>41628.376320119998</v>
      </c>
      <c r="J5" s="101">
        <f t="shared" si="4"/>
        <v>43567.922286000001</v>
      </c>
      <c r="K5" s="101">
        <f t="shared" si="4"/>
        <v>44374.900995000004</v>
      </c>
      <c r="L5" s="101">
        <f t="shared" ref="L5" si="5">SUM(L6:L8)</f>
        <v>46979.108653679999</v>
      </c>
      <c r="M5" s="101">
        <f t="shared" ref="M5:V5" si="6">SUM(M6:M8)</f>
        <v>47575.776284640022</v>
      </c>
      <c r="N5" s="101">
        <f t="shared" si="6"/>
        <v>45591.878535120006</v>
      </c>
      <c r="O5" s="101">
        <f t="shared" si="6"/>
        <v>42617.512260000003</v>
      </c>
      <c r="P5" s="101">
        <f t="shared" si="6"/>
        <v>43016.754328559997</v>
      </c>
      <c r="Q5" s="101">
        <f t="shared" si="6"/>
        <v>45520.728456240002</v>
      </c>
      <c r="R5" s="101">
        <f t="shared" si="6"/>
        <v>52092.462154680012</v>
      </c>
      <c r="S5" s="101">
        <f t="shared" si="6"/>
        <v>60394.085734320019</v>
      </c>
      <c r="T5" s="101">
        <f t="shared" si="6"/>
        <v>62020.699854839986</v>
      </c>
      <c r="U5" s="101">
        <f t="shared" si="6"/>
        <v>63115.443831240002</v>
      </c>
      <c r="V5" s="101">
        <f t="shared" si="6"/>
        <v>60364.05918732001</v>
      </c>
      <c r="W5" s="101">
        <f t="shared" ref="W5" si="7">SUM(W6:W8)</f>
        <v>65448.992234519996</v>
      </c>
      <c r="DA5" s="175"/>
    </row>
    <row r="6" spans="1:105" ht="11.45" customHeight="1" x14ac:dyDescent="0.25">
      <c r="A6" s="128" t="s">
        <v>52</v>
      </c>
      <c r="B6" s="101">
        <v>1268.4678004800001</v>
      </c>
      <c r="C6" s="101">
        <v>1748.9932052400002</v>
      </c>
      <c r="D6" s="101">
        <v>2474.2582952399998</v>
      </c>
      <c r="E6" s="101">
        <v>3193.5540747600007</v>
      </c>
      <c r="F6" s="101">
        <v>4002.3888300000008</v>
      </c>
      <c r="G6" s="101">
        <v>4623.1918952400001</v>
      </c>
      <c r="H6" s="101">
        <v>5073.8709747600005</v>
      </c>
      <c r="I6" s="101">
        <v>5223.1026009600009</v>
      </c>
      <c r="J6" s="101">
        <v>5130.5789700000005</v>
      </c>
      <c r="K6" s="101">
        <v>4797.9978757199997</v>
      </c>
      <c r="L6" s="101">
        <v>4818.3159747600002</v>
      </c>
      <c r="M6" s="101">
        <v>4667.3808757200022</v>
      </c>
      <c r="N6" s="101">
        <v>4661.5755747600006</v>
      </c>
      <c r="O6" s="101">
        <v>4623.841800000002</v>
      </c>
      <c r="P6" s="101">
        <v>4658.6729242800011</v>
      </c>
      <c r="Q6" s="101">
        <v>4731.2380504799994</v>
      </c>
      <c r="R6" s="101">
        <v>5009.88749904</v>
      </c>
      <c r="S6" s="101">
        <v>5316.2425169999997</v>
      </c>
      <c r="T6" s="101">
        <v>5388.0818670000017</v>
      </c>
      <c r="U6" s="101">
        <v>5616.5309999999999</v>
      </c>
      <c r="V6" s="101">
        <v>5036.0108990399985</v>
      </c>
      <c r="W6" s="101">
        <v>5268.2190757200005</v>
      </c>
      <c r="DA6" s="175" t="s">
        <v>740</v>
      </c>
    </row>
    <row r="7" spans="1:105" ht="11.45" customHeight="1" x14ac:dyDescent="0.25">
      <c r="A7" s="128" t="s">
        <v>53</v>
      </c>
      <c r="B7" s="101">
        <v>15227.150510880001</v>
      </c>
      <c r="C7" s="101">
        <v>14125.02396228</v>
      </c>
      <c r="D7" s="101">
        <v>12933.867980880001</v>
      </c>
      <c r="E7" s="101">
        <v>12353.639870880001</v>
      </c>
      <c r="F7" s="101">
        <v>12540.909039120001</v>
      </c>
      <c r="G7" s="101">
        <v>12104.970680879998</v>
      </c>
      <c r="H7" s="101">
        <v>12418.109494560003</v>
      </c>
      <c r="I7" s="101">
        <v>12399.689637719999</v>
      </c>
      <c r="J7" s="101">
        <v>12252.33003456</v>
      </c>
      <c r="K7" s="101">
        <v>12458.407499999999</v>
      </c>
      <c r="L7" s="101">
        <v>12311.838000000002</v>
      </c>
      <c r="M7" s="101">
        <v>11644.478999999999</v>
      </c>
      <c r="N7" s="101">
        <v>11145.519</v>
      </c>
      <c r="O7" s="101">
        <v>10618.4925</v>
      </c>
      <c r="P7" s="101">
        <v>10257.775604999999</v>
      </c>
      <c r="Q7" s="101">
        <v>10602.484116840002</v>
      </c>
      <c r="R7" s="101">
        <v>11198.464144559999</v>
      </c>
      <c r="S7" s="101">
        <v>12240.958486680001</v>
      </c>
      <c r="T7" s="101">
        <v>12728.62203228</v>
      </c>
      <c r="U7" s="101">
        <v>13160.111413680001</v>
      </c>
      <c r="V7" s="101">
        <v>12264.22549044</v>
      </c>
      <c r="W7" s="101">
        <v>13561.265773439996</v>
      </c>
      <c r="DA7" s="175" t="s">
        <v>741</v>
      </c>
    </row>
    <row r="8" spans="1:105" ht="11.45" customHeight="1" x14ac:dyDescent="0.25">
      <c r="A8" s="128" t="s">
        <v>54</v>
      </c>
      <c r="B8" s="101">
        <v>10011.354481439999</v>
      </c>
      <c r="C8" s="101">
        <v>10441.504981440003</v>
      </c>
      <c r="D8" s="101">
        <v>10014.540929640001</v>
      </c>
      <c r="E8" s="101">
        <v>12193.970129640002</v>
      </c>
      <c r="F8" s="101">
        <v>14927.815440719998</v>
      </c>
      <c r="G8" s="101">
        <v>17069.009129639999</v>
      </c>
      <c r="H8" s="101">
        <v>19962.169381440002</v>
      </c>
      <c r="I8" s="101">
        <v>24005.58408144</v>
      </c>
      <c r="J8" s="101">
        <v>26185.013281439999</v>
      </c>
      <c r="K8" s="101">
        <v>27118.495619280002</v>
      </c>
      <c r="L8" s="101">
        <v>29848.954678919999</v>
      </c>
      <c r="M8" s="101">
        <v>31263.91640892002</v>
      </c>
      <c r="N8" s="101">
        <v>29784.78396036</v>
      </c>
      <c r="O8" s="101">
        <v>27375.177959999997</v>
      </c>
      <c r="P8" s="101">
        <v>28100.305799279999</v>
      </c>
      <c r="Q8" s="101">
        <v>30187.006288919998</v>
      </c>
      <c r="R8" s="101">
        <v>35884.110511080013</v>
      </c>
      <c r="S8" s="101">
        <v>42836.884730640013</v>
      </c>
      <c r="T8" s="101">
        <v>43903.995955559985</v>
      </c>
      <c r="U8" s="101">
        <v>44338.801417560004</v>
      </c>
      <c r="V8" s="101">
        <v>43063.82279784001</v>
      </c>
      <c r="W8" s="101">
        <v>46619.507385359997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37.514069999999997</v>
      </c>
      <c r="R9" s="101">
        <v>34.282710000000016</v>
      </c>
      <c r="S9" s="101">
        <v>26.147963160000003</v>
      </c>
      <c r="T9" s="101">
        <v>29.992675680000005</v>
      </c>
      <c r="U9" s="101">
        <v>40.300512119999993</v>
      </c>
      <c r="V9" s="101">
        <v>45.821290680000011</v>
      </c>
      <c r="W9" s="101">
        <v>65.27448179999999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26506.972792799999</v>
      </c>
      <c r="C17" s="79">
        <f t="shared" si="12"/>
        <v>26315.522148960001</v>
      </c>
      <c r="D17" s="79">
        <f t="shared" si="12"/>
        <v>25422.667205759997</v>
      </c>
      <c r="E17" s="79">
        <f t="shared" si="12"/>
        <v>27741.164075280001</v>
      </c>
      <c r="F17" s="79">
        <f t="shared" si="12"/>
        <v>31471.113309840002</v>
      </c>
      <c r="G17" s="79">
        <f t="shared" si="12"/>
        <v>33797.171705759996</v>
      </c>
      <c r="H17" s="79">
        <f t="shared" si="12"/>
        <v>37454.149850760012</v>
      </c>
      <c r="I17" s="79">
        <f t="shared" si="12"/>
        <v>41628.376320120005</v>
      </c>
      <c r="J17" s="79">
        <f t="shared" si="12"/>
        <v>43567.922285999994</v>
      </c>
      <c r="K17" s="79">
        <f t="shared" si="12"/>
        <v>44374.900995000004</v>
      </c>
      <c r="L17" s="79">
        <f t="shared" ref="L17" si="13">SUM(L18,L33)</f>
        <v>46979.108653679999</v>
      </c>
      <c r="M17" s="79">
        <f t="shared" ref="M17:V17" si="14">SUM(M18,M33)</f>
        <v>47575.776284640022</v>
      </c>
      <c r="N17" s="79">
        <f t="shared" si="14"/>
        <v>45591.878535120006</v>
      </c>
      <c r="O17" s="79">
        <f t="shared" si="14"/>
        <v>42617.512260000003</v>
      </c>
      <c r="P17" s="79">
        <f t="shared" si="14"/>
        <v>43016.754328559997</v>
      </c>
      <c r="Q17" s="79">
        <f t="shared" si="14"/>
        <v>45558.242526239999</v>
      </c>
      <c r="R17" s="79">
        <f t="shared" si="14"/>
        <v>52126.744864680019</v>
      </c>
      <c r="S17" s="79">
        <f t="shared" si="14"/>
        <v>60420.233697480013</v>
      </c>
      <c r="T17" s="79">
        <f t="shared" si="14"/>
        <v>62050.692530519984</v>
      </c>
      <c r="U17" s="79">
        <f t="shared" si="14"/>
        <v>63155.744343359998</v>
      </c>
      <c r="V17" s="79">
        <f t="shared" si="14"/>
        <v>60409.880478000014</v>
      </c>
      <c r="W17" s="79">
        <f t="shared" ref="W17" si="15">SUM(W18,W33)</f>
        <v>65514.266716319988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18446.249191739182</v>
      </c>
      <c r="C18" s="32">
        <f t="shared" si="16"/>
        <v>17862.828424638446</v>
      </c>
      <c r="D18" s="32">
        <f t="shared" si="16"/>
        <v>17522.624179629893</v>
      </c>
      <c r="E18" s="32">
        <f t="shared" si="16"/>
        <v>18199.106233526341</v>
      </c>
      <c r="F18" s="32">
        <f t="shared" si="16"/>
        <v>20252.509425904274</v>
      </c>
      <c r="G18" s="32">
        <f t="shared" si="16"/>
        <v>20215.431762936358</v>
      </c>
      <c r="H18" s="32">
        <f t="shared" si="16"/>
        <v>22313.773834388536</v>
      </c>
      <c r="I18" s="32">
        <f t="shared" si="16"/>
        <v>24507.193722576409</v>
      </c>
      <c r="J18" s="32">
        <f t="shared" si="16"/>
        <v>25696.904445241282</v>
      </c>
      <c r="K18" s="32">
        <f t="shared" si="16"/>
        <v>26641.247719029088</v>
      </c>
      <c r="L18" s="32">
        <f t="shared" ref="L18" si="17">SUM(L19,L20,L27)</f>
        <v>27861.651327832878</v>
      </c>
      <c r="M18" s="32">
        <f t="shared" ref="M18:V18" si="18">SUM(M19,M20,M27)</f>
        <v>28189.882987979305</v>
      </c>
      <c r="N18" s="32">
        <f t="shared" si="18"/>
        <v>28045.652087158574</v>
      </c>
      <c r="O18" s="32">
        <f t="shared" si="18"/>
        <v>26735.564742883384</v>
      </c>
      <c r="P18" s="32">
        <f t="shared" si="18"/>
        <v>26757.10677284878</v>
      </c>
      <c r="Q18" s="32">
        <f t="shared" si="18"/>
        <v>28564.119296628836</v>
      </c>
      <c r="R18" s="32">
        <f t="shared" si="18"/>
        <v>31075.275544132961</v>
      </c>
      <c r="S18" s="32">
        <f t="shared" si="18"/>
        <v>34310.509702380114</v>
      </c>
      <c r="T18" s="32">
        <f t="shared" si="18"/>
        <v>35743.797196865089</v>
      </c>
      <c r="U18" s="32">
        <f t="shared" si="18"/>
        <v>36706.922421081625</v>
      </c>
      <c r="V18" s="32">
        <f t="shared" si="18"/>
        <v>35327.508435675365</v>
      </c>
      <c r="W18" s="32">
        <f t="shared" ref="W18" si="19">SUM(W19,W20,W27)</f>
        <v>35167.660387559954</v>
      </c>
      <c r="DA18" s="173" t="s">
        <v>402</v>
      </c>
    </row>
    <row r="19" spans="1:105" ht="11.45" customHeight="1" x14ac:dyDescent="0.25">
      <c r="A19" s="136" t="s">
        <v>180</v>
      </c>
      <c r="B19" s="141">
        <v>301.30108452857883</v>
      </c>
      <c r="C19" s="141">
        <v>268.33936654017617</v>
      </c>
      <c r="D19" s="141">
        <v>252.0675846917047</v>
      </c>
      <c r="E19" s="141">
        <v>230.53164216243343</v>
      </c>
      <c r="F19" s="141">
        <v>219.89804901410125</v>
      </c>
      <c r="G19" s="141">
        <v>223.79493019121631</v>
      </c>
      <c r="H19" s="141">
        <v>233.56435085803778</v>
      </c>
      <c r="I19" s="141">
        <v>248.50592265035263</v>
      </c>
      <c r="J19" s="141">
        <v>254.24121567748972</v>
      </c>
      <c r="K19" s="141">
        <v>258.63914617732365</v>
      </c>
      <c r="L19" s="141">
        <v>274.53356078594919</v>
      </c>
      <c r="M19" s="141">
        <v>269.75727719111563</v>
      </c>
      <c r="N19" s="141">
        <v>269.77690110317951</v>
      </c>
      <c r="O19" s="141">
        <v>259.48753010853591</v>
      </c>
      <c r="P19" s="141">
        <v>260.21314826649058</v>
      </c>
      <c r="Q19" s="141">
        <v>267.1982477853702</v>
      </c>
      <c r="R19" s="141">
        <v>282.00354471610626</v>
      </c>
      <c r="S19" s="141">
        <v>265.7512871565462</v>
      </c>
      <c r="T19" s="141">
        <v>254.13751003210086</v>
      </c>
      <c r="U19" s="141">
        <v>269.68134086743754</v>
      </c>
      <c r="V19" s="141">
        <v>241.47673010363624</v>
      </c>
      <c r="W19" s="141">
        <v>239.6682492933715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15083.668296845752</v>
      </c>
      <c r="C20" s="130">
        <f t="shared" si="20"/>
        <v>14753.587640864605</v>
      </c>
      <c r="D20" s="130">
        <f t="shared" si="20"/>
        <v>14505.021280031282</v>
      </c>
      <c r="E20" s="130">
        <f t="shared" si="20"/>
        <v>15312.533530183719</v>
      </c>
      <c r="F20" s="130">
        <f t="shared" si="20"/>
        <v>17236.268420021515</v>
      </c>
      <c r="G20" s="130">
        <f t="shared" si="20"/>
        <v>17280.557666496497</v>
      </c>
      <c r="H20" s="130">
        <f t="shared" si="20"/>
        <v>19504.346678529655</v>
      </c>
      <c r="I20" s="130">
        <f t="shared" si="20"/>
        <v>21647.144748072995</v>
      </c>
      <c r="J20" s="130">
        <f t="shared" si="20"/>
        <v>22973.304354423308</v>
      </c>
      <c r="K20" s="130">
        <f t="shared" si="20"/>
        <v>23930.937153892559</v>
      </c>
      <c r="L20" s="130">
        <f t="shared" ref="L20" si="21">SUM(L21:L26)</f>
        <v>25190.161565185415</v>
      </c>
      <c r="M20" s="130">
        <f t="shared" ref="M20:V20" si="22">SUM(M21:M26)</f>
        <v>25495.23401629247</v>
      </c>
      <c r="N20" s="130">
        <f t="shared" si="22"/>
        <v>25385.786235062686</v>
      </c>
      <c r="O20" s="130">
        <f t="shared" si="22"/>
        <v>24058.843012995825</v>
      </c>
      <c r="P20" s="130">
        <f t="shared" si="22"/>
        <v>24010.281118229894</v>
      </c>
      <c r="Q20" s="130">
        <f t="shared" si="22"/>
        <v>25369.460958565447</v>
      </c>
      <c r="R20" s="130">
        <f t="shared" si="22"/>
        <v>27838.899079902087</v>
      </c>
      <c r="S20" s="130">
        <f t="shared" si="22"/>
        <v>31150.18018218231</v>
      </c>
      <c r="T20" s="130">
        <f t="shared" si="22"/>
        <v>32758.115244340675</v>
      </c>
      <c r="U20" s="130">
        <f t="shared" si="22"/>
        <v>33567.408580481198</v>
      </c>
      <c r="V20" s="130">
        <f t="shared" si="22"/>
        <v>32252.927500642618</v>
      </c>
      <c r="W20" s="130">
        <f t="shared" ref="W20" si="23">SUM(W21:W26)</f>
        <v>32091.938452209641</v>
      </c>
      <c r="DA20" s="176" t="s">
        <v>404</v>
      </c>
    </row>
    <row r="21" spans="1:105" ht="11.45" customHeight="1" x14ac:dyDescent="0.25">
      <c r="A21" s="111" t="s">
        <v>110</v>
      </c>
      <c r="B21" s="96">
        <v>11853.018848953558</v>
      </c>
      <c r="C21" s="96">
        <v>10897.334715134599</v>
      </c>
      <c r="D21" s="96">
        <v>10008.542618048641</v>
      </c>
      <c r="E21" s="96">
        <v>9553.1441189564757</v>
      </c>
      <c r="F21" s="96">
        <v>10008.403978425407</v>
      </c>
      <c r="G21" s="96">
        <v>9848.8903185622476</v>
      </c>
      <c r="H21" s="96">
        <v>10312.5519887711</v>
      </c>
      <c r="I21" s="96">
        <v>10466.458147724754</v>
      </c>
      <c r="J21" s="96">
        <v>10474.115718431258</v>
      </c>
      <c r="K21" s="96">
        <v>10663.106768701968</v>
      </c>
      <c r="L21" s="96">
        <v>10571.345333872847</v>
      </c>
      <c r="M21" s="96">
        <v>10031.231674634333</v>
      </c>
      <c r="N21" s="96">
        <v>9621.8014867150814</v>
      </c>
      <c r="O21" s="96">
        <v>9193.7954923126108</v>
      </c>
      <c r="P21" s="96">
        <v>8932.6741442132043</v>
      </c>
      <c r="Q21" s="96">
        <v>9405.7045024753534</v>
      </c>
      <c r="R21" s="96">
        <v>9992.8883510767791</v>
      </c>
      <c r="S21" s="96">
        <v>11020.066237964338</v>
      </c>
      <c r="T21" s="96">
        <v>11529.136077251753</v>
      </c>
      <c r="U21" s="96">
        <v>11935.523011630066</v>
      </c>
      <c r="V21" s="96">
        <v>11145.37259545933</v>
      </c>
      <c r="W21" s="96">
        <v>12433.684062541908</v>
      </c>
      <c r="DA21" s="171" t="s">
        <v>750</v>
      </c>
    </row>
    <row r="22" spans="1:105" ht="11.45" customHeight="1" x14ac:dyDescent="0.25">
      <c r="A22" s="111" t="s">
        <v>111</v>
      </c>
      <c r="B22" s="96">
        <v>2099.2879421593179</v>
      </c>
      <c r="C22" s="96">
        <v>2253.2459536397405</v>
      </c>
      <c r="D22" s="96">
        <v>2204.1713492864719</v>
      </c>
      <c r="E22" s="96">
        <v>2771.1852729896764</v>
      </c>
      <c r="F22" s="96">
        <v>3469.989119791469</v>
      </c>
      <c r="G22" s="96">
        <v>3061.8710325890688</v>
      </c>
      <c r="H22" s="96">
        <v>4403.1490632754158</v>
      </c>
      <c r="I22" s="96">
        <v>6256.9597324105061</v>
      </c>
      <c r="J22" s="96">
        <v>7676.3437027356777</v>
      </c>
      <c r="K22" s="96">
        <v>8779.4472872537863</v>
      </c>
      <c r="L22" s="96">
        <v>10115.07253825216</v>
      </c>
      <c r="M22" s="96">
        <v>11116.760156150973</v>
      </c>
      <c r="N22" s="96">
        <v>11392.321134045296</v>
      </c>
      <c r="O22" s="96">
        <v>10526.531466218574</v>
      </c>
      <c r="P22" s="96">
        <v>10725.904694313884</v>
      </c>
      <c r="Q22" s="96">
        <v>11530.522764311538</v>
      </c>
      <c r="R22" s="96">
        <v>13129.564360117753</v>
      </c>
      <c r="S22" s="96">
        <v>15096.249388325077</v>
      </c>
      <c r="T22" s="96">
        <v>16132.771200752089</v>
      </c>
      <c r="U22" s="96">
        <v>16307.872500981222</v>
      </c>
      <c r="V22" s="96">
        <v>16351.390855063404</v>
      </c>
      <c r="W22" s="96">
        <v>14660.40659440753</v>
      </c>
      <c r="DA22" s="171" t="s">
        <v>751</v>
      </c>
    </row>
    <row r="23" spans="1:105" ht="11.45" customHeight="1" x14ac:dyDescent="0.25">
      <c r="A23" s="111" t="s">
        <v>112</v>
      </c>
      <c r="B23" s="96">
        <v>1131.3615057328766</v>
      </c>
      <c r="C23" s="96">
        <v>1603.0069720902663</v>
      </c>
      <c r="D23" s="96">
        <v>2292.3073126961694</v>
      </c>
      <c r="E23" s="96">
        <v>2988.2041382375655</v>
      </c>
      <c r="F23" s="96">
        <v>3757.8753218046372</v>
      </c>
      <c r="G23" s="96">
        <v>4369.796315345181</v>
      </c>
      <c r="H23" s="96">
        <v>4788.6456264831386</v>
      </c>
      <c r="I23" s="96">
        <v>4923.726867937733</v>
      </c>
      <c r="J23" s="96">
        <v>4822.8449332563741</v>
      </c>
      <c r="K23" s="96">
        <v>4488.3830979368031</v>
      </c>
      <c r="L23" s="96">
        <v>4503.7436930604099</v>
      </c>
      <c r="M23" s="96">
        <v>4347.2421855071634</v>
      </c>
      <c r="N23" s="96">
        <v>4371.6589328528962</v>
      </c>
      <c r="O23" s="96">
        <v>4338.5058651193531</v>
      </c>
      <c r="P23" s="96">
        <v>4351.054922369588</v>
      </c>
      <c r="Q23" s="96">
        <v>4427.1979681919174</v>
      </c>
      <c r="R23" s="96">
        <v>4708.2739111157844</v>
      </c>
      <c r="S23" s="96">
        <v>5024.3865209976939</v>
      </c>
      <c r="T23" s="96">
        <v>5085.568880284367</v>
      </c>
      <c r="U23" s="96">
        <v>5312.6630381568111</v>
      </c>
      <c r="V23" s="96">
        <v>4743.5240225033031</v>
      </c>
      <c r="W23" s="96">
        <v>4976.5325759833177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5.8970404435917985</v>
      </c>
      <c r="R24" s="96">
        <v>7.9496037913055524</v>
      </c>
      <c r="S24" s="96">
        <v>9.075027706827786</v>
      </c>
      <c r="T24" s="96">
        <v>9.7558714232318433</v>
      </c>
      <c r="U24" s="96">
        <v>10.037963775098069</v>
      </c>
      <c r="V24" s="96">
        <v>9.6453304322757756</v>
      </c>
      <c r="W24" s="96">
        <v>9.4964472833688625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4.6814494115444642E-3</v>
      </c>
      <c r="O25" s="96">
        <v>1.0189345285008649E-2</v>
      </c>
      <c r="P25" s="96">
        <v>0.64735733321730882</v>
      </c>
      <c r="Q25" s="96">
        <v>0.13868314304705687</v>
      </c>
      <c r="R25" s="96">
        <v>0.22285380046615041</v>
      </c>
      <c r="S25" s="96">
        <v>0.40300718837298821</v>
      </c>
      <c r="T25" s="96">
        <v>0.88321462923740235</v>
      </c>
      <c r="U25" s="96">
        <v>1.3120659380000379</v>
      </c>
      <c r="V25" s="96">
        <v>2.9946971843039001</v>
      </c>
      <c r="W25" s="96">
        <v>11.818771993516801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3061.2798103648502</v>
      </c>
      <c r="C27" s="130">
        <f t="shared" si="24"/>
        <v>2840.9014172336651</v>
      </c>
      <c r="D27" s="130">
        <f t="shared" si="24"/>
        <v>2765.5353149069078</v>
      </c>
      <c r="E27" s="130">
        <f t="shared" si="24"/>
        <v>2656.0410611801899</v>
      </c>
      <c r="F27" s="130">
        <f t="shared" si="24"/>
        <v>2796.3429568686574</v>
      </c>
      <c r="G27" s="130">
        <f t="shared" si="24"/>
        <v>2711.079166248644</v>
      </c>
      <c r="H27" s="130">
        <f t="shared" si="24"/>
        <v>2575.8628050008433</v>
      </c>
      <c r="I27" s="130">
        <f t="shared" si="24"/>
        <v>2611.543051853062</v>
      </c>
      <c r="J27" s="130">
        <f t="shared" si="24"/>
        <v>2469.3588751404864</v>
      </c>
      <c r="K27" s="130">
        <f t="shared" si="24"/>
        <v>2451.6714189592062</v>
      </c>
      <c r="L27" s="130">
        <f t="shared" ref="L27" si="25">SUM(L28:L32)</f>
        <v>2396.9562018615143</v>
      </c>
      <c r="M27" s="130">
        <f t="shared" ref="M27:V27" si="26">SUM(M28:M32)</f>
        <v>2424.89169449572</v>
      </c>
      <c r="N27" s="130">
        <f t="shared" si="26"/>
        <v>2390.0889509927097</v>
      </c>
      <c r="O27" s="130">
        <f t="shared" si="26"/>
        <v>2417.2341997790204</v>
      </c>
      <c r="P27" s="130">
        <f t="shared" si="26"/>
        <v>2486.6125063523928</v>
      </c>
      <c r="Q27" s="130">
        <f t="shared" si="26"/>
        <v>2927.4600902780171</v>
      </c>
      <c r="R27" s="130">
        <f t="shared" si="26"/>
        <v>2954.3729195147666</v>
      </c>
      <c r="S27" s="130">
        <f t="shared" si="26"/>
        <v>2894.5782330412571</v>
      </c>
      <c r="T27" s="130">
        <f t="shared" si="26"/>
        <v>2731.5444424923094</v>
      </c>
      <c r="U27" s="130">
        <f t="shared" si="26"/>
        <v>2869.8324997329928</v>
      </c>
      <c r="V27" s="130">
        <f t="shared" si="26"/>
        <v>2833.1042049291082</v>
      </c>
      <c r="W27" s="130">
        <f t="shared" ref="W27" si="27">SUM(W28:W32)</f>
        <v>2836.0536860569387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3030.2767624462235</v>
      </c>
      <c r="C29" s="97">
        <v>2813.0572561280187</v>
      </c>
      <c r="D29" s="97">
        <v>2740.7905174411203</v>
      </c>
      <c r="E29" s="97">
        <v>2634.2186688147785</v>
      </c>
      <c r="F29" s="97">
        <v>2740.6055253952059</v>
      </c>
      <c r="G29" s="97">
        <v>2661.0701789193186</v>
      </c>
      <c r="H29" s="97">
        <v>2529.2452933173213</v>
      </c>
      <c r="I29" s="97">
        <v>2568.2327215643309</v>
      </c>
      <c r="J29" s="97">
        <v>2429.130895537317</v>
      </c>
      <c r="K29" s="97">
        <v>2414.6322344931732</v>
      </c>
      <c r="L29" s="97">
        <v>2362.8713747209486</v>
      </c>
      <c r="M29" s="97">
        <v>2393.6265723005667</v>
      </c>
      <c r="N29" s="97">
        <v>2361.3717116276011</v>
      </c>
      <c r="O29" s="97">
        <v>2390.9566917166057</v>
      </c>
      <c r="P29" s="97">
        <v>2462.7307472181351</v>
      </c>
      <c r="Q29" s="97">
        <v>2879.5897509902061</v>
      </c>
      <c r="R29" s="97">
        <v>2914.8388094361426</v>
      </c>
      <c r="S29" s="97">
        <v>2865.1084750832883</v>
      </c>
      <c r="T29" s="97">
        <v>2700.0629971783551</v>
      </c>
      <c r="U29" s="97">
        <v>2827.9811020145721</v>
      </c>
      <c r="V29" s="97">
        <v>2784.1259672800661</v>
      </c>
      <c r="W29" s="97">
        <v>2766.9807160681826</v>
      </c>
      <c r="DA29" s="175" t="s">
        <v>757</v>
      </c>
    </row>
    <row r="30" spans="1:105" ht="11.45" customHeight="1" x14ac:dyDescent="0.25">
      <c r="A30" s="111" t="s">
        <v>112</v>
      </c>
      <c r="B30" s="97">
        <v>31.003047918626727</v>
      </c>
      <c r="C30" s="97">
        <v>27.84416110564624</v>
      </c>
      <c r="D30" s="97">
        <v>24.744797465787627</v>
      </c>
      <c r="E30" s="97">
        <v>21.822392365411453</v>
      </c>
      <c r="F30" s="97">
        <v>55.737431473451409</v>
      </c>
      <c r="G30" s="97">
        <v>50.008987329325514</v>
      </c>
      <c r="H30" s="97">
        <v>46.617511683522075</v>
      </c>
      <c r="I30" s="97">
        <v>43.310330288731137</v>
      </c>
      <c r="J30" s="97">
        <v>40.227979603169253</v>
      </c>
      <c r="K30" s="97">
        <v>37.039184466033191</v>
      </c>
      <c r="L30" s="97">
        <v>34.084827140565856</v>
      </c>
      <c r="M30" s="97">
        <v>31.265122195153289</v>
      </c>
      <c r="N30" s="97">
        <v>28.717239365108682</v>
      </c>
      <c r="O30" s="97">
        <v>26.277508062414732</v>
      </c>
      <c r="P30" s="97">
        <v>23.881759134257823</v>
      </c>
      <c r="Q30" s="97">
        <v>21.644070473096519</v>
      </c>
      <c r="R30" s="97">
        <v>19.591168430018563</v>
      </c>
      <c r="S30" s="97">
        <v>18.565910213731527</v>
      </c>
      <c r="T30" s="97">
        <v>17.646710271786969</v>
      </c>
      <c r="U30" s="97">
        <v>18.019520426434177</v>
      </c>
      <c r="V30" s="97">
        <v>17.491218306012041</v>
      </c>
      <c r="W30" s="97">
        <v>17.522839794174725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26.226268814714444</v>
      </c>
      <c r="R31" s="97">
        <v>19.942941648605302</v>
      </c>
      <c r="S31" s="97">
        <v>10.90384774423732</v>
      </c>
      <c r="T31" s="97">
        <v>13.834735042167242</v>
      </c>
      <c r="U31" s="97">
        <v>23.831877291986515</v>
      </c>
      <c r="V31" s="97">
        <v>31.487019343030358</v>
      </c>
      <c r="W31" s="97">
        <v>51.550130194581456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8060.7236010608194</v>
      </c>
      <c r="C33" s="32">
        <f t="shared" si="28"/>
        <v>8452.6937243215543</v>
      </c>
      <c r="D33" s="32">
        <f t="shared" si="28"/>
        <v>7900.0430261301035</v>
      </c>
      <c r="E33" s="32">
        <f t="shared" si="28"/>
        <v>9542.0578417536599</v>
      </c>
      <c r="F33" s="32">
        <f t="shared" si="28"/>
        <v>11218.603883935728</v>
      </c>
      <c r="G33" s="32">
        <f t="shared" si="28"/>
        <v>13581.739942823637</v>
      </c>
      <c r="H33" s="32">
        <f t="shared" si="28"/>
        <v>15140.376016371474</v>
      </c>
      <c r="I33" s="32">
        <f t="shared" si="28"/>
        <v>17121.182597543593</v>
      </c>
      <c r="J33" s="32">
        <f t="shared" si="28"/>
        <v>17871.017840758712</v>
      </c>
      <c r="K33" s="32">
        <f t="shared" si="28"/>
        <v>17733.653275970915</v>
      </c>
      <c r="L33" s="32">
        <f t="shared" ref="L33" si="29">L34+L40</f>
        <v>19117.457325847125</v>
      </c>
      <c r="M33" s="32">
        <f t="shared" ref="M33:V33" si="30">M34+M40</f>
        <v>19385.893296660717</v>
      </c>
      <c r="N33" s="32">
        <f t="shared" si="30"/>
        <v>17546.226447961431</v>
      </c>
      <c r="O33" s="32">
        <f t="shared" si="30"/>
        <v>15881.947517116621</v>
      </c>
      <c r="P33" s="32">
        <f t="shared" si="30"/>
        <v>16259.647555711221</v>
      </c>
      <c r="Q33" s="32">
        <f t="shared" si="30"/>
        <v>16994.123229611163</v>
      </c>
      <c r="R33" s="32">
        <f t="shared" si="30"/>
        <v>21051.469320547058</v>
      </c>
      <c r="S33" s="32">
        <f t="shared" si="30"/>
        <v>26109.723995099903</v>
      </c>
      <c r="T33" s="32">
        <f t="shared" si="30"/>
        <v>26306.895333654895</v>
      </c>
      <c r="U33" s="32">
        <f t="shared" si="30"/>
        <v>26448.821922278374</v>
      </c>
      <c r="V33" s="32">
        <f t="shared" si="30"/>
        <v>25082.372042324649</v>
      </c>
      <c r="W33" s="32">
        <f t="shared" ref="W33" si="31">W34+W40</f>
        <v>30346.606328760034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5767.9595350176087</v>
      </c>
      <c r="C34" s="141">
        <f t="shared" si="32"/>
        <v>5479.029707092488</v>
      </c>
      <c r="D34" s="141">
        <f t="shared" si="32"/>
        <v>5650.5405197442597</v>
      </c>
      <c r="E34" s="141">
        <f t="shared" si="32"/>
        <v>5762.6368543687931</v>
      </c>
      <c r="F34" s="141">
        <f t="shared" si="32"/>
        <v>5577.364872586355</v>
      </c>
      <c r="G34" s="141">
        <f t="shared" si="32"/>
        <v>5654.8294927139232</v>
      </c>
      <c r="H34" s="141">
        <f t="shared" si="32"/>
        <v>5904.3591341476658</v>
      </c>
      <c r="I34" s="141">
        <f t="shared" si="32"/>
        <v>6098.4796070636385</v>
      </c>
      <c r="J34" s="141">
        <f t="shared" si="32"/>
        <v>6271.5964229812234</v>
      </c>
      <c r="K34" s="141">
        <f t="shared" si="32"/>
        <v>6503.8165661995063</v>
      </c>
      <c r="L34" s="141">
        <f t="shared" ref="L34" si="33">SUM(L35:L39)</f>
        <v>6792.2586608752108</v>
      </c>
      <c r="M34" s="141">
        <f t="shared" ref="M34:V34" si="34">SUM(M35:M39)</f>
        <v>7099.6934056123191</v>
      </c>
      <c r="N34" s="141">
        <f t="shared" si="34"/>
        <v>7094.2279423134696</v>
      </c>
      <c r="O34" s="141">
        <f t="shared" si="34"/>
        <v>7247.1535160284966</v>
      </c>
      <c r="P34" s="141">
        <f t="shared" si="34"/>
        <v>7236.7147512471411</v>
      </c>
      <c r="Q34" s="141">
        <f t="shared" si="34"/>
        <v>7329.3244648888467</v>
      </c>
      <c r="R34" s="141">
        <f t="shared" si="34"/>
        <v>7853.408838017619</v>
      </c>
      <c r="S34" s="141">
        <f t="shared" si="34"/>
        <v>8102.3666104067261</v>
      </c>
      <c r="T34" s="141">
        <f t="shared" si="34"/>
        <v>8379.3996736305326</v>
      </c>
      <c r="U34" s="141">
        <f t="shared" si="34"/>
        <v>8668.3707913144208</v>
      </c>
      <c r="V34" s="141">
        <f t="shared" si="34"/>
        <v>8724.800876184443</v>
      </c>
      <c r="W34" s="141">
        <f t="shared" ref="W34" si="35">SUM(W35:W39)</f>
        <v>9012.932055052539</v>
      </c>
      <c r="DA34" s="174" t="s">
        <v>411</v>
      </c>
    </row>
    <row r="35" spans="1:105" ht="11.45" customHeight="1" x14ac:dyDescent="0.25">
      <c r="A35" s="111" t="s">
        <v>110</v>
      </c>
      <c r="B35" s="96">
        <v>3072.830577397865</v>
      </c>
      <c r="C35" s="96">
        <v>2959.3498806052253</v>
      </c>
      <c r="D35" s="96">
        <v>2673.2577781396526</v>
      </c>
      <c r="E35" s="96">
        <v>2569.9641097610906</v>
      </c>
      <c r="F35" s="96">
        <v>2312.6070116804913</v>
      </c>
      <c r="G35" s="96">
        <v>2032.2854321265334</v>
      </c>
      <c r="H35" s="96">
        <v>1871.9931549308662</v>
      </c>
      <c r="I35" s="96">
        <v>1684.7255673448935</v>
      </c>
      <c r="J35" s="96">
        <v>1523.973100451253</v>
      </c>
      <c r="K35" s="96">
        <v>1536.6615851207082</v>
      </c>
      <c r="L35" s="96">
        <v>1465.9591053412053</v>
      </c>
      <c r="M35" s="96">
        <v>1343.4900481745512</v>
      </c>
      <c r="N35" s="96">
        <v>1253.935930732328</v>
      </c>
      <c r="O35" s="96">
        <v>1165.1992882335676</v>
      </c>
      <c r="P35" s="96">
        <v>1064.2409551870858</v>
      </c>
      <c r="Q35" s="96">
        <v>929.44268343623162</v>
      </c>
      <c r="R35" s="96">
        <v>923.34939496664856</v>
      </c>
      <c r="S35" s="96">
        <v>954.73795437074625</v>
      </c>
      <c r="T35" s="96">
        <v>944.46523036691269</v>
      </c>
      <c r="U35" s="96">
        <v>953.59499524449666</v>
      </c>
      <c r="V35" s="96">
        <v>874.38146769273078</v>
      </c>
      <c r="W35" s="96">
        <v>876.09468961119751</v>
      </c>
      <c r="DA35" s="171" t="s">
        <v>761</v>
      </c>
    </row>
    <row r="36" spans="1:105" ht="11.45" customHeight="1" x14ac:dyDescent="0.25">
      <c r="A36" s="111" t="s">
        <v>111</v>
      </c>
      <c r="B36" s="96">
        <v>2589.0257107912475</v>
      </c>
      <c r="C36" s="96">
        <v>2401.5377544431758</v>
      </c>
      <c r="D36" s="96">
        <v>2820.0765565265642</v>
      </c>
      <c r="E36" s="96">
        <v>3009.1452004506791</v>
      </c>
      <c r="F36" s="96">
        <v>3075.9817841839513</v>
      </c>
      <c r="G36" s="96">
        <v>3419.1574680218964</v>
      </c>
      <c r="H36" s="96">
        <v>3793.7581426234597</v>
      </c>
      <c r="I36" s="96">
        <v>4157.6886369852091</v>
      </c>
      <c r="J36" s="96">
        <v>4480.1172653895137</v>
      </c>
      <c r="K36" s="96">
        <v>4694.5793877616352</v>
      </c>
      <c r="L36" s="96">
        <v>5045.8121009749811</v>
      </c>
      <c r="M36" s="96">
        <v>5467.3297894200832</v>
      </c>
      <c r="N36" s="96">
        <v>5579.0926090391458</v>
      </c>
      <c r="O36" s="96">
        <v>5822.8958009766957</v>
      </c>
      <c r="P36" s="96">
        <v>5888.7375532839005</v>
      </c>
      <c r="Q36" s="96">
        <v>6112.0950088959353</v>
      </c>
      <c r="R36" s="96">
        <v>6641.6468589966844</v>
      </c>
      <c r="S36" s="96">
        <v>6868.1694825384702</v>
      </c>
      <c r="T36" s="96">
        <v>7143.6660976051708</v>
      </c>
      <c r="U36" s="96">
        <v>7422.4966836002541</v>
      </c>
      <c r="V36" s="96">
        <v>7570.7348093563332</v>
      </c>
      <c r="W36" s="96">
        <v>7858.4458011767838</v>
      </c>
      <c r="DA36" s="171" t="s">
        <v>762</v>
      </c>
    </row>
    <row r="37" spans="1:105" ht="11.45" customHeight="1" x14ac:dyDescent="0.25">
      <c r="A37" s="111" t="s">
        <v>112</v>
      </c>
      <c r="B37" s="96">
        <v>106.10324682849669</v>
      </c>
      <c r="C37" s="96">
        <v>118.14207204408731</v>
      </c>
      <c r="D37" s="96">
        <v>157.20618507804295</v>
      </c>
      <c r="E37" s="96">
        <v>183.52754415702307</v>
      </c>
      <c r="F37" s="96">
        <v>188.77607672191212</v>
      </c>
      <c r="G37" s="96">
        <v>203.38659256549323</v>
      </c>
      <c r="H37" s="96">
        <v>238.6078365933401</v>
      </c>
      <c r="I37" s="96">
        <v>256.06540273353619</v>
      </c>
      <c r="J37" s="96">
        <v>267.50605714045628</v>
      </c>
      <c r="K37" s="96">
        <v>272.57559331716345</v>
      </c>
      <c r="L37" s="96">
        <v>280.4874545590248</v>
      </c>
      <c r="M37" s="96">
        <v>288.8735680176847</v>
      </c>
      <c r="N37" s="96">
        <v>261.19940254199531</v>
      </c>
      <c r="O37" s="96">
        <v>259.05842681823424</v>
      </c>
      <c r="P37" s="96">
        <v>283.73624277615494</v>
      </c>
      <c r="Q37" s="96">
        <v>282.3960118149854</v>
      </c>
      <c r="R37" s="96">
        <v>282.02241949419738</v>
      </c>
      <c r="S37" s="96">
        <v>273.29008578857412</v>
      </c>
      <c r="T37" s="96">
        <v>284.86627644384782</v>
      </c>
      <c r="U37" s="96">
        <v>285.8484414167545</v>
      </c>
      <c r="V37" s="96">
        <v>274.99565823068423</v>
      </c>
      <c r="W37" s="96">
        <v>274.16365994250799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5.3907607416937529</v>
      </c>
      <c r="R38" s="96">
        <v>6.390164560089163</v>
      </c>
      <c r="S38" s="96">
        <v>6.169087708934895</v>
      </c>
      <c r="T38" s="96">
        <v>6.4020692146009184</v>
      </c>
      <c r="U38" s="96">
        <v>6.4306710529154074</v>
      </c>
      <c r="V38" s="96">
        <v>4.6889409046938715</v>
      </c>
      <c r="W38" s="96">
        <v>4.2279043220496746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2292.7640660432107</v>
      </c>
      <c r="C40" s="130">
        <f t="shared" si="36"/>
        <v>2973.6640172290672</v>
      </c>
      <c r="D40" s="130">
        <f t="shared" si="36"/>
        <v>2249.5025063858438</v>
      </c>
      <c r="E40" s="130">
        <f t="shared" si="36"/>
        <v>3779.4209873848677</v>
      </c>
      <c r="F40" s="130">
        <f t="shared" si="36"/>
        <v>5641.239011349372</v>
      </c>
      <c r="G40" s="130">
        <f t="shared" si="36"/>
        <v>7926.9104501097136</v>
      </c>
      <c r="H40" s="130">
        <f t="shared" si="36"/>
        <v>9236.0168822238084</v>
      </c>
      <c r="I40" s="130">
        <f t="shared" si="36"/>
        <v>11022.702990479955</v>
      </c>
      <c r="J40" s="130">
        <f t="shared" si="36"/>
        <v>11599.421417777488</v>
      </c>
      <c r="K40" s="130">
        <f t="shared" si="36"/>
        <v>11229.836709771407</v>
      </c>
      <c r="L40" s="130">
        <f t="shared" ref="L40" si="37">SUM(L41:L42)</f>
        <v>12325.198664971915</v>
      </c>
      <c r="M40" s="130">
        <f t="shared" ref="M40:V40" si="38">SUM(M41:M42)</f>
        <v>12286.199891048396</v>
      </c>
      <c r="N40" s="130">
        <f t="shared" si="38"/>
        <v>10451.99850564796</v>
      </c>
      <c r="O40" s="130">
        <f t="shared" si="38"/>
        <v>8634.7940010881248</v>
      </c>
      <c r="P40" s="130">
        <f t="shared" si="38"/>
        <v>9022.9328044640806</v>
      </c>
      <c r="Q40" s="130">
        <f t="shared" si="38"/>
        <v>9664.7987647223163</v>
      </c>
      <c r="R40" s="130">
        <f t="shared" si="38"/>
        <v>13198.060482529438</v>
      </c>
      <c r="S40" s="130">
        <f t="shared" si="38"/>
        <v>18007.357384693176</v>
      </c>
      <c r="T40" s="130">
        <f t="shared" si="38"/>
        <v>17927.495660024364</v>
      </c>
      <c r="U40" s="130">
        <f t="shared" si="38"/>
        <v>17780.451130963953</v>
      </c>
      <c r="V40" s="130">
        <f t="shared" si="38"/>
        <v>16357.571166140206</v>
      </c>
      <c r="W40" s="130">
        <f t="shared" ref="W40" si="39">SUM(W41:W42)</f>
        <v>21333.674273707496</v>
      </c>
      <c r="DA40" s="176" t="s">
        <v>412</v>
      </c>
    </row>
    <row r="41" spans="1:105" ht="11.45" customHeight="1" x14ac:dyDescent="0.25">
      <c r="A41" s="128" t="s">
        <v>27</v>
      </c>
      <c r="B41" s="97">
        <v>1748.7762859345319</v>
      </c>
      <c r="C41" s="97">
        <v>2251.9224770944197</v>
      </c>
      <c r="D41" s="97">
        <v>1702.2920544548203</v>
      </c>
      <c r="E41" s="97">
        <v>2897.6437345583727</v>
      </c>
      <c r="F41" s="97">
        <v>4317.7424846233189</v>
      </c>
      <c r="G41" s="97">
        <v>6096.375547067094</v>
      </c>
      <c r="H41" s="97">
        <v>6760.0971607352703</v>
      </c>
      <c r="I41" s="97">
        <v>8425.5950342488759</v>
      </c>
      <c r="J41" s="97">
        <v>9005.4704280237856</v>
      </c>
      <c r="K41" s="97">
        <v>9000.2423743648942</v>
      </c>
      <c r="L41" s="97">
        <v>9680.8246882712046</v>
      </c>
      <c r="M41" s="97">
        <v>9726.5524155378152</v>
      </c>
      <c r="N41" s="97">
        <v>8099.4421970520307</v>
      </c>
      <c r="O41" s="97">
        <v>6728.4547530168647</v>
      </c>
      <c r="P41" s="97">
        <v>6978.8298262065155</v>
      </c>
      <c r="Q41" s="97">
        <v>7539.972736712054</v>
      </c>
      <c r="R41" s="97">
        <v>10038.0515568383</v>
      </c>
      <c r="S41" s="97">
        <v>13584.176439079478</v>
      </c>
      <c r="T41" s="97">
        <v>13878.466013847095</v>
      </c>
      <c r="U41" s="97">
        <v>13299.559693868312</v>
      </c>
      <c r="V41" s="97">
        <v>12447.112009217108</v>
      </c>
      <c r="W41" s="97">
        <v>16252.474640884482</v>
      </c>
      <c r="DA41" s="175" t="s">
        <v>766</v>
      </c>
    </row>
    <row r="42" spans="1:105" ht="11.45" customHeight="1" x14ac:dyDescent="0.25">
      <c r="A42" s="138" t="s">
        <v>116</v>
      </c>
      <c r="B42" s="98">
        <v>543.98778010867863</v>
      </c>
      <c r="C42" s="98">
        <v>721.74154013464761</v>
      </c>
      <c r="D42" s="98">
        <v>547.21045193102373</v>
      </c>
      <c r="E42" s="98">
        <v>881.7772528264951</v>
      </c>
      <c r="F42" s="98">
        <v>1323.4965267260534</v>
      </c>
      <c r="G42" s="98">
        <v>1830.53490304262</v>
      </c>
      <c r="H42" s="98">
        <v>2475.9197214885385</v>
      </c>
      <c r="I42" s="98">
        <v>2597.1079562310783</v>
      </c>
      <c r="J42" s="98">
        <v>2593.9509897537032</v>
      </c>
      <c r="K42" s="98">
        <v>2229.5943354065121</v>
      </c>
      <c r="L42" s="98">
        <v>2644.3739767007091</v>
      </c>
      <c r="M42" s="98">
        <v>2559.6474755105819</v>
      </c>
      <c r="N42" s="98">
        <v>2352.5563085959284</v>
      </c>
      <c r="O42" s="98">
        <v>1906.3392480712594</v>
      </c>
      <c r="P42" s="98">
        <v>2044.1029782575645</v>
      </c>
      <c r="Q42" s="98">
        <v>2124.8260280102631</v>
      </c>
      <c r="R42" s="98">
        <v>3160.0089256911374</v>
      </c>
      <c r="S42" s="98">
        <v>4423.1809456136998</v>
      </c>
      <c r="T42" s="98">
        <v>4049.02964617727</v>
      </c>
      <c r="U42" s="98">
        <v>4480.8914370956409</v>
      </c>
      <c r="V42" s="98">
        <v>3910.4591569230988</v>
      </c>
      <c r="W42" s="98">
        <v>5081.1996328230143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2.9589520761636048</v>
      </c>
      <c r="C47" s="145">
        <f>IF(C4=0,0,C4/TrRoad_ene!C4)</f>
        <v>2.9570918323711592</v>
      </c>
      <c r="D47" s="145">
        <f>IF(D4=0,0,D4/TrRoad_ene!D4)</f>
        <v>2.9473726229345223</v>
      </c>
      <c r="E47" s="145">
        <f>IF(E4=0,0,E4/TrRoad_ene!E4)</f>
        <v>2.9424481862096754</v>
      </c>
      <c r="F47" s="145">
        <f>IF(F4=0,0,F4/TrRoad_ene!F4)</f>
        <v>2.9509523921118803</v>
      </c>
      <c r="G47" s="145">
        <f>IF(G4=0,0,G4/TrRoad_ene!G4)</f>
        <v>2.9438227658602312</v>
      </c>
      <c r="H47" s="145">
        <f>IF(H4=0,0,H4/TrRoad_ene!H4)</f>
        <v>2.9416603495244886</v>
      </c>
      <c r="I47" s="145">
        <f>IF(I4=0,0,I4/TrRoad_ene!I4)</f>
        <v>2.9541161912114706</v>
      </c>
      <c r="J47" s="145">
        <f>IF(J4=0,0,J4/TrRoad_ene!J4)</f>
        <v>2.8951823913938788</v>
      </c>
      <c r="K47" s="145">
        <f>IF(K4=0,0,K4/TrRoad_ene!K4)</f>
        <v>2.8641906902577832</v>
      </c>
      <c r="L47" s="145">
        <f>IF(L4=0,0,L4/TrRoad_ene!L4)</f>
        <v>2.836610068659446</v>
      </c>
      <c r="M47" s="145">
        <f>IF(M4=0,0,M4/TrRoad_ene!M4)</f>
        <v>2.8355124672249703</v>
      </c>
      <c r="N47" s="145">
        <f>IF(N4=0,0,N4/TrRoad_ene!N4)</f>
        <v>2.8460910196042297</v>
      </c>
      <c r="O47" s="145">
        <f>IF(O4=0,0,O4/TrRoad_ene!O4)</f>
        <v>2.8436468091621667</v>
      </c>
      <c r="P47" s="145">
        <f>IF(P4=0,0,P4/TrRoad_ene!P4)</f>
        <v>2.8549434986421924</v>
      </c>
      <c r="Q47" s="145">
        <f>IF(Q4=0,0,Q4/TrRoad_ene!Q4)</f>
        <v>2.8742154393992099</v>
      </c>
      <c r="R47" s="145">
        <f>IF(R4=0,0,R4/TrRoad_ene!R4)</f>
        <v>2.9283279547472749</v>
      </c>
      <c r="S47" s="145">
        <f>IF(S4=0,0,S4/TrRoad_ene!S4)</f>
        <v>2.9241934735810173</v>
      </c>
      <c r="T47" s="145">
        <f>IF(T4=0,0,T4/TrRoad_ene!T4)</f>
        <v>2.8847148223583647</v>
      </c>
      <c r="U47" s="145">
        <f>IF(U4=0,0,U4/TrRoad_ene!U4)</f>
        <v>2.8705901474421895</v>
      </c>
      <c r="V47" s="145">
        <f>IF(V4=0,0,V4/TrRoad_ene!V4)</f>
        <v>2.8654993733378316</v>
      </c>
      <c r="W47" s="145">
        <f>IF(W4=0,0,W4/TrRoad_ene!W4)</f>
        <v>2.8663852620775092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2.8822442508181223</v>
      </c>
      <c r="F48" s="97">
        <f>IF(F7=0,0,(F7+F12)/(TrRoad_ene!F7+TrRoad_ene!F12))</f>
        <v>2.8923899812854454</v>
      </c>
      <c r="G48" s="97">
        <f>IF(G7=0,0,(G7+G12)/(TrRoad_ene!G7+TrRoad_ene!G12))</f>
        <v>2.8778758000866671</v>
      </c>
      <c r="H48" s="97">
        <f>IF(H7=0,0,(H7+H12)/(TrRoad_ene!H7+TrRoad_ene!H12))</f>
        <v>2.8643361619790437</v>
      </c>
      <c r="I48" s="97">
        <f>IF(I7=0,0,(I7+I12)/(TrRoad_ene!I7+TrRoad_ene!I12))</f>
        <v>2.853230855280652</v>
      </c>
      <c r="J48" s="97">
        <f>IF(J7=0,0,(J7+J12)/(TrRoad_ene!J7+TrRoad_ene!J12))</f>
        <v>2.8162951421184625</v>
      </c>
      <c r="K48" s="97">
        <f>IF(K7=0,0,(K7+K12)/(TrRoad_ene!K7+TrRoad_ene!K12))</f>
        <v>2.7919815634303555</v>
      </c>
      <c r="L48" s="97">
        <f>IF(L7=0,0,(L7+L12)/(TrRoad_ene!L7+TrRoad_ene!L12))</f>
        <v>2.7899215138805764</v>
      </c>
      <c r="M48" s="97">
        <f>IF(M7=0,0,(M7+M12)/(TrRoad_ene!M7+TrRoad_ene!M12))</f>
        <v>2.7897431355059328</v>
      </c>
      <c r="N48" s="97">
        <f>IF(N7=0,0,(N7+N12)/(TrRoad_ene!N7+TrRoad_ene!N12))</f>
        <v>2.8005621410333417</v>
      </c>
      <c r="O48" s="97">
        <f>IF(O7=0,0,(O7+O12)/(TrRoad_ene!O7+TrRoad_ene!O12))</f>
        <v>2.791518735747621</v>
      </c>
      <c r="P48" s="97">
        <f>IF(P7=0,0,(P7+P12)/(TrRoad_ene!P7+TrRoad_ene!P12))</f>
        <v>2.7963756721913429</v>
      </c>
      <c r="Q48" s="97">
        <f>IF(Q7=0,0,(Q7+Q12)/(TrRoad_ene!Q7+TrRoad_ene!Q12))</f>
        <v>2.7844988605272603</v>
      </c>
      <c r="R48" s="97">
        <f>IF(R7=0,0,(R7+R12)/(TrRoad_ene!R7+TrRoad_ene!R12))</f>
        <v>2.7806546255290887</v>
      </c>
      <c r="S48" s="97">
        <f>IF(S7=0,0,(S7+S12)/(TrRoad_ene!S7+TrRoad_ene!S12))</f>
        <v>2.7851585736852047</v>
      </c>
      <c r="T48" s="97">
        <f>IF(T7=0,0,(T7+T12)/(TrRoad_ene!T7+TrRoad_ene!T12))</f>
        <v>2.7914733861657761</v>
      </c>
      <c r="U48" s="97">
        <f>IF(U7=0,0,(U7+U12)/(TrRoad_ene!U7+TrRoad_ene!U12))</f>
        <v>2.7863787530778712</v>
      </c>
      <c r="V48" s="97">
        <f>IF(V7=0,0,(V7+V12)/(TrRoad_ene!V7+TrRoad_ene!V12))</f>
        <v>2.7810397882058</v>
      </c>
      <c r="W48" s="97">
        <f>IF(W7=0,0,(W7+W12)/(TrRoad_ene!W7+TrRoad_ene!W12))</f>
        <v>2.777828978842555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3.0937113893467494</v>
      </c>
      <c r="H49" s="97">
        <f>IF(H8=0,0,(H8+H13+H14)/(TrRoad_ene!H8+TrRoad_ene!H13+TrRoad_ene!H14))</f>
        <v>3.0855714321277006</v>
      </c>
      <c r="I49" s="97">
        <f>IF(I8=0,0,(I8+I13+I14)/(TrRoad_ene!I8+TrRoad_ene!I13+TrRoad_ene!I14))</f>
        <v>3.0926377700111125</v>
      </c>
      <c r="J49" s="97">
        <f>IF(J8=0,0,(J8+J13+J14)/(TrRoad_ene!J8+TrRoad_ene!J13+TrRoad_ene!J14))</f>
        <v>2.9927212848476406</v>
      </c>
      <c r="K49" s="97">
        <f>IF(K8=0,0,(K8+K13+K14)/(TrRoad_ene!K8+TrRoad_ene!K13+TrRoad_ene!K14))</f>
        <v>2.9449059772232946</v>
      </c>
      <c r="L49" s="97">
        <f>IF(L8=0,0,(L8+L13+L14)/(TrRoad_ene!L8+TrRoad_ene!L13+TrRoad_ene!L14))</f>
        <v>2.892626550741622</v>
      </c>
      <c r="M49" s="97">
        <f>IF(M8=0,0,(M8+M13+M14)/(TrRoad_ene!M8+TrRoad_ene!M13+TrRoad_ene!M14))</f>
        <v>2.8862283331219567</v>
      </c>
      <c r="N49" s="97">
        <f>IF(N8=0,0,(N8+N13+N14)/(TrRoad_ene!N8+TrRoad_ene!N13+TrRoad_ene!N14))</f>
        <v>2.9003239185394762</v>
      </c>
      <c r="O49" s="97">
        <f>IF(O8=0,0,(O8+O13+O14)/(TrRoad_ene!O8+TrRoad_ene!O13+TrRoad_ene!O14))</f>
        <v>2.9038429541890873</v>
      </c>
      <c r="P49" s="97">
        <f>IF(P8=0,0,(P8+P13+P14)/(TrRoad_ene!P8+TrRoad_ene!P13+TrRoad_ene!P14))</f>
        <v>2.9179746673238678</v>
      </c>
      <c r="Q49" s="97">
        <f>IF(Q8=0,0,(Q8+Q13+Q14)/(TrRoad_ene!Q8+TrRoad_ene!Q13+TrRoad_ene!Q14))</f>
        <v>2.9508034285438232</v>
      </c>
      <c r="R49" s="97">
        <f>IF(R8=0,0,(R8+R13+R14)/(TrRoad_ene!R8+TrRoad_ene!R13+TrRoad_ene!R14))</f>
        <v>3.0266006370169847</v>
      </c>
      <c r="S49" s="97">
        <f>IF(S8=0,0,(S8+S13+S14)/(TrRoad_ene!S8+TrRoad_ene!S13+TrRoad_ene!S14))</f>
        <v>3.0089892280068469</v>
      </c>
      <c r="T49" s="97">
        <f>IF(T8=0,0,(T8+T13+T14)/(TrRoad_ene!T8+TrRoad_ene!T13+TrRoad_ene!T14))</f>
        <v>2.9483374527869368</v>
      </c>
      <c r="U49" s="97">
        <f>IF(U8=0,0,(U8+U13+U14)/(TrRoad_ene!U8+TrRoad_ene!U13+TrRoad_ene!U14))</f>
        <v>2.9306242129590485</v>
      </c>
      <c r="V49" s="97">
        <f>IF(V8=0,0,(V8+V13+V14)/(TrRoad_ene!V8+TrRoad_ene!V13+TrRoad_ene!V14))</f>
        <v>2.9221089626889576</v>
      </c>
      <c r="W49" s="97">
        <f>IF(W8=0,0,(W8+W13+W14)/(TrRoad_ene!W8+TrRoad_ene!W13+TrRoad_ene!W14))</f>
        <v>2.9249610245174775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2.6418708000000009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264.72261354405845</v>
      </c>
      <c r="C54" s="62">
        <f>IF(TrRoad_act!C30=0,0,C17/TrRoad_act!C30*1000
)</f>
        <v>264.87842515445487</v>
      </c>
      <c r="D54" s="62">
        <f>IF(TrRoad_act!D30=0,0,D17/TrRoad_act!D30*1000
)</f>
        <v>251.79149203031974</v>
      </c>
      <c r="E54" s="62">
        <f>IF(TrRoad_act!E30=0,0,E17/TrRoad_act!E30*1000
)</f>
        <v>262.999168746804</v>
      </c>
      <c r="F54" s="62">
        <f>IF(TrRoad_act!F30=0,0,F17/TrRoad_act!F30*1000
)</f>
        <v>275.1918165514017</v>
      </c>
      <c r="G54" s="62">
        <f>IF(TrRoad_act!G30=0,0,G17/TrRoad_act!G30*1000
)</f>
        <v>295.05714217045295</v>
      </c>
      <c r="H54" s="62">
        <f>IF(TrRoad_act!H30=0,0,H17/TrRoad_act!H30*1000
)</f>
        <v>298.3001464515375</v>
      </c>
      <c r="I54" s="62">
        <f>IF(TrRoad_act!I30=0,0,I17/TrRoad_act!I30*1000
)</f>
        <v>303.76358751123388</v>
      </c>
      <c r="J54" s="62">
        <f>IF(TrRoad_act!J30=0,0,J17/TrRoad_act!J30*1000
)</f>
        <v>291.76358771724296</v>
      </c>
      <c r="K54" s="62">
        <f>IF(TrRoad_act!K30=0,0,K17/TrRoad_act!K30*1000
)</f>
        <v>279.08200641713552</v>
      </c>
      <c r="L54" s="62">
        <f>IF(TrRoad_act!L30=0,0,L17/TrRoad_act!L30*1000
)</f>
        <v>277.34660399822684</v>
      </c>
      <c r="M54" s="62">
        <f>IF(TrRoad_act!M30=0,0,M17/TrRoad_act!M30*1000
)</f>
        <v>272.53787969833297</v>
      </c>
      <c r="N54" s="62">
        <f>IF(TrRoad_act!N30=0,0,N17/TrRoad_act!N30*1000
)</f>
        <v>262.17783548945818</v>
      </c>
      <c r="O54" s="62">
        <f>IF(TrRoad_act!O30=0,0,O17/TrRoad_act!O30*1000
)</f>
        <v>250.01286098135432</v>
      </c>
      <c r="P54" s="62">
        <f>IF(TrRoad_act!P30=0,0,P17/TrRoad_act!P30*1000
)</f>
        <v>251.0403546081597</v>
      </c>
      <c r="Q54" s="62">
        <f>IF(TrRoad_act!Q30=0,0,Q17/TrRoad_act!Q30*1000
)</f>
        <v>250.51866788620009</v>
      </c>
      <c r="R54" s="62">
        <f>IF(TrRoad_act!R30=0,0,R17/TrRoad_act!R30*1000
)</f>
        <v>273.29108379167116</v>
      </c>
      <c r="S54" s="62">
        <f>IF(TrRoad_act!S30=0,0,S17/TrRoad_act!S30*1000
)</f>
        <v>288.68021548302744</v>
      </c>
      <c r="T54" s="62">
        <f>IF(TrRoad_act!T30=0,0,T17/TrRoad_act!T30*1000
)</f>
        <v>277.2751597261697</v>
      </c>
      <c r="U54" s="62">
        <f>IF(TrRoad_act!U30=0,0,U17/TrRoad_act!U30*1000
)</f>
        <v>272.51225112552339</v>
      </c>
      <c r="V54" s="62">
        <f>IF(TrRoad_act!V30=0,0,V17/TrRoad_act!V30*1000
)</f>
        <v>257.08799965632375</v>
      </c>
      <c r="W54" s="62">
        <f>IF(TrRoad_act!W30=0,0,W17/TrRoad_act!W30*1000
)</f>
        <v>277.43146175546769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251.66161347748627</v>
      </c>
      <c r="C55" s="29">
        <f>IF(TrRoad_act!C31=0,0,C18/TrRoad_act!C31*1000
)</f>
        <v>245.3587095174025</v>
      </c>
      <c r="D55" s="29">
        <f>IF(TrRoad_act!D31=0,0,D18/TrRoad_act!D31*1000
)</f>
        <v>238.21987234414141</v>
      </c>
      <c r="E55" s="29">
        <f>IF(TrRoad_act!E31=0,0,E18/TrRoad_act!E31*1000
)</f>
        <v>236.17755554435695</v>
      </c>
      <c r="F55" s="29">
        <f>IF(TrRoad_act!F31=0,0,F18/TrRoad_act!F31*1000
)</f>
        <v>236.98169728447013</v>
      </c>
      <c r="G55" s="29">
        <f>IF(TrRoad_act!G31=0,0,G18/TrRoad_act!G31*1000
)</f>
        <v>237.81781096969786</v>
      </c>
      <c r="H55" s="29">
        <f>IF(TrRoad_act!H31=0,0,H18/TrRoad_act!H31*1000
)</f>
        <v>235.44803509412728</v>
      </c>
      <c r="I55" s="29">
        <f>IF(TrRoad_act!I31=0,0,I18/TrRoad_act!I31*1000
)</f>
        <v>233.436197305989</v>
      </c>
      <c r="J55" s="29">
        <f>IF(TrRoad_act!J31=0,0,J18/TrRoad_act!J31*1000
)</f>
        <v>222.74147680048824</v>
      </c>
      <c r="K55" s="29">
        <f>IF(TrRoad_act!K31=0,0,K18/TrRoad_act!K31*1000
)</f>
        <v>216.81227111671936</v>
      </c>
      <c r="L55" s="29">
        <f>IF(TrRoad_act!L31=0,0,L18/TrRoad_act!L31*1000
)</f>
        <v>212.67449142625017</v>
      </c>
      <c r="M55" s="29">
        <f>IF(TrRoad_act!M31=0,0,M18/TrRoad_act!M31*1000
)</f>
        <v>210.3170684289426</v>
      </c>
      <c r="N55" s="29">
        <f>IF(TrRoad_act!N31=0,0,N18/TrRoad_act!N31*1000
)</f>
        <v>210.10550536823411</v>
      </c>
      <c r="O55" s="29">
        <f>IF(TrRoad_act!O31=0,0,O18/TrRoad_act!O31*1000
)</f>
        <v>208.29506328501847</v>
      </c>
      <c r="P55" s="29">
        <f>IF(TrRoad_act!P31=0,0,P18/TrRoad_act!P31*1000
)</f>
        <v>206.73549885125013</v>
      </c>
      <c r="Q55" s="29">
        <f>IF(TrRoad_act!Q31=0,0,Q18/TrRoad_act!Q31*1000
)</f>
        <v>205.68933634000612</v>
      </c>
      <c r="R55" s="29">
        <f>IF(TrRoad_act!R31=0,0,R18/TrRoad_act!R31*1000
)</f>
        <v>213.09566552833576</v>
      </c>
      <c r="S55" s="29">
        <f>IF(TrRoad_act!S31=0,0,S18/TrRoad_act!S31*1000
)</f>
        <v>212.42159166787087</v>
      </c>
      <c r="T55" s="29">
        <f>IF(TrRoad_act!T31=0,0,T18/TrRoad_act!T31*1000
)</f>
        <v>204.04163635688977</v>
      </c>
      <c r="U55" s="29">
        <f>IF(TrRoad_act!U31=0,0,U18/TrRoad_act!U31*1000
)</f>
        <v>202.59611839191948</v>
      </c>
      <c r="V55" s="29">
        <f>IF(TrRoad_act!V31=0,0,V18/TrRoad_act!V31*1000
)</f>
        <v>192.23514052659874</v>
      </c>
      <c r="W55" s="29">
        <f>IF(TrRoad_act!W31=0,0,W18/TrRoad_act!W31*1000
)</f>
        <v>192.56871878127515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138.54377681647992</v>
      </c>
      <c r="C56" s="152">
        <f>IF(TrRoad_act!C32=0,0,C19/TrRoad_act!C32*1000
)</f>
        <v>138.26457612328483</v>
      </c>
      <c r="D56" s="152">
        <f>IF(TrRoad_act!D32=0,0,D19/TrRoad_act!D32*1000
)</f>
        <v>136.59754265205976</v>
      </c>
      <c r="E56" s="152">
        <f>IF(TrRoad_act!E32=0,0,E19/TrRoad_act!E32*1000
)</f>
        <v>135.61137684977754</v>
      </c>
      <c r="F56" s="152">
        <f>IF(TrRoad_act!F32=0,0,F19/TrRoad_act!F32*1000
)</f>
        <v>136.00020777700817</v>
      </c>
      <c r="G56" s="152">
        <f>IF(TrRoad_act!G32=0,0,G19/TrRoad_act!G32*1000
)</f>
        <v>124.61697144882389</v>
      </c>
      <c r="H56" s="152">
        <f>IF(TrRoad_act!H32=0,0,H19/TrRoad_act!H32*1000
)</f>
        <v>122.59323683728302</v>
      </c>
      <c r="I56" s="152">
        <f>IF(TrRoad_act!I32=0,0,I19/TrRoad_act!I32*1000
)</f>
        <v>120.29000598564318</v>
      </c>
      <c r="J56" s="152">
        <f>IF(TrRoad_act!J32=0,0,J19/TrRoad_act!J32*1000
)</f>
        <v>121.76731158902273</v>
      </c>
      <c r="K56" s="152">
        <f>IF(TrRoad_act!K32=0,0,K19/TrRoad_act!K32*1000
)</f>
        <v>112.32984134366589</v>
      </c>
      <c r="L56" s="152">
        <f>IF(TrRoad_act!L32=0,0,L19/TrRoad_act!L32*1000
)</f>
        <v>110.52970559858353</v>
      </c>
      <c r="M56" s="152">
        <f>IF(TrRoad_act!M32=0,0,M19/TrRoad_act!M32*1000
)</f>
        <v>108.73801886130106</v>
      </c>
      <c r="N56" s="152">
        <f>IF(TrRoad_act!N32=0,0,N19/TrRoad_act!N32*1000
)</f>
        <v>107.9245747868445</v>
      </c>
      <c r="O56" s="152">
        <f>IF(TrRoad_act!O32=0,0,O19/TrRoad_act!O32*1000
)</f>
        <v>106.83775119751974</v>
      </c>
      <c r="P56" s="152">
        <f>IF(TrRoad_act!P32=0,0,P19/TrRoad_act!P32*1000
)</f>
        <v>105.88100108499781</v>
      </c>
      <c r="Q56" s="152">
        <f>IF(TrRoad_act!Q32=0,0,Q19/TrRoad_act!Q32*1000
)</f>
        <v>104.12214472191187</v>
      </c>
      <c r="R56" s="152">
        <f>IF(TrRoad_act!R32=0,0,R19/TrRoad_act!R32*1000
)</f>
        <v>103.25301642867836</v>
      </c>
      <c r="S56" s="152">
        <f>IF(TrRoad_act!S32=0,0,S19/TrRoad_act!S32*1000
)</f>
        <v>102.35131102355153</v>
      </c>
      <c r="T56" s="152">
        <f>IF(TrRoad_act!T32=0,0,T19/TrRoad_act!T32*1000
)</f>
        <v>102.0967109256832</v>
      </c>
      <c r="U56" s="152">
        <f>IF(TrRoad_act!U32=0,0,U19/TrRoad_act!U32*1000
)</f>
        <v>101.48598495524033</v>
      </c>
      <c r="V56" s="152">
        <f>IF(TrRoad_act!V32=0,0,V19/TrRoad_act!V32*1000
)</f>
        <v>100.98257873505266</v>
      </c>
      <c r="W56" s="152">
        <f>IF(TrRoad_act!W32=0,0,W19/TrRoad_act!W32*1000
)</f>
        <v>96.175712042598022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217.02698316822656</v>
      </c>
      <c r="C57" s="116">
        <f>IF(TrRoad_act!C33=0,0,C20/TrRoad_act!C33*1000
)</f>
        <v>212.96989583693104</v>
      </c>
      <c r="D57" s="116">
        <f>IF(TrRoad_act!D33=0,0,D20/TrRoad_act!D33*1000
)</f>
        <v>206.80024644746953</v>
      </c>
      <c r="E57" s="116">
        <f>IF(TrRoad_act!E33=0,0,E20/TrRoad_act!E33*1000
)</f>
        <v>207.39627334115679</v>
      </c>
      <c r="F57" s="116">
        <f>IF(TrRoad_act!F33=0,0,F20/TrRoad_act!F33*1000
)</f>
        <v>209.67737659911091</v>
      </c>
      <c r="G57" s="116">
        <f>IF(TrRoad_act!G33=0,0,G20/TrRoad_act!G33*1000
)</f>
        <v>211.83923171161666</v>
      </c>
      <c r="H57" s="116">
        <f>IF(TrRoad_act!H33=0,0,H20/TrRoad_act!H33*1000
)</f>
        <v>213.65738454365373</v>
      </c>
      <c r="I57" s="116">
        <f>IF(TrRoad_act!I33=0,0,I20/TrRoad_act!I33*1000
)</f>
        <v>213.66980840685173</v>
      </c>
      <c r="J57" s="116">
        <f>IF(TrRoad_act!J33=0,0,J20/TrRoad_act!J33*1000
)</f>
        <v>205.67611826340703</v>
      </c>
      <c r="K57" s="116">
        <f>IF(TrRoad_act!K33=0,0,K20/TrRoad_act!K33*1000
)</f>
        <v>201.14129534064568</v>
      </c>
      <c r="L57" s="116">
        <f>IF(TrRoad_act!L33=0,0,L20/TrRoad_act!L33*1000
)</f>
        <v>198.45750205067327</v>
      </c>
      <c r="M57" s="116">
        <f>IF(TrRoad_act!M33=0,0,M20/TrRoad_act!M33*1000
)</f>
        <v>196.20145406793046</v>
      </c>
      <c r="N57" s="116">
        <f>IF(TrRoad_act!N33=0,0,N20/TrRoad_act!N33*1000
)</f>
        <v>196.16150105763339</v>
      </c>
      <c r="O57" s="116">
        <f>IF(TrRoad_act!O33=0,0,O20/TrRoad_act!O33*1000
)</f>
        <v>193.48008174909049</v>
      </c>
      <c r="P57" s="116">
        <f>IF(TrRoad_act!P33=0,0,P20/TrRoad_act!P33*1000
)</f>
        <v>191.52241612362235</v>
      </c>
      <c r="Q57" s="116">
        <f>IF(TrRoad_act!Q33=0,0,Q20/TrRoad_act!Q33*1000
)</f>
        <v>188.68646247458253</v>
      </c>
      <c r="R57" s="116">
        <f>IF(TrRoad_act!R33=0,0,R20/TrRoad_act!R33*1000
)</f>
        <v>197.0397241362468</v>
      </c>
      <c r="S57" s="116">
        <f>IF(TrRoad_act!S33=0,0,S20/TrRoad_act!S33*1000
)</f>
        <v>198.22103626805867</v>
      </c>
      <c r="T57" s="116">
        <f>IF(TrRoad_act!T33=0,0,T20/TrRoad_act!T33*1000
)</f>
        <v>191.57943734234223</v>
      </c>
      <c r="U57" s="116">
        <f>IF(TrRoad_act!U33=0,0,U20/TrRoad_act!U33*1000
)</f>
        <v>189.9239921590154</v>
      </c>
      <c r="V57" s="116">
        <f>IF(TrRoad_act!V33=0,0,V20/TrRoad_act!V33*1000
)</f>
        <v>179.57384610357195</v>
      </c>
      <c r="W57" s="116">
        <f>IF(TrRoad_act!W33=0,0,W20/TrRoad_act!W33*1000
)</f>
        <v>179.93046212572619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215.2355143896865</v>
      </c>
      <c r="C58" s="87">
        <f>IF(TrRoad_act!C34=0,0,C21/TrRoad_act!C34*1000
)</f>
        <v>212.66608545924075</v>
      </c>
      <c r="D58" s="87">
        <f>IF(TrRoad_act!D34=0,0,D21/TrRoad_act!D34*1000
)</f>
        <v>202.68231301512341</v>
      </c>
      <c r="E58" s="87">
        <f>IF(TrRoad_act!E34=0,0,E21/TrRoad_act!E34*1000
)</f>
        <v>204.19001811459665</v>
      </c>
      <c r="F58" s="87">
        <f>IF(TrRoad_act!F34=0,0,F21/TrRoad_act!F34*1000
)</f>
        <v>209.97904599712683</v>
      </c>
      <c r="G58" s="87">
        <f>IF(TrRoad_act!G34=0,0,G21/TrRoad_act!G34*1000
)</f>
        <v>205.03922139422215</v>
      </c>
      <c r="H58" s="87">
        <f>IF(TrRoad_act!H34=0,0,H21/TrRoad_act!H34*1000
)</f>
        <v>204.03383906958896</v>
      </c>
      <c r="I58" s="87">
        <f>IF(TrRoad_act!I34=0,0,I21/TrRoad_act!I34*1000
)</f>
        <v>205.46762120656626</v>
      </c>
      <c r="J58" s="87">
        <f>IF(TrRoad_act!J34=0,0,J21/TrRoad_act!J34*1000
)</f>
        <v>204.84218574532633</v>
      </c>
      <c r="K58" s="87">
        <f>IF(TrRoad_act!K34=0,0,K21/TrRoad_act!K34*1000
)</f>
        <v>208.86156789256125</v>
      </c>
      <c r="L58" s="87">
        <f>IF(TrRoad_act!L34=0,0,L21/TrRoad_act!L34*1000
)</f>
        <v>211.36202598913675</v>
      </c>
      <c r="M58" s="87">
        <f>IF(TrRoad_act!M34=0,0,M21/TrRoad_act!M34*1000
)</f>
        <v>205.88409412512894</v>
      </c>
      <c r="N58" s="87">
        <f>IF(TrRoad_act!N34=0,0,N21/TrRoad_act!N34*1000
)</f>
        <v>198.79391868143685</v>
      </c>
      <c r="O58" s="87">
        <f>IF(TrRoad_act!O34=0,0,O21/TrRoad_act!O34*1000
)</f>
        <v>194.21690455273207</v>
      </c>
      <c r="P58" s="87">
        <f>IF(TrRoad_act!P34=0,0,P21/TrRoad_act!P34*1000
)</f>
        <v>192.08525766726893</v>
      </c>
      <c r="Q58" s="87">
        <f>IF(TrRoad_act!Q34=0,0,Q21/TrRoad_act!Q34*1000
)</f>
        <v>189.16654370862915</v>
      </c>
      <c r="R58" s="87">
        <f>IF(TrRoad_act!R34=0,0,R21/TrRoad_act!R34*1000
)</f>
        <v>199.74683067295652</v>
      </c>
      <c r="S58" s="87">
        <f>IF(TrRoad_act!S34=0,0,S21/TrRoad_act!S34*1000
)</f>
        <v>197.36370933875799</v>
      </c>
      <c r="T58" s="87">
        <f>IF(TrRoad_act!T34=0,0,T21/TrRoad_act!T34*1000
)</f>
        <v>194.34263721732043</v>
      </c>
      <c r="U58" s="87">
        <f>IF(TrRoad_act!U34=0,0,U21/TrRoad_act!U34*1000
)</f>
        <v>191.21768108010073</v>
      </c>
      <c r="V58" s="87">
        <f>IF(TrRoad_act!V34=0,0,V21/TrRoad_act!V34*1000
)</f>
        <v>179.32887422332061</v>
      </c>
      <c r="W58" s="87">
        <f>IF(TrRoad_act!W34=0,0,W21/TrRoad_act!W34*1000
)</f>
        <v>180.07280710126125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224.79298622549911</v>
      </c>
      <c r="C59" s="87">
        <f>IF(TrRoad_act!C35=0,0,C22/TrRoad_act!C35*1000
)</f>
        <v>215.29800057747775</v>
      </c>
      <c r="D59" s="87">
        <f>IF(TrRoad_act!D35=0,0,D22/TrRoad_act!D35*1000
)</f>
        <v>217.52670285299249</v>
      </c>
      <c r="E59" s="87">
        <f>IF(TrRoad_act!E35=0,0,E22/TrRoad_act!E35*1000
)</f>
        <v>220.86477085802798</v>
      </c>
      <c r="F59" s="87">
        <f>IF(TrRoad_act!F35=0,0,F22/TrRoad_act!F35*1000
)</f>
        <v>211.05111435936851</v>
      </c>
      <c r="G59" s="87">
        <f>IF(TrRoad_act!G35=0,0,G22/TrRoad_act!G35*1000
)</f>
        <v>229.36269677319615</v>
      </c>
      <c r="H59" s="87">
        <f>IF(TrRoad_act!H35=0,0,H22/TrRoad_act!H35*1000
)</f>
        <v>238.61282323541982</v>
      </c>
      <c r="I59" s="87">
        <f>IF(TrRoad_act!I35=0,0,I22/TrRoad_act!I35*1000
)</f>
        <v>236.74771274548016</v>
      </c>
      <c r="J59" s="87">
        <f>IF(TrRoad_act!J35=0,0,J22/TrRoad_act!J35*1000
)</f>
        <v>214.55576883539572</v>
      </c>
      <c r="K59" s="87">
        <f>IF(TrRoad_act!K35=0,0,K22/TrRoad_act!K35*1000
)</f>
        <v>208.13710734103128</v>
      </c>
      <c r="L59" s="87">
        <f>IF(TrRoad_act!L35=0,0,L22/TrRoad_act!L35*1000
)</f>
        <v>208.08327506511338</v>
      </c>
      <c r="M59" s="87">
        <f>IF(TrRoad_act!M35=0,0,M22/TrRoad_act!M35*1000
)</f>
        <v>200.16103826512281</v>
      </c>
      <c r="N59" s="87">
        <f>IF(TrRoad_act!N35=0,0,N22/TrRoad_act!N35*1000
)</f>
        <v>192.80364484931548</v>
      </c>
      <c r="O59" s="87">
        <f>IF(TrRoad_act!O35=0,0,O22/TrRoad_act!O35*1000
)</f>
        <v>187.08520831295289</v>
      </c>
      <c r="P59" s="87">
        <f>IF(TrRoad_act!P35=0,0,P22/TrRoad_act!P35*1000
)</f>
        <v>183.64361964573433</v>
      </c>
      <c r="Q59" s="87">
        <f>IF(TrRoad_act!Q35=0,0,Q22/TrRoad_act!Q35*1000
)</f>
        <v>182.90938267360062</v>
      </c>
      <c r="R59" s="87">
        <f>IF(TrRoad_act!R35=0,0,R22/TrRoad_act!R35*1000
)</f>
        <v>195.66920965498028</v>
      </c>
      <c r="S59" s="87">
        <f>IF(TrRoad_act!S35=0,0,S22/TrRoad_act!S35*1000
)</f>
        <v>201.37129929415764</v>
      </c>
      <c r="T59" s="87">
        <f>IF(TrRoad_act!T35=0,0,T22/TrRoad_act!T35*1000
)</f>
        <v>195.5646429004467</v>
      </c>
      <c r="U59" s="87">
        <f>IF(TrRoad_act!U35=0,0,U22/TrRoad_act!U35*1000
)</f>
        <v>191.92745993804076</v>
      </c>
      <c r="V59" s="87">
        <f>IF(TrRoad_act!V35=0,0,V22/TrRoad_act!V35*1000
)</f>
        <v>183.98988327031776</v>
      </c>
      <c r="W59" s="87">
        <f>IF(TrRoad_act!W35=0,0,W22/TrRoad_act!W35*1000
)</f>
        <v>180.7189929792444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222.15822586635596</v>
      </c>
      <c r="C60" s="87">
        <f>IF(TrRoad_act!C36=0,0,C23/TrRoad_act!C36*1000
)</f>
        <v>211.80746288668877</v>
      </c>
      <c r="D60" s="87">
        <f>IF(TrRoad_act!D36=0,0,D23/TrRoad_act!D36*1000
)</f>
        <v>215.7073828025928</v>
      </c>
      <c r="E60" s="87">
        <f>IF(TrRoad_act!E36=0,0,E23/TrRoad_act!E36*1000
)</f>
        <v>206.08711025048814</v>
      </c>
      <c r="F60" s="87">
        <f>IF(TrRoad_act!F36=0,0,F23/TrRoad_act!F36*1000
)</f>
        <v>207.63494043251276</v>
      </c>
      <c r="G60" s="87">
        <f>IF(TrRoad_act!G36=0,0,G23/TrRoad_act!G36*1000
)</f>
        <v>216.43074337142193</v>
      </c>
      <c r="H60" s="87">
        <f>IF(TrRoad_act!H36=0,0,H23/TrRoad_act!H36*1000
)</f>
        <v>214.81929114704707</v>
      </c>
      <c r="I60" s="87">
        <f>IF(TrRoad_act!I36=0,0,I23/TrRoad_act!I36*1000
)</f>
        <v>205.64629411608419</v>
      </c>
      <c r="J60" s="87">
        <f>IF(TrRoad_act!J36=0,0,J23/TrRoad_act!J36*1000
)</f>
        <v>194.57900350933156</v>
      </c>
      <c r="K60" s="87">
        <f>IF(TrRoad_act!K36=0,0,K23/TrRoad_act!K36*1000
)</f>
        <v>174.36565018268288</v>
      </c>
      <c r="L60" s="87">
        <f>IF(TrRoad_act!L36=0,0,L23/TrRoad_act!L36*1000
)</f>
        <v>159.12268215739664</v>
      </c>
      <c r="M60" s="87">
        <f>IF(TrRoad_act!M36=0,0,M23/TrRoad_act!M36*1000
)</f>
        <v>169.27483385257386</v>
      </c>
      <c r="N60" s="87">
        <f>IF(TrRoad_act!N36=0,0,N23/TrRoad_act!N36*1000
)</f>
        <v>199.41577214106087</v>
      </c>
      <c r="O60" s="87">
        <f>IF(TrRoad_act!O36=0,0,O23/TrRoad_act!O36*1000
)</f>
        <v>209.16427646533117</v>
      </c>
      <c r="P60" s="87">
        <f>IF(TrRoad_act!P36=0,0,P23/TrRoad_act!P36*1000
)</f>
        <v>212.78891967061236</v>
      </c>
      <c r="Q60" s="87">
        <f>IF(TrRoad_act!Q36=0,0,Q23/TrRoad_act!Q36*1000
)</f>
        <v>204.55378477496862</v>
      </c>
      <c r="R60" s="87">
        <f>IF(TrRoad_act!R36=0,0,R23/TrRoad_act!R36*1000
)</f>
        <v>195.4638056712449</v>
      </c>
      <c r="S60" s="87">
        <f>IF(TrRoad_act!S36=0,0,S23/TrRoad_act!S36*1000
)</f>
        <v>191.38606051908263</v>
      </c>
      <c r="T60" s="87">
        <f>IF(TrRoad_act!T36=0,0,T23/TrRoad_act!T36*1000
)</f>
        <v>175.07705825128457</v>
      </c>
      <c r="U60" s="87">
        <f>IF(TrRoad_act!U36=0,0,U23/TrRoad_act!U36*1000
)</f>
        <v>181.91298831970957</v>
      </c>
      <c r="V60" s="87">
        <f>IF(TrRoad_act!V36=0,0,V23/TrRoad_act!V36*1000
)</f>
        <v>167.18008181609704</v>
      </c>
      <c r="W60" s="87">
        <f>IF(TrRoad_act!W36=0,0,W23/TrRoad_act!W36*1000
)</f>
        <v>178.6037802368071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136.44509421775913</v>
      </c>
      <c r="R61" s="87">
        <f>IF(TrRoad_act!R37=0,0,R24/TrRoad_act!R37*1000
)</f>
        <v>137.78846885185717</v>
      </c>
      <c r="S61" s="87">
        <f>IF(TrRoad_act!S37=0,0,S24/TrRoad_act!S37*1000
)</f>
        <v>137.71763916422262</v>
      </c>
      <c r="T61" s="87">
        <f>IF(TrRoad_act!T37=0,0,T24/TrRoad_act!T37*1000
)</f>
        <v>138.65306865976368</v>
      </c>
      <c r="U61" s="87">
        <f>IF(TrRoad_act!U37=0,0,U24/TrRoad_act!U37*1000
)</f>
        <v>139.25785655698476</v>
      </c>
      <c r="V61" s="87">
        <f>IF(TrRoad_act!V37=0,0,V24/TrRoad_act!V37*1000
)</f>
        <v>139.69816177097468</v>
      </c>
      <c r="W61" s="87">
        <f>IF(TrRoad_act!W37=0,0,W24/TrRoad_act!W37*1000
)</f>
        <v>139.8799353889836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43.768035881404103</v>
      </c>
      <c r="O62" s="87">
        <f>IF(TrRoad_act!O38=0,0,O25/TrRoad_act!O38*1000
)</f>
        <v>55.864805388195677</v>
      </c>
      <c r="P62" s="87">
        <f>IF(TrRoad_act!P38=0,0,P25/TrRoad_act!P38*1000
)</f>
        <v>117.83615910736678</v>
      </c>
      <c r="Q62" s="87">
        <f>IF(TrRoad_act!Q38=0,0,Q25/TrRoad_act!Q38*1000
)</f>
        <v>59.135501349092259</v>
      </c>
      <c r="R62" s="87">
        <f>IF(TrRoad_act!R38=0,0,R25/TrRoad_act!R38*1000
)</f>
        <v>57.06631105461615</v>
      </c>
      <c r="S62" s="87">
        <f>IF(TrRoad_act!S38=0,0,S25/TrRoad_act!S38*1000
)</f>
        <v>49.109575806566859</v>
      </c>
      <c r="T62" s="87">
        <f>IF(TrRoad_act!T38=0,0,T25/TrRoad_act!T38*1000
)</f>
        <v>54.399815646573977</v>
      </c>
      <c r="U62" s="87">
        <f>IF(TrRoad_act!U38=0,0,U25/TrRoad_act!U38*1000
)</f>
        <v>55.048249648245488</v>
      </c>
      <c r="V62" s="87">
        <f>IF(TrRoad_act!V38=0,0,V25/TrRoad_act!V38*1000
)</f>
        <v>52.700351472472207</v>
      </c>
      <c r="W62" s="87">
        <f>IF(TrRoad_act!W38=0,0,W25/TrRoad_act!W38*1000
)</f>
        <v>82.030116416839491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1887.6926947084335</v>
      </c>
      <c r="C64" s="116">
        <f>IF(TrRoad_act!C40=0,0,C27/TrRoad_act!C40*1000
)</f>
        <v>1790.4649880180405</v>
      </c>
      <c r="D64" s="116">
        <f>IF(TrRoad_act!D40=0,0,D27/TrRoad_act!D40*1000
)</f>
        <v>1760.4383164794835</v>
      </c>
      <c r="E64" s="116">
        <f>IF(TrRoad_act!E40=0,0,E27/TrRoad_act!E40*1000
)</f>
        <v>1742.0209539375901</v>
      </c>
      <c r="F64" s="116">
        <f>IF(TrRoad_act!F40=0,0,F27/TrRoad_act!F40*1000
)</f>
        <v>1705.5315745776491</v>
      </c>
      <c r="G64" s="116">
        <f>IF(TrRoad_act!G40=0,0,G27/TrRoad_act!G40*1000
)</f>
        <v>1659.0943795946844</v>
      </c>
      <c r="H64" s="116">
        <f>IF(TrRoad_act!H40=0,0,H27/TrRoad_act!H40*1000
)</f>
        <v>1631.9591304176977</v>
      </c>
      <c r="I64" s="116">
        <f>IF(TrRoad_act!I40=0,0,I27/TrRoad_act!I40*1000
)</f>
        <v>1624.6415570742163</v>
      </c>
      <c r="J64" s="116">
        <f>IF(TrRoad_act!J40=0,0,J27/TrRoad_act!J40*1000
)</f>
        <v>1560.8464637497102</v>
      </c>
      <c r="K64" s="116">
        <f>IF(TrRoad_act!K40=0,0,K27/TrRoad_act!K40*1000
)</f>
        <v>1533.4654794555995</v>
      </c>
      <c r="L64" s="116">
        <f>IF(TrRoad_act!L40=0,0,L27/TrRoad_act!L40*1000
)</f>
        <v>1505.1262381745573</v>
      </c>
      <c r="M64" s="116">
        <f>IF(TrRoad_act!M40=0,0,M27/TrRoad_act!M40*1000
)</f>
        <v>1505.9562532631751</v>
      </c>
      <c r="N64" s="116">
        <f>IF(TrRoad_act!N40=0,0,N27/TrRoad_act!N40*1000
)</f>
        <v>1521.0923308466054</v>
      </c>
      <c r="O64" s="116">
        <f>IF(TrRoad_act!O40=0,0,O27/TrRoad_act!O40*1000
)</f>
        <v>1532.2390086715181</v>
      </c>
      <c r="P64" s="116">
        <f>IF(TrRoad_act!P40=0,0,P27/TrRoad_act!P40*1000
)</f>
        <v>1550.4684933743019</v>
      </c>
      <c r="Q64" s="116">
        <f>IF(TrRoad_act!Q40=0,0,Q27/TrRoad_act!Q40*1000
)</f>
        <v>1581.5559644937964</v>
      </c>
      <c r="R64" s="116">
        <f>IF(TrRoad_act!R40=0,0,R27/TrRoad_act!R40*1000
)</f>
        <v>1631.4319306291911</v>
      </c>
      <c r="S64" s="116">
        <f>IF(TrRoad_act!S40=0,0,S27/TrRoad_act!S40*1000
)</f>
        <v>1630.1531998846308</v>
      </c>
      <c r="T64" s="116">
        <f>IF(TrRoad_act!T40=0,0,T27/TrRoad_act!T40*1000
)</f>
        <v>1606.763081628671</v>
      </c>
      <c r="U64" s="116">
        <f>IF(TrRoad_act!U40=0,0,U27/TrRoad_act!U40*1000
)</f>
        <v>1608.5139094637764</v>
      </c>
      <c r="V64" s="116">
        <f>IF(TrRoad_act!V40=0,0,V27/TrRoad_act!V40*1000
)</f>
        <v>1597.9627429574668</v>
      </c>
      <c r="W64" s="116">
        <f>IF(TrRoad_act!W40=0,0,W27/TrRoad_act!W40*1000
)</f>
        <v>1598.2104776642436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1909.1581688682961</v>
      </c>
      <c r="C66" s="101">
        <f>IF(TrRoad_act!C42=0,0,C29/TrRoad_act!C42*1000
)</f>
        <v>1810.2459989342933</v>
      </c>
      <c r="D66" s="101">
        <f>IF(TrRoad_act!D42=0,0,D29/TrRoad_act!D42*1000
)</f>
        <v>1779.1174876588161</v>
      </c>
      <c r="E66" s="101">
        <f>IF(TrRoad_act!E42=0,0,E29/TrRoad_act!E42*1000
)</f>
        <v>1757.240469544829</v>
      </c>
      <c r="F66" s="101">
        <f>IF(TrRoad_act!F42=0,0,F29/TrRoad_act!F42*1000
)</f>
        <v>1729.2261529388572</v>
      </c>
      <c r="G66" s="101">
        <f>IF(TrRoad_act!G42=0,0,G29/TrRoad_act!G42*1000
)</f>
        <v>1698.8163794041111</v>
      </c>
      <c r="H66" s="101">
        <f>IF(TrRoad_act!H42=0,0,H29/TrRoad_act!H42*1000
)</f>
        <v>1669.676383140287</v>
      </c>
      <c r="I66" s="101">
        <f>IF(TrRoad_act!I42=0,0,I29/TrRoad_act!I42*1000
)</f>
        <v>1659.7540822096096</v>
      </c>
      <c r="J66" s="101">
        <f>IF(TrRoad_act!J42=0,0,J29/TrRoad_act!J42*1000
)</f>
        <v>1592.3952700118914</v>
      </c>
      <c r="K66" s="101">
        <f>IF(TrRoad_act!K42=0,0,K29/TrRoad_act!K42*1000
)</f>
        <v>1562.0946129073368</v>
      </c>
      <c r="L66" s="101">
        <f>IF(TrRoad_act!L42=0,0,L29/TrRoad_act!L42*1000
)</f>
        <v>1532.0031603685995</v>
      </c>
      <c r="M66" s="101">
        <f>IF(TrRoad_act!M42=0,0,M29/TrRoad_act!M42*1000
)</f>
        <v>1531.2869922625293</v>
      </c>
      <c r="N66" s="101">
        <f>IF(TrRoad_act!N42=0,0,N29/TrRoad_act!N42*1000
)</f>
        <v>1545.8531302635199</v>
      </c>
      <c r="O66" s="101">
        <f>IF(TrRoad_act!O42=0,0,O29/TrRoad_act!O42*1000
)</f>
        <v>1557.4232398166821</v>
      </c>
      <c r="P66" s="101">
        <f>IF(TrRoad_act!P42=0,0,P29/TrRoad_act!P42*1000
)</f>
        <v>1575.2996401908772</v>
      </c>
      <c r="Q66" s="101">
        <f>IF(TrRoad_act!Q42=0,0,Q29/TrRoad_act!Q42*1000
)</f>
        <v>1610.8733735215935</v>
      </c>
      <c r="R66" s="101">
        <f>IF(TrRoad_act!R42=0,0,R29/TrRoad_act!R42*1000
)</f>
        <v>1662.9411090568128</v>
      </c>
      <c r="S66" s="101">
        <f>IF(TrRoad_act!S42=0,0,S29/TrRoad_act!S42*1000
)</f>
        <v>1663.4623146446004</v>
      </c>
      <c r="T66" s="101">
        <f>IF(TrRoad_act!T42=0,0,T29/TrRoad_act!T42*1000
)</f>
        <v>1638.1398851005613</v>
      </c>
      <c r="U66" s="101">
        <f>IF(TrRoad_act!U42=0,0,U29/TrRoad_act!U42*1000
)</f>
        <v>1636.8266715484224</v>
      </c>
      <c r="V66" s="101">
        <f>IF(TrRoad_act!V42=0,0,V29/TrRoad_act!V42*1000
)</f>
        <v>1640.0924256117517</v>
      </c>
      <c r="W66" s="101">
        <f>IF(TrRoad_act!W42=0,0,W29/TrRoad_act!W42*1000
)</f>
        <v>1649.7909516088043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1244.1158038312744</v>
      </c>
      <c r="C67" s="101">
        <f>IF(TrRoad_act!C43=0,0,C30/TrRoad_act!C43*1000
)</f>
        <v>1244.1158038312744</v>
      </c>
      <c r="D67" s="101">
        <f>IF(TrRoad_act!D43=0,0,D30/TrRoad_act!D43*1000
)</f>
        <v>1244.1158038312742</v>
      </c>
      <c r="E67" s="101">
        <f>IF(TrRoad_act!E43=0,0,E30/TrRoad_act!E43*1000
)</f>
        <v>1242.9038790836407</v>
      </c>
      <c r="F67" s="101">
        <f>IF(TrRoad_act!F43=0,0,F30/TrRoad_act!F43*1000
)</f>
        <v>1174.763135420885</v>
      </c>
      <c r="G67" s="101">
        <f>IF(TrRoad_act!G43=0,0,G30/TrRoad_act!G43*1000
)</f>
        <v>1170.9609717532308</v>
      </c>
      <c r="H67" s="101">
        <f>IF(TrRoad_act!H43=0,0,H30/TrRoad_act!H43*1000
)</f>
        <v>1168.8171769752116</v>
      </c>
      <c r="I67" s="101">
        <f>IF(TrRoad_act!I43=0,0,I30/TrRoad_act!I43*1000
)</f>
        <v>1166.5073055283174</v>
      </c>
      <c r="J67" s="101">
        <f>IF(TrRoad_act!J43=0,0,J30/TrRoad_act!J43*1000
)</f>
        <v>1164.0762235763029</v>
      </c>
      <c r="K67" s="101">
        <f>IF(TrRoad_act!K43=0,0,K30/TrRoad_act!K43*1000
)</f>
        <v>1161.4450760318343</v>
      </c>
      <c r="L67" s="101">
        <f>IF(TrRoad_act!L43=0,0,L30/TrRoad_act!L43*1000
)</f>
        <v>1158.7170877126262</v>
      </c>
      <c r="M67" s="101">
        <f>IF(TrRoad_act!M43=0,0,M30/TrRoad_act!M43*1000
)</f>
        <v>1155.9505441363992</v>
      </c>
      <c r="N67" s="101">
        <f>IF(TrRoad_act!N43=0,0,N30/TrRoad_act!N43*1000
)</f>
        <v>1156.3873328696029</v>
      </c>
      <c r="O67" s="101">
        <f>IF(TrRoad_act!O43=0,0,O30/TrRoad_act!O43*1000
)</f>
        <v>1157.1250544515633</v>
      </c>
      <c r="P67" s="101">
        <f>IF(TrRoad_act!P43=0,0,P30/TrRoad_act!P43*1000
)</f>
        <v>1157.9033349728636</v>
      </c>
      <c r="Q67" s="101">
        <f>IF(TrRoad_act!Q43=0,0,Q30/TrRoad_act!Q43*1000
)</f>
        <v>1158.4258272715504</v>
      </c>
      <c r="R67" s="101">
        <f>IF(TrRoad_act!R43=0,0,R30/TrRoad_act!R43*1000
)</f>
        <v>1159.1103345698941</v>
      </c>
      <c r="S67" s="101">
        <f>IF(TrRoad_act!S43=0,0,S30/TrRoad_act!S43*1000
)</f>
        <v>1160.5206473569724</v>
      </c>
      <c r="T67" s="101">
        <f>IF(TrRoad_act!T43=0,0,T30/TrRoad_act!T43*1000
)</f>
        <v>1178.8085719927512</v>
      </c>
      <c r="U67" s="101">
        <f>IF(TrRoad_act!U43=0,0,U30/TrRoad_act!U43*1000
)</f>
        <v>1181.3239600328804</v>
      </c>
      <c r="V67" s="101">
        <f>IF(TrRoad_act!V43=0,0,V30/TrRoad_act!V43*1000
)</f>
        <v>1183.7427097812658</v>
      </c>
      <c r="W67" s="101">
        <f>IF(TrRoad_act!W43=0,0,W30/TrRoad_act!W43*1000
)</f>
        <v>1187.1267493272792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1099.2359664035894</v>
      </c>
      <c r="R68" s="101">
        <f>IF(TrRoad_act!R44=0,0,R31/TrRoad_act!R44*1000
)</f>
        <v>1024.6031183766163</v>
      </c>
      <c r="S68" s="101">
        <f>IF(TrRoad_act!S44=0,0,S31/TrRoad_act!S44*1000
)</f>
        <v>817.906314784546</v>
      </c>
      <c r="T68" s="101">
        <f>IF(TrRoad_act!T44=0,0,T31/TrRoad_act!T44*1000
)</f>
        <v>865.22469327109127</v>
      </c>
      <c r="U68" s="101">
        <f>IF(TrRoad_act!U44=0,0,U31/TrRoad_act!U44*1000
)</f>
        <v>872.6176879798054</v>
      </c>
      <c r="V68" s="101">
        <f>IF(TrRoad_act!V44=0,0,V31/TrRoad_act!V44*1000
)</f>
        <v>809.53854845576802</v>
      </c>
      <c r="W68" s="101">
        <f>IF(TrRoad_act!W44=0,0,W31/TrRoad_act!W44*1000
)</f>
        <v>1000.2438813438279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300.40003657109128</v>
      </c>
      <c r="C70" s="29">
        <f>IF(TrRoad_act!C46=0,0,C33/TrRoad_act!C46*1000
)</f>
        <v>318.4105601317346</v>
      </c>
      <c r="D70" s="29">
        <f>IF(TrRoad_act!D46=0,0,D33/TrRoad_act!D46*1000
)</f>
        <v>288.21098669753394</v>
      </c>
      <c r="E70" s="29">
        <f>IF(TrRoad_act!E46=0,0,E33/TrRoad_act!E46*1000
)</f>
        <v>335.71415799034543</v>
      </c>
      <c r="F70" s="29">
        <f>IF(TrRoad_act!F46=0,0,F33/TrRoad_act!F46*1000
)</f>
        <v>388.18137476380014</v>
      </c>
      <c r="G70" s="29">
        <f>IF(TrRoad_act!G46=0,0,G33/TrRoad_act!G46*1000
)</f>
        <v>459.76462928472176</v>
      </c>
      <c r="H70" s="29">
        <f>IF(TrRoad_act!H46=0,0,H33/TrRoad_act!H46*1000
)</f>
        <v>491.77726726245857</v>
      </c>
      <c r="I70" s="29">
        <f>IF(TrRoad_act!I46=0,0,I33/TrRoad_act!I46*1000
)</f>
        <v>534.07771934736741</v>
      </c>
      <c r="J70" s="29">
        <f>IF(TrRoad_act!J46=0,0,J33/TrRoad_act!J46*1000
)</f>
        <v>526.24327150597003</v>
      </c>
      <c r="K70" s="29">
        <f>IF(TrRoad_act!K46=0,0,K33/TrRoad_act!K46*1000
)</f>
        <v>490.88257767453911</v>
      </c>
      <c r="L70" s="29">
        <f>IF(TrRoad_act!L46=0,0,L33/TrRoad_act!L46*1000
)</f>
        <v>498.0886046712622</v>
      </c>
      <c r="M70" s="29">
        <f>IF(TrRoad_act!M46=0,0,M33/TrRoad_act!M46*1000
)</f>
        <v>478.30295958875018</v>
      </c>
      <c r="N70" s="29">
        <f>IF(TrRoad_act!N46=0,0,N33/TrRoad_act!N46*1000
)</f>
        <v>434.17166659287091</v>
      </c>
      <c r="O70" s="29">
        <f>IF(TrRoad_act!O46=0,0,O33/TrRoad_act!O46*1000
)</f>
        <v>377.18077654369694</v>
      </c>
      <c r="P70" s="29">
        <f>IF(TrRoad_act!P46=0,0,P33/TrRoad_act!P46*1000
)</f>
        <v>387.80687542263291</v>
      </c>
      <c r="Q70" s="29">
        <f>IF(TrRoad_act!Q46=0,0,Q33/TrRoad_act!Q46*1000
)</f>
        <v>395.34567361854039</v>
      </c>
      <c r="R70" s="29">
        <f>IF(TrRoad_act!R46=0,0,R33/TrRoad_act!R46*1000
)</f>
        <v>468.75555004599687</v>
      </c>
      <c r="S70" s="29">
        <f>IF(TrRoad_act!S46=0,0,S33/TrRoad_act!S46*1000
)</f>
        <v>546.48777190235933</v>
      </c>
      <c r="T70" s="29">
        <f>IF(TrRoad_act!T46=0,0,T33/TrRoad_act!T46*1000
)</f>
        <v>541.19969439834449</v>
      </c>
      <c r="U70" s="29">
        <f>IF(TrRoad_act!U46=0,0,U33/TrRoad_act!U46*1000
)</f>
        <v>523.0034518283602</v>
      </c>
      <c r="V70" s="29">
        <f>IF(TrRoad_act!V46=0,0,V33/TrRoad_act!V46*1000
)</f>
        <v>489.84160882766326</v>
      </c>
      <c r="W70" s="29">
        <f>IF(TrRoad_act!W46=0,0,W33/TrRoad_act!W46*1000
)</f>
        <v>566.9950334811291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280.26908733865668</v>
      </c>
      <c r="C71" s="152">
        <f>IF(TrRoad_act!C47=0,0,C34/TrRoad_act!C47*1000
)</f>
        <v>273.35314222373677</v>
      </c>
      <c r="D71" s="152">
        <f>IF(TrRoad_act!D47=0,0,D34/TrRoad_act!D47*1000
)</f>
        <v>274.26885060711032</v>
      </c>
      <c r="E71" s="152">
        <f>IF(TrRoad_act!E47=0,0,E34/TrRoad_act!E47*1000
)</f>
        <v>271.89478304885751</v>
      </c>
      <c r="F71" s="152">
        <f>IF(TrRoad_act!F47=0,0,F34/TrRoad_act!F47*1000
)</f>
        <v>272.15972237965383</v>
      </c>
      <c r="G71" s="152">
        <f>IF(TrRoad_act!G47=0,0,G34/TrRoad_act!G47*1000
)</f>
        <v>272.80337071491584</v>
      </c>
      <c r="H71" s="152">
        <f>IF(TrRoad_act!H47=0,0,H34/TrRoad_act!H47*1000
)</f>
        <v>272.35935551778567</v>
      </c>
      <c r="I71" s="152">
        <f>IF(TrRoad_act!I47=0,0,I34/TrRoad_act!I47*1000
)</f>
        <v>273.19421262488146</v>
      </c>
      <c r="J71" s="152">
        <f>IF(TrRoad_act!J47=0,0,J34/TrRoad_act!J47*1000
)</f>
        <v>266.9232098713731</v>
      </c>
      <c r="K71" s="152">
        <f>IF(TrRoad_act!K47=0,0,K34/TrRoad_act!K47*1000
)</f>
        <v>262.28074941031684</v>
      </c>
      <c r="L71" s="152">
        <f>IF(TrRoad_act!L47=0,0,L34/TrRoad_act!L47*1000
)</f>
        <v>259.54620829881787</v>
      </c>
      <c r="M71" s="152">
        <f>IF(TrRoad_act!M47=0,0,M34/TrRoad_act!M47*1000
)</f>
        <v>261.1935879247722</v>
      </c>
      <c r="N71" s="152">
        <f>IF(TrRoad_act!N47=0,0,N34/TrRoad_act!N47*1000
)</f>
        <v>263.08854259856844</v>
      </c>
      <c r="O71" s="152">
        <f>IF(TrRoad_act!O47=0,0,O34/TrRoad_act!O47*1000
)</f>
        <v>263.26814322103036</v>
      </c>
      <c r="P71" s="152">
        <f>IF(TrRoad_act!P47=0,0,P34/TrRoad_act!P47*1000
)</f>
        <v>263.37575192499077</v>
      </c>
      <c r="Q71" s="152">
        <f>IF(TrRoad_act!Q47=0,0,Q34/TrRoad_act!Q47*1000
)</f>
        <v>265.53345967020977</v>
      </c>
      <c r="R71" s="152">
        <f>IF(TrRoad_act!R47=0,0,R34/TrRoad_act!R47*1000
)</f>
        <v>269.99231907338714</v>
      </c>
      <c r="S71" s="152">
        <f>IF(TrRoad_act!S47=0,0,S34/TrRoad_act!S47*1000
)</f>
        <v>266.71126634650562</v>
      </c>
      <c r="T71" s="152">
        <f>IF(TrRoad_act!T47=0,0,T34/TrRoad_act!T47*1000
)</f>
        <v>261.36725095624524</v>
      </c>
      <c r="U71" s="152">
        <f>IF(TrRoad_act!U47=0,0,U34/TrRoad_act!U47*1000
)</f>
        <v>257.52848095780291</v>
      </c>
      <c r="V71" s="152">
        <f>IF(TrRoad_act!V47=0,0,V34/TrRoad_act!V47*1000
)</f>
        <v>257.83785633627679</v>
      </c>
      <c r="W71" s="152">
        <f>IF(TrRoad_act!W47=0,0,W34/TrRoad_act!W47*1000
)</f>
        <v>257.79152141641197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248.77822385194895</v>
      </c>
      <c r="C72" s="87">
        <f>IF(TrRoad_act!C48=0,0,C35/TrRoad_act!C48*1000
)</f>
        <v>247.07882850438702</v>
      </c>
      <c r="D72" s="87">
        <f>IF(TrRoad_act!D48=0,0,D35/TrRoad_act!D48*1000
)</f>
        <v>245.51449248959989</v>
      </c>
      <c r="E72" s="87">
        <f>IF(TrRoad_act!E48=0,0,E35/TrRoad_act!E48*1000
)</f>
        <v>241.42656180968723</v>
      </c>
      <c r="F72" s="87">
        <f>IF(TrRoad_act!F48=0,0,F35/TrRoad_act!F48*1000
)</f>
        <v>240.61615907024958</v>
      </c>
      <c r="G72" s="87">
        <f>IF(TrRoad_act!G48=0,0,G35/TrRoad_act!G48*1000
)</f>
        <v>238.64660195679633</v>
      </c>
      <c r="H72" s="87">
        <f>IF(TrRoad_act!H48=0,0,H35/TrRoad_act!H48*1000
)</f>
        <v>235.6975703909774</v>
      </c>
      <c r="I72" s="87">
        <f>IF(TrRoad_act!I48=0,0,I35/TrRoad_act!I48*1000
)</f>
        <v>232.18019134878449</v>
      </c>
      <c r="J72" s="87">
        <f>IF(TrRoad_act!J48=0,0,J35/TrRoad_act!J48*1000
)</f>
        <v>225.85517531971286</v>
      </c>
      <c r="K72" s="87">
        <f>IF(TrRoad_act!K48=0,0,K35/TrRoad_act!K48*1000
)</f>
        <v>221.03955784923147</v>
      </c>
      <c r="L72" s="87">
        <f>IF(TrRoad_act!L48=0,0,L35/TrRoad_act!L48*1000
)</f>
        <v>218.07018220483758</v>
      </c>
      <c r="M72" s="87">
        <f>IF(TrRoad_act!M48=0,0,M35/TrRoad_act!M48*1000
)</f>
        <v>215.55727384248863</v>
      </c>
      <c r="N72" s="87">
        <f>IF(TrRoad_act!N48=0,0,N35/TrRoad_act!N48*1000
)</f>
        <v>215.28030787908926</v>
      </c>
      <c r="O72" s="87">
        <f>IF(TrRoad_act!O48=0,0,O35/TrRoad_act!O48*1000
)</f>
        <v>211.77085893688403</v>
      </c>
      <c r="P72" s="87">
        <f>IF(TrRoad_act!P48=0,0,P35/TrRoad_act!P48*1000
)</f>
        <v>209.60269021942918</v>
      </c>
      <c r="Q72" s="87">
        <f>IF(TrRoad_act!Q48=0,0,Q35/TrRoad_act!Q48*1000
)</f>
        <v>206.26518486763428</v>
      </c>
      <c r="R72" s="87">
        <f>IF(TrRoad_act!R48=0,0,R35/TrRoad_act!R48*1000
)</f>
        <v>204.46095353314519</v>
      </c>
      <c r="S72" s="87">
        <f>IF(TrRoad_act!S48=0,0,S35/TrRoad_act!S48*1000
)</f>
        <v>202.13363300902839</v>
      </c>
      <c r="T72" s="87">
        <f>IF(TrRoad_act!T48=0,0,T35/TrRoad_act!T48*1000
)</f>
        <v>200.08803506462255</v>
      </c>
      <c r="U72" s="87">
        <f>IF(TrRoad_act!U48=0,0,U35/TrRoad_act!U48*1000
)</f>
        <v>199.64772809609912</v>
      </c>
      <c r="V72" s="87">
        <f>IF(TrRoad_act!V48=0,0,V35/TrRoad_act!V48*1000
)</f>
        <v>198.04023645274179</v>
      </c>
      <c r="W72" s="87">
        <f>IF(TrRoad_act!W48=0,0,W35/TrRoad_act!W48*1000
)</f>
        <v>200.11297806150776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329.97757253419115</v>
      </c>
      <c r="C73" s="87">
        <f>IF(TrRoad_act!C49=0,0,C36/TrRoad_act!C49*1000
)</f>
        <v>314.78904944290576</v>
      </c>
      <c r="D73" s="87">
        <f>IF(TrRoad_act!D49=0,0,D36/TrRoad_act!D49*1000
)</f>
        <v>309.97109648291007</v>
      </c>
      <c r="E73" s="87">
        <f>IF(TrRoad_act!E49=0,0,E36/TrRoad_act!E49*1000
)</f>
        <v>306.58970152526462</v>
      </c>
      <c r="F73" s="87">
        <f>IF(TrRoad_act!F49=0,0,F36/TrRoad_act!F49*1000
)</f>
        <v>303.90573189338761</v>
      </c>
      <c r="G73" s="87">
        <f>IF(TrRoad_act!G49=0,0,G36/TrRoad_act!G49*1000
)</f>
        <v>300.43145616930542</v>
      </c>
      <c r="H73" s="87">
        <f>IF(TrRoad_act!H49=0,0,H36/TrRoad_act!H49*1000
)</f>
        <v>297.89332459339073</v>
      </c>
      <c r="I73" s="87">
        <f>IF(TrRoad_act!I49=0,0,I36/TrRoad_act!I49*1000
)</f>
        <v>297.41010077091676</v>
      </c>
      <c r="J73" s="87">
        <f>IF(TrRoad_act!J49=0,0,J36/TrRoad_act!J49*1000
)</f>
        <v>287.09466955616716</v>
      </c>
      <c r="K73" s="87">
        <f>IF(TrRoad_act!K49=0,0,K36/TrRoad_act!K49*1000
)</f>
        <v>281.50296399709345</v>
      </c>
      <c r="L73" s="87">
        <f>IF(TrRoad_act!L49=0,0,L36/TrRoad_act!L49*1000
)</f>
        <v>276.62186257312277</v>
      </c>
      <c r="M73" s="87">
        <f>IF(TrRoad_act!M49=0,0,M36/TrRoad_act!M49*1000
)</f>
        <v>277.4913346824593</v>
      </c>
      <c r="N73" s="87">
        <f>IF(TrRoad_act!N49=0,0,N36/TrRoad_act!N49*1000
)</f>
        <v>278.93802988121735</v>
      </c>
      <c r="O73" s="87">
        <f>IF(TrRoad_act!O49=0,0,O36/TrRoad_act!O49*1000
)</f>
        <v>278.72718447094974</v>
      </c>
      <c r="P73" s="87">
        <f>IF(TrRoad_act!P49=0,0,P36/TrRoad_act!P49*1000
)</f>
        <v>278.6181940502737</v>
      </c>
      <c r="Q73" s="87">
        <f>IF(TrRoad_act!Q49=0,0,Q36/TrRoad_act!Q49*1000
)</f>
        <v>280.21615519847467</v>
      </c>
      <c r="R73" s="87">
        <f>IF(TrRoad_act!R49=0,0,R36/TrRoad_act!R49*1000
)</f>
        <v>285.34723419420993</v>
      </c>
      <c r="S73" s="87">
        <f>IF(TrRoad_act!S49=0,0,S36/TrRoad_act!S49*1000
)</f>
        <v>281.5845944765021</v>
      </c>
      <c r="T73" s="87">
        <f>IF(TrRoad_act!T49=0,0,T36/TrRoad_act!T49*1000
)</f>
        <v>274.62831639327408</v>
      </c>
      <c r="U73" s="87">
        <f>IF(TrRoad_act!U49=0,0,U36/TrRoad_act!U49*1000
)</f>
        <v>269.4390496568567</v>
      </c>
      <c r="V73" s="87">
        <f>IF(TrRoad_act!V49=0,0,V36/TrRoad_act!V49*1000
)</f>
        <v>269.01838751290489</v>
      </c>
      <c r="W73" s="87">
        <f>IF(TrRoad_act!W49=0,0,W36/TrRoad_act!W49*1000
)</f>
        <v>268.18137607695769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277.52071353898708</v>
      </c>
      <c r="C74" s="87">
        <f>IF(TrRoad_act!C50=0,0,C37/TrRoad_act!C50*1000
)</f>
        <v>270.10786289418411</v>
      </c>
      <c r="D74" s="87">
        <f>IF(TrRoad_act!D50=0,0,D37/TrRoad_act!D50*1000
)</f>
        <v>255.23165925620052</v>
      </c>
      <c r="E74" s="87">
        <f>IF(TrRoad_act!E50=0,0,E37/TrRoad_act!E50*1000
)</f>
        <v>249.84696922763581</v>
      </c>
      <c r="F74" s="87">
        <f>IF(TrRoad_act!F50=0,0,F37/TrRoad_act!F50*1000
)</f>
        <v>248.29256510998414</v>
      </c>
      <c r="G74" s="87">
        <f>IF(TrRoad_act!G50=0,0,G37/TrRoad_act!G50*1000
)</f>
        <v>244.48770645741834</v>
      </c>
      <c r="H74" s="87">
        <f>IF(TrRoad_act!H50=0,0,H37/TrRoad_act!H50*1000
)</f>
        <v>238.38885276539278</v>
      </c>
      <c r="I74" s="87">
        <f>IF(TrRoad_act!I50=0,0,I37/TrRoad_act!I50*1000
)</f>
        <v>235.54651843184666</v>
      </c>
      <c r="J74" s="87">
        <f>IF(TrRoad_act!J50=0,0,J37/TrRoad_act!J50*1000
)</f>
        <v>233.97760832776467</v>
      </c>
      <c r="K74" s="87">
        <f>IF(TrRoad_act!K50=0,0,K37/TrRoad_act!K50*1000
)</f>
        <v>233.30121106149957</v>
      </c>
      <c r="L74" s="87">
        <f>IF(TrRoad_act!L50=0,0,L37/TrRoad_act!L50*1000
)</f>
        <v>232.48040763749208</v>
      </c>
      <c r="M74" s="87">
        <f>IF(TrRoad_act!M50=0,0,M37/TrRoad_act!M50*1000
)</f>
        <v>231.76845541440113</v>
      </c>
      <c r="N74" s="87">
        <f>IF(TrRoad_act!N50=0,0,N37/TrRoad_act!N50*1000
)</f>
        <v>229.26941926061571</v>
      </c>
      <c r="O74" s="87">
        <f>IF(TrRoad_act!O50=0,0,O37/TrRoad_act!O50*1000
)</f>
        <v>228.37209711808788</v>
      </c>
      <c r="P74" s="87">
        <f>IF(TrRoad_act!P50=0,0,P37/TrRoad_act!P50*1000
)</f>
        <v>224.52403241226438</v>
      </c>
      <c r="Q74" s="87">
        <f>IF(TrRoad_act!Q50=0,0,Q37/TrRoad_act!Q50*1000
)</f>
        <v>223.86587770262517</v>
      </c>
      <c r="R74" s="87">
        <f>IF(TrRoad_act!R50=0,0,R37/TrRoad_act!R50*1000
)</f>
        <v>222.20118816366531</v>
      </c>
      <c r="S74" s="87">
        <f>IF(TrRoad_act!S50=0,0,S37/TrRoad_act!S50*1000
)</f>
        <v>220.6677111110728</v>
      </c>
      <c r="T74" s="87">
        <f>IF(TrRoad_act!T50=0,0,T37/TrRoad_act!T50*1000
)</f>
        <v>219.04856158683063</v>
      </c>
      <c r="U74" s="87">
        <f>IF(TrRoad_act!U50=0,0,U37/TrRoad_act!U50*1000
)</f>
        <v>218.64360984972518</v>
      </c>
      <c r="V74" s="87">
        <f>IF(TrRoad_act!V50=0,0,V37/TrRoad_act!V50*1000
)</f>
        <v>218.46647354226656</v>
      </c>
      <c r="W74" s="87">
        <f>IF(TrRoad_act!W50=0,0,W37/TrRoad_act!W50*1000
)</f>
        <v>217.95961464372326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239.39201279587124</v>
      </c>
      <c r="R75" s="87">
        <f>IF(TrRoad_act!R51=0,0,R38/TrRoad_act!R51*1000
)</f>
        <v>241.92058702453281</v>
      </c>
      <c r="S75" s="87">
        <f>IF(TrRoad_act!S51=0,0,S38/TrRoad_act!S51*1000
)</f>
        <v>241.22210189466659</v>
      </c>
      <c r="T75" s="87">
        <f>IF(TrRoad_act!T51=0,0,T38/TrRoad_act!T51*1000
)</f>
        <v>242.4332801748526</v>
      </c>
      <c r="U75" s="87">
        <f>IF(TrRoad_act!U51=0,0,U38/TrRoad_act!U51*1000
)</f>
        <v>241.0600579079792</v>
      </c>
      <c r="V75" s="87">
        <f>IF(TrRoad_act!V51=0,0,V38/TrRoad_act!V51*1000
)</f>
        <v>241.25620562008487</v>
      </c>
      <c r="W75" s="87">
        <f>IF(TrRoad_act!W51=0,0,W38/TrRoad_act!W51*1000
)</f>
        <v>241.7312493941709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366.65334017389324</v>
      </c>
      <c r="C77" s="116">
        <f>IF(TrRoad_act!C53=0,0,C40/TrRoad_act!C53*1000
)</f>
        <v>457.29355251220613</v>
      </c>
      <c r="D77" s="116">
        <f>IF(TrRoad_act!D53=0,0,D40/TrRoad_act!D53*1000
)</f>
        <v>330.39966741495545</v>
      </c>
      <c r="E77" s="116">
        <f>IF(TrRoad_act!E53=0,0,E40/TrRoad_act!E53*1000
)</f>
        <v>522.82838615618823</v>
      </c>
      <c r="F77" s="116">
        <f>IF(TrRoad_act!F53=0,0,F40/TrRoad_act!F53*1000
)</f>
        <v>670.98228607062515</v>
      </c>
      <c r="G77" s="116">
        <f>IF(TrRoad_act!G53=0,0,G40/TrRoad_act!G53*1000
)</f>
        <v>899.55392788277254</v>
      </c>
      <c r="H77" s="116">
        <f>IF(TrRoad_act!H53=0,0,H40/TrRoad_act!H53*1000
)</f>
        <v>1014.0000227278106</v>
      </c>
      <c r="I77" s="116">
        <f>IF(TrRoad_act!I53=0,0,I40/TrRoad_act!I53*1000
)</f>
        <v>1132.3219679730169</v>
      </c>
      <c r="J77" s="116">
        <f>IF(TrRoad_act!J53=0,0,J40/TrRoad_act!J53*1000
)</f>
        <v>1108.5359682708495</v>
      </c>
      <c r="K77" s="116">
        <f>IF(TrRoad_act!K53=0,0,K40/TrRoad_act!K53*1000
)</f>
        <v>991.25535169863304</v>
      </c>
      <c r="L77" s="116">
        <f>IF(TrRoad_act!L53=0,0,L40/TrRoad_act!L53*1000
)</f>
        <v>1009.2783532257974</v>
      </c>
      <c r="M77" s="116">
        <f>IF(TrRoad_act!M53=0,0,M40/TrRoad_act!M53*1000
)</f>
        <v>920.39427889525859</v>
      </c>
      <c r="N77" s="116">
        <f>IF(TrRoad_act!N53=0,0,N40/TrRoad_act!N53*1000
)</f>
        <v>777.2195619618351</v>
      </c>
      <c r="O77" s="116">
        <f>IF(TrRoad_act!O53=0,0,O40/TrRoad_act!O53*1000
)</f>
        <v>592.26233568674036</v>
      </c>
      <c r="P77" s="116">
        <f>IF(TrRoad_act!P53=0,0,P40/TrRoad_act!P53*1000
)</f>
        <v>624.40678896041049</v>
      </c>
      <c r="Q77" s="116">
        <f>IF(TrRoad_act!Q53=0,0,Q40/TrRoad_act!Q53*1000
)</f>
        <v>628.26907060197846</v>
      </c>
      <c r="R77" s="116">
        <f>IF(TrRoad_act!R53=0,0,R40/TrRoad_act!R53*1000
)</f>
        <v>834.17236704224797</v>
      </c>
      <c r="S77" s="116">
        <f>IF(TrRoad_act!S53=0,0,S40/TrRoad_act!S53*1000
)</f>
        <v>1034.9929629482849</v>
      </c>
      <c r="T77" s="116">
        <f>IF(TrRoad_act!T53=0,0,T40/TrRoad_act!T53*1000
)</f>
        <v>1083.3231501936596</v>
      </c>
      <c r="U77" s="116">
        <f>IF(TrRoad_act!U53=0,0,U40/TrRoad_act!U53*1000
)</f>
        <v>1051.4024966605539</v>
      </c>
      <c r="V77" s="116">
        <f>IF(TrRoad_act!V53=0,0,V40/TrRoad_act!V53*1000
)</f>
        <v>941.89058275129344</v>
      </c>
      <c r="W77" s="116">
        <f>IF(TrRoad_act!W53=0,0,W40/TrRoad_act!W53*1000
)</f>
        <v>1149.4607602798367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353.76225747858473</v>
      </c>
      <c r="C78" s="101">
        <f>IF(TrRoad_act!C54=0,0,C41/TrRoad_act!C54*1000
)</f>
        <v>441.6888747499853</v>
      </c>
      <c r="D78" s="101">
        <f>IF(TrRoad_act!D54=0,0,D41/TrRoad_act!D54*1000
)</f>
        <v>319.31699323595228</v>
      </c>
      <c r="E78" s="101">
        <f>IF(TrRoad_act!E54=0,0,E41/TrRoad_act!E54*1000
)</f>
        <v>506.69476591473108</v>
      </c>
      <c r="F78" s="101">
        <f>IF(TrRoad_act!F54=0,0,F41/TrRoad_act!F54*1000
)</f>
        <v>652.02997351605541</v>
      </c>
      <c r="G78" s="101">
        <f>IF(TrRoad_act!G54=0,0,G41/TrRoad_act!G54*1000
)</f>
        <v>875.41291600618808</v>
      </c>
      <c r="H78" s="101">
        <f>IF(TrRoad_act!H54=0,0,H41/TrRoad_act!H54*1000
)</f>
        <v>984.43238105945397</v>
      </c>
      <c r="I78" s="101">
        <f>IF(TrRoad_act!I54=0,0,I41/TrRoad_act!I54*1000
)</f>
        <v>1102.8265751634653</v>
      </c>
      <c r="J78" s="101">
        <f>IF(TrRoad_act!J54=0,0,J41/TrRoad_act!J54*1000
)</f>
        <v>1081.348514412078</v>
      </c>
      <c r="K78" s="101">
        <f>IF(TrRoad_act!K54=0,0,K41/TrRoad_act!K54*1000
)</f>
        <v>969.9582254946539</v>
      </c>
      <c r="L78" s="101">
        <f>IF(TrRoad_act!L54=0,0,L41/TrRoad_act!L54*1000
)</f>
        <v>986.43006809366261</v>
      </c>
      <c r="M78" s="101">
        <f>IF(TrRoad_act!M54=0,0,M41/TrRoad_act!M54*1000
)</f>
        <v>899.69035385605548</v>
      </c>
      <c r="N78" s="101">
        <f>IF(TrRoad_act!N54=0,0,N41/TrRoad_act!N54*1000
)</f>
        <v>757.73619581364301</v>
      </c>
      <c r="O78" s="101">
        <f>IF(TrRoad_act!O54=0,0,O41/TrRoad_act!O54*1000
)</f>
        <v>577.20294698609121</v>
      </c>
      <c r="P78" s="101">
        <f>IF(TrRoad_act!P54=0,0,P41/TrRoad_act!P54*1000
)</f>
        <v>607.59444769341076</v>
      </c>
      <c r="Q78" s="101">
        <f>IF(TrRoad_act!Q54=0,0,Q41/TrRoad_act!Q54*1000
)</f>
        <v>611.3656642108208</v>
      </c>
      <c r="R78" s="101">
        <f>IF(TrRoad_act!R54=0,0,R41/TrRoad_act!R54*1000
)</f>
        <v>809.0635574142259</v>
      </c>
      <c r="S78" s="101">
        <f>IF(TrRoad_act!S54=0,0,S41/TrRoad_act!S54*1000
)</f>
        <v>1001.9307006254226</v>
      </c>
      <c r="T78" s="101">
        <f>IF(TrRoad_act!T54=0,0,T41/TrRoad_act!T54*1000
)</f>
        <v>1050.4439913599074</v>
      </c>
      <c r="U78" s="101">
        <f>IF(TrRoad_act!U54=0,0,U41/TrRoad_act!U54*1000
)</f>
        <v>1015.0011214125248</v>
      </c>
      <c r="V78" s="101">
        <f>IF(TrRoad_act!V54=0,0,V41/TrRoad_act!V54*1000
)</f>
        <v>910.47560597009056</v>
      </c>
      <c r="W78" s="101">
        <f>IF(TrRoad_act!W54=0,0,W41/TrRoad_act!W54*1000
)</f>
        <v>1110.2175449746896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415.30404928837851</v>
      </c>
      <c r="C79" s="88">
        <f>IF(TrRoad_act!C55=0,0,C42/TrRoad_act!C55*1000
)</f>
        <v>513.94730360041842</v>
      </c>
      <c r="D79" s="88">
        <f>IF(TrRoad_act!D55=0,0,D42/TrRoad_act!D55*1000
)</f>
        <v>370.39066676929889</v>
      </c>
      <c r="E79" s="88">
        <f>IF(TrRoad_act!E55=0,0,E42/TrRoad_act!E55*1000
)</f>
        <v>583.92679703456804</v>
      </c>
      <c r="F79" s="88">
        <f>IF(TrRoad_act!F55=0,0,F42/TrRoad_act!F55*1000
)</f>
        <v>741.27457491262805</v>
      </c>
      <c r="G79" s="88">
        <f>IF(TrRoad_act!G55=0,0,G42/TrRoad_act!G55*1000
)</f>
        <v>990.52461857773289</v>
      </c>
      <c r="H79" s="88">
        <f>IF(TrRoad_act!H55=0,0,H42/TrRoad_act!H55*1000
)</f>
        <v>1104.5827588487839</v>
      </c>
      <c r="I79" s="88">
        <f>IF(TrRoad_act!I55=0,0,I42/TrRoad_act!I55*1000
)</f>
        <v>1239.9055890688205</v>
      </c>
      <c r="J79" s="88">
        <f>IF(TrRoad_act!J55=0,0,J42/TrRoad_act!J55*1000
)</f>
        <v>1214.5498755605413</v>
      </c>
      <c r="K79" s="88">
        <f>IF(TrRoad_act!K55=0,0,K42/TrRoad_act!K55*1000
)</f>
        <v>1087.6579319816924</v>
      </c>
      <c r="L79" s="88">
        <f>IF(TrRoad_act!L55=0,0,L42/TrRoad_act!L55*1000
)</f>
        <v>1102.7909182661267</v>
      </c>
      <c r="M79" s="88">
        <f>IF(TrRoad_act!M55=0,0,M42/TrRoad_act!M55*1000
)</f>
        <v>1008.5912327889693</v>
      </c>
      <c r="N79" s="88">
        <f>IF(TrRoad_act!N55=0,0,N42/TrRoad_act!N55*1000
)</f>
        <v>852.70436541536878</v>
      </c>
      <c r="O79" s="88">
        <f>IF(TrRoad_act!O55=0,0,O42/TrRoad_act!O55*1000
)</f>
        <v>652.33313170460463</v>
      </c>
      <c r="P79" s="88">
        <f>IF(TrRoad_act!P55=0,0,P42/TrRoad_act!P55*1000
)</f>
        <v>689.54848248729786</v>
      </c>
      <c r="Q79" s="88">
        <f>IF(TrRoad_act!Q55=0,0,Q42/TrRoad_act!Q55*1000
)</f>
        <v>696.61495723667122</v>
      </c>
      <c r="R79" s="88">
        <f>IF(TrRoad_act!R55=0,0,R42/TrRoad_act!R55*1000
)</f>
        <v>925.40179097377393</v>
      </c>
      <c r="S79" s="88">
        <f>IF(TrRoad_act!S55=0,0,S42/TrRoad_act!S55*1000
)</f>
        <v>1151.7107100979792</v>
      </c>
      <c r="T79" s="88">
        <f>IF(TrRoad_act!T55=0,0,T42/TrRoad_act!T55*1000
)</f>
        <v>1213.5148851270915</v>
      </c>
      <c r="U79" s="88">
        <f>IF(TrRoad_act!U55=0,0,U42/TrRoad_act!U55*1000
)</f>
        <v>1176.6507527701172</v>
      </c>
      <c r="V79" s="88">
        <f>IF(TrRoad_act!V55=0,0,V42/TrRoad_act!V55*1000
)</f>
        <v>1058.0983957842668</v>
      </c>
      <c r="W79" s="88">
        <f>IF(TrRoad_act!W55=0,0,W42/TrRoad_act!W55*1000
)</f>
        <v>1295.9850890903385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96.168506443317341</v>
      </c>
      <c r="C82" s="29">
        <f>IF(TrRoad_act!C4=0,0,C18/TrRoad_act!C4*1000)</f>
        <v>94.043871317517656</v>
      </c>
      <c r="D82" s="29">
        <f>IF(TrRoad_act!D4=0,0,D18/TrRoad_act!D4*1000)</f>
        <v>92.257915790560446</v>
      </c>
      <c r="E82" s="29">
        <f>IF(TrRoad_act!E4=0,0,E18/TrRoad_act!E4*1000)</f>
        <v>93.393986635426558</v>
      </c>
      <c r="F82" s="29">
        <f>IF(TrRoad_act!F4=0,0,F18/TrRoad_act!F4*1000)</f>
        <v>101.38009615761241</v>
      </c>
      <c r="G82" s="29">
        <f>IF(TrRoad_act!G4=0,0,G18/TrRoad_act!G4*1000)</f>
        <v>99.303110710364109</v>
      </c>
      <c r="H82" s="29">
        <f>IF(TrRoad_act!H4=0,0,H18/TrRoad_act!H4*1000)</f>
        <v>107.53635418160246</v>
      </c>
      <c r="I82" s="29">
        <f>IF(TrRoad_act!I4=0,0,I18/TrRoad_act!I4*1000)</f>
        <v>115.38814190940776</v>
      </c>
      <c r="J82" s="29">
        <f>IF(TrRoad_act!J4=0,0,J18/TrRoad_act!J4*1000)</f>
        <v>115.37972551763315</v>
      </c>
      <c r="K82" s="29">
        <f>IF(TrRoad_act!K4=0,0,K18/TrRoad_act!K4*1000)</f>
        <v>116.17321151258052</v>
      </c>
      <c r="L82" s="29">
        <f>IF(TrRoad_act!L4=0,0,L18/TrRoad_act!L4*1000)</f>
        <v>119.38297160235371</v>
      </c>
      <c r="M82" s="29">
        <f>IF(TrRoad_act!M4=0,0,M18/TrRoad_act!M4*1000)</f>
        <v>121.47278962317941</v>
      </c>
      <c r="N82" s="29">
        <f>IF(TrRoad_act!N4=0,0,N18/TrRoad_act!N4*1000)</f>
        <v>121.08922629964596</v>
      </c>
      <c r="O82" s="29">
        <f>IF(TrRoad_act!O4=0,0,O18/TrRoad_act!O4*1000)</f>
        <v>114.29280117516063</v>
      </c>
      <c r="P82" s="29">
        <f>IF(TrRoad_act!P4=0,0,P18/TrRoad_act!P4*1000)</f>
        <v>111.94747152387109</v>
      </c>
      <c r="Q82" s="29">
        <f>IF(TrRoad_act!Q4=0,0,Q18/TrRoad_act!Q4*1000)</f>
        <v>118.47181622289223</v>
      </c>
      <c r="R82" s="29">
        <f>IF(TrRoad_act!R4=0,0,R18/TrRoad_act!R4*1000)</f>
        <v>122.71019927154398</v>
      </c>
      <c r="S82" s="29">
        <f>IF(TrRoad_act!S4=0,0,S18/TrRoad_act!S4*1000)</f>
        <v>131.65961675599067</v>
      </c>
      <c r="T82" s="29">
        <f>IF(TrRoad_act!T4=0,0,T18/TrRoad_act!T4*1000)</f>
        <v>134.87233340044023</v>
      </c>
      <c r="U82" s="29">
        <f>IF(TrRoad_act!U4=0,0,U18/TrRoad_act!U4*1000)</f>
        <v>135.17517607485007</v>
      </c>
      <c r="V82" s="29">
        <f>IF(TrRoad_act!V4=0,0,V18/TrRoad_act!V4*1000)</f>
        <v>143.50260959536533</v>
      </c>
      <c r="W82" s="29">
        <f>IF(TrRoad_act!W4=0,0,W18/TrRoad_act!W4*1000)</f>
        <v>137.54923697166902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119.95679853608927</v>
      </c>
      <c r="C83" s="152">
        <f>IF(TrRoad_act!C5=0,0,C19/TrRoad_act!C5*1000)</f>
        <v>119.71735150350939</v>
      </c>
      <c r="D83" s="152">
        <f>IF(TrRoad_act!D5=0,0,D19/TrRoad_act!D5*1000)</f>
        <v>118.29449412142212</v>
      </c>
      <c r="E83" s="152">
        <f>IF(TrRoad_act!E5=0,0,E19/TrRoad_act!E5*1000)</f>
        <v>117.39116644362727</v>
      </c>
      <c r="F83" s="152">
        <f>IF(TrRoad_act!F5=0,0,F19/TrRoad_act!F5*1000)</f>
        <v>117.71199180071881</v>
      </c>
      <c r="G83" s="152">
        <f>IF(TrRoad_act!G5=0,0,G19/TrRoad_act!G5*1000)</f>
        <v>107.95723984882999</v>
      </c>
      <c r="H83" s="152">
        <f>IF(TrRoad_act!H5=0,0,H19/TrRoad_act!H5*1000)</f>
        <v>106.17443644783467</v>
      </c>
      <c r="I83" s="152">
        <f>IF(TrRoad_act!I5=0,0,I19/TrRoad_act!I5*1000)</f>
        <v>104.01272769774233</v>
      </c>
      <c r="J83" s="152">
        <f>IF(TrRoad_act!J5=0,0,J19/TrRoad_act!J5*1000)</f>
        <v>105.23474628321135</v>
      </c>
      <c r="K83" s="152">
        <f>IF(TrRoad_act!K5=0,0,K19/TrRoad_act!K5*1000)</f>
        <v>97.032053436208798</v>
      </c>
      <c r="L83" s="152">
        <f>IF(TrRoad_act!L5=0,0,L19/TrRoad_act!L5*1000)</f>
        <v>95.641382634261518</v>
      </c>
      <c r="M83" s="152">
        <f>IF(TrRoad_act!M5=0,0,M19/TrRoad_act!M5*1000)</f>
        <v>94.173531861973615</v>
      </c>
      <c r="N83" s="152">
        <f>IF(TrRoad_act!N5=0,0,N19/TrRoad_act!N5*1000)</f>
        <v>94.049495803062669</v>
      </c>
      <c r="O83" s="152">
        <f>IF(TrRoad_act!O5=0,0,O19/TrRoad_act!O5*1000)</f>
        <v>93.150317276280163</v>
      </c>
      <c r="P83" s="152">
        <f>IF(TrRoad_act!P5=0,0,P19/TrRoad_act!P5*1000)</f>
        <v>92.116130755284402</v>
      </c>
      <c r="Q83" s="152">
        <f>IF(TrRoad_act!Q5=0,0,Q19/TrRoad_act!Q5*1000)</f>
        <v>90.429639573136754</v>
      </c>
      <c r="R83" s="152">
        <f>IF(TrRoad_act!R5=0,0,R19/TrRoad_act!R5*1000)</f>
        <v>89.548273013817834</v>
      </c>
      <c r="S83" s="152">
        <f>IF(TrRoad_act!S5=0,0,S19/TrRoad_act!S5*1000)</f>
        <v>88.876964153611766</v>
      </c>
      <c r="T83" s="152">
        <f>IF(TrRoad_act!T5=0,0,T19/TrRoad_act!T5*1000)</f>
        <v>88.750925958466951</v>
      </c>
      <c r="U83" s="152">
        <f>IF(TrRoad_act!U5=0,0,U19/TrRoad_act!U5*1000)</f>
        <v>88.137936787889785</v>
      </c>
      <c r="V83" s="152">
        <f>IF(TrRoad_act!V5=0,0,V19/TrRoad_act!V5*1000)</f>
        <v>87.801709176929265</v>
      </c>
      <c r="W83" s="152">
        <f>IF(TrRoad_act!W5=0,0,W19/TrRoad_act!W5*1000)</f>
        <v>83.617370502807802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115.93903379589355</v>
      </c>
      <c r="C84" s="116">
        <f>IF(TrRoad_act!C6=0,0,C20/TrRoad_act!C6*1000)</f>
        <v>111.51615752732127</v>
      </c>
      <c r="D84" s="116">
        <f>IF(TrRoad_act!D6=0,0,D20/TrRoad_act!D6*1000)</f>
        <v>106.81164418285185</v>
      </c>
      <c r="E84" s="116">
        <f>IF(TrRoad_act!E6=0,0,E20/TrRoad_act!E6*1000)</f>
        <v>108.36895633534124</v>
      </c>
      <c r="F84" s="116">
        <f>IF(TrRoad_act!F6=0,0,F20/TrRoad_act!F6*1000)</f>
        <v>117.41327261595038</v>
      </c>
      <c r="G84" s="116">
        <f>IF(TrRoad_act!G6=0,0,G20/TrRoad_act!G6*1000)</f>
        <v>113.46393740312867</v>
      </c>
      <c r="H84" s="116">
        <f>IF(TrRoad_act!H6=0,0,H20/TrRoad_act!H6*1000)</f>
        <v>124.5488293648126</v>
      </c>
      <c r="I84" s="116">
        <f>IF(TrRoad_act!I6=0,0,I20/TrRoad_act!I6*1000)</f>
        <v>133.37735519453477</v>
      </c>
      <c r="J84" s="116">
        <f>IF(TrRoad_act!J6=0,0,J20/TrRoad_act!J6*1000)</f>
        <v>133.10141572667038</v>
      </c>
      <c r="K84" s="116">
        <f>IF(TrRoad_act!K6=0,0,K20/TrRoad_act!K6*1000)</f>
        <v>130.9433083853651</v>
      </c>
      <c r="L84" s="116">
        <f>IF(TrRoad_act!L6=0,0,L20/TrRoad_act!L6*1000)</f>
        <v>133.41539942368209</v>
      </c>
      <c r="M84" s="116">
        <f>IF(TrRoad_act!M6=0,0,M20/TrRoad_act!M6*1000)</f>
        <v>134.82194368303234</v>
      </c>
      <c r="N84" s="116">
        <f>IF(TrRoad_act!N6=0,0,N20/TrRoad_act!N6*1000)</f>
        <v>134.0864667715804</v>
      </c>
      <c r="O84" s="116">
        <f>IF(TrRoad_act!O6=0,0,O20/TrRoad_act!O6*1000)</f>
        <v>124.44057502480565</v>
      </c>
      <c r="P84" s="116">
        <f>IF(TrRoad_act!P6=0,0,P20/TrRoad_act!P6*1000)</f>
        <v>121.8598050988159</v>
      </c>
      <c r="Q84" s="116">
        <f>IF(TrRoad_act!Q6=0,0,Q20/TrRoad_act!Q6*1000)</f>
        <v>126.48681736334171</v>
      </c>
      <c r="R84" s="116">
        <f>IF(TrRoad_act!R6=0,0,R20/TrRoad_act!R6*1000)</f>
        <v>130.50421942781239</v>
      </c>
      <c r="S84" s="116">
        <f>IF(TrRoad_act!S6=0,0,S20/TrRoad_act!S6*1000)</f>
        <v>140.60430243148033</v>
      </c>
      <c r="T84" s="116">
        <f>IF(TrRoad_act!T6=0,0,T20/TrRoad_act!T6*1000)</f>
        <v>143.92086201228705</v>
      </c>
      <c r="U84" s="116">
        <f>IF(TrRoad_act!U6=0,0,U20/TrRoad_act!U6*1000)</f>
        <v>144.5282494692523</v>
      </c>
      <c r="V84" s="116">
        <f>IF(TrRoad_act!V6=0,0,V20/TrRoad_act!V6*1000)</f>
        <v>143.90276848544423</v>
      </c>
      <c r="W84" s="116">
        <f>IF(TrRoad_act!W6=0,0,W20/TrRoad_act!W6*1000)</f>
        <v>138.49446941226324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115.37799638029814</v>
      </c>
      <c r="C85" s="87">
        <f>IF(TrRoad_act!C7=0,0,C21/TrRoad_act!C7*1000)</f>
        <v>111.70470740048897</v>
      </c>
      <c r="D85" s="87">
        <f>IF(TrRoad_act!D7=0,0,D21/TrRoad_act!D7*1000)</f>
        <v>104.83908937572193</v>
      </c>
      <c r="E85" s="87">
        <f>IF(TrRoad_act!E7=0,0,E21/TrRoad_act!E7*1000)</f>
        <v>106.8167985885337</v>
      </c>
      <c r="F85" s="87">
        <f>IF(TrRoad_act!F7=0,0,F21/TrRoad_act!F7*1000)</f>
        <v>117.79586241549401</v>
      </c>
      <c r="G85" s="87">
        <f>IF(TrRoad_act!G7=0,0,G21/TrRoad_act!G7*1000)</f>
        <v>109.69866876835889</v>
      </c>
      <c r="H85" s="87">
        <f>IF(TrRoad_act!H7=0,0,H21/TrRoad_act!H7*1000)</f>
        <v>119.06266708039848</v>
      </c>
      <c r="I85" s="87">
        <f>IF(TrRoad_act!I7=0,0,I21/TrRoad_act!I7*1000)</f>
        <v>128.82128195891079</v>
      </c>
      <c r="J85" s="87">
        <f>IF(TrRoad_act!J7=0,0,J21/TrRoad_act!J7*1000)</f>
        <v>133.610637488468</v>
      </c>
      <c r="K85" s="87">
        <f>IF(TrRoad_act!K7=0,0,K21/TrRoad_act!K7*1000)</f>
        <v>137.30294421188233</v>
      </c>
      <c r="L85" s="87">
        <f>IF(TrRoad_act!L7=0,0,L21/TrRoad_act!L7*1000)</f>
        <v>143.66686121591559</v>
      </c>
      <c r="M85" s="87">
        <f>IF(TrRoad_act!M7=0,0,M21/TrRoad_act!M7*1000)</f>
        <v>143.44258381769902</v>
      </c>
      <c r="N85" s="87">
        <f>IF(TrRoad_act!N7=0,0,N21/TrRoad_act!N7*1000)</f>
        <v>138.04153992005047</v>
      </c>
      <c r="O85" s="87">
        <f>IF(TrRoad_act!O7=0,0,O21/TrRoad_act!O7*1000)</f>
        <v>126.87720848611728</v>
      </c>
      <c r="P85" s="87">
        <f>IF(TrRoad_act!P7=0,0,P21/TrRoad_act!P7*1000)</f>
        <v>124.2242267617444</v>
      </c>
      <c r="Q85" s="87">
        <f>IF(TrRoad_act!Q7=0,0,Q21/TrRoad_act!Q7*1000)</f>
        <v>128.91211074228733</v>
      </c>
      <c r="R85" s="87">
        <f>IF(TrRoad_act!R7=0,0,R21/TrRoad_act!R7*1000)</f>
        <v>134.50872023302426</v>
      </c>
      <c r="S85" s="87">
        <f>IF(TrRoad_act!S7=0,0,S21/TrRoad_act!S7*1000)</f>
        <v>142.35755687448909</v>
      </c>
      <c r="T85" s="87">
        <f>IF(TrRoad_act!T7=0,0,T21/TrRoad_act!T7*1000)</f>
        <v>148.48879012470115</v>
      </c>
      <c r="U85" s="87">
        <f>IF(TrRoad_act!U7=0,0,U21/TrRoad_act!U7*1000)</f>
        <v>147.994382497022</v>
      </c>
      <c r="V85" s="87">
        <f>IF(TrRoad_act!V7=0,0,V21/TrRoad_act!V7*1000)</f>
        <v>146.2668760605473</v>
      </c>
      <c r="W85" s="87">
        <f>IF(TrRoad_act!W7=0,0,W21/TrRoad_act!W7*1000)</f>
        <v>140.81142640984882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115.84788520810774</v>
      </c>
      <c r="C86" s="87">
        <f>IF(TrRoad_act!C8=0,0,C22/TrRoad_act!C8*1000)</f>
        <v>108.72002112110897</v>
      </c>
      <c r="D86" s="87">
        <f>IF(TrRoad_act!D8=0,0,D22/TrRoad_act!D8*1000)</f>
        <v>108.17234847419772</v>
      </c>
      <c r="E86" s="87">
        <f>IF(TrRoad_act!E8=0,0,E22/TrRoad_act!E8*1000)</f>
        <v>111.0779336696187</v>
      </c>
      <c r="F86" s="87">
        <f>IF(TrRoad_act!F8=0,0,F22/TrRoad_act!F8*1000)</f>
        <v>113.82509479862345</v>
      </c>
      <c r="G86" s="87">
        <f>IF(TrRoad_act!G8=0,0,G22/TrRoad_act!G8*1000)</f>
        <v>117.97323614101091</v>
      </c>
      <c r="H86" s="87">
        <f>IF(TrRoad_act!H8=0,0,H22/TrRoad_act!H8*1000)</f>
        <v>133.86390136604604</v>
      </c>
      <c r="I86" s="87">
        <f>IF(TrRoad_act!I8=0,0,I22/TrRoad_act!I8*1000)</f>
        <v>142.70076749666046</v>
      </c>
      <c r="J86" s="87">
        <f>IF(TrRoad_act!J8=0,0,J22/TrRoad_act!J8*1000)</f>
        <v>134.54207584998855</v>
      </c>
      <c r="K86" s="87">
        <f>IF(TrRoad_act!K8=0,0,K22/TrRoad_act!K8*1000)</f>
        <v>131.54281269632344</v>
      </c>
      <c r="L86" s="87">
        <f>IF(TrRoad_act!L8=0,0,L22/TrRoad_act!L8*1000)</f>
        <v>135.9762651587946</v>
      </c>
      <c r="M86" s="87">
        <f>IF(TrRoad_act!M8=0,0,M22/TrRoad_act!M8*1000)</f>
        <v>134.06985571736678</v>
      </c>
      <c r="N86" s="87">
        <f>IF(TrRoad_act!N8=0,0,N22/TrRoad_act!N8*1000)</f>
        <v>128.71176141725303</v>
      </c>
      <c r="O86" s="87">
        <f>IF(TrRoad_act!O8=0,0,O22/TrRoad_act!O8*1000)</f>
        <v>117.49850257864314</v>
      </c>
      <c r="P86" s="87">
        <f>IF(TrRoad_act!P8=0,0,P22/TrRoad_act!P8*1000)</f>
        <v>114.17851887974716</v>
      </c>
      <c r="Q86" s="87">
        <f>IF(TrRoad_act!Q8=0,0,Q22/TrRoad_act!Q8*1000)</f>
        <v>119.83444469896536</v>
      </c>
      <c r="R86" s="87">
        <f>IF(TrRoad_act!R8=0,0,R22/TrRoad_act!R8*1000)</f>
        <v>126.67453755337829</v>
      </c>
      <c r="S86" s="87">
        <f>IF(TrRoad_act!S8=0,0,S22/TrRoad_act!S8*1000)</f>
        <v>139.63911660215581</v>
      </c>
      <c r="T86" s="87">
        <f>IF(TrRoad_act!T8=0,0,T22/TrRoad_act!T8*1000)</f>
        <v>143.65217615652659</v>
      </c>
      <c r="U86" s="87">
        <f>IF(TrRoad_act!U8=0,0,U22/TrRoad_act!U8*1000)</f>
        <v>142.80736067303039</v>
      </c>
      <c r="V86" s="87">
        <f>IF(TrRoad_act!V8=0,0,V22/TrRoad_act!V8*1000)</f>
        <v>144.2733117175348</v>
      </c>
      <c r="W86" s="87">
        <f>IF(TrRoad_act!W8=0,0,W22/TrRoad_act!W8*1000)</f>
        <v>135.85945068845535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122.35074202299487</v>
      </c>
      <c r="C87" s="87">
        <f>IF(TrRoad_act!C9=0,0,C23/TrRoad_act!C9*1000)</f>
        <v>114.33760792598783</v>
      </c>
      <c r="D87" s="87">
        <f>IF(TrRoad_act!D9=0,0,D23/TrRoad_act!D9*1000)</f>
        <v>114.85788730723522</v>
      </c>
      <c r="E87" s="87">
        <f>IF(TrRoad_act!E9=0,0,E23/TrRoad_act!E9*1000)</f>
        <v>111.01535136477388</v>
      </c>
      <c r="F87" s="87">
        <f>IF(TrRoad_act!F9=0,0,F23/TrRoad_act!F9*1000)</f>
        <v>119.86553337675905</v>
      </c>
      <c r="G87" s="87">
        <f>IF(TrRoad_act!G9=0,0,G23/TrRoad_act!G9*1000)</f>
        <v>119.50846671123756</v>
      </c>
      <c r="H87" s="87">
        <f>IF(TrRoad_act!H9=0,0,H23/TrRoad_act!H9*1000)</f>
        <v>129.09912154905916</v>
      </c>
      <c r="I87" s="87">
        <f>IF(TrRoad_act!I9=0,0,I23/TrRoad_act!I9*1000)</f>
        <v>132.33907480107305</v>
      </c>
      <c r="J87" s="87">
        <f>IF(TrRoad_act!J9=0,0,J23/TrRoad_act!J9*1000)</f>
        <v>129.81445316979517</v>
      </c>
      <c r="K87" s="87">
        <f>IF(TrRoad_act!K9=0,0,K23/TrRoad_act!K9*1000)</f>
        <v>117.02301042082665</v>
      </c>
      <c r="L87" s="87">
        <f>IF(TrRoad_act!L9=0,0,L23/TrRoad_act!L9*1000)</f>
        <v>110.28051776144058</v>
      </c>
      <c r="M87" s="87">
        <f>IF(TrRoad_act!M9=0,0,M23/TrRoad_act!M9*1000)</f>
        <v>119.91652206805794</v>
      </c>
      <c r="N87" s="87">
        <f>IF(TrRoad_act!N9=0,0,N23/TrRoad_act!N9*1000)</f>
        <v>140.52673020110859</v>
      </c>
      <c r="O87" s="87">
        <f>IF(TrRoad_act!O9=0,0,O23/TrRoad_act!O9*1000)</f>
        <v>138.68884309114804</v>
      </c>
      <c r="P87" s="87">
        <f>IF(TrRoad_act!P9=0,0,P23/TrRoad_act!P9*1000)</f>
        <v>139.57837655131192</v>
      </c>
      <c r="Q87" s="87">
        <f>IF(TrRoad_act!Q9=0,0,Q23/TrRoad_act!Q9*1000)</f>
        <v>141.36448259294306</v>
      </c>
      <c r="R87" s="87">
        <f>IF(TrRoad_act!R9=0,0,R23/TrRoad_act!R9*1000)</f>
        <v>133.46438160528979</v>
      </c>
      <c r="S87" s="87">
        <f>IF(TrRoad_act!S9=0,0,S23/TrRoad_act!S9*1000)</f>
        <v>139.95468356383932</v>
      </c>
      <c r="T87" s="87">
        <f>IF(TrRoad_act!T9=0,0,T23/TrRoad_act!T9*1000)</f>
        <v>135.59146858479647</v>
      </c>
      <c r="U87" s="87">
        <f>IF(TrRoad_act!U9=0,0,U23/TrRoad_act!U9*1000)</f>
        <v>142.7134437226419</v>
      </c>
      <c r="V87" s="87">
        <f>IF(TrRoad_act!V9=0,0,V23/TrRoad_act!V9*1000)</f>
        <v>138.1143691077375</v>
      </c>
      <c r="W87" s="87">
        <f>IF(TrRoad_act!W9=0,0,W23/TrRoad_act!W9*1000)</f>
        <v>141.72505945306872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94.295444924953713</v>
      </c>
      <c r="R88" s="87">
        <f>IF(TrRoad_act!R10=0,0,R24/TrRoad_act!R10*1000)</f>
        <v>94.083161455390723</v>
      </c>
      <c r="S88" s="87">
        <f>IF(TrRoad_act!S10=0,0,S24/TrRoad_act!S10*1000)</f>
        <v>100.70863341933931</v>
      </c>
      <c r="T88" s="87">
        <f>IF(TrRoad_act!T10=0,0,T24/TrRoad_act!T10*1000)</f>
        <v>107.38227721636989</v>
      </c>
      <c r="U88" s="87">
        <f>IF(TrRoad_act!U10=0,0,U24/TrRoad_act!U10*1000)</f>
        <v>109.24985872780428</v>
      </c>
      <c r="V88" s="87">
        <f>IF(TrRoad_act!V10=0,0,V24/TrRoad_act!V10*1000)</f>
        <v>115.41042012249483</v>
      </c>
      <c r="W88" s="87">
        <f>IF(TrRoad_act!W10=0,0,W24/TrRoad_act!W10*1000)</f>
        <v>110.99704683187682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30.84299152319694</v>
      </c>
      <c r="O89" s="87">
        <f>IF(TrRoad_act!O11=0,0,O25/TrRoad_act!O11*1000)</f>
        <v>37.041818802577339</v>
      </c>
      <c r="P89" s="87">
        <f>IF(TrRoad_act!P11=0,0,P25/TrRoad_act!P11*1000)</f>
        <v>77.294343205032234</v>
      </c>
      <c r="Q89" s="87">
        <f>IF(TrRoad_act!Q11=0,0,Q25/TrRoad_act!Q11*1000)</f>
        <v>40.867782330623946</v>
      </c>
      <c r="R89" s="87">
        <f>IF(TrRoad_act!R11=0,0,R25/TrRoad_act!R11*1000)</f>
        <v>38.965372076145499</v>
      </c>
      <c r="S89" s="87">
        <f>IF(TrRoad_act!S11=0,0,S25/TrRoad_act!S11*1000)</f>
        <v>35.912307946153391</v>
      </c>
      <c r="T89" s="87">
        <f>IF(TrRoad_act!T11=0,0,T25/TrRoad_act!T11*1000)</f>
        <v>42.13088206950745</v>
      </c>
      <c r="U89" s="87">
        <f>IF(TrRoad_act!U11=0,0,U25/TrRoad_act!U11*1000)</f>
        <v>43.186170216707076</v>
      </c>
      <c r="V89" s="87">
        <f>IF(TrRoad_act!V11=0,0,V25/TrRoad_act!V11*1000)</f>
        <v>43.537936555045341</v>
      </c>
      <c r="W89" s="87">
        <f>IF(TrRoad_act!W11=0,0,W25/TrRoad_act!W11*1000)</f>
        <v>65.092256785967336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51.710807607514361</v>
      </c>
      <c r="C91" s="116">
        <f>IF(TrRoad_act!C13=0,0,C27/TrRoad_act!C13*1000)</f>
        <v>51.27980897533692</v>
      </c>
      <c r="D91" s="116">
        <f>IF(TrRoad_act!D13=0,0,D27/TrRoad_act!D13*1000)</f>
        <v>53.183371440517455</v>
      </c>
      <c r="E91" s="116">
        <f>IF(TrRoad_act!E13=0,0,E27/TrRoad_act!E13*1000)</f>
        <v>51.473663976360271</v>
      </c>
      <c r="F91" s="116">
        <f>IF(TrRoad_act!F13=0,0,F27/TrRoad_act!F13*1000)</f>
        <v>54.722954146157683</v>
      </c>
      <c r="G91" s="116">
        <f>IF(TrRoad_act!G13=0,0,G27/TrRoad_act!G13*1000)</f>
        <v>55.103235086354559</v>
      </c>
      <c r="H91" s="116">
        <f>IF(TrRoad_act!H13=0,0,H27/TrRoad_act!H13*1000)</f>
        <v>52.892460061618962</v>
      </c>
      <c r="I91" s="116">
        <f>IF(TrRoad_act!I13=0,0,I27/TrRoad_act!I13*1000)</f>
        <v>54.749330227527501</v>
      </c>
      <c r="J91" s="116">
        <f>IF(TrRoad_act!J13=0,0,J27/TrRoad_act!J13*1000)</f>
        <v>51.76852987715904</v>
      </c>
      <c r="K91" s="116">
        <f>IF(TrRoad_act!K13=0,0,K27/TrRoad_act!K13*1000)</f>
        <v>55.846729361257545</v>
      </c>
      <c r="L91" s="116">
        <f>IF(TrRoad_act!L13=0,0,L27/TrRoad_act!L13*1000)</f>
        <v>57.48096407341761</v>
      </c>
      <c r="M91" s="116">
        <f>IF(TrRoad_act!M13=0,0,M27/TrRoad_act!M13*1000)</f>
        <v>60.471114575953102</v>
      </c>
      <c r="N91" s="116">
        <f>IF(TrRoad_act!N13=0,0,N27/TrRoad_act!N13*1000)</f>
        <v>60.63291689268398</v>
      </c>
      <c r="O91" s="116">
        <f>IF(TrRoad_act!O13=0,0,O27/TrRoad_act!O13*1000)</f>
        <v>63.947994703148687</v>
      </c>
      <c r="P91" s="116">
        <f>IF(TrRoad_act!P13=0,0,P27/TrRoad_act!P13*1000)</f>
        <v>63.502030398702487</v>
      </c>
      <c r="Q91" s="116">
        <f>IF(TrRoad_act!Q13=0,0,Q27/TrRoad_act!Q13*1000)</f>
        <v>77.899416984513479</v>
      </c>
      <c r="R91" s="116">
        <f>IF(TrRoad_act!R13=0,0,R27/TrRoad_act!R13*1000)</f>
        <v>80.338633804175956</v>
      </c>
      <c r="S91" s="116">
        <f>IF(TrRoad_act!S13=0,0,S27/TrRoad_act!S13*1000)</f>
        <v>80.260036962186533</v>
      </c>
      <c r="T91" s="116">
        <f>IF(TrRoad_act!T13=0,0,T27/TrRoad_act!T13*1000)</f>
        <v>79.074352781736607</v>
      </c>
      <c r="U91" s="116">
        <f>IF(TrRoad_act!U13=0,0,U27/TrRoad_act!U13*1000)</f>
        <v>79.198380056656163</v>
      </c>
      <c r="V91" s="116">
        <f>IF(TrRoad_act!V13=0,0,V27/TrRoad_act!V13*1000)</f>
        <v>146.79296398596415</v>
      </c>
      <c r="W91" s="116">
        <f>IF(TrRoad_act!W13=0,0,W27/TrRoad_act!W13*1000)</f>
        <v>134.49299028107075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52.298825459994418</v>
      </c>
      <c r="C93" s="101">
        <f>IF(TrRoad_act!C15=0,0,C29/TrRoad_act!C15*1000)</f>
        <v>51.846346979661348</v>
      </c>
      <c r="D93" s="101">
        <f>IF(TrRoad_act!D15=0,0,D29/TrRoad_act!D15*1000)</f>
        <v>53.747674824357738</v>
      </c>
      <c r="E93" s="101">
        <f>IF(TrRoad_act!E15=0,0,E29/TrRoad_act!E15*1000)</f>
        <v>51.923373970077165</v>
      </c>
      <c r="F93" s="101">
        <f>IF(TrRoad_act!F15=0,0,F29/TrRoad_act!F15*1000)</f>
        <v>55.48320821855387</v>
      </c>
      <c r="G93" s="101">
        <f>IF(TrRoad_act!G15=0,0,G29/TrRoad_act!G15*1000)</f>
        <v>56.422515484455651</v>
      </c>
      <c r="H93" s="101">
        <f>IF(TrRoad_act!H15=0,0,H29/TrRoad_act!H15*1000)</f>
        <v>54.114891583389316</v>
      </c>
      <c r="I93" s="101">
        <f>IF(TrRoad_act!I15=0,0,I29/TrRoad_act!I15*1000)</f>
        <v>55.932598761678506</v>
      </c>
      <c r="J93" s="101">
        <f>IF(TrRoad_act!J15=0,0,J29/TrRoad_act!J15*1000)</f>
        <v>52.81490782496104</v>
      </c>
      <c r="K93" s="101">
        <f>IF(TrRoad_act!K15=0,0,K29/TrRoad_act!K15*1000)</f>
        <v>56.889363505388467</v>
      </c>
      <c r="L93" s="101">
        <f>IF(TrRoad_act!L15=0,0,L29/TrRoad_act!L15*1000)</f>
        <v>58.507397179064256</v>
      </c>
      <c r="M93" s="101">
        <f>IF(TrRoad_act!M15=0,0,M29/TrRoad_act!M15*1000)</f>
        <v>61.48826100169051</v>
      </c>
      <c r="N93" s="101">
        <f>IF(TrRoad_act!N15=0,0,N29/TrRoad_act!N15*1000)</f>
        <v>61.619917788551092</v>
      </c>
      <c r="O93" s="101">
        <f>IF(TrRoad_act!O15=0,0,O29/TrRoad_act!O15*1000)</f>
        <v>64.999058584670763</v>
      </c>
      <c r="P93" s="101">
        <f>IF(TrRoad_act!P15=0,0,P29/TrRoad_act!P15*1000)</f>
        <v>64.519031548173871</v>
      </c>
      <c r="Q93" s="101">
        <f>IF(TrRoad_act!Q15=0,0,Q29/TrRoad_act!Q15*1000)</f>
        <v>79.343443703791095</v>
      </c>
      <c r="R93" s="101">
        <f>IF(TrRoad_act!R15=0,0,R29/TrRoad_act!R15*1000)</f>
        <v>81.890279508566991</v>
      </c>
      <c r="S93" s="101">
        <f>IF(TrRoad_act!S15=0,0,S29/TrRoad_act!S15*1000)</f>
        <v>81.899999869968482</v>
      </c>
      <c r="T93" s="101">
        <f>IF(TrRoad_act!T15=0,0,T29/TrRoad_act!T15*1000)</f>
        <v>80.61851349545212</v>
      </c>
      <c r="U93" s="101">
        <f>IF(TrRoad_act!U15=0,0,U29/TrRoad_act!U15*1000)</f>
        <v>80.592415183639289</v>
      </c>
      <c r="V93" s="101">
        <f>IF(TrRoad_act!V15=0,0,V29/TrRoad_act!V15*1000)</f>
        <v>150.66310489873959</v>
      </c>
      <c r="W93" s="101">
        <f>IF(TrRoad_act!W15=0,0,W29/TrRoad_act!W15*1000)</f>
        <v>138.83360265839505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34.08088252591557</v>
      </c>
      <c r="C94" s="101">
        <f>IF(TrRoad_act!C16=0,0,C30/TrRoad_act!C16*1000)</f>
        <v>35.632096237909053</v>
      </c>
      <c r="D94" s="101">
        <f>IF(TrRoad_act!D16=0,0,D30/TrRoad_act!D16*1000)</f>
        <v>37.585112918068965</v>
      </c>
      <c r="E94" s="101">
        <f>IF(TrRoad_act!E16=0,0,E30/TrRoad_act!E16*1000)</f>
        <v>36.725629782038816</v>
      </c>
      <c r="F94" s="101">
        <f>IF(TrRoad_act!F16=0,0,F30/TrRoad_act!F16*1000)</f>
        <v>37.692945795010075</v>
      </c>
      <c r="G94" s="101">
        <f>IF(TrRoad_act!G16=0,0,G30/TrRoad_act!G16*1000)</f>
        <v>38.890938633176219</v>
      </c>
      <c r="H94" s="101">
        <f>IF(TrRoad_act!H16=0,0,H30/TrRoad_act!H16*1000)</f>
        <v>37.881840727636614</v>
      </c>
      <c r="I94" s="101">
        <f>IF(TrRoad_act!I16=0,0,I30/TrRoad_act!I16*1000)</f>
        <v>39.310513389924132</v>
      </c>
      <c r="J94" s="101">
        <f>IF(TrRoad_act!J16=0,0,J30/TrRoad_act!J16*1000)</f>
        <v>38.60886779006325</v>
      </c>
      <c r="K94" s="101">
        <f>IF(TrRoad_act!K16=0,0,K30/TrRoad_act!K16*1000)</f>
        <v>42.298251703808972</v>
      </c>
      <c r="L94" s="101">
        <f>IF(TrRoad_act!L16=0,0,L30/TrRoad_act!L16*1000)</f>
        <v>44.251554189131141</v>
      </c>
      <c r="M94" s="101">
        <f>IF(TrRoad_act!M16=0,0,M30/TrRoad_act!M16*1000)</f>
        <v>46.416765192973905</v>
      </c>
      <c r="N94" s="101">
        <f>IF(TrRoad_act!N16=0,0,N30/TrRoad_act!N16*1000)</f>
        <v>46.095253803962464</v>
      </c>
      <c r="O94" s="101">
        <f>IF(TrRoad_act!O16=0,0,O30/TrRoad_act!O16*1000)</f>
        <v>48.292613903039239</v>
      </c>
      <c r="P94" s="101">
        <f>IF(TrRoad_act!P16=0,0,P30/TrRoad_act!P16*1000)</f>
        <v>47.423867747343479</v>
      </c>
      <c r="Q94" s="101">
        <f>IF(TrRoad_act!Q16=0,0,Q30/TrRoad_act!Q16*1000)</f>
        <v>57.058174728037251</v>
      </c>
      <c r="R94" s="101">
        <f>IF(TrRoad_act!R16=0,0,R30/TrRoad_act!R16*1000)</f>
        <v>57.079513376774884</v>
      </c>
      <c r="S94" s="101">
        <f>IF(TrRoad_act!S16=0,0,S30/TrRoad_act!S16*1000)</f>
        <v>57.137838369328222</v>
      </c>
      <c r="T94" s="101">
        <f>IF(TrRoad_act!T16=0,0,T30/TrRoad_act!T16*1000)</f>
        <v>58.013235398342296</v>
      </c>
      <c r="U94" s="101">
        <f>IF(TrRoad_act!U16=0,0,U30/TrRoad_act!U16*1000)</f>
        <v>58.164833643190264</v>
      </c>
      <c r="V94" s="101">
        <f>IF(TrRoad_act!V16=0,0,V30/TrRoad_act!V16*1000)</f>
        <v>108.7416472826952</v>
      </c>
      <c r="W94" s="101">
        <f>IF(TrRoad_act!W16=0,0,W30/TrRoad_act!W16*1000)</f>
        <v>99.899374075568232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54.14278269859085</v>
      </c>
      <c r="R95" s="101">
        <f>IF(TrRoad_act!R17=0,0,R31/TrRoad_act!R17*1000)</f>
        <v>50.455807059096465</v>
      </c>
      <c r="S95" s="101">
        <f>IF(TrRoad_act!S17=0,0,S31/TrRoad_act!S17*1000)</f>
        <v>40.26933852650123</v>
      </c>
      <c r="T95" s="101">
        <f>IF(TrRoad_act!T17=0,0,T31/TrRoad_act!T17*1000)</f>
        <v>42.580691212943591</v>
      </c>
      <c r="U95" s="101">
        <f>IF(TrRoad_act!U17=0,0,U31/TrRoad_act!U17*1000)</f>
        <v>42.965066630865579</v>
      </c>
      <c r="V95" s="101">
        <f>IF(TrRoad_act!V17=0,0,V31/TrRoad_act!V17*1000)</f>
        <v>74.366291399749045</v>
      </c>
      <c r="W95" s="101">
        <f>IF(TrRoad_act!W17=0,0,W31/TrRoad_act!W17*1000)</f>
        <v>84.172762281525607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114.26476869470551</v>
      </c>
      <c r="C97" s="29">
        <f>IF(TrRoad_act!C19=0,0,C33/TrRoad_act!C19*1000)</f>
        <v>116.11299568857726</v>
      </c>
      <c r="D97" s="29">
        <f>IF(TrRoad_act!D19=0,0,D33/TrRoad_act!D19*1000)</f>
        <v>104.39717570373139</v>
      </c>
      <c r="E97" s="29">
        <f>IF(TrRoad_act!E19=0,0,E33/TrRoad_act!E19*1000)</f>
        <v>121.31235555839763</v>
      </c>
      <c r="F97" s="29">
        <f>IF(TrRoad_act!F19=0,0,F33/TrRoad_act!F19*1000)</f>
        <v>127.68271326257558</v>
      </c>
      <c r="G97" s="29">
        <f>IF(TrRoad_act!G19=0,0,G33/TrRoad_act!G19*1000)</f>
        <v>149.2265794184315</v>
      </c>
      <c r="H97" s="29">
        <f>IF(TrRoad_act!H19=0,0,H33/TrRoad_act!H19*1000)</f>
        <v>158.63827934337672</v>
      </c>
      <c r="I97" s="29">
        <f>IF(TrRoad_act!I19=0,0,I33/TrRoad_act!I19*1000)</f>
        <v>171.24255408609193</v>
      </c>
      <c r="J97" s="29">
        <f>IF(TrRoad_act!J19=0,0,J33/TrRoad_act!J19*1000)</f>
        <v>167.62818891570245</v>
      </c>
      <c r="K97" s="29">
        <f>IF(TrRoad_act!K19=0,0,K33/TrRoad_act!K19*1000)</f>
        <v>157.46673416622971</v>
      </c>
      <c r="L97" s="29">
        <f>IF(TrRoad_act!L19=0,0,L33/TrRoad_act!L19*1000)</f>
        <v>156.9023403129182</v>
      </c>
      <c r="M97" s="29">
        <f>IF(TrRoad_act!M19=0,0,M33/TrRoad_act!M19*1000)</f>
        <v>147.39796536917697</v>
      </c>
      <c r="N97" s="29">
        <f>IF(TrRoad_act!N19=0,0,N33/TrRoad_act!N19*1000)</f>
        <v>131.12915371232981</v>
      </c>
      <c r="O97" s="29">
        <f>IF(TrRoad_act!O19=0,0,O33/TrRoad_act!O19*1000)</f>
        <v>107.55793439306817</v>
      </c>
      <c r="P97" s="29">
        <f>IF(TrRoad_act!P19=0,0,P33/TrRoad_act!P19*1000)</f>
        <v>112.3942365673085</v>
      </c>
      <c r="Q97" s="29">
        <f>IF(TrRoad_act!Q19=0,0,Q33/TrRoad_act!Q19*1000)</f>
        <v>110.62954364905197</v>
      </c>
      <c r="R97" s="29">
        <f>IF(TrRoad_act!R19=0,0,R33/TrRoad_act!R19*1000)</f>
        <v>130.96021311262206</v>
      </c>
      <c r="S97" s="29">
        <f>IF(TrRoad_act!S19=0,0,S33/TrRoad_act!S19*1000)</f>
        <v>144.40649190476779</v>
      </c>
      <c r="T97" s="29">
        <f>IF(TrRoad_act!T19=0,0,T33/TrRoad_act!T19*1000)</f>
        <v>155.56587852852033</v>
      </c>
      <c r="U97" s="29">
        <f>IF(TrRoad_act!U19=0,0,U33/TrRoad_act!U19*1000)</f>
        <v>146.4481953579315</v>
      </c>
      <c r="V97" s="29">
        <f>IF(TrRoad_act!V19=0,0,V33/TrRoad_act!V19*1000)</f>
        <v>137.22359062026436</v>
      </c>
      <c r="W97" s="29">
        <f>IF(TrRoad_act!W19=0,0,W33/TrRoad_act!W19*1000)</f>
        <v>153.49961349657951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1490.7695561191058</v>
      </c>
      <c r="C98" s="152">
        <f>IF(TrRoad_act!C20=0,0,C34/TrRoad_act!C20*1000)</f>
        <v>1444.6426258664703</v>
      </c>
      <c r="D98" s="152">
        <f>IF(TrRoad_act!D20=0,0,D34/TrRoad_act!D20*1000)</f>
        <v>1416.4286931732659</v>
      </c>
      <c r="E98" s="152">
        <f>IF(TrRoad_act!E20=0,0,E34/TrRoad_act!E20*1000)</f>
        <v>1394.6374642886169</v>
      </c>
      <c r="F98" s="152">
        <f>IF(TrRoad_act!F20=0,0,F34/TrRoad_act!F20*1000)</f>
        <v>1375.6598424185165</v>
      </c>
      <c r="G98" s="152">
        <f>IF(TrRoad_act!G20=0,0,G34/TrRoad_act!G20*1000)</f>
        <v>1345.5310305133191</v>
      </c>
      <c r="H98" s="152">
        <f>IF(TrRoad_act!H20=0,0,H34/TrRoad_act!H20*1000)</f>
        <v>1329.9632866527422</v>
      </c>
      <c r="I98" s="152">
        <f>IF(TrRoad_act!I20=0,0,I34/TrRoad_act!I20*1000)</f>
        <v>1312.2888209141076</v>
      </c>
      <c r="J98" s="152">
        <f>IF(TrRoad_act!J20=0,0,J34/TrRoad_act!J20*1000)</f>
        <v>1260.7720522817554</v>
      </c>
      <c r="K98" s="152">
        <f>IF(TrRoad_act!K20=0,0,K34/TrRoad_act!K20*1000)</f>
        <v>1235.8712993918984</v>
      </c>
      <c r="L98" s="152">
        <f>IF(TrRoad_act!L20=0,0,L34/TrRoad_act!L20*1000)</f>
        <v>1207.2900175185307</v>
      </c>
      <c r="M98" s="152">
        <f>IF(TrRoad_act!M20=0,0,M34/TrRoad_act!M20*1000)</f>
        <v>1199.4962208404397</v>
      </c>
      <c r="N98" s="152">
        <f>IF(TrRoad_act!N20=0,0,N34/TrRoad_act!N20*1000)</f>
        <v>1195.8855512509199</v>
      </c>
      <c r="O98" s="152">
        <f>IF(TrRoad_act!O20=0,0,O34/TrRoad_act!O20*1000)</f>
        <v>1184.2960068863015</v>
      </c>
      <c r="P98" s="152">
        <f>IF(TrRoad_act!P20=0,0,P34/TrRoad_act!P20*1000)</f>
        <v>1180.968870825184</v>
      </c>
      <c r="Q98" s="152">
        <f>IF(TrRoad_act!Q20=0,0,Q34/TrRoad_act!Q20*1000)</f>
        <v>1179.5022640942475</v>
      </c>
      <c r="R98" s="152">
        <f>IF(TrRoad_act!R20=0,0,R34/TrRoad_act!R20*1000)</f>
        <v>1200.4364199849415</v>
      </c>
      <c r="S98" s="152">
        <f>IF(TrRoad_act!S20=0,0,S34/TrRoad_act!S20*1000)</f>
        <v>1189.2557309591914</v>
      </c>
      <c r="T98" s="152">
        <f>IF(TrRoad_act!T20=0,0,T34/TrRoad_act!T20*1000)</f>
        <v>1167.1231214815939</v>
      </c>
      <c r="U98" s="152">
        <f>IF(TrRoad_act!U20=0,0,U34/TrRoad_act!U20*1000)</f>
        <v>1150.5825694343748</v>
      </c>
      <c r="V98" s="152">
        <f>IF(TrRoad_act!V20=0,0,V34/TrRoad_act!V20*1000)</f>
        <v>1141.4377262732246</v>
      </c>
      <c r="W98" s="152">
        <f>IF(TrRoad_act!W20=0,0,W34/TrRoad_act!W20*1000)</f>
        <v>1138.2467002896835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1514.7349640685138</v>
      </c>
      <c r="C99" s="87">
        <f>IF(TrRoad_act!C21=0,0,C35/TrRoad_act!C21*1000)</f>
        <v>1492.9050693843371</v>
      </c>
      <c r="D99" s="87">
        <f>IF(TrRoad_act!D21=0,0,D35/TrRoad_act!D21*1000)</f>
        <v>1482.8987854034299</v>
      </c>
      <c r="E99" s="87">
        <f>IF(TrRoad_act!E21=0,0,E35/TrRoad_act!E21*1000)</f>
        <v>1459.1770295860517</v>
      </c>
      <c r="F99" s="87">
        <f>IF(TrRoad_act!F21=0,0,F35/TrRoad_act!F21*1000)</f>
        <v>1448.5848294551838</v>
      </c>
      <c r="G99" s="87">
        <f>IF(TrRoad_act!G21=0,0,G35/TrRoad_act!G21*1000)</f>
        <v>1420.5997513344835</v>
      </c>
      <c r="H99" s="87">
        <f>IF(TrRoad_act!H21=0,0,H35/TrRoad_act!H21*1000)</f>
        <v>1400.7257124358216</v>
      </c>
      <c r="I99" s="87">
        <f>IF(TrRoad_act!I21=0,0,I35/TrRoad_act!I21*1000)</f>
        <v>1370.0268710923494</v>
      </c>
      <c r="J99" s="87">
        <f>IF(TrRoad_act!J21=0,0,J35/TrRoad_act!J21*1000)</f>
        <v>1317.9861144046251</v>
      </c>
      <c r="K99" s="87">
        <f>IF(TrRoad_act!K21=0,0,K35/TrRoad_act!K21*1000)</f>
        <v>1309.6437054744072</v>
      </c>
      <c r="L99" s="87">
        <f>IF(TrRoad_act!L21=0,0,L35/TrRoad_act!L21*1000)</f>
        <v>1277.139472848412</v>
      </c>
      <c r="M99" s="87">
        <f>IF(TrRoad_act!M21=0,0,M35/TrRoad_act!M21*1000)</f>
        <v>1254.7630212707295</v>
      </c>
      <c r="N99" s="87">
        <f>IF(TrRoad_act!N21=0,0,N35/TrRoad_act!N21*1000)</f>
        <v>1241.9249188191422</v>
      </c>
      <c r="O99" s="87">
        <f>IF(TrRoad_act!O21=0,0,O35/TrRoad_act!O21*1000)</f>
        <v>1207.8137681993678</v>
      </c>
      <c r="P99" s="87">
        <f>IF(TrRoad_act!P21=0,0,P35/TrRoad_act!P21*1000)</f>
        <v>1187.6051429095389</v>
      </c>
      <c r="Q99" s="87">
        <f>IF(TrRoad_act!Q21=0,0,Q35/TrRoad_act!Q21*1000)</f>
        <v>1146.35656339463</v>
      </c>
      <c r="R99" s="87">
        <f>IF(TrRoad_act!R21=0,0,R35/TrRoad_act!R21*1000)</f>
        <v>1140.8215607112102</v>
      </c>
      <c r="S99" s="87">
        <f>IF(TrRoad_act!S21=0,0,S35/TrRoad_act!S21*1000)</f>
        <v>1132.8095156673764</v>
      </c>
      <c r="T99" s="87">
        <f>IF(TrRoad_act!T21=0,0,T35/TrRoad_act!T21*1000)</f>
        <v>1126.3574114729136</v>
      </c>
      <c r="U99" s="87">
        <f>IF(TrRoad_act!U21=0,0,U35/TrRoad_act!U21*1000)</f>
        <v>1127.4567527613674</v>
      </c>
      <c r="V99" s="87">
        <f>IF(TrRoad_act!V21=0,0,V35/TrRoad_act!V21*1000)</f>
        <v>1103.1702618351669</v>
      </c>
      <c r="W99" s="87">
        <f>IF(TrRoad_act!W21=0,0,W35/TrRoad_act!W21*1000)</f>
        <v>1114.558655304055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1462.5783283204046</v>
      </c>
      <c r="C100" s="87">
        <f>IF(TrRoad_act!C22=0,0,C36/TrRoad_act!C22*1000)</f>
        <v>1388.2202437537512</v>
      </c>
      <c r="D100" s="87">
        <f>IF(TrRoad_act!D22=0,0,D36/TrRoad_act!D22*1000)</f>
        <v>1360.1899900092099</v>
      </c>
      <c r="E100" s="87">
        <f>IF(TrRoad_act!E22=0,0,E36/TrRoad_act!E22*1000)</f>
        <v>1345.5478649282591</v>
      </c>
      <c r="F100" s="87">
        <f>IF(TrRoad_act!F22=0,0,F36/TrRoad_act!F22*1000)</f>
        <v>1326.5866055575977</v>
      </c>
      <c r="G100" s="87">
        <f>IF(TrRoad_act!G22=0,0,G36/TrRoad_act!G22*1000)</f>
        <v>1305.0824371303545</v>
      </c>
      <c r="H100" s="87">
        <f>IF(TrRoad_act!H22=0,0,H36/TrRoad_act!H22*1000)</f>
        <v>1298.5833806437761</v>
      </c>
      <c r="I100" s="87">
        <f>IF(TrRoad_act!I22=0,0,I36/TrRoad_act!I22*1000)</f>
        <v>1291.0289717132748</v>
      </c>
      <c r="J100" s="87">
        <f>IF(TrRoad_act!J22=0,0,J36/TrRoad_act!J22*1000)</f>
        <v>1240.6886446041174</v>
      </c>
      <c r="K100" s="87">
        <f>IF(TrRoad_act!K22=0,0,K36/TrRoad_act!K22*1000)</f>
        <v>1210.6990058258405</v>
      </c>
      <c r="L100" s="87">
        <f>IF(TrRoad_act!L22=0,0,L36/TrRoad_act!L22*1000)</f>
        <v>1184.5154575480346</v>
      </c>
      <c r="M100" s="87">
        <f>IF(TrRoad_act!M22=0,0,M36/TrRoad_act!M22*1000)</f>
        <v>1182.7212238546338</v>
      </c>
      <c r="N100" s="87">
        <f>IF(TrRoad_act!N22=0,0,N36/TrRoad_act!N22*1000)</f>
        <v>1182.9171257772844</v>
      </c>
      <c r="O100" s="87">
        <f>IF(TrRoad_act!O22=0,0,O36/TrRoad_act!O22*1000)</f>
        <v>1176.469629067908</v>
      </c>
      <c r="P100" s="87">
        <f>IF(TrRoad_act!P22=0,0,P36/TrRoad_act!P22*1000)</f>
        <v>1176.8270850573244</v>
      </c>
      <c r="Q100" s="87">
        <f>IF(TrRoad_act!Q22=0,0,Q36/TrRoad_act!Q22*1000)</f>
        <v>1181.7485069691991</v>
      </c>
      <c r="R100" s="87">
        <f>IF(TrRoad_act!R22=0,0,R36/TrRoad_act!R22*1000)</f>
        <v>1207.5389334468052</v>
      </c>
      <c r="S100" s="87">
        <f>IF(TrRoad_act!S22=0,0,S36/TrRoad_act!S22*1000)</f>
        <v>1195.671699101121</v>
      </c>
      <c r="T100" s="87">
        <f>IF(TrRoad_act!T22=0,0,T36/TrRoad_act!T22*1000)</f>
        <v>1170.1722227165205</v>
      </c>
      <c r="U100" s="87">
        <f>IF(TrRoad_act!U22=0,0,U36/TrRoad_act!U22*1000)</f>
        <v>1150.5620422489278</v>
      </c>
      <c r="V100" s="87">
        <f>IF(TrRoad_act!V22=0,0,V36/TrRoad_act!V22*1000)</f>
        <v>1143.1087146708414</v>
      </c>
      <c r="W100" s="87">
        <f>IF(TrRoad_act!W22=0,0,W36/TrRoad_act!W22*1000)</f>
        <v>1138.2492302746061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1509.069520141129</v>
      </c>
      <c r="C101" s="87">
        <f>IF(TrRoad_act!C23=0,0,C37/TrRoad_act!C23*1000)</f>
        <v>1468.7338843012851</v>
      </c>
      <c r="D101" s="87">
        <f>IF(TrRoad_act!D23=0,0,D37/TrRoad_act!D23*1000)</f>
        <v>1387.9315445743748</v>
      </c>
      <c r="E101" s="87">
        <f>IF(TrRoad_act!E23=0,0,E37/TrRoad_act!E23*1000)</f>
        <v>1365.7109746540884</v>
      </c>
      <c r="F101" s="87">
        <f>IF(TrRoad_act!F23=0,0,F37/TrRoad_act!F23*1000)</f>
        <v>1356.7241450225604</v>
      </c>
      <c r="G101" s="87">
        <f>IF(TrRoad_act!G23=0,0,G37/TrRoad_act!G23*1000)</f>
        <v>1336.1914494653711</v>
      </c>
      <c r="H101" s="87">
        <f>IF(TrRoad_act!H23=0,0,H37/TrRoad_act!H23*1000)</f>
        <v>1314.0204655048803</v>
      </c>
      <c r="I101" s="87">
        <f>IF(TrRoad_act!I23=0,0,I37/TrRoad_act!I23*1000)</f>
        <v>1299.4275711049304</v>
      </c>
      <c r="J101" s="87">
        <f>IF(TrRoad_act!J23=0,0,J37/TrRoad_act!J23*1000)</f>
        <v>1291.5020107454118</v>
      </c>
      <c r="K101" s="87">
        <f>IF(TrRoad_act!K23=0,0,K37/TrRoad_act!K23*1000)</f>
        <v>1288.0754865830988</v>
      </c>
      <c r="L101" s="87">
        <f>IF(TrRoad_act!L23=0,0,L37/TrRoad_act!L23*1000)</f>
        <v>1284.3982204029501</v>
      </c>
      <c r="M101" s="87">
        <f>IF(TrRoad_act!M23=0,0,M37/TrRoad_act!M23*1000)</f>
        <v>1280.9565347861299</v>
      </c>
      <c r="N101" s="87">
        <f>IF(TrRoad_act!N23=0,0,N37/TrRoad_act!N23*1000)</f>
        <v>1267.1493961010451</v>
      </c>
      <c r="O101" s="87">
        <f>IF(TrRoad_act!O23=0,0,O37/TrRoad_act!O23*1000)</f>
        <v>1262.6050714918806</v>
      </c>
      <c r="P101" s="87">
        <f>IF(TrRoad_act!P23=0,0,P37/TrRoad_act!P23*1000)</f>
        <v>1245.9726631196554</v>
      </c>
      <c r="Q101" s="87">
        <f>IF(TrRoad_act!Q23=0,0,Q37/TrRoad_act!Q23*1000)</f>
        <v>1244.1756391859833</v>
      </c>
      <c r="R101" s="87">
        <f>IF(TrRoad_act!R23=0,0,R37/TrRoad_act!R23*1000)</f>
        <v>1237.9359453458649</v>
      </c>
      <c r="S101" s="87">
        <f>IF(TrRoad_act!S23=0,0,S37/TrRoad_act!S23*1000)</f>
        <v>1234.8140291922691</v>
      </c>
      <c r="T101" s="87">
        <f>IF(TrRoad_act!T23=0,0,T37/TrRoad_act!T23*1000)</f>
        <v>1231.2322015200737</v>
      </c>
      <c r="U101" s="87">
        <f>IF(TrRoad_act!U23=0,0,U37/TrRoad_act!U23*1000)</f>
        <v>1232.8685291892252</v>
      </c>
      <c r="V101" s="87">
        <f>IF(TrRoad_act!V23=0,0,V37/TrRoad_act!V23*1000)</f>
        <v>1227.0329527230435</v>
      </c>
      <c r="W101" s="87">
        <f>IF(TrRoad_act!W23=0,0,W37/TrRoad_act!W23*1000)</f>
        <v>1224.0129789541538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1330.4649801608846</v>
      </c>
      <c r="R102" s="87">
        <f>IF(TrRoad_act!R24=0,0,R38/TrRoad_act!R24*1000)</f>
        <v>1345.0635395629424</v>
      </c>
      <c r="S102" s="87">
        <f>IF(TrRoad_act!S24=0,0,S38/TrRoad_act!S24*1000)</f>
        <v>1341.6624142077364</v>
      </c>
      <c r="T102" s="87">
        <f>IF(TrRoad_act!T24=0,0,T38/TrRoad_act!T24*1000)</f>
        <v>1348.964137199712</v>
      </c>
      <c r="U102" s="87">
        <f>IF(TrRoad_act!U24=0,0,U38/TrRoad_act!U24*1000)</f>
        <v>1340.1674200141013</v>
      </c>
      <c r="V102" s="87">
        <f>IF(TrRoad_act!V24=0,0,V38/TrRoad_act!V24*1000)</f>
        <v>1330.6044073532521</v>
      </c>
      <c r="W102" s="87">
        <f>IF(TrRoad_act!W24=0,0,W38/TrRoad_act!W24*1000)</f>
        <v>1327.6605172878715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34.387087826285246</v>
      </c>
      <c r="C104" s="116">
        <f>IF(TrRoad_act!C26=0,0,C40/TrRoad_act!C26*1000)</f>
        <v>43.093779770139243</v>
      </c>
      <c r="D104" s="116">
        <f>IF(TrRoad_act!D26=0,0,D40/TrRoad_act!D26*1000)</f>
        <v>31.380961573942454</v>
      </c>
      <c r="E104" s="116">
        <f>IF(TrRoad_act!E26=0,0,E40/TrRoad_act!E26*1000)</f>
        <v>50.713508087828359</v>
      </c>
      <c r="F104" s="116">
        <f>IF(TrRoad_act!F26=0,0,F40/TrRoad_act!F26*1000)</f>
        <v>67.310804691111329</v>
      </c>
      <c r="G104" s="116">
        <f>IF(TrRoad_act!G26=0,0,G40/TrRoad_act!G26*1000)</f>
        <v>91.311713462843016</v>
      </c>
      <c r="H104" s="116">
        <f>IF(TrRoad_act!H26=0,0,H40/TrRoad_act!H26*1000)</f>
        <v>101.49455398011236</v>
      </c>
      <c r="I104" s="116">
        <f>IF(TrRoad_act!I26=0,0,I40/TrRoad_act!I26*1000)</f>
        <v>115.62092235111152</v>
      </c>
      <c r="J104" s="116">
        <f>IF(TrRoad_act!J26=0,0,J40/TrRoad_act!J26*1000)</f>
        <v>114.12637155446345</v>
      </c>
      <c r="K104" s="116">
        <f>IF(TrRoad_act!K26=0,0,K40/TrRoad_act!K26*1000)</f>
        <v>104.60383960928998</v>
      </c>
      <c r="L104" s="116">
        <f>IF(TrRoad_act!L26=0,0,L40/TrRoad_act!L26*1000)</f>
        <v>106.05332196831262</v>
      </c>
      <c r="M104" s="116">
        <f>IF(TrRoad_act!M26=0,0,M40/TrRoad_act!M26*1000)</f>
        <v>97.818606547476534</v>
      </c>
      <c r="N104" s="116">
        <f>IF(TrRoad_act!N26=0,0,N40/TrRoad_act!N26*1000)</f>
        <v>81.735073936374988</v>
      </c>
      <c r="O104" s="116">
        <f>IF(TrRoad_act!O26=0,0,O40/TrRoad_act!O26*1000)</f>
        <v>61.005993748819513</v>
      </c>
      <c r="P104" s="116">
        <f>IF(TrRoad_act!P26=0,0,P40/TrRoad_act!P26*1000)</f>
        <v>65.129459368328781</v>
      </c>
      <c r="Q104" s="116">
        <f>IF(TrRoad_act!Q26=0,0,Q40/TrRoad_act!Q26*1000)</f>
        <v>65.568970496965463</v>
      </c>
      <c r="R104" s="116">
        <f>IF(TrRoad_act!R26=0,0,R40/TrRoad_act!R26*1000)</f>
        <v>85.587797122145673</v>
      </c>
      <c r="S104" s="116">
        <f>IF(TrRoad_act!S26=0,0,S40/TrRoad_act!S26*1000)</f>
        <v>103.49403213403247</v>
      </c>
      <c r="T104" s="116">
        <f>IF(TrRoad_act!T26=0,0,T40/TrRoad_act!T26*1000)</f>
        <v>110.71481031356717</v>
      </c>
      <c r="U104" s="116">
        <f>IF(TrRoad_act!U26=0,0,U40/TrRoad_act!U26*1000)</f>
        <v>102.73679207573875</v>
      </c>
      <c r="V104" s="116">
        <f>IF(TrRoad_act!V26=0,0,V40/TrRoad_act!V26*1000)</f>
        <v>93.396584272901293</v>
      </c>
      <c r="W104" s="116">
        <f>IF(TrRoad_act!W26=0,0,W40/TrRoad_act!W26*1000)</f>
        <v>112.41265820269521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36.432839290302745</v>
      </c>
      <c r="C105" s="101">
        <f>IF(TrRoad_act!C27=0,0,C41/TrRoad_act!C27*1000)</f>
        <v>45.957601573355504</v>
      </c>
      <c r="D105" s="101">
        <f>IF(TrRoad_act!D27=0,0,D41/TrRoad_act!D27*1000)</f>
        <v>33.708753553560797</v>
      </c>
      <c r="E105" s="101">
        <f>IF(TrRoad_act!E27=0,0,E41/TrRoad_act!E27*1000)</f>
        <v>54.672523293554192</v>
      </c>
      <c r="F105" s="101">
        <f>IF(TrRoad_act!F27=0,0,F41/TrRoad_act!F27*1000)</f>
        <v>73.399787243915327</v>
      </c>
      <c r="G105" s="101">
        <f>IF(TrRoad_act!G27=0,0,G41/TrRoad_act!G27*1000)</f>
        <v>100.03898173723488</v>
      </c>
      <c r="H105" s="101">
        <f>IF(TrRoad_act!H27=0,0,H41/TrRoad_act!H27*1000)</f>
        <v>113.76804376868513</v>
      </c>
      <c r="I105" s="101">
        <f>IF(TrRoad_act!I27=0,0,I41/TrRoad_act!I27*1000)</f>
        <v>128.10891201400167</v>
      </c>
      <c r="J105" s="101">
        <f>IF(TrRoad_act!J27=0,0,J41/TrRoad_act!J27*1000)</f>
        <v>125.22032938003233</v>
      </c>
      <c r="K105" s="101">
        <f>IF(TrRoad_act!K27=0,0,K41/TrRoad_act!K27*1000)</f>
        <v>113.62938091790996</v>
      </c>
      <c r="L105" s="101">
        <f>IF(TrRoad_act!L27=0,0,L41/TrRoad_act!L27*1000)</f>
        <v>117.74580612847802</v>
      </c>
      <c r="M105" s="101">
        <f>IF(TrRoad_act!M27=0,0,M41/TrRoad_act!M27*1000)</f>
        <v>108.39316664294266</v>
      </c>
      <c r="N105" s="101">
        <f>IF(TrRoad_act!N27=0,0,N41/TrRoad_act!N27*1000)</f>
        <v>90.991677587004489</v>
      </c>
      <c r="O105" s="101">
        <f>IF(TrRoad_act!O27=0,0,O41/TrRoad_act!O27*1000)</f>
        <v>67.069923774091563</v>
      </c>
      <c r="P105" s="101">
        <f>IF(TrRoad_act!P27=0,0,P41/TrRoad_act!P27*1000)</f>
        <v>72.224428226132588</v>
      </c>
      <c r="Q105" s="101">
        <f>IF(TrRoad_act!Q27=0,0,Q41/TrRoad_act!Q27*1000)</f>
        <v>72.029468534396145</v>
      </c>
      <c r="R105" s="101">
        <f>IF(TrRoad_act!R27=0,0,R41/TrRoad_act!R27*1000)</f>
        <v>94.135562361332219</v>
      </c>
      <c r="S105" s="101">
        <f>IF(TrRoad_act!S27=0,0,S41/TrRoad_act!S27*1000)</f>
        <v>113.16752006964143</v>
      </c>
      <c r="T105" s="101">
        <f>IF(TrRoad_act!T27=0,0,T41/TrRoad_act!T27*1000)</f>
        <v>121.00639986962557</v>
      </c>
      <c r="U105" s="101">
        <f>IF(TrRoad_act!U27=0,0,U41/TrRoad_act!U27*1000)</f>
        <v>111.41925768749896</v>
      </c>
      <c r="V105" s="101">
        <f>IF(TrRoad_act!V27=0,0,V41/TrRoad_act!V27*1000)</f>
        <v>100.5266720714681</v>
      </c>
      <c r="W105" s="101">
        <f>IF(TrRoad_act!W27=0,0,W41/TrRoad_act!W27*1000)</f>
        <v>120.6299609655198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29.128972271585191</v>
      </c>
      <c r="C106" s="88">
        <f>IF(TrRoad_act!C28=0,0,C42/TrRoad_act!C28*1000)</f>
        <v>36.078988910319019</v>
      </c>
      <c r="D106" s="88">
        <f>IF(TrRoad_act!D28=0,0,D42/TrRoad_act!D28*1000)</f>
        <v>25.831711008005534</v>
      </c>
      <c r="E106" s="88">
        <f>IF(TrRoad_act!E28=0,0,E42/TrRoad_act!E28*1000)</f>
        <v>40.965381650857331</v>
      </c>
      <c r="F106" s="88">
        <f>IF(TrRoad_act!F28=0,0,F42/TrRoad_act!F28*1000)</f>
        <v>52.97414918285412</v>
      </c>
      <c r="G106" s="88">
        <f>IF(TrRoad_act!G28=0,0,G42/TrRoad_act!G28*1000)</f>
        <v>70.7547720452812</v>
      </c>
      <c r="H106" s="88">
        <f>IF(TrRoad_act!H28=0,0,H42/TrRoad_act!H28*1000)</f>
        <v>78.401206105052964</v>
      </c>
      <c r="I106" s="88">
        <f>IF(TrRoad_act!I28=0,0,I42/TrRoad_act!I28*1000)</f>
        <v>87.841485470007655</v>
      </c>
      <c r="J106" s="88">
        <f>IF(TrRoad_act!J28=0,0,J42/TrRoad_act!J28*1000)</f>
        <v>87.280687939218339</v>
      </c>
      <c r="K106" s="88">
        <f>IF(TrRoad_act!K28=0,0,K42/TrRoad_act!K28*1000)</f>
        <v>79.207227657670018</v>
      </c>
      <c r="L106" s="88">
        <f>IF(TrRoad_act!L28=0,0,L42/TrRoad_act!L28*1000)</f>
        <v>77.777998268821278</v>
      </c>
      <c r="M106" s="88">
        <f>IF(TrRoad_act!M28=0,0,M42/TrRoad_act!M28*1000)</f>
        <v>71.363241930579917</v>
      </c>
      <c r="N106" s="88">
        <f>IF(TrRoad_act!N28=0,0,N42/TrRoad_act!N28*1000)</f>
        <v>60.533761684810514</v>
      </c>
      <c r="O106" s="88">
        <f>IF(TrRoad_act!O28=0,0,O42/TrRoad_act!O28*1000)</f>
        <v>46.247815817712379</v>
      </c>
      <c r="P106" s="88">
        <f>IF(TrRoad_act!P28=0,0,P42/TrRoad_act!P28*1000)</f>
        <v>48.77197366820517</v>
      </c>
      <c r="Q106" s="88">
        <f>IF(TrRoad_act!Q28=0,0,Q42/TrRoad_act!Q28*1000)</f>
        <v>49.738471034839051</v>
      </c>
      <c r="R106" s="88">
        <f>IF(TrRoad_act!R28=0,0,R42/TrRoad_act!R28*1000)</f>
        <v>66.427306679556509</v>
      </c>
      <c r="S106" s="88">
        <f>IF(TrRoad_act!S28=0,0,S42/TrRoad_act!S28*1000)</f>
        <v>81.974270219241731</v>
      </c>
      <c r="T106" s="88">
        <f>IF(TrRoad_act!T28=0,0,T42/TrRoad_act!T28*1000)</f>
        <v>85.724591835734969</v>
      </c>
      <c r="U106" s="88">
        <f>IF(TrRoad_act!U28=0,0,U42/TrRoad_act!U28*1000)</f>
        <v>83.438382159202291</v>
      </c>
      <c r="V106" s="88">
        <f>IF(TrRoad_act!V28=0,0,V42/TrRoad_act!V28*1000)</f>
        <v>76.194597968183217</v>
      </c>
      <c r="W106" s="88">
        <f>IF(TrRoad_act!W28=0,0,W42/TrRoad_act!W28*1000)</f>
        <v>92.301537380981173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375.21928334816789</v>
      </c>
      <c r="C110" s="152">
        <f>IF(C19=0,0,1000000*C19/TrRoad_act!C59)</f>
        <v>334.17106667518829</v>
      </c>
      <c r="D110" s="152">
        <f>IF(D19=0,0,1000000*D19/TrRoad_act!D59)</f>
        <v>290.06626546801459</v>
      </c>
      <c r="E110" s="152">
        <f>IF(E19=0,0,1000000*E19/TrRoad_act!E59)</f>
        <v>272.67136570375442</v>
      </c>
      <c r="F110" s="152">
        <f>IF(F19=0,0,1000000*F19/TrRoad_act!F59)</f>
        <v>263.10203402062865</v>
      </c>
      <c r="G110" s="152">
        <f>IF(G19=0,0,1000000*G19/TrRoad_act!G59)</f>
        <v>205.09836805746579</v>
      </c>
      <c r="H110" s="152">
        <f>IF(H19=0,0,1000000*H19/TrRoad_act!H59)</f>
        <v>196.25722599665554</v>
      </c>
      <c r="I110" s="152">
        <f>IF(I19=0,0,1000000*I19/TrRoad_act!I59)</f>
        <v>183.97094042841081</v>
      </c>
      <c r="J110" s="152">
        <f>IF(J19=0,0,1000000*J19/TrRoad_act!J59)</f>
        <v>158.17749321072503</v>
      </c>
      <c r="K110" s="152">
        <f>IF(K19=0,0,1000000*K19/TrRoad_act!K59)</f>
        <v>142.99544273906156</v>
      </c>
      <c r="L110" s="152">
        <f>IF(L19=0,0,1000000*L19/TrRoad_act!L59)</f>
        <v>141.86754487321289</v>
      </c>
      <c r="M110" s="152">
        <f>IF(M19=0,0,1000000*M19/TrRoad_act!M59)</f>
        <v>128.32294037894829</v>
      </c>
      <c r="N110" s="152">
        <f>IF(N19=0,0,1000000*N19/TrRoad_act!N59)</f>
        <v>122.20614158969445</v>
      </c>
      <c r="O110" s="152">
        <f>IF(O19=0,0,1000000*O19/TrRoad_act!O59)</f>
        <v>112.01174565789491</v>
      </c>
      <c r="P110" s="152">
        <f>IF(P19=0,0,1000000*P19/TrRoad_act!P59)</f>
        <v>108.14704606261596</v>
      </c>
      <c r="Q110" s="152">
        <f>IF(Q19=0,0,1000000*Q19/TrRoad_act!Q59)</f>
        <v>105.54854308295815</v>
      </c>
      <c r="R110" s="152">
        <f>IF(R19=0,0,1000000*R19/TrRoad_act!R59)</f>
        <v>106.5038455019143</v>
      </c>
      <c r="S110" s="152">
        <f>IF(S19=0,0,1000000*S19/TrRoad_act!S59)</f>
        <v>96.46144724375543</v>
      </c>
      <c r="T110" s="152">
        <f>IF(T19=0,0,1000000*T19/TrRoad_act!T59)</f>
        <v>89.08353548517276</v>
      </c>
      <c r="U110" s="152">
        <f>IF(U19=0,0,1000000*U19/TrRoad_act!U59)</f>
        <v>91.045967001550466</v>
      </c>
      <c r="V110" s="152">
        <f>IF(V19=0,0,1000000*V19/TrRoad_act!V59)</f>
        <v>78.678673712579226</v>
      </c>
      <c r="W110" s="152">
        <f>IF(W19=0,0,1000000*W19/TrRoad_act!W59)</f>
        <v>75.628840492372532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1509.680251503383</v>
      </c>
      <c r="C111" s="116">
        <f>IF(C20=0,0,1000000*C20/TrRoad_act!C60)</f>
        <v>1340.8573620947375</v>
      </c>
      <c r="D111" s="116">
        <f>IF(D20=0,0,1000000*D20/TrRoad_act!D60)</f>
        <v>1270.5232367043318</v>
      </c>
      <c r="E111" s="116">
        <f>IF(E20=0,0,1000000*E20/TrRoad_act!E60)</f>
        <v>1303.8712463648121</v>
      </c>
      <c r="F111" s="116">
        <f>IF(F20=0,0,1000000*F20/TrRoad_act!F60)</f>
        <v>1439.3543565779971</v>
      </c>
      <c r="G111" s="116">
        <f>IF(G20=0,0,1000000*G20/TrRoad_act!G60)</f>
        <v>1400.4828321984357</v>
      </c>
      <c r="H111" s="116">
        <f>IF(H20=0,0,1000000*H20/TrRoad_act!H60)</f>
        <v>1457.2883053294722</v>
      </c>
      <c r="I111" s="116">
        <f>IF(I20=0,0,1000000*I20/TrRoad_act!I60)</f>
        <v>1483.7990779404342</v>
      </c>
      <c r="J111" s="116">
        <f>IF(J20=0,0,1000000*J20/TrRoad_act!J60)</f>
        <v>1428.6880817427432</v>
      </c>
      <c r="K111" s="116">
        <f>IF(K20=0,0,1000000*K20/TrRoad_act!K60)</f>
        <v>1450.799463709764</v>
      </c>
      <c r="L111" s="116">
        <f>IF(L20=0,0,1000000*L20/TrRoad_act!L60)</f>
        <v>1461.1462624817527</v>
      </c>
      <c r="M111" s="116">
        <f>IF(M20=0,0,1000000*M20/TrRoad_act!M60)</f>
        <v>1406.6336008988949</v>
      </c>
      <c r="N111" s="116">
        <f>IF(N20=0,0,1000000*N20/TrRoad_act!N60)</f>
        <v>1354.341988639708</v>
      </c>
      <c r="O111" s="116">
        <f>IF(O20=0,0,1000000*O20/TrRoad_act!O60)</f>
        <v>1240.8215795848848</v>
      </c>
      <c r="P111" s="116">
        <f>IF(P20=0,0,1000000*P20/TrRoad_act!P60)</f>
        <v>1200.2822214004311</v>
      </c>
      <c r="Q111" s="116">
        <f>IF(Q20=0,0,1000000*Q20/TrRoad_act!Q60)</f>
        <v>1224.1925939824444</v>
      </c>
      <c r="R111" s="116">
        <f>IF(R20=0,0,1000000*R20/TrRoad_act!R60)</f>
        <v>1284.3552825860413</v>
      </c>
      <c r="S111" s="116">
        <f>IF(S20=0,0,1000000*S20/TrRoad_act!S60)</f>
        <v>1384.2322673287795</v>
      </c>
      <c r="T111" s="116">
        <f>IF(T20=0,0,1000000*T20/TrRoad_act!T60)</f>
        <v>1398.185704612634</v>
      </c>
      <c r="U111" s="116">
        <f>IF(U20=0,0,1000000*U20/TrRoad_act!U60)</f>
        <v>1377.9630475622046</v>
      </c>
      <c r="V111" s="116">
        <f>IF(V20=0,0,1000000*V20/TrRoad_act!V60)</f>
        <v>1284.267927435558</v>
      </c>
      <c r="W111" s="116">
        <f>IF(W20=0,0,1000000*W20/TrRoad_act!W60)</f>
        <v>1240.5172629916192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1464.4204162285098</v>
      </c>
      <c r="C112" s="87">
        <f>IF(C21=0,0,1000000*C21/TrRoad_act!C61)</f>
        <v>1251.9221090022922</v>
      </c>
      <c r="D112" s="87">
        <f>IF(D21=0,0,1000000*D21/TrRoad_act!D61)</f>
        <v>1161.6514494145679</v>
      </c>
      <c r="E112" s="87">
        <f>IF(E21=0,0,1000000*E21/TrRoad_act!E61)</f>
        <v>1142.980630157301</v>
      </c>
      <c r="F112" s="87">
        <f>IF(F21=0,0,1000000*F21/TrRoad_act!F61)</f>
        <v>1220.2837872462821</v>
      </c>
      <c r="G112" s="87">
        <f>IF(G21=0,0,1000000*G21/TrRoad_act!G61)</f>
        <v>1141.2247217545471</v>
      </c>
      <c r="H112" s="87">
        <f>IF(H21=0,0,1000000*H21/TrRoad_act!H61)</f>
        <v>1131.482482958846</v>
      </c>
      <c r="I112" s="87">
        <f>IF(I21=0,0,1000000*I21/TrRoad_act!I61)</f>
        <v>1089.615453969016</v>
      </c>
      <c r="J112" s="87">
        <f>IF(J21=0,0,1000000*J21/TrRoad_act!J61)</f>
        <v>1023.7620541353663</v>
      </c>
      <c r="K112" s="87">
        <f>IF(K21=0,0,1000000*K21/TrRoad_act!K61)</f>
        <v>1056.9951670638297</v>
      </c>
      <c r="L112" s="87">
        <f>IF(L21=0,0,1000000*L21/TrRoad_act!L61)</f>
        <v>1032.4089582818103</v>
      </c>
      <c r="M112" s="87">
        <f>IF(M21=0,0,1000000*M21/TrRoad_act!M61)</f>
        <v>937.34699779150901</v>
      </c>
      <c r="N112" s="87">
        <f>IF(N21=0,0,1000000*N21/TrRoad_act!N61)</f>
        <v>870.72668054214955</v>
      </c>
      <c r="O112" s="87">
        <f>IF(O21=0,0,1000000*O21/TrRoad_act!O61)</f>
        <v>823.01951866454556</v>
      </c>
      <c r="P112" s="87">
        <f>IF(P21=0,0,1000000*P21/TrRoad_act!P61)</f>
        <v>789.86283705358505</v>
      </c>
      <c r="Q112" s="87">
        <f>IF(Q21=0,0,1000000*Q21/TrRoad_act!Q61)</f>
        <v>807.47381465201113</v>
      </c>
      <c r="R112" s="87">
        <f>IF(R21=0,0,1000000*R21/TrRoad_act!R61)</f>
        <v>839.05345442970918</v>
      </c>
      <c r="S112" s="87">
        <f>IF(S21=0,0,1000000*S21/TrRoad_act!S61)</f>
        <v>886.75707387409193</v>
      </c>
      <c r="T112" s="87">
        <f>IF(T21=0,0,1000000*T21/TrRoad_act!T61)</f>
        <v>909.71495912696741</v>
      </c>
      <c r="U112" s="87">
        <f>IF(U21=0,0,1000000*U21/TrRoad_act!U61)</f>
        <v>905.88925255837535</v>
      </c>
      <c r="V112" s="87">
        <f>IF(V21=0,0,1000000*V21/TrRoad_act!V61)</f>
        <v>821.0233738504827</v>
      </c>
      <c r="W112" s="87">
        <f>IF(W21=0,0,1000000*W21/TrRoad_act!W61)</f>
        <v>887.21552046829879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1618.1977508358266</v>
      </c>
      <c r="C113" s="87">
        <f>IF(C22=0,0,1000000*C22/TrRoad_act!C62)</f>
        <v>1735.1120104231968</v>
      </c>
      <c r="D113" s="87">
        <f>IF(D22=0,0,1000000*D22/TrRoad_act!D62)</f>
        <v>1694.4932093208884</v>
      </c>
      <c r="E113" s="87">
        <f>IF(E22=0,0,1000000*E22/TrRoad_act!E62)</f>
        <v>1999.697844994939</v>
      </c>
      <c r="F113" s="87">
        <f>IF(F22=0,0,1000000*F22/TrRoad_act!F62)</f>
        <v>2277.9450375379402</v>
      </c>
      <c r="G113" s="87">
        <f>IF(G22=0,0,1000000*G22/TrRoad_act!G62)</f>
        <v>2577.5733528882488</v>
      </c>
      <c r="H113" s="87">
        <f>IF(H22=0,0,1000000*H22/TrRoad_act!H62)</f>
        <v>2817.6439223215471</v>
      </c>
      <c r="I113" s="87">
        <f>IF(I22=0,0,1000000*I22/TrRoad_act!I62)</f>
        <v>2977.7973639925044</v>
      </c>
      <c r="J113" s="87">
        <f>IF(J22=0,0,1000000*J22/TrRoad_act!J62)</f>
        <v>2720.0377665562582</v>
      </c>
      <c r="K113" s="87">
        <f>IF(K22=0,0,1000000*K22/TrRoad_act!K62)</f>
        <v>2683.8851552712426</v>
      </c>
      <c r="L113" s="87">
        <f>IF(L22=0,0,1000000*L22/TrRoad_act!L62)</f>
        <v>2683.8568134190709</v>
      </c>
      <c r="M113" s="87">
        <f>IF(M22=0,0,1000000*M22/TrRoad_act!M62)</f>
        <v>2525.3540742631794</v>
      </c>
      <c r="N113" s="87">
        <f>IF(N22=0,0,1000000*N22/TrRoad_act!N62)</f>
        <v>2307.791175509195</v>
      </c>
      <c r="O113" s="87">
        <f>IF(O22=0,0,1000000*O22/TrRoad_act!O62)</f>
        <v>1959.6990835748377</v>
      </c>
      <c r="P113" s="87">
        <f>IF(P22=0,0,1000000*P22/TrRoad_act!P62)</f>
        <v>1852.5934456219236</v>
      </c>
      <c r="Q113" s="87">
        <f>IF(Q22=0,0,1000000*Q22/TrRoad_act!Q62)</f>
        <v>1892.7763347549912</v>
      </c>
      <c r="R113" s="87">
        <f>IF(R22=0,0,1000000*R22/TrRoad_act!R62)</f>
        <v>1967.1701461039752</v>
      </c>
      <c r="S113" s="87">
        <f>IF(S22=0,0,1000000*S22/TrRoad_act!S62)</f>
        <v>2148.3503313373012</v>
      </c>
      <c r="T113" s="87">
        <f>IF(T22=0,0,1000000*T22/TrRoad_act!T62)</f>
        <v>2162.738884386285</v>
      </c>
      <c r="U113" s="87">
        <f>IF(U22=0,0,1000000*U22/TrRoad_act!U62)</f>
        <v>2080.1208006284319</v>
      </c>
      <c r="V113" s="87">
        <f>IF(V22=0,0,1000000*V22/TrRoad_act!V62)</f>
        <v>1999.7092847426238</v>
      </c>
      <c r="W113" s="87">
        <f>IF(W22=0,0,1000000*W22/TrRoad_act!W62)</f>
        <v>1729.8006648111584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1885.6025095547943</v>
      </c>
      <c r="C114" s="87">
        <f>IF(C23=0,0,1000000*C23/TrRoad_act!C63)</f>
        <v>1603.0069720902661</v>
      </c>
      <c r="D114" s="87">
        <f>IF(D23=0,0,1000000*D23/TrRoad_act!D63)</f>
        <v>1528.2048751307796</v>
      </c>
      <c r="E114" s="87">
        <f>IF(E23=0,0,1000000*E23/TrRoad_act!E63)</f>
        <v>1494.1020691187828</v>
      </c>
      <c r="F114" s="87">
        <f>IF(F23=0,0,1000000*F23/TrRoad_act!F63)</f>
        <v>1670.16680969095</v>
      </c>
      <c r="G114" s="87">
        <f>IF(G23=0,0,1000000*G23/TrRoad_act!G63)</f>
        <v>1733.3548784493412</v>
      </c>
      <c r="H114" s="87">
        <f>IF(H23=0,0,1000000*H23/TrRoad_act!H63)</f>
        <v>1768.9215010175612</v>
      </c>
      <c r="I114" s="87">
        <f>IF(I23=0,0,1000000*I23/TrRoad_act!I63)</f>
        <v>1708.3508669694495</v>
      </c>
      <c r="J114" s="87">
        <f>IF(J23=0,0,1000000*J23/TrRoad_act!J63)</f>
        <v>1593.3555081908223</v>
      </c>
      <c r="K114" s="87">
        <f>IF(K23=0,0,1000000*K23/TrRoad_act!K63)</f>
        <v>1431.3829103822222</v>
      </c>
      <c r="L114" s="87">
        <f>IF(L23=0,0,1000000*L23/TrRoad_act!L63)</f>
        <v>1393.6428732524814</v>
      </c>
      <c r="M114" s="87">
        <f>IF(M23=0,0,1000000*M23/TrRoad_act!M63)</f>
        <v>1438.9557561501963</v>
      </c>
      <c r="N114" s="87">
        <f>IF(N23=0,0,1000000*N23/TrRoad_act!N63)</f>
        <v>1585.6579371972784</v>
      </c>
      <c r="O114" s="87">
        <f>IF(O23=0,0,1000000*O23/TrRoad_act!O63)</f>
        <v>1523.9575087848657</v>
      </c>
      <c r="P114" s="87">
        <f>IF(P23=0,0,1000000*P23/TrRoad_act!P63)</f>
        <v>1498.2600026340904</v>
      </c>
      <c r="Q114" s="87">
        <f>IF(Q23=0,0,1000000*Q23/TrRoad_act!Q63)</f>
        <v>1487.0021496890829</v>
      </c>
      <c r="R114" s="87">
        <f>IF(R23=0,0,1000000*R23/TrRoad_act!R63)</f>
        <v>1527.3967870462309</v>
      </c>
      <c r="S114" s="87">
        <f>IF(S23=0,0,1000000*S23/TrRoad_act!S63)</f>
        <v>1653.5223902742234</v>
      </c>
      <c r="T114" s="87">
        <f>IF(T23=0,0,1000000*T23/TrRoad_act!T63)</f>
        <v>1549.5566144297604</v>
      </c>
      <c r="U114" s="87">
        <f>IF(U23=0,0,1000000*U23/TrRoad_act!U63)</f>
        <v>1596.5334539469636</v>
      </c>
      <c r="V114" s="87">
        <f>IF(V23=0,0,1000000*V23/TrRoad_act!V63)</f>
        <v>1421.5949541811203</v>
      </c>
      <c r="W114" s="87">
        <f>IF(W23=0,0,1000000*W23/TrRoad_act!W63)</f>
        <v>1488.6248970946556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1101.2213713523433</v>
      </c>
      <c r="R115" s="87">
        <f>IF(R24=0,0,1000000*R24/TrRoad_act!R64)</f>
        <v>1080.4027984921925</v>
      </c>
      <c r="S115" s="87">
        <f>IF(S24=0,0,1000000*S24/TrRoad_act!S64)</f>
        <v>1205.9837484156526</v>
      </c>
      <c r="T115" s="87">
        <f>IF(T24=0,0,1000000*T24/TrRoad_act!T64)</f>
        <v>1256.3903957800185</v>
      </c>
      <c r="U115" s="87">
        <f>IF(U24=0,0,1000000*U24/TrRoad_act!U64)</f>
        <v>1263.908810765307</v>
      </c>
      <c r="V115" s="87">
        <f>IF(V24=0,0,1000000*V24/TrRoad_act!V64)</f>
        <v>1208.0824689724168</v>
      </c>
      <c r="W115" s="87">
        <f>IF(W24=0,0,1000000*W24/TrRoad_act!W64)</f>
        <v>1181.2970871213911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390.120784295372</v>
      </c>
      <c r="O116" s="87">
        <f>IF(O25=0,0,1000000*O25/TrRoad_act!O65)</f>
        <v>463.15205840948403</v>
      </c>
      <c r="P116" s="87">
        <f>IF(P25=0,0,1000000*P25/TrRoad_act!P65)</f>
        <v>961.89796911932967</v>
      </c>
      <c r="Q116" s="87">
        <f>IF(Q25=0,0,1000000*Q25/TrRoad_act!Q65)</f>
        <v>513.64127054465507</v>
      </c>
      <c r="R116" s="87">
        <f>IF(R25=0,0,1000000*R25/TrRoad_act!R65)</f>
        <v>524.36188344976574</v>
      </c>
      <c r="S116" s="87">
        <f>IF(S25=0,0,1000000*S25/TrRoad_act!S65)</f>
        <v>493.88135830023066</v>
      </c>
      <c r="T116" s="87">
        <f>IF(T25=0,0,1000000*T25/TrRoad_act!T65)</f>
        <v>554.7830585662075</v>
      </c>
      <c r="U116" s="87">
        <f>IF(U25=0,0,1000000*U25/TrRoad_act!U65)</f>
        <v>551.05667282655929</v>
      </c>
      <c r="V116" s="87">
        <f>IF(V25=0,0,1000000*V25/TrRoad_act!V65)</f>
        <v>505.94647479369831</v>
      </c>
      <c r="W116" s="87">
        <f>IF(W25=0,0,1000000*W25/TrRoad_act!W65)</f>
        <v>755.96597118567229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90925.502268173048</v>
      </c>
      <c r="C118" s="116">
        <f>IF(C27=0,0,1000000*C27/TrRoad_act!C67)</f>
        <v>84543.088927585777</v>
      </c>
      <c r="D118" s="116">
        <f>IF(D27=0,0,1000000*D27/TrRoad_act!D67)</f>
        <v>81533.515578493112</v>
      </c>
      <c r="E118" s="116">
        <f>IF(E27=0,0,1000000*E27/TrRoad_act!E67)</f>
        <v>79060.606077695789</v>
      </c>
      <c r="F118" s="116">
        <f>IF(F27=0,0,1000000*F27/TrRoad_act!F67)</f>
        <v>76221.630464978269</v>
      </c>
      <c r="G118" s="116">
        <f>IF(G27=0,0,1000000*G27/TrRoad_act!G67)</f>
        <v>72749.400693625386</v>
      </c>
      <c r="H118" s="116">
        <f>IF(H27=0,0,1000000*H27/TrRoad_act!H67)</f>
        <v>70106.766234849594</v>
      </c>
      <c r="I118" s="116">
        <f>IF(I27=0,0,1000000*I27/TrRoad_act!I67)</f>
        <v>68548.03537857793</v>
      </c>
      <c r="J118" s="116">
        <f>IF(J27=0,0,1000000*J27/TrRoad_act!J67)</f>
        <v>64576.973120125687</v>
      </c>
      <c r="K118" s="116">
        <f>IF(K27=0,0,1000000*K27/TrRoad_act!K67)</f>
        <v>62289.982442623186</v>
      </c>
      <c r="L118" s="116">
        <f>IF(L27=0,0,1000000*L27/TrRoad_act!L67)</f>
        <v>59985.390071360998</v>
      </c>
      <c r="M118" s="116">
        <f>IF(M27=0,0,1000000*M27/TrRoad_act!M67)</f>
        <v>58928.109222253217</v>
      </c>
      <c r="N118" s="116">
        <f>IF(N27=0,0,1000000*N27/TrRoad_act!N67)</f>
        <v>58340.386423372132</v>
      </c>
      <c r="O118" s="116">
        <f>IF(O27=0,0,1000000*O27/TrRoad_act!O67)</f>
        <v>57680.917263918207</v>
      </c>
      <c r="P118" s="116">
        <f>IF(P27=0,0,1000000*P27/TrRoad_act!P67)</f>
        <v>57321.634540165804</v>
      </c>
      <c r="Q118" s="116">
        <f>IF(Q27=0,0,1000000*Q27/TrRoad_act!Q67)</f>
        <v>57771.596121761431</v>
      </c>
      <c r="R118" s="116">
        <f>IF(R27=0,0,1000000*R27/TrRoad_act!R67)</f>
        <v>56802.847849777289</v>
      </c>
      <c r="S118" s="116">
        <f>IF(S27=0,0,1000000*S27/TrRoad_act!S67)</f>
        <v>54460.550010183571</v>
      </c>
      <c r="T118" s="116">
        <f>IF(T27=0,0,1000000*T27/TrRoad_act!T67)</f>
        <v>50080.56840460388</v>
      </c>
      <c r="U118" s="116">
        <f>IF(U27=0,0,1000000*U27/TrRoad_act!U67)</f>
        <v>51227.798499366181</v>
      </c>
      <c r="V118" s="116">
        <f>IF(V27=0,0,1000000*V27/TrRoad_act!V67)</f>
        <v>49617.404944554335</v>
      </c>
      <c r="W118" s="116">
        <f>IF(W27=0,0,1000000*W27/TrRoad_act!W67)</f>
        <v>49453.401793557554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92913.373472932595</v>
      </c>
      <c r="C120" s="101">
        <f>IF(C29=0,0,1000000*C29/TrRoad_act!C69)</f>
        <v>86295.394077183228</v>
      </c>
      <c r="D120" s="101">
        <f>IF(D29=0,0,1000000*D29/TrRoad_act!D69)</f>
        <v>83104.624543393569</v>
      </c>
      <c r="E120" s="101">
        <f>IF(E29=0,0,1000000*E29/TrRoad_act!E69)</f>
        <v>80353.191252014105</v>
      </c>
      <c r="F120" s="101">
        <f>IF(F29=0,0,1000000*F29/TrRoad_act!F69)</f>
        <v>78705.537617966344</v>
      </c>
      <c r="G120" s="101">
        <f>IF(G29=0,0,1000000*G29/TrRoad_act!G69)</f>
        <v>75798.848631877365</v>
      </c>
      <c r="H120" s="101">
        <f>IF(H29=0,0,1000000*H29/TrRoad_act!H69)</f>
        <v>72920.435154023973</v>
      </c>
      <c r="I120" s="101">
        <f>IF(I29=0,0,1000000*I29/TrRoad_act!I69)</f>
        <v>71073.273047304028</v>
      </c>
      <c r="J120" s="101">
        <f>IF(J29=0,0,1000000*J29/TrRoad_act!J69)</f>
        <v>66791.247918208275</v>
      </c>
      <c r="K120" s="101">
        <f>IF(K29=0,0,1000000*K29/TrRoad_act!K69)</f>
        <v>64234.317642339207</v>
      </c>
      <c r="L120" s="101">
        <f>IF(L29=0,0,1000000*L29/TrRoad_act!L69)</f>
        <v>61735.678913125063</v>
      </c>
      <c r="M120" s="101">
        <f>IF(M29=0,0,1000000*M29/TrRoad_act!M69)</f>
        <v>60509.291983936666</v>
      </c>
      <c r="N120" s="101">
        <f>IF(N29=0,0,1000000*N29/TrRoad_act!N69)</f>
        <v>59823.969183917739</v>
      </c>
      <c r="O120" s="101">
        <f>IF(O29=0,0,1000000*O29/TrRoad_act!O69)</f>
        <v>59089.951108830428</v>
      </c>
      <c r="P120" s="101">
        <f>IF(P29=0,0,1000000*P29/TrRoad_act!P69)</f>
        <v>58629.46666392417</v>
      </c>
      <c r="Q120" s="101">
        <f>IF(Q29=0,0,1000000*Q29/TrRoad_act!Q69)</f>
        <v>59016.452175316263</v>
      </c>
      <c r="R120" s="101">
        <f>IF(R29=0,0,1000000*R29/TrRoad_act!R69)</f>
        <v>58043.705632166602</v>
      </c>
      <c r="S120" s="101">
        <f>IF(S29=0,0,1000000*S29/TrRoad_act!S69)</f>
        <v>55695.899752795151</v>
      </c>
      <c r="T120" s="101">
        <f>IF(T29=0,0,1000000*T29/TrRoad_act!T69)</f>
        <v>51145.30605353757</v>
      </c>
      <c r="U120" s="101">
        <f>IF(U29=0,0,1000000*U29/TrRoad_act!U69)</f>
        <v>52259.694386195297</v>
      </c>
      <c r="V120" s="101">
        <f>IF(V29=0,0,1000000*V29/TrRoad_act!V69)</f>
        <v>50988.516515210998</v>
      </c>
      <c r="W120" s="101">
        <f>IF(W29=0,0,1000000*W29/TrRoad_act!W69)</f>
        <v>50983.577462930836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37808.595022715519</v>
      </c>
      <c r="C121" s="101">
        <f>IF(C30=0,0,1000000*C30/TrRoad_act!C70)</f>
        <v>37026.809980912556</v>
      </c>
      <c r="D121" s="101">
        <f>IF(D30=0,0,1000000*D30/TrRoad_act!D70)</f>
        <v>36282.694231360154</v>
      </c>
      <c r="E121" s="101">
        <f>IF(E30=0,0,1000000*E30/TrRoad_act!E70)</f>
        <v>35483.564821807238</v>
      </c>
      <c r="F121" s="101">
        <f>IF(F30=0,0,1000000*F30/TrRoad_act!F70)</f>
        <v>33000.255460894856</v>
      </c>
      <c r="G121" s="101">
        <f>IF(G30=0,0,1000000*G30/TrRoad_act!G70)</f>
        <v>32243.060818391692</v>
      </c>
      <c r="H121" s="101">
        <f>IF(H30=0,0,1000000*H30/TrRoad_act!H70)</f>
        <v>31498.318705082482</v>
      </c>
      <c r="I121" s="101">
        <f>IF(I30=0,0,1000000*I30/TrRoad_act!I70)</f>
        <v>30847.813595962347</v>
      </c>
      <c r="J121" s="101">
        <f>IF(J30=0,0,1000000*J30/TrRoad_act!J70)</f>
        <v>30155.906749002439</v>
      </c>
      <c r="K121" s="101">
        <f>IF(K30=0,0,1000000*K30/TrRoad_act!K70)</f>
        <v>29513.294395245572</v>
      </c>
      <c r="L121" s="101">
        <f>IF(L30=0,0,1000000*L30/TrRoad_act!L70)</f>
        <v>28860.988264662028</v>
      </c>
      <c r="M121" s="101">
        <f>IF(M30=0,0,1000000*M30/TrRoad_act!M70)</f>
        <v>28243.109480716612</v>
      </c>
      <c r="N121" s="101">
        <f>IF(N30=0,0,1000000*N30/TrRoad_act!N70)</f>
        <v>27665.933877754029</v>
      </c>
      <c r="O121" s="101">
        <f>IF(O30=0,0,1000000*O30/TrRoad_act!O70)</f>
        <v>27146.186014891253</v>
      </c>
      <c r="P121" s="101">
        <f>IF(P30=0,0,1000000*P30/TrRoad_act!P70)</f>
        <v>26653.749033769891</v>
      </c>
      <c r="Q121" s="101">
        <f>IF(Q30=0,0,1000000*Q30/TrRoad_act!Q70)</f>
        <v>26330.985977003067</v>
      </c>
      <c r="R121" s="101">
        <f>IF(R30=0,0,1000000*R30/TrRoad_act!R70)</f>
        <v>25052.645051174633</v>
      </c>
      <c r="S121" s="101">
        <f>IF(S30=0,0,1000000*S30/TrRoad_act!S70)</f>
        <v>24017.99510185191</v>
      </c>
      <c r="T121" s="101">
        <f>IF(T30=0,0,1000000*T30/TrRoad_act!T70)</f>
        <v>22682.146878903561</v>
      </c>
      <c r="U121" s="101">
        <f>IF(U30=0,0,1000000*U30/TrRoad_act!U70)</f>
        <v>23250.994098624746</v>
      </c>
      <c r="V121" s="101">
        <f>IF(V30=0,0,1000000*V30/TrRoad_act!V70)</f>
        <v>22686.405066163479</v>
      </c>
      <c r="W121" s="101">
        <f>IF(W30=0,0,1000000*W30/TrRoad_act!W70)</f>
        <v>22668.6155163968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47339.835405621736</v>
      </c>
      <c r="R122" s="101">
        <f>IF(R31=0,0,1000000*R31/TrRoad_act!R71)</f>
        <v>41119.467316711962</v>
      </c>
      <c r="S122" s="101">
        <f>IF(S31=0,0,1000000*S31/TrRoad_act!S71)</f>
        <v>30801.829785981132</v>
      </c>
      <c r="T122" s="101">
        <f>IF(T31=0,0,1000000*T31/TrRoad_act!T71)</f>
        <v>29688.272622676486</v>
      </c>
      <c r="U122" s="101">
        <f>IF(U31=0,0,1000000*U31/TrRoad_act!U71)</f>
        <v>30014.958806028357</v>
      </c>
      <c r="V122" s="101">
        <f>IF(V31=0,0,1000000*V31/TrRoad_act!V71)</f>
        <v>26571.324340110008</v>
      </c>
      <c r="W122" s="101">
        <f>IF(W31=0,0,1000000*W31/TrRoad_act!W71)</f>
        <v>33365.780061217774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3539.6243940115669</v>
      </c>
      <c r="C125" s="152">
        <f>IF(C34=0,0,1000000*C34/TrRoad_act!C74)</f>
        <v>3330.545052135597</v>
      </c>
      <c r="D125" s="152">
        <f>IF(D34=0,0,1000000*D34/TrRoad_act!D74)</f>
        <v>3375.9078350278528</v>
      </c>
      <c r="E125" s="152">
        <f>IF(E34=0,0,1000000*E34/TrRoad_act!E74)</f>
        <v>3377.114260295511</v>
      </c>
      <c r="F125" s="152">
        <f>IF(F34=0,0,1000000*F34/TrRoad_act!F74)</f>
        <v>3345.1297105613626</v>
      </c>
      <c r="G125" s="152">
        <f>IF(G34=0,0,1000000*G34/TrRoad_act!G74)</f>
        <v>3292.6017536115914</v>
      </c>
      <c r="H125" s="152">
        <f>IF(H34=0,0,1000000*H34/TrRoad_act!H74)</f>
        <v>3358.0063926476791</v>
      </c>
      <c r="I125" s="152">
        <f>IF(I34=0,0,1000000*I34/TrRoad_act!I74)</f>
        <v>3342.2736453915209</v>
      </c>
      <c r="J125" s="152">
        <f>IF(J34=0,0,1000000*J34/TrRoad_act!J74)</f>
        <v>3220.6676346654995</v>
      </c>
      <c r="K125" s="152">
        <f>IF(K34=0,0,1000000*K34/TrRoad_act!K74)</f>
        <v>3228.4551705135573</v>
      </c>
      <c r="L125" s="152">
        <f>IF(L34=0,0,1000000*L34/TrRoad_act!L74)</f>
        <v>3129.2078968373771</v>
      </c>
      <c r="M125" s="152">
        <f>IF(M34=0,0,1000000*M34/TrRoad_act!M74)</f>
        <v>3118.1689521543826</v>
      </c>
      <c r="N125" s="152">
        <f>IF(N34=0,0,1000000*N34/TrRoad_act!N74)</f>
        <v>3079.8499206677466</v>
      </c>
      <c r="O125" s="152">
        <f>IF(O34=0,0,1000000*O34/TrRoad_act!O74)</f>
        <v>3015.1634989586305</v>
      </c>
      <c r="P125" s="152">
        <f>IF(P34=0,0,1000000*P34/TrRoad_act!P74)</f>
        <v>3016.1486182757139</v>
      </c>
      <c r="Q125" s="152">
        <f>IF(Q34=0,0,1000000*Q34/TrRoad_act!Q74)</f>
        <v>2994.2937574410139</v>
      </c>
      <c r="R125" s="152">
        <f>IF(R34=0,0,1000000*R34/TrRoad_act!R74)</f>
        <v>3121.6956042222059</v>
      </c>
      <c r="S125" s="152">
        <f>IF(S34=0,0,1000000*S34/TrRoad_act!S74)</f>
        <v>3147.3910739672292</v>
      </c>
      <c r="T125" s="152">
        <f>IF(T34=0,0,1000000*T34/TrRoad_act!T74)</f>
        <v>3162.994866231415</v>
      </c>
      <c r="U125" s="152">
        <f>IF(U34=0,0,1000000*U34/TrRoad_act!U74)</f>
        <v>3171.737323221781</v>
      </c>
      <c r="V125" s="152">
        <f>IF(V34=0,0,1000000*V34/TrRoad_act!V74)</f>
        <v>3099.9580301171591</v>
      </c>
      <c r="W125" s="152">
        <f>IF(W34=0,0,1000000*W34/TrRoad_act!W74)</f>
        <v>3101.7778504109774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2759.805192993018</v>
      </c>
      <c r="C126" s="87">
        <f>IF(C35=0,0,1000000*C35/TrRoad_act!C75)</f>
        <v>2637.931158587171</v>
      </c>
      <c r="D126" s="87">
        <f>IF(D35=0,0,1000000*D35/TrRoad_act!D75)</f>
        <v>2616.3367556830131</v>
      </c>
      <c r="E126" s="87">
        <f>IF(E35=0,0,1000000*E35/TrRoad_act!E75)</f>
        <v>2581.3348899513262</v>
      </c>
      <c r="F126" s="87">
        <f>IF(F35=0,0,1000000*F35/TrRoad_act!F75)</f>
        <v>2522.6972376303465</v>
      </c>
      <c r="G126" s="87">
        <f>IF(G35=0,0,1000000*G35/TrRoad_act!G75)</f>
        <v>2364.7339141863331</v>
      </c>
      <c r="H126" s="87">
        <f>IF(H35=0,0,1000000*H35/TrRoad_act!H75)</f>
        <v>2316.2728100882787</v>
      </c>
      <c r="I126" s="87">
        <f>IF(I35=0,0,1000000*I35/TrRoad_act!I75)</f>
        <v>2201.858445593989</v>
      </c>
      <c r="J126" s="87">
        <f>IF(J35=0,0,1000000*J35/TrRoad_act!J75)</f>
        <v>2026.1827591289559</v>
      </c>
      <c r="K126" s="87">
        <f>IF(K35=0,0,1000000*K35/TrRoad_act!K75)</f>
        <v>2139.5892881698073</v>
      </c>
      <c r="L126" s="87">
        <f>IF(L35=0,0,1000000*L35/TrRoad_act!L75)</f>
        <v>1991.8247380951937</v>
      </c>
      <c r="M126" s="87">
        <f>IF(M35=0,0,1000000*M35/TrRoad_act!M75)</f>
        <v>1909.8640527438436</v>
      </c>
      <c r="N126" s="87">
        <f>IF(N35=0,0,1000000*N35/TrRoad_act!N75)</f>
        <v>1823.4930411896762</v>
      </c>
      <c r="O126" s="87">
        <f>IF(O35=0,0,1000000*O35/TrRoad_act!O75)</f>
        <v>1694.2586642998128</v>
      </c>
      <c r="P126" s="87">
        <f>IF(P35=0,0,1000000*P35/TrRoad_act!P75)</f>
        <v>1622.6227710181722</v>
      </c>
      <c r="Q126" s="87">
        <f>IF(Q35=0,0,1000000*Q35/TrRoad_act!Q75)</f>
        <v>1449.9048938458025</v>
      </c>
      <c r="R126" s="87">
        <f>IF(R35=0,0,1000000*R35/TrRoad_act!R75)</f>
        <v>1465.8573290003692</v>
      </c>
      <c r="S126" s="87">
        <f>IF(S35=0,0,1000000*S35/TrRoad_act!S75)</f>
        <v>1481.4081963299811</v>
      </c>
      <c r="T126" s="87">
        <f>IF(T35=0,0,1000000*T35/TrRoad_act!T75)</f>
        <v>1499.4819974040506</v>
      </c>
      <c r="U126" s="87">
        <f>IF(U35=0,0,1000000*U35/TrRoad_act!U75)</f>
        <v>1520.1505416752298</v>
      </c>
      <c r="V126" s="87">
        <f>IF(V35=0,0,1000000*V35/TrRoad_act!V75)</f>
        <v>1408.1327958127627</v>
      </c>
      <c r="W126" s="87">
        <f>IF(W35=0,0,1000000*W35/TrRoad_act!W75)</f>
        <v>1421.864631712265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5653.9932667947423</v>
      </c>
      <c r="C127" s="87">
        <f>IF(C36=0,0,1000000*C36/TrRoad_act!C76)</f>
        <v>5259.0913169818477</v>
      </c>
      <c r="D127" s="87">
        <f>IF(D36=0,0,1000000*D36/TrRoad_act!D76)</f>
        <v>5051.3839995961944</v>
      </c>
      <c r="E127" s="87">
        <f>IF(E36=0,0,1000000*E36/TrRoad_act!E76)</f>
        <v>4999.917254366499</v>
      </c>
      <c r="F127" s="87">
        <f>IF(F36=0,0,1000000*F36/TrRoad_act!F76)</f>
        <v>4824.1386903922084</v>
      </c>
      <c r="G127" s="87">
        <f>IF(G36=0,0,1000000*G36/TrRoad_act!G76)</f>
        <v>4654.8471595330066</v>
      </c>
      <c r="H127" s="87">
        <f>IF(H36=0,0,1000000*H36/TrRoad_act!H76)</f>
        <v>4696.8147061808522</v>
      </c>
      <c r="I127" s="87">
        <f>IF(I36=0,0,1000000*I36/TrRoad_act!I76)</f>
        <v>4591.4979552998984</v>
      </c>
      <c r="J127" s="87">
        <f>IF(J36=0,0,1000000*J36/TrRoad_act!J76)</f>
        <v>4334.2187923997535</v>
      </c>
      <c r="K127" s="87">
        <f>IF(K36=0,0,1000000*K36/TrRoad_act!K76)</f>
        <v>4149.0278630739094</v>
      </c>
      <c r="L127" s="87">
        <f>IF(L36=0,0,1000000*L36/TrRoad_act!L76)</f>
        <v>3988.9167078867295</v>
      </c>
      <c r="M127" s="87">
        <f>IF(M36=0,0,1000000*M36/TrRoad_act!M76)</f>
        <v>3909.4130509602282</v>
      </c>
      <c r="N127" s="87">
        <f>IF(N36=0,0,1000000*N36/TrRoad_act!N76)</f>
        <v>3832.1102075989406</v>
      </c>
      <c r="O127" s="87">
        <f>IF(O36=0,0,1000000*O36/TrRoad_act!O76)</f>
        <v>3740.1033225896495</v>
      </c>
      <c r="P127" s="87">
        <f>IF(P36=0,0,1000000*P36/TrRoad_act!P76)</f>
        <v>3751.6532813832873</v>
      </c>
      <c r="Q127" s="87">
        <f>IF(Q36=0,0,1000000*Q36/TrRoad_act!Q76)</f>
        <v>3744.121574795161</v>
      </c>
      <c r="R127" s="87">
        <f>IF(R36=0,0,1000000*R36/TrRoad_act!R76)</f>
        <v>3878.8979296824377</v>
      </c>
      <c r="S127" s="87">
        <f>IF(S36=0,0,1000000*S36/TrRoad_act!S76)</f>
        <v>3893.3325109268944</v>
      </c>
      <c r="T127" s="87">
        <f>IF(T36=0,0,1000000*T36/TrRoad_act!T76)</f>
        <v>3863.3581948259575</v>
      </c>
      <c r="U127" s="87">
        <f>IF(U36=0,0,1000000*U36/TrRoad_act!U76)</f>
        <v>3831.8223807438017</v>
      </c>
      <c r="V127" s="87">
        <f>IF(V36=0,0,1000000*V36/TrRoad_act!V76)</f>
        <v>3732.5628382060654</v>
      </c>
      <c r="W127" s="87">
        <f>IF(W36=0,0,1000000*W36/TrRoad_act!W76)</f>
        <v>3699.7269857959745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1822.8919154124437</v>
      </c>
      <c r="C128" s="87">
        <f>IF(C37=0,0,1000000*C37/TrRoad_act!C77)</f>
        <v>1774.038171695883</v>
      </c>
      <c r="D128" s="87">
        <f>IF(D37=0,0,1000000*D37/TrRoad_act!D77)</f>
        <v>1676.8659741657916</v>
      </c>
      <c r="E128" s="87">
        <f>IF(E37=0,0,1000000*E37/TrRoad_act!E77)</f>
        <v>1684.5889591722712</v>
      </c>
      <c r="F128" s="87">
        <f>IF(F37=0,0,1000000*F37/TrRoad_act!F77)</f>
        <v>1671.0875548564356</v>
      </c>
      <c r="G128" s="87">
        <f>IF(G37=0,0,1000000*G37/TrRoad_act!G77)</f>
        <v>1647.068385908241</v>
      </c>
      <c r="H128" s="87">
        <f>IF(H37=0,0,1000000*H37/TrRoad_act!H77)</f>
        <v>1675.9581417096185</v>
      </c>
      <c r="I128" s="87">
        <f>IF(I37=0,0,1000000*I37/TrRoad_act!I77)</f>
        <v>1662.8379389552524</v>
      </c>
      <c r="J128" s="87">
        <f>IF(J37=0,0,1000000*J37/TrRoad_act!J77)</f>
        <v>1656.4355375736479</v>
      </c>
      <c r="K128" s="87">
        <f>IF(K37=0,0,1000000*K37/TrRoad_act!K77)</f>
        <v>1653.6168877985601</v>
      </c>
      <c r="L128" s="87">
        <f>IF(L37=0,0,1000000*L37/TrRoad_act!L77)</f>
        <v>1653.2911370143045</v>
      </c>
      <c r="M128" s="87">
        <f>IF(M37=0,0,1000000*M37/TrRoad_act!M77)</f>
        <v>1651.3949705744951</v>
      </c>
      <c r="N128" s="87">
        <f>IF(N37=0,0,1000000*N37/TrRoad_act!N77)</f>
        <v>1633.6193792106781</v>
      </c>
      <c r="O128" s="87">
        <f>IF(O37=0,0,1000000*O37/TrRoad_act!O77)</f>
        <v>1629.903088682179</v>
      </c>
      <c r="P128" s="87">
        <f>IF(P37=0,0,1000000*P37/TrRoad_act!P77)</f>
        <v>1632.6290934292049</v>
      </c>
      <c r="Q128" s="87">
        <f>IF(Q37=0,0,1000000*Q37/TrRoad_act!Q77)</f>
        <v>1640.0351463507275</v>
      </c>
      <c r="R128" s="87">
        <f>IF(R37=0,0,1000000*R37/TrRoad_act!R77)</f>
        <v>1647.7892136475027</v>
      </c>
      <c r="S128" s="87">
        <f>IF(S37=0,0,1000000*S37/TrRoad_act!S77)</f>
        <v>1672.8188343621212</v>
      </c>
      <c r="T128" s="87">
        <f>IF(T37=0,0,1000000*T37/TrRoad_act!T77)</f>
        <v>1697.9875448917119</v>
      </c>
      <c r="U128" s="87">
        <f>IF(U37=0,0,1000000*U37/TrRoad_act!U77)</f>
        <v>1721.9993097311683</v>
      </c>
      <c r="V128" s="87">
        <f>IF(V37=0,0,1000000*V37/TrRoad_act!V77)</f>
        <v>1687.0899277956087</v>
      </c>
      <c r="W128" s="87">
        <f>IF(W37=0,0,1000000*W37/TrRoad_act!W77)</f>
        <v>1681.9856438190673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2613.068706589313</v>
      </c>
      <c r="R129" s="87">
        <f>IF(R38=0,0,1000000*R38/TrRoad_act!R78)</f>
        <v>2646.0308737429245</v>
      </c>
      <c r="S129" s="87">
        <f>IF(S38=0,0,1000000*S38/TrRoad_act!S78)</f>
        <v>2643.1395496721916</v>
      </c>
      <c r="T129" s="87">
        <f>IF(T38=0,0,1000000*T38/TrRoad_act!T78)</f>
        <v>2661.9830414141034</v>
      </c>
      <c r="U129" s="87">
        <f>IF(U38=0,0,1000000*U38/TrRoad_act!U78)</f>
        <v>2635.5209233259866</v>
      </c>
      <c r="V129" s="87">
        <f>IF(V38=0,0,1000000*V38/TrRoad_act!V78)</f>
        <v>2534.5626511858768</v>
      </c>
      <c r="W129" s="87">
        <f>IF(W38=0,0,1000000*W38/TrRoad_act!W78)</f>
        <v>2487.0025423821617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4610.4336949063045</v>
      </c>
      <c r="C131" s="116">
        <f>IF(C40=0,0,1000000*C40/TrRoad_act!C80)</f>
        <v>5752.2797332626642</v>
      </c>
      <c r="D131" s="116">
        <f>IF(D40=0,0,1000000*D40/TrRoad_act!D80)</f>
        <v>3777.1469121054001</v>
      </c>
      <c r="E131" s="116">
        <f>IF(E40=0,0,1000000*E40/TrRoad_act!E80)</f>
        <v>6353.7406862836815</v>
      </c>
      <c r="F131" s="116">
        <f>IF(F40=0,0,1000000*F40/TrRoad_act!F80)</f>
        <v>9706.476292922147</v>
      </c>
      <c r="G131" s="116">
        <f>IF(G40=0,0,1000000*G40/TrRoad_act!G80)</f>
        <v>13407.898435941275</v>
      </c>
      <c r="H131" s="116">
        <f>IF(H40=0,0,1000000*H40/TrRoad_act!H80)</f>
        <v>15468.098164671987</v>
      </c>
      <c r="I131" s="116">
        <f>IF(I40=0,0,1000000*I40/TrRoad_act!I80)</f>
        <v>17102.905680092652</v>
      </c>
      <c r="J131" s="116">
        <f>IF(J40=0,0,1000000*J40/TrRoad_act!J80)</f>
        <v>16469.105282271103</v>
      </c>
      <c r="K131" s="116">
        <f>IF(K40=0,0,1000000*K40/TrRoad_act!K80)</f>
        <v>15668.635915563114</v>
      </c>
      <c r="L131" s="116">
        <f>IF(L40=0,0,1000000*L40/TrRoad_act!L80)</f>
        <v>16748.810839970803</v>
      </c>
      <c r="M131" s="116">
        <f>IF(M40=0,0,1000000*M40/TrRoad_act!M80)</f>
        <v>15730.866350050763</v>
      </c>
      <c r="N131" s="116">
        <f>IF(N40=0,0,1000000*N40/TrRoad_act!N80)</f>
        <v>13199.601063909164</v>
      </c>
      <c r="O131" s="116">
        <f>IF(O40=0,0,1000000*O40/TrRoad_act!O80)</f>
        <v>10603.387026213924</v>
      </c>
      <c r="P131" s="116">
        <f>IF(P40=0,0,1000000*P40/TrRoad_act!P80)</f>
        <v>10666.552554073878</v>
      </c>
      <c r="Q131" s="116">
        <f>IF(Q40=0,0,1000000*Q40/TrRoad_act!Q80)</f>
        <v>10961.724201952075</v>
      </c>
      <c r="R131" s="116">
        <f>IF(R40=0,0,1000000*R40/TrRoad_act!R80)</f>
        <v>14558.991313545754</v>
      </c>
      <c r="S131" s="116">
        <f>IF(S40=0,0,1000000*S40/TrRoad_act!S80)</f>
        <v>19392.526788114628</v>
      </c>
      <c r="T131" s="116">
        <f>IF(T40=0,0,1000000*T40/TrRoad_act!T80)</f>
        <v>18280.752929636663</v>
      </c>
      <c r="U131" s="116">
        <f>IF(U40=0,0,1000000*U40/TrRoad_act!U80)</f>
        <v>17724.759935247403</v>
      </c>
      <c r="V131" s="116">
        <f>IF(V40=0,0,1000000*V40/TrRoad_act!V80)</f>
        <v>15834.065299217476</v>
      </c>
      <c r="W131" s="116">
        <f>IF(W40=0,0,1000000*W40/TrRoad_act!W80)</f>
        <v>19838.339588857754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3629.0022929233328</v>
      </c>
      <c r="C132" s="101">
        <f>IF(C41=0,0,1000000*C41/TrRoad_act!C81)</f>
        <v>4499.9479992215138</v>
      </c>
      <c r="D132" s="101">
        <f>IF(D41=0,0,1000000*D41/TrRoad_act!D81)</f>
        <v>2944.250537388888</v>
      </c>
      <c r="E132" s="101">
        <f>IF(E41=0,0,1000000*E41/TrRoad_act!E81)</f>
        <v>5021.3211173698292</v>
      </c>
      <c r="F132" s="101">
        <f>IF(F41=0,0,1000000*F41/TrRoad_act!F81)</f>
        <v>7707.8044561252291</v>
      </c>
      <c r="G132" s="101">
        <f>IF(G41=0,0,1000000*G41/TrRoad_act!G81)</f>
        <v>10705.349793785614</v>
      </c>
      <c r="H132" s="101">
        <f>IF(H41=0,0,1000000*H41/TrRoad_act!H81)</f>
        <v>11844.650116053599</v>
      </c>
      <c r="I132" s="101">
        <f>IF(I41=0,0,1000000*I41/TrRoad_act!I81)</f>
        <v>13592.936099560822</v>
      </c>
      <c r="J132" s="101">
        <f>IF(J41=0,0,1000000*J41/TrRoad_act!J81)</f>
        <v>13259.171875863216</v>
      </c>
      <c r="K132" s="101">
        <f>IF(K41=0,0,1000000*K41/TrRoad_act!K81)</f>
        <v>12995.032240333609</v>
      </c>
      <c r="L132" s="101">
        <f>IF(L41=0,0,1000000*L41/TrRoad_act!L81)</f>
        <v>13679.760749314592</v>
      </c>
      <c r="M132" s="101">
        <f>IF(M41=0,0,1000000*M41/TrRoad_act!M81)</f>
        <v>12948.571312326691</v>
      </c>
      <c r="N132" s="101">
        <f>IF(N41=0,0,1000000*N41/TrRoad_act!N81)</f>
        <v>10665.80570179518</v>
      </c>
      <c r="O132" s="101">
        <f>IF(O41=0,0,1000000*O41/TrRoad_act!O81)</f>
        <v>8626.6332544195884</v>
      </c>
      <c r="P132" s="101">
        <f>IF(P41=0,0,1000000*P41/TrRoad_act!P81)</f>
        <v>8604.854822617197</v>
      </c>
      <c r="Q132" s="101">
        <f>IF(Q41=0,0,1000000*Q41/TrRoad_act!Q81)</f>
        <v>8914.5942564646466</v>
      </c>
      <c r="R132" s="101">
        <f>IF(R41=0,0,1000000*R41/TrRoad_act!R81)</f>
        <v>11586.60074662469</v>
      </c>
      <c r="S132" s="101">
        <f>IF(S41=0,0,1000000*S41/TrRoad_act!S81)</f>
        <v>15377.343887097844</v>
      </c>
      <c r="T132" s="101">
        <f>IF(T41=0,0,1000000*T41/TrRoad_act!T81)</f>
        <v>14742.024314119593</v>
      </c>
      <c r="U132" s="101">
        <f>IF(U41=0,0,1000000*U41/TrRoad_act!U81)</f>
        <v>13877.704879132993</v>
      </c>
      <c r="V132" s="101">
        <f>IF(V41=0,0,1000000*V41/TrRoad_act!V81)</f>
        <v>12578.138477739722</v>
      </c>
      <c r="W132" s="101">
        <f>IF(W41=0,0,1000000*W41/TrRoad_act!W81)</f>
        <v>15790.599602511034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35300.95912450867</v>
      </c>
      <c r="C133" s="88">
        <f>IF(C42=0,0,1000000*C42/TrRoad_act!C82)</f>
        <v>43686.310764157592</v>
      </c>
      <c r="D133" s="88">
        <f>IF(D42=0,0,1000000*D42/TrRoad_act!D82)</f>
        <v>31483.254814511463</v>
      </c>
      <c r="E133" s="88">
        <f>IF(E42=0,0,1000000*E42/TrRoad_act!E82)</f>
        <v>49632.852236096762</v>
      </c>
      <c r="F133" s="88">
        <f>IF(F42=0,0,1000000*F42/TrRoad_act!F82)</f>
        <v>63008.64207217584</v>
      </c>
      <c r="G133" s="88">
        <f>IF(G42=0,0,1000000*G42/TrRoad_act!G82)</f>
        <v>84193.491999016653</v>
      </c>
      <c r="H133" s="88">
        <f>IF(H42=0,0,1000000*H42/TrRoad_act!H82)</f>
        <v>93887.972450363595</v>
      </c>
      <c r="I133" s="88">
        <f>IF(I42=0,0,1000000*I42/TrRoad_act!I82)</f>
        <v>105393.55394168809</v>
      </c>
      <c r="J133" s="88">
        <f>IF(J42=0,0,1000000*J42/TrRoad_act!J82)</f>
        <v>103237.72147391958</v>
      </c>
      <c r="K133" s="88">
        <f>IF(K42=0,0,1000000*K42/TrRoad_act!K82)</f>
        <v>92449.074735933667</v>
      </c>
      <c r="L133" s="88">
        <f>IF(L42=0,0,1000000*L42/TrRoad_act!L82)</f>
        <v>93738.886093608977</v>
      </c>
      <c r="M133" s="88">
        <f>IF(M42=0,0,1000000*M42/TrRoad_act!M82)</f>
        <v>85730.229946430714</v>
      </c>
      <c r="N133" s="88">
        <f>IF(N42=0,0,1000000*N42/TrRoad_act!N82)</f>
        <v>72480.014436993282</v>
      </c>
      <c r="O133" s="88">
        <f>IF(O42=0,0,1000000*O42/TrRoad_act!O82)</f>
        <v>55449.076441863268</v>
      </c>
      <c r="P133" s="88">
        <f>IF(P42=0,0,1000000*P42/TrRoad_act!P82)</f>
        <v>58612.271777994683</v>
      </c>
      <c r="Q133" s="88">
        <f>IF(Q42=0,0,1000000*Q42/TrRoad_act!Q82)</f>
        <v>59212.094970329199</v>
      </c>
      <c r="R133" s="88">
        <f>IF(R42=0,0,1000000*R42/TrRoad_act!R82)</f>
        <v>78660.018561997786</v>
      </c>
      <c r="S133" s="88">
        <f>IF(S42=0,0,1000000*S42/TrRoad_act!S82)</f>
        <v>97894.804364776573</v>
      </c>
      <c r="T133" s="88">
        <f>IF(T42=0,0,1000000*T42/TrRoad_act!T82)</f>
        <v>103149.47893659932</v>
      </c>
      <c r="U133" s="88">
        <f>IF(U42=0,0,1000000*U42/TrRoad_act!U82)</f>
        <v>100015.43317476097</v>
      </c>
      <c r="V133" s="88">
        <f>IF(V42=0,0,1000000*V42/TrRoad_act!V82)</f>
        <v>89939.031645693307</v>
      </c>
      <c r="W133" s="88">
        <f>IF(W42=0,0,1000000*W42/TrRoad_act!W82)</f>
        <v>110159.12138106521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0.69590176652498303</v>
      </c>
      <c r="C136" s="46">
        <f t="shared" si="40"/>
        <v>0.67879437555999211</v>
      </c>
      <c r="D136" s="46">
        <f t="shared" si="40"/>
        <v>0.68925199853380459</v>
      </c>
      <c r="E136" s="46">
        <f t="shared" si="40"/>
        <v>0.65603253649126658</v>
      </c>
      <c r="F136" s="46">
        <f t="shared" si="40"/>
        <v>0.6435269456950532</v>
      </c>
      <c r="G136" s="46">
        <f t="shared" si="40"/>
        <v>0.59813974787396407</v>
      </c>
      <c r="H136" s="46">
        <f t="shared" si="40"/>
        <v>0.5957623901036363</v>
      </c>
      <c r="I136" s="46">
        <f t="shared" si="40"/>
        <v>0.58871365854188951</v>
      </c>
      <c r="J136" s="46">
        <f t="shared" si="40"/>
        <v>0.58981248351837656</v>
      </c>
      <c r="K136" s="46">
        <f t="shared" si="40"/>
        <v>0.60036748525998795</v>
      </c>
      <c r="L136" s="46">
        <f t="shared" si="41"/>
        <v>0.59306470740479666</v>
      </c>
      <c r="M136" s="46">
        <f t="shared" si="40"/>
        <v>0.59252596992475115</v>
      </c>
      <c r="N136" s="46">
        <f t="shared" si="40"/>
        <v>0.61514578886137916</v>
      </c>
      <c r="O136" s="46">
        <f t="shared" si="40"/>
        <v>0.62733752687805011</v>
      </c>
      <c r="P136" s="46">
        <f t="shared" si="40"/>
        <v>0.6220159375223715</v>
      </c>
      <c r="Q136" s="46">
        <f t="shared" si="40"/>
        <v>0.62698027212478347</v>
      </c>
      <c r="R136" s="46">
        <f t="shared" si="40"/>
        <v>0.59614839992030488</v>
      </c>
      <c r="S136" s="46">
        <f t="shared" si="40"/>
        <v>0.56786456461208834</v>
      </c>
      <c r="T136" s="46">
        <f t="shared" si="40"/>
        <v>0.57604187381606253</v>
      </c>
      <c r="U136" s="46">
        <f t="shared" si="40"/>
        <v>0.58121272740475394</v>
      </c>
      <c r="V136" s="46">
        <f t="shared" si="40"/>
        <v>0.5847968603172603</v>
      </c>
      <c r="W136" s="46">
        <f t="shared" si="42"/>
        <v>0.5367939252046835</v>
      </c>
      <c r="DA136" s="211"/>
    </row>
    <row r="137" spans="1:105" ht="11.45" customHeight="1" x14ac:dyDescent="0.25">
      <c r="A137" s="153" t="s">
        <v>180</v>
      </c>
      <c r="B137" s="154">
        <f t="shared" si="40"/>
        <v>1.1366861349418982E-2</v>
      </c>
      <c r="C137" s="154">
        <f t="shared" si="40"/>
        <v>1.0196999513109834E-2</v>
      </c>
      <c r="D137" s="154">
        <f t="shared" si="40"/>
        <v>9.9150723506538259E-3</v>
      </c>
      <c r="E137" s="154">
        <f t="shared" si="40"/>
        <v>8.3100925951358658E-3</v>
      </c>
      <c r="F137" s="154">
        <f t="shared" si="40"/>
        <v>6.9872980612143204E-3</v>
      </c>
      <c r="G137" s="154">
        <f t="shared" si="40"/>
        <v>6.6217058675674722E-3</v>
      </c>
      <c r="H137" s="154">
        <f t="shared" si="40"/>
        <v>6.2360072725906055E-3</v>
      </c>
      <c r="I137" s="154">
        <f t="shared" si="40"/>
        <v>5.9696280426446442E-3</v>
      </c>
      <c r="J137" s="154">
        <f t="shared" si="40"/>
        <v>5.8355138904383087E-3</v>
      </c>
      <c r="K137" s="154">
        <f t="shared" si="40"/>
        <v>5.8285008051390617E-3</v>
      </c>
      <c r="L137" s="154">
        <f t="shared" si="41"/>
        <v>5.8437371132294622E-3</v>
      </c>
      <c r="M137" s="154">
        <f t="shared" si="40"/>
        <v>5.670055188951432E-3</v>
      </c>
      <c r="N137" s="154">
        <f t="shared" si="40"/>
        <v>5.917213981331498E-3</v>
      </c>
      <c r="O137" s="154">
        <f t="shared" si="40"/>
        <v>6.0887535744803675E-3</v>
      </c>
      <c r="P137" s="154">
        <f t="shared" si="40"/>
        <v>6.0491116154183667E-3</v>
      </c>
      <c r="Q137" s="154">
        <f t="shared" si="40"/>
        <v>5.8649814604124183E-3</v>
      </c>
      <c r="R137" s="154">
        <f t="shared" si="40"/>
        <v>5.4099588502635604E-3</v>
      </c>
      <c r="S137" s="154">
        <f t="shared" si="40"/>
        <v>4.3983823115803355E-3</v>
      </c>
      <c r="T137" s="154">
        <f t="shared" si="40"/>
        <v>4.0956434113463263E-3</v>
      </c>
      <c r="U137" s="154">
        <f t="shared" si="40"/>
        <v>4.2700999516569072E-3</v>
      </c>
      <c r="V137" s="154">
        <f t="shared" si="40"/>
        <v>3.9973052122090676E-3</v>
      </c>
      <c r="W137" s="154">
        <f t="shared" si="42"/>
        <v>3.6582604264067684E-3</v>
      </c>
      <c r="DA137" s="212"/>
    </row>
    <row r="138" spans="1:105" ht="11.45" customHeight="1" x14ac:dyDescent="0.25">
      <c r="A138" s="155" t="s">
        <v>20</v>
      </c>
      <c r="B138" s="156">
        <f t="shared" si="40"/>
        <v>0.56904530044799673</v>
      </c>
      <c r="C138" s="156">
        <f t="shared" si="40"/>
        <v>0.56064202554489961</v>
      </c>
      <c r="D138" s="156">
        <f t="shared" si="40"/>
        <v>0.57055466142218503</v>
      </c>
      <c r="E138" s="156">
        <f t="shared" si="40"/>
        <v>0.55197876659504108</v>
      </c>
      <c r="F138" s="156">
        <f t="shared" si="40"/>
        <v>0.54768537262494266</v>
      </c>
      <c r="G138" s="156">
        <f t="shared" si="40"/>
        <v>0.51130188694314327</v>
      </c>
      <c r="H138" s="156">
        <f t="shared" si="40"/>
        <v>0.52075262037042014</v>
      </c>
      <c r="I138" s="156">
        <f t="shared" si="40"/>
        <v>0.52000934606739402</v>
      </c>
      <c r="J138" s="156">
        <f t="shared" si="40"/>
        <v>0.52729859834985726</v>
      </c>
      <c r="K138" s="156">
        <f t="shared" si="40"/>
        <v>0.53928992780376017</v>
      </c>
      <c r="L138" s="156">
        <f t="shared" si="41"/>
        <v>0.53619922316708757</v>
      </c>
      <c r="M138" s="156">
        <f t="shared" si="40"/>
        <v>0.53588687368457466</v>
      </c>
      <c r="N138" s="156">
        <f t="shared" si="40"/>
        <v>0.55680500674056876</v>
      </c>
      <c r="O138" s="156">
        <f t="shared" si="40"/>
        <v>0.56452950294747739</v>
      </c>
      <c r="P138" s="156">
        <f t="shared" si="40"/>
        <v>0.55816115123052912</v>
      </c>
      <c r="Q138" s="156">
        <f t="shared" si="40"/>
        <v>0.55685776166526835</v>
      </c>
      <c r="R138" s="156">
        <f t="shared" si="40"/>
        <v>0.53406172114087136</v>
      </c>
      <c r="S138" s="156">
        <f t="shared" si="40"/>
        <v>0.51555875037076382</v>
      </c>
      <c r="T138" s="156">
        <f t="shared" si="40"/>
        <v>0.52792505463542427</v>
      </c>
      <c r="U138" s="156">
        <f t="shared" si="40"/>
        <v>0.53150206571843495</v>
      </c>
      <c r="V138" s="156">
        <f t="shared" si="40"/>
        <v>0.53390152811820979</v>
      </c>
      <c r="W138" s="156">
        <f t="shared" si="42"/>
        <v>0.48984656412578531</v>
      </c>
      <c r="DA138" s="213"/>
    </row>
    <row r="139" spans="1:105" ht="11.45" customHeight="1" x14ac:dyDescent="0.25">
      <c r="A139" s="157" t="s">
        <v>110</v>
      </c>
      <c r="B139" s="103">
        <f t="shared" si="40"/>
        <v>0.4471660699094675</v>
      </c>
      <c r="C139" s="103">
        <f t="shared" si="40"/>
        <v>0.41410292577323099</v>
      </c>
      <c r="D139" s="103">
        <f t="shared" si="40"/>
        <v>0.39368578194584603</v>
      </c>
      <c r="E139" s="103">
        <f t="shared" si="40"/>
        <v>0.34436709624125794</v>
      </c>
      <c r="F139" s="103">
        <f t="shared" si="40"/>
        <v>0.31801874563160443</v>
      </c>
      <c r="G139" s="103">
        <f t="shared" si="40"/>
        <v>0.29141167208626861</v>
      </c>
      <c r="H139" s="103">
        <f t="shared" si="40"/>
        <v>0.27533803409936003</v>
      </c>
      <c r="I139" s="103">
        <f t="shared" si="40"/>
        <v>0.25142604811771291</v>
      </c>
      <c r="J139" s="103">
        <f t="shared" si="40"/>
        <v>0.24040888729268101</v>
      </c>
      <c r="K139" s="103">
        <f t="shared" si="40"/>
        <v>0.24029589992557834</v>
      </c>
      <c r="L139" s="103">
        <f t="shared" si="41"/>
        <v>0.22502226280627324</v>
      </c>
      <c r="M139" s="103">
        <f t="shared" si="40"/>
        <v>0.21084746183895575</v>
      </c>
      <c r="N139" s="103">
        <f t="shared" si="40"/>
        <v>0.21104200563491335</v>
      </c>
      <c r="O139" s="103">
        <f t="shared" si="40"/>
        <v>0.21572811280544255</v>
      </c>
      <c r="P139" s="103">
        <f t="shared" si="40"/>
        <v>0.20765569796330632</v>
      </c>
      <c r="Q139" s="103">
        <f t="shared" si="40"/>
        <v>0.20645450704245202</v>
      </c>
      <c r="R139" s="103">
        <f t="shared" si="40"/>
        <v>0.1917036710621029</v>
      </c>
      <c r="S139" s="103">
        <f t="shared" si="40"/>
        <v>0.18239032793453031</v>
      </c>
      <c r="T139" s="103">
        <f t="shared" si="40"/>
        <v>0.18580189208333303</v>
      </c>
      <c r="U139" s="103">
        <f t="shared" si="40"/>
        <v>0.18898554891127542</v>
      </c>
      <c r="V139" s="103">
        <f t="shared" si="40"/>
        <v>0.18449585576515479</v>
      </c>
      <c r="W139" s="103">
        <f t="shared" si="42"/>
        <v>0.18978589986178696</v>
      </c>
      <c r="DA139" s="191"/>
    </row>
    <row r="140" spans="1:105" ht="11.45" customHeight="1" x14ac:dyDescent="0.25">
      <c r="A140" s="157" t="s">
        <v>111</v>
      </c>
      <c r="B140" s="103">
        <f t="shared" si="40"/>
        <v>7.9197574108860164E-2</v>
      </c>
      <c r="C140" s="103">
        <f t="shared" si="40"/>
        <v>8.5624216038167791E-2</v>
      </c>
      <c r="D140" s="103">
        <f t="shared" si="40"/>
        <v>8.6701026743058421E-2</v>
      </c>
      <c r="E140" s="103">
        <f t="shared" si="40"/>
        <v>9.9894339886734032E-2</v>
      </c>
      <c r="F140" s="103">
        <f t="shared" si="40"/>
        <v>0.11025949687984235</v>
      </c>
      <c r="G140" s="103">
        <f t="shared" si="40"/>
        <v>9.0595481161733993E-2</v>
      </c>
      <c r="H140" s="103">
        <f t="shared" si="40"/>
        <v>0.11756104679508746</v>
      </c>
      <c r="I140" s="103">
        <f t="shared" si="40"/>
        <v>0.15030515925710908</v>
      </c>
      <c r="J140" s="103">
        <f t="shared" si="40"/>
        <v>0.17619255865231781</v>
      </c>
      <c r="K140" s="103">
        <f t="shared" si="40"/>
        <v>0.19784714084754851</v>
      </c>
      <c r="L140" s="103">
        <f t="shared" si="41"/>
        <v>0.21531001392168428</v>
      </c>
      <c r="M140" s="103">
        <f t="shared" si="40"/>
        <v>0.23366429356067178</v>
      </c>
      <c r="N140" s="103">
        <f t="shared" si="40"/>
        <v>0.24987610732621263</v>
      </c>
      <c r="O140" s="103">
        <f t="shared" si="40"/>
        <v>0.24700013933236029</v>
      </c>
      <c r="P140" s="103">
        <f t="shared" si="40"/>
        <v>0.24934249135557546</v>
      </c>
      <c r="Q140" s="103">
        <f t="shared" si="40"/>
        <v>0.25309410822136846</v>
      </c>
      <c r="R140" s="103">
        <f t="shared" si="40"/>
        <v>0.25187769530213017</v>
      </c>
      <c r="S140" s="103">
        <f t="shared" si="40"/>
        <v>0.24985420387334098</v>
      </c>
      <c r="T140" s="103">
        <f t="shared" si="40"/>
        <v>0.25999341091668066</v>
      </c>
      <c r="U140" s="103">
        <f t="shared" si="40"/>
        <v>0.25821677300357526</v>
      </c>
      <c r="V140" s="103">
        <f t="shared" si="40"/>
        <v>0.27067411366619459</v>
      </c>
      <c r="W140" s="103">
        <f t="shared" si="42"/>
        <v>0.22377426061849726</v>
      </c>
      <c r="DA140" s="191"/>
    </row>
    <row r="141" spans="1:105" ht="11.45" customHeight="1" x14ac:dyDescent="0.25">
      <c r="A141" s="157" t="s">
        <v>112</v>
      </c>
      <c r="B141" s="103">
        <f t="shared" si="40"/>
        <v>4.2681656429669125E-2</v>
      </c>
      <c r="C141" s="103">
        <f t="shared" si="40"/>
        <v>6.0914883733500909E-2</v>
      </c>
      <c r="D141" s="103">
        <f t="shared" si="40"/>
        <v>9.0167852733280596E-2</v>
      </c>
      <c r="E141" s="103">
        <f t="shared" si="40"/>
        <v>0.10771733046704907</v>
      </c>
      <c r="F141" s="103">
        <f t="shared" si="40"/>
        <v>0.11940713011349588</v>
      </c>
      <c r="G141" s="103">
        <f t="shared" si="40"/>
        <v>0.12929473369514063</v>
      </c>
      <c r="H141" s="103">
        <f t="shared" si="40"/>
        <v>0.12785353947597261</v>
      </c>
      <c r="I141" s="103">
        <f t="shared" si="40"/>
        <v>0.11827813869257198</v>
      </c>
      <c r="J141" s="103">
        <f t="shared" si="40"/>
        <v>0.11069715240485854</v>
      </c>
      <c r="K141" s="103">
        <f t="shared" si="40"/>
        <v>0.10114688703063331</v>
      </c>
      <c r="L141" s="103">
        <f t="shared" si="41"/>
        <v>9.5866946439130019E-2</v>
      </c>
      <c r="M141" s="103">
        <f t="shared" si="40"/>
        <v>9.1375118284947113E-2</v>
      </c>
      <c r="N141" s="103">
        <f t="shared" si="40"/>
        <v>9.5886791097790622E-2</v>
      </c>
      <c r="O141" s="103">
        <f t="shared" si="40"/>
        <v>0.10180101172145126</v>
      </c>
      <c r="P141" s="103">
        <f t="shared" si="40"/>
        <v>0.10114791295355363</v>
      </c>
      <c r="Q141" s="103">
        <f t="shared" si="40"/>
        <v>9.717666272227253E-2</v>
      </c>
      <c r="R141" s="103">
        <f t="shared" si="40"/>
        <v>9.0323574267650295E-2</v>
      </c>
      <c r="S141" s="103">
        <f t="shared" si="40"/>
        <v>8.3157350005537117E-2</v>
      </c>
      <c r="T141" s="103">
        <f t="shared" si="40"/>
        <v>8.1958293660993414E-2</v>
      </c>
      <c r="U141" s="103">
        <f t="shared" si="40"/>
        <v>8.4120028880878328E-2</v>
      </c>
      <c r="V141" s="103">
        <f t="shared" si="40"/>
        <v>7.8522320934417231E-2</v>
      </c>
      <c r="W141" s="103">
        <f t="shared" si="42"/>
        <v>7.5961051316226269E-2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1.2943959460673453E-4</v>
      </c>
      <c r="R142" s="103">
        <f t="shared" si="40"/>
        <v>1.5250527942887215E-4</v>
      </c>
      <c r="S142" s="103">
        <f t="shared" si="40"/>
        <v>1.5019848735219778E-4</v>
      </c>
      <c r="T142" s="103">
        <f t="shared" si="40"/>
        <v>1.5722421499862169E-4</v>
      </c>
      <c r="U142" s="103">
        <f t="shared" si="40"/>
        <v>1.5893983800625462E-4</v>
      </c>
      <c r="V142" s="103">
        <f t="shared" si="40"/>
        <v>1.5966478258119379E-4</v>
      </c>
      <c r="W142" s="103">
        <f t="shared" si="42"/>
        <v>1.4495235556079639E-4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1.0268165212666733E-7</v>
      </c>
      <c r="O143" s="103">
        <f t="shared" si="40"/>
        <v>2.3908822323662889E-7</v>
      </c>
      <c r="P143" s="103">
        <f t="shared" si="40"/>
        <v>1.5048958093695847E-5</v>
      </c>
      <c r="Q143" s="103">
        <f t="shared" si="40"/>
        <v>3.0440845686086352E-6</v>
      </c>
      <c r="R143" s="103">
        <f t="shared" si="40"/>
        <v>4.2752295591193041E-6</v>
      </c>
      <c r="S143" s="103">
        <f t="shared" si="40"/>
        <v>6.6700700032180894E-6</v>
      </c>
      <c r="T143" s="103">
        <f t="shared" si="40"/>
        <v>1.4233759418607427E-5</v>
      </c>
      <c r="U143" s="103">
        <f t="shared" si="40"/>
        <v>2.077508469960713E-5</v>
      </c>
      <c r="V143" s="103">
        <f t="shared" si="40"/>
        <v>4.9572969862016279E-5</v>
      </c>
      <c r="W143" s="103">
        <f t="shared" si="42"/>
        <v>1.8039997371401055E-4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0.11548960472756721</v>
      </c>
      <c r="C145" s="156">
        <f t="shared" si="40"/>
        <v>0.10795535050198267</v>
      </c>
      <c r="D145" s="156">
        <f t="shared" si="40"/>
        <v>0.10878226476096585</v>
      </c>
      <c r="E145" s="156">
        <f t="shared" si="40"/>
        <v>9.5743677301089666E-2</v>
      </c>
      <c r="F145" s="156">
        <f t="shared" si="40"/>
        <v>8.8854275008896214E-2</v>
      </c>
      <c r="G145" s="156">
        <f t="shared" si="40"/>
        <v>8.0216155063253386E-2</v>
      </c>
      <c r="H145" s="156">
        <f t="shared" si="40"/>
        <v>6.8773762460625554E-2</v>
      </c>
      <c r="I145" s="156">
        <f t="shared" si="40"/>
        <v>6.2734684431850873E-2</v>
      </c>
      <c r="J145" s="156">
        <f t="shared" si="40"/>
        <v>5.667837127808098E-2</v>
      </c>
      <c r="K145" s="156">
        <f t="shared" si="40"/>
        <v>5.5249056651088674E-2</v>
      </c>
      <c r="L145" s="156">
        <f t="shared" si="41"/>
        <v>5.1021747124479641E-2</v>
      </c>
      <c r="M145" s="156">
        <f t="shared" si="40"/>
        <v>5.0969041051225121E-2</v>
      </c>
      <c r="N145" s="156">
        <f t="shared" si="40"/>
        <v>5.2423568139478911E-2</v>
      </c>
      <c r="O145" s="156">
        <f t="shared" si="40"/>
        <v>5.6719270356092345E-2</v>
      </c>
      <c r="P145" s="156">
        <f t="shared" si="40"/>
        <v>5.7805674676423995E-2</v>
      </c>
      <c r="Q145" s="156">
        <f t="shared" si="40"/>
        <v>6.4257528999102628E-2</v>
      </c>
      <c r="R145" s="156">
        <f t="shared" si="40"/>
        <v>5.6676719929169936E-2</v>
      </c>
      <c r="S145" s="156">
        <f t="shared" si="40"/>
        <v>4.7907431929744143E-2</v>
      </c>
      <c r="T145" s="156">
        <f t="shared" si="40"/>
        <v>4.4021175769291918E-2</v>
      </c>
      <c r="U145" s="156">
        <f t="shared" si="40"/>
        <v>4.5440561734662197E-2</v>
      </c>
      <c r="V145" s="156">
        <f t="shared" si="40"/>
        <v>4.6898026986841403E-2</v>
      </c>
      <c r="W145" s="156">
        <f t="shared" si="42"/>
        <v>4.3289100652491329E-2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0.11431998614603503</v>
      </c>
      <c r="C147" s="103">
        <f t="shared" si="40"/>
        <v>0.10689726163154212</v>
      </c>
      <c r="D147" s="103">
        <f t="shared" si="40"/>
        <v>0.10780892875080161</v>
      </c>
      <c r="E147" s="103">
        <f t="shared" si="40"/>
        <v>9.4957034307082896E-2</v>
      </c>
      <c r="F147" s="103">
        <f t="shared" si="40"/>
        <v>8.7083208605089515E-2</v>
      </c>
      <c r="G147" s="103">
        <f t="shared" si="40"/>
        <v>7.8736475409443701E-2</v>
      </c>
      <c r="H147" s="103">
        <f t="shared" si="40"/>
        <v>6.7529107012049783E-2</v>
      </c>
      <c r="I147" s="103">
        <f t="shared" si="40"/>
        <v>6.1694280406585103E-2</v>
      </c>
      <c r="J147" s="103">
        <f t="shared" si="40"/>
        <v>5.5755031869350533E-2</v>
      </c>
      <c r="K147" s="103">
        <f t="shared" si="40"/>
        <v>5.4414368941696226E-2</v>
      </c>
      <c r="L147" s="103">
        <f t="shared" si="41"/>
        <v>5.0296215539965515E-2</v>
      </c>
      <c r="M147" s="103">
        <f t="shared" si="40"/>
        <v>5.0311876320835905E-2</v>
      </c>
      <c r="N147" s="103">
        <f t="shared" si="40"/>
        <v>5.1793691935913683E-2</v>
      </c>
      <c r="O147" s="103">
        <f t="shared" si="40"/>
        <v>5.6102680915063943E-2</v>
      </c>
      <c r="P147" s="103">
        <f t="shared" si="40"/>
        <v>5.7250501244420035E-2</v>
      </c>
      <c r="Q147" s="103">
        <f t="shared" si="40"/>
        <v>6.3206778648927472E-2</v>
      </c>
      <c r="R147" s="103">
        <f t="shared" ref="R147:V147" si="43">IF(R29=0,0,R29/R$17)</f>
        <v>5.5918297162099909E-2</v>
      </c>
      <c r="S147" s="103">
        <f t="shared" si="43"/>
        <v>4.7419685422414801E-2</v>
      </c>
      <c r="T147" s="103">
        <f t="shared" si="43"/>
        <v>4.3513825342889022E-2</v>
      </c>
      <c r="U147" s="103">
        <f t="shared" si="43"/>
        <v>4.4777892041611214E-2</v>
      </c>
      <c r="V147" s="103">
        <f t="shared" si="43"/>
        <v>4.6087261640816939E-2</v>
      </c>
      <c r="W147" s="103">
        <f t="shared" ref="W147" si="44">IF(W29=0,0,W29/W$17)</f>
        <v>4.223478113628816E-2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1.1696185815321765E-3</v>
      </c>
      <c r="C148" s="103">
        <f t="shared" si="45"/>
        <v>1.0580888704405454E-3</v>
      </c>
      <c r="D148" s="103">
        <f t="shared" si="45"/>
        <v>9.7333601016423696E-4</v>
      </c>
      <c r="E148" s="103">
        <f t="shared" si="45"/>
        <v>7.8664299400677516E-4</v>
      </c>
      <c r="F148" s="103">
        <f t="shared" si="45"/>
        <v>1.771066403806697E-3</v>
      </c>
      <c r="G148" s="103">
        <f t="shared" si="45"/>
        <v>1.4796796538096874E-3</v>
      </c>
      <c r="H148" s="103">
        <f t="shared" si="45"/>
        <v>1.2446554485757771E-3</v>
      </c>
      <c r="I148" s="103">
        <f t="shared" si="45"/>
        <v>1.0404040252657706E-3</v>
      </c>
      <c r="J148" s="103">
        <f t="shared" si="45"/>
        <v>9.2333940873044599E-4</v>
      </c>
      <c r="K148" s="103">
        <f t="shared" si="45"/>
        <v>8.3468770939244743E-4</v>
      </c>
      <c r="L148" s="103">
        <f t="shared" ref="L148:L150" si="46">IF(L30=0,0,L30/L$17)</f>
        <v>7.2553158451412847E-4</v>
      </c>
      <c r="M148" s="103">
        <f t="shared" ref="M148:V148" si="47">IF(M30=0,0,M30/M$17)</f>
        <v>6.571647303892196E-4</v>
      </c>
      <c r="N148" s="103">
        <f t="shared" si="47"/>
        <v>6.2987620356523425E-4</v>
      </c>
      <c r="O148" s="103">
        <f t="shared" si="47"/>
        <v>6.1658944102840809E-4</v>
      </c>
      <c r="P148" s="103">
        <f t="shared" si="47"/>
        <v>5.5517343200395925E-4</v>
      </c>
      <c r="Q148" s="103">
        <f t="shared" si="47"/>
        <v>4.7508572045179906E-4</v>
      </c>
      <c r="R148" s="103">
        <f t="shared" si="47"/>
        <v>3.7583717304575303E-4</v>
      </c>
      <c r="S148" s="103">
        <f t="shared" si="47"/>
        <v>3.0727968227812179E-4</v>
      </c>
      <c r="T148" s="103">
        <f t="shared" si="47"/>
        <v>2.8439183435555269E-4</v>
      </c>
      <c r="U148" s="103">
        <f t="shared" si="47"/>
        <v>2.8531878792318742E-4</v>
      </c>
      <c r="V148" s="103">
        <f t="shared" si="47"/>
        <v>2.8954234253752525E-4</v>
      </c>
      <c r="W148" s="103">
        <f t="shared" ref="W148" si="48">IF(W30=0,0,W30/W$17)</f>
        <v>2.6746601423548687E-4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5.7566462972334816E-4</v>
      </c>
      <c r="R149" s="103">
        <f t="shared" si="50"/>
        <v>3.8258559402427254E-4</v>
      </c>
      <c r="S149" s="103">
        <f t="shared" si="50"/>
        <v>1.8046682505122607E-4</v>
      </c>
      <c r="T149" s="103">
        <f t="shared" si="50"/>
        <v>2.2295859204734178E-4</v>
      </c>
      <c r="U149" s="103">
        <f t="shared" si="50"/>
        <v>3.7735090512779502E-4</v>
      </c>
      <c r="V149" s="103">
        <f t="shared" si="50"/>
        <v>5.2122300348694209E-4</v>
      </c>
      <c r="W149" s="103">
        <f t="shared" ref="W149" si="51">IF(W31=0,0,W31/W$17)</f>
        <v>7.8685350196768694E-4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0.30409823347501708</v>
      </c>
      <c r="C151" s="46">
        <f t="shared" si="55"/>
        <v>0.32120562444000783</v>
      </c>
      <c r="D151" s="46">
        <f t="shared" si="55"/>
        <v>0.31074800146619536</v>
      </c>
      <c r="E151" s="46">
        <f t="shared" si="55"/>
        <v>0.34396746350873342</v>
      </c>
      <c r="F151" s="46">
        <f t="shared" si="55"/>
        <v>0.35647305430494675</v>
      </c>
      <c r="G151" s="46">
        <f t="shared" si="55"/>
        <v>0.40186025212603582</v>
      </c>
      <c r="H151" s="46">
        <f t="shared" si="55"/>
        <v>0.4042376098963637</v>
      </c>
      <c r="I151" s="46">
        <f t="shared" si="55"/>
        <v>0.41128634145811038</v>
      </c>
      <c r="J151" s="46">
        <f t="shared" si="55"/>
        <v>0.41018751648162344</v>
      </c>
      <c r="K151" s="46">
        <f t="shared" si="55"/>
        <v>0.39963251474001205</v>
      </c>
      <c r="L151" s="46">
        <f t="shared" ref="L151" si="56">IF(L33=0,0,L33/L$17)</f>
        <v>0.40693529259520345</v>
      </c>
      <c r="M151" s="46">
        <f t="shared" ref="M151:V151" si="57">IF(M33=0,0,M33/M$17)</f>
        <v>0.40747403007524879</v>
      </c>
      <c r="N151" s="46">
        <f t="shared" si="57"/>
        <v>0.38485421113862089</v>
      </c>
      <c r="O151" s="46">
        <f t="shared" si="57"/>
        <v>0.37266247312194989</v>
      </c>
      <c r="P151" s="46">
        <f t="shared" si="57"/>
        <v>0.37798406247762856</v>
      </c>
      <c r="Q151" s="46">
        <f t="shared" si="57"/>
        <v>0.37301972787521653</v>
      </c>
      <c r="R151" s="46">
        <f t="shared" si="57"/>
        <v>0.40385160007969517</v>
      </c>
      <c r="S151" s="46">
        <f t="shared" si="57"/>
        <v>0.43213543538791177</v>
      </c>
      <c r="T151" s="46">
        <f t="shared" si="57"/>
        <v>0.42395812618393741</v>
      </c>
      <c r="U151" s="46">
        <f t="shared" si="57"/>
        <v>0.41878727259524606</v>
      </c>
      <c r="V151" s="46">
        <f t="shared" si="57"/>
        <v>0.4152031396827397</v>
      </c>
      <c r="W151" s="46">
        <f t="shared" ref="W151" si="58">IF(W33=0,0,W33/W$17)</f>
        <v>0.46320607479531656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0.21760159412033428</v>
      </c>
      <c r="C152" s="154">
        <f t="shared" si="59"/>
        <v>0.2082052438890718</v>
      </c>
      <c r="D152" s="154">
        <f t="shared" si="59"/>
        <v>0.22226387475441681</v>
      </c>
      <c r="E152" s="154">
        <f t="shared" si="59"/>
        <v>0.2077287326058479</v>
      </c>
      <c r="F152" s="154">
        <f t="shared" si="59"/>
        <v>0.17722172131872097</v>
      </c>
      <c r="G152" s="154">
        <f t="shared" si="59"/>
        <v>0.16731664832623197</v>
      </c>
      <c r="H152" s="154">
        <f t="shared" si="59"/>
        <v>0.15764232154979366</v>
      </c>
      <c r="I152" s="154">
        <f t="shared" si="59"/>
        <v>0.14649813771660594</v>
      </c>
      <c r="J152" s="154">
        <f t="shared" si="59"/>
        <v>0.14394986251149558</v>
      </c>
      <c r="K152" s="154">
        <f t="shared" si="59"/>
        <v>0.14656520736648701</v>
      </c>
      <c r="L152" s="154">
        <f t="shared" ref="L152" si="60">IF(L34=0,0,L34/L$17)</f>
        <v>0.14458040723901974</v>
      </c>
      <c r="M152" s="154">
        <f t="shared" ref="M152:V152" si="61">IF(M34=0,0,M34/M$17)</f>
        <v>0.1492291657656982</v>
      </c>
      <c r="N152" s="154">
        <f t="shared" si="61"/>
        <v>0.15560288740567457</v>
      </c>
      <c r="O152" s="154">
        <f t="shared" si="61"/>
        <v>0.17005106895529748</v>
      </c>
      <c r="P152" s="154">
        <f t="shared" si="61"/>
        <v>0.16823014344535261</v>
      </c>
      <c r="Q152" s="154">
        <f t="shared" si="61"/>
        <v>0.16087812124595027</v>
      </c>
      <c r="R152" s="154">
        <f t="shared" si="61"/>
        <v>0.15065987447336124</v>
      </c>
      <c r="S152" s="154">
        <f t="shared" si="61"/>
        <v>0.13410021965447408</v>
      </c>
      <c r="T152" s="154">
        <f t="shared" si="61"/>
        <v>0.13504119506013695</v>
      </c>
      <c r="U152" s="154">
        <f t="shared" si="61"/>
        <v>0.13725387740166484</v>
      </c>
      <c r="V152" s="154">
        <f t="shared" si="61"/>
        <v>0.14442671972115273</v>
      </c>
      <c r="W152" s="154">
        <f t="shared" ref="W152" si="62">IF(W34=0,0,W34/W$17)</f>
        <v>0.13757205120037411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0.11592536806890781</v>
      </c>
      <c r="C153" s="103">
        <f t="shared" si="63"/>
        <v>0.11245643783367529</v>
      </c>
      <c r="D153" s="103">
        <f t="shared" si="63"/>
        <v>0.10515253008283781</v>
      </c>
      <c r="E153" s="103">
        <f t="shared" si="63"/>
        <v>9.2640817190911301E-2</v>
      </c>
      <c r="F153" s="103">
        <f t="shared" si="63"/>
        <v>7.3483482738992065E-2</v>
      </c>
      <c r="G153" s="103">
        <f t="shared" si="63"/>
        <v>6.0131819603714776E-2</v>
      </c>
      <c r="H153" s="103">
        <f t="shared" si="63"/>
        <v>4.9980927677974782E-2</v>
      </c>
      <c r="I153" s="103">
        <f t="shared" si="63"/>
        <v>4.0470604819881593E-2</v>
      </c>
      <c r="J153" s="103">
        <f t="shared" si="63"/>
        <v>3.4979246667931251E-2</v>
      </c>
      <c r="K153" s="103">
        <f t="shared" si="63"/>
        <v>3.462907072837984E-2</v>
      </c>
      <c r="L153" s="103">
        <f t="shared" ref="L153" si="64">IF(L35=0,0,L35/L$17)</f>
        <v>3.1204489556154506E-2</v>
      </c>
      <c r="M153" s="103">
        <f t="shared" ref="M153:V153" si="65">IF(M35=0,0,M35/M$17)</f>
        <v>2.8238951691226546E-2</v>
      </c>
      <c r="N153" s="103">
        <f t="shared" si="65"/>
        <v>2.7503493407634104E-2</v>
      </c>
      <c r="O153" s="103">
        <f t="shared" si="65"/>
        <v>2.7340856526888401E-2</v>
      </c>
      <c r="P153" s="103">
        <f t="shared" si="65"/>
        <v>2.474015001360777E-2</v>
      </c>
      <c r="Q153" s="103">
        <f t="shared" si="65"/>
        <v>2.0401197058927463E-2</v>
      </c>
      <c r="R153" s="103">
        <f t="shared" si="65"/>
        <v>1.7713544119504203E-2</v>
      </c>
      <c r="S153" s="103">
        <f t="shared" si="65"/>
        <v>1.5801626308680865E-2</v>
      </c>
      <c r="T153" s="103">
        <f t="shared" si="65"/>
        <v>1.5220865261131004E-2</v>
      </c>
      <c r="U153" s="103">
        <f t="shared" si="65"/>
        <v>1.5099101517354767E-2</v>
      </c>
      <c r="V153" s="103">
        <f t="shared" si="65"/>
        <v>1.4474146625917624E-2</v>
      </c>
      <c r="W153" s="103">
        <f t="shared" ref="W153" si="66">IF(W35=0,0,W35/W$17)</f>
        <v>1.3372578730137221E-2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9.7673383189743043E-2</v>
      </c>
      <c r="C154" s="103">
        <f t="shared" si="67"/>
        <v>9.1259361712421327E-2</v>
      </c>
      <c r="D154" s="103">
        <f t="shared" si="67"/>
        <v>0.11092764318165725</v>
      </c>
      <c r="E154" s="103">
        <f t="shared" si="67"/>
        <v>0.10847220370006433</v>
      </c>
      <c r="F154" s="103">
        <f t="shared" si="67"/>
        <v>9.7739846503053035E-2</v>
      </c>
      <c r="G154" s="103">
        <f t="shared" si="67"/>
        <v>0.10116697035448013</v>
      </c>
      <c r="H154" s="103">
        <f t="shared" si="67"/>
        <v>0.10129072900439837</v>
      </c>
      <c r="I154" s="103">
        <f t="shared" si="67"/>
        <v>9.9876310452581774E-2</v>
      </c>
      <c r="J154" s="103">
        <f t="shared" si="67"/>
        <v>0.10283063846790655</v>
      </c>
      <c r="K154" s="103">
        <f t="shared" si="67"/>
        <v>0.10579357435164988</v>
      </c>
      <c r="L154" s="103">
        <f t="shared" ref="L154" si="68">IF(L36=0,0,L36/L$17)</f>
        <v>0.10740544564545988</v>
      </c>
      <c r="M154" s="103">
        <f t="shared" ref="M154:V154" si="69">IF(M36=0,0,M36/M$17)</f>
        <v>0.11491835165672802</v>
      </c>
      <c r="N154" s="103">
        <f t="shared" si="69"/>
        <v>0.12237031656288301</v>
      </c>
      <c r="O154" s="103">
        <f t="shared" si="69"/>
        <v>0.13663152756201483</v>
      </c>
      <c r="P154" s="103">
        <f t="shared" si="69"/>
        <v>0.13689404617340475</v>
      </c>
      <c r="Q154" s="103">
        <f t="shared" si="69"/>
        <v>0.13416002615499437</v>
      </c>
      <c r="R154" s="103">
        <f t="shared" si="69"/>
        <v>0.12741342042819412</v>
      </c>
      <c r="S154" s="103">
        <f t="shared" si="69"/>
        <v>0.11367333527584363</v>
      </c>
      <c r="T154" s="103">
        <f t="shared" si="69"/>
        <v>0.11512629120281806</v>
      </c>
      <c r="U154" s="103">
        <f t="shared" si="69"/>
        <v>0.1175268656995986</v>
      </c>
      <c r="V154" s="103">
        <f t="shared" si="69"/>
        <v>0.12532279073310587</v>
      </c>
      <c r="W154" s="103">
        <f t="shared" ref="W154" si="70">IF(W36=0,0,W36/W$17)</f>
        <v>0.11995014513715375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4.002842861683442E-3</v>
      </c>
      <c r="C155" s="103">
        <f t="shared" si="71"/>
        <v>4.4894443429752103E-3</v>
      </c>
      <c r="D155" s="103">
        <f t="shared" si="71"/>
        <v>6.1837014899217514E-3</v>
      </c>
      <c r="E155" s="103">
        <f t="shared" si="71"/>
        <v>6.6157117148722489E-3</v>
      </c>
      <c r="F155" s="103">
        <f t="shared" si="71"/>
        <v>5.9983920766758488E-3</v>
      </c>
      <c r="G155" s="103">
        <f t="shared" si="71"/>
        <v>6.0178583680370627E-3</v>
      </c>
      <c r="H155" s="103">
        <f t="shared" si="71"/>
        <v>6.3706648674205137E-3</v>
      </c>
      <c r="I155" s="103">
        <f t="shared" si="71"/>
        <v>6.1512224441425921E-3</v>
      </c>
      <c r="J155" s="103">
        <f t="shared" si="71"/>
        <v>6.1399773756577788E-3</v>
      </c>
      <c r="K155" s="103">
        <f t="shared" si="71"/>
        <v>6.1425622864572978E-3</v>
      </c>
      <c r="L155" s="103">
        <f t="shared" ref="L155" si="72">IF(L37=0,0,L37/L$17)</f>
        <v>5.9704720374053645E-3</v>
      </c>
      <c r="M155" s="103">
        <f t="shared" ref="M155:V155" si="73">IF(M37=0,0,M37/M$17)</f>
        <v>6.0718624177436356E-3</v>
      </c>
      <c r="N155" s="103">
        <f t="shared" si="73"/>
        <v>5.72907743515745E-3</v>
      </c>
      <c r="O155" s="103">
        <f t="shared" si="73"/>
        <v>6.0786848663942688E-3</v>
      </c>
      <c r="P155" s="103">
        <f t="shared" si="73"/>
        <v>6.5959472583400998E-3</v>
      </c>
      <c r="Q155" s="103">
        <f t="shared" si="73"/>
        <v>6.1985712388342214E-3</v>
      </c>
      <c r="R155" s="103">
        <f t="shared" si="73"/>
        <v>5.4103209441971082E-3</v>
      </c>
      <c r="S155" s="103">
        <f t="shared" si="73"/>
        <v>4.5231550602223575E-3</v>
      </c>
      <c r="T155" s="103">
        <f t="shared" si="73"/>
        <v>4.5908637732565956E-3</v>
      </c>
      <c r="U155" s="103">
        <f t="shared" si="73"/>
        <v>4.5260877595342244E-3</v>
      </c>
      <c r="V155" s="103">
        <f t="shared" si="73"/>
        <v>4.552163587392492E-3</v>
      </c>
      <c r="W155" s="103">
        <f t="shared" ref="W155" si="74">IF(W37=0,0,W37/W$17)</f>
        <v>4.184793231826133E-3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1.1832679319420318E-4</v>
      </c>
      <c r="R156" s="103">
        <f t="shared" si="77"/>
        <v>1.2258898146580804E-4</v>
      </c>
      <c r="S156" s="103">
        <f t="shared" si="77"/>
        <v>1.021030097272231E-4</v>
      </c>
      <c r="T156" s="103">
        <f t="shared" si="77"/>
        <v>1.0317482293129967E-4</v>
      </c>
      <c r="U156" s="103">
        <f t="shared" si="77"/>
        <v>1.0182242517725164E-4</v>
      </c>
      <c r="V156" s="103">
        <f t="shared" si="77"/>
        <v>7.7618774736716838E-5</v>
      </c>
      <c r="W156" s="103">
        <f t="shared" ref="W156" si="78">IF(W38=0,0,W38/W$17)</f>
        <v>6.4534101257008789E-5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8.6496639354682797E-2</v>
      </c>
      <c r="C158" s="156">
        <f t="shared" si="83"/>
        <v>0.11300038055093607</v>
      </c>
      <c r="D158" s="156">
        <f t="shared" si="83"/>
        <v>8.8484126711778521E-2</v>
      </c>
      <c r="E158" s="156">
        <f t="shared" si="83"/>
        <v>0.13623873090288555</v>
      </c>
      <c r="F158" s="156">
        <f t="shared" si="83"/>
        <v>0.17925133298622578</v>
      </c>
      <c r="G158" s="156">
        <f t="shared" si="83"/>
        <v>0.23454360379980385</v>
      </c>
      <c r="H158" s="156">
        <f t="shared" si="83"/>
        <v>0.24659528834657005</v>
      </c>
      <c r="I158" s="156">
        <f t="shared" si="83"/>
        <v>0.26478820374150441</v>
      </c>
      <c r="J158" s="156">
        <f t="shared" si="83"/>
        <v>0.26623765397012789</v>
      </c>
      <c r="K158" s="156">
        <f t="shared" si="83"/>
        <v>0.25306730737352501</v>
      </c>
      <c r="L158" s="156">
        <f t="shared" ref="L158" si="84">IF(L40=0,0,L40/L$17)</f>
        <v>0.26235488535618373</v>
      </c>
      <c r="M158" s="156">
        <f t="shared" ref="M158:V158" si="85">IF(M40=0,0,M40/M$17)</f>
        <v>0.25824486430955057</v>
      </c>
      <c r="N158" s="156">
        <f t="shared" si="85"/>
        <v>0.22925132373294627</v>
      </c>
      <c r="O158" s="156">
        <f t="shared" si="85"/>
        <v>0.20261140416665241</v>
      </c>
      <c r="P158" s="156">
        <f t="shared" si="85"/>
        <v>0.20975391903227597</v>
      </c>
      <c r="Q158" s="156">
        <f t="shared" si="85"/>
        <v>0.21214160662926629</v>
      </c>
      <c r="R158" s="156">
        <f t="shared" si="85"/>
        <v>0.25319172560633391</v>
      </c>
      <c r="S158" s="156">
        <f t="shared" si="85"/>
        <v>0.29803521573343766</v>
      </c>
      <c r="T158" s="156">
        <f t="shared" si="85"/>
        <v>0.28891693112380051</v>
      </c>
      <c r="U158" s="156">
        <f t="shared" si="85"/>
        <v>0.28153339519358123</v>
      </c>
      <c r="V158" s="156">
        <f t="shared" si="85"/>
        <v>0.27077641996158697</v>
      </c>
      <c r="W158" s="156">
        <f t="shared" ref="W158" si="86">IF(W40=0,0,W40/W$17)</f>
        <v>0.32563402359494248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6.5974198547845725E-2</v>
      </c>
      <c r="C159" s="103">
        <f t="shared" si="87"/>
        <v>8.5573923418556089E-2</v>
      </c>
      <c r="D159" s="103">
        <f t="shared" si="87"/>
        <v>6.695961681271323E-2</v>
      </c>
      <c r="E159" s="103">
        <f t="shared" si="87"/>
        <v>0.10445285304881806</v>
      </c>
      <c r="F159" s="103">
        <f t="shared" si="87"/>
        <v>0.13719700482516137</v>
      </c>
      <c r="G159" s="103">
        <f t="shared" si="87"/>
        <v>0.18038123426843136</v>
      </c>
      <c r="H159" s="103">
        <f t="shared" si="87"/>
        <v>0.18048993736799757</v>
      </c>
      <c r="I159" s="103">
        <f t="shared" si="87"/>
        <v>0.20240028026691451</v>
      </c>
      <c r="J159" s="103">
        <f t="shared" si="87"/>
        <v>0.20669956140914209</v>
      </c>
      <c r="K159" s="103">
        <f t="shared" si="87"/>
        <v>0.20282281588366829</v>
      </c>
      <c r="L159" s="103">
        <f t="shared" ref="L159" si="88">IF(L41=0,0,L41/L$17)</f>
        <v>0.20606658929261912</v>
      </c>
      <c r="M159" s="103">
        <f t="shared" ref="M159:V159" si="89">IF(M41=0,0,M41/M$17)</f>
        <v>0.20444337801962595</v>
      </c>
      <c r="N159" s="103">
        <f t="shared" si="89"/>
        <v>0.17765098647586822</v>
      </c>
      <c r="O159" s="103">
        <f t="shared" si="89"/>
        <v>0.15788004499108377</v>
      </c>
      <c r="P159" s="103">
        <f t="shared" si="89"/>
        <v>0.16223515546762393</v>
      </c>
      <c r="Q159" s="103">
        <f t="shared" si="89"/>
        <v>0.16550183498341242</v>
      </c>
      <c r="R159" s="103">
        <f t="shared" si="89"/>
        <v>0.19257008245761134</v>
      </c>
      <c r="S159" s="103">
        <f t="shared" si="89"/>
        <v>0.22482826708507156</v>
      </c>
      <c r="T159" s="103">
        <f t="shared" si="89"/>
        <v>0.22366335407168733</v>
      </c>
      <c r="U159" s="103">
        <f t="shared" si="89"/>
        <v>0.21058353174593827</v>
      </c>
      <c r="V159" s="103">
        <f t="shared" si="89"/>
        <v>0.20604430783057218</v>
      </c>
      <c r="W159" s="103">
        <f t="shared" ref="W159" si="90">IF(W41=0,0,W41/W$17)</f>
        <v>0.24807534992734484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2.0522440806837069E-2</v>
      </c>
      <c r="C160" s="105">
        <f t="shared" si="91"/>
        <v>2.742645713237999E-2</v>
      </c>
      <c r="D160" s="105">
        <f t="shared" si="91"/>
        <v>2.1524509899065295E-2</v>
      </c>
      <c r="E160" s="105">
        <f t="shared" si="91"/>
        <v>3.1785877854067487E-2</v>
      </c>
      <c r="F160" s="105">
        <f t="shared" si="91"/>
        <v>4.2054328161064407E-2</v>
      </c>
      <c r="G160" s="105">
        <f t="shared" si="91"/>
        <v>5.4162369531372503E-2</v>
      </c>
      <c r="H160" s="105">
        <f t="shared" si="91"/>
        <v>6.610535097857248E-2</v>
      </c>
      <c r="I160" s="105">
        <f t="shared" si="91"/>
        <v>6.2387923474589928E-2</v>
      </c>
      <c r="J160" s="105">
        <f t="shared" si="91"/>
        <v>5.9538092560985786E-2</v>
      </c>
      <c r="K160" s="105">
        <f t="shared" si="91"/>
        <v>5.024449148985672E-2</v>
      </c>
      <c r="L160" s="105">
        <f t="shared" ref="L160" si="92">IF(L42=0,0,L42/L$17)</f>
        <v>5.6288296063564593E-2</v>
      </c>
      <c r="M160" s="105">
        <f t="shared" ref="M160:V160" si="93">IF(M42=0,0,M42/M$17)</f>
        <v>5.3801486289924635E-2</v>
      </c>
      <c r="N160" s="105">
        <f t="shared" si="93"/>
        <v>5.1600337257078015E-2</v>
      </c>
      <c r="O160" s="105">
        <f t="shared" si="93"/>
        <v>4.473135917556862E-2</v>
      </c>
      <c r="P160" s="105">
        <f t="shared" si="93"/>
        <v>4.7518763564652032E-2</v>
      </c>
      <c r="Q160" s="105">
        <f t="shared" si="93"/>
        <v>4.6639771645853888E-2</v>
      </c>
      <c r="R160" s="105">
        <f t="shared" si="93"/>
        <v>6.0621643148722544E-2</v>
      </c>
      <c r="S160" s="105">
        <f t="shared" si="93"/>
        <v>7.3206948648366119E-2</v>
      </c>
      <c r="T160" s="105">
        <f t="shared" si="93"/>
        <v>6.5253577052113182E-2</v>
      </c>
      <c r="U160" s="105">
        <f t="shared" si="93"/>
        <v>7.0949863447642952E-2</v>
      </c>
      <c r="V160" s="105">
        <f t="shared" si="93"/>
        <v>6.4732112131014805E-2</v>
      </c>
      <c r="W160" s="105">
        <f t="shared" ref="W160" si="94">IF(W42=0,0,W42/W$17)</f>
        <v>7.7558673667597625E-2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12954807</v>
      </c>
      <c r="C3" s="54">
        <f>TrRoad_act!C57</f>
        <v>14001742</v>
      </c>
      <c r="D3" s="54">
        <f>TrRoad_act!D57</f>
        <v>14588832</v>
      </c>
      <c r="E3" s="54">
        <f>TrRoad_act!E57</f>
        <v>14924164</v>
      </c>
      <c r="F3" s="54">
        <f>TrRoad_act!F57</f>
        <v>15095969</v>
      </c>
      <c r="G3" s="54">
        <f>TrRoad_act!G57</f>
        <v>15776072</v>
      </c>
      <c r="H3" s="54">
        <f>TrRoad_act!H57</f>
        <v>16966229</v>
      </c>
      <c r="I3" s="54">
        <f>TrRoad_act!I57</f>
        <v>18447030</v>
      </c>
      <c r="J3" s="54">
        <f>TrRoad_act!J57</f>
        <v>20377166</v>
      </c>
      <c r="K3" s="54">
        <f>TrRoad_act!K57</f>
        <v>21074319</v>
      </c>
      <c r="L3" s="54">
        <f>TrRoad_act!L57</f>
        <v>22121584</v>
      </c>
      <c r="M3" s="54">
        <f>TrRoad_act!M57</f>
        <v>23326229</v>
      </c>
      <c r="N3" s="54">
        <f>TrRoad_act!N57</f>
        <v>24087799</v>
      </c>
      <c r="O3" s="54">
        <f>TrRoad_act!O57</f>
        <v>24965875</v>
      </c>
      <c r="P3" s="54">
        <f>TrRoad_act!P57</f>
        <v>25698580</v>
      </c>
      <c r="Q3" s="54">
        <f>TrRoad_act!Q57</f>
        <v>26635066</v>
      </c>
      <c r="R3" s="54">
        <f>TrRoad_act!R57</f>
        <v>27797498</v>
      </c>
      <c r="S3" s="54">
        <f>TrRoad_act!S57</f>
        <v>28814613</v>
      </c>
      <c r="T3" s="54">
        <f>TrRoad_act!T57</f>
        <v>29966233</v>
      </c>
      <c r="U3" s="54">
        <f>TrRoad_act!U57</f>
        <v>31114368</v>
      </c>
      <c r="V3" s="54">
        <f>TrRoad_act!V57</f>
        <v>32087664</v>
      </c>
      <c r="W3" s="54">
        <f>TrRoad_act!W57</f>
        <v>33077265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10827968</v>
      </c>
      <c r="C4" s="28">
        <f>TrRoad_act!C58</f>
        <v>11839703</v>
      </c>
      <c r="D4" s="28">
        <f>TrRoad_act!D58</f>
        <v>12319492</v>
      </c>
      <c r="E4" s="28">
        <f>TrRoad_act!E58</f>
        <v>12622951</v>
      </c>
      <c r="F4" s="28">
        <f>TrRoad_act!F58</f>
        <v>12847477</v>
      </c>
      <c r="G4" s="28">
        <f>TrRoad_act!G58</f>
        <v>13467425</v>
      </c>
      <c r="H4" s="28">
        <f>TrRoad_act!H58</f>
        <v>14610835</v>
      </c>
      <c r="I4" s="28">
        <f>TrRoad_act!I58</f>
        <v>15977887</v>
      </c>
      <c r="J4" s="28">
        <f>TrRoad_act!J58</f>
        <v>17725555</v>
      </c>
      <c r="K4" s="28">
        <f>TrRoad_act!K58</f>
        <v>18343082</v>
      </c>
      <c r="L4" s="28">
        <f>TrRoad_act!L58</f>
        <v>19215099</v>
      </c>
      <c r="M4" s="28">
        <f>TrRoad_act!M58</f>
        <v>20268325</v>
      </c>
      <c r="N4" s="28">
        <f>TrRoad_act!N58</f>
        <v>20992524</v>
      </c>
      <c r="O4" s="28">
        <f>TrRoad_act!O58</f>
        <v>21747963</v>
      </c>
      <c r="P4" s="28">
        <f>TrRoad_act!P58</f>
        <v>22453348</v>
      </c>
      <c r="Q4" s="28">
        <f>TrRoad_act!Q58</f>
        <v>23305616</v>
      </c>
      <c r="R4" s="28">
        <f>TrRoad_act!R58</f>
        <v>24375224</v>
      </c>
      <c r="S4" s="28">
        <f>TrRoad_act!S58</f>
        <v>25311729</v>
      </c>
      <c r="T4" s="28">
        <f>TrRoad_act!T58</f>
        <v>26336359</v>
      </c>
      <c r="U4" s="28">
        <f>TrRoad_act!U58</f>
        <v>27378222</v>
      </c>
      <c r="V4" s="28">
        <f>TrRoad_act!V58</f>
        <v>28240112</v>
      </c>
      <c r="W4" s="28">
        <f>TrRoad_act!W58</f>
        <v>29096158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803000</v>
      </c>
      <c r="C5" s="137">
        <f>TrRoad_act!C59</f>
        <v>803000</v>
      </c>
      <c r="D5" s="137">
        <f>TrRoad_act!D59</f>
        <v>869000</v>
      </c>
      <c r="E5" s="137">
        <f>TrRoad_act!E59</f>
        <v>845456</v>
      </c>
      <c r="F5" s="137">
        <f>TrRoad_act!F59</f>
        <v>835790</v>
      </c>
      <c r="G5" s="137">
        <f>TrRoad_act!G59</f>
        <v>1091159</v>
      </c>
      <c r="H5" s="137">
        <f>TrRoad_act!H59</f>
        <v>1190093</v>
      </c>
      <c r="I5" s="137">
        <f>TrRoad_act!I59</f>
        <v>1350789</v>
      </c>
      <c r="J5" s="137">
        <f>TrRoad_act!J59</f>
        <v>1607316</v>
      </c>
      <c r="K5" s="137">
        <f>TrRoad_act!K59</f>
        <v>1808723</v>
      </c>
      <c r="L5" s="137">
        <f>TrRoad_act!L59</f>
        <v>1935140</v>
      </c>
      <c r="M5" s="137">
        <f>TrRoad_act!M59</f>
        <v>2102175</v>
      </c>
      <c r="N5" s="137">
        <f>TrRoad_act!N59</f>
        <v>2207556</v>
      </c>
      <c r="O5" s="137">
        <f>TrRoad_act!O59</f>
        <v>2316610</v>
      </c>
      <c r="P5" s="137">
        <f>TrRoad_act!P59</f>
        <v>2406105</v>
      </c>
      <c r="Q5" s="137">
        <f>TrRoad_act!Q59</f>
        <v>2531520</v>
      </c>
      <c r="R5" s="137">
        <f>TrRoad_act!R59</f>
        <v>2647825</v>
      </c>
      <c r="S5" s="137">
        <f>TrRoad_act!S59</f>
        <v>2755000</v>
      </c>
      <c r="T5" s="137">
        <f>TrRoad_act!T59</f>
        <v>2852800</v>
      </c>
      <c r="U5" s="137">
        <f>TrRoad_act!U59</f>
        <v>2962035</v>
      </c>
      <c r="V5" s="137">
        <f>TrRoad_act!V59</f>
        <v>3069151</v>
      </c>
      <c r="W5" s="137">
        <f>TrRoad_act!W59</f>
        <v>3169006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9991300</v>
      </c>
      <c r="C6" s="110">
        <f>TrRoad_act!C60</f>
        <v>11003100</v>
      </c>
      <c r="D6" s="110">
        <f>TrRoad_act!D60</f>
        <v>11416573</v>
      </c>
      <c r="E6" s="110">
        <f>TrRoad_act!E60</f>
        <v>11743900</v>
      </c>
      <c r="F6" s="110">
        <f>TrRoad_act!F60</f>
        <v>11975000</v>
      </c>
      <c r="G6" s="110">
        <f>TrRoad_act!G60</f>
        <v>12339000</v>
      </c>
      <c r="H6" s="110">
        <f>TrRoad_act!H60</f>
        <v>13384000</v>
      </c>
      <c r="I6" s="110">
        <f>TrRoad_act!I60</f>
        <v>14589000</v>
      </c>
      <c r="J6" s="110">
        <f>TrRoad_act!J60</f>
        <v>16080000</v>
      </c>
      <c r="K6" s="110">
        <f>TrRoad_act!K60</f>
        <v>16495000</v>
      </c>
      <c r="L6" s="110">
        <f>TrRoad_act!L60</f>
        <v>17240000</v>
      </c>
      <c r="M6" s="110">
        <f>TrRoad_act!M60</f>
        <v>18125000</v>
      </c>
      <c r="N6" s="110">
        <f>TrRoad_act!N60</f>
        <v>18744000</v>
      </c>
      <c r="O6" s="110">
        <f>TrRoad_act!O60</f>
        <v>19389446</v>
      </c>
      <c r="P6" s="110">
        <f>TrRoad_act!P60</f>
        <v>20003863</v>
      </c>
      <c r="Q6" s="110">
        <f>TrRoad_act!Q60</f>
        <v>20723423</v>
      </c>
      <c r="R6" s="110">
        <f>TrRoad_act!R60</f>
        <v>21675388</v>
      </c>
      <c r="S6" s="110">
        <f>TrRoad_act!S60</f>
        <v>22503579</v>
      </c>
      <c r="T6" s="110">
        <f>TrRoad_act!T60</f>
        <v>23429016</v>
      </c>
      <c r="U6" s="110">
        <f>TrRoad_act!U60</f>
        <v>24360166</v>
      </c>
      <c r="V6" s="110">
        <f>TrRoad_act!V60</f>
        <v>25113862</v>
      </c>
      <c r="W6" s="110">
        <f>TrRoad_act!W60</f>
        <v>25869804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8094000</v>
      </c>
      <c r="C7" s="84">
        <f>TrRoad_act!C61</f>
        <v>8704483</v>
      </c>
      <c r="D7" s="84">
        <f>TrRoad_act!D61</f>
        <v>8615788</v>
      </c>
      <c r="E7" s="84">
        <f>TrRoad_act!E61</f>
        <v>8358098</v>
      </c>
      <c r="F7" s="84">
        <f>TrRoad_act!F61</f>
        <v>8201702</v>
      </c>
      <c r="G7" s="84">
        <f>TrRoad_act!G61</f>
        <v>8630106</v>
      </c>
      <c r="H7" s="84">
        <f>TrRoad_act!H61</f>
        <v>9114195</v>
      </c>
      <c r="I7" s="84">
        <f>TrRoad_act!I61</f>
        <v>9605644</v>
      </c>
      <c r="J7" s="84">
        <f>TrRoad_act!J61</f>
        <v>10231006</v>
      </c>
      <c r="K7" s="84">
        <f>TrRoad_act!K61</f>
        <v>10088132</v>
      </c>
      <c r="L7" s="84">
        <f>TrRoad_act!L61</f>
        <v>10239494</v>
      </c>
      <c r="M7" s="84">
        <f>TrRoad_act!M61</f>
        <v>10701727</v>
      </c>
      <c r="N7" s="84">
        <f>TrRoad_act!N61</f>
        <v>11050312</v>
      </c>
      <c r="O7" s="84">
        <f>TrRoad_act!O61</f>
        <v>11170811</v>
      </c>
      <c r="P7" s="84">
        <f>TrRoad_act!P61</f>
        <v>11309146</v>
      </c>
      <c r="Q7" s="84">
        <f>TrRoad_act!Q61</f>
        <v>11648309</v>
      </c>
      <c r="R7" s="84">
        <f>TrRoad_act!R61</f>
        <v>11909716</v>
      </c>
      <c r="S7" s="84">
        <f>TrRoad_act!S61</f>
        <v>12427379</v>
      </c>
      <c r="T7" s="84">
        <f>TrRoad_act!T61</f>
        <v>12673350</v>
      </c>
      <c r="U7" s="84">
        <f>TrRoad_act!U61</f>
        <v>13175477</v>
      </c>
      <c r="V7" s="84">
        <f>TrRoad_act!V61</f>
        <v>13574976</v>
      </c>
      <c r="W7" s="84">
        <f>TrRoad_act!W61</f>
        <v>14014277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1297300</v>
      </c>
      <c r="C8" s="84">
        <f>TrRoad_act!C62</f>
        <v>1298617</v>
      </c>
      <c r="D8" s="84">
        <f>TrRoad_act!D62</f>
        <v>1300785</v>
      </c>
      <c r="E8" s="84">
        <f>TrRoad_act!E62</f>
        <v>1385802</v>
      </c>
      <c r="F8" s="84">
        <f>TrRoad_act!F62</f>
        <v>1523298</v>
      </c>
      <c r="G8" s="84">
        <f>TrRoad_act!G62</f>
        <v>1187889</v>
      </c>
      <c r="H8" s="84">
        <f>TrRoad_act!H62</f>
        <v>1562706</v>
      </c>
      <c r="I8" s="84">
        <f>TrRoad_act!I62</f>
        <v>2101204</v>
      </c>
      <c r="J8" s="84">
        <f>TrRoad_act!J62</f>
        <v>2822146</v>
      </c>
      <c r="K8" s="84">
        <f>TrRoad_act!K62</f>
        <v>3271171</v>
      </c>
      <c r="L8" s="84">
        <f>TrRoad_act!L62</f>
        <v>3768857</v>
      </c>
      <c r="M8" s="84">
        <f>TrRoad_act!M62</f>
        <v>4402060</v>
      </c>
      <c r="N8" s="84">
        <f>TrRoad_act!N62</f>
        <v>4936461</v>
      </c>
      <c r="O8" s="84">
        <f>TrRoad_act!O62</f>
        <v>5371504</v>
      </c>
      <c r="P8" s="84">
        <f>TrRoad_act!P62</f>
        <v>5789670</v>
      </c>
      <c r="Q8" s="84">
        <f>TrRoad_act!Q62</f>
        <v>6091857</v>
      </c>
      <c r="R8" s="84">
        <f>TrRoad_act!R62</f>
        <v>6674341</v>
      </c>
      <c r="S8" s="84">
        <f>TrRoad_act!S62</f>
        <v>7026903</v>
      </c>
      <c r="T8" s="84">
        <f>TrRoad_act!T62</f>
        <v>7459417</v>
      </c>
      <c r="U8" s="84">
        <f>TrRoad_act!U62</f>
        <v>7839868</v>
      </c>
      <c r="V8" s="84">
        <f>TrRoad_act!V62</f>
        <v>8176884</v>
      </c>
      <c r="W8" s="84">
        <f>TrRoad_act!W62</f>
        <v>8475200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600000</v>
      </c>
      <c r="C9" s="84">
        <f>TrRoad_act!C63</f>
        <v>1000000</v>
      </c>
      <c r="D9" s="84">
        <f>TrRoad_act!D63</f>
        <v>1500000</v>
      </c>
      <c r="E9" s="84">
        <f>TrRoad_act!E63</f>
        <v>2000000</v>
      </c>
      <c r="F9" s="84">
        <f>TrRoad_act!F63</f>
        <v>2250000</v>
      </c>
      <c r="G9" s="84">
        <f>TrRoad_act!G63</f>
        <v>2521005</v>
      </c>
      <c r="H9" s="84">
        <f>TrRoad_act!H63</f>
        <v>2707099</v>
      </c>
      <c r="I9" s="84">
        <f>TrRoad_act!I63</f>
        <v>2882152</v>
      </c>
      <c r="J9" s="84">
        <f>TrRoad_act!J63</f>
        <v>3026848</v>
      </c>
      <c r="K9" s="84">
        <f>TrRoad_act!K63</f>
        <v>3135697</v>
      </c>
      <c r="L9" s="84">
        <f>TrRoad_act!L63</f>
        <v>3231634</v>
      </c>
      <c r="M9" s="84">
        <f>TrRoad_act!M63</f>
        <v>3021109</v>
      </c>
      <c r="N9" s="84">
        <f>TrRoad_act!N63</f>
        <v>2757000</v>
      </c>
      <c r="O9" s="84">
        <f>TrRoad_act!O63</f>
        <v>2846868</v>
      </c>
      <c r="P9" s="84">
        <f>TrRoad_act!P63</f>
        <v>2904072</v>
      </c>
      <c r="Q9" s="84">
        <f>TrRoad_act!Q63</f>
        <v>2977264</v>
      </c>
      <c r="R9" s="84">
        <f>TrRoad_act!R63</f>
        <v>3082548</v>
      </c>
      <c r="S9" s="84">
        <f>TrRoad_act!S63</f>
        <v>3038596</v>
      </c>
      <c r="T9" s="84">
        <f>TrRoad_act!T63</f>
        <v>3281951</v>
      </c>
      <c r="U9" s="84">
        <f>TrRoad_act!U63</f>
        <v>3327624</v>
      </c>
      <c r="V9" s="84">
        <f>TrRoad_act!V63</f>
        <v>3336762</v>
      </c>
      <c r="W9" s="84">
        <f>TrRoad_act!W63</f>
        <v>3343040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5355</v>
      </c>
      <c r="R10" s="84">
        <f>TrRoad_act!R64</f>
        <v>7358</v>
      </c>
      <c r="S10" s="84">
        <f>TrRoad_act!S64</f>
        <v>7525</v>
      </c>
      <c r="T10" s="84">
        <f>TrRoad_act!T64</f>
        <v>7765</v>
      </c>
      <c r="U10" s="84">
        <f>TrRoad_act!U64</f>
        <v>7942</v>
      </c>
      <c r="V10" s="84">
        <f>TrRoad_act!V64</f>
        <v>7984</v>
      </c>
      <c r="W10" s="84">
        <f>TrRoad_act!W64</f>
        <v>8039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12</v>
      </c>
      <c r="O11" s="84">
        <f>TrRoad_act!O65</f>
        <v>22</v>
      </c>
      <c r="P11" s="84">
        <f>TrRoad_act!P65</f>
        <v>673</v>
      </c>
      <c r="Q11" s="84">
        <f>TrRoad_act!Q65</f>
        <v>270</v>
      </c>
      <c r="R11" s="84">
        <f>TrRoad_act!R65</f>
        <v>425</v>
      </c>
      <c r="S11" s="84">
        <f>TrRoad_act!S65</f>
        <v>816</v>
      </c>
      <c r="T11" s="84">
        <f>TrRoad_act!T65</f>
        <v>1592</v>
      </c>
      <c r="U11" s="84">
        <f>TrRoad_act!U65</f>
        <v>2381</v>
      </c>
      <c r="V11" s="84">
        <f>TrRoad_act!V65</f>
        <v>5919</v>
      </c>
      <c r="W11" s="84">
        <f>TrRoad_act!W65</f>
        <v>15634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15</v>
      </c>
      <c r="M12" s="84">
        <f>TrRoad_act!M66</f>
        <v>104</v>
      </c>
      <c r="N12" s="84">
        <f>TrRoad_act!N66</f>
        <v>215</v>
      </c>
      <c r="O12" s="84">
        <f>TrRoad_act!O66</f>
        <v>241</v>
      </c>
      <c r="P12" s="84">
        <f>TrRoad_act!P66</f>
        <v>302</v>
      </c>
      <c r="Q12" s="84">
        <f>TrRoad_act!Q66</f>
        <v>368</v>
      </c>
      <c r="R12" s="84">
        <f>TrRoad_act!R66</f>
        <v>1000</v>
      </c>
      <c r="S12" s="84">
        <f>TrRoad_act!S66</f>
        <v>2360</v>
      </c>
      <c r="T12" s="84">
        <f>TrRoad_act!T66</f>
        <v>4941</v>
      </c>
      <c r="U12" s="84">
        <f>TrRoad_act!U66</f>
        <v>6874</v>
      </c>
      <c r="V12" s="84">
        <f>TrRoad_act!V66</f>
        <v>11337</v>
      </c>
      <c r="W12" s="84">
        <f>TrRoad_act!W66</f>
        <v>13614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33668</v>
      </c>
      <c r="C13" s="110">
        <f>TrRoad_act!C67</f>
        <v>33603</v>
      </c>
      <c r="D13" s="110">
        <f>TrRoad_act!D67</f>
        <v>33919</v>
      </c>
      <c r="E13" s="110">
        <f>TrRoad_act!E67</f>
        <v>33595</v>
      </c>
      <c r="F13" s="110">
        <f>TrRoad_act!F67</f>
        <v>36687</v>
      </c>
      <c r="G13" s="110">
        <f>TrRoad_act!G67</f>
        <v>37266</v>
      </c>
      <c r="H13" s="110">
        <f>TrRoad_act!H67</f>
        <v>36742</v>
      </c>
      <c r="I13" s="110">
        <f>TrRoad_act!I67</f>
        <v>38098</v>
      </c>
      <c r="J13" s="110">
        <f>TrRoad_act!J67</f>
        <v>38239</v>
      </c>
      <c r="K13" s="110">
        <f>TrRoad_act!K67</f>
        <v>39359</v>
      </c>
      <c r="L13" s="110">
        <f>TrRoad_act!L67</f>
        <v>39959</v>
      </c>
      <c r="M13" s="110">
        <f>TrRoad_act!M67</f>
        <v>41150</v>
      </c>
      <c r="N13" s="110">
        <f>TrRoad_act!N67</f>
        <v>40968</v>
      </c>
      <c r="O13" s="110">
        <f>TrRoad_act!O67</f>
        <v>41907</v>
      </c>
      <c r="P13" s="110">
        <f>TrRoad_act!P67</f>
        <v>43380</v>
      </c>
      <c r="Q13" s="110">
        <f>TrRoad_act!Q67</f>
        <v>50673</v>
      </c>
      <c r="R13" s="110">
        <f>TrRoad_act!R67</f>
        <v>52011</v>
      </c>
      <c r="S13" s="110">
        <f>TrRoad_act!S67</f>
        <v>53150</v>
      </c>
      <c r="T13" s="110">
        <f>TrRoad_act!T67</f>
        <v>54543</v>
      </c>
      <c r="U13" s="110">
        <f>TrRoad_act!U67</f>
        <v>56021</v>
      </c>
      <c r="V13" s="110">
        <f>TrRoad_act!V67</f>
        <v>57099</v>
      </c>
      <c r="W13" s="110">
        <f>TrRoad_act!W67</f>
        <v>57348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32614</v>
      </c>
      <c r="C15" s="102">
        <f>TrRoad_act!C69</f>
        <v>32598</v>
      </c>
      <c r="D15" s="102">
        <f>TrRoad_act!D69</f>
        <v>32980</v>
      </c>
      <c r="E15" s="102">
        <f>TrRoad_act!E69</f>
        <v>32783</v>
      </c>
      <c r="F15" s="102">
        <f>TrRoad_act!F69</f>
        <v>34821</v>
      </c>
      <c r="G15" s="102">
        <f>TrRoad_act!G69</f>
        <v>35107</v>
      </c>
      <c r="H15" s="102">
        <f>TrRoad_act!H69</f>
        <v>34685</v>
      </c>
      <c r="I15" s="102">
        <f>TrRoad_act!I69</f>
        <v>36135</v>
      </c>
      <c r="J15" s="102">
        <f>TrRoad_act!J69</f>
        <v>36369</v>
      </c>
      <c r="K15" s="102">
        <f>TrRoad_act!K69</f>
        <v>37591</v>
      </c>
      <c r="L15" s="102">
        <f>TrRoad_act!L69</f>
        <v>38274</v>
      </c>
      <c r="M15" s="102">
        <f>TrRoad_act!M69</f>
        <v>39558</v>
      </c>
      <c r="N15" s="102">
        <f>TrRoad_act!N69</f>
        <v>39472</v>
      </c>
      <c r="O15" s="102">
        <f>TrRoad_act!O69</f>
        <v>40463</v>
      </c>
      <c r="P15" s="102">
        <f>TrRoad_act!P69</f>
        <v>42005</v>
      </c>
      <c r="Q15" s="102">
        <f>TrRoad_act!Q69</f>
        <v>48793</v>
      </c>
      <c r="R15" s="102">
        <f>TrRoad_act!R69</f>
        <v>50218</v>
      </c>
      <c r="S15" s="102">
        <f>TrRoad_act!S69</f>
        <v>51442</v>
      </c>
      <c r="T15" s="102">
        <f>TrRoad_act!T69</f>
        <v>52792</v>
      </c>
      <c r="U15" s="102">
        <f>TrRoad_act!U69</f>
        <v>54114</v>
      </c>
      <c r="V15" s="102">
        <f>TrRoad_act!V69</f>
        <v>54603</v>
      </c>
      <c r="W15" s="102">
        <f>TrRoad_act!W69</f>
        <v>54272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820</v>
      </c>
      <c r="C16" s="102">
        <f>TrRoad_act!C70</f>
        <v>752</v>
      </c>
      <c r="D16" s="102">
        <f>TrRoad_act!D70</f>
        <v>682</v>
      </c>
      <c r="E16" s="102">
        <f>TrRoad_act!E70</f>
        <v>615</v>
      </c>
      <c r="F16" s="102">
        <f>TrRoad_act!F70</f>
        <v>1689</v>
      </c>
      <c r="G16" s="102">
        <f>TrRoad_act!G70</f>
        <v>1551</v>
      </c>
      <c r="H16" s="102">
        <f>TrRoad_act!H70</f>
        <v>1480</v>
      </c>
      <c r="I16" s="102">
        <f>TrRoad_act!I70</f>
        <v>1404</v>
      </c>
      <c r="J16" s="102">
        <f>TrRoad_act!J70</f>
        <v>1334</v>
      </c>
      <c r="K16" s="102">
        <f>TrRoad_act!K70</f>
        <v>1255</v>
      </c>
      <c r="L16" s="102">
        <f>TrRoad_act!L70</f>
        <v>1181</v>
      </c>
      <c r="M16" s="102">
        <f>TrRoad_act!M70</f>
        <v>1107</v>
      </c>
      <c r="N16" s="102">
        <f>TrRoad_act!N70</f>
        <v>1038</v>
      </c>
      <c r="O16" s="102">
        <f>TrRoad_act!O70</f>
        <v>968</v>
      </c>
      <c r="P16" s="102">
        <f>TrRoad_act!P70</f>
        <v>896</v>
      </c>
      <c r="Q16" s="102">
        <f>TrRoad_act!Q70</f>
        <v>822</v>
      </c>
      <c r="R16" s="102">
        <f>TrRoad_act!R70</f>
        <v>782</v>
      </c>
      <c r="S16" s="102">
        <f>TrRoad_act!S70</f>
        <v>773</v>
      </c>
      <c r="T16" s="102">
        <f>TrRoad_act!T70</f>
        <v>778</v>
      </c>
      <c r="U16" s="102">
        <f>TrRoad_act!U70</f>
        <v>775</v>
      </c>
      <c r="V16" s="102">
        <f>TrRoad_act!V70</f>
        <v>771</v>
      </c>
      <c r="W16" s="102">
        <f>TrRoad_act!W70</f>
        <v>773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554</v>
      </c>
      <c r="R17" s="102">
        <f>TrRoad_act!R71</f>
        <v>485</v>
      </c>
      <c r="S17" s="102">
        <f>TrRoad_act!S71</f>
        <v>354</v>
      </c>
      <c r="T17" s="102">
        <f>TrRoad_act!T71</f>
        <v>466</v>
      </c>
      <c r="U17" s="102">
        <f>TrRoad_act!U71</f>
        <v>794</v>
      </c>
      <c r="V17" s="102">
        <f>TrRoad_act!V71</f>
        <v>1185</v>
      </c>
      <c r="W17" s="102">
        <f>TrRoad_act!W71</f>
        <v>1545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234</v>
      </c>
      <c r="C18" s="102">
        <f>TrRoad_act!C72</f>
        <v>253</v>
      </c>
      <c r="D18" s="102">
        <f>TrRoad_act!D72</f>
        <v>257</v>
      </c>
      <c r="E18" s="102">
        <f>TrRoad_act!E72</f>
        <v>197</v>
      </c>
      <c r="F18" s="102">
        <f>TrRoad_act!F72</f>
        <v>177</v>
      </c>
      <c r="G18" s="102">
        <f>TrRoad_act!G72</f>
        <v>608</v>
      </c>
      <c r="H18" s="102">
        <f>TrRoad_act!H72</f>
        <v>577</v>
      </c>
      <c r="I18" s="102">
        <f>TrRoad_act!I72</f>
        <v>559</v>
      </c>
      <c r="J18" s="102">
        <f>TrRoad_act!J72</f>
        <v>536</v>
      </c>
      <c r="K18" s="102">
        <f>TrRoad_act!K72</f>
        <v>513</v>
      </c>
      <c r="L18" s="102">
        <f>TrRoad_act!L72</f>
        <v>504</v>
      </c>
      <c r="M18" s="102">
        <f>TrRoad_act!M72</f>
        <v>485</v>
      </c>
      <c r="N18" s="102">
        <f>TrRoad_act!N72</f>
        <v>458</v>
      </c>
      <c r="O18" s="102">
        <f>TrRoad_act!O72</f>
        <v>476</v>
      </c>
      <c r="P18" s="102">
        <f>TrRoad_act!P72</f>
        <v>479</v>
      </c>
      <c r="Q18" s="102">
        <f>TrRoad_act!Q72</f>
        <v>504</v>
      </c>
      <c r="R18" s="102">
        <f>TrRoad_act!R72</f>
        <v>526</v>
      </c>
      <c r="S18" s="102">
        <f>TrRoad_act!S72</f>
        <v>581</v>
      </c>
      <c r="T18" s="102">
        <f>TrRoad_act!T72</f>
        <v>507</v>
      </c>
      <c r="U18" s="102">
        <f>TrRoad_act!U72</f>
        <v>338</v>
      </c>
      <c r="V18" s="102">
        <f>TrRoad_act!V72</f>
        <v>540</v>
      </c>
      <c r="W18" s="102">
        <f>TrRoad_act!W72</f>
        <v>758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2126839</v>
      </c>
      <c r="C19" s="28">
        <f>TrRoad_act!C73</f>
        <v>2162039</v>
      </c>
      <c r="D19" s="28">
        <f>TrRoad_act!D73</f>
        <v>2269340</v>
      </c>
      <c r="E19" s="28">
        <f>TrRoad_act!E73</f>
        <v>2301213</v>
      </c>
      <c r="F19" s="28">
        <f>TrRoad_act!F73</f>
        <v>2248492</v>
      </c>
      <c r="G19" s="28">
        <f>TrRoad_act!G73</f>
        <v>2308647</v>
      </c>
      <c r="H19" s="28">
        <f>TrRoad_act!H73</f>
        <v>2355394</v>
      </c>
      <c r="I19" s="28">
        <f>TrRoad_act!I73</f>
        <v>2469143</v>
      </c>
      <c r="J19" s="28">
        <f>TrRoad_act!J73</f>
        <v>2651611</v>
      </c>
      <c r="K19" s="28">
        <f>TrRoad_act!K73</f>
        <v>2731237</v>
      </c>
      <c r="L19" s="28">
        <f>TrRoad_act!L73</f>
        <v>2906485</v>
      </c>
      <c r="M19" s="28">
        <f>TrRoad_act!M73</f>
        <v>3057904</v>
      </c>
      <c r="N19" s="28">
        <f>TrRoad_act!N73</f>
        <v>3095275</v>
      </c>
      <c r="O19" s="28">
        <f>TrRoad_act!O73</f>
        <v>3217912</v>
      </c>
      <c r="P19" s="28">
        <f>TrRoad_act!P73</f>
        <v>3245232</v>
      </c>
      <c r="Q19" s="28">
        <f>TrRoad_act!Q73</f>
        <v>3329450</v>
      </c>
      <c r="R19" s="28">
        <f>TrRoad_act!R73</f>
        <v>3422274</v>
      </c>
      <c r="S19" s="28">
        <f>TrRoad_act!S73</f>
        <v>3502884</v>
      </c>
      <c r="T19" s="28">
        <f>TrRoad_act!T73</f>
        <v>3629874</v>
      </c>
      <c r="U19" s="28">
        <f>TrRoad_act!U73</f>
        <v>3736146</v>
      </c>
      <c r="V19" s="28">
        <f>TrRoad_act!V73</f>
        <v>3847552</v>
      </c>
      <c r="W19" s="28">
        <f>TrRoad_act!W73</f>
        <v>3981107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1629540</v>
      </c>
      <c r="C20" s="137">
        <f>TrRoad_act!C74</f>
        <v>1645085</v>
      </c>
      <c r="D20" s="137">
        <f>TrRoad_act!D74</f>
        <v>1673784</v>
      </c>
      <c r="E20" s="137">
        <f>TrRoad_act!E74</f>
        <v>1706379</v>
      </c>
      <c r="F20" s="137">
        <f>TrRoad_act!F74</f>
        <v>1667309</v>
      </c>
      <c r="G20" s="137">
        <f>TrRoad_act!G74</f>
        <v>1717435</v>
      </c>
      <c r="H20" s="137">
        <f>TrRoad_act!H74</f>
        <v>1758293</v>
      </c>
      <c r="I20" s="137">
        <f>TrRoad_act!I74</f>
        <v>1824650</v>
      </c>
      <c r="J20" s="137">
        <f>TrRoad_act!J74</f>
        <v>1947297</v>
      </c>
      <c r="K20" s="137">
        <f>TrRoad_act!K74</f>
        <v>2014529</v>
      </c>
      <c r="L20" s="137">
        <f>TrRoad_act!L74</f>
        <v>2170600</v>
      </c>
      <c r="M20" s="137">
        <f>TrRoad_act!M74</f>
        <v>2276879</v>
      </c>
      <c r="N20" s="137">
        <f>TrRoad_act!N74</f>
        <v>2303433</v>
      </c>
      <c r="O20" s="137">
        <f>TrRoad_act!O74</f>
        <v>2403569</v>
      </c>
      <c r="P20" s="137">
        <f>TrRoad_act!P74</f>
        <v>2399323</v>
      </c>
      <c r="Q20" s="137">
        <f>TrRoad_act!Q74</f>
        <v>2447764</v>
      </c>
      <c r="R20" s="137">
        <f>TrRoad_act!R74</f>
        <v>2515751</v>
      </c>
      <c r="S20" s="137">
        <f>TrRoad_act!S74</f>
        <v>2574312</v>
      </c>
      <c r="T20" s="137">
        <f>TrRoad_act!T74</f>
        <v>2649198</v>
      </c>
      <c r="U20" s="137">
        <f>TrRoad_act!U74</f>
        <v>2733004</v>
      </c>
      <c r="V20" s="137">
        <f>TrRoad_act!V74</f>
        <v>2814490</v>
      </c>
      <c r="W20" s="137">
        <f>TrRoad_act!W74</f>
        <v>2905731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1113423</v>
      </c>
      <c r="C21" s="84">
        <f>TrRoad_act!C75</f>
        <v>1121845</v>
      </c>
      <c r="D21" s="84">
        <f>TrRoad_act!D75</f>
        <v>1021756</v>
      </c>
      <c r="E21" s="84">
        <f>TrRoad_act!E75</f>
        <v>995595</v>
      </c>
      <c r="F21" s="84">
        <f>TrRoad_act!F75</f>
        <v>916720</v>
      </c>
      <c r="G21" s="84">
        <f>TrRoad_act!G75</f>
        <v>859414</v>
      </c>
      <c r="H21" s="84">
        <f>TrRoad_act!H75</f>
        <v>808192</v>
      </c>
      <c r="I21" s="84">
        <f>TrRoad_act!I75</f>
        <v>765138</v>
      </c>
      <c r="J21" s="84">
        <f>TrRoad_act!J75</f>
        <v>752140</v>
      </c>
      <c r="K21" s="84">
        <f>TrRoad_act!K75</f>
        <v>718204</v>
      </c>
      <c r="L21" s="84">
        <f>TrRoad_act!L75</f>
        <v>735988</v>
      </c>
      <c r="M21" s="84">
        <f>TrRoad_act!M75</f>
        <v>703448</v>
      </c>
      <c r="N21" s="84">
        <f>TrRoad_act!N75</f>
        <v>687656</v>
      </c>
      <c r="O21" s="84">
        <f>TrRoad_act!O75</f>
        <v>687734</v>
      </c>
      <c r="P21" s="84">
        <f>TrRoad_act!P75</f>
        <v>655877</v>
      </c>
      <c r="Q21" s="84">
        <f>TrRoad_act!Q75</f>
        <v>641037</v>
      </c>
      <c r="R21" s="84">
        <f>TrRoad_act!R75</f>
        <v>629904</v>
      </c>
      <c r="S21" s="84">
        <f>TrRoad_act!S75</f>
        <v>644480</v>
      </c>
      <c r="T21" s="84">
        <f>TrRoad_act!T75</f>
        <v>629861</v>
      </c>
      <c r="U21" s="84">
        <f>TrRoad_act!U75</f>
        <v>627303</v>
      </c>
      <c r="V21" s="84">
        <f>TrRoad_act!V75</f>
        <v>620951</v>
      </c>
      <c r="W21" s="84">
        <f>TrRoad_act!W75</f>
        <v>616159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457911</v>
      </c>
      <c r="C22" s="84">
        <f>TrRoad_act!C76</f>
        <v>456645</v>
      </c>
      <c r="D22" s="84">
        <f>TrRoad_act!D76</f>
        <v>558278</v>
      </c>
      <c r="E22" s="84">
        <f>TrRoad_act!E76</f>
        <v>601839</v>
      </c>
      <c r="F22" s="84">
        <f>TrRoad_act!F76</f>
        <v>637623</v>
      </c>
      <c r="G22" s="84">
        <f>TrRoad_act!G76</f>
        <v>734537</v>
      </c>
      <c r="H22" s="84">
        <f>TrRoad_act!H76</f>
        <v>807730</v>
      </c>
      <c r="I22" s="84">
        <f>TrRoad_act!I76</f>
        <v>905519</v>
      </c>
      <c r="J22" s="84">
        <f>TrRoad_act!J76</f>
        <v>1033662</v>
      </c>
      <c r="K22" s="84">
        <f>TrRoad_act!K76</f>
        <v>1131489</v>
      </c>
      <c r="L22" s="84">
        <f>TrRoad_act!L76</f>
        <v>1264958</v>
      </c>
      <c r="M22" s="84">
        <f>TrRoad_act!M76</f>
        <v>1398504</v>
      </c>
      <c r="N22" s="84">
        <f>TrRoad_act!N76</f>
        <v>1455880</v>
      </c>
      <c r="O22" s="84">
        <f>TrRoad_act!O76</f>
        <v>1556881</v>
      </c>
      <c r="P22" s="84">
        <f>TrRoad_act!P76</f>
        <v>1569638</v>
      </c>
      <c r="Q22" s="84">
        <f>TrRoad_act!Q76</f>
        <v>1632451</v>
      </c>
      <c r="R22" s="84">
        <f>TrRoad_act!R76</f>
        <v>1712251</v>
      </c>
      <c r="S22" s="84">
        <f>TrRoad_act!S76</f>
        <v>1764085</v>
      </c>
      <c r="T22" s="84">
        <f>TrRoad_act!T76</f>
        <v>1849082</v>
      </c>
      <c r="U22" s="84">
        <f>TrRoad_act!U76</f>
        <v>1937067</v>
      </c>
      <c r="V22" s="84">
        <f>TrRoad_act!V76</f>
        <v>2028294</v>
      </c>
      <c r="W22" s="84">
        <f>TrRoad_act!W76</f>
        <v>2124061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58206</v>
      </c>
      <c r="C23" s="84">
        <f>TrRoad_act!C77</f>
        <v>66595</v>
      </c>
      <c r="D23" s="84">
        <f>TrRoad_act!D77</f>
        <v>93750</v>
      </c>
      <c r="E23" s="84">
        <f>TrRoad_act!E77</f>
        <v>108945</v>
      </c>
      <c r="F23" s="84">
        <f>TrRoad_act!F77</f>
        <v>112966</v>
      </c>
      <c r="G23" s="84">
        <f>TrRoad_act!G77</f>
        <v>123484</v>
      </c>
      <c r="H23" s="84">
        <f>TrRoad_act!H77</f>
        <v>142371</v>
      </c>
      <c r="I23" s="84">
        <f>TrRoad_act!I77</f>
        <v>153993</v>
      </c>
      <c r="J23" s="84">
        <f>TrRoad_act!J77</f>
        <v>161495</v>
      </c>
      <c r="K23" s="84">
        <f>TrRoad_act!K77</f>
        <v>164836</v>
      </c>
      <c r="L23" s="84">
        <f>TrRoad_act!L77</f>
        <v>169654</v>
      </c>
      <c r="M23" s="84">
        <f>TrRoad_act!M77</f>
        <v>174927</v>
      </c>
      <c r="N23" s="84">
        <f>TrRoad_act!N77</f>
        <v>159890</v>
      </c>
      <c r="O23" s="84">
        <f>TrRoad_act!O77</f>
        <v>158941</v>
      </c>
      <c r="P23" s="84">
        <f>TrRoad_act!P77</f>
        <v>173791</v>
      </c>
      <c r="Q23" s="84">
        <f>TrRoad_act!Q77</f>
        <v>172189</v>
      </c>
      <c r="R23" s="84">
        <f>TrRoad_act!R77</f>
        <v>171152</v>
      </c>
      <c r="S23" s="84">
        <f>TrRoad_act!S77</f>
        <v>163371</v>
      </c>
      <c r="T23" s="84">
        <f>TrRoad_act!T77</f>
        <v>167767</v>
      </c>
      <c r="U23" s="84">
        <f>TrRoad_act!U77</f>
        <v>165998</v>
      </c>
      <c r="V23" s="84">
        <f>TrRoad_act!V77</f>
        <v>163000</v>
      </c>
      <c r="W23" s="84">
        <f>TrRoad_act!W77</f>
        <v>163000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2063</v>
      </c>
      <c r="R24" s="84">
        <f>TrRoad_act!R78</f>
        <v>2415</v>
      </c>
      <c r="S24" s="84">
        <f>TrRoad_act!S78</f>
        <v>2334</v>
      </c>
      <c r="T24" s="84">
        <f>TrRoad_act!T78</f>
        <v>2405</v>
      </c>
      <c r="U24" s="84">
        <f>TrRoad_act!U78</f>
        <v>2440</v>
      </c>
      <c r="V24" s="84">
        <f>TrRoad_act!V78</f>
        <v>1850</v>
      </c>
      <c r="W24" s="84">
        <f>TrRoad_act!W78</f>
        <v>1700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7</v>
      </c>
      <c r="O25" s="84">
        <f>TrRoad_act!O79</f>
        <v>13</v>
      </c>
      <c r="P25" s="84">
        <f>TrRoad_act!P79</f>
        <v>17</v>
      </c>
      <c r="Q25" s="84">
        <f>TrRoad_act!Q79</f>
        <v>24</v>
      </c>
      <c r="R25" s="84">
        <f>TrRoad_act!R79</f>
        <v>29</v>
      </c>
      <c r="S25" s="84">
        <f>TrRoad_act!S79</f>
        <v>42</v>
      </c>
      <c r="T25" s="84">
        <f>TrRoad_act!T79</f>
        <v>83</v>
      </c>
      <c r="U25" s="84">
        <f>TrRoad_act!U79</f>
        <v>196</v>
      </c>
      <c r="V25" s="84">
        <f>TrRoad_act!V79</f>
        <v>395</v>
      </c>
      <c r="W25" s="84">
        <f>TrRoad_act!W79</f>
        <v>811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497299</v>
      </c>
      <c r="C26" s="110">
        <f>TrRoad_act!C80</f>
        <v>516954</v>
      </c>
      <c r="D26" s="110">
        <f>TrRoad_act!D80</f>
        <v>595556</v>
      </c>
      <c r="E26" s="110">
        <f>TrRoad_act!E80</f>
        <v>594834</v>
      </c>
      <c r="F26" s="110">
        <f>TrRoad_act!F80</f>
        <v>581183</v>
      </c>
      <c r="G26" s="110">
        <f>TrRoad_act!G80</f>
        <v>591212</v>
      </c>
      <c r="H26" s="110">
        <f>TrRoad_act!H80</f>
        <v>597101</v>
      </c>
      <c r="I26" s="110">
        <f>TrRoad_act!I80</f>
        <v>644493</v>
      </c>
      <c r="J26" s="110">
        <f>TrRoad_act!J80</f>
        <v>704314</v>
      </c>
      <c r="K26" s="110">
        <f>TrRoad_act!K80</f>
        <v>716708</v>
      </c>
      <c r="L26" s="110">
        <f>TrRoad_act!L80</f>
        <v>735885</v>
      </c>
      <c r="M26" s="110">
        <f>TrRoad_act!M80</f>
        <v>781025</v>
      </c>
      <c r="N26" s="110">
        <f>TrRoad_act!N80</f>
        <v>791842</v>
      </c>
      <c r="O26" s="110">
        <f>TrRoad_act!O80</f>
        <v>814343</v>
      </c>
      <c r="P26" s="110">
        <f>TrRoad_act!P80</f>
        <v>845909</v>
      </c>
      <c r="Q26" s="110">
        <f>TrRoad_act!Q80</f>
        <v>881686</v>
      </c>
      <c r="R26" s="110">
        <f>TrRoad_act!R80</f>
        <v>906523</v>
      </c>
      <c r="S26" s="110">
        <f>TrRoad_act!S80</f>
        <v>928572</v>
      </c>
      <c r="T26" s="110">
        <f>TrRoad_act!T80</f>
        <v>980676</v>
      </c>
      <c r="U26" s="110">
        <f>TrRoad_act!U80</f>
        <v>1003142</v>
      </c>
      <c r="V26" s="110">
        <f>TrRoad_act!V80</f>
        <v>1033062</v>
      </c>
      <c r="W26" s="110">
        <f>TrRoad_act!W80</f>
        <v>1075376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481889</v>
      </c>
      <c r="C27" s="102">
        <f>TrRoad_act!C81</f>
        <v>500433</v>
      </c>
      <c r="D27" s="102">
        <f>TrRoad_act!D81</f>
        <v>578175</v>
      </c>
      <c r="E27" s="102">
        <f>TrRoad_act!E81</f>
        <v>577068</v>
      </c>
      <c r="F27" s="102">
        <f>TrRoad_act!F81</f>
        <v>560178</v>
      </c>
      <c r="G27" s="102">
        <f>TrRoad_act!G81</f>
        <v>569470</v>
      </c>
      <c r="H27" s="102">
        <f>TrRoad_act!H81</f>
        <v>570730</v>
      </c>
      <c r="I27" s="102">
        <f>TrRoad_act!I81</f>
        <v>619851</v>
      </c>
      <c r="J27" s="102">
        <f>TrRoad_act!J81</f>
        <v>679188</v>
      </c>
      <c r="K27" s="102">
        <f>TrRoad_act!K81</f>
        <v>692591</v>
      </c>
      <c r="L27" s="102">
        <f>TrRoad_act!L81</f>
        <v>707675</v>
      </c>
      <c r="M27" s="102">
        <f>TrRoad_act!M81</f>
        <v>751168</v>
      </c>
      <c r="N27" s="102">
        <f>TrRoad_act!N81</f>
        <v>759384</v>
      </c>
      <c r="O27" s="102">
        <f>TrRoad_act!O81</f>
        <v>779963</v>
      </c>
      <c r="P27" s="102">
        <f>TrRoad_act!P81</f>
        <v>811034</v>
      </c>
      <c r="Q27" s="102">
        <f>TrRoad_act!Q81</f>
        <v>845801</v>
      </c>
      <c r="R27" s="102">
        <f>TrRoad_act!R81</f>
        <v>866350</v>
      </c>
      <c r="S27" s="102">
        <f>TrRoad_act!S81</f>
        <v>883389</v>
      </c>
      <c r="T27" s="102">
        <f>TrRoad_act!T81</f>
        <v>941422</v>
      </c>
      <c r="U27" s="102">
        <f>TrRoad_act!U81</f>
        <v>958340</v>
      </c>
      <c r="V27" s="102">
        <f>TrRoad_act!V81</f>
        <v>989583</v>
      </c>
      <c r="W27" s="102">
        <f>TrRoad_act!W81</f>
        <v>1029250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15410</v>
      </c>
      <c r="C28" s="86">
        <f>TrRoad_act!C82</f>
        <v>16521</v>
      </c>
      <c r="D28" s="86">
        <f>TrRoad_act!D82</f>
        <v>17381</v>
      </c>
      <c r="E28" s="86">
        <f>TrRoad_act!E82</f>
        <v>17766</v>
      </c>
      <c r="F28" s="86">
        <f>TrRoad_act!F82</f>
        <v>21005</v>
      </c>
      <c r="G28" s="86">
        <f>TrRoad_act!G82</f>
        <v>21742</v>
      </c>
      <c r="H28" s="86">
        <f>TrRoad_act!H82</f>
        <v>26371</v>
      </c>
      <c r="I28" s="86">
        <f>TrRoad_act!I82</f>
        <v>24642</v>
      </c>
      <c r="J28" s="86">
        <f>TrRoad_act!J82</f>
        <v>25126</v>
      </c>
      <c r="K28" s="86">
        <f>TrRoad_act!K82</f>
        <v>24117</v>
      </c>
      <c r="L28" s="86">
        <f>TrRoad_act!L82</f>
        <v>28210</v>
      </c>
      <c r="M28" s="86">
        <f>TrRoad_act!M82</f>
        <v>29857</v>
      </c>
      <c r="N28" s="86">
        <f>TrRoad_act!N82</f>
        <v>32458</v>
      </c>
      <c r="O28" s="86">
        <f>TrRoad_act!O82</f>
        <v>34380</v>
      </c>
      <c r="P28" s="86">
        <f>TrRoad_act!P82</f>
        <v>34875</v>
      </c>
      <c r="Q28" s="86">
        <f>TrRoad_act!Q82</f>
        <v>35885</v>
      </c>
      <c r="R28" s="86">
        <f>TrRoad_act!R82</f>
        <v>40173</v>
      </c>
      <c r="S28" s="86">
        <f>TrRoad_act!S82</f>
        <v>45183</v>
      </c>
      <c r="T28" s="86">
        <f>TrRoad_act!T82</f>
        <v>39254</v>
      </c>
      <c r="U28" s="86">
        <f>TrRoad_act!U82</f>
        <v>44802</v>
      </c>
      <c r="V28" s="86">
        <f>TrRoad_act!V82</f>
        <v>43479</v>
      </c>
      <c r="W28" s="86">
        <f>TrRoad_act!W82</f>
        <v>46126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663054</v>
      </c>
      <c r="C30" s="54">
        <f>TrRoad_act!C111</f>
        <v>1450268</v>
      </c>
      <c r="D30" s="54">
        <f>TrRoad_act!D111</f>
        <v>1260594</v>
      </c>
      <c r="E30" s="54">
        <f>TrRoad_act!E111</f>
        <v>1027645</v>
      </c>
      <c r="F30" s="54">
        <f>TrRoad_act!F111</f>
        <v>1213202</v>
      </c>
      <c r="G30" s="54">
        <f>TrRoad_act!G111</f>
        <v>1716025</v>
      </c>
      <c r="H30" s="54">
        <f>TrRoad_act!H111</f>
        <v>1560220</v>
      </c>
      <c r="I30" s="54">
        <f>TrRoad_act!I111</f>
        <v>2005059</v>
      </c>
      <c r="J30" s="54">
        <f>TrRoad_act!J111</f>
        <v>2454549</v>
      </c>
      <c r="K30" s="54">
        <f>TrRoad_act!K111</f>
        <v>1901809</v>
      </c>
      <c r="L30" s="54">
        <f>TrRoad_act!L111</f>
        <v>1906385</v>
      </c>
      <c r="M30" s="54">
        <f>TrRoad_act!M111</f>
        <v>2092726</v>
      </c>
      <c r="N30" s="54">
        <f>TrRoad_act!N111</f>
        <v>2293748</v>
      </c>
      <c r="O30" s="54">
        <f>TrRoad_act!O111</f>
        <v>1865850</v>
      </c>
      <c r="P30" s="54">
        <f>TrRoad_act!P111</f>
        <v>1669121</v>
      </c>
      <c r="Q30" s="54">
        <f>TrRoad_act!Q111</f>
        <v>2016147</v>
      </c>
      <c r="R30" s="54">
        <f>TrRoad_act!R111</f>
        <v>1986069</v>
      </c>
      <c r="S30" s="54">
        <f>TrRoad_act!S111</f>
        <v>1835223</v>
      </c>
      <c r="T30" s="54">
        <f>TrRoad_act!T111</f>
        <v>2103964</v>
      </c>
      <c r="U30" s="54">
        <f>TrRoad_act!U111</f>
        <v>2041222</v>
      </c>
      <c r="V30" s="54">
        <f>TrRoad_act!V111</f>
        <v>1829399</v>
      </c>
      <c r="W30" s="54">
        <f>TrRoad_act!W111</f>
        <v>2430630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533050</v>
      </c>
      <c r="C31" s="28">
        <f>TrRoad_act!C112</f>
        <v>1317858</v>
      </c>
      <c r="D31" s="28">
        <f>TrRoad_act!D112</f>
        <v>989124</v>
      </c>
      <c r="E31" s="28">
        <f>TrRoad_act!E112</f>
        <v>832802</v>
      </c>
      <c r="F31" s="28">
        <f>TrRoad_act!F112</f>
        <v>1069882</v>
      </c>
      <c r="G31" s="28">
        <f>TrRoad_act!G112</f>
        <v>1524859</v>
      </c>
      <c r="H31" s="28">
        <f>TrRoad_act!H112</f>
        <v>1332447</v>
      </c>
      <c r="I31" s="28">
        <f>TrRoad_act!I112</f>
        <v>1705988</v>
      </c>
      <c r="J31" s="28">
        <f>TrRoad_act!J112</f>
        <v>2091177</v>
      </c>
      <c r="K31" s="28">
        <f>TrRoad_act!K112</f>
        <v>1622693</v>
      </c>
      <c r="L31" s="28">
        <f>TrRoad_act!L112</f>
        <v>1540958</v>
      </c>
      <c r="M31" s="28">
        <f>TrRoad_act!M112</f>
        <v>1746088</v>
      </c>
      <c r="N31" s="28">
        <f>TrRoad_act!N112</f>
        <v>2032592</v>
      </c>
      <c r="O31" s="28">
        <f>TrRoad_act!O112</f>
        <v>1540032</v>
      </c>
      <c r="P31" s="28">
        <f>TrRoad_act!P112</f>
        <v>1427339</v>
      </c>
      <c r="Q31" s="28">
        <f>TrRoad_act!Q112</f>
        <v>1727735</v>
      </c>
      <c r="R31" s="28">
        <f>TrRoad_act!R112</f>
        <v>1658271</v>
      </c>
      <c r="S31" s="28">
        <f>TrRoad_act!S112</f>
        <v>1511258</v>
      </c>
      <c r="T31" s="28">
        <f>TrRoad_act!T112</f>
        <v>1774464</v>
      </c>
      <c r="U31" s="28">
        <f>TrRoad_act!U112</f>
        <v>1658179</v>
      </c>
      <c r="V31" s="28">
        <f>TrRoad_act!V112</f>
        <v>1479068</v>
      </c>
      <c r="W31" s="28">
        <f>TrRoad_act!W112</f>
        <v>2043815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14695</v>
      </c>
      <c r="D32" s="137">
        <f>TrRoad_act!D113</f>
        <v>95215</v>
      </c>
      <c r="E32" s="137">
        <f>TrRoad_act!E113</f>
        <v>1586</v>
      </c>
      <c r="F32" s="137">
        <f>TrRoad_act!F113</f>
        <v>3680</v>
      </c>
      <c r="G32" s="137">
        <f>TrRoad_act!G113</f>
        <v>326845</v>
      </c>
      <c r="H32" s="137">
        <f>TrRoad_act!H113</f>
        <v>140667</v>
      </c>
      <c r="I32" s="137">
        <f>TrRoad_act!I113</f>
        <v>217827</v>
      </c>
      <c r="J32" s="137">
        <f>TrRoad_act!J113</f>
        <v>337683</v>
      </c>
      <c r="K32" s="137">
        <f>TrRoad_act!K113</f>
        <v>275131</v>
      </c>
      <c r="L32" s="137">
        <f>TrRoad_act!L113</f>
        <v>187329</v>
      </c>
      <c r="M32" s="137">
        <f>TrRoad_act!M113</f>
        <v>239196</v>
      </c>
      <c r="N32" s="137">
        <f>TrRoad_act!N113</f>
        <v>167035</v>
      </c>
      <c r="O32" s="137">
        <f>TrRoad_act!O113</f>
        <v>173444</v>
      </c>
      <c r="P32" s="137">
        <f>TrRoad_act!P113</f>
        <v>151578</v>
      </c>
      <c r="Q32" s="137">
        <f>TrRoad_act!Q113</f>
        <v>197039</v>
      </c>
      <c r="R32" s="137">
        <f>TrRoad_act!R113</f>
        <v>188219</v>
      </c>
      <c r="S32" s="137">
        <f>TrRoad_act!S113</f>
        <v>179208</v>
      </c>
      <c r="T32" s="137">
        <f>TrRoad_act!T113</f>
        <v>169733</v>
      </c>
      <c r="U32" s="137">
        <f>TrRoad_act!U113</f>
        <v>185473</v>
      </c>
      <c r="V32" s="137">
        <f>TrRoad_act!V113</f>
        <v>184887</v>
      </c>
      <c r="W32" s="137">
        <f>TrRoad_act!W113</f>
        <v>177988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529438</v>
      </c>
      <c r="C33" s="110">
        <f>TrRoad_act!C114</f>
        <v>1299760</v>
      </c>
      <c r="D33" s="110">
        <f>TrRoad_act!D114</f>
        <v>891099</v>
      </c>
      <c r="E33" s="110">
        <f>TrRoad_act!E114</f>
        <v>829144</v>
      </c>
      <c r="F33" s="110">
        <f>TrRoad_act!F114</f>
        <v>1061008</v>
      </c>
      <c r="G33" s="110">
        <f>TrRoad_act!G114</f>
        <v>1193622</v>
      </c>
      <c r="H33" s="110">
        <f>TrRoad_act!H114</f>
        <v>1187363</v>
      </c>
      <c r="I33" s="110">
        <f>TrRoad_act!I114</f>
        <v>1483309</v>
      </c>
      <c r="J33" s="110">
        <f>TrRoad_act!J114</f>
        <v>1748261</v>
      </c>
      <c r="K33" s="110">
        <f>TrRoad_act!K114</f>
        <v>1343670</v>
      </c>
      <c r="L33" s="110">
        <f>TrRoad_act!L114</f>
        <v>1349690</v>
      </c>
      <c r="M33" s="110">
        <f>TrRoad_act!M114</f>
        <v>1502288</v>
      </c>
      <c r="N33" s="110">
        <f>TrRoad_act!N114</f>
        <v>1861196</v>
      </c>
      <c r="O33" s="110">
        <f>TrRoad_act!O114</f>
        <v>1361651</v>
      </c>
      <c r="P33" s="110">
        <f>TrRoad_act!P114</f>
        <v>1270442</v>
      </c>
      <c r="Q33" s="110">
        <f>TrRoad_act!Q114</f>
        <v>1519561</v>
      </c>
      <c r="R33" s="110">
        <f>TrRoad_act!R114</f>
        <v>1464490</v>
      </c>
      <c r="S33" s="110">
        <f>TrRoad_act!S114</f>
        <v>1326612</v>
      </c>
      <c r="T33" s="110">
        <f>TrRoad_act!T114</f>
        <v>1598980</v>
      </c>
      <c r="U33" s="110">
        <f>TrRoad_act!U114</f>
        <v>1467168</v>
      </c>
      <c r="V33" s="110">
        <f>TrRoad_act!V114</f>
        <v>1288731</v>
      </c>
      <c r="W33" s="110">
        <f>TrRoad_act!W114</f>
        <v>1860396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443682</v>
      </c>
      <c r="C34" s="84">
        <f>TrRoad_act!C115</f>
        <v>781578</v>
      </c>
      <c r="D34" s="84">
        <f>TrRoad_act!D115</f>
        <v>340029</v>
      </c>
      <c r="E34" s="84">
        <f>TrRoad_act!E115</f>
        <v>220339</v>
      </c>
      <c r="F34" s="84">
        <f>TrRoad_act!F115</f>
        <v>589018</v>
      </c>
      <c r="G34" s="84">
        <f>TrRoad_act!G115</f>
        <v>591783</v>
      </c>
      <c r="H34" s="84">
        <f>TrRoad_act!H115</f>
        <v>546325</v>
      </c>
      <c r="I34" s="84">
        <f>TrRoad_act!I115</f>
        <v>668932</v>
      </c>
      <c r="J34" s="84">
        <f>TrRoad_act!J115</f>
        <v>756796</v>
      </c>
      <c r="K34" s="84">
        <f>TrRoad_act!K115</f>
        <v>617436</v>
      </c>
      <c r="L34" s="84">
        <f>TrRoad_act!L115</f>
        <v>588495</v>
      </c>
      <c r="M34" s="84">
        <f>TrRoad_act!M115</f>
        <v>773506</v>
      </c>
      <c r="N34" s="84">
        <f>TrRoad_act!N115</f>
        <v>1081347</v>
      </c>
      <c r="O34" s="84">
        <f>TrRoad_act!O115</f>
        <v>772728</v>
      </c>
      <c r="P34" s="84">
        <f>TrRoad_act!P115</f>
        <v>708037</v>
      </c>
      <c r="Q34" s="84">
        <f>TrRoad_act!Q115</f>
        <v>923791</v>
      </c>
      <c r="R34" s="84">
        <f>TrRoad_act!R115</f>
        <v>718987</v>
      </c>
      <c r="S34" s="84">
        <f>TrRoad_act!S115</f>
        <v>719775</v>
      </c>
      <c r="T34" s="84">
        <f>TrRoad_act!T115</f>
        <v>778390</v>
      </c>
      <c r="U34" s="84">
        <f>TrRoad_act!U115</f>
        <v>785558</v>
      </c>
      <c r="V34" s="84">
        <f>TrRoad_act!V115</f>
        <v>635816</v>
      </c>
      <c r="W34" s="84">
        <f>TrRoad_act!W115</f>
        <v>1155098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85756</v>
      </c>
      <c r="C35" s="84">
        <f>TrRoad_act!C116</f>
        <v>98301</v>
      </c>
      <c r="D35" s="84">
        <f>TrRoad_act!D116</f>
        <v>32057</v>
      </c>
      <c r="E35" s="84">
        <f>TrRoad_act!E116</f>
        <v>85017</v>
      </c>
      <c r="F35" s="84">
        <f>TrRoad_act!F116</f>
        <v>191630</v>
      </c>
      <c r="G35" s="84">
        <f>TrRoad_act!G116</f>
        <v>292495</v>
      </c>
      <c r="H35" s="84">
        <f>TrRoad_act!H116</f>
        <v>407617</v>
      </c>
      <c r="I35" s="84">
        <f>TrRoad_act!I116</f>
        <v>582138</v>
      </c>
      <c r="J35" s="84">
        <f>TrRoad_act!J116</f>
        <v>779062</v>
      </c>
      <c r="K35" s="84">
        <f>TrRoad_act!K116</f>
        <v>538631</v>
      </c>
      <c r="L35" s="84">
        <f>TrRoad_act!L116</f>
        <v>575106</v>
      </c>
      <c r="M35" s="84">
        <f>TrRoad_act!M116</f>
        <v>721523</v>
      </c>
      <c r="N35" s="84">
        <f>TrRoad_act!N116</f>
        <v>631001</v>
      </c>
      <c r="O35" s="84">
        <f>TrRoad_act!O116</f>
        <v>468097</v>
      </c>
      <c r="P35" s="84">
        <f>TrRoad_act!P116</f>
        <v>470977</v>
      </c>
      <c r="Q35" s="84">
        <f>TrRoad_act!Q116</f>
        <v>481020</v>
      </c>
      <c r="R35" s="84">
        <f>TrRoad_act!R116</f>
        <v>600549</v>
      </c>
      <c r="S35" s="84">
        <f>TrRoad_act!S116</f>
        <v>500121</v>
      </c>
      <c r="T35" s="84">
        <f>TrRoad_act!T116</f>
        <v>537590</v>
      </c>
      <c r="U35" s="84">
        <f>TrRoad_act!U116</f>
        <v>591623</v>
      </c>
      <c r="V35" s="84">
        <f>TrRoad_act!V116</f>
        <v>580884</v>
      </c>
      <c r="W35" s="84">
        <f>TrRoad_act!W116</f>
        <v>622138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419881</v>
      </c>
      <c r="D36" s="84">
        <f>TrRoad_act!D117</f>
        <v>519013</v>
      </c>
      <c r="E36" s="84">
        <f>TrRoad_act!E117</f>
        <v>523788</v>
      </c>
      <c r="F36" s="84">
        <f>TrRoad_act!F117</f>
        <v>280360</v>
      </c>
      <c r="G36" s="84">
        <f>TrRoad_act!G117</f>
        <v>309344</v>
      </c>
      <c r="H36" s="84">
        <f>TrRoad_act!H117</f>
        <v>233421</v>
      </c>
      <c r="I36" s="84">
        <f>TrRoad_act!I117</f>
        <v>232239</v>
      </c>
      <c r="J36" s="84">
        <f>TrRoad_act!J117</f>
        <v>212403</v>
      </c>
      <c r="K36" s="84">
        <f>TrRoad_act!K117</f>
        <v>187603</v>
      </c>
      <c r="L36" s="84">
        <f>TrRoad_act!L117</f>
        <v>186074</v>
      </c>
      <c r="M36" s="84">
        <f>TrRoad_act!M117</f>
        <v>7170</v>
      </c>
      <c r="N36" s="84">
        <f>TrRoad_act!N117</f>
        <v>148725</v>
      </c>
      <c r="O36" s="84">
        <f>TrRoad_act!O117</f>
        <v>120789</v>
      </c>
      <c r="P36" s="84">
        <f>TrRoad_act!P117</f>
        <v>90692</v>
      </c>
      <c r="Q36" s="84">
        <f>TrRoad_act!Q117</f>
        <v>109068</v>
      </c>
      <c r="R36" s="84">
        <f>TrRoad_act!R117</f>
        <v>141883</v>
      </c>
      <c r="S36" s="84">
        <f>TrRoad_act!S117</f>
        <v>104376</v>
      </c>
      <c r="T36" s="84">
        <f>TrRoad_act!T117</f>
        <v>279315</v>
      </c>
      <c r="U36" s="84">
        <f>TrRoad_act!U117</f>
        <v>86336</v>
      </c>
      <c r="V36" s="84">
        <f>TrRoad_act!V117</f>
        <v>62875</v>
      </c>
      <c r="W36" s="84">
        <f>TrRoad_act!W117</f>
        <v>65535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5355</v>
      </c>
      <c r="R37" s="84">
        <f>TrRoad_act!R118</f>
        <v>2279</v>
      </c>
      <c r="S37" s="84">
        <f>TrRoad_act!S118</f>
        <v>313</v>
      </c>
      <c r="T37" s="84">
        <f>TrRoad_act!T118</f>
        <v>313</v>
      </c>
      <c r="U37" s="84">
        <f>TrRoad_act!U118</f>
        <v>280</v>
      </c>
      <c r="V37" s="84">
        <f>TrRoad_act!V118</f>
        <v>175</v>
      </c>
      <c r="W37" s="84">
        <f>TrRoad_act!W118</f>
        <v>214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12</v>
      </c>
      <c r="O38" s="84">
        <f>TrRoad_act!O119</f>
        <v>10</v>
      </c>
      <c r="P38" s="84">
        <f>TrRoad_act!P119</f>
        <v>673</v>
      </c>
      <c r="Q38" s="84">
        <f>TrRoad_act!Q119</f>
        <v>259</v>
      </c>
      <c r="R38" s="84">
        <f>TrRoad_act!R119</f>
        <v>156</v>
      </c>
      <c r="S38" s="84">
        <f>TrRoad_act!S119</f>
        <v>660</v>
      </c>
      <c r="T38" s="84">
        <f>TrRoad_act!T119</f>
        <v>779</v>
      </c>
      <c r="U38" s="84">
        <f>TrRoad_act!U119</f>
        <v>1166</v>
      </c>
      <c r="V38" s="84">
        <f>TrRoad_act!V119</f>
        <v>4362</v>
      </c>
      <c r="W38" s="84">
        <f>TrRoad_act!W119</f>
        <v>10244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15</v>
      </c>
      <c r="M39" s="84">
        <f>TrRoad_act!M120</f>
        <v>89</v>
      </c>
      <c r="N39" s="84">
        <f>TrRoad_act!N120</f>
        <v>111</v>
      </c>
      <c r="O39" s="84">
        <f>TrRoad_act!O120</f>
        <v>27</v>
      </c>
      <c r="P39" s="84">
        <f>TrRoad_act!P120</f>
        <v>63</v>
      </c>
      <c r="Q39" s="84">
        <f>TrRoad_act!Q120</f>
        <v>68</v>
      </c>
      <c r="R39" s="84">
        <f>TrRoad_act!R120</f>
        <v>636</v>
      </c>
      <c r="S39" s="84">
        <f>TrRoad_act!S120</f>
        <v>1367</v>
      </c>
      <c r="T39" s="84">
        <f>TrRoad_act!T120</f>
        <v>2593</v>
      </c>
      <c r="U39" s="84">
        <f>TrRoad_act!U120</f>
        <v>2205</v>
      </c>
      <c r="V39" s="84">
        <f>TrRoad_act!V120</f>
        <v>4619</v>
      </c>
      <c r="W39" s="84">
        <f>TrRoad_act!W120</f>
        <v>7167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3612</v>
      </c>
      <c r="C40" s="110">
        <f>TrRoad_act!C121</f>
        <v>3403</v>
      </c>
      <c r="D40" s="110">
        <f>TrRoad_act!D121</f>
        <v>2810</v>
      </c>
      <c r="E40" s="110">
        <f>TrRoad_act!E121</f>
        <v>2072</v>
      </c>
      <c r="F40" s="110">
        <f>TrRoad_act!F121</f>
        <v>5194</v>
      </c>
      <c r="G40" s="110">
        <f>TrRoad_act!G121</f>
        <v>4392</v>
      </c>
      <c r="H40" s="110">
        <f>TrRoad_act!H121</f>
        <v>4417</v>
      </c>
      <c r="I40" s="110">
        <f>TrRoad_act!I121</f>
        <v>4852</v>
      </c>
      <c r="J40" s="110">
        <f>TrRoad_act!J121</f>
        <v>5233</v>
      </c>
      <c r="K40" s="110">
        <f>TrRoad_act!K121</f>
        <v>3892</v>
      </c>
      <c r="L40" s="110">
        <f>TrRoad_act!L121</f>
        <v>3939</v>
      </c>
      <c r="M40" s="110">
        <f>TrRoad_act!M121</f>
        <v>4604</v>
      </c>
      <c r="N40" s="110">
        <f>TrRoad_act!N121</f>
        <v>4361</v>
      </c>
      <c r="O40" s="110">
        <f>TrRoad_act!O121</f>
        <v>4937</v>
      </c>
      <c r="P40" s="110">
        <f>TrRoad_act!P121</f>
        <v>5319</v>
      </c>
      <c r="Q40" s="110">
        <f>TrRoad_act!Q121</f>
        <v>11135</v>
      </c>
      <c r="R40" s="110">
        <f>TrRoad_act!R121</f>
        <v>5562</v>
      </c>
      <c r="S40" s="110">
        <f>TrRoad_act!S121</f>
        <v>5438</v>
      </c>
      <c r="T40" s="110">
        <f>TrRoad_act!T121</f>
        <v>5751</v>
      </c>
      <c r="U40" s="110">
        <f>TrRoad_act!U121</f>
        <v>5538</v>
      </c>
      <c r="V40" s="110">
        <f>TrRoad_act!V121</f>
        <v>5450</v>
      </c>
      <c r="W40" s="110">
        <f>TrRoad_act!W121</f>
        <v>5431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3612</v>
      </c>
      <c r="C42" s="102">
        <f>TrRoad_act!C123</f>
        <v>3384</v>
      </c>
      <c r="D42" s="102">
        <f>TrRoad_act!D123</f>
        <v>2806</v>
      </c>
      <c r="E42" s="102">
        <f>TrRoad_act!E123</f>
        <v>2068</v>
      </c>
      <c r="F42" s="102">
        <f>TrRoad_act!F123</f>
        <v>4120</v>
      </c>
      <c r="G42" s="102">
        <f>TrRoad_act!G123</f>
        <v>3956</v>
      </c>
      <c r="H42" s="102">
        <f>TrRoad_act!H123</f>
        <v>4403</v>
      </c>
      <c r="I42" s="102">
        <f>TrRoad_act!I123</f>
        <v>4847</v>
      </c>
      <c r="J42" s="102">
        <f>TrRoad_act!J123</f>
        <v>5225</v>
      </c>
      <c r="K42" s="102">
        <f>TrRoad_act!K123</f>
        <v>3891</v>
      </c>
      <c r="L42" s="102">
        <f>TrRoad_act!L123</f>
        <v>3918</v>
      </c>
      <c r="M42" s="102">
        <f>TrRoad_act!M123</f>
        <v>4592</v>
      </c>
      <c r="N42" s="102">
        <f>TrRoad_act!N123</f>
        <v>4351</v>
      </c>
      <c r="O42" s="102">
        <f>TrRoad_act!O123</f>
        <v>4883</v>
      </c>
      <c r="P42" s="102">
        <f>TrRoad_act!P123</f>
        <v>5281</v>
      </c>
      <c r="Q42" s="102">
        <f>TrRoad_act!Q123</f>
        <v>10522</v>
      </c>
      <c r="R42" s="102">
        <f>TrRoad_act!R123</f>
        <v>5482</v>
      </c>
      <c r="S42" s="102">
        <f>TrRoad_act!S123</f>
        <v>5267</v>
      </c>
      <c r="T42" s="102">
        <f>TrRoad_act!T123</f>
        <v>5481</v>
      </c>
      <c r="U42" s="102">
        <f>TrRoad_act!U123</f>
        <v>5132</v>
      </c>
      <c r="V42" s="102">
        <f>TrRoad_act!V123</f>
        <v>4836</v>
      </c>
      <c r="W42" s="102">
        <f>TrRoad_act!W123</f>
        <v>4825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4</v>
      </c>
      <c r="F43" s="102">
        <f>TrRoad_act!F124</f>
        <v>1074</v>
      </c>
      <c r="G43" s="102">
        <f>TrRoad_act!G124</f>
        <v>5</v>
      </c>
      <c r="H43" s="102">
        <f>TrRoad_act!H124</f>
        <v>4</v>
      </c>
      <c r="I43" s="102">
        <f>TrRoad_act!I124</f>
        <v>1</v>
      </c>
      <c r="J43" s="102">
        <f>TrRoad_act!J124</f>
        <v>8</v>
      </c>
      <c r="K43" s="102">
        <f>TrRoad_act!K124</f>
        <v>0</v>
      </c>
      <c r="L43" s="102">
        <f>TrRoad_act!L124</f>
        <v>5</v>
      </c>
      <c r="M43" s="102">
        <f>TrRoad_act!M124</f>
        <v>5</v>
      </c>
      <c r="N43" s="102">
        <f>TrRoad_act!N124</f>
        <v>10</v>
      </c>
      <c r="O43" s="102">
        <f>TrRoad_act!O124</f>
        <v>8</v>
      </c>
      <c r="P43" s="102">
        <f>TrRoad_act!P124</f>
        <v>6</v>
      </c>
      <c r="Q43" s="102">
        <f>TrRoad_act!Q124</f>
        <v>2</v>
      </c>
      <c r="R43" s="102">
        <f>TrRoad_act!R124</f>
        <v>3</v>
      </c>
      <c r="S43" s="102">
        <f>TrRoad_act!S124</f>
        <v>7</v>
      </c>
      <c r="T43" s="102">
        <f>TrRoad_act!T124</f>
        <v>95</v>
      </c>
      <c r="U43" s="102">
        <f>TrRoad_act!U124</f>
        <v>13</v>
      </c>
      <c r="V43" s="102">
        <f>TrRoad_act!V124</f>
        <v>12</v>
      </c>
      <c r="W43" s="102">
        <f>TrRoad_act!W124</f>
        <v>18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554</v>
      </c>
      <c r="R44" s="102">
        <f>TrRoad_act!R125</f>
        <v>32</v>
      </c>
      <c r="S44" s="102">
        <f>TrRoad_act!S125</f>
        <v>24</v>
      </c>
      <c r="T44" s="102">
        <f>TrRoad_act!T125</f>
        <v>112</v>
      </c>
      <c r="U44" s="102">
        <f>TrRoad_act!U125</f>
        <v>328</v>
      </c>
      <c r="V44" s="102">
        <f>TrRoad_act!V125</f>
        <v>391</v>
      </c>
      <c r="W44" s="102">
        <f>TrRoad_act!W125</f>
        <v>360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19</v>
      </c>
      <c r="D45" s="102">
        <f>TrRoad_act!D126</f>
        <v>4</v>
      </c>
      <c r="E45" s="102">
        <f>TrRoad_act!E126</f>
        <v>0</v>
      </c>
      <c r="F45" s="102">
        <f>TrRoad_act!F126</f>
        <v>0</v>
      </c>
      <c r="G45" s="102">
        <f>TrRoad_act!G126</f>
        <v>431</v>
      </c>
      <c r="H45" s="102">
        <f>TrRoad_act!H126</f>
        <v>10</v>
      </c>
      <c r="I45" s="102">
        <f>TrRoad_act!I126</f>
        <v>4</v>
      </c>
      <c r="J45" s="102">
        <f>TrRoad_act!J126</f>
        <v>0</v>
      </c>
      <c r="K45" s="102">
        <f>TrRoad_act!K126</f>
        <v>1</v>
      </c>
      <c r="L45" s="102">
        <f>TrRoad_act!L126</f>
        <v>16</v>
      </c>
      <c r="M45" s="102">
        <f>TrRoad_act!M126</f>
        <v>7</v>
      </c>
      <c r="N45" s="102">
        <f>TrRoad_act!N126</f>
        <v>0</v>
      </c>
      <c r="O45" s="102">
        <f>TrRoad_act!O126</f>
        <v>46</v>
      </c>
      <c r="P45" s="102">
        <f>TrRoad_act!P126</f>
        <v>32</v>
      </c>
      <c r="Q45" s="102">
        <f>TrRoad_act!Q126</f>
        <v>57</v>
      </c>
      <c r="R45" s="102">
        <f>TrRoad_act!R126</f>
        <v>45</v>
      </c>
      <c r="S45" s="102">
        <f>TrRoad_act!S126</f>
        <v>140</v>
      </c>
      <c r="T45" s="102">
        <f>TrRoad_act!T126</f>
        <v>63</v>
      </c>
      <c r="U45" s="102">
        <f>TrRoad_act!U126</f>
        <v>65</v>
      </c>
      <c r="V45" s="102">
        <f>TrRoad_act!V126</f>
        <v>211</v>
      </c>
      <c r="W45" s="102">
        <f>TrRoad_act!W126</f>
        <v>228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130004</v>
      </c>
      <c r="C46" s="28">
        <f>TrRoad_act!C127</f>
        <v>132410</v>
      </c>
      <c r="D46" s="28">
        <f>TrRoad_act!D127</f>
        <v>271470</v>
      </c>
      <c r="E46" s="28">
        <f>TrRoad_act!E127</f>
        <v>194843</v>
      </c>
      <c r="F46" s="28">
        <f>TrRoad_act!F127</f>
        <v>143320</v>
      </c>
      <c r="G46" s="28">
        <f>TrRoad_act!G127</f>
        <v>191166</v>
      </c>
      <c r="H46" s="28">
        <f>TrRoad_act!H127</f>
        <v>227773</v>
      </c>
      <c r="I46" s="28">
        <f>TrRoad_act!I127</f>
        <v>299071</v>
      </c>
      <c r="J46" s="28">
        <f>TrRoad_act!J127</f>
        <v>363372</v>
      </c>
      <c r="K46" s="28">
        <f>TrRoad_act!K127</f>
        <v>279116</v>
      </c>
      <c r="L46" s="28">
        <f>TrRoad_act!L127</f>
        <v>365427</v>
      </c>
      <c r="M46" s="28">
        <f>TrRoad_act!M127</f>
        <v>346638</v>
      </c>
      <c r="N46" s="28">
        <f>TrRoad_act!N127</f>
        <v>261156</v>
      </c>
      <c r="O46" s="28">
        <f>TrRoad_act!O127</f>
        <v>325818</v>
      </c>
      <c r="P46" s="28">
        <f>TrRoad_act!P127</f>
        <v>241782</v>
      </c>
      <c r="Q46" s="28">
        <f>TrRoad_act!Q127</f>
        <v>288412</v>
      </c>
      <c r="R46" s="28">
        <f>TrRoad_act!R127</f>
        <v>327798</v>
      </c>
      <c r="S46" s="28">
        <f>TrRoad_act!S127</f>
        <v>323965</v>
      </c>
      <c r="T46" s="28">
        <f>TrRoad_act!T127</f>
        <v>329500</v>
      </c>
      <c r="U46" s="28">
        <f>TrRoad_act!U127</f>
        <v>383043</v>
      </c>
      <c r="V46" s="28">
        <f>TrRoad_act!V127</f>
        <v>350331</v>
      </c>
      <c r="W46" s="28">
        <f>TrRoad_act!W127</f>
        <v>386815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128463</v>
      </c>
      <c r="C47" s="137">
        <f>TrRoad_act!C128</f>
        <v>95437</v>
      </c>
      <c r="D47" s="137">
        <f>TrRoad_act!D128</f>
        <v>174447</v>
      </c>
      <c r="E47" s="137">
        <f>TrRoad_act!E128</f>
        <v>168638</v>
      </c>
      <c r="F47" s="137">
        <f>TrRoad_act!F128</f>
        <v>116571</v>
      </c>
      <c r="G47" s="137">
        <f>TrRoad_act!G128</f>
        <v>149504</v>
      </c>
      <c r="H47" s="137">
        <f>TrRoad_act!H128</f>
        <v>176222</v>
      </c>
      <c r="I47" s="137">
        <f>TrRoad_act!I128</f>
        <v>212194</v>
      </c>
      <c r="J47" s="137">
        <f>TrRoad_act!J128</f>
        <v>266696</v>
      </c>
      <c r="K47" s="137">
        <f>TrRoad_act!K128</f>
        <v>223775</v>
      </c>
      <c r="L47" s="137">
        <f>TrRoad_act!L128</f>
        <v>295967</v>
      </c>
      <c r="M47" s="137">
        <f>TrRoad_act!M128</f>
        <v>264850</v>
      </c>
      <c r="N47" s="137">
        <f>TrRoad_act!N128</f>
        <v>196713</v>
      </c>
      <c r="O47" s="137">
        <f>TrRoad_act!O128</f>
        <v>249889</v>
      </c>
      <c r="P47" s="137">
        <f>TrRoad_act!P128</f>
        <v>164007</v>
      </c>
      <c r="Q47" s="137">
        <f>TrRoad_act!Q128</f>
        <v>205087</v>
      </c>
      <c r="R47" s="137">
        <f>TrRoad_act!R128</f>
        <v>235868</v>
      </c>
      <c r="S47" s="137">
        <f>TrRoad_act!S128</f>
        <v>236418</v>
      </c>
      <c r="T47" s="137">
        <f>TrRoad_act!T128</f>
        <v>242766</v>
      </c>
      <c r="U47" s="137">
        <f>TrRoad_act!U128</f>
        <v>287809</v>
      </c>
      <c r="V47" s="137">
        <f>TrRoad_act!V128</f>
        <v>275248</v>
      </c>
      <c r="W47" s="137">
        <f>TrRoad_act!W128</f>
        <v>291849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29680</v>
      </c>
      <c r="C48" s="84">
        <f>TrRoad_act!C129</f>
        <v>32050</v>
      </c>
      <c r="D48" s="84">
        <f>TrRoad_act!D129</f>
        <v>45659</v>
      </c>
      <c r="E48" s="84">
        <f>TrRoad_act!E129</f>
        <v>74921</v>
      </c>
      <c r="F48" s="84">
        <f>TrRoad_act!F129</f>
        <v>37868</v>
      </c>
      <c r="G48" s="84">
        <f>TrRoad_act!G129</f>
        <v>11343</v>
      </c>
      <c r="H48" s="84">
        <f>TrRoad_act!H129</f>
        <v>38074</v>
      </c>
      <c r="I48" s="84">
        <f>TrRoad_act!I129</f>
        <v>54502</v>
      </c>
      <c r="J48" s="84">
        <f>TrRoad_act!J129</f>
        <v>78921</v>
      </c>
      <c r="K48" s="84">
        <f>TrRoad_act!K129</f>
        <v>62789</v>
      </c>
      <c r="L48" s="84">
        <f>TrRoad_act!L129</f>
        <v>95769</v>
      </c>
      <c r="M48" s="84">
        <f>TrRoad_act!M129</f>
        <v>56578</v>
      </c>
      <c r="N48" s="84">
        <f>TrRoad_act!N129</f>
        <v>56752</v>
      </c>
      <c r="O48" s="84">
        <f>TrRoad_act!O129</f>
        <v>64565</v>
      </c>
      <c r="P48" s="84">
        <f>TrRoad_act!P129</f>
        <v>36506</v>
      </c>
      <c r="Q48" s="84">
        <f>TrRoad_act!Q129</f>
        <v>41422</v>
      </c>
      <c r="R48" s="84">
        <f>TrRoad_act!R129</f>
        <v>43248</v>
      </c>
      <c r="S48" s="84">
        <f>TrRoad_act!S129</f>
        <v>62951</v>
      </c>
      <c r="T48" s="84">
        <f>TrRoad_act!T129</f>
        <v>63772</v>
      </c>
      <c r="U48" s="84">
        <f>TrRoad_act!U129</f>
        <v>32349</v>
      </c>
      <c r="V48" s="84">
        <f>TrRoad_act!V129</f>
        <v>43019</v>
      </c>
      <c r="W48" s="84">
        <f>TrRoad_act!W129</f>
        <v>47378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98783</v>
      </c>
      <c r="C49" s="84">
        <f>TrRoad_act!C130</f>
        <v>54998</v>
      </c>
      <c r="D49" s="84">
        <f>TrRoad_act!D130</f>
        <v>101633</v>
      </c>
      <c r="E49" s="84">
        <f>TrRoad_act!E130</f>
        <v>78522</v>
      </c>
      <c r="F49" s="84">
        <f>TrRoad_act!F130</f>
        <v>74387</v>
      </c>
      <c r="G49" s="84">
        <f>TrRoad_act!G130</f>
        <v>127643</v>
      </c>
      <c r="H49" s="84">
        <f>TrRoad_act!H130</f>
        <v>119261</v>
      </c>
      <c r="I49" s="84">
        <f>TrRoad_act!I130</f>
        <v>146070</v>
      </c>
      <c r="J49" s="84">
        <f>TrRoad_act!J130</f>
        <v>180273</v>
      </c>
      <c r="K49" s="84">
        <f>TrRoad_act!K130</f>
        <v>157645</v>
      </c>
      <c r="L49" s="84">
        <f>TrRoad_act!L130</f>
        <v>195380</v>
      </c>
      <c r="M49" s="84">
        <f>TrRoad_act!M130</f>
        <v>202999</v>
      </c>
      <c r="N49" s="84">
        <f>TrRoad_act!N130</f>
        <v>137551</v>
      </c>
      <c r="O49" s="84">
        <f>TrRoad_act!O130</f>
        <v>182901</v>
      </c>
      <c r="P49" s="84">
        <f>TrRoad_act!P130</f>
        <v>110395</v>
      </c>
      <c r="Q49" s="84">
        <f>TrRoad_act!Q130</f>
        <v>159429</v>
      </c>
      <c r="R49" s="84">
        <f>TrRoad_act!R130</f>
        <v>187252</v>
      </c>
      <c r="S49" s="84">
        <f>TrRoad_act!S130</f>
        <v>169910</v>
      </c>
      <c r="T49" s="84">
        <f>TrRoad_act!T130</f>
        <v>172316</v>
      </c>
      <c r="U49" s="84">
        <f>TrRoad_act!U130</f>
        <v>254236</v>
      </c>
      <c r="V49" s="84">
        <f>TrRoad_act!V130</f>
        <v>231973</v>
      </c>
      <c r="W49" s="84">
        <f>TrRoad_act!W130</f>
        <v>242122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8389</v>
      </c>
      <c r="D50" s="84">
        <f>TrRoad_act!D131</f>
        <v>27155</v>
      </c>
      <c r="E50" s="84">
        <f>TrRoad_act!E131</f>
        <v>15195</v>
      </c>
      <c r="F50" s="84">
        <f>TrRoad_act!F131</f>
        <v>4316</v>
      </c>
      <c r="G50" s="84">
        <f>TrRoad_act!G131</f>
        <v>10518</v>
      </c>
      <c r="H50" s="84">
        <f>TrRoad_act!H131</f>
        <v>18887</v>
      </c>
      <c r="I50" s="84">
        <f>TrRoad_act!I131</f>
        <v>11622</v>
      </c>
      <c r="J50" s="84">
        <f>TrRoad_act!J131</f>
        <v>7502</v>
      </c>
      <c r="K50" s="84">
        <f>TrRoad_act!K131</f>
        <v>3341</v>
      </c>
      <c r="L50" s="84">
        <f>TrRoad_act!L131</f>
        <v>4818</v>
      </c>
      <c r="M50" s="84">
        <f>TrRoad_act!M131</f>
        <v>5273</v>
      </c>
      <c r="N50" s="84">
        <f>TrRoad_act!N131</f>
        <v>2403</v>
      </c>
      <c r="O50" s="84">
        <f>TrRoad_act!O131</f>
        <v>2417</v>
      </c>
      <c r="P50" s="84">
        <f>TrRoad_act!P131</f>
        <v>17102</v>
      </c>
      <c r="Q50" s="84">
        <f>TrRoad_act!Q131</f>
        <v>2166</v>
      </c>
      <c r="R50" s="84">
        <f>TrRoad_act!R131</f>
        <v>5008</v>
      </c>
      <c r="S50" s="84">
        <f>TrRoad_act!S131</f>
        <v>3426</v>
      </c>
      <c r="T50" s="84">
        <f>TrRoad_act!T131</f>
        <v>6552</v>
      </c>
      <c r="U50" s="84">
        <f>TrRoad_act!U131</f>
        <v>1056</v>
      </c>
      <c r="V50" s="84">
        <f>TrRoad_act!V131</f>
        <v>9</v>
      </c>
      <c r="W50" s="84">
        <f>TrRoad_act!W131</f>
        <v>1901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2063</v>
      </c>
      <c r="R51" s="84">
        <f>TrRoad_act!R132</f>
        <v>354</v>
      </c>
      <c r="S51" s="84">
        <f>TrRoad_act!S132</f>
        <v>117</v>
      </c>
      <c r="T51" s="84">
        <f>TrRoad_act!T132</f>
        <v>84</v>
      </c>
      <c r="U51" s="84">
        <f>TrRoad_act!U132</f>
        <v>54</v>
      </c>
      <c r="V51" s="84">
        <f>TrRoad_act!V132</f>
        <v>45</v>
      </c>
      <c r="W51" s="84">
        <f>TrRoad_act!W132</f>
        <v>27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7</v>
      </c>
      <c r="O52" s="84">
        <f>TrRoad_act!O133</f>
        <v>6</v>
      </c>
      <c r="P52" s="84">
        <f>TrRoad_act!P133</f>
        <v>4</v>
      </c>
      <c r="Q52" s="84">
        <f>TrRoad_act!Q133</f>
        <v>7</v>
      </c>
      <c r="R52" s="84">
        <f>TrRoad_act!R133</f>
        <v>6</v>
      </c>
      <c r="S52" s="84">
        <f>TrRoad_act!S133</f>
        <v>14</v>
      </c>
      <c r="T52" s="84">
        <f>TrRoad_act!T133</f>
        <v>42</v>
      </c>
      <c r="U52" s="84">
        <f>TrRoad_act!U133</f>
        <v>114</v>
      </c>
      <c r="V52" s="84">
        <f>TrRoad_act!V133</f>
        <v>202</v>
      </c>
      <c r="W52" s="84">
        <f>TrRoad_act!W133</f>
        <v>421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1541</v>
      </c>
      <c r="C53" s="110">
        <f>TrRoad_act!C134</f>
        <v>36973</v>
      </c>
      <c r="D53" s="110">
        <f>TrRoad_act!D134</f>
        <v>97023</v>
      </c>
      <c r="E53" s="110">
        <f>TrRoad_act!E134</f>
        <v>26205</v>
      </c>
      <c r="F53" s="110">
        <f>TrRoad_act!F134</f>
        <v>26749</v>
      </c>
      <c r="G53" s="110">
        <f>TrRoad_act!G134</f>
        <v>41662</v>
      </c>
      <c r="H53" s="110">
        <f>TrRoad_act!H134</f>
        <v>51551</v>
      </c>
      <c r="I53" s="110">
        <f>TrRoad_act!I134</f>
        <v>86877</v>
      </c>
      <c r="J53" s="110">
        <f>TrRoad_act!J134</f>
        <v>96676</v>
      </c>
      <c r="K53" s="110">
        <f>TrRoad_act!K134</f>
        <v>55341</v>
      </c>
      <c r="L53" s="110">
        <f>TrRoad_act!L134</f>
        <v>69460</v>
      </c>
      <c r="M53" s="110">
        <f>TrRoad_act!M134</f>
        <v>81788</v>
      </c>
      <c r="N53" s="110">
        <f>TrRoad_act!N134</f>
        <v>64443</v>
      </c>
      <c r="O53" s="110">
        <f>TrRoad_act!O134</f>
        <v>75929</v>
      </c>
      <c r="P53" s="110">
        <f>TrRoad_act!P134</f>
        <v>77775</v>
      </c>
      <c r="Q53" s="110">
        <f>TrRoad_act!Q134</f>
        <v>83325</v>
      </c>
      <c r="R53" s="110">
        <f>TrRoad_act!R134</f>
        <v>91930</v>
      </c>
      <c r="S53" s="110">
        <f>TrRoad_act!S134</f>
        <v>87547</v>
      </c>
      <c r="T53" s="110">
        <f>TrRoad_act!T134</f>
        <v>86734</v>
      </c>
      <c r="U53" s="110">
        <f>TrRoad_act!U134</f>
        <v>95234</v>
      </c>
      <c r="V53" s="110">
        <f>TrRoad_act!V134</f>
        <v>75083</v>
      </c>
      <c r="W53" s="110">
        <f>TrRoad_act!W134</f>
        <v>94966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34779</v>
      </c>
      <c r="D54" s="102">
        <f>TrRoad_act!D135</f>
        <v>94870</v>
      </c>
      <c r="E54" s="102">
        <f>TrRoad_act!E135</f>
        <v>24325</v>
      </c>
      <c r="F54" s="102">
        <f>TrRoad_act!F135</f>
        <v>21835</v>
      </c>
      <c r="G54" s="102">
        <f>TrRoad_act!G135</f>
        <v>39052</v>
      </c>
      <c r="H54" s="102">
        <f>TrRoad_act!H135</f>
        <v>44883</v>
      </c>
      <c r="I54" s="102">
        <f>TrRoad_act!I135</f>
        <v>86379</v>
      </c>
      <c r="J54" s="102">
        <f>TrRoad_act!J135</f>
        <v>93844</v>
      </c>
      <c r="K54" s="102">
        <f>TrRoad_act!K135</f>
        <v>53940</v>
      </c>
      <c r="L54" s="102">
        <f>TrRoad_act!L135</f>
        <v>62950</v>
      </c>
      <c r="M54" s="102">
        <f>TrRoad_act!M135</f>
        <v>77738</v>
      </c>
      <c r="N54" s="102">
        <f>TrRoad_act!N135</f>
        <v>59317</v>
      </c>
      <c r="O54" s="102">
        <f>TrRoad_act!O135</f>
        <v>71291</v>
      </c>
      <c r="P54" s="102">
        <f>TrRoad_act!P135</f>
        <v>74358</v>
      </c>
      <c r="Q54" s="102">
        <f>TrRoad_act!Q135</f>
        <v>79189</v>
      </c>
      <c r="R54" s="102">
        <f>TrRoad_act!R135</f>
        <v>84340</v>
      </c>
      <c r="S54" s="102">
        <f>TrRoad_act!S135</f>
        <v>79052</v>
      </c>
      <c r="T54" s="102">
        <f>TrRoad_act!T135</f>
        <v>86734</v>
      </c>
      <c r="U54" s="102">
        <f>TrRoad_act!U135</f>
        <v>86196</v>
      </c>
      <c r="V54" s="102">
        <f>TrRoad_act!V135</f>
        <v>72653</v>
      </c>
      <c r="W54" s="102">
        <f>TrRoad_act!W135</f>
        <v>88300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1541</v>
      </c>
      <c r="C55" s="86">
        <f>TrRoad_act!C136</f>
        <v>2194</v>
      </c>
      <c r="D55" s="86">
        <f>TrRoad_act!D136</f>
        <v>2153</v>
      </c>
      <c r="E55" s="86">
        <f>TrRoad_act!E136</f>
        <v>1880</v>
      </c>
      <c r="F55" s="86">
        <f>TrRoad_act!F136</f>
        <v>4914</v>
      </c>
      <c r="G55" s="86">
        <f>TrRoad_act!G136</f>
        <v>2610</v>
      </c>
      <c r="H55" s="86">
        <f>TrRoad_act!H136</f>
        <v>6668</v>
      </c>
      <c r="I55" s="86">
        <f>TrRoad_act!I136</f>
        <v>498</v>
      </c>
      <c r="J55" s="86">
        <f>TrRoad_act!J136</f>
        <v>2832</v>
      </c>
      <c r="K55" s="86">
        <f>TrRoad_act!K136</f>
        <v>1401</v>
      </c>
      <c r="L55" s="86">
        <f>TrRoad_act!L136</f>
        <v>6510</v>
      </c>
      <c r="M55" s="86">
        <f>TrRoad_act!M136</f>
        <v>4050</v>
      </c>
      <c r="N55" s="86">
        <f>TrRoad_act!N136</f>
        <v>5126</v>
      </c>
      <c r="O55" s="86">
        <f>TrRoad_act!O136</f>
        <v>4638</v>
      </c>
      <c r="P55" s="86">
        <f>TrRoad_act!P136</f>
        <v>3417</v>
      </c>
      <c r="Q55" s="86">
        <f>TrRoad_act!Q136</f>
        <v>4136</v>
      </c>
      <c r="R55" s="86">
        <f>TrRoad_act!R136</f>
        <v>7590</v>
      </c>
      <c r="S55" s="86">
        <f>TrRoad_act!S136</f>
        <v>8495</v>
      </c>
      <c r="T55" s="86">
        <f>TrRoad_act!T136</f>
        <v>0</v>
      </c>
      <c r="U55" s="86">
        <f>TrRoad_act!U136</f>
        <v>9038</v>
      </c>
      <c r="V55" s="86">
        <f>TrRoad_act!V136</f>
        <v>2430</v>
      </c>
      <c r="W55" s="86">
        <f>TrRoad_act!W136</f>
        <v>6666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1428303</v>
      </c>
      <c r="C59" s="54">
        <f t="shared" si="0"/>
        <v>615045</v>
      </c>
      <c r="D59" s="54">
        <f t="shared" si="0"/>
        <v>559999</v>
      </c>
      <c r="E59" s="54">
        <f t="shared" si="0"/>
        <v>505172</v>
      </c>
      <c r="F59" s="54">
        <f t="shared" si="0"/>
        <v>678493</v>
      </c>
      <c r="G59" s="54">
        <f t="shared" si="0"/>
        <v>1049754</v>
      </c>
      <c r="H59" s="54">
        <f t="shared" si="0"/>
        <v>982361</v>
      </c>
      <c r="I59" s="54">
        <f t="shared" si="0"/>
        <v>1342087</v>
      </c>
      <c r="J59" s="54">
        <f t="shared" si="0"/>
        <v>1789291</v>
      </c>
      <c r="K59" s="54">
        <f t="shared" si="0"/>
        <v>1469264</v>
      </c>
      <c r="L59" s="54">
        <f t="shared" ref="L59" si="1">L60+L75</f>
        <v>1526876</v>
      </c>
      <c r="M59" s="54">
        <f t="shared" ref="M59:V59" si="2">M60+M75</f>
        <v>1769878</v>
      </c>
      <c r="N59" s="54">
        <f t="shared" si="2"/>
        <v>2039972</v>
      </c>
      <c r="O59" s="54">
        <f t="shared" si="2"/>
        <v>1702251</v>
      </c>
      <c r="P59" s="54">
        <f t="shared" si="2"/>
        <v>1568647</v>
      </c>
      <c r="Q59" s="54">
        <f t="shared" si="2"/>
        <v>1931244</v>
      </c>
      <c r="R59" s="54">
        <f t="shared" si="2"/>
        <v>1935220</v>
      </c>
      <c r="S59" s="54">
        <f t="shared" si="2"/>
        <v>1806443</v>
      </c>
      <c r="T59" s="54">
        <f t="shared" si="2"/>
        <v>2087642</v>
      </c>
      <c r="U59" s="54">
        <f t="shared" si="2"/>
        <v>2035487</v>
      </c>
      <c r="V59" s="54">
        <f t="shared" si="2"/>
        <v>1823206</v>
      </c>
      <c r="W59" s="54">
        <f t="shared" ref="W59" si="3">W60+W75</f>
        <v>2430630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1397064</v>
      </c>
      <c r="C60" s="28">
        <f t="shared" si="4"/>
        <v>609619</v>
      </c>
      <c r="D60" s="28">
        <f t="shared" si="4"/>
        <v>541551</v>
      </c>
      <c r="E60" s="28">
        <f t="shared" si="4"/>
        <v>494341</v>
      </c>
      <c r="F60" s="28">
        <f t="shared" si="4"/>
        <v>675269</v>
      </c>
      <c r="G60" s="28">
        <f t="shared" si="4"/>
        <v>1032683</v>
      </c>
      <c r="H60" s="28">
        <f t="shared" si="4"/>
        <v>944279</v>
      </c>
      <c r="I60" s="28">
        <f t="shared" si="4"/>
        <v>1273702</v>
      </c>
      <c r="J60" s="28">
        <f t="shared" si="4"/>
        <v>1637861</v>
      </c>
      <c r="K60" s="28">
        <f t="shared" si="4"/>
        <v>1331128</v>
      </c>
      <c r="L60" s="28">
        <f t="shared" ref="L60" si="5">L61+L62+L69</f>
        <v>1312618</v>
      </c>
      <c r="M60" s="28">
        <f t="shared" ref="M60:V60" si="6">M61+M62+M69</f>
        <v>1529452</v>
      </c>
      <c r="N60" s="28">
        <f t="shared" si="6"/>
        <v>1838397</v>
      </c>
      <c r="O60" s="28">
        <f t="shared" si="6"/>
        <v>1428743</v>
      </c>
      <c r="P60" s="28">
        <f t="shared" si="6"/>
        <v>1350607</v>
      </c>
      <c r="Q60" s="28">
        <f t="shared" si="6"/>
        <v>1661823</v>
      </c>
      <c r="R60" s="28">
        <f t="shared" si="6"/>
        <v>1618965</v>
      </c>
      <c r="S60" s="28">
        <f t="shared" si="6"/>
        <v>1488238</v>
      </c>
      <c r="T60" s="28">
        <f t="shared" si="6"/>
        <v>1759538</v>
      </c>
      <c r="U60" s="28">
        <f t="shared" si="6"/>
        <v>1653478</v>
      </c>
      <c r="V60" s="28">
        <f t="shared" si="6"/>
        <v>1472987</v>
      </c>
      <c r="W60" s="28">
        <f t="shared" ref="W60" si="7">W61+W62+W69</f>
        <v>2043815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49895</v>
      </c>
      <c r="E61" s="137">
        <v>982</v>
      </c>
      <c r="F61" s="137">
        <v>2432</v>
      </c>
      <c r="G61" s="137">
        <v>229165</v>
      </c>
      <c r="H61" s="137">
        <v>104042</v>
      </c>
      <c r="I61" s="137">
        <v>169033</v>
      </c>
      <c r="J61" s="137">
        <v>273517</v>
      </c>
      <c r="K61" s="137">
        <v>231489</v>
      </c>
      <c r="L61" s="137">
        <v>162981</v>
      </c>
      <c r="M61" s="137">
        <v>214276</v>
      </c>
      <c r="N61" s="137">
        <v>153452</v>
      </c>
      <c r="O61" s="137">
        <v>162794</v>
      </c>
      <c r="P61" s="137">
        <v>144845</v>
      </c>
      <c r="Q61" s="137">
        <v>191062</v>
      </c>
      <c r="R61" s="137">
        <v>184630</v>
      </c>
      <c r="S61" s="137">
        <v>177322</v>
      </c>
      <c r="T61" s="137">
        <v>168955</v>
      </c>
      <c r="U61" s="137">
        <v>185264</v>
      </c>
      <c r="V61" s="137">
        <v>184882</v>
      </c>
      <c r="W61" s="137">
        <v>177988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1397064</v>
      </c>
      <c r="C62" s="110">
        <f t="shared" si="8"/>
        <v>609619</v>
      </c>
      <c r="D62" s="110">
        <f t="shared" si="8"/>
        <v>491656</v>
      </c>
      <c r="E62" s="110">
        <f t="shared" si="8"/>
        <v>493359</v>
      </c>
      <c r="F62" s="110">
        <f t="shared" si="8"/>
        <v>672266</v>
      </c>
      <c r="G62" s="110">
        <f t="shared" si="8"/>
        <v>803513</v>
      </c>
      <c r="H62" s="110">
        <f t="shared" si="8"/>
        <v>840233</v>
      </c>
      <c r="I62" s="110">
        <f t="shared" si="8"/>
        <v>1104668</v>
      </c>
      <c r="J62" s="110">
        <f t="shared" si="8"/>
        <v>1364336</v>
      </c>
      <c r="K62" s="110">
        <f t="shared" si="8"/>
        <v>1099639</v>
      </c>
      <c r="L62" s="110">
        <f t="shared" ref="L62" si="9">SUM(L63:L68)</f>
        <v>1148553</v>
      </c>
      <c r="M62" s="110">
        <f t="shared" ref="M62:V62" si="10">SUM(M63:M68)</f>
        <v>1312924</v>
      </c>
      <c r="N62" s="110">
        <f t="shared" si="10"/>
        <v>1682226</v>
      </c>
      <c r="O62" s="110">
        <f t="shared" si="10"/>
        <v>1262332</v>
      </c>
      <c r="P62" s="110">
        <f t="shared" si="10"/>
        <v>1201349</v>
      </c>
      <c r="Q62" s="110">
        <f t="shared" si="10"/>
        <v>1460903</v>
      </c>
      <c r="R62" s="110">
        <f t="shared" si="10"/>
        <v>1429017</v>
      </c>
      <c r="S62" s="110">
        <f t="shared" si="10"/>
        <v>1305563</v>
      </c>
      <c r="T62" s="110">
        <f t="shared" si="10"/>
        <v>1584851</v>
      </c>
      <c r="U62" s="110">
        <f t="shared" si="10"/>
        <v>1462679</v>
      </c>
      <c r="V62" s="110">
        <f t="shared" si="10"/>
        <v>1282658</v>
      </c>
      <c r="W62" s="110">
        <f t="shared" ref="W62" si="11">SUM(W63:W68)</f>
        <v>1860396</v>
      </c>
      <c r="DA62" s="176" t="s">
        <v>839</v>
      </c>
    </row>
    <row r="63" spans="1:105" ht="11.45" customHeight="1" x14ac:dyDescent="0.25">
      <c r="A63" s="111" t="s">
        <v>110</v>
      </c>
      <c r="B63" s="84">
        <v>1397064</v>
      </c>
      <c r="C63" s="84">
        <v>395767</v>
      </c>
      <c r="D63" s="84">
        <v>186516</v>
      </c>
      <c r="E63" s="84">
        <v>130084</v>
      </c>
      <c r="F63" s="84">
        <v>371993</v>
      </c>
      <c r="G63" s="84">
        <v>397484</v>
      </c>
      <c r="H63" s="84">
        <v>388119</v>
      </c>
      <c r="I63" s="84">
        <v>500009</v>
      </c>
      <c r="J63" s="84">
        <v>592242</v>
      </c>
      <c r="K63" s="84">
        <v>503487</v>
      </c>
      <c r="L63" s="84">
        <v>497817</v>
      </c>
      <c r="M63" s="84">
        <v>675889</v>
      </c>
      <c r="N63" s="84">
        <v>972102</v>
      </c>
      <c r="O63" s="84">
        <v>711947</v>
      </c>
      <c r="P63" s="84">
        <v>666153</v>
      </c>
      <c r="Q63" s="84">
        <v>884485</v>
      </c>
      <c r="R63" s="84">
        <v>698252</v>
      </c>
      <c r="S63" s="84">
        <v>706847</v>
      </c>
      <c r="T63" s="84">
        <v>770777</v>
      </c>
      <c r="U63" s="84">
        <v>782271</v>
      </c>
      <c r="V63" s="84">
        <v>629874</v>
      </c>
      <c r="W63" s="84">
        <v>1155098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29021</v>
      </c>
      <c r="F64" s="84">
        <v>108437</v>
      </c>
      <c r="G64" s="84">
        <v>180884</v>
      </c>
      <c r="H64" s="84">
        <v>272684</v>
      </c>
      <c r="I64" s="84">
        <v>417343</v>
      </c>
      <c r="J64" s="84">
        <v>593430</v>
      </c>
      <c r="K64" s="84">
        <v>432511</v>
      </c>
      <c r="L64" s="84">
        <v>483309</v>
      </c>
      <c r="M64" s="84">
        <v>630412</v>
      </c>
      <c r="N64" s="84">
        <v>569734</v>
      </c>
      <c r="O64" s="84">
        <v>434357</v>
      </c>
      <c r="P64" s="84">
        <v>446887</v>
      </c>
      <c r="Q64" s="84">
        <v>464591</v>
      </c>
      <c r="R64" s="84">
        <v>587998</v>
      </c>
      <c r="S64" s="84">
        <v>494536</v>
      </c>
      <c r="T64" s="84">
        <v>535077</v>
      </c>
      <c r="U64" s="84">
        <v>590970</v>
      </c>
      <c r="V64" s="84">
        <v>580881</v>
      </c>
      <c r="W64" s="84">
        <v>622138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213852</v>
      </c>
      <c r="D65" s="84">
        <v>305140</v>
      </c>
      <c r="E65" s="84">
        <v>334254</v>
      </c>
      <c r="F65" s="84">
        <v>191836</v>
      </c>
      <c r="G65" s="84">
        <v>225145</v>
      </c>
      <c r="H65" s="84">
        <v>179430</v>
      </c>
      <c r="I65" s="84">
        <v>187316</v>
      </c>
      <c r="J65" s="84">
        <v>178664</v>
      </c>
      <c r="K65" s="84">
        <v>163641</v>
      </c>
      <c r="L65" s="84">
        <v>167427</v>
      </c>
      <c r="M65" s="84">
        <v>6623</v>
      </c>
      <c r="N65" s="84">
        <v>140390</v>
      </c>
      <c r="O65" s="84">
        <v>116028</v>
      </c>
      <c r="P65" s="84">
        <v>88309</v>
      </c>
      <c r="Q65" s="84">
        <v>107283</v>
      </c>
      <c r="R65" s="84">
        <v>140563</v>
      </c>
      <c r="S65" s="84">
        <v>103870</v>
      </c>
      <c r="T65" s="84">
        <v>278685</v>
      </c>
      <c r="U65" s="84">
        <v>86267</v>
      </c>
      <c r="V65" s="84">
        <v>62782</v>
      </c>
      <c r="W65" s="84">
        <v>65535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4544</v>
      </c>
      <c r="R66" s="84">
        <v>2204</v>
      </c>
      <c r="S66" s="84">
        <v>310</v>
      </c>
      <c r="T66" s="84">
        <v>312</v>
      </c>
      <c r="U66" s="84">
        <v>280</v>
      </c>
      <c r="V66" s="84">
        <v>175</v>
      </c>
      <c r="W66" s="84">
        <v>214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1039</v>
      </c>
      <c r="V67" s="84">
        <v>4351</v>
      </c>
      <c r="W67" s="84">
        <v>10244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1852</v>
      </c>
      <c r="V68" s="84">
        <v>4595</v>
      </c>
      <c r="W68" s="84">
        <v>7167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571</v>
      </c>
      <c r="G69" s="110">
        <f t="shared" si="12"/>
        <v>5</v>
      </c>
      <c r="H69" s="110">
        <f t="shared" si="12"/>
        <v>4</v>
      </c>
      <c r="I69" s="110">
        <f t="shared" si="12"/>
        <v>1</v>
      </c>
      <c r="J69" s="110">
        <f t="shared" si="12"/>
        <v>8</v>
      </c>
      <c r="K69" s="110">
        <f t="shared" si="12"/>
        <v>0</v>
      </c>
      <c r="L69" s="110">
        <f t="shared" ref="L69" si="13">SUM(L70:L74)</f>
        <v>1084</v>
      </c>
      <c r="M69" s="110">
        <f t="shared" ref="M69:V69" si="14">SUM(M70:M74)</f>
        <v>2252</v>
      </c>
      <c r="N69" s="110">
        <f t="shared" si="14"/>
        <v>2719</v>
      </c>
      <c r="O69" s="110">
        <f t="shared" si="14"/>
        <v>3617</v>
      </c>
      <c r="P69" s="110">
        <f t="shared" si="14"/>
        <v>4413</v>
      </c>
      <c r="Q69" s="110">
        <f t="shared" si="14"/>
        <v>9858</v>
      </c>
      <c r="R69" s="110">
        <f t="shared" si="14"/>
        <v>5318</v>
      </c>
      <c r="S69" s="110">
        <f t="shared" si="14"/>
        <v>5353</v>
      </c>
      <c r="T69" s="110">
        <f t="shared" si="14"/>
        <v>5732</v>
      </c>
      <c r="U69" s="110">
        <f t="shared" si="14"/>
        <v>5535</v>
      </c>
      <c r="V69" s="110">
        <f t="shared" si="14"/>
        <v>5447</v>
      </c>
      <c r="W69" s="110">
        <f t="shared" ref="W69" si="15">SUM(W70:W74)</f>
        <v>5431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1079</v>
      </c>
      <c r="M71" s="102">
        <v>2247</v>
      </c>
      <c r="N71" s="102">
        <v>2709</v>
      </c>
      <c r="O71" s="102">
        <v>3609</v>
      </c>
      <c r="P71" s="102">
        <v>4407</v>
      </c>
      <c r="Q71" s="102">
        <v>9541</v>
      </c>
      <c r="R71" s="102">
        <v>5241</v>
      </c>
      <c r="S71" s="102">
        <v>5186</v>
      </c>
      <c r="T71" s="102">
        <v>5463</v>
      </c>
      <c r="U71" s="102">
        <v>5129</v>
      </c>
      <c r="V71" s="102">
        <v>4836</v>
      </c>
      <c r="W71" s="102">
        <v>4825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571</v>
      </c>
      <c r="G72" s="102">
        <v>5</v>
      </c>
      <c r="H72" s="102">
        <v>4</v>
      </c>
      <c r="I72" s="102">
        <v>1</v>
      </c>
      <c r="J72" s="102">
        <v>8</v>
      </c>
      <c r="K72" s="102">
        <v>0</v>
      </c>
      <c r="L72" s="102">
        <v>5</v>
      </c>
      <c r="M72" s="102">
        <v>5</v>
      </c>
      <c r="N72" s="102">
        <v>10</v>
      </c>
      <c r="O72" s="102">
        <v>8</v>
      </c>
      <c r="P72" s="102">
        <v>6</v>
      </c>
      <c r="Q72" s="102">
        <v>2</v>
      </c>
      <c r="R72" s="102">
        <v>3</v>
      </c>
      <c r="S72" s="102">
        <v>7</v>
      </c>
      <c r="T72" s="102">
        <v>95</v>
      </c>
      <c r="U72" s="102">
        <v>13</v>
      </c>
      <c r="V72" s="102">
        <v>12</v>
      </c>
      <c r="W72" s="102">
        <v>18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299</v>
      </c>
      <c r="R73" s="102">
        <v>31</v>
      </c>
      <c r="S73" s="102">
        <v>24</v>
      </c>
      <c r="T73" s="102">
        <v>112</v>
      </c>
      <c r="U73" s="102">
        <v>328</v>
      </c>
      <c r="V73" s="102">
        <v>391</v>
      </c>
      <c r="W73" s="102">
        <v>360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16</v>
      </c>
      <c r="R74" s="102">
        <v>43</v>
      </c>
      <c r="S74" s="102">
        <v>136</v>
      </c>
      <c r="T74" s="102">
        <v>62</v>
      </c>
      <c r="U74" s="102">
        <v>65</v>
      </c>
      <c r="V74" s="102">
        <v>208</v>
      </c>
      <c r="W74" s="102">
        <v>228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31239</v>
      </c>
      <c r="C75" s="28">
        <f t="shared" si="16"/>
        <v>5426</v>
      </c>
      <c r="D75" s="28">
        <f t="shared" si="16"/>
        <v>18448</v>
      </c>
      <c r="E75" s="28">
        <f t="shared" si="16"/>
        <v>10831</v>
      </c>
      <c r="F75" s="28">
        <f t="shared" si="16"/>
        <v>3224</v>
      </c>
      <c r="G75" s="28">
        <f t="shared" si="16"/>
        <v>17071</v>
      </c>
      <c r="H75" s="28">
        <f t="shared" si="16"/>
        <v>38082</v>
      </c>
      <c r="I75" s="28">
        <f t="shared" si="16"/>
        <v>68385</v>
      </c>
      <c r="J75" s="28">
        <f t="shared" si="16"/>
        <v>151430</v>
      </c>
      <c r="K75" s="28">
        <f t="shared" si="16"/>
        <v>138136</v>
      </c>
      <c r="L75" s="28">
        <f t="shared" ref="L75" si="17">L76+L82</f>
        <v>214258</v>
      </c>
      <c r="M75" s="28">
        <f t="shared" ref="M75:V75" si="18">M76+M82</f>
        <v>240426</v>
      </c>
      <c r="N75" s="28">
        <f t="shared" si="18"/>
        <v>201575</v>
      </c>
      <c r="O75" s="28">
        <f t="shared" si="18"/>
        <v>273508</v>
      </c>
      <c r="P75" s="28">
        <f t="shared" si="18"/>
        <v>218040</v>
      </c>
      <c r="Q75" s="28">
        <f t="shared" si="18"/>
        <v>269421</v>
      </c>
      <c r="R75" s="28">
        <f t="shared" si="18"/>
        <v>316255</v>
      </c>
      <c r="S75" s="28">
        <f t="shared" si="18"/>
        <v>318205</v>
      </c>
      <c r="T75" s="28">
        <f t="shared" si="18"/>
        <v>328104</v>
      </c>
      <c r="U75" s="28">
        <f t="shared" si="18"/>
        <v>382009</v>
      </c>
      <c r="V75" s="28">
        <f t="shared" si="18"/>
        <v>350219</v>
      </c>
      <c r="W75" s="28">
        <f t="shared" ref="W75" si="19">W76+W82</f>
        <v>386815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31239</v>
      </c>
      <c r="C76" s="137">
        <f t="shared" si="20"/>
        <v>5426</v>
      </c>
      <c r="D76" s="137">
        <f t="shared" si="20"/>
        <v>18448</v>
      </c>
      <c r="E76" s="137">
        <f t="shared" si="20"/>
        <v>10831</v>
      </c>
      <c r="F76" s="137">
        <f t="shared" si="20"/>
        <v>3224</v>
      </c>
      <c r="G76" s="137">
        <f t="shared" si="20"/>
        <v>8208</v>
      </c>
      <c r="H76" s="137">
        <f t="shared" si="20"/>
        <v>15358</v>
      </c>
      <c r="I76" s="137">
        <f t="shared" si="20"/>
        <v>19400</v>
      </c>
      <c r="J76" s="137">
        <f t="shared" si="20"/>
        <v>92611</v>
      </c>
      <c r="K76" s="137">
        <f t="shared" si="20"/>
        <v>101227</v>
      </c>
      <c r="L76" s="137">
        <f t="shared" ref="L76" si="21">SUM(L77:L81)</f>
        <v>167106</v>
      </c>
      <c r="M76" s="137">
        <f t="shared" ref="M76:V76" si="22">SUM(M77:M81)</f>
        <v>176413</v>
      </c>
      <c r="N76" s="137">
        <f t="shared" si="22"/>
        <v>148569</v>
      </c>
      <c r="O76" s="137">
        <f t="shared" si="22"/>
        <v>207866</v>
      </c>
      <c r="P76" s="137">
        <f t="shared" si="22"/>
        <v>147908</v>
      </c>
      <c r="Q76" s="137">
        <f t="shared" si="22"/>
        <v>191952</v>
      </c>
      <c r="R76" s="137">
        <f t="shared" si="22"/>
        <v>229143</v>
      </c>
      <c r="S76" s="137">
        <f t="shared" si="22"/>
        <v>233834</v>
      </c>
      <c r="T76" s="137">
        <f t="shared" si="22"/>
        <v>242162</v>
      </c>
      <c r="U76" s="137">
        <f t="shared" si="22"/>
        <v>287717</v>
      </c>
      <c r="V76" s="137">
        <f t="shared" si="22"/>
        <v>275240</v>
      </c>
      <c r="W76" s="137">
        <f t="shared" ref="W76" si="23">SUM(W77:W81)</f>
        <v>291849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6777</v>
      </c>
      <c r="J77" s="84">
        <v>30579</v>
      </c>
      <c r="K77" s="84">
        <v>30347</v>
      </c>
      <c r="L77" s="84">
        <v>55348</v>
      </c>
      <c r="M77" s="84">
        <v>37765</v>
      </c>
      <c r="N77" s="84">
        <v>42499</v>
      </c>
      <c r="O77" s="84">
        <v>52922</v>
      </c>
      <c r="P77" s="84">
        <v>32073</v>
      </c>
      <c r="Q77" s="84">
        <v>38317</v>
      </c>
      <c r="R77" s="84">
        <v>41488</v>
      </c>
      <c r="S77" s="84">
        <v>61837</v>
      </c>
      <c r="T77" s="84">
        <v>63472</v>
      </c>
      <c r="U77" s="84">
        <v>32339</v>
      </c>
      <c r="V77" s="84">
        <v>43018</v>
      </c>
      <c r="W77" s="84">
        <v>47378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2811</v>
      </c>
      <c r="J78" s="84">
        <v>55481</v>
      </c>
      <c r="K78" s="84">
        <v>67876</v>
      </c>
      <c r="L78" s="84">
        <v>107312</v>
      </c>
      <c r="M78" s="84">
        <v>133679</v>
      </c>
      <c r="N78" s="84">
        <v>103765</v>
      </c>
      <c r="O78" s="84">
        <v>152591</v>
      </c>
      <c r="P78" s="84">
        <v>99045</v>
      </c>
      <c r="Q78" s="84">
        <v>150394</v>
      </c>
      <c r="R78" s="84">
        <v>182381</v>
      </c>
      <c r="S78" s="84">
        <v>168457</v>
      </c>
      <c r="T78" s="84">
        <v>172023</v>
      </c>
      <c r="U78" s="84">
        <v>254155</v>
      </c>
      <c r="V78" s="84">
        <v>231969</v>
      </c>
      <c r="W78" s="84">
        <v>242122</v>
      </c>
      <c r="DA78" s="171" t="s">
        <v>855</v>
      </c>
    </row>
    <row r="79" spans="1:105" ht="11.45" customHeight="1" x14ac:dyDescent="0.25">
      <c r="A79" s="111" t="s">
        <v>112</v>
      </c>
      <c r="B79" s="84">
        <v>31239</v>
      </c>
      <c r="C79" s="84">
        <v>5426</v>
      </c>
      <c r="D79" s="84">
        <v>18448</v>
      </c>
      <c r="E79" s="84">
        <v>10831</v>
      </c>
      <c r="F79" s="84">
        <v>3224</v>
      </c>
      <c r="G79" s="84">
        <v>8208</v>
      </c>
      <c r="H79" s="84">
        <v>15358</v>
      </c>
      <c r="I79" s="84">
        <v>9812</v>
      </c>
      <c r="J79" s="84">
        <v>6551</v>
      </c>
      <c r="K79" s="84">
        <v>3004</v>
      </c>
      <c r="L79" s="84">
        <v>4446</v>
      </c>
      <c r="M79" s="84">
        <v>4969</v>
      </c>
      <c r="N79" s="84">
        <v>2304</v>
      </c>
      <c r="O79" s="84">
        <v>2348</v>
      </c>
      <c r="P79" s="84">
        <v>16786</v>
      </c>
      <c r="Q79" s="84">
        <v>2142</v>
      </c>
      <c r="R79" s="84">
        <v>4978</v>
      </c>
      <c r="S79" s="84">
        <v>3416</v>
      </c>
      <c r="T79" s="84">
        <v>6544</v>
      </c>
      <c r="U79" s="84">
        <v>1056</v>
      </c>
      <c r="V79" s="84">
        <v>9</v>
      </c>
      <c r="W79" s="84">
        <v>1901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1092</v>
      </c>
      <c r="R80" s="84">
        <v>290</v>
      </c>
      <c r="S80" s="84">
        <v>110</v>
      </c>
      <c r="T80" s="84">
        <v>82</v>
      </c>
      <c r="U80" s="84">
        <v>54</v>
      </c>
      <c r="V80" s="84">
        <v>45</v>
      </c>
      <c r="W80" s="84">
        <v>27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</v>
      </c>
      <c r="O81" s="84">
        <v>5</v>
      </c>
      <c r="P81" s="84">
        <v>4</v>
      </c>
      <c r="Q81" s="84">
        <v>7</v>
      </c>
      <c r="R81" s="84">
        <v>6</v>
      </c>
      <c r="S81" s="84">
        <v>14</v>
      </c>
      <c r="T81" s="84">
        <v>41</v>
      </c>
      <c r="U81" s="84">
        <v>113</v>
      </c>
      <c r="V81" s="84">
        <v>199</v>
      </c>
      <c r="W81" s="84">
        <v>421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8863</v>
      </c>
      <c r="H82" s="110">
        <f t="shared" si="24"/>
        <v>22724</v>
      </c>
      <c r="I82" s="110">
        <f t="shared" si="24"/>
        <v>48985</v>
      </c>
      <c r="J82" s="110">
        <f t="shared" si="24"/>
        <v>58819</v>
      </c>
      <c r="K82" s="110">
        <f t="shared" si="24"/>
        <v>36909</v>
      </c>
      <c r="L82" s="110">
        <f t="shared" ref="L82" si="25">SUM(L83:L84)</f>
        <v>47152</v>
      </c>
      <c r="M82" s="110">
        <f t="shared" ref="M82:V82" si="26">SUM(M83:M84)</f>
        <v>64013</v>
      </c>
      <c r="N82" s="110">
        <f t="shared" si="26"/>
        <v>53006</v>
      </c>
      <c r="O82" s="110">
        <f t="shared" si="26"/>
        <v>65642</v>
      </c>
      <c r="P82" s="110">
        <f t="shared" si="26"/>
        <v>70132</v>
      </c>
      <c r="Q82" s="110">
        <f t="shared" si="26"/>
        <v>77469</v>
      </c>
      <c r="R82" s="110">
        <f t="shared" si="26"/>
        <v>87112</v>
      </c>
      <c r="S82" s="110">
        <f t="shared" si="26"/>
        <v>84371</v>
      </c>
      <c r="T82" s="110">
        <f t="shared" si="26"/>
        <v>85942</v>
      </c>
      <c r="U82" s="110">
        <f t="shared" si="26"/>
        <v>94292</v>
      </c>
      <c r="V82" s="110">
        <f t="shared" si="26"/>
        <v>74979</v>
      </c>
      <c r="W82" s="110">
        <f t="shared" ref="W82" si="27">SUM(W83:W84)</f>
        <v>94966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8863</v>
      </c>
      <c r="H83" s="102">
        <v>22724</v>
      </c>
      <c r="I83" s="102">
        <v>48985</v>
      </c>
      <c r="J83" s="102">
        <v>58819</v>
      </c>
      <c r="K83" s="102">
        <v>36909</v>
      </c>
      <c r="L83" s="102">
        <v>46491</v>
      </c>
      <c r="M83" s="102">
        <v>61319</v>
      </c>
      <c r="N83" s="102">
        <v>49490</v>
      </c>
      <c r="O83" s="102">
        <v>62354</v>
      </c>
      <c r="P83" s="102">
        <v>67619</v>
      </c>
      <c r="Q83" s="102">
        <v>74306</v>
      </c>
      <c r="R83" s="102">
        <v>81089</v>
      </c>
      <c r="S83" s="102">
        <v>77384</v>
      </c>
      <c r="T83" s="102">
        <v>85942</v>
      </c>
      <c r="U83" s="102">
        <v>86003</v>
      </c>
      <c r="V83" s="102">
        <v>72653</v>
      </c>
      <c r="W83" s="102">
        <v>88300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661</v>
      </c>
      <c r="M84" s="86">
        <v>2694</v>
      </c>
      <c r="N84" s="86">
        <v>3516</v>
      </c>
      <c r="O84" s="86">
        <v>3288</v>
      </c>
      <c r="P84" s="86">
        <v>2513</v>
      </c>
      <c r="Q84" s="86">
        <v>3163</v>
      </c>
      <c r="R84" s="86">
        <v>6023</v>
      </c>
      <c r="S84" s="86">
        <v>6987</v>
      </c>
      <c r="T84" s="86">
        <v>0</v>
      </c>
      <c r="U84" s="86">
        <v>8289</v>
      </c>
      <c r="V84" s="86">
        <v>2326</v>
      </c>
      <c r="W84" s="86">
        <v>6666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4.2350156740914846</v>
      </c>
      <c r="C90" s="141">
        <v>4.2262311688428307</v>
      </c>
      <c r="D90" s="141">
        <v>4.1718225737824142</v>
      </c>
      <c r="E90" s="141">
        <v>4.1691035475921661</v>
      </c>
      <c r="F90" s="141">
        <v>4.1659955137245905</v>
      </c>
      <c r="G90" s="141">
        <v>4.0012115067459266</v>
      </c>
      <c r="H90" s="141">
        <v>3.9406140150143827</v>
      </c>
      <c r="I90" s="141">
        <v>3.8580602644197834</v>
      </c>
      <c r="J90" s="141">
        <v>3.7293483343967426</v>
      </c>
      <c r="K90" s="141">
        <v>3.6210874560253008</v>
      </c>
      <c r="L90" s="141">
        <v>3.5455132893480452</v>
      </c>
      <c r="M90" s="141">
        <v>3.461220508583962</v>
      </c>
      <c r="N90" s="141">
        <v>3.4009402180900046</v>
      </c>
      <c r="O90" s="141">
        <v>3.3585943868519279</v>
      </c>
      <c r="P90" s="141">
        <v>3.3003697719858534</v>
      </c>
      <c r="Q90" s="141">
        <v>3.2299480567974199</v>
      </c>
      <c r="R90" s="141">
        <v>3.1854929670730989</v>
      </c>
      <c r="S90" s="141">
        <v>3.1252622410247239</v>
      </c>
      <c r="T90" s="141">
        <v>3.0890854178350979</v>
      </c>
      <c r="U90" s="141">
        <v>3.0515430514618123</v>
      </c>
      <c r="V90" s="141">
        <v>3.0162811370403464</v>
      </c>
      <c r="W90" s="141">
        <v>2.8285362040709696</v>
      </c>
      <c r="DA90" s="174" t="s">
        <v>862</v>
      </c>
    </row>
    <row r="91" spans="1:105" ht="11.45" customHeight="1" x14ac:dyDescent="0.25">
      <c r="A91" s="109" t="s">
        <v>20</v>
      </c>
      <c r="B91" s="130">
        <v>8.3075657384980026</v>
      </c>
      <c r="C91" s="130">
        <v>8.1513417214695014</v>
      </c>
      <c r="D91" s="130">
        <v>8.066122096189897</v>
      </c>
      <c r="E91" s="130">
        <v>7.9884181241752712</v>
      </c>
      <c r="F91" s="130">
        <v>7.9022760201153659</v>
      </c>
      <c r="G91" s="130">
        <v>7.8459870076004758</v>
      </c>
      <c r="H91" s="130">
        <v>7.7893284269552892</v>
      </c>
      <c r="I91" s="130">
        <v>7.7197191259524729</v>
      </c>
      <c r="J91" s="130">
        <v>7.6419524741288889</v>
      </c>
      <c r="K91" s="130">
        <v>7.5542306845061997</v>
      </c>
      <c r="L91" s="130">
        <v>7.489089330608877</v>
      </c>
      <c r="M91" s="130">
        <v>7.4132087836368905</v>
      </c>
      <c r="N91" s="130">
        <v>7.3149275722003821</v>
      </c>
      <c r="O91" s="130">
        <v>7.2195045431423317</v>
      </c>
      <c r="P91" s="130">
        <v>7.1199242345234577</v>
      </c>
      <c r="Q91" s="130">
        <v>6.9989222631986978</v>
      </c>
      <c r="R91" s="130">
        <v>6.9088032239169586</v>
      </c>
      <c r="S91" s="130">
        <v>6.8300284359812977</v>
      </c>
      <c r="T91" s="130">
        <v>6.7150971995742292</v>
      </c>
      <c r="U91" s="130">
        <v>6.6287784830840781</v>
      </c>
      <c r="V91" s="130">
        <v>6.548219078939689</v>
      </c>
      <c r="W91" s="130">
        <v>6.4227581284609609</v>
      </c>
      <c r="DA91" s="176" t="s">
        <v>863</v>
      </c>
    </row>
    <row r="92" spans="1:105" ht="11.45" customHeight="1" x14ac:dyDescent="0.25">
      <c r="A92" s="111" t="s">
        <v>110</v>
      </c>
      <c r="B92" s="96">
        <v>8.4028243930798681</v>
      </c>
      <c r="C92" s="96">
        <v>8.2535523669127269</v>
      </c>
      <c r="D92" s="96">
        <v>8.2107743940736615</v>
      </c>
      <c r="E92" s="96">
        <v>8.1774004897071642</v>
      </c>
      <c r="F92" s="96">
        <v>8.0955455762145139</v>
      </c>
      <c r="G92" s="96">
        <v>8.0302884482873189</v>
      </c>
      <c r="H92" s="96">
        <v>7.9739745783343992</v>
      </c>
      <c r="I92" s="96">
        <v>7.905050035188685</v>
      </c>
      <c r="J92" s="96">
        <v>7.8248194314945252</v>
      </c>
      <c r="K92" s="96">
        <v>7.7341315169083318</v>
      </c>
      <c r="L92" s="96">
        <v>7.6555101907774468</v>
      </c>
      <c r="M92" s="96">
        <v>7.5631047772962923</v>
      </c>
      <c r="N92" s="96">
        <v>7.4294174708957605</v>
      </c>
      <c r="O92" s="96">
        <v>7.3023567281202437</v>
      </c>
      <c r="P92" s="96">
        <v>7.1658595591278171</v>
      </c>
      <c r="Q92" s="96">
        <v>6.9957042768394766</v>
      </c>
      <c r="R92" s="96">
        <v>6.8931764962475865</v>
      </c>
      <c r="S92" s="96">
        <v>6.7854091781448416</v>
      </c>
      <c r="T92" s="96">
        <v>6.6469994974374655</v>
      </c>
      <c r="U92" s="96">
        <v>6.5344700703922047</v>
      </c>
      <c r="V92" s="96">
        <v>6.4394676751334847</v>
      </c>
      <c r="W92" s="96">
        <v>6.2656852838375912</v>
      </c>
      <c r="DA92" s="171" t="s">
        <v>864</v>
      </c>
    </row>
    <row r="93" spans="1:105" ht="11.45" customHeight="1" x14ac:dyDescent="0.25">
      <c r="A93" s="111" t="s">
        <v>111</v>
      </c>
      <c r="B93" s="96">
        <v>7.7062745664450878</v>
      </c>
      <c r="C93" s="96">
        <v>7.5488147842111868</v>
      </c>
      <c r="D93" s="96">
        <v>7.5226905249233296</v>
      </c>
      <c r="E93" s="96">
        <v>7.4659412648851387</v>
      </c>
      <c r="F93" s="96">
        <v>7.3528234891181379</v>
      </c>
      <c r="G93" s="96">
        <v>7.0818853702511806</v>
      </c>
      <c r="H93" s="96">
        <v>7.0005655701387974</v>
      </c>
      <c r="I93" s="96">
        <v>6.9362353331644995</v>
      </c>
      <c r="J93" s="96">
        <v>6.8792070404741352</v>
      </c>
      <c r="K93" s="96">
        <v>6.8318403006798292</v>
      </c>
      <c r="L93" s="96">
        <v>6.8011310456562786</v>
      </c>
      <c r="M93" s="96">
        <v>6.7753538595924026</v>
      </c>
      <c r="N93" s="96">
        <v>6.7539565775881938</v>
      </c>
      <c r="O93" s="96">
        <v>6.708428618060724</v>
      </c>
      <c r="P93" s="96">
        <v>6.6451730020323989</v>
      </c>
      <c r="Q93" s="96">
        <v>6.5579259462772503</v>
      </c>
      <c r="R93" s="96">
        <v>6.4675771778717062</v>
      </c>
      <c r="S93" s="96">
        <v>6.3887886291138454</v>
      </c>
      <c r="T93" s="96">
        <v>6.3122169475772241</v>
      </c>
      <c r="U93" s="96">
        <v>6.2166186861983199</v>
      </c>
      <c r="V93" s="96">
        <v>6.1155809807182244</v>
      </c>
      <c r="W93" s="96">
        <v>6.0005785641876805</v>
      </c>
      <c r="DA93" s="171" t="s">
        <v>865</v>
      </c>
    </row>
    <row r="94" spans="1:105" ht="11.45" customHeight="1" x14ac:dyDescent="0.25">
      <c r="A94" s="111" t="s">
        <v>112</v>
      </c>
      <c r="B94" s="96">
        <v>8.3226182173623879</v>
      </c>
      <c r="C94" s="96">
        <v>7.5736891139108176</v>
      </c>
      <c r="D94" s="96">
        <v>7.3172149963103514</v>
      </c>
      <c r="E94" s="96">
        <v>7.2377665364844264</v>
      </c>
      <c r="F94" s="96">
        <v>7.2275801994793598</v>
      </c>
      <c r="G94" s="96">
        <v>7.2435070691285164</v>
      </c>
      <c r="H94" s="96">
        <v>7.2717505341452329</v>
      </c>
      <c r="I94" s="96">
        <v>7.2959100887990642</v>
      </c>
      <c r="J94" s="96">
        <v>7.3158855231705662</v>
      </c>
      <c r="K94" s="96">
        <v>7.3277789734485239</v>
      </c>
      <c r="L94" s="96">
        <v>7.3427487437279133</v>
      </c>
      <c r="M94" s="96">
        <v>7.317422608319375</v>
      </c>
      <c r="N94" s="96">
        <v>7.3115794631238709</v>
      </c>
      <c r="O94" s="96">
        <v>7.3025441688536139</v>
      </c>
      <c r="P94" s="96">
        <v>7.2840203289607448</v>
      </c>
      <c r="Q94" s="96">
        <v>7.2500868278386612</v>
      </c>
      <c r="R94" s="96">
        <v>7.1358064923084834</v>
      </c>
      <c r="S94" s="96">
        <v>7.0983956087115239</v>
      </c>
      <c r="T94" s="96">
        <v>6.939661307258552</v>
      </c>
      <c r="U94" s="96">
        <v>6.8864136204154454</v>
      </c>
      <c r="V94" s="96">
        <v>6.8396940454360902</v>
      </c>
      <c r="W94" s="96">
        <v>6.7905325508855068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5.3622954946422468</v>
      </c>
      <c r="R95" s="96">
        <v>5.4069477319328723</v>
      </c>
      <c r="S95" s="96">
        <v>5.4025457296128678</v>
      </c>
      <c r="T95" s="96">
        <v>5.4368663364395857</v>
      </c>
      <c r="U95" s="96">
        <v>5.4581411879631663</v>
      </c>
      <c r="V95" s="96">
        <v>5.4735857531021539</v>
      </c>
      <c r="W95" s="96">
        <v>5.4784630466044471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2.4700479675985063</v>
      </c>
      <c r="O96" s="96">
        <v>2.9734784882835599</v>
      </c>
      <c r="P96" s="96">
        <v>5.234220157793759</v>
      </c>
      <c r="Q96" s="96">
        <v>3.1202470968779523</v>
      </c>
      <c r="R96" s="96">
        <v>2.9298332684435975</v>
      </c>
      <c r="S96" s="96">
        <v>2.9689019527798735</v>
      </c>
      <c r="T96" s="96">
        <v>3.1936430415605583</v>
      </c>
      <c r="U96" s="96">
        <v>3.1448832225979699</v>
      </c>
      <c r="V96" s="96">
        <v>3.2891875482837594</v>
      </c>
      <c r="W96" s="96">
        <v>4.2937700337504241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1.3047135028115469</v>
      </c>
      <c r="M97" s="96">
        <v>1.3047135028115469</v>
      </c>
      <c r="N97" s="96">
        <v>1.2515474988744668</v>
      </c>
      <c r="O97" s="96">
        <v>1.2460425463353229</v>
      </c>
      <c r="P97" s="96">
        <v>1.2222778010666477</v>
      </c>
      <c r="Q97" s="96">
        <v>1.1993902092814512</v>
      </c>
      <c r="R97" s="96">
        <v>1.1260522141817801</v>
      </c>
      <c r="S97" s="96">
        <v>1.4383690411159324</v>
      </c>
      <c r="T97" s="96">
        <v>1.4548933882366777</v>
      </c>
      <c r="U97" s="96">
        <v>1.4686202525270247</v>
      </c>
      <c r="V97" s="96">
        <v>1.5286387783795659</v>
      </c>
      <c r="W97" s="96">
        <v>1.5327627771063328</v>
      </c>
      <c r="DA97" s="171" t="s">
        <v>869</v>
      </c>
    </row>
    <row r="98" spans="1:105" ht="11.45" customHeight="1" x14ac:dyDescent="0.25">
      <c r="A98" s="109" t="s">
        <v>21</v>
      </c>
      <c r="B98" s="130">
        <v>55.434832465132288</v>
      </c>
      <c r="C98" s="130">
        <v>53.573647133308363</v>
      </c>
      <c r="D98" s="130">
        <v>52.871707484164808</v>
      </c>
      <c r="E98" s="130">
        <v>52.35674750624392</v>
      </c>
      <c r="F98" s="130">
        <v>51.149766098433233</v>
      </c>
      <c r="G98" s="130">
        <v>49.958030287870578</v>
      </c>
      <c r="H98" s="130">
        <v>48.857296727208556</v>
      </c>
      <c r="I98" s="130">
        <v>48.007440024494215</v>
      </c>
      <c r="J98" s="130">
        <v>46.914766279744583</v>
      </c>
      <c r="K98" s="130">
        <v>46.352422021322326</v>
      </c>
      <c r="L98" s="130">
        <v>45.811917895782877</v>
      </c>
      <c r="M98" s="130">
        <v>45.414720318763258</v>
      </c>
      <c r="N98" s="130">
        <v>45.1010929434185</v>
      </c>
      <c r="O98" s="130">
        <v>44.809676441382223</v>
      </c>
      <c r="P98" s="130">
        <v>44.504052269476354</v>
      </c>
      <c r="Q98" s="130">
        <v>44.006007082918259</v>
      </c>
      <c r="R98" s="130">
        <v>43.742535314218188</v>
      </c>
      <c r="S98" s="130">
        <v>43.487623592404752</v>
      </c>
      <c r="T98" s="130">
        <v>43.335243120358449</v>
      </c>
      <c r="U98" s="130">
        <v>43.105420337943954</v>
      </c>
      <c r="V98" s="130">
        <v>42.73258983860233</v>
      </c>
      <c r="W98" s="130">
        <v>42.36223017487734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55.943392791592011</v>
      </c>
      <c r="C100" s="97">
        <v>53.017608845255374</v>
      </c>
      <c r="D100" s="97">
        <v>52.05624962384028</v>
      </c>
      <c r="E100" s="97">
        <v>51.354296980490773</v>
      </c>
      <c r="F100" s="97">
        <v>50.377543554417741</v>
      </c>
      <c r="G100" s="97">
        <v>49.432957648659624</v>
      </c>
      <c r="H100" s="97">
        <v>48.439453504964199</v>
      </c>
      <c r="I100" s="97">
        <v>47.727410374351273</v>
      </c>
      <c r="J100" s="97">
        <v>46.924684506188044</v>
      </c>
      <c r="K100" s="97">
        <v>46.481330938385248</v>
      </c>
      <c r="L100" s="97">
        <v>46.062115656322455</v>
      </c>
      <c r="M100" s="97">
        <v>45.711059594317682</v>
      </c>
      <c r="N100" s="97">
        <v>45.38958159582829</v>
      </c>
      <c r="O100" s="97">
        <v>45.079731862890533</v>
      </c>
      <c r="P100" s="97">
        <v>44.742215641502341</v>
      </c>
      <c r="Q100" s="97">
        <v>44.270674978411229</v>
      </c>
      <c r="R100" s="97">
        <v>43.996350484398072</v>
      </c>
      <c r="S100" s="97">
        <v>43.745067713555272</v>
      </c>
      <c r="T100" s="97">
        <v>43.576068053165486</v>
      </c>
      <c r="U100" s="97">
        <v>43.356658974496767</v>
      </c>
      <c r="V100" s="97">
        <v>43.148055964927742</v>
      </c>
      <c r="W100" s="97">
        <v>42.945676153344984</v>
      </c>
      <c r="DA100" s="175" t="s">
        <v>872</v>
      </c>
    </row>
    <row r="101" spans="1:105" ht="11.45" customHeight="1" x14ac:dyDescent="0.25">
      <c r="A101" s="111" t="s">
        <v>112</v>
      </c>
      <c r="B101" s="97">
        <v>42.811115786298863</v>
      </c>
      <c r="C101" s="97">
        <v>42.811115786298863</v>
      </c>
      <c r="D101" s="97">
        <v>42.811115786298863</v>
      </c>
      <c r="E101" s="97">
        <v>42.762317457038947</v>
      </c>
      <c r="F101" s="97">
        <v>39.763220908695892</v>
      </c>
      <c r="G101" s="97">
        <v>39.594621960669244</v>
      </c>
      <c r="H101" s="97">
        <v>39.497696403101195</v>
      </c>
      <c r="I101" s="97">
        <v>39.394905388196008</v>
      </c>
      <c r="J101" s="97">
        <v>39.274926833373641</v>
      </c>
      <c r="K101" s="97">
        <v>39.158664913254206</v>
      </c>
      <c r="L101" s="97">
        <v>39.023449302419188</v>
      </c>
      <c r="M101" s="97">
        <v>38.880895015979959</v>
      </c>
      <c r="N101" s="97">
        <v>38.842588282688084</v>
      </c>
      <c r="O101" s="97">
        <v>38.811749490588831</v>
      </c>
      <c r="P101" s="97">
        <v>38.779032555326417</v>
      </c>
      <c r="Q101" s="97">
        <v>38.757709270413464</v>
      </c>
      <c r="R101" s="97">
        <v>38.732613669112936</v>
      </c>
      <c r="S101" s="97">
        <v>38.685223236127051</v>
      </c>
      <c r="T101" s="97">
        <v>38.074282541277967</v>
      </c>
      <c r="U101" s="97">
        <v>37.988506444965573</v>
      </c>
      <c r="V101" s="97">
        <v>37.90380793529804</v>
      </c>
      <c r="W101" s="97">
        <v>37.781317741000656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35.99999999992361</v>
      </c>
      <c r="R102" s="97">
        <v>35.897731539641661</v>
      </c>
      <c r="S102" s="97">
        <v>35.663017631477871</v>
      </c>
      <c r="T102" s="97">
        <v>34.734503333032613</v>
      </c>
      <c r="U102" s="97">
        <v>33.134831404895706</v>
      </c>
      <c r="V102" s="97">
        <v>32.117099623239525</v>
      </c>
      <c r="W102" s="97">
        <v>31.457580314729636</v>
      </c>
      <c r="DA102" s="175" t="s">
        <v>874</v>
      </c>
    </row>
    <row r="103" spans="1:105" ht="11.45" customHeight="1" x14ac:dyDescent="0.25">
      <c r="A103" s="111" t="s">
        <v>115</v>
      </c>
      <c r="B103" s="97">
        <v>28.790649514217378</v>
      </c>
      <c r="C103" s="97">
        <v>28.415444320758468</v>
      </c>
      <c r="D103" s="97">
        <v>28.345192243476209</v>
      </c>
      <c r="E103" s="97">
        <v>28.22128186179755</v>
      </c>
      <c r="F103" s="97">
        <v>28.163093979404366</v>
      </c>
      <c r="G103" s="97">
        <v>25.612379858427126</v>
      </c>
      <c r="H103" s="97">
        <v>25.481393081802103</v>
      </c>
      <c r="I103" s="97">
        <v>25.408831068216987</v>
      </c>
      <c r="J103" s="97">
        <v>25.35189747031653</v>
      </c>
      <c r="K103" s="97">
        <v>25.293289123983762</v>
      </c>
      <c r="L103" s="97">
        <v>25.183894989403584</v>
      </c>
      <c r="M103" s="97">
        <v>25.111324141664085</v>
      </c>
      <c r="N103" s="97">
        <v>25.073276615852404</v>
      </c>
      <c r="O103" s="97">
        <v>24.793384463463301</v>
      </c>
      <c r="P103" s="97">
        <v>24.567626583124742</v>
      </c>
      <c r="Q103" s="97">
        <v>24.2563103064115</v>
      </c>
      <c r="R103" s="97">
        <v>24.032081814351592</v>
      </c>
      <c r="S103" s="97">
        <v>23.394716539981303</v>
      </c>
      <c r="T103" s="97">
        <v>22.891417768963713</v>
      </c>
      <c r="U103" s="97">
        <v>22.230546719163041</v>
      </c>
      <c r="V103" s="97">
        <v>22.061465536791705</v>
      </c>
      <c r="W103" s="97">
        <v>21.951095666508124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8.3841987239983151</v>
      </c>
      <c r="C105" s="141">
        <v>8.2501771844325518</v>
      </c>
      <c r="D105" s="141">
        <v>8.2707382644510545</v>
      </c>
      <c r="E105" s="141">
        <v>8.2258238930135654</v>
      </c>
      <c r="F105" s="141">
        <v>8.2101988805675123</v>
      </c>
      <c r="G105" s="141">
        <v>8.2189710862620284</v>
      </c>
      <c r="H105" s="141">
        <v>8.1949760646963004</v>
      </c>
      <c r="I105" s="141">
        <v>8.1690934866765232</v>
      </c>
      <c r="J105" s="141">
        <v>8.1304368845214174</v>
      </c>
      <c r="K105" s="141">
        <v>8.0855992876326557</v>
      </c>
      <c r="L105" s="141">
        <v>8.0414225417273588</v>
      </c>
      <c r="M105" s="141">
        <v>8.0494308858671548</v>
      </c>
      <c r="N105" s="141">
        <v>8.0150683561712732</v>
      </c>
      <c r="O105" s="141">
        <v>7.9517586727980838</v>
      </c>
      <c r="P105" s="141">
        <v>7.8635245135887004</v>
      </c>
      <c r="Q105" s="141">
        <v>7.7790684493818159</v>
      </c>
      <c r="R105" s="141">
        <v>7.6935347453590763</v>
      </c>
      <c r="S105" s="141">
        <v>7.5666188867237159</v>
      </c>
      <c r="T105" s="141">
        <v>7.4715765699445988</v>
      </c>
      <c r="U105" s="141">
        <v>7.3273534219936796</v>
      </c>
      <c r="V105" s="141">
        <v>7.2366759736524591</v>
      </c>
      <c r="W105" s="141">
        <v>7.1353832031486704</v>
      </c>
      <c r="DA105" s="174" t="s">
        <v>876</v>
      </c>
    </row>
    <row r="106" spans="1:105" ht="11.45" customHeight="1" x14ac:dyDescent="0.25">
      <c r="A106" s="111" t="s">
        <v>110</v>
      </c>
      <c r="B106" s="96">
        <v>7.7947865586975071</v>
      </c>
      <c r="C106" s="96">
        <v>7.741479799136159</v>
      </c>
      <c r="D106" s="96">
        <v>7.6922410834134842</v>
      </c>
      <c r="E106" s="96">
        <v>7.6139486727057699</v>
      </c>
      <c r="F106" s="96">
        <v>7.5612198684935885</v>
      </c>
      <c r="G106" s="96">
        <v>7.5368482853493726</v>
      </c>
      <c r="H106" s="96">
        <v>7.4762589604613501</v>
      </c>
      <c r="I106" s="96">
        <v>7.3860482990402678</v>
      </c>
      <c r="J106" s="96">
        <v>7.263389153235261</v>
      </c>
      <c r="K106" s="96">
        <v>7.1516433690931338</v>
      </c>
      <c r="L106" s="96">
        <v>7.0311832208943263</v>
      </c>
      <c r="M106" s="96">
        <v>6.9248082151771921</v>
      </c>
      <c r="N106" s="96">
        <v>6.8574567071101695</v>
      </c>
      <c r="O106" s="96">
        <v>6.7247033041986537</v>
      </c>
      <c r="P106" s="96">
        <v>6.6035704645261379</v>
      </c>
      <c r="Q106" s="96">
        <v>6.4840554667045858</v>
      </c>
      <c r="R106" s="96">
        <v>6.3935196875751465</v>
      </c>
      <c r="S106" s="96">
        <v>6.2443614473743256</v>
      </c>
      <c r="T106" s="96">
        <v>6.0812476290242152</v>
      </c>
      <c r="U106" s="96">
        <v>6.0387652396764464</v>
      </c>
      <c r="V106" s="96">
        <v>5.9334477260684793</v>
      </c>
      <c r="W106" s="96">
        <v>5.9166634413690753</v>
      </c>
      <c r="DA106" s="171" t="s">
        <v>877</v>
      </c>
    </row>
    <row r="107" spans="1:105" ht="11.45" customHeight="1" x14ac:dyDescent="0.25">
      <c r="A107" s="111" t="s">
        <v>111</v>
      </c>
      <c r="B107" s="96">
        <v>9.6692171731580459</v>
      </c>
      <c r="C107" s="96">
        <v>9.2234393650090514</v>
      </c>
      <c r="D107" s="96">
        <v>9.079946761277272</v>
      </c>
      <c r="E107" s="96">
        <v>8.9781892962468302</v>
      </c>
      <c r="F107" s="96">
        <v>8.8961100560501887</v>
      </c>
      <c r="G107" s="96">
        <v>8.8125683173994975</v>
      </c>
      <c r="H107" s="96">
        <v>8.7495111248703168</v>
      </c>
      <c r="I107" s="96">
        <v>8.6954191728867922</v>
      </c>
      <c r="J107" s="96">
        <v>8.6448729987233861</v>
      </c>
      <c r="K107" s="96">
        <v>8.5836597607628509</v>
      </c>
      <c r="L107" s="96">
        <v>8.5568021715237261</v>
      </c>
      <c r="M107" s="96">
        <v>8.565489384198175</v>
      </c>
      <c r="N107" s="96">
        <v>8.5241014007499345</v>
      </c>
      <c r="O107" s="96">
        <v>8.4481462207487823</v>
      </c>
      <c r="P107" s="96">
        <v>8.3451698956141396</v>
      </c>
      <c r="Q107" s="96">
        <v>8.2262230417611377</v>
      </c>
      <c r="R107" s="96">
        <v>8.0907149341203155</v>
      </c>
      <c r="S107" s="96">
        <v>7.9480316005181155</v>
      </c>
      <c r="T107" s="96">
        <v>7.8313503677796543</v>
      </c>
      <c r="U107" s="96">
        <v>7.6082419101044163</v>
      </c>
      <c r="V107" s="96">
        <v>7.5050077046801134</v>
      </c>
      <c r="W107" s="96">
        <v>7.3666084490720189</v>
      </c>
      <c r="DA107" s="171" t="s">
        <v>878</v>
      </c>
    </row>
    <row r="108" spans="1:105" ht="11.45" customHeight="1" x14ac:dyDescent="0.25">
      <c r="A108" s="111" t="s">
        <v>112</v>
      </c>
      <c r="B108" s="96">
        <v>9.5497311133145431</v>
      </c>
      <c r="C108" s="96">
        <v>9.2941750111738202</v>
      </c>
      <c r="D108" s="96">
        <v>8.7800613689384388</v>
      </c>
      <c r="E108" s="96">
        <v>8.5932660009925694</v>
      </c>
      <c r="F108" s="96">
        <v>8.5391493809140258</v>
      </c>
      <c r="G108" s="96">
        <v>8.4061628089058598</v>
      </c>
      <c r="H108" s="96">
        <v>8.1882599869056865</v>
      </c>
      <c r="I108" s="96">
        <v>8.082823302266096</v>
      </c>
      <c r="J108" s="96">
        <v>8.0217066694195172</v>
      </c>
      <c r="K108" s="96">
        <v>7.9939709460298722</v>
      </c>
      <c r="L108" s="96">
        <v>7.9585825637009791</v>
      </c>
      <c r="M108" s="96">
        <v>7.9235958377626323</v>
      </c>
      <c r="N108" s="96">
        <v>7.8201851772220898</v>
      </c>
      <c r="O108" s="96">
        <v>7.7778530730744695</v>
      </c>
      <c r="P108" s="96">
        <v>7.5840053845597284</v>
      </c>
      <c r="Q108" s="96">
        <v>7.5471496222974483</v>
      </c>
      <c r="R108" s="96">
        <v>7.4434887567541201</v>
      </c>
      <c r="S108" s="96">
        <v>7.3586488986261234</v>
      </c>
      <c r="T108" s="96">
        <v>7.259760183601804</v>
      </c>
      <c r="U108" s="96">
        <v>7.2327766589034352</v>
      </c>
      <c r="V108" s="96">
        <v>7.223144760192314</v>
      </c>
      <c r="W108" s="96">
        <v>7.1869573313947193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7.8400932320557821</v>
      </c>
      <c r="R109" s="96">
        <v>7.9062784498628309</v>
      </c>
      <c r="S109" s="96">
        <v>7.8739963186090254</v>
      </c>
      <c r="T109" s="96">
        <v>7.9042067972586851</v>
      </c>
      <c r="U109" s="96">
        <v>7.8544200582067214</v>
      </c>
      <c r="V109" s="96">
        <v>7.8429336664144182</v>
      </c>
      <c r="W109" s="96">
        <v>7.848007756073164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1.3327601031814271</v>
      </c>
      <c r="O110" s="96">
        <v>1.3327601031814273</v>
      </c>
      <c r="P110" s="96">
        <v>1.3324582275019701</v>
      </c>
      <c r="Q110" s="96">
        <v>1.3548413420067238</v>
      </c>
      <c r="R110" s="96">
        <v>1.3697392995880244</v>
      </c>
      <c r="S110" s="96">
        <v>1.3481091802889753</v>
      </c>
      <c r="T110" s="96">
        <v>1.4347419532469012</v>
      </c>
      <c r="U110" s="96">
        <v>1.6534669414096346</v>
      </c>
      <c r="V110" s="96">
        <v>1.8277141091311602</v>
      </c>
      <c r="W110" s="96">
        <v>2.1098018369176401</v>
      </c>
      <c r="DA110" s="171" t="s">
        <v>881</v>
      </c>
    </row>
    <row r="111" spans="1:105" ht="11.45" customHeight="1" x14ac:dyDescent="0.25">
      <c r="A111" s="109" t="s">
        <v>158</v>
      </c>
      <c r="B111" s="130">
        <v>31.466333978972877</v>
      </c>
      <c r="C111" s="130">
        <v>31.353681102773692</v>
      </c>
      <c r="D111" s="130">
        <v>31.069420513705317</v>
      </c>
      <c r="E111" s="130">
        <v>30.98339561454079</v>
      </c>
      <c r="F111" s="130">
        <v>30.893972203742681</v>
      </c>
      <c r="G111" s="130">
        <v>30.730423070473851</v>
      </c>
      <c r="H111" s="130">
        <v>30.524861133832761</v>
      </c>
      <c r="I111" s="130">
        <v>30.147871590283657</v>
      </c>
      <c r="J111" s="130">
        <v>29.761214849675021</v>
      </c>
      <c r="K111" s="130">
        <v>29.484379172228191</v>
      </c>
      <c r="L111" s="130">
        <v>29.148472039867883</v>
      </c>
      <c r="M111" s="130">
        <v>28.779432361786256</v>
      </c>
      <c r="N111" s="130">
        <v>28.424790096845118</v>
      </c>
      <c r="O111" s="130">
        <v>28.005778734490782</v>
      </c>
      <c r="P111" s="130">
        <v>27.581755020048838</v>
      </c>
      <c r="Q111" s="130">
        <v>27.127749370220133</v>
      </c>
      <c r="R111" s="130">
        <v>26.587547320690081</v>
      </c>
      <c r="S111" s="130">
        <v>26.005256213164568</v>
      </c>
      <c r="T111" s="130">
        <v>25.593876130699499</v>
      </c>
      <c r="U111" s="130">
        <v>25.004117411944726</v>
      </c>
      <c r="V111" s="130">
        <v>24.6894684104094</v>
      </c>
      <c r="W111" s="130">
        <v>24.15311603644901</v>
      </c>
      <c r="DA111" s="176" t="s">
        <v>882</v>
      </c>
    </row>
    <row r="112" spans="1:105" ht="11.45" customHeight="1" x14ac:dyDescent="0.25">
      <c r="A112" s="128" t="s">
        <v>27</v>
      </c>
      <c r="B112" s="97">
        <v>31.297618478311183</v>
      </c>
      <c r="C112" s="97">
        <v>31.190843330604626</v>
      </c>
      <c r="D112" s="97">
        <v>30.924900351631049</v>
      </c>
      <c r="E112" s="97">
        <v>30.843630526275714</v>
      </c>
      <c r="F112" s="97">
        <v>30.746998911948179</v>
      </c>
      <c r="G112" s="97">
        <v>30.588999383833627</v>
      </c>
      <c r="H112" s="97">
        <v>30.375846243654507</v>
      </c>
      <c r="I112" s="97">
        <v>30.012049767714263</v>
      </c>
      <c r="J112" s="97">
        <v>29.635751105814254</v>
      </c>
      <c r="K112" s="97">
        <v>29.367898803621905</v>
      </c>
      <c r="L112" s="97">
        <v>29.03093202961789</v>
      </c>
      <c r="M112" s="97">
        <v>28.662360889970156</v>
      </c>
      <c r="N112" s="97">
        <v>28.301127356080901</v>
      </c>
      <c r="O112" s="97">
        <v>27.876828706056646</v>
      </c>
      <c r="P112" s="97">
        <v>27.451909560308955</v>
      </c>
      <c r="Q112" s="97">
        <v>26.998062296689543</v>
      </c>
      <c r="R112" s="97">
        <v>26.453204423988595</v>
      </c>
      <c r="S112" s="97">
        <v>25.861886535818321</v>
      </c>
      <c r="T112" s="97">
        <v>25.470111025678097</v>
      </c>
      <c r="U112" s="97">
        <v>24.87491372643462</v>
      </c>
      <c r="V112" s="97">
        <v>24.567126539066813</v>
      </c>
      <c r="W112" s="97">
        <v>24.029527905293936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36.286154611634018</v>
      </c>
      <c r="D113" s="98">
        <v>35.876850736781833</v>
      </c>
      <c r="E113" s="98">
        <v>35.523188474776624</v>
      </c>
      <c r="F113" s="98">
        <v>34.813572520374997</v>
      </c>
      <c r="G113" s="98">
        <v>34.434615271329804</v>
      </c>
      <c r="H113" s="98">
        <v>33.749891215036996</v>
      </c>
      <c r="I113" s="98">
        <v>33.564367513563532</v>
      </c>
      <c r="J113" s="98">
        <v>33.152660733035141</v>
      </c>
      <c r="K113" s="98">
        <v>32.829457539081211</v>
      </c>
      <c r="L113" s="98">
        <v>32.09707632039482</v>
      </c>
      <c r="M113" s="98">
        <v>31.724816805673953</v>
      </c>
      <c r="N113" s="98">
        <v>31.317990747917126</v>
      </c>
      <c r="O113" s="98">
        <v>30.931207792884511</v>
      </c>
      <c r="P113" s="98">
        <v>30.601370291580764</v>
      </c>
      <c r="Q113" s="98">
        <v>30.184443155346056</v>
      </c>
      <c r="R113" s="98">
        <v>29.484716278879269</v>
      </c>
      <c r="S113" s="98">
        <v>28.808328074289854</v>
      </c>
      <c r="T113" s="98">
        <v>28.562113576551102</v>
      </c>
      <c r="U113" s="98">
        <v>27.767856976512267</v>
      </c>
      <c r="V113" s="98">
        <v>27.473972103429247</v>
      </c>
      <c r="W113" s="98">
        <v>26.91084668708773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1.1275666643481401</v>
      </c>
      <c r="D117" s="150">
        <f>IF(TrRoad_act!D59=0,0,TrRoad_ene!D62/TrRoad_tech!D90)</f>
        <v>1.1285001125694696</v>
      </c>
      <c r="E117" s="150">
        <f>IF(TrRoad_act!E59=0,0,TrRoad_ene!E62/TrRoad_tech!E90)</f>
        <v>1.1285548252639852</v>
      </c>
      <c r="F117" s="150">
        <f>IF(TrRoad_act!F59=0,0,TrRoad_ene!F62/TrRoad_tech!F90)</f>
        <v>1.1286620572063573</v>
      </c>
      <c r="G117" s="150">
        <f>IF(TrRoad_act!G59=0,0,TrRoad_ene!G62/TrRoad_tech!G90)</f>
        <v>1.0822152166701227</v>
      </c>
      <c r="H117" s="150">
        <f>IF(TrRoad_act!H59=0,0,TrRoad_ene!H62/TrRoad_tech!H90)</f>
        <v>1.0861220442284865</v>
      </c>
      <c r="I117" s="150">
        <f>IF(TrRoad_act!I59=0,0,TrRoad_ene!I62/TrRoad_tech!I90)</f>
        <v>1.0927570759905163</v>
      </c>
      <c r="J117" s="150">
        <f>IF(TrRoad_act!J59=0,0,TrRoad_ene!J62/TrRoad_tech!J90)</f>
        <v>1.1593634419931538</v>
      </c>
      <c r="K117" s="150">
        <f>IF(TrRoad_act!K59=0,0,TrRoad_ene!K62/TrRoad_tech!K90)</f>
        <v>1.1110755362611127</v>
      </c>
      <c r="L117" s="150">
        <f>IF(TrRoad_act!L59=0,0,TrRoad_ene!L62/TrRoad_tech!L90)</f>
        <v>1.1173980518626321</v>
      </c>
      <c r="M117" s="150">
        <f>IF(TrRoad_act!M59=0,0,TrRoad_ene!M62/TrRoad_tech!M90)</f>
        <v>1.1261284493749453</v>
      </c>
      <c r="N117" s="150">
        <f>IF(TrRoad_act!N59=0,0,TrRoad_ene!N62/TrRoad_tech!N90)</f>
        <v>1.133120599185246</v>
      </c>
      <c r="O117" s="150">
        <f>IF(TrRoad_act!O59=0,0,TrRoad_ene!O62/TrRoad_tech!O90)</f>
        <v>1.1395322828826837</v>
      </c>
      <c r="P117" s="150">
        <f>IF(TrRoad_act!P59=0,0,TrRoad_ene!P62/TrRoad_tech!P90)</f>
        <v>1.1472549041459128</v>
      </c>
      <c r="Q117" s="150">
        <f>IF(TrRoad_act!Q59=0,0,TrRoad_ene!Q62/TrRoad_tech!Q90)</f>
        <v>1.1577119669788174</v>
      </c>
      <c r="R117" s="150">
        <f>IF(TrRoad_act!R59=0,0,TrRoad_ene!R62/TrRoad_tech!R90)</f>
        <v>1.1656792002656782</v>
      </c>
      <c r="S117" s="150">
        <f>IF(TrRoad_act!S59=0,0,TrRoad_ene!S62/TrRoad_tech!S90)</f>
        <v>1.1758637938467738</v>
      </c>
      <c r="T117" s="150">
        <f>IF(TrRoad_act!T59=0,0,TrRoad_ene!T62/TrRoad_tech!T90)</f>
        <v>1.1839908397785224</v>
      </c>
      <c r="U117" s="150">
        <f>IF(TrRoad_act!U59=0,0,TrRoad_ene!U62/TrRoad_tech!U90)</f>
        <v>1.1935659473317899</v>
      </c>
      <c r="V117" s="150">
        <f>IF(TrRoad_act!V59=0,0,TrRoad_ene!V62/TrRoad_tech!V90)</f>
        <v>1.2038363044570319</v>
      </c>
      <c r="W117" s="150">
        <f>IF(TrRoad_act!W59=0,0,TrRoad_ene!W62/TrRoad_tech!W90)</f>
        <v>1.2240471982693832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0.89889551421185887</v>
      </c>
      <c r="C118" s="151">
        <f>IF(TrRoad_act!C60=0,0,TrRoad_ene!C63/TrRoad_tech!C91)</f>
        <v>0.90118392935503477</v>
      </c>
      <c r="D118" s="151">
        <f>IF(TrRoad_act!D60=0,0,TrRoad_ene!D63/TrRoad_tech!D91)</f>
        <v>0.88865375859923823</v>
      </c>
      <c r="E118" s="151">
        <f>IF(TrRoad_act!E60=0,0,TrRoad_ene!E63/TrRoad_tech!E91)</f>
        <v>0.90518527392618253</v>
      </c>
      <c r="F118" s="151">
        <f>IF(TrRoad_act!F60=0,0,TrRoad_ene!F63/TrRoad_tech!F91)</f>
        <v>0.92382880500924913</v>
      </c>
      <c r="G118" s="151">
        <f>IF(TrRoad_act!G60=0,0,TrRoad_ene!G63/TrRoad_tech!G91)</f>
        <v>0.94777727537181555</v>
      </c>
      <c r="H118" s="151">
        <f>IF(TrRoad_act!H60=0,0,TrRoad_ene!H63/TrRoad_tech!H91)</f>
        <v>0.96191929205273397</v>
      </c>
      <c r="I118" s="151">
        <f>IF(TrRoad_act!I60=0,0,TrRoad_ene!I63/TrRoad_tech!I91)</f>
        <v>0.96602060620870001</v>
      </c>
      <c r="J118" s="151">
        <f>IF(TrRoad_act!J60=0,0,TrRoad_ene!J63/TrRoad_tech!J91)</f>
        <v>0.95007652662991726</v>
      </c>
      <c r="K118" s="151">
        <f>IF(TrRoad_act!K60=0,0,TrRoad_ene!K63/TrRoad_tech!K91)</f>
        <v>0.94566571882140049</v>
      </c>
      <c r="L118" s="151">
        <f>IF(TrRoad_act!L60=0,0,TrRoad_ene!L63/TrRoad_tech!L91)</f>
        <v>0.9458062745976199</v>
      </c>
      <c r="M118" s="151">
        <f>IF(TrRoad_act!M60=0,0,TrRoad_ene!M63/TrRoad_tech!M91)</f>
        <v>0.94393319139593745</v>
      </c>
      <c r="N118" s="151">
        <f>IF(TrRoad_act!N60=0,0,TrRoad_ene!N63/TrRoad_tech!N91)</f>
        <v>0.95267023654679872</v>
      </c>
      <c r="O118" s="151">
        <f>IF(TrRoad_act!O60=0,0,TrRoad_ene!O63/TrRoad_tech!O91)</f>
        <v>0.95359925617704844</v>
      </c>
      <c r="P118" s="151">
        <f>IF(TrRoad_act!P60=0,0,TrRoad_ene!P63/TrRoad_tech!P91)</f>
        <v>0.9542390035642262</v>
      </c>
      <c r="Q118" s="151">
        <f>IF(TrRoad_act!Q60=0,0,TrRoad_ene!Q63/TrRoad_tech!Q91)</f>
        <v>0.95256368532854829</v>
      </c>
      <c r="R118" s="151">
        <f>IF(TrRoad_act!R60=0,0,TrRoad_ene!R63/TrRoad_tech!R91)</f>
        <v>0.99553333821157508</v>
      </c>
      <c r="S118" s="151">
        <f>IF(TrRoad_act!S60=0,0,TrRoad_ene!S63/TrRoad_tech!S91)</f>
        <v>1.0136682858594432</v>
      </c>
      <c r="T118" s="151">
        <f>IF(TrRoad_act!T60=0,0,TrRoad_ene!T63/TrRoad_tech!T91)</f>
        <v>1.0043666516975172</v>
      </c>
      <c r="U118" s="151">
        <f>IF(TrRoad_act!U60=0,0,TrRoad_ene!U63/TrRoad_tech!U91)</f>
        <v>1.0127417631642508</v>
      </c>
      <c r="V118" s="151">
        <f>IF(TrRoad_act!V60=0,0,TrRoad_ene!V63/TrRoad_tech!V91)</f>
        <v>0.96984289577254612</v>
      </c>
      <c r="W118" s="151">
        <f>IF(TrRoad_act!W60=0,0,TrRoad_ene!W63/TrRoad_tech!W91)</f>
        <v>0.99380934159638146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0.88282209689926117</v>
      </c>
      <c r="C119" s="91">
        <f>IF(TrRoad_act!C61=0,0,TrRoad_ene!C64/TrRoad_tech!C92)</f>
        <v>0.88805911427522566</v>
      </c>
      <c r="D119" s="91">
        <f>IF(TrRoad_act!D61=0,0,TrRoad_ene!D64/TrRoad_tech!D92)</f>
        <v>0.85077806143626467</v>
      </c>
      <c r="E119" s="91">
        <f>IF(TrRoad_act!E61=0,0,TrRoad_ene!E64/TrRoad_tech!E92)</f>
        <v>0.86634018229343501</v>
      </c>
      <c r="F119" s="91">
        <f>IF(TrRoad_act!F61=0,0,TrRoad_ene!F64/TrRoad_tech!F92)</f>
        <v>0.89675330837965539</v>
      </c>
      <c r="G119" s="91">
        <f>IF(TrRoad_act!G61=0,0,TrRoad_ene!G64/TrRoad_tech!G92)</f>
        <v>0.88722496032551912</v>
      </c>
      <c r="H119" s="91">
        <f>IF(TrRoad_act!H61=0,0,TrRoad_ene!H64/TrRoad_tech!H92)</f>
        <v>0.89331241255457683</v>
      </c>
      <c r="I119" s="91">
        <f>IF(TrRoad_act!I61=0,0,TrRoad_ene!I64/TrRoad_tech!I92)</f>
        <v>0.91096534929183759</v>
      </c>
      <c r="J119" s="91">
        <f>IF(TrRoad_act!J61=0,0,TrRoad_ene!J64/TrRoad_tech!J92)</f>
        <v>0.92953749098344685</v>
      </c>
      <c r="K119" s="91">
        <f>IF(TrRoad_act!K61=0,0,TrRoad_ene!K64/TrRoad_tech!K92)</f>
        <v>0.96724041531938754</v>
      </c>
      <c r="L119" s="91">
        <f>IF(TrRoad_act!L61=0,0,TrRoad_ene!L64/TrRoad_tech!L92)</f>
        <v>0.98960262440577451</v>
      </c>
      <c r="M119" s="91">
        <f>IF(TrRoad_act!M61=0,0,TrRoad_ene!M64/TrRoad_tech!M92)</f>
        <v>0.97579471409790619</v>
      </c>
      <c r="N119" s="91">
        <f>IF(TrRoad_act!N61=0,0,TrRoad_ene!N64/TrRoad_tech!N92)</f>
        <v>0.9554393380804701</v>
      </c>
      <c r="O119" s="91">
        <f>IF(TrRoad_act!O61=0,0,TrRoad_ene!O64/TrRoad_tech!O92)</f>
        <v>0.95275982524020852</v>
      </c>
      <c r="P119" s="91">
        <f>IF(TrRoad_act!P61=0,0,TrRoad_ene!P64/TrRoad_tech!P92)</f>
        <v>0.95858411295018719</v>
      </c>
      <c r="Q119" s="91">
        <f>IF(TrRoad_act!Q61=0,0,TrRoad_ene!Q64/TrRoad_tech!Q92)</f>
        <v>0.97110422070719349</v>
      </c>
      <c r="R119" s="91">
        <f>IF(TrRoad_act!R61=0,0,TrRoad_ene!R64/TrRoad_tech!R92)</f>
        <v>1.0421097244352877</v>
      </c>
      <c r="S119" s="91">
        <f>IF(TrRoad_act!S61=0,0,TrRoad_ene!S64/TrRoad_tech!S92)</f>
        <v>1.0443385994338641</v>
      </c>
      <c r="T119" s="91">
        <f>IF(TrRoad_act!T61=0,0,TrRoad_ene!T64/TrRoad_tech!T92)</f>
        <v>1.0473912807361276</v>
      </c>
      <c r="U119" s="91">
        <f>IF(TrRoad_act!U61=0,0,TrRoad_ene!U64/TrRoad_tech!U92)</f>
        <v>1.0502133247881511</v>
      </c>
      <c r="V119" s="91">
        <f>IF(TrRoad_act!V61=0,0,TrRoad_ene!V64/TrRoad_tech!V92)</f>
        <v>1.0013664861910461</v>
      </c>
      <c r="W119" s="91">
        <f>IF(TrRoad_act!W61=0,0,TrRoad_ene!W64/TrRoad_tech!W92)</f>
        <v>1.0346037622434259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0.94023812002391838</v>
      </c>
      <c r="C120" s="91">
        <f>IF(TrRoad_act!C62=0,0,TrRoad_ene!C65/TrRoad_tech!C93)</f>
        <v>0.91930750035780384</v>
      </c>
      <c r="D120" s="91">
        <f>IF(TrRoad_act!D62=0,0,TrRoad_ene!D65/TrRoad_tech!D93)</f>
        <v>0.93204945712640419</v>
      </c>
      <c r="E120" s="91">
        <f>IF(TrRoad_act!E62=0,0,TrRoad_ene!E65/TrRoad_tech!E93)</f>
        <v>0.95354557824504449</v>
      </c>
      <c r="F120" s="91">
        <f>IF(TrRoad_act!F62=0,0,TrRoad_ene!F65/TrRoad_tech!F93)</f>
        <v>0.92519459219181921</v>
      </c>
      <c r="G120" s="91">
        <f>IF(TrRoad_act!G62=0,0,TrRoad_ene!G65/TrRoad_tech!G93)</f>
        <v>1.0468732368174618</v>
      </c>
      <c r="H120" s="91">
        <f>IF(TrRoad_act!H62=0,0,TrRoad_ene!H65/TrRoad_tech!H93)</f>
        <v>1.1046508894843914</v>
      </c>
      <c r="I120" s="91">
        <f>IF(TrRoad_act!I62=0,0,TrRoad_ene!I65/TrRoad_tech!I93)</f>
        <v>1.1036539369664073</v>
      </c>
      <c r="J120" s="91">
        <f>IF(TrRoad_act!J62=0,0,TrRoad_ene!J65/TrRoad_tech!J93)</f>
        <v>1.0421627429570601</v>
      </c>
      <c r="K120" s="91">
        <f>IF(TrRoad_act!K62=0,0,TrRoad_ene!K65/TrRoad_tech!K93)</f>
        <v>1.0345235350204256</v>
      </c>
      <c r="L120" s="91">
        <f>IF(TrRoad_act!L62=0,0,TrRoad_ene!L65/TrRoad_tech!L93)</f>
        <v>1.0577028230713177</v>
      </c>
      <c r="M120" s="91">
        <f>IF(TrRoad_act!M62=0,0,TrRoad_ene!M65/TrRoad_tech!M93)</f>
        <v>1.0235684175708615</v>
      </c>
      <c r="N120" s="91">
        <f>IF(TrRoad_act!N62=0,0,TrRoad_ene!N65/TrRoad_tech!N93)</f>
        <v>0.98426144037474861</v>
      </c>
      <c r="O120" s="91">
        <f>IF(TrRoad_act!O62=0,0,TrRoad_ene!O65/TrRoad_tech!O93)</f>
        <v>0.96038534374276663</v>
      </c>
      <c r="P120" s="91">
        <f>IF(TrRoad_act!P62=0,0,TrRoad_ene!P65/TrRoad_tech!P93)</f>
        <v>0.94708298664476631</v>
      </c>
      <c r="Q120" s="91">
        <f>IF(TrRoad_act!Q62=0,0,TrRoad_ene!Q65/TrRoad_tech!Q93)</f>
        <v>0.94521193422735228</v>
      </c>
      <c r="R120" s="91">
        <f>IF(TrRoad_act!R62=0,0,TrRoad_ene!R65/TrRoad_tech!R93)</f>
        <v>0.99959885915805236</v>
      </c>
      <c r="S120" s="91">
        <f>IF(TrRoad_act!S62=0,0,TrRoad_ene!S65/TrRoad_tech!S93)</f>
        <v>1.0475105830585987</v>
      </c>
      <c r="T120" s="91">
        <f>IF(TrRoad_act!T62=0,0,TrRoad_ene!T65/TrRoad_tech!T93)</f>
        <v>1.0508270241965969</v>
      </c>
      <c r="U120" s="91">
        <f>IF(TrRoad_act!U62=0,0,TrRoad_ene!U65/TrRoad_tech!U93)</f>
        <v>1.0534714072404849</v>
      </c>
      <c r="V120" s="91">
        <f>IF(TrRoad_act!V62=0,0,TrRoad_ene!V65/TrRoad_tech!V93)</f>
        <v>1.0295793327975284</v>
      </c>
      <c r="W120" s="91">
        <f>IF(TrRoad_act!W62=0,0,TrRoad_ene!W65/TrRoad_tech!W93)</f>
        <v>1.0296522864666864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1.0103942150802883</v>
      </c>
      <c r="C121" s="91">
        <f>IF(TrRoad_act!C63=0,0,TrRoad_ene!C66/TrRoad_tech!C94)</f>
        <v>1.0585764040046624</v>
      </c>
      <c r="D121" s="91">
        <f>IF(TrRoad_act!D63=0,0,TrRoad_ene!D66/TrRoad_tech!D94)</f>
        <v>1.1158546280204478</v>
      </c>
      <c r="E121" s="91">
        <f>IF(TrRoad_act!E63=0,0,TrRoad_ene!E66/TrRoad_tech!E94)</f>
        <v>1.0777913272615292</v>
      </c>
      <c r="F121" s="91">
        <f>IF(TrRoad_act!F63=0,0,TrRoad_ene!F66/TrRoad_tech!F94)</f>
        <v>1.0874165624049332</v>
      </c>
      <c r="G121" s="91">
        <f>IF(TrRoad_act!G63=0,0,TrRoad_ene!G66/TrRoad_tech!G94)</f>
        <v>1.1309892788554556</v>
      </c>
      <c r="H121" s="91">
        <f>IF(TrRoad_act!H63=0,0,TrRoad_ene!H66/TrRoad_tech!H94)</f>
        <v>1.118208355163528</v>
      </c>
      <c r="I121" s="91">
        <f>IF(TrRoad_act!I63=0,0,TrRoad_ene!I66/TrRoad_tech!I94)</f>
        <v>1.0669150455955325</v>
      </c>
      <c r="J121" s="91">
        <f>IF(TrRoad_act!J63=0,0,TrRoad_ene!J66/TrRoad_tech!J94)</f>
        <v>1.0067404047613755</v>
      </c>
      <c r="K121" s="91">
        <f>IF(TrRoad_act!K63=0,0,TrRoad_ene!K66/TrRoad_tech!K94)</f>
        <v>0.90069343550439662</v>
      </c>
      <c r="L121" s="91">
        <f>IF(TrRoad_act!L63=0,0,TrRoad_ene!L66/TrRoad_tech!L94)</f>
        <v>0.82027948147639063</v>
      </c>
      <c r="M121" s="91">
        <f>IF(TrRoad_act!M63=0,0,TrRoad_ene!M66/TrRoad_tech!M94)</f>
        <v>0.87563413535988865</v>
      </c>
      <c r="N121" s="91">
        <f>IF(TrRoad_act!N63=0,0,TrRoad_ene!N66/TrRoad_tech!N94)</f>
        <v>1.0323732082626342</v>
      </c>
      <c r="O121" s="91">
        <f>IF(TrRoad_act!O63=0,0,TrRoad_ene!O66/TrRoad_tech!O94)</f>
        <v>1.0841808834472004</v>
      </c>
      <c r="P121" s="91">
        <f>IF(TrRoad_act!P63=0,0,TrRoad_ene!P66/TrRoad_tech!P94)</f>
        <v>1.1057737747752676</v>
      </c>
      <c r="Q121" s="91">
        <f>IF(TrRoad_act!Q63=0,0,TrRoad_ene!Q66/TrRoad_tech!Q94)</f>
        <v>1.0679544678577093</v>
      </c>
      <c r="R121" s="91">
        <f>IF(TrRoad_act!R63=0,0,TrRoad_ene!R66/TrRoad_tech!R94)</f>
        <v>1.0368399228413006</v>
      </c>
      <c r="S121" s="91">
        <f>IF(TrRoad_act!S63=0,0,TrRoad_ene!S66/TrRoad_tech!S94)</f>
        <v>1.0205599669390804</v>
      </c>
      <c r="T121" s="91">
        <f>IF(TrRoad_act!T63=0,0,TrRoad_ene!T66/TrRoad_tech!T94)</f>
        <v>0.95494726872473323</v>
      </c>
      <c r="U121" s="91">
        <f>IF(TrRoad_act!U63=0,0,TrRoad_ene!U66/TrRoad_tech!U94)</f>
        <v>0.99990566552486271</v>
      </c>
      <c r="V121" s="91">
        <f>IF(TrRoad_act!V63=0,0,TrRoad_ene!V66/TrRoad_tech!V94)</f>
        <v>0.92520140473098766</v>
      </c>
      <c r="W121" s="91">
        <f>IF(TrRoad_act!W63=0,0,TrRoad_ene!W66/TrRoad_tech!W94)</f>
        <v>0.9955778749798575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1.0833333333391701</v>
      </c>
      <c r="R122" s="91">
        <f>IF(TrRoad_act!R64=0,0,TrRoad_ene!R67/TrRoad_tech!R95)</f>
        <v>1.0849647441702845</v>
      </c>
      <c r="S122" s="91">
        <f>IF(TrRoad_act!S64=0,0,TrRoad_ene!S67/TrRoad_tech!S95)</f>
        <v>1.0852905982410805</v>
      </c>
      <c r="T122" s="91">
        <f>IF(TrRoad_act!T64=0,0,TrRoad_ene!T67/TrRoad_tech!T95)</f>
        <v>1.0857647874425991</v>
      </c>
      <c r="U122" s="91">
        <f>IF(TrRoad_act!U64=0,0,TrRoad_ene!U67/TrRoad_tech!U95)</f>
        <v>1.0862501863719785</v>
      </c>
      <c r="V122" s="91">
        <f>IF(TrRoad_act!V64=0,0,TrRoad_ene!V67/TrRoad_tech!V95)</f>
        <v>1.0866099768862711</v>
      </c>
      <c r="W122" s="91">
        <f>IF(TrRoad_act!W64=0,0,TrRoad_ene!W67/TrRoad_tech!W95)</f>
        <v>1.0870552296400393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1.0134578590433423</v>
      </c>
      <c r="O123" s="91">
        <f>IF(TrRoad_act!O65=0,0,TrRoad_ene!O68/TrRoad_tech!O96)</f>
        <v>1.0099556108564285</v>
      </c>
      <c r="P123" s="91">
        <f>IF(TrRoad_act!P65=0,0,TrRoad_ene!P68/TrRoad_tech!P96)</f>
        <v>1.0106150702830512</v>
      </c>
      <c r="Q123" s="91">
        <f>IF(TrRoad_act!Q65=0,0,TrRoad_ene!Q68/TrRoad_tech!Q96)</f>
        <v>1.0345132913762838</v>
      </c>
      <c r="R123" s="91">
        <f>IF(TrRoad_act!R65=0,0,TrRoad_ene!R68/TrRoad_tech!R96)</f>
        <v>1.0847665690542618</v>
      </c>
      <c r="S123" s="91">
        <f>IF(TrRoad_act!S65=0,0,TrRoad_ene!S68/TrRoad_tech!S96)</f>
        <v>1.0912548997884306</v>
      </c>
      <c r="T123" s="91">
        <f>IF(TrRoad_act!T65=0,0,TrRoad_ene!T68/TrRoad_tech!T96)</f>
        <v>1.0929439528483225</v>
      </c>
      <c r="U123" s="91">
        <f>IF(TrRoad_act!U65=0,0,TrRoad_ene!U68/TrRoad_tech!U96)</f>
        <v>1.0948929255157718</v>
      </c>
      <c r="V123" s="91">
        <f>IF(TrRoad_act!V65=0,0,TrRoad_ene!V68/TrRoad_tech!V96)</f>
        <v>1.0679339799482388</v>
      </c>
      <c r="W123" s="91">
        <f>IF(TrRoad_act!W65=0,0,TrRoad_ene!W68/TrRoad_tech!W96)</f>
        <v>1.0838537664221854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1.0555555555604397</v>
      </c>
      <c r="M124" s="91">
        <f>IF(TrRoad_act!M66=0,0,TrRoad_ene!M69/TrRoad_tech!M97)</f>
        <v>1.0596974999152835</v>
      </c>
      <c r="N124" s="91">
        <f>IF(TrRoad_act!N66=0,0,TrRoad_ene!N69/TrRoad_tech!N97)</f>
        <v>1.062665524076096</v>
      </c>
      <c r="O124" s="91">
        <f>IF(TrRoad_act!O66=0,0,TrRoad_ene!O69/TrRoad_tech!O97)</f>
        <v>1.063638783149903</v>
      </c>
      <c r="P124" s="91">
        <f>IF(TrRoad_act!P66=0,0,TrRoad_ene!P69/TrRoad_tech!P97)</f>
        <v>1.0664695859686197</v>
      </c>
      <c r="Q124" s="91">
        <f>IF(TrRoad_act!Q66=0,0,TrRoad_ene!Q69/TrRoad_tech!Q97)</f>
        <v>1.0696366643917292</v>
      </c>
      <c r="R124" s="91">
        <f>IF(TrRoad_act!R66=0,0,TrRoad_ene!R69/TrRoad_tech!R97)</f>
        <v>1.0816905637919336</v>
      </c>
      <c r="S124" s="91">
        <f>IF(TrRoad_act!S66=0,0,TrRoad_ene!S69/TrRoad_tech!S97)</f>
        <v>1.0886842868977229</v>
      </c>
      <c r="T124" s="91">
        <f>IF(TrRoad_act!T66=0,0,TrRoad_ene!T69/TrRoad_tech!T97)</f>
        <v>1.091865951147315</v>
      </c>
      <c r="U124" s="91">
        <f>IF(TrRoad_act!U66=0,0,TrRoad_ene!U69/TrRoad_tech!U97)</f>
        <v>1.094026627058688</v>
      </c>
      <c r="V124" s="91">
        <f>IF(TrRoad_act!V66=0,0,TrRoad_ene!V69/TrRoad_tech!V97)</f>
        <v>1.0958458395280612</v>
      </c>
      <c r="W124" s="91">
        <f>IF(TrRoad_act!W66=0,0,TrRoad_ene!W69/TrRoad_tech!W97)</f>
        <v>1.0983046380751831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1.1029133162697837</v>
      </c>
      <c r="C125" s="151">
        <f>IF(TrRoad_act!C67=0,0,TrRoad_ene!C70/TrRoad_tech!C98)</f>
        <v>1.0828881602095046</v>
      </c>
      <c r="D125" s="151">
        <f>IF(TrRoad_act!D67=0,0,TrRoad_ene!D70/TrRoad_tech!D98)</f>
        <v>1.0788633260938267</v>
      </c>
      <c r="E125" s="151">
        <f>IF(TrRoad_act!E67=0,0,TrRoad_ene!E70/TrRoad_tech!E98)</f>
        <v>1.0771334110256847</v>
      </c>
      <c r="F125" s="151">
        <f>IF(TrRoad_act!F67=0,0,TrRoad_ene!F70/TrRoad_tech!F98)</f>
        <v>1.0811865414542523</v>
      </c>
      <c r="G125" s="151">
        <f>IF(TrRoad_act!G67=0,0,TrRoad_ene!G70/TrRoad_tech!G98)</f>
        <v>1.0856644972166896</v>
      </c>
      <c r="H125" s="151">
        <f>IF(TrRoad_act!H67=0,0,TrRoad_ene!H70/TrRoad_tech!H98)</f>
        <v>1.0946647475468223</v>
      </c>
      <c r="I125" s="151">
        <f>IF(TrRoad_act!I67=0,0,TrRoad_ene!I70/TrRoad_tech!I98)</f>
        <v>1.1058967783044544</v>
      </c>
      <c r="J125" s="151">
        <f>IF(TrRoad_act!J67=0,0,TrRoad_ene!J70/TrRoad_tech!J98)</f>
        <v>1.1226062006609208</v>
      </c>
      <c r="K125" s="151">
        <f>IF(TrRoad_act!K67=0,0,TrRoad_ene!K70/TrRoad_tech!K98)</f>
        <v>1.1334862600363302</v>
      </c>
      <c r="L125" s="151">
        <f>IF(TrRoad_act!L67=0,0,TrRoad_ene!L70/TrRoad_tech!L98)</f>
        <v>1.1454623380973938</v>
      </c>
      <c r="M125" s="151">
        <f>IF(TrRoad_act!M67=0,0,TrRoad_ene!M70/TrRoad_tech!M98)</f>
        <v>1.1580803097320325</v>
      </c>
      <c r="N125" s="151">
        <f>IF(TrRoad_act!N67=0,0,TrRoad_ene!N70/TrRoad_tech!N98)</f>
        <v>1.1718154798646507</v>
      </c>
      <c r="O125" s="151">
        <f>IF(TrRoad_act!O67=0,0,TrRoad_ene!O70/TrRoad_tech!O98)</f>
        <v>1.1867669145268682</v>
      </c>
      <c r="P125" s="151">
        <f>IF(TrRoad_act!P67=0,0,TrRoad_ene!P70/TrRoad_tech!P98)</f>
        <v>1.2030669179052242</v>
      </c>
      <c r="Q125" s="151">
        <f>IF(TrRoad_act!Q67=0,0,TrRoad_ene!Q70/TrRoad_tech!Q98)</f>
        <v>1.2291592750310716</v>
      </c>
      <c r="R125" s="151">
        <f>IF(TrRoad_act!R67=0,0,TrRoad_ene!R70/TrRoad_tech!R98)</f>
        <v>1.2437720560970555</v>
      </c>
      <c r="S125" s="151">
        <f>IF(TrRoad_act!S67=0,0,TrRoad_ene!S70/TrRoad_tech!S98)</f>
        <v>1.2572340577826817</v>
      </c>
      <c r="T125" s="151">
        <f>IF(TrRoad_act!T67=0,0,TrRoad_ene!T70/TrRoad_tech!T98)</f>
        <v>1.2684260306670796</v>
      </c>
      <c r="U125" s="151">
        <f>IF(TrRoad_act!U67=0,0,TrRoad_ene!U70/TrRoad_tech!U98)</f>
        <v>1.2821376109780467</v>
      </c>
      <c r="V125" s="151">
        <f>IF(TrRoad_act!V67=0,0,TrRoad_ene!V70/TrRoad_tech!V98)</f>
        <v>1.2925065453278199</v>
      </c>
      <c r="W125" s="151">
        <f>IF(TrRoad_act!W67=0,0,TrRoad_ene!W70/TrRoad_tech!W98)</f>
        <v>1.3086512329205375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1.1005683927109302</v>
      </c>
      <c r="D127" s="93">
        <f>IF(TrRoad_act!D69=0,0,TrRoad_ene!D72/TrRoad_tech!D100)</f>
        <v>1.1016187743712373</v>
      </c>
      <c r="E127" s="93">
        <f>IF(TrRoad_act!E69=0,0,TrRoad_ene!E72/TrRoad_tech!E100)</f>
        <v>1.1029453265726492</v>
      </c>
      <c r="F127" s="93">
        <f>IF(TrRoad_act!F69=0,0,TrRoad_ene!F72/TrRoad_tech!F100)</f>
        <v>1.106405649200064</v>
      </c>
      <c r="G127" s="93">
        <f>IF(TrRoad_act!G69=0,0,TrRoad_ene!G72/TrRoad_tech!G100)</f>
        <v>1.1108362604692228</v>
      </c>
      <c r="H127" s="93">
        <f>IF(TrRoad_act!H69=0,0,TrRoad_ene!H72/TrRoad_tech!H100)</f>
        <v>1.1171139228932192</v>
      </c>
      <c r="I127" s="93">
        <f>IF(TrRoad_act!I69=0,0,TrRoad_ene!I72/TrRoad_tech!I100)</f>
        <v>1.1244672706464252</v>
      </c>
      <c r="J127" s="93">
        <f>IF(TrRoad_act!J69=0,0,TrRoad_ene!J72/TrRoad_tech!J100)</f>
        <v>1.1339221662554062</v>
      </c>
      <c r="K127" s="93">
        <f>IF(TrRoad_act!K69=0,0,TrRoad_ene!K72/TrRoad_tech!K100)</f>
        <v>1.1411883937390759</v>
      </c>
      <c r="L127" s="93">
        <f>IF(TrRoad_act!L69=0,0,TrRoad_ene!L72/TrRoad_tech!L100)</f>
        <v>1.1498029315124056</v>
      </c>
      <c r="M127" s="93">
        <f>IF(TrRoad_act!M69=0,0,TrRoad_ene!M72/TrRoad_tech!M100)</f>
        <v>1.1606589354218211</v>
      </c>
      <c r="N127" s="93">
        <f>IF(TrRoad_act!N69=0,0,TrRoad_ene!N72/TrRoad_tech!N100)</f>
        <v>1.1742634577318467</v>
      </c>
      <c r="O127" s="93">
        <f>IF(TrRoad_act!O69=0,0,TrRoad_ene!O72/TrRoad_tech!O100)</f>
        <v>1.1897403793838957</v>
      </c>
      <c r="P127" s="93">
        <f>IF(TrRoad_act!P69=0,0,TrRoad_ene!P72/TrRoad_tech!P100)</f>
        <v>1.2066023587843029</v>
      </c>
      <c r="Q127" s="93">
        <f>IF(TrRoad_act!Q69=0,0,TrRoad_ene!Q72/TrRoad_tech!Q100)</f>
        <v>1.2331189733832464</v>
      </c>
      <c r="R127" s="93">
        <f>IF(TrRoad_act!R69=0,0,TrRoad_ene!R72/TrRoad_tech!R100)</f>
        <v>1.248835102005978</v>
      </c>
      <c r="S127" s="93">
        <f>IF(TrRoad_act!S69=0,0,TrRoad_ene!S72/TrRoad_tech!S100)</f>
        <v>1.2637560286197298</v>
      </c>
      <c r="T127" s="93">
        <f>IF(TrRoad_act!T69=0,0,TrRoad_ene!T72/TrRoad_tech!T100)</f>
        <v>1.2750457110385411</v>
      </c>
      <c r="U127" s="93">
        <f>IF(TrRoad_act!U69=0,0,TrRoad_ene!U72/TrRoad_tech!U100)</f>
        <v>1.2882102522815309</v>
      </c>
      <c r="V127" s="93">
        <f>IF(TrRoad_act!V69=0,0,TrRoad_ene!V72/TrRoad_tech!V100)</f>
        <v>1.3008004642112245</v>
      </c>
      <c r="W127" s="93">
        <f>IF(TrRoad_act!W69=0,0,TrRoad_ene!W72/TrRoad_tech!W100)</f>
        <v>1.3133769470531176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1.1000000000067305</v>
      </c>
      <c r="C128" s="93">
        <f>IF(TrRoad_act!C70=0,0,TrRoad_ene!C73/TrRoad_tech!C101)</f>
        <v>1.1000000000067305</v>
      </c>
      <c r="D128" s="93">
        <f>IF(TrRoad_act!D70=0,0,TrRoad_ene!D73/TrRoad_tech!D101)</f>
        <v>1.1000000000067303</v>
      </c>
      <c r="E128" s="93">
        <f>IF(TrRoad_act!E70=0,0,TrRoad_ene!E73/TrRoad_tech!E101)</f>
        <v>1.1001825071767053</v>
      </c>
      <c r="F128" s="93">
        <f>IF(TrRoad_act!F70=0,0,TrRoad_ene!F73/TrRoad_tech!F101)</f>
        <v>1.1182970493693143</v>
      </c>
      <c r="G128" s="93">
        <f>IF(TrRoad_act!G70=0,0,TrRoad_ene!G73/TrRoad_tech!G101)</f>
        <v>1.1194240797422006</v>
      </c>
      <c r="H128" s="93">
        <f>IF(TrRoad_act!H70=0,0,TrRoad_ene!H73/TrRoad_tech!H101)</f>
        <v>1.1201166254227686</v>
      </c>
      <c r="I128" s="93">
        <f>IF(TrRoad_act!I70=0,0,TrRoad_ene!I73/TrRoad_tech!I101)</f>
        <v>1.1208198826644711</v>
      </c>
      <c r="J128" s="93">
        <f>IF(TrRoad_act!J70=0,0,TrRoad_ene!J73/TrRoad_tech!J101)</f>
        <v>1.1219008043917209</v>
      </c>
      <c r="K128" s="93">
        <f>IF(TrRoad_act!K70=0,0,TrRoad_ene!K73/TrRoad_tech!K101)</f>
        <v>1.1226883756242747</v>
      </c>
      <c r="L128" s="93">
        <f>IF(TrRoad_act!L70=0,0,TrRoad_ene!L73/TrRoad_tech!L101)</f>
        <v>1.1239323783474238</v>
      </c>
      <c r="M128" s="93">
        <f>IF(TrRoad_act!M70=0,0,TrRoad_ene!M73/TrRoad_tech!M101)</f>
        <v>1.1253598729734116</v>
      </c>
      <c r="N128" s="93">
        <f>IF(TrRoad_act!N70=0,0,TrRoad_ene!N73/TrRoad_tech!N101)</f>
        <v>1.1268953569567219</v>
      </c>
      <c r="O128" s="93">
        <f>IF(TrRoad_act!O70=0,0,TrRoad_ene!O73/TrRoad_tech!O101)</f>
        <v>1.1285102365655677</v>
      </c>
      <c r="P128" s="93">
        <f>IF(TrRoad_act!P70=0,0,TrRoad_ene!P73/TrRoad_tech!P101)</f>
        <v>1.1302220080750633</v>
      </c>
      <c r="Q128" s="93">
        <f>IF(TrRoad_act!Q70=0,0,TrRoad_ene!Q73/TrRoad_tech!Q101)</f>
        <v>1.131354102997927</v>
      </c>
      <c r="R128" s="93">
        <f>IF(TrRoad_act!R70=0,0,TrRoad_ene!R73/TrRoad_tech!R101)</f>
        <v>1.1327560728724093</v>
      </c>
      <c r="S128" s="93">
        <f>IF(TrRoad_act!S70=0,0,TrRoad_ene!S73/TrRoad_tech!S101)</f>
        <v>1.1355236647717519</v>
      </c>
      <c r="T128" s="93">
        <f>IF(TrRoad_act!T70=0,0,TrRoad_ene!T73/TrRoad_tech!T101)</f>
        <v>1.1719254404636761</v>
      </c>
      <c r="U128" s="93">
        <f>IF(TrRoad_act!U70=0,0,TrRoad_ene!U73/TrRoad_tech!U101)</f>
        <v>1.1770779349105569</v>
      </c>
      <c r="V128" s="93">
        <f>IF(TrRoad_act!V70=0,0,TrRoad_ene!V73/TrRoad_tech!V101)</f>
        <v>1.1821236331430047</v>
      </c>
      <c r="W128" s="93">
        <f>IF(TrRoad_act!W70=0,0,TrRoad_ene!W73/TrRoad_tech!W101)</f>
        <v>1.1893465442251288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1.3000000000070033</v>
      </c>
      <c r="R129" s="93">
        <f>IF(TrRoad_act!R71=0,0,TrRoad_ene!R74/TrRoad_tech!R102)</f>
        <v>1.2151883329053226</v>
      </c>
      <c r="S129" s="93">
        <f>IF(TrRoad_act!S71=0,0,TrRoad_ene!S74/TrRoad_tech!S102)</f>
        <v>0.97642838554068168</v>
      </c>
      <c r="T129" s="93">
        <f>IF(TrRoad_act!T71=0,0,TrRoad_ene!T74/TrRoad_tech!T102)</f>
        <v>1.0605294561732455</v>
      </c>
      <c r="U129" s="93">
        <f>IF(TrRoad_act!U71=0,0,TrRoad_ene!U74/TrRoad_tech!U102)</f>
        <v>1.1212286074192139</v>
      </c>
      <c r="V129" s="93">
        <f>IF(TrRoad_act!V71=0,0,TrRoad_ene!V74/TrRoad_tech!V102)</f>
        <v>1.0731393950130887</v>
      </c>
      <c r="W129" s="93">
        <f>IF(TrRoad_act!W71=0,0,TrRoad_ene!W74/TrRoad_tech!W102)</f>
        <v>1.3537407825183612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1.1000000000067305</v>
      </c>
      <c r="C130" s="93">
        <f>IF(TrRoad_act!C72=0,0,TrRoad_ene!C75/TrRoad_tech!C103)</f>
        <v>1.1004643094272444</v>
      </c>
      <c r="D130" s="93">
        <f>IF(TrRoad_act!D72=0,0,TrRoad_ene!D75/TrRoad_tech!D103)</f>
        <v>1.1006833925735107</v>
      </c>
      <c r="E130" s="93">
        <f>IF(TrRoad_act!E72=0,0,TrRoad_ene!E75/TrRoad_tech!E103)</f>
        <v>1.1008773232979858</v>
      </c>
      <c r="F130" s="93">
        <f>IF(TrRoad_act!F72=0,0,TrRoad_ene!F75/TrRoad_tech!F103)</f>
        <v>1.1009689813282384</v>
      </c>
      <c r="G130" s="93">
        <f>IF(TrRoad_act!G72=0,0,TrRoad_ene!G75/TrRoad_tech!G103)</f>
        <v>1.1269737379830456</v>
      </c>
      <c r="H130" s="93">
        <f>IF(TrRoad_act!H72=0,0,TrRoad_ene!H75/TrRoad_tech!H103)</f>
        <v>1.1284416809144961</v>
      </c>
      <c r="I130" s="93">
        <f>IF(TrRoad_act!I72=0,0,TrRoad_ene!I75/TrRoad_tech!I103)</f>
        <v>1.1292965972776317</v>
      </c>
      <c r="J130" s="93">
        <f>IF(TrRoad_act!J72=0,0,TrRoad_ene!J75/TrRoad_tech!J103)</f>
        <v>1.1298898626635732</v>
      </c>
      <c r="K130" s="93">
        <f>IF(TrRoad_act!K72=0,0,TrRoad_ene!K75/TrRoad_tech!K103)</f>
        <v>1.1305957690550368</v>
      </c>
      <c r="L130" s="93">
        <f>IF(TrRoad_act!L72=0,0,TrRoad_ene!L75/TrRoad_tech!L103)</f>
        <v>1.133714493902066</v>
      </c>
      <c r="M130" s="93">
        <f>IF(TrRoad_act!M72=0,0,TrRoad_ene!M75/TrRoad_tech!M103)</f>
        <v>1.1357500866567141</v>
      </c>
      <c r="N130" s="93">
        <f>IF(TrRoad_act!N72=0,0,TrRoad_ene!N75/TrRoad_tech!N103)</f>
        <v>1.136310968126953</v>
      </c>
      <c r="O130" s="93">
        <f>IF(TrRoad_act!O72=0,0,TrRoad_ene!O75/TrRoad_tech!O103)</f>
        <v>1.1509405637659145</v>
      </c>
      <c r="P130" s="93">
        <f>IF(TrRoad_act!P72=0,0,TrRoad_ene!P75/TrRoad_tech!P103)</f>
        <v>1.1627048342085231</v>
      </c>
      <c r="Q130" s="93">
        <f>IF(TrRoad_act!Q72=0,0,TrRoad_ene!Q75/TrRoad_tech!Q103)</f>
        <v>1.183369886056816</v>
      </c>
      <c r="R130" s="93">
        <f>IF(TrRoad_act!R72=0,0,TrRoad_ene!R75/TrRoad_tech!R103)</f>
        <v>1.1988866770445032</v>
      </c>
      <c r="S130" s="93">
        <f>IF(TrRoad_act!S72=0,0,TrRoad_ene!S75/TrRoad_tech!S103)</f>
        <v>1.2438481255305693</v>
      </c>
      <c r="T130" s="93">
        <f>IF(TrRoad_act!T72=0,0,TrRoad_ene!T75/TrRoad_tech!T103)</f>
        <v>1.280516806726246</v>
      </c>
      <c r="U130" s="93">
        <f>IF(TrRoad_act!U72=0,0,TrRoad_ene!U75/TrRoad_tech!U103)</f>
        <v>1.3319805483229854</v>
      </c>
      <c r="V130" s="93">
        <f>IF(TrRoad_act!V72=0,0,TrRoad_ene!V75/TrRoad_tech!V103)</f>
        <v>1.3412348761445312</v>
      </c>
      <c r="W130" s="93">
        <f>IF(TrRoad_act!W72=0,0,TrRoad_ene!W75/TrRoad_tech!W103)</f>
        <v>1.3465052046991439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1.1207043879544822</v>
      </c>
      <c r="C132" s="150">
        <f>IF(TrRoad_act!C74=0,0,TrRoad_ene!C77/TrRoad_tech!C105)</f>
        <v>1.1119417486784795</v>
      </c>
      <c r="D132" s="150">
        <f>IF(TrRoad_act!D74=0,0,TrRoad_ene!D77/TrRoad_tech!D105)</f>
        <v>1.1090971004183023</v>
      </c>
      <c r="E132" s="150">
        <f>IF(TrRoad_act!E74=0,0,TrRoad_ene!E77/TrRoad_tech!E105)</f>
        <v>1.107631987692657</v>
      </c>
      <c r="F132" s="150">
        <f>IF(TrRoad_act!F74=0,0,TrRoad_ene!F77/TrRoad_tech!F105)</f>
        <v>1.1069637599882356</v>
      </c>
      <c r="G132" s="150">
        <f>IF(TrRoad_act!G74=0,0,TrRoad_ene!G77/TrRoad_tech!G105)</f>
        <v>1.1084010959820692</v>
      </c>
      <c r="H132" s="150">
        <f>IF(TrRoad_act!H74=0,0,TrRoad_ene!H77/TrRoad_tech!H105)</f>
        <v>1.1107946490520815</v>
      </c>
      <c r="I132" s="150">
        <f>IF(TrRoad_act!I74=0,0,TrRoad_ene!I77/TrRoad_tech!I105)</f>
        <v>1.114168260429248</v>
      </c>
      <c r="J132" s="150">
        <f>IF(TrRoad_act!J74=0,0,TrRoad_ene!J77/TrRoad_tech!J105)</f>
        <v>1.1199118802115131</v>
      </c>
      <c r="K132" s="150">
        <f>IF(TrRoad_act!K74=0,0,TrRoad_ene!K77/TrRoad_tech!K105)</f>
        <v>1.121045474392885</v>
      </c>
      <c r="L132" s="150">
        <f>IF(TrRoad_act!L74=0,0,TrRoad_ene!L77/TrRoad_tech!L105)</f>
        <v>1.1290467721740935</v>
      </c>
      <c r="M132" s="150">
        <f>IF(TrRoad_act!M74=0,0,TrRoad_ene!M77/TrRoad_tech!M105)</f>
        <v>1.1358487444164793</v>
      </c>
      <c r="N132" s="150">
        <f>IF(TrRoad_act!N74=0,0,TrRoad_ene!N77/TrRoad_tech!N105)</f>
        <v>1.142946705199162</v>
      </c>
      <c r="O132" s="150">
        <f>IF(TrRoad_act!O74=0,0,TrRoad_ene!O77/TrRoad_tech!O105)</f>
        <v>1.1515682293536726</v>
      </c>
      <c r="P132" s="150">
        <f>IF(TrRoad_act!P74=0,0,TrRoad_ene!P77/TrRoad_tech!P105)</f>
        <v>1.1598730842980411</v>
      </c>
      <c r="Q132" s="150">
        <f>IF(TrRoad_act!Q74=0,0,TrRoad_ene!Q77/TrRoad_tech!Q105)</f>
        <v>1.1709742032469981</v>
      </c>
      <c r="R132" s="150">
        <f>IF(TrRoad_act!R74=0,0,TrRoad_ene!R77/TrRoad_tech!R105)</f>
        <v>1.177894479468971</v>
      </c>
      <c r="S132" s="150">
        <f>IF(TrRoad_act!S74=0,0,TrRoad_ene!S77/TrRoad_tech!S105)</f>
        <v>1.1882738425479493</v>
      </c>
      <c r="T132" s="150">
        <f>IF(TrRoad_act!T74=0,0,TrRoad_ene!T77/TrRoad_tech!T105)</f>
        <v>1.1989138636970953</v>
      </c>
      <c r="U132" s="150">
        <f>IF(TrRoad_act!U74=0,0,TrRoad_ene!U77/TrRoad_tech!U105)</f>
        <v>1.2106585221044988</v>
      </c>
      <c r="V132" s="150">
        <f>IF(TrRoad_act!V74=0,0,TrRoad_ene!V77/TrRoad_tech!V105)</f>
        <v>1.2297656617711199</v>
      </c>
      <c r="W132" s="150">
        <f>IF(TrRoad_act!W74=0,0,TrRoad_ene!W77/TrRoad_tech!W105)</f>
        <v>1.2457793695951798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1.1000086455982117</v>
      </c>
      <c r="D133" s="91">
        <f>IF(TrRoad_act!D75=0,0,TrRoad_ene!D78/TrRoad_tech!D106)</f>
        <v>1.1000408071256604</v>
      </c>
      <c r="E133" s="91">
        <f>IF(TrRoad_act!E75=0,0,TrRoad_ene!E78/TrRoad_tech!E106)</f>
        <v>1.1001307988273064</v>
      </c>
      <c r="F133" s="91">
        <f>IF(TrRoad_act!F75=0,0,TrRoad_ene!F78/TrRoad_tech!F106)</f>
        <v>1.1002112324839686</v>
      </c>
      <c r="G133" s="91">
        <f>IF(TrRoad_act!G75=0,0,TrRoad_ene!G78/TrRoad_tech!G106)</f>
        <v>1.100255212010236</v>
      </c>
      <c r="H133" s="91">
        <f>IF(TrRoad_act!H75=0,0,TrRoad_ene!H78/TrRoad_tech!H106)</f>
        <v>1.1006437806386393</v>
      </c>
      <c r="I133" s="91">
        <f>IF(TrRoad_act!I75=0,0,TrRoad_ene!I78/TrRoad_tech!I106)</f>
        <v>1.1017323699400485</v>
      </c>
      <c r="J133" s="91">
        <f>IF(TrRoad_act!J75=0,0,TrRoad_ene!J78/TrRoad_tech!J106)</f>
        <v>1.1041105696198448</v>
      </c>
      <c r="K133" s="91">
        <f>IF(TrRoad_act!K75=0,0,TrRoad_ene!K78/TrRoad_tech!K106)</f>
        <v>1.1070101622208324</v>
      </c>
      <c r="L133" s="91">
        <f>IF(TrRoad_act!L75=0,0,TrRoad_ene!L78/TrRoad_tech!L106)</f>
        <v>1.1116699993435306</v>
      </c>
      <c r="M133" s="91">
        <f>IF(TrRoad_act!M75=0,0,TrRoad_ene!M78/TrRoad_tech!M106)</f>
        <v>1.1158111961067352</v>
      </c>
      <c r="N133" s="91">
        <f>IF(TrRoad_act!N75=0,0,TrRoad_ene!N78/TrRoad_tech!N106)</f>
        <v>1.1209752342328401</v>
      </c>
      <c r="O133" s="91">
        <f>IF(TrRoad_act!O75=0,0,TrRoad_ene!O78/TrRoad_tech!O106)</f>
        <v>1.1281127902390469</v>
      </c>
      <c r="P133" s="91">
        <f>IF(TrRoad_act!P75=0,0,TrRoad_ene!P78/TrRoad_tech!P106)</f>
        <v>1.1350696744478748</v>
      </c>
      <c r="Q133" s="91">
        <f>IF(TrRoad_act!Q75=0,0,TrRoad_ene!Q78/TrRoad_tech!Q106)</f>
        <v>1.1424367486830964</v>
      </c>
      <c r="R133" s="91">
        <f>IF(TrRoad_act!R75=0,0,TrRoad_ene!R78/TrRoad_tech!R106)</f>
        <v>1.1500674842653136</v>
      </c>
      <c r="S133" s="91">
        <f>IF(TrRoad_act!S75=0,0,TrRoad_ene!S78/TrRoad_tech!S106)</f>
        <v>1.1622528536370351</v>
      </c>
      <c r="T133" s="91">
        <f>IF(TrRoad_act!T75=0,0,TrRoad_ene!T78/TrRoad_tech!T106)</f>
        <v>1.1786773536999859</v>
      </c>
      <c r="U133" s="91">
        <f>IF(TrRoad_act!U75=0,0,TrRoad_ene!U78/TrRoad_tech!U106)</f>
        <v>1.1865227677001247</v>
      </c>
      <c r="V133" s="91">
        <f>IF(TrRoad_act!V75=0,0,TrRoad_ene!V78/TrRoad_tech!V106)</f>
        <v>1.2001599037448052</v>
      </c>
      <c r="W133" s="91">
        <f>IF(TrRoad_act!W75=0,0,TrRoad_ene!W78/TrRoad_tech!W106)</f>
        <v>1.2175670453323293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1.1000851333695763</v>
      </c>
      <c r="D134" s="91">
        <f>IF(TrRoad_act!D76=0,0,TrRoad_ene!D79/TrRoad_tech!D107)</f>
        <v>1.1003667885640216</v>
      </c>
      <c r="E134" s="91">
        <f>IF(TrRoad_act!E76=0,0,TrRoad_ene!E79/TrRoad_tech!E107)</f>
        <v>1.1006985169633565</v>
      </c>
      <c r="F134" s="91">
        <f>IF(TrRoad_act!F76=0,0,TrRoad_ene!F79/TrRoad_tech!F107)</f>
        <v>1.1011293046000636</v>
      </c>
      <c r="G134" s="91">
        <f>IF(TrRoad_act!G76=0,0,TrRoad_ene!G79/TrRoad_tech!G107)</f>
        <v>1.1019530970994762</v>
      </c>
      <c r="H134" s="91">
        <f>IF(TrRoad_act!H76=0,0,TrRoad_ene!H79/TrRoad_tech!H107)</f>
        <v>1.1034213395435641</v>
      </c>
      <c r="I134" s="91">
        <f>IF(TrRoad_act!I76=0,0,TrRoad_ene!I79/TrRoad_tech!I107)</f>
        <v>1.1059516376547993</v>
      </c>
      <c r="J134" s="91">
        <f>IF(TrRoad_act!J76=0,0,TrRoad_ene!J79/TrRoad_tech!J107)</f>
        <v>1.1096863379294479</v>
      </c>
      <c r="K134" s="91">
        <f>IF(TrRoad_act!K76=0,0,TrRoad_ene!K79/TrRoad_tech!K107)</f>
        <v>1.113625184100032</v>
      </c>
      <c r="L134" s="91">
        <f>IF(TrRoad_act!L76=0,0,TrRoad_ene!L79/TrRoad_tech!L107)</f>
        <v>1.117590346010195</v>
      </c>
      <c r="M134" s="91">
        <f>IF(TrRoad_act!M76=0,0,TrRoad_ene!M79/TrRoad_tech!M107)</f>
        <v>1.1224488490122295</v>
      </c>
      <c r="N134" s="91">
        <f>IF(TrRoad_act!N76=0,0,TrRoad_ene!N79/TrRoad_tech!N107)</f>
        <v>1.1282689010873643</v>
      </c>
      <c r="O134" s="91">
        <f>IF(TrRoad_act!O76=0,0,TrRoad_ene!O79/TrRoad_tech!O107)</f>
        <v>1.1361738271986006</v>
      </c>
      <c r="P134" s="91">
        <f>IF(TrRoad_act!P76=0,0,TrRoad_ene!P79/TrRoad_tech!P107)</f>
        <v>1.1441758395842951</v>
      </c>
      <c r="Q134" s="91">
        <f>IF(TrRoad_act!Q76=0,0,TrRoad_ene!Q79/TrRoad_tech!Q107)</f>
        <v>1.1543896117280812</v>
      </c>
      <c r="R134" s="91">
        <f>IF(TrRoad_act!R76=0,0,TrRoad_ene!R79/TrRoad_tech!R107)</f>
        <v>1.1652836383511138</v>
      </c>
      <c r="S134" s="91">
        <f>IF(TrRoad_act!S76=0,0,TrRoad_ene!S79/TrRoad_tech!S107)</f>
        <v>1.1774125826583526</v>
      </c>
      <c r="T134" s="91">
        <f>IF(TrRoad_act!T76=0,0,TrRoad_ene!T79/TrRoad_tech!T107)</f>
        <v>1.1894096857672776</v>
      </c>
      <c r="U134" s="91">
        <f>IF(TrRoad_act!U76=0,0,TrRoad_ene!U79/TrRoad_tech!U107)</f>
        <v>1.2084149559396904</v>
      </c>
      <c r="V134" s="91">
        <f>IF(TrRoad_act!V76=0,0,TrRoad_ene!V79/TrRoad_tech!V107)</f>
        <v>1.2266888462923724</v>
      </c>
      <c r="W134" s="91">
        <f>IF(TrRoad_act!W76=0,0,TrRoad_ene!W79/TrRoad_tech!W107)</f>
        <v>1.2446319483377981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1.1000560299568831</v>
      </c>
      <c r="D135" s="91">
        <f>IF(TrRoad_act!D77=0,0,TrRoad_ene!D80/TrRoad_tech!D108)</f>
        <v>1.1003362419770359</v>
      </c>
      <c r="E135" s="91">
        <f>IF(TrRoad_act!E77=0,0,TrRoad_ene!E80/TrRoad_tech!E108)</f>
        <v>1.1005360050053883</v>
      </c>
      <c r="F135" s="91">
        <f>IF(TrRoad_act!F77=0,0,TrRoad_ene!F80/TrRoad_tech!F108)</f>
        <v>1.1006203271313635</v>
      </c>
      <c r="G135" s="91">
        <f>IF(TrRoad_act!G77=0,0,TrRoad_ene!G80/TrRoad_tech!G108)</f>
        <v>1.1008994496531632</v>
      </c>
      <c r="H135" s="91">
        <f>IF(TrRoad_act!H77=0,0,TrRoad_ene!H80/TrRoad_tech!H108)</f>
        <v>1.1020029200827461</v>
      </c>
      <c r="I135" s="91">
        <f>IF(TrRoad_act!I77=0,0,TrRoad_ene!I80/TrRoad_tech!I108)</f>
        <v>1.1030673496093488</v>
      </c>
      <c r="J135" s="91">
        <f>IF(TrRoad_act!J77=0,0,TrRoad_ene!J80/TrRoad_tech!J108)</f>
        <v>1.1040683127237283</v>
      </c>
      <c r="K135" s="91">
        <f>IF(TrRoad_act!K77=0,0,TrRoad_ene!K80/TrRoad_tech!K108)</f>
        <v>1.1046961818991978</v>
      </c>
      <c r="L135" s="91">
        <f>IF(TrRoad_act!L77=0,0,TrRoad_ene!L80/TrRoad_tech!L108)</f>
        <v>1.1057044504732567</v>
      </c>
      <c r="M135" s="91">
        <f>IF(TrRoad_act!M77=0,0,TrRoad_ene!M80/TrRoad_tech!M108)</f>
        <v>1.1071856199413013</v>
      </c>
      <c r="N135" s="91">
        <f>IF(TrRoad_act!N77=0,0,TrRoad_ene!N80/TrRoad_tech!N108)</f>
        <v>1.1097304916828667</v>
      </c>
      <c r="O135" s="91">
        <f>IF(TrRoad_act!O77=0,0,TrRoad_ene!O80/TrRoad_tech!O108)</f>
        <v>1.1114034238729564</v>
      </c>
      <c r="P135" s="91">
        <f>IF(TrRoad_act!P77=0,0,TrRoad_ene!P80/TrRoad_tech!P108)</f>
        <v>1.120605181013447</v>
      </c>
      <c r="Q135" s="91">
        <f>IF(TrRoad_act!Q77=0,0,TrRoad_ene!Q80/TrRoad_tech!Q108)</f>
        <v>1.1227766378137933</v>
      </c>
      <c r="R135" s="91">
        <f>IF(TrRoad_act!R77=0,0,TrRoad_ene!R80/TrRoad_tech!R108)</f>
        <v>1.12994749953372</v>
      </c>
      <c r="S135" s="91">
        <f>IF(TrRoad_act!S77=0,0,TrRoad_ene!S80/TrRoad_tech!S108)</f>
        <v>1.1350869574645879</v>
      </c>
      <c r="T135" s="91">
        <f>IF(TrRoad_act!T77=0,0,TrRoad_ene!T80/TrRoad_tech!T108)</f>
        <v>1.142106376688041</v>
      </c>
      <c r="U135" s="91">
        <f>IF(TrRoad_act!U77=0,0,TrRoad_ene!U80/TrRoad_tech!U108)</f>
        <v>1.1442479935989873</v>
      </c>
      <c r="V135" s="91">
        <f>IF(TrRoad_act!V77=0,0,TrRoad_ene!V80/TrRoad_tech!V108)</f>
        <v>1.1448455620651761</v>
      </c>
      <c r="W135" s="91">
        <f>IF(TrRoad_act!W77=0,0,TrRoad_ene!W80/TrRoad_tech!W108)</f>
        <v>1.1479405313478426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1.3000000000070033</v>
      </c>
      <c r="R136" s="91">
        <f>IF(TrRoad_act!R78=0,0,TrRoad_ene!R81/TrRoad_tech!R109)</f>
        <v>1.3027336920798993</v>
      </c>
      <c r="S136" s="91">
        <f>IF(TrRoad_act!S78=0,0,TrRoad_ene!S81/TrRoad_tech!S109)</f>
        <v>1.3042979546065585</v>
      </c>
      <c r="T136" s="91">
        <f>IF(TrRoad_act!T78=0,0,TrRoad_ene!T81/TrRoad_tech!T109)</f>
        <v>1.305836689831583</v>
      </c>
      <c r="U136" s="91">
        <f>IF(TrRoad_act!U78=0,0,TrRoad_ene!U81/TrRoad_tech!U109)</f>
        <v>1.3066704084981189</v>
      </c>
      <c r="V136" s="91">
        <f>IF(TrRoad_act!V78=0,0,TrRoad_ene!V81/TrRoad_tech!V109)</f>
        <v>1.3096488758954685</v>
      </c>
      <c r="W136" s="91">
        <f>IF(TrRoad_act!W78=0,0,TrRoad_ene!W81/TrRoad_tech!W109)</f>
        <v>1.3113792163464655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1.2360000000066977</v>
      </c>
      <c r="O137" s="91">
        <f>IF(TrRoad_act!O79=0,0,TrRoad_ene!O82/TrRoad_tech!O110)</f>
        <v>1.2454138274005397</v>
      </c>
      <c r="P137" s="91">
        <f>IF(TrRoad_act!P79=0,0,TrRoad_ene!P82/TrRoad_tech!P110)</f>
        <v>1.2532476983008323</v>
      </c>
      <c r="Q137" s="91">
        <f>IF(TrRoad_act!Q79=0,0,TrRoad_ene!Q82/TrRoad_tech!Q110)</f>
        <v>1.2681997333886461</v>
      </c>
      <c r="R137" s="91">
        <f>IF(TrRoad_act!R79=0,0,TrRoad_ene!R82/TrRoad_tech!R110)</f>
        <v>1.2804873374692947</v>
      </c>
      <c r="S137" s="91">
        <f>IF(TrRoad_act!S79=0,0,TrRoad_ene!S82/TrRoad_tech!S110)</f>
        <v>1.2986856289678552</v>
      </c>
      <c r="T137" s="91">
        <f>IF(TrRoad_act!T79=0,0,TrRoad_ene!T82/TrRoad_tech!T110)</f>
        <v>1.3225592629521994</v>
      </c>
      <c r="U137" s="91">
        <f>IF(TrRoad_act!U79=0,0,TrRoad_ene!U82/TrRoad_tech!U110)</f>
        <v>1.3393293968965183</v>
      </c>
      <c r="V137" s="91">
        <f>IF(TrRoad_act!V79=0,0,TrRoad_ene!V82/TrRoad_tech!V110)</f>
        <v>1.3477923850295523</v>
      </c>
      <c r="W137" s="91">
        <f>IF(TrRoad_act!W79=0,0,TrRoad_ene!W82/TrRoad_tech!W110)</f>
        <v>1.3536682164736422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0.37558572224816722</v>
      </c>
      <c r="C138" s="151">
        <f>IF(TrRoad_act!C80=0,0,TrRoad_ene!C83/TrRoad_tech!C111)</f>
        <v>0.47011717515636847</v>
      </c>
      <c r="D138" s="151">
        <f>IF(TrRoad_act!D80=0,0,TrRoad_ene!D83/TrRoad_tech!D111)</f>
        <v>0.34277254170395882</v>
      </c>
      <c r="E138" s="151">
        <f>IF(TrRoad_act!E80=0,0,TrRoad_ene!E83/TrRoad_tech!E111)</f>
        <v>0.54391335577540312</v>
      </c>
      <c r="F138" s="151">
        <f>IF(TrRoad_act!F80=0,0,TrRoad_ene!F83/TrRoad_tech!F111)</f>
        <v>0.70006260547596622</v>
      </c>
      <c r="G138" s="151">
        <f>IF(TrRoad_act!G80=0,0,TrRoad_ene!G83/TrRoad_tech!G111)</f>
        <v>0.94619112196471888</v>
      </c>
      <c r="H138" s="151">
        <f>IF(TrRoad_act!H80=0,0,TrRoad_ene!H83/TrRoad_tech!H111)</f>
        <v>1.0765858387990375</v>
      </c>
      <c r="I138" s="151">
        <f>IF(TrRoad_act!I80=0,0,TrRoad_ene!I83/TrRoad_tech!I111)</f>
        <v>1.2144628116063887</v>
      </c>
      <c r="J138" s="151">
        <f>IF(TrRoad_act!J80=0,0,TrRoad_ene!J83/TrRoad_tech!J111)</f>
        <v>1.2446087834062198</v>
      </c>
      <c r="K138" s="151">
        <f>IF(TrRoad_act!K80=0,0,TrRoad_ene!K83/TrRoad_tech!K111)</f>
        <v>1.1416214598045278</v>
      </c>
      <c r="L138" s="151">
        <f>IF(TrRoad_act!L80=0,0,TrRoad_ene!L83/TrRoad_tech!L111)</f>
        <v>1.1970238305918497</v>
      </c>
      <c r="M138" s="151">
        <f>IF(TrRoad_act!M80=0,0,TrRoad_ene!M83/TrRoad_tech!M111)</f>
        <v>1.108054191718872</v>
      </c>
      <c r="N138" s="151">
        <f>IF(TrRoad_act!N80=0,0,TrRoad_ene!N83/TrRoad_tech!N111)</f>
        <v>0.94275740520866302</v>
      </c>
      <c r="O138" s="151">
        <f>IF(TrRoad_act!O80=0,0,TrRoad_ene!O83/TrRoad_tech!O111)</f>
        <v>0.72827153675622325</v>
      </c>
      <c r="P138" s="151">
        <f>IF(TrRoad_act!P80=0,0,TrRoad_ene!P83/TrRoad_tech!P111)</f>
        <v>0.77582577224129357</v>
      </c>
      <c r="Q138" s="151">
        <f>IF(TrRoad_act!Q80=0,0,TrRoad_ene!Q83/TrRoad_tech!Q111)</f>
        <v>0.78485898848411784</v>
      </c>
      <c r="R138" s="151">
        <f>IF(TrRoad_act!R80=0,0,TrRoad_ene!R83/TrRoad_tech!R111)</f>
        <v>1.036626732464806</v>
      </c>
      <c r="S138" s="151">
        <f>IF(TrRoad_act!S80=0,0,TrRoad_ene!S83/TrRoad_tech!S111)</f>
        <v>1.3226825592540086</v>
      </c>
      <c r="T138" s="151">
        <f>IF(TrRoad_act!T80=0,0,TrRoad_ene!T83/TrRoad_tech!T111)</f>
        <v>1.4356374238852745</v>
      </c>
      <c r="U138" s="151">
        <f>IF(TrRoad_act!U80=0,0,TrRoad_ene!U83/TrRoad_tech!U111)</f>
        <v>1.434819733268651</v>
      </c>
      <c r="V138" s="151">
        <f>IF(TrRoad_act!V80=0,0,TrRoad_ene!V83/TrRoad_tech!V111)</f>
        <v>1.3055463928674838</v>
      </c>
      <c r="W138" s="151">
        <f>IF(TrRoad_act!W80=0,0,TrRoad_ene!W83/TrRoad_tech!W111)</f>
        <v>1.6270499988177543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0.36433406635232507</v>
      </c>
      <c r="C139" s="93">
        <f>IF(TrRoad_act!C81=0,0,TrRoad_ene!C84/TrRoad_tech!C112)</f>
        <v>0.45644548931853346</v>
      </c>
      <c r="D139" s="93">
        <f>IF(TrRoad_act!D81=0,0,TrRoad_ene!D84/TrRoad_tech!D112)</f>
        <v>0.33282297540832412</v>
      </c>
      <c r="E139" s="93">
        <f>IF(TrRoad_act!E81=0,0,TrRoad_ene!E84/TrRoad_tech!E112)</f>
        <v>0.52951772541473785</v>
      </c>
      <c r="F139" s="93">
        <f>IF(TrRoad_act!F81=0,0,TrRoad_ene!F84/TrRoad_tech!F112)</f>
        <v>0.68354074048090663</v>
      </c>
      <c r="G139" s="93">
        <f>IF(TrRoad_act!G81=0,0,TrRoad_ene!G84/TrRoad_tech!G112)</f>
        <v>0.92505569908991514</v>
      </c>
      <c r="H139" s="93">
        <f>IF(TrRoad_act!H81=0,0,TrRoad_ene!H84/TrRoad_tech!H112)</f>
        <v>1.0503206396260278</v>
      </c>
      <c r="I139" s="93">
        <f>IF(TrRoad_act!I81=0,0,TrRoad_ene!I84/TrRoad_tech!I112)</f>
        <v>1.1881807428438171</v>
      </c>
      <c r="J139" s="93">
        <f>IF(TrRoad_act!J81=0,0,TrRoad_ene!J84/TrRoad_tech!J112)</f>
        <v>1.2192239263059061</v>
      </c>
      <c r="K139" s="93">
        <f>IF(TrRoad_act!K81=0,0,TrRoad_ene!K84/TrRoad_tech!K112)</f>
        <v>1.1215243876854997</v>
      </c>
      <c r="L139" s="93">
        <f>IF(TrRoad_act!L81=0,0,TrRoad_ene!L84/TrRoad_tech!L112)</f>
        <v>1.1746620947758839</v>
      </c>
      <c r="M139" s="93">
        <f>IF(TrRoad_act!M81=0,0,TrRoad_ene!M84/TrRoad_tech!M112)</f>
        <v>1.0875529694564794</v>
      </c>
      <c r="N139" s="93">
        <f>IF(TrRoad_act!N81=0,0,TrRoad_ene!N84/TrRoad_tech!N112)</f>
        <v>0.92314047592871407</v>
      </c>
      <c r="O139" s="93">
        <f>IF(TrRoad_act!O81=0,0,TrRoad_ene!O84/TrRoad_tech!O112)</f>
        <v>0.71303697023774093</v>
      </c>
      <c r="P139" s="93">
        <f>IF(TrRoad_act!P81=0,0,TrRoad_ene!P84/TrRoad_tech!P112)</f>
        <v>0.75850722146032024</v>
      </c>
      <c r="Q139" s="93">
        <f>IF(TrRoad_act!Q81=0,0,TrRoad_ene!Q84/TrRoad_tech!Q112)</f>
        <v>0.76741126413027039</v>
      </c>
      <c r="R139" s="93">
        <f>IF(TrRoad_act!R81=0,0,TrRoad_ene!R84/TrRoad_tech!R112)</f>
        <v>1.0105300497829823</v>
      </c>
      <c r="S139" s="93">
        <f>IF(TrRoad_act!S81=0,0,TrRoad_ene!S84/TrRoad_tech!S112)</f>
        <v>1.2875284944455163</v>
      </c>
      <c r="T139" s="93">
        <f>IF(TrRoad_act!T81=0,0,TrRoad_ene!T84/TrRoad_tech!T112)</f>
        <v>1.3988297937415926</v>
      </c>
      <c r="U139" s="93">
        <f>IF(TrRoad_act!U81=0,0,TrRoad_ene!U84/TrRoad_tech!U112)</f>
        <v>1.3923384145451994</v>
      </c>
      <c r="V139" s="93">
        <f>IF(TrRoad_act!V81=0,0,TrRoad_ene!V84/TrRoad_tech!V112)</f>
        <v>1.2682870126996526</v>
      </c>
      <c r="W139" s="93">
        <f>IF(TrRoad_act!W81=0,0,TrRoad_ene!W84/TrRoad_tech!W112)</f>
        <v>1.5795841393142334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0.36433406635232496</v>
      </c>
      <c r="C140" s="94">
        <f>IF(TrRoad_act!C82=0,0,TrRoad_ene!C85/TrRoad_tech!C113)</f>
        <v>0.45653830460734784</v>
      </c>
      <c r="D140" s="94">
        <f>IF(TrRoad_act!D82=0,0,TrRoad_ene!D85/TrRoad_tech!D113)</f>
        <v>0.33277086638083825</v>
      </c>
      <c r="E140" s="94">
        <f>IF(TrRoad_act!E82=0,0,TrRoad_ene!E85/TrRoad_tech!E113)</f>
        <v>0.52984158645611501</v>
      </c>
      <c r="F140" s="94">
        <f>IF(TrRoad_act!F82=0,0,TrRoad_ene!F85/TrRoad_tech!F113)</f>
        <v>0.6863254266264992</v>
      </c>
      <c r="G140" s="94">
        <f>IF(TrRoad_act!G82=0,0,TrRoad_ene!G85/TrRoad_tech!G113)</f>
        <v>0.92980150059065725</v>
      </c>
      <c r="H140" s="94">
        <f>IF(TrRoad_act!H82=0,0,TrRoad_ene!H85/TrRoad_tech!H113)</f>
        <v>1.0606944046583708</v>
      </c>
      <c r="I140" s="94">
        <f>IF(TrRoad_act!I82=0,0,TrRoad_ene!I85/TrRoad_tech!I113)</f>
        <v>1.1944860835334925</v>
      </c>
      <c r="J140" s="94">
        <f>IF(TrRoad_act!J82=0,0,TrRoad_ene!J85/TrRoad_tech!J113)</f>
        <v>1.2241388807271212</v>
      </c>
      <c r="K140" s="94">
        <f>IF(TrRoad_act!K82=0,0,TrRoad_ene!K85/TrRoad_tech!K113)</f>
        <v>1.1250120940152399</v>
      </c>
      <c r="L140" s="94">
        <f>IF(TrRoad_act!L82=0,0,TrRoad_ene!L85/TrRoad_tech!L113)</f>
        <v>1.1877781663827349</v>
      </c>
      <c r="M140" s="94">
        <f>IF(TrRoad_act!M82=0,0,TrRoad_ene!M85/TrRoad_tech!M113)</f>
        <v>1.1015022283695364</v>
      </c>
      <c r="N140" s="94">
        <f>IF(TrRoad_act!N82=0,0,TrRoad_ene!N85/TrRoad_tech!N113)</f>
        <v>0.93876759671735366</v>
      </c>
      <c r="O140" s="94">
        <f>IF(TrRoad_act!O82=0,0,TrRoad_ene!O85/TrRoad_tech!O113)</f>
        <v>0.7262722206312584</v>
      </c>
      <c r="P140" s="94">
        <f>IF(TrRoad_act!P82=0,0,TrRoad_ene!P85/TrRoad_tech!P113)</f>
        <v>0.772222436657092</v>
      </c>
      <c r="Q140" s="94">
        <f>IF(TrRoad_act!Q82=0,0,TrRoad_ene!Q85/TrRoad_tech!Q113)</f>
        <v>0.78211271671550475</v>
      </c>
      <c r="R140" s="94">
        <f>IF(TrRoad_act!R82=0,0,TrRoad_ene!R85/TrRoad_tech!R113)</f>
        <v>1.036998822993993</v>
      </c>
      <c r="S140" s="94">
        <f>IF(TrRoad_act!S82=0,0,TrRoad_ene!S85/TrRoad_tech!S113)</f>
        <v>1.328632030895019</v>
      </c>
      <c r="T140" s="94">
        <f>IF(TrRoad_act!T82=0,0,TrRoad_ene!T85/TrRoad_tech!T113)</f>
        <v>1.4410451121990655</v>
      </c>
      <c r="U140" s="94">
        <f>IF(TrRoad_act!U82=0,0,TrRoad_ene!U85/TrRoad_tech!U113)</f>
        <v>1.4459227129132881</v>
      </c>
      <c r="V140" s="94">
        <f>IF(TrRoad_act!V82=0,0,TrRoad_ene!V85/TrRoad_tech!V113)</f>
        <v>1.317978108337561</v>
      </c>
      <c r="W140" s="94">
        <f>IF(TrRoad_act!W82=0,0,TrRoad_ene!W85/TrRoad_tech!W113)</f>
        <v>1.6464652133438336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3.7549913314804533</v>
      </c>
      <c r="D144" s="141">
        <v>3.7322843103913348</v>
      </c>
      <c r="E144" s="141">
        <v>3.6855682601231243</v>
      </c>
      <c r="F144" s="141">
        <v>3.6804643884104329</v>
      </c>
      <c r="G144" s="141">
        <v>3.6308839203442824</v>
      </c>
      <c r="H144" s="141">
        <v>3.5576589853642338</v>
      </c>
      <c r="I144" s="141">
        <v>3.5054745011181394</v>
      </c>
      <c r="J144" s="141">
        <v>3.3352760035969444</v>
      </c>
      <c r="K144" s="141">
        <v>3.1516928629108332</v>
      </c>
      <c r="L144" s="141">
        <v>3.0370640706696617</v>
      </c>
      <c r="M144" s="141">
        <v>3.0082672075142156</v>
      </c>
      <c r="N144" s="141">
        <v>2.9416778013645026</v>
      </c>
      <c r="O144" s="141">
        <v>2.8811114646759535</v>
      </c>
      <c r="P144" s="141">
        <v>2.7727513261427275</v>
      </c>
      <c r="Q144" s="141">
        <v>2.7096501828587432</v>
      </c>
      <c r="R144" s="141">
        <v>2.6652139513794171</v>
      </c>
      <c r="S144" s="141">
        <v>2.6296649661959561</v>
      </c>
      <c r="T144" s="141">
        <v>2.6012257780491876</v>
      </c>
      <c r="U144" s="141">
        <v>2.5784744275317726</v>
      </c>
      <c r="V144" s="141">
        <v>2.5602733471178407</v>
      </c>
      <c r="W144" s="141">
        <v>2.545712482786695</v>
      </c>
      <c r="DA144" s="174" t="s">
        <v>885</v>
      </c>
    </row>
    <row r="145" spans="1:105" ht="11.45" customHeight="1" x14ac:dyDescent="0.25">
      <c r="A145" s="109" t="s">
        <v>20</v>
      </c>
      <c r="B145" s="130">
        <v>7.4066763675881395</v>
      </c>
      <c r="C145" s="130">
        <v>7.4474792789619837</v>
      </c>
      <c r="D145" s="130">
        <v>7.4873701607661953</v>
      </c>
      <c r="E145" s="130">
        <v>7.4455798471019037</v>
      </c>
      <c r="F145" s="130">
        <v>7.2767702587258345</v>
      </c>
      <c r="G145" s="130">
        <v>7.2051308524257056</v>
      </c>
      <c r="H145" s="130">
        <v>7.1020836489300621</v>
      </c>
      <c r="I145" s="130">
        <v>6.9875504609469079</v>
      </c>
      <c r="J145" s="130">
        <v>6.6341690408717708</v>
      </c>
      <c r="K145" s="130">
        <v>6.3412218991287741</v>
      </c>
      <c r="L145" s="130">
        <v>6.1016515662597186</v>
      </c>
      <c r="M145" s="130">
        <v>5.9376613627759758</v>
      </c>
      <c r="N145" s="130">
        <v>5.8679913453333254</v>
      </c>
      <c r="O145" s="130">
        <v>5.6957098179157759</v>
      </c>
      <c r="P145" s="130">
        <v>5.4803566110209463</v>
      </c>
      <c r="Q145" s="130">
        <v>5.3368189161366102</v>
      </c>
      <c r="R145" s="130">
        <v>5.2612575186533528</v>
      </c>
      <c r="S145" s="130">
        <v>5.2921656984798968</v>
      </c>
      <c r="T145" s="130">
        <v>5.3949300890642098</v>
      </c>
      <c r="U145" s="130">
        <v>5.2972655825312609</v>
      </c>
      <c r="V145" s="130">
        <v>5.0500039250970161</v>
      </c>
      <c r="W145" s="130">
        <v>4.7553116118003276</v>
      </c>
      <c r="DA145" s="176" t="s">
        <v>886</v>
      </c>
    </row>
    <row r="146" spans="1:105" ht="11.45" customHeight="1" x14ac:dyDescent="0.25">
      <c r="A146" s="111" t="s">
        <v>110</v>
      </c>
      <c r="B146" s="96">
        <v>7.4911760217516079</v>
      </c>
      <c r="C146" s="96">
        <v>7.450393383192444</v>
      </c>
      <c r="D146" s="96">
        <v>7.405339686728202</v>
      </c>
      <c r="E146" s="96">
        <v>7.3126489396446575</v>
      </c>
      <c r="F146" s="96">
        <v>7.3025221913568252</v>
      </c>
      <c r="G146" s="96">
        <v>7.2041480651321459</v>
      </c>
      <c r="H146" s="96">
        <v>7.058860227451583</v>
      </c>
      <c r="I146" s="96">
        <v>6.9553193929167874</v>
      </c>
      <c r="J146" s="96">
        <v>6.6176233377673697</v>
      </c>
      <c r="K146" s="96">
        <v>6.2533704019039389</v>
      </c>
      <c r="L146" s="96">
        <v>6.025918481050474</v>
      </c>
      <c r="M146" s="96">
        <v>5.9649180053675988</v>
      </c>
      <c r="N146" s="96">
        <v>5.833702554443378</v>
      </c>
      <c r="O146" s="96">
        <v>5.7157642447769943</v>
      </c>
      <c r="P146" s="96">
        <v>5.5043509802003738</v>
      </c>
      <c r="Q146" s="96">
        <v>5.3794676215332968</v>
      </c>
      <c r="R146" s="96">
        <v>5.3330508504264946</v>
      </c>
      <c r="S146" s="96">
        <v>5.230975875570067</v>
      </c>
      <c r="T146" s="96">
        <v>5.3229451198617248</v>
      </c>
      <c r="U146" s="96">
        <v>5.2644962544734142</v>
      </c>
      <c r="V146" s="96">
        <v>5.0176999370306987</v>
      </c>
      <c r="W146" s="96">
        <v>4.7129033077514073</v>
      </c>
      <c r="DA146" s="171" t="s">
        <v>887</v>
      </c>
    </row>
    <row r="147" spans="1:105" ht="11.45" customHeight="1" x14ac:dyDescent="0.25">
      <c r="A147" s="111" t="s">
        <v>111</v>
      </c>
      <c r="B147" s="96">
        <v>6.8361913787439059</v>
      </c>
      <c r="C147" s="96">
        <v>6.8327950642631974</v>
      </c>
      <c r="D147" s="96">
        <v>6.829023360444797</v>
      </c>
      <c r="E147" s="96">
        <v>6.8445816386956935</v>
      </c>
      <c r="F147" s="96">
        <v>6.7994390586192255</v>
      </c>
      <c r="G147" s="96">
        <v>6.8197119666431245</v>
      </c>
      <c r="H147" s="96">
        <v>6.8634401577876911</v>
      </c>
      <c r="I147" s="96">
        <v>6.8002641188295057</v>
      </c>
      <c r="J147" s="96">
        <v>6.4934595863515927</v>
      </c>
      <c r="K147" s="96">
        <v>6.2382802498880183</v>
      </c>
      <c r="L147" s="96">
        <v>5.9986591916753422</v>
      </c>
      <c r="M147" s="96">
        <v>5.9024913354687696</v>
      </c>
      <c r="N147" s="96">
        <v>5.7512772366773053</v>
      </c>
      <c r="O147" s="96">
        <v>5.6392268884388956</v>
      </c>
      <c r="P147" s="96">
        <v>5.4259212401866863</v>
      </c>
      <c r="Q147" s="96">
        <v>5.2293220625269559</v>
      </c>
      <c r="R147" s="96">
        <v>5.1308157819418918</v>
      </c>
      <c r="S147" s="96">
        <v>5.3257150228578567</v>
      </c>
      <c r="T147" s="96">
        <v>5.4212238872081127</v>
      </c>
      <c r="U147" s="96">
        <v>5.2922995931812418</v>
      </c>
      <c r="V147" s="96">
        <v>5.1643714202516922</v>
      </c>
      <c r="W147" s="96">
        <v>4.8465118641862857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7.5859624997623341</v>
      </c>
      <c r="D148" s="96">
        <v>7.5817750474156016</v>
      </c>
      <c r="E148" s="96">
        <v>7.5990482883458679</v>
      </c>
      <c r="F148" s="96">
        <v>7.5489297180709203</v>
      </c>
      <c r="G148" s="96">
        <v>7.5714372744346035</v>
      </c>
      <c r="H148" s="96">
        <v>7.6199855500795266</v>
      </c>
      <c r="I148" s="96">
        <v>7.5498457232717682</v>
      </c>
      <c r="J148" s="96">
        <v>7.2092226464422948</v>
      </c>
      <c r="K148" s="96">
        <v>6.9259153236087165</v>
      </c>
      <c r="L148" s="96">
        <v>6.659881241705448</v>
      </c>
      <c r="M148" s="96">
        <v>6.5938872188203632</v>
      </c>
      <c r="N148" s="96">
        <v>6.616240145803876</v>
      </c>
      <c r="O148" s="96">
        <v>5.7874853655494762</v>
      </c>
      <c r="P148" s="96">
        <v>5.5805630248571285</v>
      </c>
      <c r="Q148" s="96">
        <v>5.4565350871139238</v>
      </c>
      <c r="R148" s="96">
        <v>5.467286906072216</v>
      </c>
      <c r="S148" s="96">
        <v>5.6153070569843599</v>
      </c>
      <c r="T148" s="96">
        <v>5.5860261581483774</v>
      </c>
      <c r="U148" s="96">
        <v>5.7559021734865636</v>
      </c>
      <c r="V148" s="96">
        <v>4.6884817435566779</v>
      </c>
      <c r="W148" s="96">
        <v>4.9828062619017359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5.3622954946422476</v>
      </c>
      <c r="R149" s="96">
        <v>5.5028663828276461</v>
      </c>
      <c r="S149" s="96">
        <v>5.28955739497425</v>
      </c>
      <c r="T149" s="96">
        <v>6.1733787898372388</v>
      </c>
      <c r="U149" s="96">
        <v>5.9526608911806251</v>
      </c>
      <c r="V149" s="96">
        <v>6.0146900560545902</v>
      </c>
      <c r="W149" s="96">
        <v>5.5773284239219185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2.4700479675985068</v>
      </c>
      <c r="O150" s="96">
        <v>3.5557784176570397</v>
      </c>
      <c r="P150" s="96">
        <v>5.2342201577937599</v>
      </c>
      <c r="Q150" s="96">
        <v>3.0337068121370954</v>
      </c>
      <c r="R150" s="96">
        <v>2.6263639189886034</v>
      </c>
      <c r="S150" s="96">
        <v>3.0463501411960818</v>
      </c>
      <c r="T150" s="96">
        <v>3.4174436626117748</v>
      </c>
      <c r="U150" s="96">
        <v>3.0048092810732325</v>
      </c>
      <c r="V150" s="96">
        <v>3.3507861144349609</v>
      </c>
      <c r="W150" s="96">
        <v>4.801286740531709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1.3047135028115466</v>
      </c>
      <c r="M151" s="96">
        <v>1.3047135028115466</v>
      </c>
      <c r="N151" s="96">
        <v>1.2037833190025795</v>
      </c>
      <c r="O151" s="96">
        <v>1.2066494697621091</v>
      </c>
      <c r="P151" s="96">
        <v>1.1412491206128348</v>
      </c>
      <c r="Q151" s="96">
        <v>1.1092003439380911</v>
      </c>
      <c r="R151" s="96">
        <v>1.0891372886213817</v>
      </c>
      <c r="S151" s="96">
        <v>1.6484461368382262</v>
      </c>
      <c r="T151" s="96">
        <v>1.4681681067899579</v>
      </c>
      <c r="U151" s="96">
        <v>1.4754270211042708</v>
      </c>
      <c r="V151" s="96">
        <v>1.6031582014519596</v>
      </c>
      <c r="W151" s="96">
        <v>1.5030250010130526</v>
      </c>
      <c r="DA151" s="171" t="s">
        <v>892</v>
      </c>
    </row>
    <row r="152" spans="1:105" ht="11.45" customHeight="1" x14ac:dyDescent="0.25">
      <c r="A152" s="109" t="s">
        <v>21</v>
      </c>
      <c r="B152" s="130">
        <v>46.984708798975369</v>
      </c>
      <c r="C152" s="130">
        <v>46.802842298780917</v>
      </c>
      <c r="D152" s="130">
        <v>46.819299131232633</v>
      </c>
      <c r="E152" s="130">
        <v>46.686212374273232</v>
      </c>
      <c r="F152" s="130">
        <v>45.076153819356598</v>
      </c>
      <c r="G152" s="130">
        <v>44.410592973543451</v>
      </c>
      <c r="H152" s="130">
        <v>46.232423675927535</v>
      </c>
      <c r="I152" s="130">
        <v>46.097058032291173</v>
      </c>
      <c r="J152" s="130">
        <v>45.523895260792784</v>
      </c>
      <c r="K152" s="130">
        <v>44.876567727846172</v>
      </c>
      <c r="L152" s="130">
        <v>44.369159201638318</v>
      </c>
      <c r="M152" s="130">
        <v>44.316624831778299</v>
      </c>
      <c r="N152" s="130">
        <v>44.089763388022305</v>
      </c>
      <c r="O152" s="130">
        <v>43.670803611107715</v>
      </c>
      <c r="P152" s="130">
        <v>43.319637155004571</v>
      </c>
      <c r="Q152" s="130">
        <v>42.735348210530454</v>
      </c>
      <c r="R152" s="130">
        <v>42.756281661931645</v>
      </c>
      <c r="S152" s="130">
        <v>42.194184794863993</v>
      </c>
      <c r="T152" s="130">
        <v>42.046399505961894</v>
      </c>
      <c r="U152" s="130">
        <v>41.50320731466266</v>
      </c>
      <c r="V152" s="130">
        <v>40.614924338263627</v>
      </c>
      <c r="W152" s="130">
        <v>40.435336494245746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46.984708798975369</v>
      </c>
      <c r="C154" s="97">
        <v>46.920484785453411</v>
      </c>
      <c r="D154" s="97">
        <v>46.84922772720568</v>
      </c>
      <c r="E154" s="97">
        <v>46.701238512790866</v>
      </c>
      <c r="F154" s="97">
        <v>46.685053427265842</v>
      </c>
      <c r="G154" s="97">
        <v>46.526222139785474</v>
      </c>
      <c r="H154" s="97">
        <v>46.288043118017633</v>
      </c>
      <c r="I154" s="97">
        <v>46.116414334485142</v>
      </c>
      <c r="J154" s="97">
        <v>45.535497400394135</v>
      </c>
      <c r="K154" s="97">
        <v>44.881915080598098</v>
      </c>
      <c r="L154" s="97">
        <v>44.46237598455928</v>
      </c>
      <c r="M154" s="97">
        <v>44.35622516267491</v>
      </c>
      <c r="N154" s="97">
        <v>44.106619850550224</v>
      </c>
      <c r="O154" s="97">
        <v>43.876030849605989</v>
      </c>
      <c r="P154" s="97">
        <v>43.45150565616489</v>
      </c>
      <c r="Q154" s="97">
        <v>43.199999999908329</v>
      </c>
      <c r="R154" s="97">
        <v>42.974889827191049</v>
      </c>
      <c r="S154" s="97">
        <v>42.773293780792528</v>
      </c>
      <c r="T154" s="97">
        <v>42.59266603142337</v>
      </c>
      <c r="U154" s="97">
        <v>42.430753321218823</v>
      </c>
      <c r="V154" s="97">
        <v>42.285558200079215</v>
      </c>
      <c r="W154" s="97">
        <v>42.155307444358094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38.917698760659057</v>
      </c>
      <c r="F155" s="97">
        <v>38.904211189388199</v>
      </c>
      <c r="G155" s="97">
        <v>38.771851783154567</v>
      </c>
      <c r="H155" s="97">
        <v>38.573369265014698</v>
      </c>
      <c r="I155" s="97">
        <v>38.430345278737619</v>
      </c>
      <c r="J155" s="97">
        <v>37.946247833661779</v>
      </c>
      <c r="K155" s="97">
        <v>0</v>
      </c>
      <c r="L155" s="97">
        <v>37.051979987132732</v>
      </c>
      <c r="M155" s="97">
        <v>36.963520968895757</v>
      </c>
      <c r="N155" s="97">
        <v>36.755516542125186</v>
      </c>
      <c r="O155" s="97">
        <v>36.563359041338323</v>
      </c>
      <c r="P155" s="97">
        <v>36.209588046804079</v>
      </c>
      <c r="Q155" s="97">
        <v>35.99999999992361</v>
      </c>
      <c r="R155" s="97">
        <v>35.812408189325879</v>
      </c>
      <c r="S155" s="97">
        <v>35.644411483993778</v>
      </c>
      <c r="T155" s="97">
        <v>35.493888359519481</v>
      </c>
      <c r="U155" s="97">
        <v>35.358961101015694</v>
      </c>
      <c r="V155" s="97">
        <v>35.237965166732693</v>
      </c>
      <c r="W155" s="97">
        <v>35.129422870298427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35.99999999992361</v>
      </c>
      <c r="R156" s="97">
        <v>34.502276362669676</v>
      </c>
      <c r="S156" s="97">
        <v>33.207675263096768</v>
      </c>
      <c r="T156" s="97">
        <v>32.084119478425166</v>
      </c>
      <c r="U156" s="97">
        <v>31.105458786351303</v>
      </c>
      <c r="V156" s="97">
        <v>30.250213838474313</v>
      </c>
      <c r="W156" s="97">
        <v>29.500617251950345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25.850096251428077</v>
      </c>
      <c r="D157" s="97">
        <v>25.824389056144817</v>
      </c>
      <c r="E157" s="97">
        <v>0</v>
      </c>
      <c r="F157" s="97">
        <v>0</v>
      </c>
      <c r="G157" s="97">
        <v>25.05737887678826</v>
      </c>
      <c r="H157" s="97">
        <v>24.806805088020376</v>
      </c>
      <c r="I157" s="97">
        <v>24.558737037140173</v>
      </c>
      <c r="J157" s="97">
        <v>0</v>
      </c>
      <c r="K157" s="97">
        <v>24.070018170101083</v>
      </c>
      <c r="L157" s="97">
        <v>23.829317988400071</v>
      </c>
      <c r="M157" s="97">
        <v>23.591024808516071</v>
      </c>
      <c r="N157" s="97">
        <v>0</v>
      </c>
      <c r="O157" s="97">
        <v>23.1215634148266</v>
      </c>
      <c r="P157" s="97">
        <v>22.890347780678333</v>
      </c>
      <c r="Q157" s="97">
        <v>22.661444302871548</v>
      </c>
      <c r="R157" s="97">
        <v>22.457388951757206</v>
      </c>
      <c r="S157" s="97">
        <v>22.275310602384771</v>
      </c>
      <c r="T157" s="97">
        <v>22.112702616149083</v>
      </c>
      <c r="U157" s="97">
        <v>21.967370582621253</v>
      </c>
      <c r="V157" s="97">
        <v>21.837388602414222</v>
      </c>
      <c r="W157" s="97">
        <v>21.721062538830445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8.2421366448684008</v>
      </c>
      <c r="C159" s="141">
        <v>8.0234528211128193</v>
      </c>
      <c r="D159" s="141">
        <v>8.0652709155930058</v>
      </c>
      <c r="E159" s="141">
        <v>7.8006925174385415</v>
      </c>
      <c r="F159" s="141">
        <v>8.0135031461536261</v>
      </c>
      <c r="G159" s="141">
        <v>8.3614560021512236</v>
      </c>
      <c r="H159" s="141">
        <v>8.0568911114012014</v>
      </c>
      <c r="I159" s="141">
        <v>8.041455092898417</v>
      </c>
      <c r="J159" s="141">
        <v>7.9547102690755445</v>
      </c>
      <c r="K159" s="141">
        <v>7.9234903738297655</v>
      </c>
      <c r="L159" s="141">
        <v>7.9266917507488248</v>
      </c>
      <c r="M159" s="141">
        <v>8.1416203312648232</v>
      </c>
      <c r="N159" s="141">
        <v>7.7236130113449972</v>
      </c>
      <c r="O159" s="141">
        <v>7.4802271162207568</v>
      </c>
      <c r="P159" s="141">
        <v>6.8490838296066912</v>
      </c>
      <c r="Q159" s="141">
        <v>7.0287615965880645</v>
      </c>
      <c r="R159" s="141">
        <v>6.9558983938274679</v>
      </c>
      <c r="S159" s="141">
        <v>6.6074123288679552</v>
      </c>
      <c r="T159" s="141">
        <v>6.5777895777872173</v>
      </c>
      <c r="U159" s="141">
        <v>6.5727480431425249</v>
      </c>
      <c r="V159" s="141">
        <v>6.8967581739742645</v>
      </c>
      <c r="W159" s="141">
        <v>6.7339832591072319</v>
      </c>
      <c r="DA159" s="174" t="s">
        <v>899</v>
      </c>
    </row>
    <row r="160" spans="1:105" ht="11.45" customHeight="1" x14ac:dyDescent="0.25">
      <c r="A160" s="111" t="s">
        <v>110</v>
      </c>
      <c r="B160" s="96">
        <v>6.9491060900041024</v>
      </c>
      <c r="C160" s="96">
        <v>6.9112745290909672</v>
      </c>
      <c r="D160" s="96">
        <v>6.8694809688318328</v>
      </c>
      <c r="E160" s="96">
        <v>6.7834974285739307</v>
      </c>
      <c r="F160" s="96">
        <v>6.7741034631945851</v>
      </c>
      <c r="G160" s="96">
        <v>6.6828477995094975</v>
      </c>
      <c r="H160" s="96">
        <v>6.5480731533527461</v>
      </c>
      <c r="I160" s="96">
        <v>6.4520246501884024</v>
      </c>
      <c r="J160" s="96">
        <v>6.138764661824057</v>
      </c>
      <c r="K160" s="96">
        <v>5.8008694785363231</v>
      </c>
      <c r="L160" s="96">
        <v>5.5898886846593587</v>
      </c>
      <c r="M160" s="96">
        <v>5.5368864246606702</v>
      </c>
      <c r="N160" s="96">
        <v>5.4143248456840389</v>
      </c>
      <c r="O160" s="96">
        <v>5.3943464197256255</v>
      </c>
      <c r="P160" s="96">
        <v>5.5049344066290367</v>
      </c>
      <c r="Q160" s="96">
        <v>5.3253406825136036</v>
      </c>
      <c r="R160" s="96">
        <v>6.3548110649580165</v>
      </c>
      <c r="S160" s="96">
        <v>5.1972537271105699</v>
      </c>
      <c r="T160" s="96">
        <v>5.3951207242576222</v>
      </c>
      <c r="U160" s="96">
        <v>5.9563284004645949</v>
      </c>
      <c r="V160" s="96">
        <v>5.3324401759173092</v>
      </c>
      <c r="W160" s="96">
        <v>5.0294310764004404</v>
      </c>
      <c r="DA160" s="171" t="s">
        <v>900</v>
      </c>
    </row>
    <row r="161" spans="1:105" ht="11.45" customHeight="1" x14ac:dyDescent="0.25">
      <c r="A161" s="111" t="s">
        <v>111</v>
      </c>
      <c r="B161" s="96">
        <v>8.5775063564647791</v>
      </c>
      <c r="C161" s="96">
        <v>8.5732449326056663</v>
      </c>
      <c r="D161" s="96">
        <v>8.5685125002197609</v>
      </c>
      <c r="E161" s="96">
        <v>8.588033783811623</v>
      </c>
      <c r="F161" s="96">
        <v>8.5313924836928035</v>
      </c>
      <c r="G161" s="96">
        <v>8.5568293077670514</v>
      </c>
      <c r="H161" s="96">
        <v>8.6116959457411557</v>
      </c>
      <c r="I161" s="96">
        <v>8.5324277032772251</v>
      </c>
      <c r="J161" s="96">
        <v>8.1474739063861499</v>
      </c>
      <c r="K161" s="96">
        <v>7.8272952777771678</v>
      </c>
      <c r="L161" s="96">
        <v>7.5266379327600506</v>
      </c>
      <c r="M161" s="96">
        <v>7.4059741958634628</v>
      </c>
      <c r="N161" s="96">
        <v>7.2162428349767298</v>
      </c>
      <c r="O161" s="96">
        <v>7.1196338132297372</v>
      </c>
      <c r="P161" s="96">
        <v>6.7014286247424852</v>
      </c>
      <c r="Q161" s="96">
        <v>7.0815044625527515</v>
      </c>
      <c r="R161" s="96">
        <v>6.8830726272026475</v>
      </c>
      <c r="S161" s="96">
        <v>6.5392893253644413</v>
      </c>
      <c r="T161" s="96">
        <v>6.8977780763763521</v>
      </c>
      <c r="U161" s="96">
        <v>6.7095897354554932</v>
      </c>
      <c r="V161" s="96">
        <v>7.6434337107717401</v>
      </c>
      <c r="W161" s="96">
        <v>6.6915324665100941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7.1112119480643887</v>
      </c>
      <c r="D162" s="96">
        <v>7.1072865580877096</v>
      </c>
      <c r="E162" s="96">
        <v>7.123478791741511</v>
      </c>
      <c r="F162" s="96">
        <v>7.0764967804581298</v>
      </c>
      <c r="G162" s="96">
        <v>7.0975957515827837</v>
      </c>
      <c r="H162" s="96">
        <v>7.1431057416249075</v>
      </c>
      <c r="I162" s="96">
        <v>7.0773554595155348</v>
      </c>
      <c r="J162" s="96">
        <v>6.7580495186000507</v>
      </c>
      <c r="K162" s="96">
        <v>6.4924723529903581</v>
      </c>
      <c r="L162" s="96">
        <v>6.2430874210344669</v>
      </c>
      <c r="M162" s="96">
        <v>6.181223486951489</v>
      </c>
      <c r="N162" s="96">
        <v>6.2021775058310542</v>
      </c>
      <c r="O162" s="96">
        <v>5.924417935292233</v>
      </c>
      <c r="P162" s="96">
        <v>5.6742484001306313</v>
      </c>
      <c r="Q162" s="96">
        <v>6.614923695219173</v>
      </c>
      <c r="R162" s="96">
        <v>5.6813222369094118</v>
      </c>
      <c r="S162" s="96">
        <v>5.5284070722182017</v>
      </c>
      <c r="T162" s="96">
        <v>5.5213935581608844</v>
      </c>
      <c r="U162" s="96">
        <v>5.539591005332368</v>
      </c>
      <c r="V162" s="96">
        <v>5.8864522365302001</v>
      </c>
      <c r="W162" s="96">
        <v>5.6059184875924126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7.840093232055783</v>
      </c>
      <c r="R163" s="96">
        <v>8.2776953681440943</v>
      </c>
      <c r="S163" s="96">
        <v>7.205403111011627</v>
      </c>
      <c r="T163" s="96">
        <v>8.6541668241529059</v>
      </c>
      <c r="U163" s="96">
        <v>5.9179286330163867</v>
      </c>
      <c r="V163" s="96">
        <v>7.622467586594456</v>
      </c>
      <c r="W163" s="96">
        <v>8.2808425836092603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1.3327601031814273</v>
      </c>
      <c r="O164" s="96">
        <v>1.3327601031814273</v>
      </c>
      <c r="P164" s="96">
        <v>1.3315309513313551</v>
      </c>
      <c r="Q164" s="96">
        <v>1.4050392746402443</v>
      </c>
      <c r="R164" s="96">
        <v>1.418744625967326</v>
      </c>
      <c r="S164" s="96">
        <v>1.3069647463456577</v>
      </c>
      <c r="T164" s="96">
        <v>1.5107480653482372</v>
      </c>
      <c r="U164" s="96">
        <v>1.7973730245797137</v>
      </c>
      <c r="V164" s="96">
        <v>1.9796174393527197</v>
      </c>
      <c r="W164" s="96">
        <v>2.3538263112639726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29.977285837669204</v>
      </c>
      <c r="D165" s="130">
        <v>29.670002005137533</v>
      </c>
      <c r="E165" s="130">
        <v>29.637644285479588</v>
      </c>
      <c r="F165" s="130">
        <v>29.795815501227658</v>
      </c>
      <c r="G165" s="130">
        <v>29.053279560652523</v>
      </c>
      <c r="H165" s="130">
        <v>28.966480118800053</v>
      </c>
      <c r="I165" s="130">
        <v>28.127596085312359</v>
      </c>
      <c r="J165" s="130">
        <v>27.8015565694648</v>
      </c>
      <c r="K165" s="130">
        <v>27.334103396337557</v>
      </c>
      <c r="L165" s="130">
        <v>27.109905454837534</v>
      </c>
      <c r="M165" s="130">
        <v>26.415921688923561</v>
      </c>
      <c r="N165" s="130">
        <v>25.977479732678091</v>
      </c>
      <c r="O165" s="130">
        <v>25.315403001831989</v>
      </c>
      <c r="P165" s="130">
        <v>24.625583714154249</v>
      </c>
      <c r="Q165" s="130">
        <v>23.997529334962572</v>
      </c>
      <c r="R165" s="130">
        <v>23.374229533561614</v>
      </c>
      <c r="S165" s="130">
        <v>22.902244257145245</v>
      </c>
      <c r="T165" s="130">
        <v>21.953905839636537</v>
      </c>
      <c r="U165" s="130">
        <v>21.655165409470314</v>
      </c>
      <c r="V165" s="130">
        <v>21.275788035072804</v>
      </c>
      <c r="W165" s="130">
        <v>21.202501664806029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29.761237113342801</v>
      </c>
      <c r="D166" s="97">
        <v>29.588922602924782</v>
      </c>
      <c r="E166" s="97">
        <v>29.374358963563107</v>
      </c>
      <c r="F166" s="97">
        <v>29.118091405506654</v>
      </c>
      <c r="G166" s="97">
        <v>28.82076651317303</v>
      </c>
      <c r="H166" s="97">
        <v>28.483128213066234</v>
      </c>
      <c r="I166" s="97">
        <v>28.106013191519821</v>
      </c>
      <c r="J166" s="97">
        <v>27.690345813999645</v>
      </c>
      <c r="K166" s="97">
        <v>27.237132601727268</v>
      </c>
      <c r="L166" s="97">
        <v>26.747456326460068</v>
      </c>
      <c r="M166" s="97">
        <v>26.222469785211288</v>
      </c>
      <c r="N166" s="97">
        <v>25.663389319086974</v>
      </c>
      <c r="O166" s="97">
        <v>25.071488141167379</v>
      </c>
      <c r="P166" s="97">
        <v>24.448089536833479</v>
      </c>
      <c r="Q166" s="97">
        <v>23.794559999949502</v>
      </c>
      <c r="R166" s="97">
        <v>23.038644533701877</v>
      </c>
      <c r="S166" s="97">
        <v>22.509503707328541</v>
      </c>
      <c r="T166" s="97">
        <v>21.953905839636537</v>
      </c>
      <c r="U166" s="97">
        <v>21.274841779124085</v>
      </c>
      <c r="V166" s="97">
        <v>21.155260582051099</v>
      </c>
      <c r="W166" s="97">
        <v>20.943707976230588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122.87696391630357</v>
      </c>
      <c r="C171" s="152">
        <v>122.62208567793837</v>
      </c>
      <c r="D171" s="152">
        <v>121.04344619075162</v>
      </c>
      <c r="E171" s="152">
        <v>120.96455494009805</v>
      </c>
      <c r="F171" s="152">
        <v>120.87437681685445</v>
      </c>
      <c r="G171" s="152">
        <v>116.09324729155585</v>
      </c>
      <c r="H171" s="152">
        <v>114.33503991337118</v>
      </c>
      <c r="I171" s="152">
        <v>111.93978213545415</v>
      </c>
      <c r="J171" s="152">
        <v>108.20526675271434</v>
      </c>
      <c r="K171" s="152">
        <v>105.06412889894506</v>
      </c>
      <c r="L171" s="152">
        <v>102.87138042610779</v>
      </c>
      <c r="M171" s="152">
        <v>100.42566551560157</v>
      </c>
      <c r="N171" s="152">
        <v>98.676661580337694</v>
      </c>
      <c r="O171" s="152">
        <v>97.448017443580554</v>
      </c>
      <c r="P171" s="152">
        <v>95.758657958158068</v>
      </c>
      <c r="Q171" s="152">
        <v>93.715405412702111</v>
      </c>
      <c r="R171" s="152">
        <v>92.425562144973625</v>
      </c>
      <c r="S171" s="152">
        <v>90.677996298505633</v>
      </c>
      <c r="T171" s="152">
        <v>89.628342993826493</v>
      </c>
      <c r="U171" s="152">
        <v>88.539069103671991</v>
      </c>
      <c r="V171" s="152">
        <v>87.515961441404428</v>
      </c>
      <c r="W171" s="152">
        <v>82.068631577886038</v>
      </c>
      <c r="DA171" s="174" t="s">
        <v>908</v>
      </c>
    </row>
    <row r="172" spans="1:105" ht="11.45" customHeight="1" x14ac:dyDescent="0.25">
      <c r="A172" s="109" t="s">
        <v>20</v>
      </c>
      <c r="B172" s="116">
        <v>235.26136864912408</v>
      </c>
      <c r="C172" s="116">
        <v>230.68143936921723</v>
      </c>
      <c r="D172" s="116">
        <v>222.2175520595593</v>
      </c>
      <c r="E172" s="116">
        <v>219.92371335844516</v>
      </c>
      <c r="F172" s="116">
        <v>226.33787383432713</v>
      </c>
      <c r="G172" s="116">
        <v>225.75808610447908</v>
      </c>
      <c r="H172" s="116">
        <v>226.93221492239775</v>
      </c>
      <c r="I172" s="116">
        <v>226.51946861183256</v>
      </c>
      <c r="J172" s="116">
        <v>225.80720550223165</v>
      </c>
      <c r="K172" s="116">
        <v>222.17903452320951</v>
      </c>
      <c r="L172" s="116">
        <v>220.67135002174831</v>
      </c>
      <c r="M172" s="116">
        <v>222.09882903786007</v>
      </c>
      <c r="N172" s="116">
        <v>215.41033965242181</v>
      </c>
      <c r="O172" s="116">
        <v>212.71838327615131</v>
      </c>
      <c r="P172" s="116">
        <v>210.46744984616728</v>
      </c>
      <c r="Q172" s="116">
        <v>205.95450530964592</v>
      </c>
      <c r="R172" s="116">
        <v>204.1181313461602</v>
      </c>
      <c r="S172" s="116">
        <v>201.79820838821718</v>
      </c>
      <c r="T172" s="116">
        <v>196.12188180983503</v>
      </c>
      <c r="U172" s="116">
        <v>196.4735225223763</v>
      </c>
      <c r="V172" s="116">
        <v>194.87105923844564</v>
      </c>
      <c r="W172" s="116">
        <v>189.58093715000035</v>
      </c>
      <c r="DA172" s="176" t="s">
        <v>909</v>
      </c>
    </row>
    <row r="173" spans="1:105" ht="11.45" customHeight="1" x14ac:dyDescent="0.25">
      <c r="A173" s="111" t="s">
        <v>110</v>
      </c>
      <c r="B173" s="87">
        <v>243.80395002080127</v>
      </c>
      <c r="C173" s="87">
        <v>239.47289323504614</v>
      </c>
      <c r="D173" s="87">
        <v>238.2317107154357</v>
      </c>
      <c r="E173" s="87">
        <v>237.26338276622027</v>
      </c>
      <c r="F173" s="87">
        <v>234.88840141416986</v>
      </c>
      <c r="G173" s="87">
        <v>232.9949969097552</v>
      </c>
      <c r="H173" s="87">
        <v>231.36107677847335</v>
      </c>
      <c r="I173" s="87">
        <v>229.36126396718296</v>
      </c>
      <c r="J173" s="87">
        <v>227.03341119076427</v>
      </c>
      <c r="K173" s="87">
        <v>224.40214451649322</v>
      </c>
      <c r="L173" s="87">
        <v>222.12098416255679</v>
      </c>
      <c r="M173" s="87">
        <v>219.43988507537793</v>
      </c>
      <c r="N173" s="87">
        <v>215.56101151532437</v>
      </c>
      <c r="O173" s="87">
        <v>211.87440454460628</v>
      </c>
      <c r="P173" s="87">
        <v>207.91400415894347</v>
      </c>
      <c r="Q173" s="87">
        <v>202.97702963726164</v>
      </c>
      <c r="R173" s="87">
        <v>200.00223488661152</v>
      </c>
      <c r="S173" s="87">
        <v>196.87541744910379</v>
      </c>
      <c r="T173" s="87">
        <v>192.85952644638729</v>
      </c>
      <c r="U173" s="87">
        <v>189.59453868467634</v>
      </c>
      <c r="V173" s="87">
        <v>186.83808940738473</v>
      </c>
      <c r="W173" s="87">
        <v>181.79587604435264</v>
      </c>
      <c r="DA173" s="171" t="s">
        <v>910</v>
      </c>
    </row>
    <row r="174" spans="1:105" ht="11.45" customHeight="1" x14ac:dyDescent="0.25">
      <c r="A174" s="111" t="s">
        <v>111</v>
      </c>
      <c r="B174" s="87">
        <v>239.08091092901094</v>
      </c>
      <c r="C174" s="87">
        <v>234.19584904254731</v>
      </c>
      <c r="D174" s="87">
        <v>233.38536511104004</v>
      </c>
      <c r="E174" s="87">
        <v>231.62476539875436</v>
      </c>
      <c r="F174" s="87">
        <v>228.11537825721709</v>
      </c>
      <c r="G174" s="87">
        <v>219.70974312112222</v>
      </c>
      <c r="H174" s="87">
        <v>217.18686235431326</v>
      </c>
      <c r="I174" s="87">
        <v>215.19106898833806</v>
      </c>
      <c r="J174" s="87">
        <v>213.4218125145932</v>
      </c>
      <c r="K174" s="87">
        <v>211.95229787426757</v>
      </c>
      <c r="L174" s="87">
        <v>210.99956817307697</v>
      </c>
      <c r="M174" s="87">
        <v>210.19985190652031</v>
      </c>
      <c r="N174" s="87">
        <v>209.53601860693271</v>
      </c>
      <c r="O174" s="87">
        <v>208.1235506312961</v>
      </c>
      <c r="P174" s="87">
        <v>206.16109650757755</v>
      </c>
      <c r="Q174" s="87">
        <v>203.45432744738332</v>
      </c>
      <c r="R174" s="87">
        <v>200.65133027080125</v>
      </c>
      <c r="S174" s="87">
        <v>198.20697952189022</v>
      </c>
      <c r="T174" s="87">
        <v>195.83140527842195</v>
      </c>
      <c r="U174" s="87">
        <v>192.86554684492972</v>
      </c>
      <c r="V174" s="87">
        <v>189.73093407502657</v>
      </c>
      <c r="W174" s="87">
        <v>186.16307748412868</v>
      </c>
      <c r="DA174" s="171" t="s">
        <v>911</v>
      </c>
    </row>
    <row r="175" spans="1:105" ht="11.45" customHeight="1" x14ac:dyDescent="0.25">
      <c r="A175" s="111" t="s">
        <v>112</v>
      </c>
      <c r="B175" s="87">
        <v>219.87282047997752</v>
      </c>
      <c r="C175" s="87">
        <v>200.08708118318867</v>
      </c>
      <c r="D175" s="87">
        <v>193.31136636074427</v>
      </c>
      <c r="E175" s="87">
        <v>191.21244069955341</v>
      </c>
      <c r="F175" s="87">
        <v>190.94333083662698</v>
      </c>
      <c r="G175" s="87">
        <v>191.36409815524212</v>
      </c>
      <c r="H175" s="87">
        <v>192.11025401042698</v>
      </c>
      <c r="I175" s="87">
        <v>192.74851823023658</v>
      </c>
      <c r="J175" s="87">
        <v>193.27624339807048</v>
      </c>
      <c r="K175" s="87">
        <v>193.59045298807635</v>
      </c>
      <c r="L175" s="87">
        <v>193.98593497791461</v>
      </c>
      <c r="M175" s="87">
        <v>193.31685120178798</v>
      </c>
      <c r="N175" s="87">
        <v>193.16248285506634</v>
      </c>
      <c r="O175" s="87">
        <v>192.92378205404634</v>
      </c>
      <c r="P175" s="87">
        <v>192.43440613687793</v>
      </c>
      <c r="Q175" s="87">
        <v>191.53792687931585</v>
      </c>
      <c r="R175" s="87">
        <v>188.51878806480212</v>
      </c>
      <c r="S175" s="87">
        <v>187.53044085503203</v>
      </c>
      <c r="T175" s="87">
        <v>183.33688569536199</v>
      </c>
      <c r="U175" s="87">
        <v>181.93015060497854</v>
      </c>
      <c r="V175" s="87">
        <v>180.69587979571486</v>
      </c>
      <c r="W175" s="87">
        <v>179.39709662633936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125.94931773879141</v>
      </c>
      <c r="R176" s="87">
        <v>126.99810716635726</v>
      </c>
      <c r="S176" s="87">
        <v>126.89471316476913</v>
      </c>
      <c r="T176" s="87">
        <v>127.7008337932435</v>
      </c>
      <c r="U176" s="87">
        <v>128.2005363995371</v>
      </c>
      <c r="V176" s="87">
        <v>128.56329754240426</v>
      </c>
      <c r="W176" s="87">
        <v>128.67785515856684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46.059052216094486</v>
      </c>
      <c r="O177" s="87">
        <v>59.072902728728828</v>
      </c>
      <c r="P177" s="87">
        <v>122.88470050723787</v>
      </c>
      <c r="Q177" s="87">
        <v>60.947816047791584</v>
      </c>
      <c r="R177" s="87">
        <v>54.892794173367484</v>
      </c>
      <c r="S177" s="87">
        <v>46.882713234963624</v>
      </c>
      <c r="T177" s="87">
        <v>51.736397996648833</v>
      </c>
      <c r="U177" s="87">
        <v>52.35612704825008</v>
      </c>
      <c r="V177" s="87">
        <v>52.665424255273571</v>
      </c>
      <c r="W177" s="87">
        <v>79.665638694463567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1719.820664146768</v>
      </c>
      <c r="C179" s="116">
        <v>1656.9534360731363</v>
      </c>
      <c r="D179" s="116">
        <v>1639.0138915780467</v>
      </c>
      <c r="E179" s="116">
        <v>1623.9375378671846</v>
      </c>
      <c r="F179" s="116">
        <v>1544.8391906665904</v>
      </c>
      <c r="G179" s="116">
        <v>1463.8623588629873</v>
      </c>
      <c r="H179" s="116">
        <v>1513.7466387070187</v>
      </c>
      <c r="I179" s="116">
        <v>1488.6996997151225</v>
      </c>
      <c r="J179" s="116">
        <v>1455.2171992933249</v>
      </c>
      <c r="K179" s="116">
        <v>1437.8480764209837</v>
      </c>
      <c r="L179" s="116">
        <v>1417.9533214474516</v>
      </c>
      <c r="M179" s="116">
        <v>1407.6250085513302</v>
      </c>
      <c r="N179" s="116">
        <v>1398.8277223638579</v>
      </c>
      <c r="O179" s="116">
        <v>1383.045916759103</v>
      </c>
      <c r="P179" s="116">
        <v>1376.1196056808578</v>
      </c>
      <c r="Q179" s="116">
        <v>1347.6144669283517</v>
      </c>
      <c r="R179" s="116">
        <v>1349.6882166168741</v>
      </c>
      <c r="S179" s="116">
        <v>1329.475155561481</v>
      </c>
      <c r="T179" s="116">
        <v>1329.0588942251495</v>
      </c>
      <c r="U179" s="116">
        <v>1314.1858760780133</v>
      </c>
      <c r="V179" s="116">
        <v>1280.5627556443612</v>
      </c>
      <c r="W179" s="116">
        <v>1268.6144050357668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1735.5983353241957</v>
      </c>
      <c r="C181" s="101">
        <v>1644.8282641256658</v>
      </c>
      <c r="D181" s="101">
        <v>1615.0028749049504</v>
      </c>
      <c r="E181" s="101">
        <v>1593.2253641305781</v>
      </c>
      <c r="F181" s="101">
        <v>1562.9223822104445</v>
      </c>
      <c r="G181" s="101">
        <v>1533.6173714880542</v>
      </c>
      <c r="H181" s="101">
        <v>1502.7947121552684</v>
      </c>
      <c r="I181" s="101">
        <v>1480.7041522070244</v>
      </c>
      <c r="J181" s="101">
        <v>1455.8002339606651</v>
      </c>
      <c r="K181" s="101">
        <v>1442.0455495226804</v>
      </c>
      <c r="L181" s="101">
        <v>1429.0397357994914</v>
      </c>
      <c r="M181" s="101">
        <v>1418.1485065333156</v>
      </c>
      <c r="N181" s="101">
        <v>1408.1749126703169</v>
      </c>
      <c r="O181" s="101">
        <v>1398.5620763039065</v>
      </c>
      <c r="P181" s="101">
        <v>1388.0909095985096</v>
      </c>
      <c r="Q181" s="101">
        <v>1373.4617434171262</v>
      </c>
      <c r="R181" s="101">
        <v>1364.951048741857</v>
      </c>
      <c r="S181" s="101">
        <v>1357.155204818069</v>
      </c>
      <c r="T181" s="101">
        <v>1351.9121275822004</v>
      </c>
      <c r="U181" s="101">
        <v>1345.105139076675</v>
      </c>
      <c r="V181" s="101">
        <v>1338.6334000904399</v>
      </c>
      <c r="W181" s="101">
        <v>1332.3547307684917</v>
      </c>
      <c r="DA181" s="175" t="s">
        <v>918</v>
      </c>
    </row>
    <row r="182" spans="1:105" ht="11.45" customHeight="1" x14ac:dyDescent="0.25">
      <c r="A182" s="111" t="s">
        <v>112</v>
      </c>
      <c r="B182" s="101">
        <v>1131.0143671124204</v>
      </c>
      <c r="C182" s="101">
        <v>1131.0143671124201</v>
      </c>
      <c r="D182" s="101">
        <v>1131.0143671124201</v>
      </c>
      <c r="E182" s="101">
        <v>1129.7251783008146</v>
      </c>
      <c r="F182" s="101">
        <v>1050.4929223263316</v>
      </c>
      <c r="G182" s="101">
        <v>1046.0387559493086</v>
      </c>
      <c r="H182" s="101">
        <v>1043.4781079461809</v>
      </c>
      <c r="I182" s="101">
        <v>1040.7625021383772</v>
      </c>
      <c r="J182" s="101">
        <v>1037.592823732263</v>
      </c>
      <c r="K182" s="101">
        <v>1034.5213340131083</v>
      </c>
      <c r="L182" s="101">
        <v>1030.9491122734164</v>
      </c>
      <c r="M182" s="101">
        <v>1027.1830122058302</v>
      </c>
      <c r="N182" s="101">
        <v>1026.1709978045581</v>
      </c>
      <c r="O182" s="101">
        <v>1025.3562767610151</v>
      </c>
      <c r="P182" s="101">
        <v>1024.4919376016626</v>
      </c>
      <c r="Q182" s="101">
        <v>1023.9286039639466</v>
      </c>
      <c r="R182" s="101">
        <v>1023.2656106011034</v>
      </c>
      <c r="S182" s="101">
        <v>1022.0136165900557</v>
      </c>
      <c r="T182" s="101">
        <v>1005.8733527675206</v>
      </c>
      <c r="U182" s="101">
        <v>1003.6072591256636</v>
      </c>
      <c r="V182" s="101">
        <v>1001.3696339307219</v>
      </c>
      <c r="W182" s="101">
        <v>998.13360125471627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845.56612799820584</v>
      </c>
      <c r="R183" s="101">
        <v>843.16405172106329</v>
      </c>
      <c r="S183" s="101">
        <v>837.65110365123553</v>
      </c>
      <c r="T183" s="101">
        <v>815.84220809209683</v>
      </c>
      <c r="U183" s="101">
        <v>778.2691970269575</v>
      </c>
      <c r="V183" s="101">
        <v>754.36476586146966</v>
      </c>
      <c r="W183" s="101">
        <v>738.87401063819357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242.22645961200013</v>
      </c>
      <c r="C186" s="152">
        <v>243.83306339597783</v>
      </c>
      <c r="D186" s="152">
        <v>242.28853695259463</v>
      </c>
      <c r="E186" s="152">
        <v>240.90871112669129</v>
      </c>
      <c r="F186" s="152">
        <v>245.55181875588531</v>
      </c>
      <c r="G186" s="152">
        <v>250.21625424068336</v>
      </c>
      <c r="H186" s="152">
        <v>246.23523778080732</v>
      </c>
      <c r="I186" s="152">
        <v>244.36377509650288</v>
      </c>
      <c r="J186" s="152">
        <v>233.63832286450358</v>
      </c>
      <c r="K186" s="152">
        <v>225.37815030647315</v>
      </c>
      <c r="L186" s="152">
        <v>212.34345409301625</v>
      </c>
      <c r="M186" s="152">
        <v>211.25718829628067</v>
      </c>
      <c r="N186" s="152">
        <v>211.56271657330277</v>
      </c>
      <c r="O186" s="152">
        <v>216.45807997884393</v>
      </c>
      <c r="P186" s="152">
        <v>219.43690436968097</v>
      </c>
      <c r="Q186" s="152">
        <v>227.64972803132503</v>
      </c>
      <c r="R186" s="152">
        <v>228.74530742732108</v>
      </c>
      <c r="S186" s="152">
        <v>215.47157078971765</v>
      </c>
      <c r="T186" s="152">
        <v>223.79560268272925</v>
      </c>
      <c r="U186" s="152">
        <v>227.27068818692982</v>
      </c>
      <c r="V186" s="152">
        <v>235.10802457169819</v>
      </c>
      <c r="W186" s="152">
        <v>208.63612391507266</v>
      </c>
      <c r="DA186" s="174" t="s">
        <v>922</v>
      </c>
    </row>
    <row r="187" spans="1:105" ht="11.45" customHeight="1" x14ac:dyDescent="0.25">
      <c r="A187" s="111" t="s">
        <v>110</v>
      </c>
      <c r="B187" s="87">
        <v>226.16202168220624</v>
      </c>
      <c r="C187" s="87">
        <v>224.61535142755127</v>
      </c>
      <c r="D187" s="87">
        <v>223.18671352848656</v>
      </c>
      <c r="E187" s="87">
        <v>220.91509649898973</v>
      </c>
      <c r="F187" s="87">
        <v>219.38519534368407</v>
      </c>
      <c r="G187" s="87">
        <v>218.67806545962824</v>
      </c>
      <c r="H187" s="87">
        <v>216.92009503852088</v>
      </c>
      <c r="I187" s="87">
        <v>214.30267563766304</v>
      </c>
      <c r="J187" s="87">
        <v>210.74377890788421</v>
      </c>
      <c r="K187" s="87">
        <v>207.50152817199361</v>
      </c>
      <c r="L187" s="87">
        <v>204.00643431103578</v>
      </c>
      <c r="M187" s="87">
        <v>200.9200141546558</v>
      </c>
      <c r="N187" s="87">
        <v>198.96584220740903</v>
      </c>
      <c r="O187" s="87">
        <v>195.11406541255116</v>
      </c>
      <c r="P187" s="87">
        <v>191.59945372868478</v>
      </c>
      <c r="Q187" s="87">
        <v>188.1317829560314</v>
      </c>
      <c r="R187" s="87">
        <v>185.50493041962159</v>
      </c>
      <c r="S187" s="87">
        <v>181.17717507951713</v>
      </c>
      <c r="T187" s="87">
        <v>176.44450528226616</v>
      </c>
      <c r="U187" s="87">
        <v>175.21189897695803</v>
      </c>
      <c r="V187" s="87">
        <v>172.1561614507593</v>
      </c>
      <c r="W187" s="87">
        <v>171.66917341952563</v>
      </c>
      <c r="DA187" s="171" t="s">
        <v>923</v>
      </c>
    </row>
    <row r="188" spans="1:105" ht="11.45" customHeight="1" x14ac:dyDescent="0.25">
      <c r="A188" s="111" t="s">
        <v>111</v>
      </c>
      <c r="B188" s="87">
        <v>299.97961139288378</v>
      </c>
      <c r="C188" s="87">
        <v>286.14971686664143</v>
      </c>
      <c r="D188" s="87">
        <v>281.69797535185717</v>
      </c>
      <c r="E188" s="87">
        <v>278.54103262634942</v>
      </c>
      <c r="F188" s="87">
        <v>275.99459084759155</v>
      </c>
      <c r="G188" s="87">
        <v>273.40277624184569</v>
      </c>
      <c r="H188" s="87">
        <v>271.44647804606819</v>
      </c>
      <c r="I188" s="87">
        <v>269.76831915844434</v>
      </c>
      <c r="J188" s="87">
        <v>268.20016514851812</v>
      </c>
      <c r="K188" s="87">
        <v>266.3010741459417</v>
      </c>
      <c r="L188" s="87">
        <v>265.46783924816037</v>
      </c>
      <c r="M188" s="87">
        <v>265.73735296736845</v>
      </c>
      <c r="N188" s="87">
        <v>264.45332438792934</v>
      </c>
      <c r="O188" s="87">
        <v>262.09687660399976</v>
      </c>
      <c r="P188" s="87">
        <v>258.90211973347346</v>
      </c>
      <c r="Q188" s="87">
        <v>255.2118901775294</v>
      </c>
      <c r="R188" s="87">
        <v>251.00786117055631</v>
      </c>
      <c r="S188" s="87">
        <v>246.58122660441492</v>
      </c>
      <c r="T188" s="87">
        <v>242.96128610386512</v>
      </c>
      <c r="U188" s="87">
        <v>236.03952736855854</v>
      </c>
      <c r="V188" s="87">
        <v>232.83676997144434</v>
      </c>
      <c r="W188" s="87">
        <v>228.54304544639876</v>
      </c>
      <c r="DA188" s="171" t="s">
        <v>924</v>
      </c>
    </row>
    <row r="189" spans="1:105" ht="11.45" customHeight="1" x14ac:dyDescent="0.25">
      <c r="A189" s="111" t="s">
        <v>112</v>
      </c>
      <c r="B189" s="87">
        <v>252.29155776117187</v>
      </c>
      <c r="C189" s="87">
        <v>245.54009572109791</v>
      </c>
      <c r="D189" s="87">
        <v>231.95787752806487</v>
      </c>
      <c r="E189" s="87">
        <v>227.02298524655041</v>
      </c>
      <c r="F189" s="87">
        <v>225.5932940627485</v>
      </c>
      <c r="G189" s="87">
        <v>222.07996064894377</v>
      </c>
      <c r="H189" s="87">
        <v>216.3232496221452</v>
      </c>
      <c r="I189" s="87">
        <v>213.53774863816378</v>
      </c>
      <c r="J189" s="87">
        <v>211.92312616104678</v>
      </c>
      <c r="K189" s="87">
        <v>211.19038418364698</v>
      </c>
      <c r="L189" s="87">
        <v>210.25546884430761</v>
      </c>
      <c r="M189" s="87">
        <v>209.33116474786638</v>
      </c>
      <c r="N189" s="87">
        <v>206.59918870295866</v>
      </c>
      <c r="O189" s="87">
        <v>205.48082920445708</v>
      </c>
      <c r="P189" s="87">
        <v>200.35962372511119</v>
      </c>
      <c r="Q189" s="87">
        <v>199.38594210378662</v>
      </c>
      <c r="R189" s="87">
        <v>196.64735596597018</v>
      </c>
      <c r="S189" s="87">
        <v>194.40599652732516</v>
      </c>
      <c r="T189" s="87">
        <v>191.7934844406025</v>
      </c>
      <c r="U189" s="87">
        <v>191.08061458078549</v>
      </c>
      <c r="V189" s="87">
        <v>190.8261522612508</v>
      </c>
      <c r="W189" s="87">
        <v>189.87012714657635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184.14770214967817</v>
      </c>
      <c r="R190" s="87">
        <v>185.7022571038988</v>
      </c>
      <c r="S190" s="87">
        <v>184.94401608368025</v>
      </c>
      <c r="T190" s="87">
        <v>185.65359823525858</v>
      </c>
      <c r="U190" s="87">
        <v>184.48420989731648</v>
      </c>
      <c r="V190" s="87">
        <v>184.21441812419121</v>
      </c>
      <c r="W190" s="87">
        <v>184.3335980782432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976.21746103444264</v>
      </c>
      <c r="C192" s="116">
        <v>972.72249702449835</v>
      </c>
      <c r="D192" s="116">
        <v>963.90354306825031</v>
      </c>
      <c r="E192" s="116">
        <v>961.23469042388911</v>
      </c>
      <c r="F192" s="116">
        <v>958.46040171568723</v>
      </c>
      <c r="G192" s="116">
        <v>953.38642265791816</v>
      </c>
      <c r="H192" s="116">
        <v>947.00903048992086</v>
      </c>
      <c r="I192" s="116">
        <v>935.31323601681936</v>
      </c>
      <c r="J192" s="116">
        <v>923.31752460470966</v>
      </c>
      <c r="K192" s="116">
        <v>914.72892250249174</v>
      </c>
      <c r="L192" s="116">
        <v>904.30767647760479</v>
      </c>
      <c r="M192" s="116">
        <v>892.85852012534076</v>
      </c>
      <c r="N192" s="116">
        <v>881.85603182506111</v>
      </c>
      <c r="O192" s="116">
        <v>868.85654454524433</v>
      </c>
      <c r="P192" s="116">
        <v>855.70155311193889</v>
      </c>
      <c r="Q192" s="116">
        <v>841.61639647859113</v>
      </c>
      <c r="R192" s="116">
        <v>824.85706653598538</v>
      </c>
      <c r="S192" s="116">
        <v>806.79195774538573</v>
      </c>
      <c r="T192" s="116">
        <v>794.02922472753403</v>
      </c>
      <c r="U192" s="116">
        <v>775.73243936224674</v>
      </c>
      <c r="V192" s="116">
        <v>765.97070958460245</v>
      </c>
      <c r="W192" s="116">
        <v>749.33081270060904</v>
      </c>
      <c r="DA192" s="176" t="s">
        <v>928</v>
      </c>
    </row>
    <row r="193" spans="1:105" ht="11.45" customHeight="1" x14ac:dyDescent="0.25">
      <c r="A193" s="128" t="s">
        <v>27</v>
      </c>
      <c r="B193" s="101">
        <v>908.08550248180325</v>
      </c>
      <c r="C193" s="101">
        <v>904.98747239606791</v>
      </c>
      <c r="D193" s="101">
        <v>897.27126345000761</v>
      </c>
      <c r="E193" s="101">
        <v>894.91325815175935</v>
      </c>
      <c r="F193" s="101">
        <v>892.10953785869447</v>
      </c>
      <c r="G193" s="101">
        <v>887.52525675822608</v>
      </c>
      <c r="H193" s="101">
        <v>881.34071985682363</v>
      </c>
      <c r="I193" s="101">
        <v>870.78533827453987</v>
      </c>
      <c r="J193" s="101">
        <v>859.86721171767442</v>
      </c>
      <c r="K193" s="101">
        <v>852.09560466725895</v>
      </c>
      <c r="L193" s="101">
        <v>842.31867411571704</v>
      </c>
      <c r="M193" s="101">
        <v>831.62475793870044</v>
      </c>
      <c r="N193" s="101">
        <v>821.14373890006584</v>
      </c>
      <c r="O193" s="101">
        <v>808.83291553576942</v>
      </c>
      <c r="P193" s="101">
        <v>796.50408878341364</v>
      </c>
      <c r="Q193" s="101">
        <v>783.33592646079398</v>
      </c>
      <c r="R193" s="101">
        <v>767.5271346367233</v>
      </c>
      <c r="S193" s="101">
        <v>750.37032757877762</v>
      </c>
      <c r="T193" s="101">
        <v>739.00314763720166</v>
      </c>
      <c r="U193" s="101">
        <v>721.73378131356674</v>
      </c>
      <c r="V193" s="101">
        <v>712.80348257879098</v>
      </c>
      <c r="W193" s="101">
        <v>697.20531411682077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1052.8255038469661</v>
      </c>
      <c r="D194" s="88">
        <v>1040.9497467467743</v>
      </c>
      <c r="E194" s="88">
        <v>1030.6884045579297</v>
      </c>
      <c r="F194" s="88">
        <v>1010.0992354181609</v>
      </c>
      <c r="G194" s="88">
        <v>999.10397122076517</v>
      </c>
      <c r="H194" s="88">
        <v>979.23702865608016</v>
      </c>
      <c r="I194" s="88">
        <v>973.85414676710946</v>
      </c>
      <c r="J194" s="88">
        <v>961.90867050250574</v>
      </c>
      <c r="K194" s="88">
        <v>952.5310836746529</v>
      </c>
      <c r="L194" s="88">
        <v>931.28139122792732</v>
      </c>
      <c r="M194" s="88">
        <v>920.48045860383013</v>
      </c>
      <c r="N194" s="88">
        <v>908.67659418721951</v>
      </c>
      <c r="O194" s="88">
        <v>897.4542708556346</v>
      </c>
      <c r="P194" s="88">
        <v>887.88419275795718</v>
      </c>
      <c r="Q194" s="88">
        <v>875.78725035742377</v>
      </c>
      <c r="R194" s="88">
        <v>855.48500810673329</v>
      </c>
      <c r="S194" s="88">
        <v>835.85992631135684</v>
      </c>
      <c r="T194" s="88">
        <v>828.71612985756792</v>
      </c>
      <c r="U194" s="88">
        <v>805.6711526735827</v>
      </c>
      <c r="V194" s="88">
        <v>797.14422297027841</v>
      </c>
      <c r="W194" s="88">
        <v>780.8054070628275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1.1275666643481401</v>
      </c>
      <c r="D198" s="150">
        <f>IF(TrRoad_act!D59=0,0,TrRoad_emi!D56/TrRoad_tech!D171)</f>
        <v>1.1285001125694698</v>
      </c>
      <c r="E198" s="150">
        <f>IF(TrRoad_act!E59=0,0,TrRoad_emi!E56/TrRoad_tech!E171)</f>
        <v>1.1210835845007046</v>
      </c>
      <c r="F198" s="150">
        <f>IF(TrRoad_act!F59=0,0,TrRoad_emi!F56/TrRoad_tech!F171)</f>
        <v>1.125136785466716</v>
      </c>
      <c r="G198" s="150">
        <f>IF(TrRoad_act!G59=0,0,TrRoad_emi!G56/TrRoad_tech!G171)</f>
        <v>1.0734213604677765</v>
      </c>
      <c r="H198" s="150">
        <f>IF(TrRoad_act!H59=0,0,TrRoad_emi!H56/TrRoad_tech!H171)</f>
        <v>1.0722280495128078</v>
      </c>
      <c r="I198" s="150">
        <f>IF(TrRoad_act!I59=0,0,TrRoad_emi!I56/TrRoad_tech!I171)</f>
        <v>1.074595677165824</v>
      </c>
      <c r="J198" s="150">
        <f>IF(TrRoad_act!J59=0,0,TrRoad_emi!J56/TrRoad_tech!J171)</f>
        <v>1.1253362728387541</v>
      </c>
      <c r="K198" s="150">
        <f>IF(TrRoad_act!K59=0,0,TrRoad_emi!K56/TrRoad_tech!K171)</f>
        <v>1.0691550248487691</v>
      </c>
      <c r="L198" s="150">
        <f>IF(TrRoad_act!L59=0,0,TrRoad_emi!L56/TrRoad_tech!L171)</f>
        <v>1.0744456343518856</v>
      </c>
      <c r="M198" s="150">
        <f>IF(TrRoad_act!M59=0,0,TrRoad_emi!M56/TrRoad_tech!M171)</f>
        <v>1.0827712049805449</v>
      </c>
      <c r="N198" s="150">
        <f>IF(TrRoad_act!N59=0,0,TrRoad_emi!N56/TrRoad_tech!N171)</f>
        <v>1.0937193563138292</v>
      </c>
      <c r="O198" s="150">
        <f>IF(TrRoad_act!O59=0,0,TrRoad_emi!O56/TrRoad_tech!O171)</f>
        <v>1.0963563343848997</v>
      </c>
      <c r="P198" s="150">
        <f>IF(TrRoad_act!P59=0,0,TrRoad_emi!P56/TrRoad_tech!P171)</f>
        <v>1.1057068190247896</v>
      </c>
      <c r="Q198" s="150">
        <f>IF(TrRoad_act!Q59=0,0,TrRoad_emi!Q56/TrRoad_tech!Q171)</f>
        <v>1.1110461963364588</v>
      </c>
      <c r="R198" s="150">
        <f>IF(TrRoad_act!R59=0,0,TrRoad_emi!R56/TrRoad_tech!R171)</f>
        <v>1.1171478326171431</v>
      </c>
      <c r="S198" s="150">
        <f>IF(TrRoad_act!S59=0,0,TrRoad_emi!S56/TrRoad_tech!S171)</f>
        <v>1.1287337083035907</v>
      </c>
      <c r="T198" s="150">
        <f>IF(TrRoad_act!T59=0,0,TrRoad_emi!T56/TrRoad_tech!T171)</f>
        <v>1.1391118871037871</v>
      </c>
      <c r="U198" s="150">
        <f>IF(TrRoad_act!U59=0,0,TrRoad_emi!U56/TrRoad_tech!U171)</f>
        <v>1.1462282807198769</v>
      </c>
      <c r="V198" s="150">
        <f>IF(TrRoad_act!V59=0,0,TrRoad_emi!V56/TrRoad_tech!V171)</f>
        <v>1.1538761281010972</v>
      </c>
      <c r="W198" s="150">
        <f>IF(TrRoad_act!W59=0,0,TrRoad_emi!W56/TrRoad_tech!W171)</f>
        <v>1.1718936966960862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0.92249307404101344</v>
      </c>
      <c r="C199" s="151">
        <f>IF(TrRoad_act!C60=0,0,TrRoad_emi!C57/TrRoad_tech!C172)</f>
        <v>0.92322076894995453</v>
      </c>
      <c r="D199" s="151">
        <f>IF(TrRoad_act!D60=0,0,TrRoad_emi!D57/TrRoad_tech!D172)</f>
        <v>0.93062066668812204</v>
      </c>
      <c r="E199" s="151">
        <f>IF(TrRoad_act!E60=0,0,TrRoad_emi!E57/TrRoad_tech!E172)</f>
        <v>0.9430373386026345</v>
      </c>
      <c r="F199" s="151">
        <f>IF(TrRoad_act!F60=0,0,TrRoad_emi!F57/TrRoad_tech!F172)</f>
        <v>0.92639103234038855</v>
      </c>
      <c r="G199" s="151">
        <f>IF(TrRoad_act!G60=0,0,TrRoad_emi!G57/TrRoad_tech!G172)</f>
        <v>0.93834615347323203</v>
      </c>
      <c r="H199" s="151">
        <f>IF(TrRoad_act!H60=0,0,TrRoad_emi!H57/TrRoad_tech!H172)</f>
        <v>0.94150310310379026</v>
      </c>
      <c r="I199" s="151">
        <f>IF(TrRoad_act!I60=0,0,TrRoad_emi!I57/TrRoad_tech!I172)</f>
        <v>0.94327348424518764</v>
      </c>
      <c r="J199" s="151">
        <f>IF(TrRoad_act!J60=0,0,TrRoad_emi!J57/TrRoad_tech!J172)</f>
        <v>0.91084833987449676</v>
      </c>
      <c r="K199" s="151">
        <f>IF(TrRoad_act!K60=0,0,TrRoad_emi!K57/TrRoad_tech!K172)</f>
        <v>0.90531177152826203</v>
      </c>
      <c r="L199" s="151">
        <f>IF(TrRoad_act!L60=0,0,TrRoad_emi!L57/TrRoad_tech!L172)</f>
        <v>0.89933515171368761</v>
      </c>
      <c r="M199" s="151">
        <f>IF(TrRoad_act!M60=0,0,TrRoad_emi!M57/TrRoad_tech!M172)</f>
        <v>0.88339706660265638</v>
      </c>
      <c r="N199" s="151">
        <f>IF(TrRoad_act!N60=0,0,TrRoad_emi!N57/TrRoad_tech!N172)</f>
        <v>0.91064106474253914</v>
      </c>
      <c r="O199" s="151">
        <f>IF(TrRoad_act!O60=0,0,TrRoad_emi!O57/TrRoad_tech!O172)</f>
        <v>0.90955976051169196</v>
      </c>
      <c r="P199" s="151">
        <f>IF(TrRoad_act!P60=0,0,TrRoad_emi!P57/TrRoad_tech!P172)</f>
        <v>0.90998592069038686</v>
      </c>
      <c r="Q199" s="151">
        <f>IF(TrRoad_act!Q60=0,0,TrRoad_emi!Q57/TrRoad_tech!Q172)</f>
        <v>0.91615603257087552</v>
      </c>
      <c r="R199" s="151">
        <f>IF(TrRoad_act!R60=0,0,TrRoad_emi!R57/TrRoad_tech!R172)</f>
        <v>0.96532200660847101</v>
      </c>
      <c r="S199" s="151">
        <f>IF(TrRoad_act!S60=0,0,TrRoad_emi!S57/TrRoad_tech!S172)</f>
        <v>0.98227351893394022</v>
      </c>
      <c r="T199" s="151">
        <f>IF(TrRoad_act!T60=0,0,TrRoad_emi!T57/TrRoad_tech!T172)</f>
        <v>0.97683866570331368</v>
      </c>
      <c r="U199" s="151">
        <f>IF(TrRoad_act!U60=0,0,TrRoad_emi!U57/TrRoad_tech!U172)</f>
        <v>0.96666456487736163</v>
      </c>
      <c r="V199" s="151">
        <f>IF(TrRoad_act!V60=0,0,TrRoad_emi!V57/TrRoad_tech!V172)</f>
        <v>0.92150084679246336</v>
      </c>
      <c r="W199" s="151">
        <f>IF(TrRoad_act!W60=0,0,TrRoad_emi!W57/TrRoad_tech!W172)</f>
        <v>0.94909575208693842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0.88282209689926139</v>
      </c>
      <c r="C200" s="91">
        <f>IF(TrRoad_act!C61=0,0,TrRoad_emi!C58/TrRoad_tech!C173)</f>
        <v>0.88805911427522566</v>
      </c>
      <c r="D200" s="91">
        <f>IF(TrRoad_act!D61=0,0,TrRoad_emi!D58/TrRoad_tech!D173)</f>
        <v>0.85077806143626478</v>
      </c>
      <c r="E200" s="91">
        <f>IF(TrRoad_act!E61=0,0,TrRoad_emi!E58/TrRoad_tech!E173)</f>
        <v>0.86060485075267013</v>
      </c>
      <c r="F200" s="91">
        <f>IF(TrRoad_act!F61=0,0,TrRoad_emi!F58/TrRoad_tech!F173)</f>
        <v>0.89395238220757733</v>
      </c>
      <c r="G200" s="91">
        <f>IF(TrRoad_act!G61=0,0,TrRoad_emi!G58/TrRoad_tech!G173)</f>
        <v>0.88001555446977675</v>
      </c>
      <c r="H200" s="91">
        <f>IF(TrRoad_act!H61=0,0,TrRoad_emi!H58/TrRoad_tech!H173)</f>
        <v>0.88188489572491913</v>
      </c>
      <c r="I200" s="91">
        <f>IF(TrRoad_act!I61=0,0,TrRoad_emi!I58/TrRoad_tech!I173)</f>
        <v>0.89582529173698922</v>
      </c>
      <c r="J200" s="91">
        <f>IF(TrRoad_act!J61=0,0,TrRoad_emi!J58/TrRoad_tech!J173)</f>
        <v>0.90225568417860835</v>
      </c>
      <c r="K200" s="91">
        <f>IF(TrRoad_act!K61=0,0,TrRoad_emi!K58/TrRoad_tech!K173)</f>
        <v>0.93074675530656636</v>
      </c>
      <c r="L200" s="91">
        <f>IF(TrRoad_act!L61=0,0,TrRoad_emi!L58/TrRoad_tech!L173)</f>
        <v>0.95156262154166305</v>
      </c>
      <c r="M200" s="91">
        <f>IF(TrRoad_act!M61=0,0,TrRoad_emi!M58/TrRoad_tech!M173)</f>
        <v>0.93822549193555882</v>
      </c>
      <c r="N200" s="91">
        <f>IF(TrRoad_act!N61=0,0,TrRoad_emi!N58/TrRoad_tech!N173)</f>
        <v>0.92221648657138755</v>
      </c>
      <c r="O200" s="91">
        <f>IF(TrRoad_act!O61=0,0,TrRoad_emi!O58/TrRoad_tech!O173)</f>
        <v>0.9166605327820202</v>
      </c>
      <c r="P200" s="91">
        <f>IF(TrRoad_act!P61=0,0,TrRoad_emi!P58/TrRoad_tech!P173)</f>
        <v>0.92386878144305284</v>
      </c>
      <c r="Q200" s="91">
        <f>IF(TrRoad_act!Q61=0,0,TrRoad_emi!Q58/TrRoad_tech!Q173)</f>
        <v>0.93196035062039739</v>
      </c>
      <c r="R200" s="91">
        <f>IF(TrRoad_act!R61=0,0,TrRoad_emi!R58/TrRoad_tech!R173)</f>
        <v>0.998722993201552</v>
      </c>
      <c r="S200" s="91">
        <f>IF(TrRoad_act!S61=0,0,TrRoad_emi!S58/TrRoad_tech!S173)</f>
        <v>1.0024802075138732</v>
      </c>
      <c r="T200" s="91">
        <f>IF(TrRoad_act!T61=0,0,TrRoad_emi!T58/TrRoad_tech!T173)</f>
        <v>1.0076901089526704</v>
      </c>
      <c r="U200" s="91">
        <f>IF(TrRoad_act!U61=0,0,TrRoad_emi!U58/TrRoad_tech!U173)</f>
        <v>1.008561124211093</v>
      </c>
      <c r="V200" s="91">
        <f>IF(TrRoad_act!V61=0,0,TrRoad_emi!V58/TrRoad_tech!V173)</f>
        <v>0.95980897038777302</v>
      </c>
      <c r="W200" s="91">
        <f>IF(TrRoad_act!W61=0,0,TrRoad_emi!W58/TrRoad_tech!W173)</f>
        <v>0.99052195803016452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0.94023812002391827</v>
      </c>
      <c r="C201" s="91">
        <f>IF(TrRoad_act!C62=0,0,TrRoad_emi!C59/TrRoad_tech!C174)</f>
        <v>0.91930750035780395</v>
      </c>
      <c r="D201" s="91">
        <f>IF(TrRoad_act!D62=0,0,TrRoad_emi!D59/TrRoad_tech!D174)</f>
        <v>0.93204945712640408</v>
      </c>
      <c r="E201" s="91">
        <f>IF(TrRoad_act!E62=0,0,TrRoad_emi!E59/TrRoad_tech!E174)</f>
        <v>0.95354557824504438</v>
      </c>
      <c r="F201" s="91">
        <f>IF(TrRoad_act!F62=0,0,TrRoad_emi!F59/TrRoad_tech!F174)</f>
        <v>0.9251945921918191</v>
      </c>
      <c r="G201" s="91">
        <f>IF(TrRoad_act!G62=0,0,TrRoad_emi!G59/TrRoad_tech!G174)</f>
        <v>1.0439350277095014</v>
      </c>
      <c r="H201" s="91">
        <f>IF(TrRoad_act!H62=0,0,TrRoad_emi!H59/TrRoad_tech!H174)</f>
        <v>1.098652195850377</v>
      </c>
      <c r="I201" s="91">
        <f>IF(TrRoad_act!I62=0,0,TrRoad_emi!I59/TrRoad_tech!I174)</f>
        <v>1.1001744350194678</v>
      </c>
      <c r="J201" s="91">
        <f>IF(TrRoad_act!J62=0,0,TrRoad_emi!J59/TrRoad_tech!J174)</f>
        <v>1.0053132166175609</v>
      </c>
      <c r="K201" s="91">
        <f>IF(TrRoad_act!K62=0,0,TrRoad_emi!K59/TrRoad_tech!K174)</f>
        <v>0.98199976800676392</v>
      </c>
      <c r="L201" s="91">
        <f>IF(TrRoad_act!L62=0,0,TrRoad_emi!L59/TrRoad_tech!L174)</f>
        <v>0.9861786773631146</v>
      </c>
      <c r="M201" s="91">
        <f>IF(TrRoad_act!M62=0,0,TrRoad_emi!M59/TrRoad_tech!M174)</f>
        <v>0.95224157605086257</v>
      </c>
      <c r="N201" s="91">
        <f>IF(TrRoad_act!N62=0,0,TrRoad_emi!N59/TrRoad_tech!N174)</f>
        <v>0.92014559659546935</v>
      </c>
      <c r="O201" s="91">
        <f>IF(TrRoad_act!O62=0,0,TrRoad_emi!O59/TrRoad_tech!O174)</f>
        <v>0.89891416778866151</v>
      </c>
      <c r="P201" s="91">
        <f>IF(TrRoad_act!P62=0,0,TrRoad_emi!P59/TrRoad_tech!P174)</f>
        <v>0.89077727445529187</v>
      </c>
      <c r="Q201" s="91">
        <f>IF(TrRoad_act!Q62=0,0,TrRoad_emi!Q59/TrRoad_tech!Q174)</f>
        <v>0.89901937682256494</v>
      </c>
      <c r="R201" s="91">
        <f>IF(TrRoad_act!R62=0,0,TrRoad_emi!R59/TrRoad_tech!R174)</f>
        <v>0.97517025873141705</v>
      </c>
      <c r="S201" s="91">
        <f>IF(TrRoad_act!S62=0,0,TrRoad_emi!S59/TrRoad_tech!S174)</f>
        <v>1.015964724248865</v>
      </c>
      <c r="T201" s="91">
        <f>IF(TrRoad_act!T62=0,0,TrRoad_emi!T59/TrRoad_tech!T174)</f>
        <v>0.99863779572231537</v>
      </c>
      <c r="U201" s="91">
        <f>IF(TrRoad_act!U62=0,0,TrRoad_emi!U59/TrRoad_tech!U174)</f>
        <v>0.99513605762026935</v>
      </c>
      <c r="V201" s="91">
        <f>IF(TrRoad_act!V62=0,0,TrRoad_emi!V59/TrRoad_tech!V174)</f>
        <v>0.96974109239119344</v>
      </c>
      <c r="W201" s="91">
        <f>IF(TrRoad_act!W62=0,0,TrRoad_emi!W59/TrRoad_tech!W174)</f>
        <v>0.97075636813455446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1.010394215080288</v>
      </c>
      <c r="C202" s="91">
        <f>IF(TrRoad_act!C63=0,0,TrRoad_emi!C60/TrRoad_tech!C175)</f>
        <v>1.0585764040046621</v>
      </c>
      <c r="D202" s="91">
        <f>IF(TrRoad_act!D63=0,0,TrRoad_emi!D60/TrRoad_tech!D175)</f>
        <v>1.1158546280204478</v>
      </c>
      <c r="E202" s="91">
        <f>IF(TrRoad_act!E63=0,0,TrRoad_emi!E60/TrRoad_tech!E175)</f>
        <v>1.0777913272615294</v>
      </c>
      <c r="F202" s="91">
        <f>IF(TrRoad_act!F63=0,0,TrRoad_emi!F60/TrRoad_tech!F175)</f>
        <v>1.087416562404933</v>
      </c>
      <c r="G202" s="91">
        <f>IF(TrRoad_act!G63=0,0,TrRoad_emi!G60/TrRoad_tech!G175)</f>
        <v>1.1309892788554556</v>
      </c>
      <c r="H202" s="91">
        <f>IF(TrRoad_act!H63=0,0,TrRoad_emi!H60/TrRoad_tech!H175)</f>
        <v>1.1182083551635278</v>
      </c>
      <c r="I202" s="91">
        <f>IF(TrRoad_act!I63=0,0,TrRoad_emi!I60/TrRoad_tech!I175)</f>
        <v>1.0669150455955325</v>
      </c>
      <c r="J202" s="91">
        <f>IF(TrRoad_act!J63=0,0,TrRoad_emi!J60/TrRoad_tech!J175)</f>
        <v>1.0067404047613753</v>
      </c>
      <c r="K202" s="91">
        <f>IF(TrRoad_act!K63=0,0,TrRoad_emi!K60/TrRoad_tech!K175)</f>
        <v>0.90069343550439673</v>
      </c>
      <c r="L202" s="91">
        <f>IF(TrRoad_act!L63=0,0,TrRoad_emi!L60/TrRoad_tech!L175)</f>
        <v>0.82027948147639074</v>
      </c>
      <c r="M202" s="91">
        <f>IF(TrRoad_act!M63=0,0,TrRoad_emi!M60/TrRoad_tech!M175)</f>
        <v>0.87563413535988865</v>
      </c>
      <c r="N202" s="91">
        <f>IF(TrRoad_act!N63=0,0,TrRoad_emi!N60/TrRoad_tech!N175)</f>
        <v>1.032373208262634</v>
      </c>
      <c r="O202" s="91">
        <f>IF(TrRoad_act!O63=0,0,TrRoad_emi!O60/TrRoad_tech!O175)</f>
        <v>1.0841808834472006</v>
      </c>
      <c r="P202" s="91">
        <f>IF(TrRoad_act!P63=0,0,TrRoad_emi!P60/TrRoad_tech!P175)</f>
        <v>1.1057737747752672</v>
      </c>
      <c r="Q202" s="91">
        <f>IF(TrRoad_act!Q63=0,0,TrRoad_emi!Q60/TrRoad_tech!Q175)</f>
        <v>1.0679544678577095</v>
      </c>
      <c r="R202" s="91">
        <f>IF(TrRoad_act!R63=0,0,TrRoad_emi!R60/TrRoad_tech!R175)</f>
        <v>1.0368399228413003</v>
      </c>
      <c r="S202" s="91">
        <f>IF(TrRoad_act!S63=0,0,TrRoad_emi!S60/TrRoad_tech!S175)</f>
        <v>1.0205599669390804</v>
      </c>
      <c r="T202" s="91">
        <f>IF(TrRoad_act!T63=0,0,TrRoad_emi!T60/TrRoad_tech!T175)</f>
        <v>0.95494726872473334</v>
      </c>
      <c r="U202" s="91">
        <f>IF(TrRoad_act!U63=0,0,TrRoad_emi!U60/TrRoad_tech!U175)</f>
        <v>0.99990566552486271</v>
      </c>
      <c r="V202" s="91">
        <f>IF(TrRoad_act!V63=0,0,TrRoad_emi!V60/TrRoad_tech!V175)</f>
        <v>0.92520140473098744</v>
      </c>
      <c r="W202" s="91">
        <f>IF(TrRoad_act!W63=0,0,TrRoad_emi!W60/TrRoad_tech!W175)</f>
        <v>0.9955778749798575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1.0833333333391699</v>
      </c>
      <c r="R203" s="91">
        <f>IF(TrRoad_act!R64=0,0,TrRoad_emi!R61/TrRoad_tech!R176)</f>
        <v>1.0849647441702845</v>
      </c>
      <c r="S203" s="91">
        <f>IF(TrRoad_act!S64=0,0,TrRoad_emi!S61/TrRoad_tech!S176)</f>
        <v>1.0852905982410805</v>
      </c>
      <c r="T203" s="91">
        <f>IF(TrRoad_act!T64=0,0,TrRoad_emi!T61/TrRoad_tech!T176)</f>
        <v>1.0857647874425989</v>
      </c>
      <c r="U203" s="91">
        <f>IF(TrRoad_act!U64=0,0,TrRoad_emi!U61/TrRoad_tech!U176)</f>
        <v>1.0862501863719782</v>
      </c>
      <c r="V203" s="91">
        <f>IF(TrRoad_act!V64=0,0,TrRoad_emi!V61/TrRoad_tech!V176)</f>
        <v>1.0866099768862711</v>
      </c>
      <c r="W203" s="91">
        <f>IF(TrRoad_act!W64=0,0,TrRoad_emi!W61/TrRoad_tech!W176)</f>
        <v>1.0870552296400393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0.950259151579115</v>
      </c>
      <c r="O204" s="91">
        <f>IF(TrRoad_act!O65=0,0,TrRoad_emi!O62/TrRoad_tech!O177)</f>
        <v>0.94569257320458433</v>
      </c>
      <c r="P204" s="91">
        <f>IF(TrRoad_act!P65=0,0,TrRoad_emi!P62/TrRoad_tech!P177)</f>
        <v>0.9589164364723034</v>
      </c>
      <c r="Q204" s="91">
        <f>IF(TrRoad_act!Q65=0,0,TrRoad_emi!Q62/TrRoad_tech!Q177)</f>
        <v>0.97026448499355222</v>
      </c>
      <c r="R204" s="91">
        <f>IF(TrRoad_act!R65=0,0,TrRoad_emi!R62/TrRoad_tech!R177)</f>
        <v>1.0395956685022094</v>
      </c>
      <c r="S204" s="91">
        <f>IF(TrRoad_act!S65=0,0,TrRoad_emi!S62/TrRoad_tech!S177)</f>
        <v>1.0474985856821637</v>
      </c>
      <c r="T204" s="91">
        <f>IF(TrRoad_act!T65=0,0,TrRoad_emi!T62/TrRoad_tech!T177)</f>
        <v>1.0514805389060458</v>
      </c>
      <c r="U204" s="91">
        <f>IF(TrRoad_act!U65=0,0,TrRoad_emi!U62/TrRoad_tech!U177)</f>
        <v>1.0514194374521708</v>
      </c>
      <c r="V204" s="91">
        <f>IF(TrRoad_act!V65=0,0,TrRoad_emi!V62/TrRoad_tech!V177)</f>
        <v>1.0006631906548278</v>
      </c>
      <c r="W204" s="91">
        <f>IF(TrRoad_act!W65=0,0,TrRoad_emi!W62/TrRoad_tech!W177)</f>
        <v>1.0296800196562066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1.0976101950984229</v>
      </c>
      <c r="C206" s="151">
        <f>IF(TrRoad_act!C67=0,0,TrRoad_emi!C64/TrRoad_tech!C179)</f>
        <v>1.0805765261945546</v>
      </c>
      <c r="D206" s="151">
        <f>IF(TrRoad_act!D67=0,0,TrRoad_emi!D64/TrRoad_tech!D179)</f>
        <v>1.0740838290177817</v>
      </c>
      <c r="E206" s="151">
        <f>IF(TrRoad_act!E67=0,0,TrRoad_emi!E64/TrRoad_tech!E179)</f>
        <v>1.0727142598264534</v>
      </c>
      <c r="F206" s="151">
        <f>IF(TrRoad_act!F67=0,0,TrRoad_emi!F64/TrRoad_tech!F179)</f>
        <v>1.1040188421435118</v>
      </c>
      <c r="G206" s="151">
        <f>IF(TrRoad_act!G67=0,0,TrRoad_emi!G64/TrRoad_tech!G179)</f>
        <v>1.133367744275724</v>
      </c>
      <c r="H206" s="151">
        <f>IF(TrRoad_act!H67=0,0,TrRoad_emi!H64/TrRoad_tech!H179)</f>
        <v>1.0780926534784256</v>
      </c>
      <c r="I206" s="151">
        <f>IF(TrRoad_act!I67=0,0,TrRoad_emi!I64/TrRoad_tech!I179)</f>
        <v>1.091315835816389</v>
      </c>
      <c r="J206" s="151">
        <f>IF(TrRoad_act!J67=0,0,TrRoad_emi!J64/TrRoad_tech!J179)</f>
        <v>1.0725865970438504</v>
      </c>
      <c r="K206" s="151">
        <f>IF(TrRoad_act!K67=0,0,TrRoad_emi!K64/TrRoad_tech!K179)</f>
        <v>1.0665003518818355</v>
      </c>
      <c r="L206" s="151">
        <f>IF(TrRoad_act!L67=0,0,TrRoad_emi!L64/TrRoad_tech!L179)</f>
        <v>1.0614779876097187</v>
      </c>
      <c r="M206" s="151">
        <f>IF(TrRoad_act!M67=0,0,TrRoad_emi!M64/TrRoad_tech!M179)</f>
        <v>1.0698561364812944</v>
      </c>
      <c r="N206" s="151">
        <f>IF(TrRoad_act!N67=0,0,TrRoad_emi!N64/TrRoad_tech!N179)</f>
        <v>1.0874050510495563</v>
      </c>
      <c r="O206" s="151">
        <f>IF(TrRoad_act!O67=0,0,TrRoad_emi!O64/TrRoad_tech!O179)</f>
        <v>1.1078728407383756</v>
      </c>
      <c r="P206" s="151">
        <f>IF(TrRoad_act!P67=0,0,TrRoad_emi!P64/TrRoad_tech!P179)</f>
        <v>1.126696027709875</v>
      </c>
      <c r="Q206" s="151">
        <f>IF(TrRoad_act!Q67=0,0,TrRoad_emi!Q64/TrRoad_tech!Q179)</f>
        <v>1.17359675434375</v>
      </c>
      <c r="R206" s="151">
        <f>IF(TrRoad_act!R67=0,0,TrRoad_emi!R64/TrRoad_tech!R179)</f>
        <v>1.20874725773226</v>
      </c>
      <c r="S206" s="151">
        <f>IF(TrRoad_act!S67=0,0,TrRoad_emi!S64/TrRoad_tech!S179)</f>
        <v>1.2261629659383622</v>
      </c>
      <c r="T206" s="151">
        <f>IF(TrRoad_act!T67=0,0,TrRoad_emi!T64/TrRoad_tech!T179)</f>
        <v>1.2089479921545725</v>
      </c>
      <c r="U206" s="151">
        <f>IF(TrRoad_act!U67=0,0,TrRoad_emi!U64/TrRoad_tech!U179)</f>
        <v>1.2239622558295482</v>
      </c>
      <c r="V206" s="151">
        <f>IF(TrRoad_act!V67=0,0,TrRoad_emi!V64/TrRoad_tech!V179)</f>
        <v>1.247859767835739</v>
      </c>
      <c r="W206" s="151">
        <f>IF(TrRoad_act!W67=0,0,TrRoad_emi!W64/TrRoad_tech!W179)</f>
        <v>1.2598079221867138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1.1005683927109302</v>
      </c>
      <c r="D208" s="93">
        <f>IF(TrRoad_act!D69=0,0,TrRoad_emi!D66/TrRoad_tech!D181)</f>
        <v>1.1016187743712373</v>
      </c>
      <c r="E208" s="93">
        <f>IF(TrRoad_act!E69=0,0,TrRoad_emi!E66/TrRoad_tech!E181)</f>
        <v>1.1029453265726497</v>
      </c>
      <c r="F208" s="93">
        <f>IF(TrRoad_act!F69=0,0,TrRoad_emi!F66/TrRoad_tech!F181)</f>
        <v>1.1064056492000638</v>
      </c>
      <c r="G208" s="93">
        <f>IF(TrRoad_act!G69=0,0,TrRoad_emi!G66/TrRoad_tech!G181)</f>
        <v>1.1077185293980896</v>
      </c>
      <c r="H208" s="93">
        <f>IF(TrRoad_act!H69=0,0,TrRoad_emi!H66/TrRoad_tech!H181)</f>
        <v>1.1110475500314221</v>
      </c>
      <c r="I208" s="93">
        <f>IF(TrRoad_act!I69=0,0,TrRoad_emi!I66/TrRoad_tech!I181)</f>
        <v>1.1209221502726976</v>
      </c>
      <c r="J208" s="93">
        <f>IF(TrRoad_act!J69=0,0,TrRoad_emi!J66/TrRoad_tech!J181)</f>
        <v>1.0938281454177299</v>
      </c>
      <c r="K208" s="93">
        <f>IF(TrRoad_act!K69=0,0,TrRoad_emi!K66/TrRoad_tech!K181)</f>
        <v>1.0832491480067274</v>
      </c>
      <c r="L208" s="93">
        <f>IF(TrRoad_act!L69=0,0,TrRoad_emi!L66/TrRoad_tech!L181)</f>
        <v>1.0720507778683315</v>
      </c>
      <c r="M208" s="93">
        <f>IF(TrRoad_act!M69=0,0,TrRoad_emi!M66/TrRoad_tech!M181)</f>
        <v>1.0797790113009973</v>
      </c>
      <c r="N208" s="93">
        <f>IF(TrRoad_act!N69=0,0,TrRoad_emi!N66/TrRoad_tech!N181)</f>
        <v>1.0977706791638011</v>
      </c>
      <c r="O208" s="93">
        <f>IF(TrRoad_act!O69=0,0,TrRoad_emi!O66/TrRoad_tech!O181)</f>
        <v>1.1135889255145621</v>
      </c>
      <c r="P208" s="93">
        <f>IF(TrRoad_act!P69=0,0,TrRoad_emi!P66/TrRoad_tech!P181)</f>
        <v>1.1348677736435258</v>
      </c>
      <c r="Q208" s="93">
        <f>IF(TrRoad_act!Q69=0,0,TrRoad_emi!Q66/TrRoad_tech!Q181)</f>
        <v>1.1728563836905972</v>
      </c>
      <c r="R208" s="93">
        <f>IF(TrRoad_act!R69=0,0,TrRoad_emi!R66/TrRoad_tech!R181)</f>
        <v>1.2183155656678151</v>
      </c>
      <c r="S208" s="93">
        <f>IF(TrRoad_act!S69=0,0,TrRoad_emi!S66/TrRoad_tech!S181)</f>
        <v>1.2256979221971835</v>
      </c>
      <c r="T208" s="93">
        <f>IF(TrRoad_act!T69=0,0,TrRoad_emi!T66/TrRoad_tech!T181)</f>
        <v>1.2117206818983561</v>
      </c>
      <c r="U208" s="93">
        <f>IF(TrRoad_act!U69=0,0,TrRoad_emi!U66/TrRoad_tech!U181)</f>
        <v>1.2168763793973718</v>
      </c>
      <c r="V208" s="93">
        <f>IF(TrRoad_act!V69=0,0,TrRoad_emi!V66/TrRoad_tech!V181)</f>
        <v>1.2251990914771325</v>
      </c>
      <c r="W208" s="93">
        <f>IF(TrRoad_act!W69=0,0,TrRoad_emi!W66/TrRoad_tech!W181)</f>
        <v>1.2382520311668184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1.1000000000067303</v>
      </c>
      <c r="C209" s="93">
        <f>IF(TrRoad_act!C70=0,0,TrRoad_emi!C67/TrRoad_tech!C182)</f>
        <v>1.1000000000067305</v>
      </c>
      <c r="D209" s="93">
        <f>IF(TrRoad_act!D70=0,0,TrRoad_emi!D67/TrRoad_tech!D182)</f>
        <v>1.1000000000067303</v>
      </c>
      <c r="E209" s="93">
        <f>IF(TrRoad_act!E70=0,0,TrRoad_emi!E67/TrRoad_tech!E182)</f>
        <v>1.1001825071767053</v>
      </c>
      <c r="F209" s="93">
        <f>IF(TrRoad_act!F70=0,0,TrRoad_emi!F67/TrRoad_tech!F182)</f>
        <v>1.1182970493693143</v>
      </c>
      <c r="G209" s="93">
        <f>IF(TrRoad_act!G70=0,0,TrRoad_emi!G67/TrRoad_tech!G182)</f>
        <v>1.1194240797422004</v>
      </c>
      <c r="H209" s="93">
        <f>IF(TrRoad_act!H70=0,0,TrRoad_emi!H67/TrRoad_tech!H182)</f>
        <v>1.1201166254227686</v>
      </c>
      <c r="I209" s="93">
        <f>IF(TrRoad_act!I70=0,0,TrRoad_emi!I67/TrRoad_tech!I182)</f>
        <v>1.1208198826644713</v>
      </c>
      <c r="J209" s="93">
        <f>IF(TrRoad_act!J70=0,0,TrRoad_emi!J67/TrRoad_tech!J182)</f>
        <v>1.1219008043917209</v>
      </c>
      <c r="K209" s="93">
        <f>IF(TrRoad_act!K70=0,0,TrRoad_emi!K67/TrRoad_tech!K182)</f>
        <v>1.1226883756242747</v>
      </c>
      <c r="L209" s="93">
        <f>IF(TrRoad_act!L70=0,0,TrRoad_emi!L67/TrRoad_tech!L182)</f>
        <v>1.1239323783474238</v>
      </c>
      <c r="M209" s="93">
        <f>IF(TrRoad_act!M70=0,0,TrRoad_emi!M67/TrRoad_tech!M182)</f>
        <v>1.1253598729734116</v>
      </c>
      <c r="N209" s="93">
        <f>IF(TrRoad_act!N70=0,0,TrRoad_emi!N67/TrRoad_tech!N182)</f>
        <v>1.1268953569567219</v>
      </c>
      <c r="O209" s="93">
        <f>IF(TrRoad_act!O70=0,0,TrRoad_emi!O67/TrRoad_tech!O182)</f>
        <v>1.1285102365655681</v>
      </c>
      <c r="P209" s="93">
        <f>IF(TrRoad_act!P70=0,0,TrRoad_emi!P67/TrRoad_tech!P182)</f>
        <v>1.1302220080750633</v>
      </c>
      <c r="Q209" s="93">
        <f>IF(TrRoad_act!Q70=0,0,TrRoad_emi!Q67/TrRoad_tech!Q182)</f>
        <v>1.131354102997927</v>
      </c>
      <c r="R209" s="93">
        <f>IF(TrRoad_act!R70=0,0,TrRoad_emi!R67/TrRoad_tech!R182)</f>
        <v>1.1327560728724095</v>
      </c>
      <c r="S209" s="93">
        <f>IF(TrRoad_act!S70=0,0,TrRoad_emi!S67/TrRoad_tech!S182)</f>
        <v>1.1355236647717522</v>
      </c>
      <c r="T209" s="93">
        <f>IF(TrRoad_act!T70=0,0,TrRoad_emi!T67/TrRoad_tech!T182)</f>
        <v>1.1719254404636761</v>
      </c>
      <c r="U209" s="93">
        <f>IF(TrRoad_act!U70=0,0,TrRoad_emi!U67/TrRoad_tech!U182)</f>
        <v>1.1770779349105571</v>
      </c>
      <c r="V209" s="93">
        <f>IF(TrRoad_act!V70=0,0,TrRoad_emi!V67/TrRoad_tech!V182)</f>
        <v>1.1821236331430049</v>
      </c>
      <c r="W209" s="93">
        <f>IF(TrRoad_act!W70=0,0,TrRoad_emi!W67/TrRoad_tech!W182)</f>
        <v>1.1893465442251285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1.3000000000070033</v>
      </c>
      <c r="R210" s="93">
        <f>IF(TrRoad_act!R71=0,0,TrRoad_emi!R68/TrRoad_tech!R183)</f>
        <v>1.2151883329053228</v>
      </c>
      <c r="S210" s="93">
        <f>IF(TrRoad_act!S71=0,0,TrRoad_emi!S68/TrRoad_tech!S183)</f>
        <v>0.97642838554068156</v>
      </c>
      <c r="T210" s="93">
        <f>IF(TrRoad_act!T71=0,0,TrRoad_emi!T68/TrRoad_tech!T183)</f>
        <v>1.0605294561732455</v>
      </c>
      <c r="U210" s="93">
        <f>IF(TrRoad_act!U71=0,0,TrRoad_emi!U68/TrRoad_tech!U183)</f>
        <v>1.1212286074192139</v>
      </c>
      <c r="V210" s="93">
        <f>IF(TrRoad_act!V71=0,0,TrRoad_emi!V68/TrRoad_tech!V183)</f>
        <v>1.073139395013089</v>
      </c>
      <c r="W210" s="93">
        <f>IF(TrRoad_act!W71=0,0,TrRoad_emi!W68/TrRoad_tech!W183)</f>
        <v>1.3537407825183609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1.157053972499922</v>
      </c>
      <c r="C213" s="150">
        <f>IF(TrRoad_act!C74=0,0,TrRoad_emi!C71/TrRoad_tech!C186)</f>
        <v>1.1210667594321251</v>
      </c>
      <c r="D213" s="150">
        <f>IF(TrRoad_act!D74=0,0,TrRoad_emi!D71/TrRoad_tech!D186)</f>
        <v>1.1319926813573227</v>
      </c>
      <c r="E213" s="150">
        <f>IF(TrRoad_act!E74=0,0,TrRoad_emi!E71/TrRoad_tech!E186)</f>
        <v>1.1286216333865611</v>
      </c>
      <c r="F213" s="150">
        <f>IF(TrRoad_act!F74=0,0,TrRoad_emi!F71/TrRoad_tech!F186)</f>
        <v>1.1083596275465615</v>
      </c>
      <c r="G213" s="150">
        <f>IF(TrRoad_act!G74=0,0,TrRoad_emi!G71/TrRoad_tech!G186)</f>
        <v>1.0902703804865768</v>
      </c>
      <c r="H213" s="150">
        <f>IF(TrRoad_act!H74=0,0,TrRoad_emi!H71/TrRoad_tech!H186)</f>
        <v>1.106094147906781</v>
      </c>
      <c r="I213" s="150">
        <f>IF(TrRoad_act!I74=0,0,TrRoad_emi!I71/TrRoad_tech!I186)</f>
        <v>1.1179816342131439</v>
      </c>
      <c r="J213" s="150">
        <f>IF(TrRoad_act!J74=0,0,TrRoad_emi!J71/TrRoad_tech!J186)</f>
        <v>1.1424633022476061</v>
      </c>
      <c r="K213" s="150">
        <f>IF(TrRoad_act!K74=0,0,TrRoad_emi!K71/TrRoad_tech!K186)</f>
        <v>1.1637363650986703</v>
      </c>
      <c r="L213" s="150">
        <f>IF(TrRoad_act!L74=0,0,TrRoad_emi!L71/TrRoad_tech!L186)</f>
        <v>1.222294369315122</v>
      </c>
      <c r="M213" s="150">
        <f>IF(TrRoad_act!M74=0,0,TrRoad_emi!M71/TrRoad_tech!M186)</f>
        <v>1.2363772803719111</v>
      </c>
      <c r="N213" s="150">
        <f>IF(TrRoad_act!N74=0,0,TrRoad_emi!N71/TrRoad_tech!N186)</f>
        <v>1.2435487067846043</v>
      </c>
      <c r="O213" s="150">
        <f>IF(TrRoad_act!O74=0,0,TrRoad_emi!O71/TrRoad_tech!O186)</f>
        <v>1.2162546357556232</v>
      </c>
      <c r="P213" s="150">
        <f>IF(TrRoad_act!P74=0,0,TrRoad_emi!P71/TrRoad_tech!P186)</f>
        <v>1.2002345397713363</v>
      </c>
      <c r="Q213" s="150">
        <f>IF(TrRoad_act!Q74=0,0,TrRoad_emi!Q71/TrRoad_tech!Q186)</f>
        <v>1.1664123738099608</v>
      </c>
      <c r="R213" s="150">
        <f>IF(TrRoad_act!R74=0,0,TrRoad_emi!R71/TrRoad_tech!R186)</f>
        <v>1.1803185040601167</v>
      </c>
      <c r="S213" s="150">
        <f>IF(TrRoad_act!S74=0,0,TrRoad_emi!S71/TrRoad_tech!S186)</f>
        <v>1.2378025804935244</v>
      </c>
      <c r="T213" s="150">
        <f>IF(TrRoad_act!T74=0,0,TrRoad_emi!T71/TrRoad_tech!T186)</f>
        <v>1.167883764574144</v>
      </c>
      <c r="U213" s="150">
        <f>IF(TrRoad_act!U74=0,0,TrRoad_emi!U71/TrRoad_tech!U186)</f>
        <v>1.1331354826803979</v>
      </c>
      <c r="V213" s="150">
        <f>IF(TrRoad_act!V74=0,0,TrRoad_emi!V71/TrRoad_tech!V186)</f>
        <v>1.096678247397068</v>
      </c>
      <c r="W213" s="150">
        <f>IF(TrRoad_act!W74=0,0,TrRoad_emi!W71/TrRoad_tech!W186)</f>
        <v>1.2356034831309868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1.1000086455982117</v>
      </c>
      <c r="D214" s="91">
        <f>IF(TrRoad_act!D75=0,0,TrRoad_emi!D72/TrRoad_tech!D187)</f>
        <v>1.1000408071256602</v>
      </c>
      <c r="E214" s="91">
        <f>IF(TrRoad_act!E75=0,0,TrRoad_emi!E72/TrRoad_tech!E187)</f>
        <v>1.0928477303532369</v>
      </c>
      <c r="F214" s="91">
        <f>IF(TrRoad_act!F75=0,0,TrRoad_emi!F72/TrRoad_tech!F187)</f>
        <v>1.0967748242688187</v>
      </c>
      <c r="G214" s="91">
        <f>IF(TrRoad_act!G75=0,0,TrRoad_emi!G72/TrRoad_tech!G187)</f>
        <v>1.0913147665505327</v>
      </c>
      <c r="H214" s="91">
        <f>IF(TrRoad_act!H75=0,0,TrRoad_emi!H72/TrRoad_tech!H187)</f>
        <v>1.0865640195719166</v>
      </c>
      <c r="I214" s="91">
        <f>IF(TrRoad_act!I75=0,0,TrRoad_emi!I72/TrRoad_tech!I187)</f>
        <v>1.0834218035679044</v>
      </c>
      <c r="J214" s="91">
        <f>IF(TrRoad_act!J75=0,0,TrRoad_emi!J72/TrRoad_tech!J187)</f>
        <v>1.0717050652225129</v>
      </c>
      <c r="K214" s="91">
        <f>IF(TrRoad_act!K75=0,0,TrRoad_emi!K72/TrRoad_tech!K187)</f>
        <v>1.0652430360224454</v>
      </c>
      <c r="L214" s="91">
        <f>IF(TrRoad_act!L75=0,0,TrRoad_emi!L72/TrRoad_tech!L187)</f>
        <v>1.0689377663077022</v>
      </c>
      <c r="M214" s="91">
        <f>IF(TrRoad_act!M75=0,0,TrRoad_emi!M72/TrRoad_tech!M187)</f>
        <v>1.072851177865068</v>
      </c>
      <c r="N214" s="91">
        <f>IF(TrRoad_act!N75=0,0,TrRoad_emi!N72/TrRoad_tech!N187)</f>
        <v>1.0819963139938034</v>
      </c>
      <c r="O214" s="91">
        <f>IF(TrRoad_act!O75=0,0,TrRoad_emi!O72/TrRoad_tech!O187)</f>
        <v>1.0853695170008044</v>
      </c>
      <c r="P214" s="91">
        <f>IF(TrRoad_act!P75=0,0,TrRoad_emi!P72/TrRoad_tech!P187)</f>
        <v>1.0939628800624763</v>
      </c>
      <c r="Q214" s="91">
        <f>IF(TrRoad_act!Q75=0,0,TrRoad_emi!Q72/TrRoad_tech!Q187)</f>
        <v>1.0963867009958699</v>
      </c>
      <c r="R214" s="91">
        <f>IF(TrRoad_act!R75=0,0,TrRoad_emi!R72/TrRoad_tech!R187)</f>
        <v>1.1021860878341299</v>
      </c>
      <c r="S214" s="91">
        <f>IF(TrRoad_act!S75=0,0,TrRoad_emi!S72/TrRoad_tech!S187)</f>
        <v>1.1156683115315913</v>
      </c>
      <c r="T214" s="91">
        <f>IF(TrRoad_act!T75=0,0,TrRoad_emi!T72/TrRoad_tech!T187)</f>
        <v>1.1339998077272668</v>
      </c>
      <c r="U214" s="91">
        <f>IF(TrRoad_act!U75=0,0,TrRoad_emi!U72/TrRoad_tech!U187)</f>
        <v>1.1394644385559376</v>
      </c>
      <c r="V214" s="91">
        <f>IF(TrRoad_act!V75=0,0,TrRoad_emi!V72/TrRoad_tech!V187)</f>
        <v>1.1503523009798633</v>
      </c>
      <c r="W214" s="91">
        <f>IF(TrRoad_act!W75=0,0,TrRoad_emi!W72/TrRoad_tech!W187)</f>
        <v>1.1656896464018678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1.1000851333695765</v>
      </c>
      <c r="D215" s="91">
        <f>IF(TrRoad_act!D76=0,0,TrRoad_emi!D73/TrRoad_tech!D188)</f>
        <v>1.1003667885640218</v>
      </c>
      <c r="E215" s="91">
        <f>IF(TrRoad_act!E76=0,0,TrRoad_emi!E73/TrRoad_tech!E188)</f>
        <v>1.1006985169633561</v>
      </c>
      <c r="F215" s="91">
        <f>IF(TrRoad_act!F76=0,0,TrRoad_emi!F73/TrRoad_tech!F188)</f>
        <v>1.1011293046000639</v>
      </c>
      <c r="G215" s="91">
        <f>IF(TrRoad_act!G76=0,0,TrRoad_emi!G73/TrRoad_tech!G188)</f>
        <v>1.0988602979786526</v>
      </c>
      <c r="H215" s="91">
        <f>IF(TrRoad_act!H76=0,0,TrRoad_emi!H73/TrRoad_tech!H188)</f>
        <v>1.0974293228547034</v>
      </c>
      <c r="I215" s="91">
        <f>IF(TrRoad_act!I76=0,0,TrRoad_emi!I73/TrRoad_tech!I188)</f>
        <v>1.1024648917215421</v>
      </c>
      <c r="J215" s="91">
        <f>IF(TrRoad_act!J76=0,0,TrRoad_emi!J73/TrRoad_tech!J188)</f>
        <v>1.0704492646273578</v>
      </c>
      <c r="K215" s="91">
        <f>IF(TrRoad_act!K76=0,0,TrRoad_emi!K73/TrRoad_tech!K188)</f>
        <v>1.0570853493546954</v>
      </c>
      <c r="L215" s="91">
        <f>IF(TrRoad_act!L76=0,0,TrRoad_emi!L73/TrRoad_tech!L188)</f>
        <v>1.0420164768604441</v>
      </c>
      <c r="M215" s="91">
        <f>IF(TrRoad_act!M76=0,0,TrRoad_emi!M73/TrRoad_tech!M188)</f>
        <v>1.0442315752145472</v>
      </c>
      <c r="N215" s="91">
        <f>IF(TrRoad_act!N76=0,0,TrRoad_emi!N73/TrRoad_tech!N188)</f>
        <v>1.0547722571717051</v>
      </c>
      <c r="O215" s="91">
        <f>IF(TrRoad_act!O76=0,0,TrRoad_emi!O73/TrRoad_tech!O188)</f>
        <v>1.0634509959921292</v>
      </c>
      <c r="P215" s="91">
        <f>IF(TrRoad_act!P76=0,0,TrRoad_emi!P73/TrRoad_tech!P188)</f>
        <v>1.0761526183605485</v>
      </c>
      <c r="Q215" s="91">
        <f>IF(TrRoad_act!Q76=0,0,TrRoad_emi!Q73/TrRoad_tech!Q188)</f>
        <v>1.0979745301190784</v>
      </c>
      <c r="R215" s="91">
        <f>IF(TrRoad_act!R76=0,0,TrRoad_emi!R73/TrRoad_tech!R188)</f>
        <v>1.1368059664088388</v>
      </c>
      <c r="S215" s="91">
        <f>IF(TrRoad_act!S76=0,0,TrRoad_emi!S73/TrRoad_tech!S188)</f>
        <v>1.1419547155073664</v>
      </c>
      <c r="T215" s="91">
        <f>IF(TrRoad_act!T76=0,0,TrRoad_emi!T73/TrRoad_tech!T188)</f>
        <v>1.130337762024652</v>
      </c>
      <c r="U215" s="91">
        <f>IF(TrRoad_act!U76=0,0,TrRoad_emi!U73/TrRoad_tech!U188)</f>
        <v>1.1414996999046996</v>
      </c>
      <c r="V215" s="91">
        <f>IF(TrRoad_act!V76=0,0,TrRoad_emi!V73/TrRoad_tech!V188)</f>
        <v>1.1553947752577822</v>
      </c>
      <c r="W215" s="91">
        <f>IF(TrRoad_act!W76=0,0,TrRoad_emi!W73/TrRoad_tech!W188)</f>
        <v>1.1734392335287904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1.1000560299568833</v>
      </c>
      <c r="D216" s="91">
        <f>IF(TrRoad_act!D77=0,0,TrRoad_emi!D74/TrRoad_tech!D189)</f>
        <v>1.1003362419770362</v>
      </c>
      <c r="E216" s="91">
        <f>IF(TrRoad_act!E77=0,0,TrRoad_emi!E74/TrRoad_tech!E189)</f>
        <v>1.1005360050053883</v>
      </c>
      <c r="F216" s="91">
        <f>IF(TrRoad_act!F77=0,0,TrRoad_emi!F74/TrRoad_tech!F189)</f>
        <v>1.1006203271313635</v>
      </c>
      <c r="G216" s="91">
        <f>IF(TrRoad_act!G77=0,0,TrRoad_emi!G74/TrRoad_tech!G189)</f>
        <v>1.1008994496531632</v>
      </c>
      <c r="H216" s="91">
        <f>IF(TrRoad_act!H77=0,0,TrRoad_emi!H74/TrRoad_tech!H189)</f>
        <v>1.1020029200827459</v>
      </c>
      <c r="I216" s="91">
        <f>IF(TrRoad_act!I77=0,0,TrRoad_emi!I74/TrRoad_tech!I189)</f>
        <v>1.1030673496093488</v>
      </c>
      <c r="J216" s="91">
        <f>IF(TrRoad_act!J77=0,0,TrRoad_emi!J74/TrRoad_tech!J189)</f>
        <v>1.1040683127237281</v>
      </c>
      <c r="K216" s="91">
        <f>IF(TrRoad_act!K77=0,0,TrRoad_emi!K74/TrRoad_tech!K189)</f>
        <v>1.1046961818991978</v>
      </c>
      <c r="L216" s="91">
        <f>IF(TrRoad_act!L77=0,0,TrRoad_emi!L74/TrRoad_tech!L189)</f>
        <v>1.1057044504732567</v>
      </c>
      <c r="M216" s="91">
        <f>IF(TrRoad_act!M77=0,0,TrRoad_emi!M74/TrRoad_tech!M189)</f>
        <v>1.1071856199413013</v>
      </c>
      <c r="N216" s="91">
        <f>IF(TrRoad_act!N77=0,0,TrRoad_emi!N74/TrRoad_tech!N189)</f>
        <v>1.109730491682867</v>
      </c>
      <c r="O216" s="91">
        <f>IF(TrRoad_act!O77=0,0,TrRoad_emi!O74/TrRoad_tech!O189)</f>
        <v>1.1114034238729569</v>
      </c>
      <c r="P216" s="91">
        <f>IF(TrRoad_act!P77=0,0,TrRoad_emi!P74/TrRoad_tech!P189)</f>
        <v>1.1206051810134472</v>
      </c>
      <c r="Q216" s="91">
        <f>IF(TrRoad_act!Q77=0,0,TrRoad_emi!Q74/TrRoad_tech!Q189)</f>
        <v>1.1227766378137931</v>
      </c>
      <c r="R216" s="91">
        <f>IF(TrRoad_act!R77=0,0,TrRoad_emi!R74/TrRoad_tech!R189)</f>
        <v>1.1299474995337198</v>
      </c>
      <c r="S216" s="91">
        <f>IF(TrRoad_act!S77=0,0,TrRoad_emi!S74/TrRoad_tech!S189)</f>
        <v>1.1350869574645881</v>
      </c>
      <c r="T216" s="91">
        <f>IF(TrRoad_act!T77=0,0,TrRoad_emi!T74/TrRoad_tech!T189)</f>
        <v>1.1421063766880406</v>
      </c>
      <c r="U216" s="91">
        <f>IF(TrRoad_act!U77=0,0,TrRoad_emi!U74/TrRoad_tech!U189)</f>
        <v>1.1442479935989871</v>
      </c>
      <c r="V216" s="91">
        <f>IF(TrRoad_act!V77=0,0,TrRoad_emi!V74/TrRoad_tech!V189)</f>
        <v>1.1448455620651761</v>
      </c>
      <c r="W216" s="91">
        <f>IF(TrRoad_act!W77=0,0,TrRoad_emi!W74/TrRoad_tech!W189)</f>
        <v>1.1479405313478424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1.3000000000070031</v>
      </c>
      <c r="R217" s="91">
        <f>IF(TrRoad_act!R78=0,0,TrRoad_emi!R75/TrRoad_tech!R190)</f>
        <v>1.3027336920798993</v>
      </c>
      <c r="S217" s="91">
        <f>IF(TrRoad_act!S78=0,0,TrRoad_emi!S75/TrRoad_tech!S190)</f>
        <v>1.3042979546065585</v>
      </c>
      <c r="T217" s="91">
        <f>IF(TrRoad_act!T78=0,0,TrRoad_emi!T75/TrRoad_tech!T190)</f>
        <v>1.3058366898315825</v>
      </c>
      <c r="U217" s="91">
        <f>IF(TrRoad_act!U78=0,0,TrRoad_emi!U75/TrRoad_tech!U190)</f>
        <v>1.3066704084981187</v>
      </c>
      <c r="V217" s="91">
        <f>IF(TrRoad_act!V78=0,0,TrRoad_emi!V75/TrRoad_tech!V190)</f>
        <v>1.3096488758954687</v>
      </c>
      <c r="W217" s="91">
        <f>IF(TrRoad_act!W78=0,0,TrRoad_emi!W75/TrRoad_tech!W190)</f>
        <v>1.3113792163464655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0.37558572224816728</v>
      </c>
      <c r="C219" s="151">
        <f>IF(TrRoad_act!C80=0,0,TrRoad_emi!C77/TrRoad_tech!C192)</f>
        <v>0.47011717515636842</v>
      </c>
      <c r="D219" s="151">
        <f>IF(TrRoad_act!D80=0,0,TrRoad_emi!D77/TrRoad_tech!D192)</f>
        <v>0.34277254170395877</v>
      </c>
      <c r="E219" s="151">
        <f>IF(TrRoad_act!E80=0,0,TrRoad_emi!E77/TrRoad_tech!E192)</f>
        <v>0.54391335577540312</v>
      </c>
      <c r="F219" s="151">
        <f>IF(TrRoad_act!F80=0,0,TrRoad_emi!F77/TrRoad_tech!F192)</f>
        <v>0.7000626054759661</v>
      </c>
      <c r="G219" s="151">
        <f>IF(TrRoad_act!G80=0,0,TrRoad_emi!G77/TrRoad_tech!G192)</f>
        <v>0.94353549253925018</v>
      </c>
      <c r="H219" s="151">
        <f>IF(TrRoad_act!H80=0,0,TrRoad_emi!H77/TrRoad_tech!H192)</f>
        <v>1.0707395495513206</v>
      </c>
      <c r="I219" s="151">
        <f>IF(TrRoad_act!I80=0,0,TrRoad_emi!I77/TrRoad_tech!I192)</f>
        <v>1.2106339612974906</v>
      </c>
      <c r="J219" s="151">
        <f>IF(TrRoad_act!J80=0,0,TrRoad_emi!J77/TrRoad_tech!J192)</f>
        <v>1.2006010269819534</v>
      </c>
      <c r="K219" s="151">
        <f>IF(TrRoad_act!K80=0,0,TrRoad_emi!K77/TrRoad_tech!K192)</f>
        <v>1.0836602268864335</v>
      </c>
      <c r="L219" s="151">
        <f>IF(TrRoad_act!L80=0,0,TrRoad_emi!L77/TrRoad_tech!L192)</f>
        <v>1.1160784979256917</v>
      </c>
      <c r="M219" s="151">
        <f>IF(TrRoad_act!M80=0,0,TrRoad_emi!M77/TrRoad_tech!M192)</f>
        <v>1.0308400022503592</v>
      </c>
      <c r="N219" s="151">
        <f>IF(TrRoad_act!N80=0,0,TrRoad_emi!N77/TrRoad_tech!N192)</f>
        <v>0.88134517870601425</v>
      </c>
      <c r="O219" s="151">
        <f>IF(TrRoad_act!O80=0,0,TrRoad_emi!O77/TrRoad_tech!O192)</f>
        <v>0.68165721879522456</v>
      </c>
      <c r="P219" s="151">
        <f>IF(TrRoad_act!P80=0,0,TrRoad_emi!P77/TrRoad_tech!P192)</f>
        <v>0.72970159594735307</v>
      </c>
      <c r="Q219" s="151">
        <f>IF(TrRoad_act!Q80=0,0,TrRoad_emi!Q77/TrRoad_tech!Q192)</f>
        <v>0.74650288805056597</v>
      </c>
      <c r="R219" s="151">
        <f>IF(TrRoad_act!R80=0,0,TrRoad_emi!R77/TrRoad_tech!R192)</f>
        <v>1.0112932299233157</v>
      </c>
      <c r="S219" s="151">
        <f>IF(TrRoad_act!S80=0,0,TrRoad_emi!S77/TrRoad_tech!S192)</f>
        <v>1.282849875996058</v>
      </c>
      <c r="T219" s="151">
        <f>IF(TrRoad_act!T80=0,0,TrRoad_emi!T77/TrRoad_tech!T192)</f>
        <v>1.3643366219491415</v>
      </c>
      <c r="U219" s="151">
        <f>IF(TrRoad_act!U80=0,0,TrRoad_emi!U77/TrRoad_tech!U192)</f>
        <v>1.3553674479888245</v>
      </c>
      <c r="V219" s="151">
        <f>IF(TrRoad_act!V80=0,0,TrRoad_emi!V77/TrRoad_tech!V192)</f>
        <v>1.2296691909565249</v>
      </c>
      <c r="W219" s="151">
        <f>IF(TrRoad_act!W80=0,0,TrRoad_emi!W77/TrRoad_tech!W192)</f>
        <v>1.5339830429995909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0.38956932635941255</v>
      </c>
      <c r="C220" s="93">
        <f>IF(TrRoad_act!C81=0,0,TrRoad_emi!C78/TrRoad_tech!C193)</f>
        <v>0.48806076130596437</v>
      </c>
      <c r="D220" s="93">
        <f>IF(TrRoad_act!D81=0,0,TrRoad_emi!D78/TrRoad_tech!D193)</f>
        <v>0.35587564902967983</v>
      </c>
      <c r="E220" s="93">
        <f>IF(TrRoad_act!E81=0,0,TrRoad_emi!E78/TrRoad_tech!E193)</f>
        <v>0.56619427782441656</v>
      </c>
      <c r="F220" s="93">
        <f>IF(TrRoad_act!F81=0,0,TrRoad_emi!F78/TrRoad_tech!F193)</f>
        <v>0.73088555367438923</v>
      </c>
      <c r="G220" s="93">
        <f>IF(TrRoad_act!G81=0,0,TrRoad_emi!G78/TrRoad_tech!G193)</f>
        <v>0.98635268049015357</v>
      </c>
      <c r="H220" s="93">
        <f>IF(TrRoad_act!H81=0,0,TrRoad_emi!H78/TrRoad_tech!H193)</f>
        <v>1.1169714037714924</v>
      </c>
      <c r="I220" s="93">
        <f>IF(TrRoad_act!I81=0,0,TrRoad_emi!I78/TrRoad_tech!I193)</f>
        <v>1.2664735230254507</v>
      </c>
      <c r="J220" s="93">
        <f>IF(TrRoad_act!J81=0,0,TrRoad_emi!J78/TrRoad_tech!J193)</f>
        <v>1.2575761695250265</v>
      </c>
      <c r="K220" s="93">
        <f>IF(TrRoad_act!K81=0,0,TrRoad_emi!K78/TrRoad_tech!K193)</f>
        <v>1.1383208881513007</v>
      </c>
      <c r="L220" s="93">
        <f>IF(TrRoad_act!L81=0,0,TrRoad_emi!L78/TrRoad_tech!L193)</f>
        <v>1.1710889220510712</v>
      </c>
      <c r="M220" s="93">
        <f>IF(TrRoad_act!M81=0,0,TrRoad_emi!M78/TrRoad_tech!M193)</f>
        <v>1.0818465242497894</v>
      </c>
      <c r="N220" s="93">
        <f>IF(TrRoad_act!N81=0,0,TrRoad_emi!N78/TrRoad_tech!N193)</f>
        <v>0.92278143267418911</v>
      </c>
      <c r="O220" s="93">
        <f>IF(TrRoad_act!O81=0,0,TrRoad_emi!O78/TrRoad_tech!O193)</f>
        <v>0.71362445308466838</v>
      </c>
      <c r="P220" s="93">
        <f>IF(TrRoad_act!P81=0,0,TrRoad_emi!P78/TrRoad_tech!P193)</f>
        <v>0.76282652688130592</v>
      </c>
      <c r="Q220" s="93">
        <f>IF(TrRoad_act!Q81=0,0,TrRoad_emi!Q78/TrRoad_tech!Q193)</f>
        <v>0.78046422174589192</v>
      </c>
      <c r="R220" s="93">
        <f>IF(TrRoad_act!R81=0,0,TrRoad_emi!R78/TrRoad_tech!R193)</f>
        <v>1.0541172043346221</v>
      </c>
      <c r="S220" s="93">
        <f>IF(TrRoad_act!S81=0,0,TrRoad_emi!S78/TrRoad_tech!S193)</f>
        <v>1.3352482951429538</v>
      </c>
      <c r="T220" s="93">
        <f>IF(TrRoad_act!T81=0,0,TrRoad_emi!T78/TrRoad_tech!T193)</f>
        <v>1.4214337174590779</v>
      </c>
      <c r="U220" s="93">
        <f>IF(TrRoad_act!U81=0,0,TrRoad_emi!U78/TrRoad_tech!U193)</f>
        <v>1.4063372779436856</v>
      </c>
      <c r="V220" s="93">
        <f>IF(TrRoad_act!V81=0,0,TrRoad_emi!V78/TrRoad_tech!V193)</f>
        <v>1.2773164388537475</v>
      </c>
      <c r="W220" s="93">
        <f>IF(TrRoad_act!W81=0,0,TrRoad_emi!W78/TrRoad_tech!W193)</f>
        <v>1.5923825055479515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0.38956932635941238</v>
      </c>
      <c r="C221" s="94">
        <f>IF(TrRoad_act!C82=0,0,TrRoad_emi!C79/TrRoad_tech!C194)</f>
        <v>0.48816000535937193</v>
      </c>
      <c r="D221" s="94">
        <f>IF(TrRoad_act!D82=0,0,TrRoad_emi!D79/TrRoad_tech!D194)</f>
        <v>0.35581993071890494</v>
      </c>
      <c r="E221" s="94">
        <f>IF(TrRoad_act!E82=0,0,TrRoad_emi!E79/TrRoad_tech!E194)</f>
        <v>0.56654057079939579</v>
      </c>
      <c r="F221" s="94">
        <f>IF(TrRoad_act!F82=0,0,TrRoad_emi!F79/TrRoad_tech!F194)</f>
        <v>0.73386311851404895</v>
      </c>
      <c r="G221" s="94">
        <f>IF(TrRoad_act!G82=0,0,TrRoad_emi!G79/TrRoad_tech!G194)</f>
        <v>0.99141295311583089</v>
      </c>
      <c r="H221" s="94">
        <f>IF(TrRoad_act!H82=0,0,TrRoad_emi!H79/TrRoad_tech!H194)</f>
        <v>1.1280034624147435</v>
      </c>
      <c r="I221" s="94">
        <f>IF(TrRoad_act!I82=0,0,TrRoad_emi!I79/TrRoad_tech!I194)</f>
        <v>1.2731943414575155</v>
      </c>
      <c r="J221" s="94">
        <f>IF(TrRoad_act!J82=0,0,TrRoad_emi!J79/TrRoad_tech!J194)</f>
        <v>1.2626457301045582</v>
      </c>
      <c r="K221" s="94">
        <f>IF(TrRoad_act!K82=0,0,TrRoad_emi!K79/TrRoad_tech!K194)</f>
        <v>1.1418608280852633</v>
      </c>
      <c r="L221" s="94">
        <f>IF(TrRoad_act!L82=0,0,TrRoad_emi!L79/TrRoad_tech!L194)</f>
        <v>1.1841650962359058</v>
      </c>
      <c r="M221" s="94">
        <f>IF(TrRoad_act!M82=0,0,TrRoad_emi!M79/TrRoad_tech!M194)</f>
        <v>1.0957225906987575</v>
      </c>
      <c r="N221" s="94">
        <f>IF(TrRoad_act!N82=0,0,TrRoad_emi!N79/TrRoad_tech!N194)</f>
        <v>0.93840247550129097</v>
      </c>
      <c r="O221" s="94">
        <f>IF(TrRoad_act!O82=0,0,TrRoad_emi!O79/TrRoad_tech!O194)</f>
        <v>0.72687060821791949</v>
      </c>
      <c r="P221" s="94">
        <f>IF(TrRoad_act!P82=0,0,TrRoad_emi!P79/TrRoad_tech!P194)</f>
        <v>0.77661984311874455</v>
      </c>
      <c r="Q221" s="94">
        <f>IF(TrRoad_act!Q82=0,0,TrRoad_emi!Q79/TrRoad_tech!Q194)</f>
        <v>0.79541573247654695</v>
      </c>
      <c r="R221" s="94">
        <f>IF(TrRoad_act!R82=0,0,TrRoad_emi!R79/TrRoad_tech!R194)</f>
        <v>1.0817276541429672</v>
      </c>
      <c r="S221" s="94">
        <f>IF(TrRoad_act!S82=0,0,TrRoad_emi!S79/TrRoad_tech!S194)</f>
        <v>1.377875256181343</v>
      </c>
      <c r="T221" s="94">
        <f>IF(TrRoad_act!T82=0,0,TrRoad_emi!T79/TrRoad_tech!T194)</f>
        <v>1.4643312002816444</v>
      </c>
      <c r="U221" s="94">
        <f>IF(TrRoad_act!U82=0,0,TrRoad_emi!U79/TrRoad_tech!U194)</f>
        <v>1.4604603241228828</v>
      </c>
      <c r="V221" s="94">
        <f>IF(TrRoad_act!V82=0,0,TrRoad_emi!V79/TrRoad_tech!V194)</f>
        <v>1.3273613046352317</v>
      </c>
      <c r="W221" s="94">
        <f>IF(TrRoad_act!W82=0,0,TrRoad_emi!W79/TrRoad_tech!W194)</f>
        <v>1.6598054744081161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108.94928610703157</v>
      </c>
      <c r="D225" s="152">
        <v>108.29045269867282</v>
      </c>
      <c r="E225" s="152">
        <v>106.93500873698063</v>
      </c>
      <c r="F225" s="152">
        <v>106.78692232867982</v>
      </c>
      <c r="G225" s="152">
        <v>105.34836864804328</v>
      </c>
      <c r="H225" s="152">
        <v>103.22378201466621</v>
      </c>
      <c r="I225" s="152">
        <v>101.70967404408029</v>
      </c>
      <c r="J225" s="152">
        <v>96.771445652987651</v>
      </c>
      <c r="K225" s="152">
        <v>91.444868211555089</v>
      </c>
      <c r="L225" s="152">
        <v>88.118968367982589</v>
      </c>
      <c r="M225" s="152">
        <v>87.283441090834188</v>
      </c>
      <c r="N225" s="152">
        <v>85.351381167957612</v>
      </c>
      <c r="O225" s="152">
        <v>83.594077738515608</v>
      </c>
      <c r="P225" s="152">
        <v>80.450059898399999</v>
      </c>
      <c r="Q225" s="152">
        <v>78.619210262159399</v>
      </c>
      <c r="R225" s="152">
        <v>77.329914157432924</v>
      </c>
      <c r="S225" s="152">
        <v>76.298477273651756</v>
      </c>
      <c r="T225" s="152">
        <v>75.473327766626838</v>
      </c>
      <c r="U225" s="152">
        <v>74.813208161006884</v>
      </c>
      <c r="V225" s="152">
        <v>74.285112476510932</v>
      </c>
      <c r="W225" s="152">
        <v>73.862635928914145</v>
      </c>
      <c r="DA225" s="174" t="s">
        <v>931</v>
      </c>
    </row>
    <row r="226" spans="1:105" ht="11.45" customHeight="1" x14ac:dyDescent="0.25">
      <c r="A226" s="109" t="s">
        <v>20</v>
      </c>
      <c r="B226" s="116">
        <v>209.74914604707675</v>
      </c>
      <c r="C226" s="116">
        <v>210.76226447707495</v>
      </c>
      <c r="D226" s="116">
        <v>206.27323125634004</v>
      </c>
      <c r="E226" s="116">
        <v>204.97920146743786</v>
      </c>
      <c r="F226" s="116">
        <v>208.42206783822607</v>
      </c>
      <c r="G226" s="116">
        <v>207.31828255645129</v>
      </c>
      <c r="H226" s="116">
        <v>206.91020902887072</v>
      </c>
      <c r="I226" s="116">
        <v>205.0354671572029</v>
      </c>
      <c r="J226" s="116">
        <v>196.02885218406672</v>
      </c>
      <c r="K226" s="116">
        <v>186.50298330649395</v>
      </c>
      <c r="L226" s="116">
        <v>179.78950831654421</v>
      </c>
      <c r="M226" s="116">
        <v>177.89160866570339</v>
      </c>
      <c r="N226" s="116">
        <v>172.80089191580271</v>
      </c>
      <c r="O226" s="116">
        <v>167.8206831004774</v>
      </c>
      <c r="P226" s="116">
        <v>162.00125762242226</v>
      </c>
      <c r="Q226" s="116">
        <v>157.04445034052122</v>
      </c>
      <c r="R226" s="116">
        <v>155.44198009877579</v>
      </c>
      <c r="S226" s="116">
        <v>156.36092389026555</v>
      </c>
      <c r="T226" s="116">
        <v>157.56493314301693</v>
      </c>
      <c r="U226" s="116">
        <v>157.00817750848103</v>
      </c>
      <c r="V226" s="116">
        <v>150.28507784765694</v>
      </c>
      <c r="W226" s="116">
        <v>140.36281824322856</v>
      </c>
      <c r="DA226" s="176" t="s">
        <v>932</v>
      </c>
    </row>
    <row r="227" spans="1:105" ht="11.45" customHeight="1" x14ac:dyDescent="0.25">
      <c r="A227" s="111" t="s">
        <v>110</v>
      </c>
      <c r="B227" s="87">
        <v>217.35290647133655</v>
      </c>
      <c r="C227" s="87">
        <v>216.16961762607838</v>
      </c>
      <c r="D227" s="87">
        <v>214.86240606872789</v>
      </c>
      <c r="E227" s="87">
        <v>212.17302816289447</v>
      </c>
      <c r="F227" s="87">
        <v>211.8792053816552</v>
      </c>
      <c r="G227" s="87">
        <v>209.02492693533026</v>
      </c>
      <c r="H227" s="87">
        <v>204.80946948203945</v>
      </c>
      <c r="I227" s="87">
        <v>201.80528145344957</v>
      </c>
      <c r="J227" s="87">
        <v>192.00719115661147</v>
      </c>
      <c r="K227" s="87">
        <v>181.43856560693149</v>
      </c>
      <c r="L227" s="87">
        <v>174.83915639048251</v>
      </c>
      <c r="M227" s="87">
        <v>173.06925662477033</v>
      </c>
      <c r="N227" s="87">
        <v>169.26210277475872</v>
      </c>
      <c r="O227" s="87">
        <v>165.84017885842397</v>
      </c>
      <c r="P227" s="87">
        <v>159.70612361944728</v>
      </c>
      <c r="Q227" s="87">
        <v>156.08269241220077</v>
      </c>
      <c r="R227" s="87">
        <v>154.73593189291995</v>
      </c>
      <c r="S227" s="87">
        <v>151.77427508514873</v>
      </c>
      <c r="T227" s="87">
        <v>154.4427189309109</v>
      </c>
      <c r="U227" s="87">
        <v>152.74685292332899</v>
      </c>
      <c r="V227" s="87">
        <v>145.58617524777571</v>
      </c>
      <c r="W227" s="87">
        <v>136.74264613243261</v>
      </c>
      <c r="DA227" s="171" t="s">
        <v>933</v>
      </c>
    </row>
    <row r="228" spans="1:105" ht="11.45" customHeight="1" x14ac:dyDescent="0.25">
      <c r="A228" s="111" t="s">
        <v>111</v>
      </c>
      <c r="B228" s="87">
        <v>212.08728653813017</v>
      </c>
      <c r="C228" s="87">
        <v>211.98191863917353</v>
      </c>
      <c r="D228" s="87">
        <v>211.86490459083115</v>
      </c>
      <c r="E228" s="87">
        <v>212.3475875402433</v>
      </c>
      <c r="F228" s="87">
        <v>210.94707564914589</v>
      </c>
      <c r="G228" s="87">
        <v>211.57602615898602</v>
      </c>
      <c r="H228" s="87">
        <v>212.93265778195502</v>
      </c>
      <c r="I228" s="87">
        <v>210.97267247222092</v>
      </c>
      <c r="J228" s="87">
        <v>201.45431097737406</v>
      </c>
      <c r="K228" s="87">
        <v>193.53757926921287</v>
      </c>
      <c r="L228" s="87">
        <v>186.10353051046386</v>
      </c>
      <c r="M228" s="87">
        <v>183.12000085995419</v>
      </c>
      <c r="N228" s="87">
        <v>178.42870623079722</v>
      </c>
      <c r="O228" s="87">
        <v>174.95243516158334</v>
      </c>
      <c r="P228" s="87">
        <v>168.33480062874492</v>
      </c>
      <c r="Q228" s="87">
        <v>162.23547078038405</v>
      </c>
      <c r="R228" s="87">
        <v>159.17939341233227</v>
      </c>
      <c r="S228" s="87">
        <v>165.22598410356645</v>
      </c>
      <c r="T228" s="87">
        <v>168.18906906683529</v>
      </c>
      <c r="U228" s="87">
        <v>164.1892975311784</v>
      </c>
      <c r="V228" s="87">
        <v>160.22042984371549</v>
      </c>
      <c r="W228" s="87">
        <v>150.35909521874581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200.41132818017121</v>
      </c>
      <c r="D229" s="87">
        <v>200.30070109935895</v>
      </c>
      <c r="E229" s="87">
        <v>200.75703780770931</v>
      </c>
      <c r="F229" s="87">
        <v>199.43296993423797</v>
      </c>
      <c r="G229" s="87">
        <v>200.0275904936037</v>
      </c>
      <c r="H229" s="87">
        <v>201.31017321177043</v>
      </c>
      <c r="I229" s="87">
        <v>199.45716960816569</v>
      </c>
      <c r="J229" s="87">
        <v>190.45834800334626</v>
      </c>
      <c r="K229" s="87">
        <v>182.97373456714422</v>
      </c>
      <c r="L229" s="87">
        <v>175.94545783929368</v>
      </c>
      <c r="M229" s="87">
        <v>174.20198101894732</v>
      </c>
      <c r="N229" s="87">
        <v>174.79251646987007</v>
      </c>
      <c r="O229" s="87">
        <v>152.89788592672488</v>
      </c>
      <c r="P229" s="87">
        <v>147.43126502929726</v>
      </c>
      <c r="Q229" s="87">
        <v>144.15460715821732</v>
      </c>
      <c r="R229" s="87">
        <v>144.43865632374533</v>
      </c>
      <c r="S229" s="87">
        <v>148.34915746880918</v>
      </c>
      <c r="T229" s="87">
        <v>147.57559395248381</v>
      </c>
      <c r="U229" s="87">
        <v>152.0634987979069</v>
      </c>
      <c r="V229" s="87">
        <v>123.86363014635479</v>
      </c>
      <c r="W229" s="87">
        <v>131.6393036537535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125.94931773879142</v>
      </c>
      <c r="R230" s="87">
        <v>129.25103945080386</v>
      </c>
      <c r="S230" s="87">
        <v>124.24084903617067</v>
      </c>
      <c r="T230" s="87">
        <v>145</v>
      </c>
      <c r="U230" s="87">
        <v>139.81578947368419</v>
      </c>
      <c r="V230" s="87">
        <v>141.27272727272731</v>
      </c>
      <c r="W230" s="87">
        <v>131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46.0590522160945</v>
      </c>
      <c r="O231" s="87">
        <v>75.845050109734871</v>
      </c>
      <c r="P231" s="87">
        <v>122.88470050723789</v>
      </c>
      <c r="Q231" s="87">
        <v>58.749239109715248</v>
      </c>
      <c r="R231" s="87">
        <v>45.663092873272362</v>
      </c>
      <c r="S231" s="87">
        <v>46.947989284137108</v>
      </c>
      <c r="T231" s="87">
        <v>56.84870848708487</v>
      </c>
      <c r="U231" s="87">
        <v>51.452884615384619</v>
      </c>
      <c r="V231" s="87">
        <v>52.472814371257471</v>
      </c>
      <c r="W231" s="87">
        <v>95.680007809449435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1457.6624389046663</v>
      </c>
      <c r="C233" s="116">
        <v>1447.542486177666</v>
      </c>
      <c r="D233" s="116">
        <v>1451.3902675267543</v>
      </c>
      <c r="E233" s="116">
        <v>1448.0558168052783</v>
      </c>
      <c r="F233" s="116">
        <v>1361.4022955774685</v>
      </c>
      <c r="G233" s="116">
        <v>1301.3122217618634</v>
      </c>
      <c r="H233" s="116">
        <v>1432.4201424705516</v>
      </c>
      <c r="I233" s="116">
        <v>1429.4591924795191</v>
      </c>
      <c r="J233" s="116">
        <v>1412.0747179536884</v>
      </c>
      <c r="K233" s="116">
        <v>1392.0672053377816</v>
      </c>
      <c r="L233" s="116">
        <v>1373.297594807424</v>
      </c>
      <c r="M233" s="116">
        <v>1373.589641639277</v>
      </c>
      <c r="N233" s="116">
        <v>1367.4609477203057</v>
      </c>
      <c r="O233" s="116">
        <v>1347.8947274913223</v>
      </c>
      <c r="P233" s="116">
        <v>1339.496044967326</v>
      </c>
      <c r="Q233" s="116">
        <v>1308.7025457505415</v>
      </c>
      <c r="R233" s="116">
        <v>1319.257083086902</v>
      </c>
      <c r="S233" s="116">
        <v>1289.9329915037952</v>
      </c>
      <c r="T233" s="116">
        <v>1289.5310423974463</v>
      </c>
      <c r="U233" s="116">
        <v>1265.3380581201625</v>
      </c>
      <c r="V233" s="116">
        <v>1217.1029096839598</v>
      </c>
      <c r="W233" s="116">
        <v>1210.9100521220878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1457.6624389046663</v>
      </c>
      <c r="C235" s="101">
        <v>1455.6699410350463</v>
      </c>
      <c r="D235" s="101">
        <v>1453.459248663642</v>
      </c>
      <c r="E235" s="101">
        <v>1448.8680034536642</v>
      </c>
      <c r="F235" s="101">
        <v>1448.3658743175401</v>
      </c>
      <c r="G235" s="101">
        <v>1443.438262594467</v>
      </c>
      <c r="H235" s="101">
        <v>1436.0489518454854</v>
      </c>
      <c r="I235" s="101">
        <v>1430.724308198962</v>
      </c>
      <c r="J235" s="101">
        <v>1412.701832023339</v>
      </c>
      <c r="K235" s="101">
        <v>1392.4249712605106</v>
      </c>
      <c r="L235" s="101">
        <v>1379.4091114716523</v>
      </c>
      <c r="M235" s="101">
        <v>1376.1158684171571</v>
      </c>
      <c r="N235" s="101">
        <v>1368.3720662880021</v>
      </c>
      <c r="O235" s="101">
        <v>1361.2182297719762</v>
      </c>
      <c r="P235" s="101">
        <v>1348.0476803599231</v>
      </c>
      <c r="Q235" s="101">
        <v>1340.2449215971562</v>
      </c>
      <c r="R235" s="101">
        <v>1333.2610612780627</v>
      </c>
      <c r="S235" s="101">
        <v>1327.0067076345383</v>
      </c>
      <c r="T235" s="101">
        <v>1321.4028783800927</v>
      </c>
      <c r="U235" s="101">
        <v>1316.3796680191172</v>
      </c>
      <c r="V235" s="101">
        <v>1311.8751072841994</v>
      </c>
      <c r="W235" s="101">
        <v>1307.8341833515651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1028.1553195898136</v>
      </c>
      <c r="F236" s="101">
        <v>1027.7989953827798</v>
      </c>
      <c r="G236" s="101">
        <v>1024.30223087844</v>
      </c>
      <c r="H236" s="101">
        <v>1019.0585791885979</v>
      </c>
      <c r="I236" s="101">
        <v>1015.2800702581479</v>
      </c>
      <c r="J236" s="101">
        <v>1002.4908412131432</v>
      </c>
      <c r="K236" s="101">
        <v>0</v>
      </c>
      <c r="L236" s="101">
        <v>978.86544010190369</v>
      </c>
      <c r="M236" s="101">
        <v>976.52846712913436</v>
      </c>
      <c r="N236" s="101">
        <v>971.03325891557517</v>
      </c>
      <c r="O236" s="101">
        <v>965.95670601227721</v>
      </c>
      <c r="P236" s="101">
        <v>956.61053340880744</v>
      </c>
      <c r="Q236" s="101">
        <v>951.07348799798206</v>
      </c>
      <c r="R236" s="101">
        <v>946.11755473060919</v>
      </c>
      <c r="S236" s="101">
        <v>941.67929882747842</v>
      </c>
      <c r="T236" s="101">
        <v>937.70267235474432</v>
      </c>
      <c r="U236" s="101">
        <v>934.13806851109223</v>
      </c>
      <c r="V236" s="101">
        <v>930.94151225408234</v>
      </c>
      <c r="W236" s="101">
        <v>928.07396501893629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845.56612799820584</v>
      </c>
      <c r="R237" s="101">
        <v>810.38767308801448</v>
      </c>
      <c r="S237" s="101">
        <v>779.98014978050333</v>
      </c>
      <c r="T237" s="101">
        <v>753.59012993503745</v>
      </c>
      <c r="U237" s="101">
        <v>730.60339848996273</v>
      </c>
      <c r="V237" s="101">
        <v>710.51544962696516</v>
      </c>
      <c r="W237" s="101">
        <v>692.90896398171276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238.12216824134561</v>
      </c>
      <c r="C240" s="152">
        <v>237.13225021113283</v>
      </c>
      <c r="D240" s="152">
        <v>236.26943904928922</v>
      </c>
      <c r="E240" s="152">
        <v>228.45793986275956</v>
      </c>
      <c r="F240" s="152">
        <v>239.66901420639115</v>
      </c>
      <c r="G240" s="152">
        <v>254.55402858803268</v>
      </c>
      <c r="H240" s="152">
        <v>242.08618584457932</v>
      </c>
      <c r="I240" s="152">
        <v>240.54570154871669</v>
      </c>
      <c r="J240" s="152">
        <v>228.58859770230575</v>
      </c>
      <c r="K240" s="152">
        <v>220.85952332022484</v>
      </c>
      <c r="L240" s="152">
        <v>209.31384927859588</v>
      </c>
      <c r="M240" s="152">
        <v>213.67669885565445</v>
      </c>
      <c r="N240" s="152">
        <v>203.86957139085661</v>
      </c>
      <c r="O240" s="152">
        <v>203.62232633162614</v>
      </c>
      <c r="P240" s="152">
        <v>191.1282594389001</v>
      </c>
      <c r="Q240" s="152">
        <v>205.69245228680956</v>
      </c>
      <c r="R240" s="152">
        <v>206.81379485405978</v>
      </c>
      <c r="S240" s="152">
        <v>188.15663041448349</v>
      </c>
      <c r="T240" s="152">
        <v>197.02406434576378</v>
      </c>
      <c r="U240" s="152">
        <v>203.86528191209533</v>
      </c>
      <c r="V240" s="152">
        <v>224.06463908780137</v>
      </c>
      <c r="W240" s="152">
        <v>196.89932911650072</v>
      </c>
      <c r="DA240" s="174" t="s">
        <v>945</v>
      </c>
    </row>
    <row r="241" spans="1:105" ht="11.45" customHeight="1" x14ac:dyDescent="0.25">
      <c r="A241" s="111" t="s">
        <v>110</v>
      </c>
      <c r="B241" s="87">
        <v>201.6250054269702</v>
      </c>
      <c r="C241" s="87">
        <v>200.52734069489858</v>
      </c>
      <c r="D241" s="87">
        <v>199.31472043771447</v>
      </c>
      <c r="E241" s="87">
        <v>196.8199489452966</v>
      </c>
      <c r="F241" s="87">
        <v>196.54738751134241</v>
      </c>
      <c r="G241" s="87">
        <v>193.89964786721552</v>
      </c>
      <c r="H241" s="87">
        <v>189.98922566170893</v>
      </c>
      <c r="I241" s="87">
        <v>187.20242406148301</v>
      </c>
      <c r="J241" s="87">
        <v>178.11333461084601</v>
      </c>
      <c r="K241" s="87">
        <v>168.30946670585965</v>
      </c>
      <c r="L241" s="87">
        <v>162.18795939837742</v>
      </c>
      <c r="M241" s="87">
        <v>160.65012405359121</v>
      </c>
      <c r="N241" s="87">
        <v>157.09405817889586</v>
      </c>
      <c r="O241" s="87">
        <v>156.51439365944324</v>
      </c>
      <c r="P241" s="87">
        <v>159.72305145956395</v>
      </c>
      <c r="Q241" s="87">
        <v>154.51222504096734</v>
      </c>
      <c r="R241" s="87">
        <v>184.38181815968994</v>
      </c>
      <c r="S241" s="87">
        <v>150.7958429993391</v>
      </c>
      <c r="T241" s="87">
        <v>156.53685973687016</v>
      </c>
      <c r="U241" s="87">
        <v>172.82003332716161</v>
      </c>
      <c r="V241" s="87">
        <v>154.71821346271699</v>
      </c>
      <c r="W241" s="87">
        <v>145.92654867256641</v>
      </c>
      <c r="DA241" s="171" t="s">
        <v>946</v>
      </c>
    </row>
    <row r="242" spans="1:105" ht="11.45" customHeight="1" x14ac:dyDescent="0.25">
      <c r="A242" s="111" t="s">
        <v>111</v>
      </c>
      <c r="B242" s="87">
        <v>266.11016977415835</v>
      </c>
      <c r="C242" s="87">
        <v>265.97796255920554</v>
      </c>
      <c r="D242" s="87">
        <v>265.83114268716787</v>
      </c>
      <c r="E242" s="87">
        <v>266.43677465932319</v>
      </c>
      <c r="F242" s="87">
        <v>264.67952431587247</v>
      </c>
      <c r="G242" s="87">
        <v>265.46868112807488</v>
      </c>
      <c r="H242" s="87">
        <v>267.17087401951142</v>
      </c>
      <c r="I242" s="87">
        <v>264.71164116288082</v>
      </c>
      <c r="J242" s="87">
        <v>252.76876219681833</v>
      </c>
      <c r="K242" s="87">
        <v>242.83548022927107</v>
      </c>
      <c r="L242" s="87">
        <v>233.50783023387919</v>
      </c>
      <c r="M242" s="87">
        <v>229.76433577561693</v>
      </c>
      <c r="N242" s="87">
        <v>223.87807436597106</v>
      </c>
      <c r="O242" s="87">
        <v>220.88085791279627</v>
      </c>
      <c r="P242" s="87">
        <v>207.90638152259231</v>
      </c>
      <c r="Q242" s="87">
        <v>219.69792576907554</v>
      </c>
      <c r="R242" s="87">
        <v>213.54173920398887</v>
      </c>
      <c r="S242" s="87">
        <v>202.87614141649962</v>
      </c>
      <c r="T242" s="87">
        <v>213.99796382377829</v>
      </c>
      <c r="U242" s="87">
        <v>208.1595733556415</v>
      </c>
      <c r="V242" s="87">
        <v>237.1313244085201</v>
      </c>
      <c r="W242" s="87">
        <v>207.59936124911289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187.86903198202427</v>
      </c>
      <c r="D243" s="87">
        <v>187.76532825044424</v>
      </c>
      <c r="E243" s="87">
        <v>188.19310614321179</v>
      </c>
      <c r="F243" s="87">
        <v>186.9519021058635</v>
      </c>
      <c r="G243" s="87">
        <v>187.50930966310614</v>
      </c>
      <c r="H243" s="87">
        <v>188.71162480111192</v>
      </c>
      <c r="I243" s="87">
        <v>186.97458729714677</v>
      </c>
      <c r="J243" s="87">
        <v>178.53893688143532</v>
      </c>
      <c r="K243" s="87">
        <v>171.52273129172522</v>
      </c>
      <c r="L243" s="87">
        <v>164.93430359478268</v>
      </c>
      <c r="M243" s="87">
        <v>163.29993838451321</v>
      </c>
      <c r="N243" s="87">
        <v>163.85351649071893</v>
      </c>
      <c r="O243" s="87">
        <v>156.51546750244842</v>
      </c>
      <c r="P243" s="87">
        <v>149.90631160251831</v>
      </c>
      <c r="Q243" s="87">
        <v>174.75773754627636</v>
      </c>
      <c r="R243" s="87">
        <v>150.09319323081661</v>
      </c>
      <c r="S243" s="87">
        <v>146.0533721460676</v>
      </c>
      <c r="T243" s="87">
        <v>145.86808416613346</v>
      </c>
      <c r="U243" s="87">
        <v>146.3488372093023</v>
      </c>
      <c r="V243" s="87">
        <v>155.51246279283831</v>
      </c>
      <c r="W243" s="87">
        <v>148.10112359550561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184.1477021496782</v>
      </c>
      <c r="R244" s="87">
        <v>194.42607836680938</v>
      </c>
      <c r="S244" s="87">
        <v>169.24013359047933</v>
      </c>
      <c r="T244" s="87">
        <v>203.26862034902865</v>
      </c>
      <c r="U244" s="87">
        <v>139</v>
      </c>
      <c r="V244" s="87">
        <v>179.03612230561609</v>
      </c>
      <c r="W244" s="87">
        <v>194.5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930.02095155758695</v>
      </c>
      <c r="D246" s="116">
        <v>920.48772016776377</v>
      </c>
      <c r="E246" s="116">
        <v>919.48384818984448</v>
      </c>
      <c r="F246" s="116">
        <v>924.39098172340107</v>
      </c>
      <c r="G246" s="116">
        <v>901.35440710624141</v>
      </c>
      <c r="H246" s="116">
        <v>898.66152490391528</v>
      </c>
      <c r="I246" s="116">
        <v>872.63582893879482</v>
      </c>
      <c r="J246" s="116">
        <v>862.52071770371106</v>
      </c>
      <c r="K246" s="116">
        <v>848.01836257941488</v>
      </c>
      <c r="L246" s="116">
        <v>841.06280349310521</v>
      </c>
      <c r="M246" s="116">
        <v>819.53252067044207</v>
      </c>
      <c r="N246" s="116">
        <v>805.93021499279484</v>
      </c>
      <c r="O246" s="116">
        <v>785.38982202460011</v>
      </c>
      <c r="P246" s="116">
        <v>763.98873875765969</v>
      </c>
      <c r="Q246" s="116">
        <v>744.50386162339385</v>
      </c>
      <c r="R246" s="116">
        <v>725.16649140436789</v>
      </c>
      <c r="S246" s="116">
        <v>710.52353145559459</v>
      </c>
      <c r="T246" s="116">
        <v>681.10210210318189</v>
      </c>
      <c r="U246" s="116">
        <v>671.83392283450405</v>
      </c>
      <c r="V246" s="116">
        <v>660.06404784824929</v>
      </c>
      <c r="W246" s="116">
        <v>657.79039771925534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863.50812849477552</v>
      </c>
      <c r="D247" s="101">
        <v>858.50850499670366</v>
      </c>
      <c r="E247" s="101">
        <v>852.28304313291699</v>
      </c>
      <c r="F247" s="101">
        <v>844.8475619192667</v>
      </c>
      <c r="G247" s="101">
        <v>836.2208216948552</v>
      </c>
      <c r="H247" s="101">
        <v>826.42440713308736</v>
      </c>
      <c r="I247" s="101">
        <v>815.48259428966844</v>
      </c>
      <c r="J247" s="101">
        <v>803.42220318859233</v>
      </c>
      <c r="K247" s="101">
        <v>790.27243756399821</v>
      </c>
      <c r="L247" s="101">
        <v>776.06471352302754</v>
      </c>
      <c r="M247" s="101">
        <v>760.83247892228781</v>
      </c>
      <c r="N247" s="101">
        <v>744.61102531999268</v>
      </c>
      <c r="O247" s="101">
        <v>727.43729438761625</v>
      </c>
      <c r="P247" s="101">
        <v>709.34968062060386</v>
      </c>
      <c r="Q247" s="101">
        <v>690.38783218797494</v>
      </c>
      <c r="R247" s="101">
        <v>668.45530475056194</v>
      </c>
      <c r="S247" s="101">
        <v>653.10253554437293</v>
      </c>
      <c r="T247" s="101">
        <v>636.9821278778744</v>
      </c>
      <c r="U247" s="101">
        <v>617.27940739659846</v>
      </c>
      <c r="V247" s="101">
        <v>613.80981588417558</v>
      </c>
      <c r="W247" s="101">
        <v>607.67171772533391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28792</v>
      </c>
      <c r="C4" s="28">
        <f t="shared" ref="C4:V4" si="1">SUM(C5,C6,C9)</f>
        <v>27119</v>
      </c>
      <c r="D4" s="28">
        <f t="shared" si="1"/>
        <v>25369</v>
      </c>
      <c r="E4" s="28">
        <f t="shared" si="1"/>
        <v>24138</v>
      </c>
      <c r="F4" s="28">
        <f t="shared" si="1"/>
        <v>23190</v>
      </c>
      <c r="G4" s="28">
        <f t="shared" si="1"/>
        <v>22557</v>
      </c>
      <c r="H4" s="28">
        <f t="shared" si="1"/>
        <v>23002</v>
      </c>
      <c r="I4" s="28">
        <f t="shared" si="1"/>
        <v>24459</v>
      </c>
      <c r="J4" s="28">
        <f t="shared" si="1"/>
        <v>24795</v>
      </c>
      <c r="K4" s="28">
        <f t="shared" si="1"/>
        <v>22957</v>
      </c>
      <c r="L4" s="28">
        <f t="shared" si="1"/>
        <v>22261</v>
      </c>
      <c r="M4" s="28">
        <f t="shared" si="1"/>
        <v>22580.712781401457</v>
      </c>
      <c r="N4" s="28">
        <f t="shared" si="1"/>
        <v>22218.245206824664</v>
      </c>
      <c r="O4" s="28">
        <f t="shared" si="1"/>
        <v>20897.160900570823</v>
      </c>
      <c r="P4" s="28">
        <f t="shared" si="1"/>
        <v>20252.198951023754</v>
      </c>
      <c r="Q4" s="28">
        <f t="shared" si="1"/>
        <v>21587.398613107649</v>
      </c>
      <c r="R4" s="28">
        <f t="shared" si="1"/>
        <v>23512.342141739358</v>
      </c>
      <c r="S4" s="28">
        <f t="shared" si="1"/>
        <v>24630.427895019093</v>
      </c>
      <c r="T4" s="28">
        <f t="shared" si="1"/>
        <v>25395.274735129806</v>
      </c>
      <c r="U4" s="28">
        <f t="shared" si="1"/>
        <v>26483.819428667895</v>
      </c>
      <c r="V4" s="28">
        <f t="shared" si="1"/>
        <v>15097.574257075739</v>
      </c>
      <c r="W4" s="28">
        <f t="shared" ref="W4" si="2">SUM(W5,W6,W9)</f>
        <v>18718.651274458163</v>
      </c>
      <c r="DA4" s="173" t="s">
        <v>375</v>
      </c>
    </row>
    <row r="5" spans="1:105" ht="11.45" customHeight="1" x14ac:dyDescent="0.25">
      <c r="A5" s="107" t="s">
        <v>23</v>
      </c>
      <c r="B5" s="108">
        <v>4700</v>
      </c>
      <c r="C5" s="108">
        <v>4650</v>
      </c>
      <c r="D5" s="108">
        <v>4620</v>
      </c>
      <c r="E5" s="108">
        <v>4500</v>
      </c>
      <c r="F5" s="108">
        <v>4500</v>
      </c>
      <c r="G5" s="108">
        <v>4400</v>
      </c>
      <c r="H5" s="108">
        <v>4450</v>
      </c>
      <c r="I5" s="108">
        <v>4600</v>
      </c>
      <c r="J5" s="108">
        <v>4600</v>
      </c>
      <c r="K5" s="108">
        <v>4320</v>
      </c>
      <c r="L5" s="108">
        <v>4340</v>
      </c>
      <c r="M5" s="108">
        <v>4403.7127814014557</v>
      </c>
      <c r="N5" s="108">
        <v>4392.2452068246657</v>
      </c>
      <c r="O5" s="108">
        <v>4100.1609005708251</v>
      </c>
      <c r="P5" s="108">
        <v>4237.1989510237545</v>
      </c>
      <c r="Q5" s="108">
        <v>4220.3986131076499</v>
      </c>
      <c r="R5" s="108">
        <v>4337.3421417393574</v>
      </c>
      <c r="S5" s="108">
        <v>4311.4278950190928</v>
      </c>
      <c r="T5" s="108">
        <v>4352.2747351298049</v>
      </c>
      <c r="U5" s="108">
        <v>4427.8194286678954</v>
      </c>
      <c r="V5" s="108">
        <v>2610.5742570757402</v>
      </c>
      <c r="W5" s="108">
        <v>2874.6512744581646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24092</v>
      </c>
      <c r="C6" s="110">
        <f t="shared" ref="C6:V6" si="4">SUM(C7:C8)</f>
        <v>22469</v>
      </c>
      <c r="D6" s="110">
        <f t="shared" si="4"/>
        <v>20749</v>
      </c>
      <c r="E6" s="110">
        <f t="shared" si="4"/>
        <v>19638</v>
      </c>
      <c r="F6" s="110">
        <f t="shared" si="4"/>
        <v>18690</v>
      </c>
      <c r="G6" s="110">
        <f t="shared" si="4"/>
        <v>18157</v>
      </c>
      <c r="H6" s="110">
        <f t="shared" si="4"/>
        <v>18552</v>
      </c>
      <c r="I6" s="110">
        <f t="shared" si="4"/>
        <v>19859</v>
      </c>
      <c r="J6" s="110">
        <f t="shared" si="4"/>
        <v>20195</v>
      </c>
      <c r="K6" s="110">
        <f t="shared" si="4"/>
        <v>18637</v>
      </c>
      <c r="L6" s="110">
        <f t="shared" si="4"/>
        <v>17921</v>
      </c>
      <c r="M6" s="110">
        <f t="shared" si="4"/>
        <v>18177</v>
      </c>
      <c r="N6" s="110">
        <f t="shared" si="4"/>
        <v>17826</v>
      </c>
      <c r="O6" s="110">
        <f t="shared" si="4"/>
        <v>16797</v>
      </c>
      <c r="P6" s="110">
        <f t="shared" si="4"/>
        <v>16015</v>
      </c>
      <c r="Q6" s="110">
        <f t="shared" si="4"/>
        <v>16900</v>
      </c>
      <c r="R6" s="110">
        <f t="shared" si="4"/>
        <v>17739.509999999998</v>
      </c>
      <c r="S6" s="110">
        <f t="shared" si="4"/>
        <v>18879</v>
      </c>
      <c r="T6" s="110">
        <f t="shared" si="4"/>
        <v>19493</v>
      </c>
      <c r="U6" s="110">
        <f t="shared" si="4"/>
        <v>20373</v>
      </c>
      <c r="V6" s="110">
        <f t="shared" si="4"/>
        <v>11729</v>
      </c>
      <c r="W6" s="110">
        <f t="shared" ref="W6" si="5">SUM(W7:W8)</f>
        <v>14719.7</v>
      </c>
      <c r="DA6" s="176" t="s">
        <v>377</v>
      </c>
    </row>
    <row r="7" spans="1:105" ht="11.45" customHeight="1" x14ac:dyDescent="0.25">
      <c r="A7" s="111" t="s">
        <v>90</v>
      </c>
      <c r="B7" s="84">
        <v>4682.1342873511303</v>
      </c>
      <c r="C7" s="84">
        <v>4864.6654765440699</v>
      </c>
      <c r="D7" s="84">
        <v>4321.0161308357383</v>
      </c>
      <c r="E7" s="84">
        <v>4390.6413266675927</v>
      </c>
      <c r="F7" s="84">
        <v>3782.6953541118519</v>
      </c>
      <c r="G7" s="84">
        <v>4260.9905414583218</v>
      </c>
      <c r="H7" s="84">
        <v>3031.8421325378504</v>
      </c>
      <c r="I7" s="84">
        <v>4263.2242465276486</v>
      </c>
      <c r="J7" s="84">
        <v>3307.4968189621586</v>
      </c>
      <c r="K7" s="84">
        <v>3594.4590468244869</v>
      </c>
      <c r="L7" s="84">
        <v>2207.5272459429652</v>
      </c>
      <c r="M7" s="84">
        <v>2332.984734713933</v>
      </c>
      <c r="N7" s="84">
        <v>2330.2237736152661</v>
      </c>
      <c r="O7" s="84">
        <v>2203.1862692102109</v>
      </c>
      <c r="P7" s="84">
        <v>2123.0404899954169</v>
      </c>
      <c r="Q7" s="84">
        <v>2040.2665893668379</v>
      </c>
      <c r="R7" s="84">
        <v>2496.98231765637</v>
      </c>
      <c r="S7" s="84">
        <v>2015.3623082542006</v>
      </c>
      <c r="T7" s="84">
        <v>2686.3439372721878</v>
      </c>
      <c r="U7" s="84">
        <v>2801.3912005950938</v>
      </c>
      <c r="V7" s="84">
        <v>1627.3326449797919</v>
      </c>
      <c r="W7" s="84">
        <v>2032.2635450065566</v>
      </c>
      <c r="DA7" s="171" t="s">
        <v>1029</v>
      </c>
    </row>
    <row r="8" spans="1:105" ht="11.45" customHeight="1" x14ac:dyDescent="0.25">
      <c r="A8" s="111" t="s">
        <v>93</v>
      </c>
      <c r="B8" s="84">
        <v>19409.865712648869</v>
      </c>
      <c r="C8" s="84">
        <v>17604.334523455931</v>
      </c>
      <c r="D8" s="84">
        <v>16427.983869164262</v>
      </c>
      <c r="E8" s="84">
        <v>15247.358673332408</v>
      </c>
      <c r="F8" s="84">
        <v>14907.304645888147</v>
      </c>
      <c r="G8" s="84">
        <v>13896.009458541677</v>
      </c>
      <c r="H8" s="84">
        <v>15520.157867462149</v>
      </c>
      <c r="I8" s="84">
        <v>15595.775753472351</v>
      </c>
      <c r="J8" s="84">
        <v>16887.503181037842</v>
      </c>
      <c r="K8" s="84">
        <v>15042.540953175514</v>
      </c>
      <c r="L8" s="84">
        <v>15713.472754057035</v>
      </c>
      <c r="M8" s="84">
        <v>15844.015265286067</v>
      </c>
      <c r="N8" s="84">
        <v>15495.776226384734</v>
      </c>
      <c r="O8" s="84">
        <v>14593.813730789789</v>
      </c>
      <c r="P8" s="84">
        <v>13891.959510004583</v>
      </c>
      <c r="Q8" s="84">
        <v>14859.733410633162</v>
      </c>
      <c r="R8" s="84">
        <v>15242.527682343629</v>
      </c>
      <c r="S8" s="84">
        <v>16863.6376917458</v>
      </c>
      <c r="T8" s="84">
        <v>16806.656062727812</v>
      </c>
      <c r="U8" s="84">
        <v>17571.608799404905</v>
      </c>
      <c r="V8" s="84">
        <v>10101.667355020209</v>
      </c>
      <c r="W8" s="84">
        <v>12687.436454993443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467</v>
      </c>
      <c r="R9" s="113">
        <v>1435.49</v>
      </c>
      <c r="S9" s="113">
        <v>1440</v>
      </c>
      <c r="T9" s="113">
        <v>1550</v>
      </c>
      <c r="U9" s="113">
        <v>1683</v>
      </c>
      <c r="V9" s="113">
        <v>758</v>
      </c>
      <c r="W9" s="113">
        <v>1124.3000000000002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54000</v>
      </c>
      <c r="C10" s="28">
        <f t="shared" ref="C10:V10" si="7">SUM(C11:C12)</f>
        <v>47700</v>
      </c>
      <c r="D10" s="28">
        <f t="shared" si="7"/>
        <v>46600</v>
      </c>
      <c r="E10" s="28">
        <f t="shared" si="7"/>
        <v>47407</v>
      </c>
      <c r="F10" s="28">
        <f t="shared" si="7"/>
        <v>52332</v>
      </c>
      <c r="G10" s="28">
        <f t="shared" si="7"/>
        <v>49972</v>
      </c>
      <c r="H10" s="28">
        <f t="shared" si="7"/>
        <v>53622</v>
      </c>
      <c r="I10" s="28">
        <f t="shared" si="7"/>
        <v>54253</v>
      </c>
      <c r="J10" s="28">
        <f t="shared" si="7"/>
        <v>52043</v>
      </c>
      <c r="K10" s="28">
        <f t="shared" si="7"/>
        <v>43445</v>
      </c>
      <c r="L10" s="28">
        <f t="shared" si="7"/>
        <v>48705</v>
      </c>
      <c r="M10" s="28">
        <f t="shared" si="7"/>
        <v>53746</v>
      </c>
      <c r="N10" s="28">
        <f t="shared" si="7"/>
        <v>48903</v>
      </c>
      <c r="O10" s="28">
        <f t="shared" si="7"/>
        <v>50881</v>
      </c>
      <c r="P10" s="28">
        <f t="shared" si="7"/>
        <v>50073</v>
      </c>
      <c r="Q10" s="28">
        <f t="shared" si="7"/>
        <v>50603</v>
      </c>
      <c r="R10" s="28">
        <f t="shared" si="7"/>
        <v>50650</v>
      </c>
      <c r="S10" s="28">
        <f t="shared" si="7"/>
        <v>54797</v>
      </c>
      <c r="T10" s="28">
        <f t="shared" si="7"/>
        <v>59388</v>
      </c>
      <c r="U10" s="28">
        <f t="shared" si="7"/>
        <v>54584</v>
      </c>
      <c r="V10" s="28">
        <f t="shared" si="7"/>
        <v>51096</v>
      </c>
      <c r="W10" s="28">
        <f t="shared" ref="W10" si="8">SUM(W11:W12)</f>
        <v>54387</v>
      </c>
      <c r="DA10" s="173" t="s">
        <v>383</v>
      </c>
    </row>
    <row r="11" spans="1:105" ht="11.45" customHeight="1" x14ac:dyDescent="0.25">
      <c r="A11" s="83" t="s">
        <v>90</v>
      </c>
      <c r="B11" s="84">
        <v>7322.4506315452199</v>
      </c>
      <c r="C11" s="84">
        <v>6575.6641124354364</v>
      </c>
      <c r="D11" s="84">
        <v>6898.2986611952329</v>
      </c>
      <c r="E11" s="84">
        <v>8489.046436418701</v>
      </c>
      <c r="F11" s="84">
        <v>12057.69256296532</v>
      </c>
      <c r="G11" s="84">
        <v>11192.382899917831</v>
      </c>
      <c r="H11" s="84">
        <v>14811.645989587725</v>
      </c>
      <c r="I11" s="84">
        <v>12620.767360255371</v>
      </c>
      <c r="J11" s="84">
        <v>12137.29828136882</v>
      </c>
      <c r="K11" s="84">
        <v>11235.977649515471</v>
      </c>
      <c r="L11" s="84">
        <v>13846.621824126421</v>
      </c>
      <c r="M11" s="84">
        <v>15083.041134850166</v>
      </c>
      <c r="N11" s="84">
        <v>13093.817896003526</v>
      </c>
      <c r="O11" s="84">
        <v>13979.453466400306</v>
      </c>
      <c r="P11" s="84">
        <v>12858.772109110236</v>
      </c>
      <c r="Q11" s="84">
        <v>12308.409585878126</v>
      </c>
      <c r="R11" s="84">
        <v>10970.054077876906</v>
      </c>
      <c r="S11" s="84">
        <v>11770.673360570598</v>
      </c>
      <c r="T11" s="84">
        <v>13362.493890680133</v>
      </c>
      <c r="U11" s="84">
        <v>13249.443129088722</v>
      </c>
      <c r="V11" s="84">
        <v>10400.831418654561</v>
      </c>
      <c r="W11" s="84">
        <v>11661.714122837047</v>
      </c>
      <c r="DA11" s="171" t="s">
        <v>1031</v>
      </c>
    </row>
    <row r="12" spans="1:105" ht="11.45" customHeight="1" x14ac:dyDescent="0.25">
      <c r="A12" s="85" t="s">
        <v>93</v>
      </c>
      <c r="B12" s="86">
        <v>46677.549368454784</v>
      </c>
      <c r="C12" s="86">
        <v>41124.335887564564</v>
      </c>
      <c r="D12" s="86">
        <v>39701.701338804764</v>
      </c>
      <c r="E12" s="86">
        <v>38917.953563581301</v>
      </c>
      <c r="F12" s="86">
        <v>40274.30743703468</v>
      </c>
      <c r="G12" s="86">
        <v>38779.617100082171</v>
      </c>
      <c r="H12" s="86">
        <v>38810.354010412273</v>
      </c>
      <c r="I12" s="86">
        <v>41632.23263974463</v>
      </c>
      <c r="J12" s="86">
        <v>39905.701718631179</v>
      </c>
      <c r="K12" s="86">
        <v>32209.022350484527</v>
      </c>
      <c r="L12" s="86">
        <v>34858.378175873579</v>
      </c>
      <c r="M12" s="86">
        <v>38662.958865149834</v>
      </c>
      <c r="N12" s="86">
        <v>35809.182103996471</v>
      </c>
      <c r="O12" s="86">
        <v>36901.546533599692</v>
      </c>
      <c r="P12" s="86">
        <v>37214.227890889764</v>
      </c>
      <c r="Q12" s="86">
        <v>38294.590414121878</v>
      </c>
      <c r="R12" s="86">
        <v>39679.945922123094</v>
      </c>
      <c r="S12" s="86">
        <v>43026.326639429404</v>
      </c>
      <c r="T12" s="86">
        <v>46025.506109319867</v>
      </c>
      <c r="U12" s="86">
        <v>41334.556870911278</v>
      </c>
      <c r="V12" s="86">
        <v>40695.168581345439</v>
      </c>
      <c r="W12" s="86">
        <v>42725.285877162954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279.89485509265512</v>
      </c>
      <c r="C14" s="62">
        <f t="shared" ref="C14:V14" si="10">C15+C21</f>
        <v>283.87287301802064</v>
      </c>
      <c r="D14" s="62">
        <f t="shared" si="10"/>
        <v>289.53373656693691</v>
      </c>
      <c r="E14" s="62">
        <f t="shared" si="10"/>
        <v>299.14161562981843</v>
      </c>
      <c r="F14" s="62">
        <f t="shared" si="10"/>
        <v>289.41949142980411</v>
      </c>
      <c r="G14" s="62">
        <f t="shared" si="10"/>
        <v>277.74040973600745</v>
      </c>
      <c r="H14" s="62">
        <f t="shared" si="10"/>
        <v>261.8181445464985</v>
      </c>
      <c r="I14" s="62">
        <f t="shared" si="10"/>
        <v>277.36646181913704</v>
      </c>
      <c r="J14" s="62">
        <f t="shared" si="10"/>
        <v>270.72375853755261</v>
      </c>
      <c r="K14" s="62">
        <f t="shared" si="10"/>
        <v>255.9875824116242</v>
      </c>
      <c r="L14" s="62">
        <f t="shared" si="10"/>
        <v>258.44462924428672</v>
      </c>
      <c r="M14" s="62">
        <f t="shared" si="10"/>
        <v>260.83520186536521</v>
      </c>
      <c r="N14" s="62">
        <f t="shared" si="10"/>
        <v>258.20036393714429</v>
      </c>
      <c r="O14" s="62">
        <f t="shared" si="10"/>
        <v>254.03140477256864</v>
      </c>
      <c r="P14" s="62">
        <f t="shared" si="10"/>
        <v>249.54306125163077</v>
      </c>
      <c r="Q14" s="62">
        <f t="shared" si="10"/>
        <v>258.0110122110197</v>
      </c>
      <c r="R14" s="62">
        <f t="shared" si="10"/>
        <v>273.61881098612753</v>
      </c>
      <c r="S14" s="62">
        <f t="shared" si="10"/>
        <v>280.46909893368979</v>
      </c>
      <c r="T14" s="62">
        <f t="shared" si="10"/>
        <v>299.58289635453707</v>
      </c>
      <c r="U14" s="62">
        <f t="shared" si="10"/>
        <v>289.91855666993877</v>
      </c>
      <c r="V14" s="62">
        <f t="shared" si="10"/>
        <v>268.82999236979003</v>
      </c>
      <c r="W14" s="62">
        <f t="shared" ref="W14" si="11">W15+W21</f>
        <v>294.88678156174672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190.96992537435918</v>
      </c>
      <c r="C15" s="29">
        <f t="shared" ref="C15:V15" si="13">SUM(C16,C17,C20)</f>
        <v>203.60230078778943</v>
      </c>
      <c r="D15" s="29">
        <f t="shared" si="13"/>
        <v>212.89339414132857</v>
      </c>
      <c r="E15" s="29">
        <f t="shared" si="13"/>
        <v>218.12013539611985</v>
      </c>
      <c r="F15" s="29">
        <f t="shared" si="13"/>
        <v>204.9222542023399</v>
      </c>
      <c r="G15" s="29">
        <f t="shared" si="13"/>
        <v>199.34471487354716</v>
      </c>
      <c r="H15" s="29">
        <f t="shared" si="13"/>
        <v>177.99349854341591</v>
      </c>
      <c r="I15" s="29">
        <f t="shared" si="13"/>
        <v>193.47809940134309</v>
      </c>
      <c r="J15" s="29">
        <f t="shared" si="13"/>
        <v>189.85524054714409</v>
      </c>
      <c r="K15" s="29">
        <f t="shared" si="13"/>
        <v>189.93488434827779</v>
      </c>
      <c r="L15" s="29">
        <f t="shared" si="13"/>
        <v>185.40402781065143</v>
      </c>
      <c r="M15" s="29">
        <f t="shared" si="13"/>
        <v>181.966710545176</v>
      </c>
      <c r="N15" s="29">
        <f t="shared" si="13"/>
        <v>188.0522490878592</v>
      </c>
      <c r="O15" s="29">
        <f t="shared" si="13"/>
        <v>184.3403287414805</v>
      </c>
      <c r="P15" s="29">
        <f t="shared" si="13"/>
        <v>182.71057739106701</v>
      </c>
      <c r="Q15" s="29">
        <f t="shared" si="13"/>
        <v>191.95944704341508</v>
      </c>
      <c r="R15" s="29">
        <f t="shared" si="13"/>
        <v>208.33015803899289</v>
      </c>
      <c r="S15" s="29">
        <f t="shared" si="13"/>
        <v>208.11588273465398</v>
      </c>
      <c r="T15" s="29">
        <f t="shared" si="13"/>
        <v>219.29583419229138</v>
      </c>
      <c r="U15" s="29">
        <f t="shared" si="13"/>
        <v>214.59195885421261</v>
      </c>
      <c r="V15" s="29">
        <f t="shared" si="13"/>
        <v>191.39528848664168</v>
      </c>
      <c r="W15" s="29">
        <f t="shared" ref="W15" si="14">SUM(W16,W17,W20)</f>
        <v>213.84107735909609</v>
      </c>
      <c r="DA15" s="173" t="s">
        <v>1034</v>
      </c>
    </row>
    <row r="16" spans="1:105" ht="11.45" customHeight="1" x14ac:dyDescent="0.25">
      <c r="A16" s="107" t="s">
        <v>23</v>
      </c>
      <c r="B16" s="115">
        <v>57.297490034337493</v>
      </c>
      <c r="C16" s="115">
        <v>57.157085311504069</v>
      </c>
      <c r="D16" s="115">
        <v>57.932357053670849</v>
      </c>
      <c r="E16" s="115">
        <v>56.64860399939046</v>
      </c>
      <c r="F16" s="115">
        <v>55.818594776397717</v>
      </c>
      <c r="G16" s="115">
        <v>54.028728194607588</v>
      </c>
      <c r="H16" s="115">
        <v>55.155819535281481</v>
      </c>
      <c r="I16" s="115">
        <v>55.877813452192129</v>
      </c>
      <c r="J16" s="115">
        <v>55.738693140578839</v>
      </c>
      <c r="K16" s="115">
        <v>53.232196324024834</v>
      </c>
      <c r="L16" s="115">
        <v>54.337939978050642</v>
      </c>
      <c r="M16" s="115">
        <v>54.439450874790879</v>
      </c>
      <c r="N16" s="115">
        <v>55.192892282407513</v>
      </c>
      <c r="O16" s="115">
        <v>51.647005193311863</v>
      </c>
      <c r="P16" s="115">
        <v>53.637808883308928</v>
      </c>
      <c r="Q16" s="115">
        <v>53.167725804433594</v>
      </c>
      <c r="R16" s="115">
        <v>54.78320900669479</v>
      </c>
      <c r="S16" s="115">
        <v>53.945516862487409</v>
      </c>
      <c r="T16" s="115">
        <v>54.216870160387309</v>
      </c>
      <c r="U16" s="115">
        <v>54.891697800218296</v>
      </c>
      <c r="V16" s="115">
        <v>53.626844132497652</v>
      </c>
      <c r="W16" s="115">
        <v>51.719168778473204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133.67243534002168</v>
      </c>
      <c r="C17" s="116">
        <f t="shared" ref="C17:V17" si="16">SUM(C18:C19)</f>
        <v>146.44521547628537</v>
      </c>
      <c r="D17" s="116">
        <f t="shared" si="16"/>
        <v>154.96103708765773</v>
      </c>
      <c r="E17" s="116">
        <f t="shared" si="16"/>
        <v>161.47153139672938</v>
      </c>
      <c r="F17" s="116">
        <f t="shared" si="16"/>
        <v>149.10365942594217</v>
      </c>
      <c r="G17" s="116">
        <f t="shared" si="16"/>
        <v>145.31598667893957</v>
      </c>
      <c r="H17" s="116">
        <f t="shared" si="16"/>
        <v>122.83767900813442</v>
      </c>
      <c r="I17" s="116">
        <f t="shared" si="16"/>
        <v>137.60028594915096</v>
      </c>
      <c r="J17" s="116">
        <f t="shared" si="16"/>
        <v>134.11654740656525</v>
      </c>
      <c r="K17" s="116">
        <f t="shared" si="16"/>
        <v>136.70268802425295</v>
      </c>
      <c r="L17" s="116">
        <f t="shared" si="16"/>
        <v>131.06608783260077</v>
      </c>
      <c r="M17" s="116">
        <f t="shared" si="16"/>
        <v>127.52725967038511</v>
      </c>
      <c r="N17" s="116">
        <f t="shared" si="16"/>
        <v>132.85935680545168</v>
      </c>
      <c r="O17" s="116">
        <f t="shared" si="16"/>
        <v>132.69332354816865</v>
      </c>
      <c r="P17" s="116">
        <f t="shared" si="16"/>
        <v>129.07276850775807</v>
      </c>
      <c r="Q17" s="116">
        <f t="shared" si="16"/>
        <v>137.28106490986758</v>
      </c>
      <c r="R17" s="116">
        <f t="shared" si="16"/>
        <v>149.0925061189846</v>
      </c>
      <c r="S17" s="116">
        <f t="shared" si="16"/>
        <v>149.93135387300862</v>
      </c>
      <c r="T17" s="116">
        <f t="shared" si="16"/>
        <v>160.71349906908176</v>
      </c>
      <c r="U17" s="116">
        <f t="shared" si="16"/>
        <v>154.99549395063326</v>
      </c>
      <c r="V17" s="116">
        <f t="shared" si="16"/>
        <v>133.35076911221893</v>
      </c>
      <c r="W17" s="116">
        <f t="shared" ref="W17" si="17">SUM(W18:W19)</f>
        <v>157.60531302561708</v>
      </c>
      <c r="DA17" s="176" t="s">
        <v>1036</v>
      </c>
    </row>
    <row r="18" spans="1:105" ht="11.45" customHeight="1" x14ac:dyDescent="0.25">
      <c r="A18" s="111" t="s">
        <v>92</v>
      </c>
      <c r="B18" s="87">
        <v>37.650404498080924</v>
      </c>
      <c r="C18" s="87">
        <v>39.018018737581919</v>
      </c>
      <c r="D18" s="87">
        <v>37.354091795466637</v>
      </c>
      <c r="E18" s="87">
        <v>41.366857007291074</v>
      </c>
      <c r="F18" s="87">
        <v>34.429200241826337</v>
      </c>
      <c r="G18" s="87">
        <v>37.668196170401629</v>
      </c>
      <c r="H18" s="87">
        <v>25.503137944136853</v>
      </c>
      <c r="I18" s="87">
        <v>33.754808703256373</v>
      </c>
      <c r="J18" s="87">
        <v>27.365427170913225</v>
      </c>
      <c r="K18" s="87">
        <v>30.119849246497392</v>
      </c>
      <c r="L18" s="87">
        <v>18.738219156289389</v>
      </c>
      <c r="M18" s="87">
        <v>19.198888459351</v>
      </c>
      <c r="N18" s="87">
        <v>20.718265048812963</v>
      </c>
      <c r="O18" s="87">
        <v>19.322680119663595</v>
      </c>
      <c r="P18" s="87">
        <v>18.046841229639575</v>
      </c>
      <c r="Q18" s="87">
        <v>16.66436020222902</v>
      </c>
      <c r="R18" s="87">
        <v>21.346564440988651</v>
      </c>
      <c r="S18" s="87">
        <v>18.263109389253049</v>
      </c>
      <c r="T18" s="87">
        <v>26.244202247108888</v>
      </c>
      <c r="U18" s="87">
        <v>20.899241178629268</v>
      </c>
      <c r="V18" s="87">
        <v>20.768585789117644</v>
      </c>
      <c r="W18" s="87">
        <v>21.405064317489476</v>
      </c>
      <c r="DA18" s="171" t="s">
        <v>1037</v>
      </c>
    </row>
    <row r="19" spans="1:105" ht="11.45" customHeight="1" x14ac:dyDescent="0.25">
      <c r="A19" s="111" t="s">
        <v>93</v>
      </c>
      <c r="B19" s="87">
        <v>96.022030841940762</v>
      </c>
      <c r="C19" s="87">
        <v>107.42719673870346</v>
      </c>
      <c r="D19" s="87">
        <v>117.60694529219109</v>
      </c>
      <c r="E19" s="87">
        <v>120.1046743894383</v>
      </c>
      <c r="F19" s="87">
        <v>114.67445918411585</v>
      </c>
      <c r="G19" s="87">
        <v>107.64779050853792</v>
      </c>
      <c r="H19" s="87">
        <v>97.334541063997563</v>
      </c>
      <c r="I19" s="87">
        <v>103.84547724589459</v>
      </c>
      <c r="J19" s="87">
        <v>106.75112023565201</v>
      </c>
      <c r="K19" s="87">
        <v>106.58283877775555</v>
      </c>
      <c r="L19" s="87">
        <v>112.32786867631138</v>
      </c>
      <c r="M19" s="87">
        <v>108.32837121103411</v>
      </c>
      <c r="N19" s="87">
        <v>112.14109175663873</v>
      </c>
      <c r="O19" s="87">
        <v>113.37064342850505</v>
      </c>
      <c r="P19" s="87">
        <v>111.0259272781185</v>
      </c>
      <c r="Q19" s="87">
        <v>120.61670470763856</v>
      </c>
      <c r="R19" s="87">
        <v>127.74594167799594</v>
      </c>
      <c r="S19" s="87">
        <v>131.66824448375556</v>
      </c>
      <c r="T19" s="87">
        <v>134.46929682197288</v>
      </c>
      <c r="U19" s="87">
        <v>134.09625277200399</v>
      </c>
      <c r="V19" s="87">
        <v>112.58218332310128</v>
      </c>
      <c r="W19" s="87">
        <v>136.20024870812762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1.5106563291139239</v>
      </c>
      <c r="R20" s="117">
        <v>4.45444291331349</v>
      </c>
      <c r="S20" s="117">
        <v>4.2390119991579542</v>
      </c>
      <c r="T20" s="117">
        <v>4.3654649628222879</v>
      </c>
      <c r="U20" s="117">
        <v>4.7047671033610401</v>
      </c>
      <c r="V20" s="117">
        <v>4.4176752419251173</v>
      </c>
      <c r="W20" s="117">
        <v>4.5165955550058143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88.924929718295957</v>
      </c>
      <c r="C21" s="29">
        <f t="shared" ref="C21:V21" si="19">SUM(C22:C23)</f>
        <v>80.27057223023121</v>
      </c>
      <c r="D21" s="29">
        <f t="shared" si="19"/>
        <v>76.640342425608338</v>
      </c>
      <c r="E21" s="29">
        <f t="shared" si="19"/>
        <v>81.021480233698583</v>
      </c>
      <c r="F21" s="29">
        <f t="shared" si="19"/>
        <v>84.497237227464183</v>
      </c>
      <c r="G21" s="29">
        <f t="shared" si="19"/>
        <v>78.395694862460289</v>
      </c>
      <c r="H21" s="29">
        <f t="shared" si="19"/>
        <v>83.824646003082563</v>
      </c>
      <c r="I21" s="29">
        <f t="shared" si="19"/>
        <v>83.888362417793942</v>
      </c>
      <c r="J21" s="29">
        <f t="shared" si="19"/>
        <v>80.868517990408549</v>
      </c>
      <c r="K21" s="29">
        <f t="shared" si="19"/>
        <v>66.052698063346412</v>
      </c>
      <c r="L21" s="29">
        <f t="shared" si="19"/>
        <v>73.040601433635288</v>
      </c>
      <c r="M21" s="29">
        <f t="shared" si="19"/>
        <v>78.868491320189221</v>
      </c>
      <c r="N21" s="29">
        <f t="shared" si="19"/>
        <v>70.148114849285108</v>
      </c>
      <c r="O21" s="29">
        <f t="shared" si="19"/>
        <v>69.69107603108813</v>
      </c>
      <c r="P21" s="29">
        <f t="shared" si="19"/>
        <v>66.832483860563769</v>
      </c>
      <c r="Q21" s="29">
        <f t="shared" si="19"/>
        <v>66.051565167604608</v>
      </c>
      <c r="R21" s="29">
        <f t="shared" si="19"/>
        <v>65.288652947134636</v>
      </c>
      <c r="S21" s="29">
        <f t="shared" si="19"/>
        <v>72.353216199035813</v>
      </c>
      <c r="T21" s="29">
        <f t="shared" si="19"/>
        <v>80.287062162245675</v>
      </c>
      <c r="U21" s="29">
        <f t="shared" si="19"/>
        <v>75.32659781572616</v>
      </c>
      <c r="V21" s="29">
        <f t="shared" si="19"/>
        <v>77.434703883148345</v>
      </c>
      <c r="W21" s="29">
        <f t="shared" ref="W21" si="20">SUM(W22:W23)</f>
        <v>81.045704202650654</v>
      </c>
      <c r="DA21" s="173" t="s">
        <v>1040</v>
      </c>
    </row>
    <row r="22" spans="1:105" ht="11.45" customHeight="1" x14ac:dyDescent="0.25">
      <c r="A22" s="83" t="s">
        <v>92</v>
      </c>
      <c r="B22" s="87">
        <v>11.188683493625323</v>
      </c>
      <c r="C22" s="87">
        <v>10.397200240252623</v>
      </c>
      <c r="D22" s="87">
        <v>10.668998933132151</v>
      </c>
      <c r="E22" s="87">
        <v>11.95233944124521</v>
      </c>
      <c r="F22" s="87">
        <v>16.82631138911163</v>
      </c>
      <c r="G22" s="87">
        <v>15.443272825728409</v>
      </c>
      <c r="H22" s="87">
        <v>21.420790241623752</v>
      </c>
      <c r="I22" s="87">
        <v>17.444462944090692</v>
      </c>
      <c r="J22" s="87">
        <v>17.319392361046997</v>
      </c>
      <c r="K22" s="87">
        <v>15.529373073192465</v>
      </c>
      <c r="L22" s="87">
        <v>19.750409502575863</v>
      </c>
      <c r="M22" s="87">
        <v>20.982428574373944</v>
      </c>
      <c r="N22" s="87">
        <v>18.753709112589615</v>
      </c>
      <c r="O22" s="87">
        <v>17.637865635283823</v>
      </c>
      <c r="P22" s="87">
        <v>16.076016935856675</v>
      </c>
      <c r="Q22" s="87">
        <v>15.260601038844269</v>
      </c>
      <c r="R22" s="87">
        <v>13.387937338490323</v>
      </c>
      <c r="S22" s="87">
        <v>15.542686976257812</v>
      </c>
      <c r="T22" s="87">
        <v>16.992907048674795</v>
      </c>
      <c r="U22" s="87">
        <v>14.640714182629367</v>
      </c>
      <c r="V22" s="87">
        <v>13.925621153611303</v>
      </c>
      <c r="W22" s="87">
        <v>15.636932192629324</v>
      </c>
      <c r="DA22" s="171" t="s">
        <v>1041</v>
      </c>
    </row>
    <row r="23" spans="1:105" ht="11.45" customHeight="1" x14ac:dyDescent="0.25">
      <c r="A23" s="85" t="s">
        <v>93</v>
      </c>
      <c r="B23" s="88">
        <v>77.736246224670637</v>
      </c>
      <c r="C23" s="88">
        <v>69.87337198997858</v>
      </c>
      <c r="D23" s="88">
        <v>65.971343492476194</v>
      </c>
      <c r="E23" s="88">
        <v>69.069140792453368</v>
      </c>
      <c r="F23" s="88">
        <v>67.670925838352559</v>
      </c>
      <c r="G23" s="88">
        <v>62.952422036731882</v>
      </c>
      <c r="H23" s="88">
        <v>62.403855761458807</v>
      </c>
      <c r="I23" s="88">
        <v>66.443899473703254</v>
      </c>
      <c r="J23" s="88">
        <v>63.549125629361548</v>
      </c>
      <c r="K23" s="88">
        <v>50.523324990153945</v>
      </c>
      <c r="L23" s="88">
        <v>53.290191931059425</v>
      </c>
      <c r="M23" s="88">
        <v>57.886062745815273</v>
      </c>
      <c r="N23" s="88">
        <v>51.394405736695489</v>
      </c>
      <c r="O23" s="88">
        <v>52.053210395804307</v>
      </c>
      <c r="P23" s="88">
        <v>50.756466924707091</v>
      </c>
      <c r="Q23" s="88">
        <v>50.790964128760336</v>
      </c>
      <c r="R23" s="88">
        <v>51.900715608644312</v>
      </c>
      <c r="S23" s="88">
        <v>56.810529222778001</v>
      </c>
      <c r="T23" s="88">
        <v>63.294155113570881</v>
      </c>
      <c r="U23" s="88">
        <v>60.685883633096793</v>
      </c>
      <c r="V23" s="88">
        <v>63.509082729537042</v>
      </c>
      <c r="W23" s="88">
        <v>65.408772010021323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1856.660494</v>
      </c>
      <c r="C25" s="62">
        <f t="shared" ref="C25:V25" si="22">C26+C32</f>
        <v>1897.7104150000002</v>
      </c>
      <c r="D25" s="62">
        <f t="shared" si="22"/>
        <v>1942.9330859999998</v>
      </c>
      <c r="E25" s="62">
        <f t="shared" si="22"/>
        <v>1996.5715890000001</v>
      </c>
      <c r="F25" s="62">
        <f t="shared" si="22"/>
        <v>1945.1031309999998</v>
      </c>
      <c r="G25" s="62">
        <f t="shared" si="22"/>
        <v>1853.242829</v>
      </c>
      <c r="H25" s="62">
        <f t="shared" si="22"/>
        <v>1800.1980619999999</v>
      </c>
      <c r="I25" s="62">
        <f t="shared" si="22"/>
        <v>1859.0444729999999</v>
      </c>
      <c r="J25" s="62">
        <f t="shared" si="22"/>
        <v>1831.982217</v>
      </c>
      <c r="K25" s="62">
        <f t="shared" si="22"/>
        <v>1764.4787470000001</v>
      </c>
      <c r="L25" s="62">
        <f t="shared" si="22"/>
        <v>1783.7354649999997</v>
      </c>
      <c r="M25" s="62">
        <f t="shared" si="22"/>
        <v>1762.0341550000001</v>
      </c>
      <c r="N25" s="62">
        <f t="shared" si="22"/>
        <v>1743.772444</v>
      </c>
      <c r="O25" s="62">
        <f t="shared" si="22"/>
        <v>1708.129901</v>
      </c>
      <c r="P25" s="62">
        <f t="shared" si="22"/>
        <v>1690.0130239999999</v>
      </c>
      <c r="Q25" s="62">
        <f t="shared" si="22"/>
        <v>1738.3966770000002</v>
      </c>
      <c r="R25" s="62">
        <f t="shared" si="22"/>
        <v>1838.3219949999998</v>
      </c>
      <c r="S25" s="62">
        <f t="shared" si="22"/>
        <v>1861.6209949999998</v>
      </c>
      <c r="T25" s="62">
        <f t="shared" si="22"/>
        <v>1975.6380409999999</v>
      </c>
      <c r="U25" s="62">
        <f t="shared" si="22"/>
        <v>1936.1061869999999</v>
      </c>
      <c r="V25" s="62">
        <f t="shared" si="22"/>
        <v>1857.7106429999999</v>
      </c>
      <c r="W25" s="62">
        <f t="shared" ref="W25" si="23">W26+W32</f>
        <v>1936.5599109999998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1412.035844</v>
      </c>
      <c r="C26" s="29">
        <f t="shared" ref="C26:V26" si="25">SUM(C27,C28,C31)</f>
        <v>1495.9113040000002</v>
      </c>
      <c r="D26" s="29">
        <f t="shared" si="25"/>
        <v>1559.7313729999998</v>
      </c>
      <c r="E26" s="29">
        <f t="shared" si="25"/>
        <v>1591.464187</v>
      </c>
      <c r="F26" s="29">
        <f t="shared" si="25"/>
        <v>1522.6169439999999</v>
      </c>
      <c r="G26" s="29">
        <f t="shared" si="25"/>
        <v>1459.9435020000001</v>
      </c>
      <c r="H26" s="29">
        <f t="shared" si="25"/>
        <v>1381.0748309999999</v>
      </c>
      <c r="I26" s="29">
        <f t="shared" si="25"/>
        <v>1425.315364</v>
      </c>
      <c r="J26" s="29">
        <f t="shared" si="25"/>
        <v>1418.321318</v>
      </c>
      <c r="K26" s="29">
        <f t="shared" si="25"/>
        <v>1395.2803120000001</v>
      </c>
      <c r="L26" s="29">
        <f t="shared" si="25"/>
        <v>1418.5324569999998</v>
      </c>
      <c r="M26" s="29">
        <f t="shared" si="25"/>
        <v>1367.6916980000001</v>
      </c>
      <c r="N26" s="29">
        <f t="shared" si="25"/>
        <v>1387.4826129999999</v>
      </c>
      <c r="O26" s="29">
        <f t="shared" si="25"/>
        <v>1354.140388</v>
      </c>
      <c r="P26" s="29">
        <f t="shared" si="25"/>
        <v>1348.1015689999999</v>
      </c>
      <c r="Q26" s="29">
        <f t="shared" si="25"/>
        <v>1401.9070770000001</v>
      </c>
      <c r="R26" s="29">
        <f t="shared" si="25"/>
        <v>1501.8779779999998</v>
      </c>
      <c r="S26" s="29">
        <f t="shared" si="25"/>
        <v>1499.8549129999999</v>
      </c>
      <c r="T26" s="29">
        <f t="shared" si="25"/>
        <v>1574.2027289999999</v>
      </c>
      <c r="U26" s="29">
        <f t="shared" si="25"/>
        <v>1553.3065729999998</v>
      </c>
      <c r="V26" s="29">
        <f t="shared" si="25"/>
        <v>1466.389375</v>
      </c>
      <c r="W26" s="29">
        <f t="shared" ref="W26" si="26">SUM(W27,W28,W31)</f>
        <v>1531.3313889999999</v>
      </c>
      <c r="DA26" s="173" t="s">
        <v>1044</v>
      </c>
    </row>
    <row r="27" spans="1:105" ht="11.45" customHeight="1" x14ac:dyDescent="0.25">
      <c r="A27" s="107" t="s">
        <v>23</v>
      </c>
      <c r="B27" s="115">
        <v>520.88627399999996</v>
      </c>
      <c r="C27" s="115">
        <v>519.60986700000001</v>
      </c>
      <c r="D27" s="115">
        <v>526.65779199999997</v>
      </c>
      <c r="E27" s="115">
        <v>514.98730999999998</v>
      </c>
      <c r="F27" s="115">
        <v>507.44177100000002</v>
      </c>
      <c r="G27" s="115">
        <v>491.17025699999999</v>
      </c>
      <c r="H27" s="115">
        <v>501.41654199999999</v>
      </c>
      <c r="I27" s="115">
        <v>507.98012299999999</v>
      </c>
      <c r="J27" s="115">
        <v>506.71539300000001</v>
      </c>
      <c r="K27" s="115">
        <v>483.929058</v>
      </c>
      <c r="L27" s="115">
        <v>493.98127299999999</v>
      </c>
      <c r="M27" s="115">
        <v>494.90409899999997</v>
      </c>
      <c r="N27" s="115">
        <v>501.75356699999998</v>
      </c>
      <c r="O27" s="115">
        <v>469.51823000000002</v>
      </c>
      <c r="P27" s="115">
        <v>487.616445</v>
      </c>
      <c r="Q27" s="115">
        <v>483.342962</v>
      </c>
      <c r="R27" s="115">
        <v>498.02917300000001</v>
      </c>
      <c r="S27" s="115">
        <v>490.41379000000001</v>
      </c>
      <c r="T27" s="115">
        <v>492.88063799999998</v>
      </c>
      <c r="U27" s="115">
        <v>499.01543500000002</v>
      </c>
      <c r="V27" s="115">
        <v>487.51676500000002</v>
      </c>
      <c r="W27" s="115">
        <v>470.174262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891.14957000000004</v>
      </c>
      <c r="C28" s="116">
        <f t="shared" ref="C28:V28" si="28">SUM(C29:C30)</f>
        <v>976.30143700000008</v>
      </c>
      <c r="D28" s="116">
        <f t="shared" si="28"/>
        <v>1033.0735809999999</v>
      </c>
      <c r="E28" s="116">
        <f t="shared" si="28"/>
        <v>1076.4768770000001</v>
      </c>
      <c r="F28" s="116">
        <f t="shared" si="28"/>
        <v>1015.175173</v>
      </c>
      <c r="G28" s="116">
        <f t="shared" si="28"/>
        <v>968.77324499999997</v>
      </c>
      <c r="H28" s="116">
        <f t="shared" si="28"/>
        <v>879.65828899999997</v>
      </c>
      <c r="I28" s="116">
        <f t="shared" si="28"/>
        <v>917.335241</v>
      </c>
      <c r="J28" s="116">
        <f t="shared" si="28"/>
        <v>911.60592499999996</v>
      </c>
      <c r="K28" s="116">
        <f t="shared" si="28"/>
        <v>911.35125400000004</v>
      </c>
      <c r="L28" s="116">
        <f t="shared" si="28"/>
        <v>924.55118399999992</v>
      </c>
      <c r="M28" s="116">
        <f t="shared" si="28"/>
        <v>872.787599</v>
      </c>
      <c r="N28" s="116">
        <f t="shared" si="28"/>
        <v>885.72904599999993</v>
      </c>
      <c r="O28" s="116">
        <f t="shared" si="28"/>
        <v>884.62215800000001</v>
      </c>
      <c r="P28" s="116">
        <f t="shared" si="28"/>
        <v>860.48512400000004</v>
      </c>
      <c r="Q28" s="116">
        <f t="shared" si="28"/>
        <v>915.20709999999997</v>
      </c>
      <c r="R28" s="116">
        <f t="shared" si="28"/>
        <v>993.95004199999994</v>
      </c>
      <c r="S28" s="116">
        <f t="shared" si="28"/>
        <v>999.54235999999992</v>
      </c>
      <c r="T28" s="116">
        <f t="shared" si="28"/>
        <v>1071.4233280000001</v>
      </c>
      <c r="U28" s="116">
        <f t="shared" si="28"/>
        <v>1043.8360989999999</v>
      </c>
      <c r="V28" s="116">
        <f t="shared" si="28"/>
        <v>968.41757099999995</v>
      </c>
      <c r="W28" s="116">
        <f t="shared" ref="W28" si="29">SUM(W29:W30)</f>
        <v>1050.702088</v>
      </c>
      <c r="DA28" s="176" t="s">
        <v>1046</v>
      </c>
    </row>
    <row r="29" spans="1:105" ht="11.45" customHeight="1" x14ac:dyDescent="0.25">
      <c r="A29" s="111" t="s">
        <v>92</v>
      </c>
      <c r="B29" s="87">
        <v>251.00269699999998</v>
      </c>
      <c r="C29" s="87">
        <v>260.12012499999997</v>
      </c>
      <c r="D29" s="87">
        <v>249.02727899999999</v>
      </c>
      <c r="E29" s="87">
        <v>275.77904699999999</v>
      </c>
      <c r="F29" s="87">
        <v>250.67877799999999</v>
      </c>
      <c r="G29" s="87">
        <v>251.121308</v>
      </c>
      <c r="H29" s="87">
        <v>226.021039</v>
      </c>
      <c r="I29" s="87">
        <v>225.032059</v>
      </c>
      <c r="J29" s="87">
        <v>199.93179000000001</v>
      </c>
      <c r="K29" s="87">
        <v>200.79899499999999</v>
      </c>
      <c r="L29" s="87">
        <v>175.69872599999999</v>
      </c>
      <c r="M29" s="87">
        <v>150.598457</v>
      </c>
      <c r="N29" s="87">
        <v>138.12176700000001</v>
      </c>
      <c r="O29" s="87">
        <v>128.817868</v>
      </c>
      <c r="P29" s="87">
        <v>120.312275</v>
      </c>
      <c r="Q29" s="87">
        <v>111.09573499999999</v>
      </c>
      <c r="R29" s="87">
        <v>142.31043</v>
      </c>
      <c r="S29" s="87">
        <v>121.754063</v>
      </c>
      <c r="T29" s="87">
        <v>174.96134899999998</v>
      </c>
      <c r="U29" s="87">
        <v>149.86107999999999</v>
      </c>
      <c r="V29" s="87">
        <v>138.45723899999999</v>
      </c>
      <c r="W29" s="87">
        <v>142.70042899999999</v>
      </c>
      <c r="DA29" s="171" t="s">
        <v>1047</v>
      </c>
    </row>
    <row r="30" spans="1:105" ht="11.45" customHeight="1" x14ac:dyDescent="0.25">
      <c r="A30" s="111" t="s">
        <v>93</v>
      </c>
      <c r="B30" s="87">
        <v>640.14687300000003</v>
      </c>
      <c r="C30" s="87">
        <v>716.18131200000005</v>
      </c>
      <c r="D30" s="87">
        <v>784.04630199999997</v>
      </c>
      <c r="E30" s="87">
        <v>800.69782999999995</v>
      </c>
      <c r="F30" s="87">
        <v>764.49639500000001</v>
      </c>
      <c r="G30" s="87">
        <v>717.65193699999998</v>
      </c>
      <c r="H30" s="87">
        <v>653.63724999999999</v>
      </c>
      <c r="I30" s="87">
        <v>692.30318199999999</v>
      </c>
      <c r="J30" s="87">
        <v>711.67413499999998</v>
      </c>
      <c r="K30" s="87">
        <v>710.55225900000005</v>
      </c>
      <c r="L30" s="87">
        <v>748.85245799999996</v>
      </c>
      <c r="M30" s="87">
        <v>722.18914199999995</v>
      </c>
      <c r="N30" s="87">
        <v>747.60727899999995</v>
      </c>
      <c r="O30" s="87">
        <v>755.80429000000004</v>
      </c>
      <c r="P30" s="87">
        <v>740.17284900000004</v>
      </c>
      <c r="Q30" s="87">
        <v>804.11136499999998</v>
      </c>
      <c r="R30" s="87">
        <v>851.63961199999994</v>
      </c>
      <c r="S30" s="87">
        <v>877.78829699999994</v>
      </c>
      <c r="T30" s="87">
        <v>896.46197900000004</v>
      </c>
      <c r="U30" s="87">
        <v>893.97501899999997</v>
      </c>
      <c r="V30" s="87">
        <v>829.96033199999999</v>
      </c>
      <c r="W30" s="87">
        <v>908.00165900000002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3.3570150000000001</v>
      </c>
      <c r="R31" s="117">
        <v>9.8987629999999989</v>
      </c>
      <c r="S31" s="117">
        <v>9.8987630000000006</v>
      </c>
      <c r="T31" s="117">
        <v>9.8987630000000006</v>
      </c>
      <c r="U31" s="117">
        <v>10.455038999999999</v>
      </c>
      <c r="V31" s="117">
        <v>10.455038999999999</v>
      </c>
      <c r="W31" s="117">
        <v>10.455038999999999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444.62465000000003</v>
      </c>
      <c r="C32" s="29">
        <f t="shared" ref="C32:V32" si="31">SUM(C33:C34)</f>
        <v>401.79911099999998</v>
      </c>
      <c r="D32" s="29">
        <f t="shared" si="31"/>
        <v>383.20171299999998</v>
      </c>
      <c r="E32" s="29">
        <f t="shared" si="31"/>
        <v>405.10740199999998</v>
      </c>
      <c r="F32" s="29">
        <f t="shared" si="31"/>
        <v>422.48618699999997</v>
      </c>
      <c r="G32" s="29">
        <f t="shared" si="31"/>
        <v>393.29932700000001</v>
      </c>
      <c r="H32" s="29">
        <f t="shared" si="31"/>
        <v>419.12323099999998</v>
      </c>
      <c r="I32" s="29">
        <f t="shared" si="31"/>
        <v>433.72910899999999</v>
      </c>
      <c r="J32" s="29">
        <f t="shared" si="31"/>
        <v>413.66089899999997</v>
      </c>
      <c r="K32" s="29">
        <f t="shared" si="31"/>
        <v>369.19843499999996</v>
      </c>
      <c r="L32" s="29">
        <f t="shared" si="31"/>
        <v>365.20300800000001</v>
      </c>
      <c r="M32" s="29">
        <f t="shared" si="31"/>
        <v>394.34245700000002</v>
      </c>
      <c r="N32" s="29">
        <f t="shared" si="31"/>
        <v>356.28983100000005</v>
      </c>
      <c r="O32" s="29">
        <f t="shared" si="31"/>
        <v>353.98951299999999</v>
      </c>
      <c r="P32" s="29">
        <f t="shared" si="31"/>
        <v>341.91145499999999</v>
      </c>
      <c r="Q32" s="29">
        <f t="shared" si="31"/>
        <v>336.4896</v>
      </c>
      <c r="R32" s="29">
        <f t="shared" si="31"/>
        <v>336.44401700000003</v>
      </c>
      <c r="S32" s="29">
        <f t="shared" si="31"/>
        <v>361.76608199999998</v>
      </c>
      <c r="T32" s="29">
        <f t="shared" si="31"/>
        <v>401.43531200000001</v>
      </c>
      <c r="U32" s="29">
        <f t="shared" si="31"/>
        <v>382.79961400000002</v>
      </c>
      <c r="V32" s="29">
        <f t="shared" si="31"/>
        <v>391.32126799999998</v>
      </c>
      <c r="W32" s="29">
        <f t="shared" ref="W32" si="32">SUM(W33:W34)</f>
        <v>405.228522</v>
      </c>
      <c r="DA32" s="173" t="s">
        <v>1050</v>
      </c>
    </row>
    <row r="33" spans="1:105" ht="11.45" customHeight="1" x14ac:dyDescent="0.25">
      <c r="A33" s="83" t="s">
        <v>92</v>
      </c>
      <c r="B33" s="87">
        <v>55.943417999999994</v>
      </c>
      <c r="C33" s="87">
        <v>51.986001999999999</v>
      </c>
      <c r="D33" s="87">
        <v>53.344994999999997</v>
      </c>
      <c r="E33" s="87">
        <v>59.761697999999996</v>
      </c>
      <c r="F33" s="87">
        <v>84.131557000000001</v>
      </c>
      <c r="G33" s="87">
        <v>78.537216000000001</v>
      </c>
      <c r="H33" s="87">
        <v>107.10395199999999</v>
      </c>
      <c r="I33" s="87">
        <v>101.50961099999999</v>
      </c>
      <c r="J33" s="87">
        <v>95.915269999999992</v>
      </c>
      <c r="K33" s="87">
        <v>90.320928999999992</v>
      </c>
      <c r="L33" s="87">
        <v>98.752048000000002</v>
      </c>
      <c r="M33" s="87">
        <v>104.912143</v>
      </c>
      <c r="N33" s="87">
        <v>99.317802</v>
      </c>
      <c r="O33" s="87">
        <v>93.723461</v>
      </c>
      <c r="P33" s="87">
        <v>88.12912</v>
      </c>
      <c r="Q33" s="87">
        <v>82.534779</v>
      </c>
      <c r="R33" s="87">
        <v>76.940438</v>
      </c>
      <c r="S33" s="87">
        <v>77.713435000000004</v>
      </c>
      <c r="T33" s="87">
        <v>84.964535999999995</v>
      </c>
      <c r="U33" s="87">
        <v>79.370194999999995</v>
      </c>
      <c r="V33" s="87">
        <v>73.775853999999995</v>
      </c>
      <c r="W33" s="87">
        <v>78.184660999999991</v>
      </c>
      <c r="DA33" s="171" t="s">
        <v>1051</v>
      </c>
    </row>
    <row r="34" spans="1:105" ht="11.45" customHeight="1" x14ac:dyDescent="0.25">
      <c r="A34" s="85" t="s">
        <v>93</v>
      </c>
      <c r="B34" s="88">
        <v>388.68123200000002</v>
      </c>
      <c r="C34" s="88">
        <v>349.813109</v>
      </c>
      <c r="D34" s="88">
        <v>329.856718</v>
      </c>
      <c r="E34" s="88">
        <v>345.34570400000001</v>
      </c>
      <c r="F34" s="88">
        <v>338.35462999999999</v>
      </c>
      <c r="G34" s="88">
        <v>314.762111</v>
      </c>
      <c r="H34" s="88">
        <v>312.01927899999998</v>
      </c>
      <c r="I34" s="88">
        <v>332.21949799999999</v>
      </c>
      <c r="J34" s="88">
        <v>317.74562900000001</v>
      </c>
      <c r="K34" s="88">
        <v>278.87750599999998</v>
      </c>
      <c r="L34" s="88">
        <v>266.45096000000001</v>
      </c>
      <c r="M34" s="88">
        <v>289.43031400000001</v>
      </c>
      <c r="N34" s="88">
        <v>256.97202900000002</v>
      </c>
      <c r="O34" s="88">
        <v>260.266052</v>
      </c>
      <c r="P34" s="88">
        <v>253.78233499999999</v>
      </c>
      <c r="Q34" s="88">
        <v>253.95482100000001</v>
      </c>
      <c r="R34" s="88">
        <v>259.503579</v>
      </c>
      <c r="S34" s="88">
        <v>284.05264699999998</v>
      </c>
      <c r="T34" s="88">
        <v>316.470776</v>
      </c>
      <c r="U34" s="88">
        <v>303.429419</v>
      </c>
      <c r="V34" s="88">
        <v>317.54541399999999</v>
      </c>
      <c r="W34" s="88">
        <v>327.04386099999999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130.32878400000007</v>
      </c>
      <c r="D36" s="54">
        <f t="shared" ref="D36:V36" si="34">D37+D43</f>
        <v>116.13400199999987</v>
      </c>
      <c r="E36" s="54">
        <f t="shared" si="34"/>
        <v>113.83170499999996</v>
      </c>
      <c r="F36" s="54">
        <f t="shared" si="34"/>
        <v>40.893453000000036</v>
      </c>
      <c r="G36" s="54">
        <f t="shared" si="34"/>
        <v>10.162015999999966</v>
      </c>
      <c r="H36" s="54">
        <f t="shared" si="34"/>
        <v>67.130395999999934</v>
      </c>
      <c r="I36" s="54">
        <f t="shared" si="34"/>
        <v>122.55451299999993</v>
      </c>
      <c r="J36" s="54">
        <f t="shared" si="34"/>
        <v>55.888875999999925</v>
      </c>
      <c r="K36" s="54">
        <f t="shared" si="34"/>
        <v>28.878324000000021</v>
      </c>
      <c r="L36" s="54">
        <f t="shared" si="34"/>
        <v>96.645626999999891</v>
      </c>
      <c r="M36" s="54">
        <f t="shared" si="34"/>
        <v>61.122482000000005</v>
      </c>
      <c r="N36" s="54">
        <f t="shared" si="34"/>
        <v>70.050257999999985</v>
      </c>
      <c r="O36" s="54">
        <f t="shared" si="34"/>
        <v>43.613795000000039</v>
      </c>
      <c r="P36" s="54">
        <f t="shared" si="34"/>
        <v>45.591224999999952</v>
      </c>
      <c r="Q36" s="54">
        <f t="shared" si="34"/>
        <v>112.63762399999992</v>
      </c>
      <c r="R36" s="54">
        <f t="shared" si="34"/>
        <v>163.63341999999997</v>
      </c>
      <c r="S36" s="54">
        <f t="shared" si="34"/>
        <v>95.377897999999959</v>
      </c>
      <c r="T36" s="54">
        <f t="shared" si="34"/>
        <v>174.21024800000004</v>
      </c>
      <c r="U36" s="54">
        <f t="shared" si="34"/>
        <v>41.98676599999996</v>
      </c>
      <c r="V36" s="54">
        <f t="shared" si="34"/>
        <v>31.598091000000011</v>
      </c>
      <c r="W36" s="54">
        <f t="shared" ref="W36" si="35">W37+W43</f>
        <v>139.06464399999999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130.32878400000007</v>
      </c>
      <c r="D37" s="28">
        <f t="shared" ref="D37:V37" si="37">SUM(D38,D39,D42)</f>
        <v>112.69556799999987</v>
      </c>
      <c r="E37" s="28">
        <f t="shared" si="37"/>
        <v>78.186137999999943</v>
      </c>
      <c r="F37" s="28">
        <f t="shared" si="37"/>
        <v>9.7747900000000527</v>
      </c>
      <c r="G37" s="28">
        <f t="shared" si="37"/>
        <v>10.162015999999966</v>
      </c>
      <c r="H37" s="28">
        <f t="shared" si="37"/>
        <v>27.566613999999959</v>
      </c>
      <c r="I37" s="28">
        <f t="shared" si="37"/>
        <v>90.693856999999923</v>
      </c>
      <c r="J37" s="28">
        <f t="shared" si="37"/>
        <v>55.888875999999925</v>
      </c>
      <c r="K37" s="28">
        <f t="shared" si="37"/>
        <v>28.878324000000021</v>
      </c>
      <c r="L37" s="28">
        <f t="shared" si="37"/>
        <v>86.135066999999879</v>
      </c>
      <c r="M37" s="28">
        <f t="shared" si="37"/>
        <v>18.243155000000002</v>
      </c>
      <c r="N37" s="28">
        <f t="shared" si="37"/>
        <v>70.050257999999985</v>
      </c>
      <c r="O37" s="28">
        <f t="shared" si="37"/>
        <v>28.659335000000056</v>
      </c>
      <c r="P37" s="28">
        <f t="shared" si="37"/>
        <v>40.414504999999963</v>
      </c>
      <c r="Q37" s="28">
        <f t="shared" si="37"/>
        <v>100.80470099999992</v>
      </c>
      <c r="R37" s="28">
        <f t="shared" si="37"/>
        <v>146.42422499999998</v>
      </c>
      <c r="S37" s="28">
        <f t="shared" si="37"/>
        <v>56.315954999999974</v>
      </c>
      <c r="T37" s="28">
        <f t="shared" si="37"/>
        <v>120.80114000000003</v>
      </c>
      <c r="U37" s="28">
        <f t="shared" si="37"/>
        <v>41.98676599999996</v>
      </c>
      <c r="V37" s="28">
        <f t="shared" si="37"/>
        <v>5.821659000000011</v>
      </c>
      <c r="W37" s="28">
        <f t="shared" ref="W37" si="38">SUM(W38,W39,W42)</f>
        <v>111.41751199999999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16.043922000000066</v>
      </c>
      <c r="D38" s="108">
        <v>24.368253999999979</v>
      </c>
      <c r="E38" s="108">
        <v>5.6498470000000225</v>
      </c>
      <c r="F38" s="108">
        <v>9.7747900000000527</v>
      </c>
      <c r="G38" s="108">
        <v>1.0488149999999905</v>
      </c>
      <c r="H38" s="108">
        <v>27.566613999999959</v>
      </c>
      <c r="I38" s="108">
        <v>23.883909999999958</v>
      </c>
      <c r="J38" s="108">
        <v>16.055598999999972</v>
      </c>
      <c r="K38" s="108">
        <v>0</v>
      </c>
      <c r="L38" s="108">
        <v>27.372544000000005</v>
      </c>
      <c r="M38" s="108">
        <v>18.243155000000002</v>
      </c>
      <c r="N38" s="108">
        <v>24.169797000000017</v>
      </c>
      <c r="O38" s="108">
        <v>0</v>
      </c>
      <c r="P38" s="108">
        <v>35.418543999999997</v>
      </c>
      <c r="Q38" s="108">
        <v>13.046846000000016</v>
      </c>
      <c r="R38" s="108">
        <v>32.00654000000003</v>
      </c>
      <c r="S38" s="108">
        <v>9.7049460000000067</v>
      </c>
      <c r="T38" s="108">
        <v>19.787176999999986</v>
      </c>
      <c r="U38" s="108">
        <v>23.455126000000064</v>
      </c>
      <c r="V38" s="108">
        <v>5.821659000000011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114.284862</v>
      </c>
      <c r="D39" s="110">
        <f t="shared" ref="D39:V39" si="40">SUM(D40:D41)</f>
        <v>88.327313999999888</v>
      </c>
      <c r="E39" s="110">
        <f t="shared" si="40"/>
        <v>72.53629099999992</v>
      </c>
      <c r="F39" s="110">
        <f t="shared" si="40"/>
        <v>0</v>
      </c>
      <c r="G39" s="110">
        <f t="shared" si="40"/>
        <v>9.1132009999999752</v>
      </c>
      <c r="H39" s="110">
        <f t="shared" si="40"/>
        <v>0</v>
      </c>
      <c r="I39" s="110">
        <f t="shared" si="40"/>
        <v>66.809946999999966</v>
      </c>
      <c r="J39" s="110">
        <f t="shared" si="40"/>
        <v>39.833276999999953</v>
      </c>
      <c r="K39" s="110">
        <f t="shared" si="40"/>
        <v>28.878324000000021</v>
      </c>
      <c r="L39" s="110">
        <f t="shared" si="40"/>
        <v>58.762522999999874</v>
      </c>
      <c r="M39" s="110">
        <f t="shared" si="40"/>
        <v>0</v>
      </c>
      <c r="N39" s="110">
        <f t="shared" si="40"/>
        <v>45.880460999999968</v>
      </c>
      <c r="O39" s="110">
        <f t="shared" si="40"/>
        <v>28.659335000000056</v>
      </c>
      <c r="P39" s="110">
        <f t="shared" si="40"/>
        <v>4.9959609999999657</v>
      </c>
      <c r="Q39" s="110">
        <f t="shared" si="40"/>
        <v>84.400839999999903</v>
      </c>
      <c r="R39" s="110">
        <f t="shared" si="40"/>
        <v>107.87593699999994</v>
      </c>
      <c r="S39" s="110">
        <f t="shared" si="40"/>
        <v>46.611008999999967</v>
      </c>
      <c r="T39" s="110">
        <f t="shared" si="40"/>
        <v>101.01396300000005</v>
      </c>
      <c r="U39" s="110">
        <f t="shared" si="40"/>
        <v>17.9753639999999</v>
      </c>
      <c r="V39" s="110">
        <f t="shared" si="40"/>
        <v>0</v>
      </c>
      <c r="W39" s="110">
        <f t="shared" ref="W39" si="41">SUM(W40:W41)</f>
        <v>111.41751199999999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17.788099000000017</v>
      </c>
      <c r="D40" s="84">
        <v>0</v>
      </c>
      <c r="E40" s="84">
        <v>35.422438999999969</v>
      </c>
      <c r="F40" s="84">
        <v>0</v>
      </c>
      <c r="G40" s="84">
        <v>9.1132009999999752</v>
      </c>
      <c r="H40" s="84">
        <v>0</v>
      </c>
      <c r="I40" s="84">
        <v>7.6816910000000007</v>
      </c>
      <c r="J40" s="84">
        <v>0</v>
      </c>
      <c r="K40" s="84">
        <v>9.5378759999999829</v>
      </c>
      <c r="L40" s="84">
        <v>0</v>
      </c>
      <c r="M40" s="84">
        <v>0</v>
      </c>
      <c r="N40" s="84">
        <v>0</v>
      </c>
      <c r="O40" s="84">
        <v>0</v>
      </c>
      <c r="P40" s="84">
        <v>0.16507799999999406</v>
      </c>
      <c r="Q40" s="84">
        <v>0</v>
      </c>
      <c r="R40" s="84">
        <v>39.885366000000005</v>
      </c>
      <c r="S40" s="84">
        <v>0</v>
      </c>
      <c r="T40" s="84">
        <v>61.877956999999981</v>
      </c>
      <c r="U40" s="84">
        <v>0</v>
      </c>
      <c r="V40" s="84">
        <v>0</v>
      </c>
      <c r="W40" s="84">
        <v>12.913860999999997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96.496762999999987</v>
      </c>
      <c r="D41" s="84">
        <v>88.327313999999888</v>
      </c>
      <c r="E41" s="84">
        <v>37.113851999999952</v>
      </c>
      <c r="F41" s="84">
        <v>0</v>
      </c>
      <c r="G41" s="84">
        <v>0</v>
      </c>
      <c r="H41" s="84">
        <v>0</v>
      </c>
      <c r="I41" s="84">
        <v>59.128255999999965</v>
      </c>
      <c r="J41" s="84">
        <v>39.833276999999953</v>
      </c>
      <c r="K41" s="84">
        <v>19.340448000000038</v>
      </c>
      <c r="L41" s="84">
        <v>58.762522999999874</v>
      </c>
      <c r="M41" s="84">
        <v>0</v>
      </c>
      <c r="N41" s="84">
        <v>45.880460999999968</v>
      </c>
      <c r="O41" s="84">
        <v>28.659335000000056</v>
      </c>
      <c r="P41" s="84">
        <v>4.8308829999999716</v>
      </c>
      <c r="Q41" s="84">
        <v>84.400839999999903</v>
      </c>
      <c r="R41" s="84">
        <v>67.990570999999932</v>
      </c>
      <c r="S41" s="84">
        <v>46.611008999999967</v>
      </c>
      <c r="T41" s="84">
        <v>39.136006000000066</v>
      </c>
      <c r="U41" s="84">
        <v>17.9753639999999</v>
      </c>
      <c r="V41" s="84">
        <v>0</v>
      </c>
      <c r="W41" s="84">
        <v>98.503650999999991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3.3570150000000001</v>
      </c>
      <c r="R42" s="113">
        <v>6.5417479999999983</v>
      </c>
      <c r="S42" s="113">
        <v>1.7763568394002505E-15</v>
      </c>
      <c r="T42" s="113">
        <v>0</v>
      </c>
      <c r="U42" s="113">
        <v>0.55627599999999866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3.4384340000000009</v>
      </c>
      <c r="E43" s="28">
        <f t="shared" si="43"/>
        <v>35.645567000000014</v>
      </c>
      <c r="F43" s="28">
        <f t="shared" si="43"/>
        <v>31.118662999999984</v>
      </c>
      <c r="G43" s="28">
        <f t="shared" si="43"/>
        <v>0</v>
      </c>
      <c r="H43" s="28">
        <f t="shared" si="43"/>
        <v>39.563781999999975</v>
      </c>
      <c r="I43" s="28">
        <f t="shared" si="43"/>
        <v>31.860656000000006</v>
      </c>
      <c r="J43" s="28">
        <f t="shared" si="43"/>
        <v>0</v>
      </c>
      <c r="K43" s="28">
        <f t="shared" si="43"/>
        <v>0</v>
      </c>
      <c r="L43" s="28">
        <f t="shared" si="43"/>
        <v>10.510560000000012</v>
      </c>
      <c r="M43" s="28">
        <f t="shared" si="43"/>
        <v>42.879327000000004</v>
      </c>
      <c r="N43" s="28">
        <f t="shared" si="43"/>
        <v>0</v>
      </c>
      <c r="O43" s="28">
        <f t="shared" si="43"/>
        <v>14.954459999999983</v>
      </c>
      <c r="P43" s="28">
        <f t="shared" si="43"/>
        <v>5.1767199999999889</v>
      </c>
      <c r="Q43" s="28">
        <f t="shared" si="43"/>
        <v>11.832922999999994</v>
      </c>
      <c r="R43" s="28">
        <f t="shared" si="43"/>
        <v>17.209194999999994</v>
      </c>
      <c r="S43" s="28">
        <f t="shared" si="43"/>
        <v>39.061942999999985</v>
      </c>
      <c r="T43" s="28">
        <f t="shared" si="43"/>
        <v>53.409108000000018</v>
      </c>
      <c r="U43" s="28">
        <f t="shared" si="43"/>
        <v>0</v>
      </c>
      <c r="V43" s="28">
        <f t="shared" si="43"/>
        <v>25.776432</v>
      </c>
      <c r="W43" s="28">
        <f t="shared" ref="W43" si="44">SUM(W44:W45)</f>
        <v>27.647131999999999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3.4384340000000009</v>
      </c>
      <c r="E44" s="84">
        <v>8.496144000000001</v>
      </c>
      <c r="F44" s="84">
        <v>26.449300000000008</v>
      </c>
      <c r="G44" s="84">
        <v>0</v>
      </c>
      <c r="H44" s="84">
        <v>30.646176999999994</v>
      </c>
      <c r="I44" s="84">
        <v>0</v>
      </c>
      <c r="J44" s="84">
        <v>0</v>
      </c>
      <c r="K44" s="84">
        <v>0</v>
      </c>
      <c r="L44" s="84">
        <v>10.510560000000012</v>
      </c>
      <c r="M44" s="84">
        <v>8.2395360000000011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2.8524380000000065</v>
      </c>
      <c r="T44" s="84">
        <v>9.3305419999999941</v>
      </c>
      <c r="U44" s="84">
        <v>0</v>
      </c>
      <c r="V44" s="84">
        <v>0</v>
      </c>
      <c r="W44" s="84">
        <v>6.4882479999999987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27.149423000000013</v>
      </c>
      <c r="F45" s="86">
        <v>4.6693629999999757</v>
      </c>
      <c r="G45" s="86">
        <v>0</v>
      </c>
      <c r="H45" s="86">
        <v>8.9176049999999805</v>
      </c>
      <c r="I45" s="86">
        <v>31.860656000000006</v>
      </c>
      <c r="J45" s="86">
        <v>0</v>
      </c>
      <c r="K45" s="86">
        <v>0</v>
      </c>
      <c r="L45" s="86">
        <v>0</v>
      </c>
      <c r="M45" s="86">
        <v>34.639791000000002</v>
      </c>
      <c r="N45" s="86">
        <v>0</v>
      </c>
      <c r="O45" s="86">
        <v>14.954459999999983</v>
      </c>
      <c r="P45" s="86">
        <v>5.1767199999999889</v>
      </c>
      <c r="Q45" s="86">
        <v>11.832922999999994</v>
      </c>
      <c r="R45" s="86">
        <v>17.209194999999994</v>
      </c>
      <c r="S45" s="86">
        <v>36.209504999999979</v>
      </c>
      <c r="T45" s="86">
        <v>44.078566000000023</v>
      </c>
      <c r="U45" s="86">
        <v>0</v>
      </c>
      <c r="V45" s="86">
        <v>25.776432</v>
      </c>
      <c r="W45" s="86">
        <v>21.158884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150.76719511493192</v>
      </c>
      <c r="C50" s="29">
        <f t="shared" si="45"/>
        <v>133.19594078784792</v>
      </c>
      <c r="D50" s="29">
        <f t="shared" si="45"/>
        <v>119.16292707118416</v>
      </c>
      <c r="E50" s="29">
        <f t="shared" si="45"/>
        <v>110.66378606525197</v>
      </c>
      <c r="F50" s="29">
        <f t="shared" si="45"/>
        <v>113.16486874628185</v>
      </c>
      <c r="G50" s="29">
        <f t="shared" si="45"/>
        <v>113.15574638790331</v>
      </c>
      <c r="H50" s="29">
        <f t="shared" si="45"/>
        <v>129.2294392111709</v>
      </c>
      <c r="I50" s="29">
        <f t="shared" si="45"/>
        <v>126.41740887304897</v>
      </c>
      <c r="J50" s="29">
        <f t="shared" si="45"/>
        <v>130.59950269765139</v>
      </c>
      <c r="K50" s="29">
        <f t="shared" ref="K50:V50" si="46">IF(K4=0,0,K4/K15)</f>
        <v>120.8677388504602</v>
      </c>
      <c r="L50" s="29">
        <f t="shared" si="46"/>
        <v>120.0675101985088</v>
      </c>
      <c r="M50" s="29">
        <f t="shared" si="46"/>
        <v>124.09254810261271</v>
      </c>
      <c r="N50" s="29">
        <f t="shared" si="46"/>
        <v>118.14931921630014</v>
      </c>
      <c r="O50" s="29">
        <f t="shared" si="46"/>
        <v>113.36185111114276</v>
      </c>
      <c r="P50" s="29">
        <f t="shared" si="46"/>
        <v>110.84305703701375</v>
      </c>
      <c r="Q50" s="29">
        <f t="shared" si="46"/>
        <v>112.45812042907829</v>
      </c>
      <c r="R50" s="29">
        <f t="shared" si="46"/>
        <v>112.86096244087034</v>
      </c>
      <c r="S50" s="29">
        <f t="shared" si="46"/>
        <v>118.34958279672813</v>
      </c>
      <c r="T50" s="29">
        <f t="shared" si="46"/>
        <v>115.80372617959422</v>
      </c>
      <c r="U50" s="29">
        <f t="shared" si="46"/>
        <v>123.41478017198313</v>
      </c>
      <c r="V50" s="29">
        <f t="shared" si="46"/>
        <v>78.881640067798571</v>
      </c>
      <c r="W50" s="29">
        <f t="shared" ref="W50" si="47">IF(W4=0,0,W4/W15)</f>
        <v>87.535339354022071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82.028025960358178</v>
      </c>
      <c r="C51" s="115">
        <f t="shared" si="48"/>
        <v>81.354743242376102</v>
      </c>
      <c r="D51" s="115">
        <f t="shared" si="48"/>
        <v>79.74817934163886</v>
      </c>
      <c r="E51" s="115">
        <f t="shared" si="48"/>
        <v>79.437085511382065</v>
      </c>
      <c r="F51" s="115">
        <f t="shared" si="48"/>
        <v>80.618296071881332</v>
      </c>
      <c r="G51" s="115">
        <f t="shared" si="48"/>
        <v>81.438156088951729</v>
      </c>
      <c r="H51" s="115">
        <f t="shared" si="48"/>
        <v>80.680516353373591</v>
      </c>
      <c r="I51" s="115">
        <f t="shared" si="48"/>
        <v>82.322476772210536</v>
      </c>
      <c r="J51" s="115">
        <f t="shared" si="48"/>
        <v>82.5279485544865</v>
      </c>
      <c r="K51" s="115">
        <f t="shared" ref="K51:V51" si="49">IF(K5=0,0,K5/K16)</f>
        <v>81.153893664355365</v>
      </c>
      <c r="L51" s="115">
        <f t="shared" si="49"/>
        <v>79.87052880092817</v>
      </c>
      <c r="M51" s="115">
        <f t="shared" si="49"/>
        <v>80.891939772314458</v>
      </c>
      <c r="N51" s="115">
        <f t="shared" si="49"/>
        <v>79.579906491413823</v>
      </c>
      <c r="O51" s="115">
        <f t="shared" si="49"/>
        <v>79.388163654875072</v>
      </c>
      <c r="P51" s="115">
        <f t="shared" si="49"/>
        <v>78.996495927750146</v>
      </c>
      <c r="Q51" s="115">
        <f t="shared" si="49"/>
        <v>79.378956862505405</v>
      </c>
      <c r="R51" s="115">
        <f t="shared" si="49"/>
        <v>79.172838181299525</v>
      </c>
      <c r="S51" s="115">
        <f t="shared" si="49"/>
        <v>79.921894269904939</v>
      </c>
      <c r="T51" s="115">
        <f t="shared" si="49"/>
        <v>80.275285575406102</v>
      </c>
      <c r="U51" s="115">
        <f t="shared" si="49"/>
        <v>80.664647043405651</v>
      </c>
      <c r="V51" s="115">
        <f t="shared" si="49"/>
        <v>48.680363338661259</v>
      </c>
      <c r="W51" s="115">
        <f t="shared" ref="W51" si="50">IF(W5=0,0,W5/W16)</f>
        <v>55.581931078031275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180.23162321175147</v>
      </c>
      <c r="C52" s="116">
        <f t="shared" si="51"/>
        <v>153.42938946092454</v>
      </c>
      <c r="D52" s="116">
        <f t="shared" si="51"/>
        <v>133.89817459896574</v>
      </c>
      <c r="E52" s="116">
        <f t="shared" si="51"/>
        <v>121.61896174595746</v>
      </c>
      <c r="F52" s="116">
        <f t="shared" si="51"/>
        <v>125.3490361803164</v>
      </c>
      <c r="G52" s="116">
        <f t="shared" si="51"/>
        <v>124.9483997938643</v>
      </c>
      <c r="H52" s="116">
        <f t="shared" si="51"/>
        <v>151.02857811870143</v>
      </c>
      <c r="I52" s="116">
        <f t="shared" si="51"/>
        <v>144.32382798491224</v>
      </c>
      <c r="J52" s="116">
        <f t="shared" si="51"/>
        <v>150.57798899922633</v>
      </c>
      <c r="K52" s="116">
        <f t="shared" ref="K52:V52" si="52">IF(K6=0,0,K6/K17)</f>
        <v>136.33235943900047</v>
      </c>
      <c r="L52" s="116">
        <f t="shared" si="52"/>
        <v>136.73254688801669</v>
      </c>
      <c r="M52" s="116">
        <f t="shared" si="52"/>
        <v>142.5342318731023</v>
      </c>
      <c r="N52" s="116">
        <f t="shared" si="52"/>
        <v>134.17195768983686</v>
      </c>
      <c r="O52" s="116">
        <f t="shared" si="52"/>
        <v>126.58511785562871</v>
      </c>
      <c r="P52" s="116">
        <f t="shared" si="52"/>
        <v>124.07729519675871</v>
      </c>
      <c r="Q52" s="116">
        <f t="shared" si="52"/>
        <v>123.10510565383333</v>
      </c>
      <c r="R52" s="116">
        <f t="shared" si="52"/>
        <v>118.98324377110426</v>
      </c>
      <c r="S52" s="116">
        <f t="shared" si="52"/>
        <v>125.91762504853023</v>
      </c>
      <c r="T52" s="116">
        <f t="shared" si="52"/>
        <v>121.29037145548705</v>
      </c>
      <c r="U52" s="116">
        <f t="shared" si="52"/>
        <v>131.4425308808583</v>
      </c>
      <c r="V52" s="116">
        <f t="shared" si="52"/>
        <v>87.955998139985766</v>
      </c>
      <c r="W52" s="116">
        <f t="shared" ref="W52" si="53">IF(W6=0,0,W6/W17)</f>
        <v>93.395963101875054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124.3581403644623</v>
      </c>
      <c r="C53" s="87">
        <f t="shared" si="54"/>
        <v>124.67740889822409</v>
      </c>
      <c r="D53" s="87">
        <f t="shared" si="54"/>
        <v>115.67718349292446</v>
      </c>
      <c r="E53" s="87">
        <f t="shared" si="54"/>
        <v>106.13910855963083</v>
      </c>
      <c r="F53" s="87">
        <f t="shared" si="54"/>
        <v>109.86881273868343</v>
      </c>
      <c r="G53" s="87">
        <f t="shared" si="54"/>
        <v>113.11904934822606</v>
      </c>
      <c r="H53" s="87">
        <f t="shared" si="54"/>
        <v>118.8811407905539</v>
      </c>
      <c r="I53" s="87">
        <f t="shared" si="54"/>
        <v>126.29976025064451</v>
      </c>
      <c r="J53" s="87">
        <f t="shared" si="54"/>
        <v>120.86406684993042</v>
      </c>
      <c r="K53" s="87">
        <f t="shared" ref="K53:V53" si="55">IF(K7=0,0,K7/K18)</f>
        <v>119.33854706269764</v>
      </c>
      <c r="L53" s="87">
        <f t="shared" si="55"/>
        <v>117.80880709797974</v>
      </c>
      <c r="M53" s="87">
        <f t="shared" si="55"/>
        <v>121.51665653214579</v>
      </c>
      <c r="N53" s="87">
        <f t="shared" si="55"/>
        <v>112.47195496945216</v>
      </c>
      <c r="O53" s="87">
        <f t="shared" si="55"/>
        <v>114.02073912966935</v>
      </c>
      <c r="P53" s="87">
        <f t="shared" si="55"/>
        <v>117.64055897541785</v>
      </c>
      <c r="Q53" s="87">
        <f t="shared" si="55"/>
        <v>122.43293859514226</v>
      </c>
      <c r="R53" s="87">
        <f t="shared" si="55"/>
        <v>116.97349822071529</v>
      </c>
      <c r="S53" s="87">
        <f t="shared" si="55"/>
        <v>110.35154339272277</v>
      </c>
      <c r="T53" s="87">
        <f t="shared" si="55"/>
        <v>102.35951971327765</v>
      </c>
      <c r="U53" s="87">
        <f t="shared" si="55"/>
        <v>134.04272320947638</v>
      </c>
      <c r="V53" s="87">
        <f t="shared" si="55"/>
        <v>78.355486574944564</v>
      </c>
      <c r="W53" s="87">
        <f t="shared" ref="W53" si="56">IF(W7=0,0,W7/W18)</f>
        <v>94.94311789318246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202.13971254783101</v>
      </c>
      <c r="C54" s="87">
        <f t="shared" si="57"/>
        <v>163.87223215248909</v>
      </c>
      <c r="D54" s="87">
        <f t="shared" si="57"/>
        <v>139.68549075353846</v>
      </c>
      <c r="E54" s="87">
        <f t="shared" si="57"/>
        <v>126.95058498633441</v>
      </c>
      <c r="F54" s="87">
        <f t="shared" si="57"/>
        <v>129.99672945440875</v>
      </c>
      <c r="G54" s="87">
        <f t="shared" si="57"/>
        <v>129.08773503752997</v>
      </c>
      <c r="H54" s="87">
        <f t="shared" si="57"/>
        <v>159.4516982132543</v>
      </c>
      <c r="I54" s="87">
        <f t="shared" si="57"/>
        <v>150.18252279339313</v>
      </c>
      <c r="J54" s="87">
        <f t="shared" si="57"/>
        <v>158.1950910094325</v>
      </c>
      <c r="K54" s="87">
        <f t="shared" ref="K54:V54" si="58">IF(K8=0,0,K8/K19)</f>
        <v>141.13473731490606</v>
      </c>
      <c r="L54" s="87">
        <f t="shared" si="58"/>
        <v>139.88935194112537</v>
      </c>
      <c r="M54" s="87">
        <f t="shared" si="58"/>
        <v>146.25914788675627</v>
      </c>
      <c r="N54" s="87">
        <f t="shared" si="58"/>
        <v>138.18107157376937</v>
      </c>
      <c r="O54" s="87">
        <f t="shared" si="58"/>
        <v>128.726567032259</v>
      </c>
      <c r="P54" s="87">
        <f t="shared" si="58"/>
        <v>125.12356213162178</v>
      </c>
      <c r="Q54" s="87">
        <f t="shared" si="58"/>
        <v>123.19797201102035</v>
      </c>
      <c r="R54" s="87">
        <f t="shared" si="58"/>
        <v>119.31907567572561</v>
      </c>
      <c r="S54" s="87">
        <f t="shared" si="58"/>
        <v>128.0767261526475</v>
      </c>
      <c r="T54" s="87">
        <f t="shared" si="58"/>
        <v>124.98508179884772</v>
      </c>
      <c r="U54" s="87">
        <f t="shared" si="58"/>
        <v>131.03728431010583</v>
      </c>
      <c r="V54" s="87">
        <f t="shared" si="58"/>
        <v>89.727051446757642</v>
      </c>
      <c r="W54" s="87">
        <f t="shared" ref="W54" si="59">IF(W8=0,0,W8/W19)</f>
        <v>93.152814149276466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309.13715515554691</v>
      </c>
      <c r="R55" s="117">
        <f t="shared" si="61"/>
        <v>322.26027540045266</v>
      </c>
      <c r="S55" s="117">
        <f t="shared" si="61"/>
        <v>339.70179850541695</v>
      </c>
      <c r="T55" s="117">
        <f t="shared" si="61"/>
        <v>355.05954421815352</v>
      </c>
      <c r="U55" s="117">
        <f t="shared" si="61"/>
        <v>357.7222767940375</v>
      </c>
      <c r="V55" s="117">
        <f t="shared" si="61"/>
        <v>171.58345928336772</v>
      </c>
      <c r="W55" s="117">
        <f t="shared" ref="W55" si="62">IF(W9=0,0,W9/W20)</f>
        <v>248.92642839227008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607.25378328738464</v>
      </c>
      <c r="C56" s="29">
        <f t="shared" si="63"/>
        <v>594.24018883517317</v>
      </c>
      <c r="D56" s="29">
        <f t="shared" si="63"/>
        <v>608.03486160350496</v>
      </c>
      <c r="E56" s="29">
        <f t="shared" si="63"/>
        <v>585.11643903887114</v>
      </c>
      <c r="F56" s="29">
        <f t="shared" si="63"/>
        <v>619.33385891805824</v>
      </c>
      <c r="G56" s="29">
        <f t="shared" si="63"/>
        <v>637.43296220120692</v>
      </c>
      <c r="H56" s="29">
        <f t="shared" si="63"/>
        <v>639.69253145462858</v>
      </c>
      <c r="I56" s="29">
        <f t="shared" si="63"/>
        <v>646.72856205966593</v>
      </c>
      <c r="J56" s="29">
        <f t="shared" si="63"/>
        <v>643.55080683156064</v>
      </c>
      <c r="K56" s="29">
        <f t="shared" ref="K56:V56" si="64">IF(K10=0,0,K10/K21)</f>
        <v>657.73240569726636</v>
      </c>
      <c r="L56" s="29">
        <f t="shared" si="64"/>
        <v>666.82090568837089</v>
      </c>
      <c r="M56" s="29">
        <f t="shared" si="64"/>
        <v>681.46352364980237</v>
      </c>
      <c r="N56" s="29">
        <f t="shared" si="64"/>
        <v>697.13919048386776</v>
      </c>
      <c r="O56" s="29">
        <f t="shared" si="64"/>
        <v>730.09347677890298</v>
      </c>
      <c r="P56" s="29">
        <f t="shared" si="64"/>
        <v>749.2314681056896</v>
      </c>
      <c r="Q56" s="29">
        <f t="shared" si="64"/>
        <v>766.11356402525564</v>
      </c>
      <c r="R56" s="29">
        <f t="shared" si="64"/>
        <v>775.78564901641005</v>
      </c>
      <c r="S56" s="29">
        <f t="shared" si="64"/>
        <v>757.35403177184855</v>
      </c>
      <c r="T56" s="29">
        <f t="shared" si="64"/>
        <v>739.69576667268711</v>
      </c>
      <c r="U56" s="29">
        <f t="shared" si="64"/>
        <v>724.63116060983623</v>
      </c>
      <c r="V56" s="29">
        <f t="shared" si="64"/>
        <v>659.85917731545328</v>
      </c>
      <c r="W56" s="29">
        <f t="shared" ref="W56" si="65">IF(W10=0,0,W10/W21)</f>
        <v>671.06579596135134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654.45149429038156</v>
      </c>
      <c r="C57" s="87">
        <f t="shared" si="66"/>
        <v>632.4456546463191</v>
      </c>
      <c r="D57" s="87">
        <f t="shared" si="66"/>
        <v>646.57412606658352</v>
      </c>
      <c r="E57" s="87">
        <f t="shared" si="66"/>
        <v>710.24141157877807</v>
      </c>
      <c r="F57" s="87">
        <f t="shared" si="66"/>
        <v>716.5974933025368</v>
      </c>
      <c r="G57" s="87">
        <f t="shared" si="66"/>
        <v>724.74164163384989</v>
      </c>
      <c r="H57" s="87">
        <f t="shared" si="66"/>
        <v>691.46123100568502</v>
      </c>
      <c r="I57" s="87">
        <f t="shared" si="66"/>
        <v>723.48271200465092</v>
      </c>
      <c r="J57" s="87">
        <f t="shared" si="66"/>
        <v>700.79238511085339</v>
      </c>
      <c r="K57" s="87">
        <f t="shared" ref="K57:V57" si="67">IF(K11=0,0,K11/K22)</f>
        <v>723.53066647046717</v>
      </c>
      <c r="L57" s="87">
        <f t="shared" si="67"/>
        <v>701.08023949177027</v>
      </c>
      <c r="M57" s="87">
        <f t="shared" si="67"/>
        <v>718.84153359021741</v>
      </c>
      <c r="N57" s="87">
        <f t="shared" si="67"/>
        <v>698.19883722167106</v>
      </c>
      <c r="O57" s="87">
        <f t="shared" si="67"/>
        <v>792.58192320248691</v>
      </c>
      <c r="P57" s="87">
        <f t="shared" si="67"/>
        <v>799.87301334756933</v>
      </c>
      <c r="Q57" s="87">
        <f t="shared" si="67"/>
        <v>806.54815328363225</v>
      </c>
      <c r="R57" s="87">
        <f t="shared" si="67"/>
        <v>819.39837336540245</v>
      </c>
      <c r="S57" s="87">
        <f t="shared" si="67"/>
        <v>757.31264346704381</v>
      </c>
      <c r="T57" s="87">
        <f t="shared" si="67"/>
        <v>786.35714609656611</v>
      </c>
      <c r="U57" s="87">
        <f t="shared" si="67"/>
        <v>904.97245993700687</v>
      </c>
      <c r="V57" s="87">
        <f t="shared" si="67"/>
        <v>746.88455932591091</v>
      </c>
      <c r="W57" s="87">
        <f t="shared" ref="W57" si="68">IF(W11=0,0,W11/W22)</f>
        <v>745.78018112363191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600.46055264295796</v>
      </c>
      <c r="C58" s="88">
        <f t="shared" si="69"/>
        <v>588.55519229074446</v>
      </c>
      <c r="D58" s="88">
        <f t="shared" si="69"/>
        <v>601.80222558803291</v>
      </c>
      <c r="E58" s="88">
        <f t="shared" si="69"/>
        <v>563.46369908562053</v>
      </c>
      <c r="F58" s="88">
        <f t="shared" si="69"/>
        <v>595.14934867655052</v>
      </c>
      <c r="G58" s="88">
        <f t="shared" si="69"/>
        <v>616.01469562926093</v>
      </c>
      <c r="H58" s="88">
        <f t="shared" si="69"/>
        <v>621.92237221312701</v>
      </c>
      <c r="I58" s="88">
        <f t="shared" si="69"/>
        <v>626.57720226401784</v>
      </c>
      <c r="J58" s="88">
        <f t="shared" si="69"/>
        <v>627.95044500492043</v>
      </c>
      <c r="K58" s="88">
        <f t="shared" ref="K58:V58" si="70">IF(K12=0,0,K12/K23)</f>
        <v>637.50796996756378</v>
      </c>
      <c r="L58" s="88">
        <f t="shared" si="70"/>
        <v>654.12371231406416</v>
      </c>
      <c r="M58" s="88">
        <f t="shared" si="70"/>
        <v>667.91481457157624</v>
      </c>
      <c r="N58" s="88">
        <f t="shared" si="70"/>
        <v>696.75252764774734</v>
      </c>
      <c r="O58" s="88">
        <f t="shared" si="70"/>
        <v>708.9197045293887</v>
      </c>
      <c r="P58" s="88">
        <f t="shared" si="70"/>
        <v>733.19185013594256</v>
      </c>
      <c r="Q58" s="88">
        <f t="shared" si="70"/>
        <v>753.96462876824194</v>
      </c>
      <c r="R58" s="88">
        <f t="shared" si="70"/>
        <v>764.53562261700699</v>
      </c>
      <c r="S58" s="88">
        <f t="shared" si="70"/>
        <v>757.36535512114426</v>
      </c>
      <c r="T58" s="88">
        <f t="shared" si="70"/>
        <v>727.16834637787201</v>
      </c>
      <c r="U58" s="88">
        <f t="shared" si="70"/>
        <v>681.12309480105</v>
      </c>
      <c r="V58" s="88">
        <f t="shared" si="70"/>
        <v>640.77714292697192</v>
      </c>
      <c r="W58" s="88">
        <f t="shared" ref="W58" si="71">IF(W12=0,0,W12/W23)</f>
        <v>653.20421962083287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349.51122104801186</v>
      </c>
      <c r="C61" s="29">
        <f t="shared" ref="C61" si="73">IF(C26=0,0,(C62*C27+C64*C29+C65*C30+C66*C31)/(C27+C29+C30+C31))</f>
        <v>347.78827143617866</v>
      </c>
      <c r="D61" s="29">
        <f t="shared" ref="D61" si="74">IF(D26=0,0,(D62*D27+D64*D29+D65*D30+D66*D31)/(D27+D29+D30+D31))</f>
        <v>347.0127434052709</v>
      </c>
      <c r="E61" s="29">
        <f t="shared" ref="E61" si="75">IF(E26=0,0,(E62*E27+E64*E29+E65*E30+E66*E31)/(E27+E29+E30+E31))</f>
        <v>345.88747213825928</v>
      </c>
      <c r="F61" s="29">
        <f t="shared" ref="F61" si="76">IF(F26=0,0,(F62*F27+F64*F29+F65*F30+F66*F31)/(F27+F29+F30+F31))</f>
        <v>346.66155912685025</v>
      </c>
      <c r="G61" s="29">
        <f t="shared" ref="G61" si="77">IF(G26=0,0,(G62*G27+G64*G29+G65*G30+G66*G31)/(G27+G29+G30+G31))</f>
        <v>346.91448025637362</v>
      </c>
      <c r="H61" s="29">
        <f t="shared" ref="H61" si="78">IF(H26=0,0,(H62*H27+H64*H29+H65*H30+H66*H31)/(H27+H29+H30+H31))</f>
        <v>349.04500354333078</v>
      </c>
      <c r="I61" s="29">
        <f t="shared" ref="I61" si="79">IF(I26=0,0,(I62*I27+I64*I29+I65*I30+I66*I31)/(I27+I29+I30+I31))</f>
        <v>348.51187243639367</v>
      </c>
      <c r="J61" s="29">
        <f t="shared" ref="J61" si="80">IF(J26=0,0,(J62*J27+J64*J29+J65*J30+J66*J31)/(J27+J29+J30+J31))</f>
        <v>348.58113385559363</v>
      </c>
      <c r="K61" s="29">
        <f t="shared" ref="K61" si="81">IF(K26=0,0,(K62*K27+K64*K29+K65*K30+K66*K31)/(K27+K29+K30+K31))</f>
        <v>347.74662862153252</v>
      </c>
      <c r="L61" s="29">
        <f t="shared" ref="L61" si="82">IF(L26=0,0,(L62*L27+L64*L29+L65*L30+L66*L31)/(L27+L29+L30+L31))</f>
        <v>347.85872233306259</v>
      </c>
      <c r="M61" s="29">
        <f t="shared" ref="M61" si="83">IF(M26=0,0,(M62*M27+M64*M29+M65*M30+M66*M31)/(M27+M29+M30+M31))</f>
        <v>348.94828416221043</v>
      </c>
      <c r="N61" s="29">
        <f t="shared" ref="N61" si="84">IF(N26=0,0,(N62*N27+N64*N29+N65*N30+N66*N31)/(N27+N29+N30+N31))</f>
        <v>348.93029792510993</v>
      </c>
      <c r="O61" s="29">
        <f t="shared" ref="O61" si="85">IF(O26=0,0,(O62*O27+O64*O29+O65*O30+O66*O31)/(O27+O29+O30+O31))</f>
        <v>347.73823063905252</v>
      </c>
      <c r="P61" s="29">
        <f t="shared" ref="P61" si="86">IF(P26=0,0,(P62*P27+P64*P29+P65*P30+P66*P31)/(P27+P29+P30+P31))</f>
        <v>348.93648112058537</v>
      </c>
      <c r="Q61" s="29">
        <f t="shared" ref="Q61" si="87">IF(Q26=0,0,(Q62*Q27+Q64*Q29+Q65*Q30+Q66*Q31)/(Q27+Q29+Q30+Q31))</f>
        <v>348.15673107555034</v>
      </c>
      <c r="R61" s="29">
        <f t="shared" ref="R61" si="88">IF(R26=0,0,(R62*R27+R64*R29+R65*R30+R66*R31)/(R27+R29+R30+R31))</f>
        <v>348.11016445971228</v>
      </c>
      <c r="S61" s="29">
        <f t="shared" ref="S61" si="89">IF(S26=0,0,(S62*S27+S64*S29+S65*S30+S66*S31)/(S27+S29+S30+S31))</f>
        <v>347.74188753815815</v>
      </c>
      <c r="T61" s="29">
        <f t="shared" ref="T61" si="90">IF(T26=0,0,(T62*T27+T64*T29+T65*T30+T66*T31)/(T27+T29+T30+T31))</f>
        <v>346.55703321423988</v>
      </c>
      <c r="U61" s="29">
        <f t="shared" ref="U61" si="91">IF(U26=0,0,(U62*U27+U64*U29+U65*U30+U66*U31)/(U27+U29+U30+U31))</f>
        <v>347.31620717863268</v>
      </c>
      <c r="V61" s="29">
        <f t="shared" ref="V61" si="92">IF(V26=0,0,(V62*V27+V64*V29+V65*V30+V66*V31)/(V27+V29+V30+V31))</f>
        <v>348.30800009035801</v>
      </c>
      <c r="W61" s="29">
        <f t="shared" ref="W61" si="93">IF(W26=0,0,(W62*W27+W64*W29+W65*W30+W66*W31)/(W27+W29+W30+W31))</f>
        <v>346.20148101724828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319.99999999999994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319.99999999999994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2100.0000000000005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0.43136582185503353</v>
      </c>
      <c r="C72" s="30">
        <f t="shared" ref="C72:J72" si="138">IF(C50=0,0,C50/C61)</f>
        <v>0.38297996720194233</v>
      </c>
      <c r="D72" s="30">
        <f t="shared" si="138"/>
        <v>0.34339640066767113</v>
      </c>
      <c r="E72" s="30">
        <f t="shared" si="138"/>
        <v>0.31994158499333297</v>
      </c>
      <c r="F72" s="30">
        <f t="shared" si="138"/>
        <v>0.32644193094646706</v>
      </c>
      <c r="G72" s="30">
        <f t="shared" si="138"/>
        <v>0.32617763981566861</v>
      </c>
      <c r="H72" s="30">
        <f t="shared" si="138"/>
        <v>0.37023718402870143</v>
      </c>
      <c r="I72" s="30">
        <f t="shared" si="138"/>
        <v>0.362734870376966</v>
      </c>
      <c r="J72" s="30">
        <f t="shared" si="138"/>
        <v>0.37466027278388142</v>
      </c>
      <c r="K72" s="30">
        <f t="shared" ref="K72:V72" si="139">IF(K50=0,0,K50/K61)</f>
        <v>0.34757414997689512</v>
      </c>
      <c r="L72" s="30">
        <f t="shared" si="139"/>
        <v>0.345161706434224</v>
      </c>
      <c r="M72" s="30">
        <f t="shared" si="139"/>
        <v>0.35561873703017738</v>
      </c>
      <c r="N72" s="30">
        <f t="shared" si="139"/>
        <v>0.33860435714200504</v>
      </c>
      <c r="O72" s="30">
        <f t="shared" si="139"/>
        <v>0.32599766468821423</v>
      </c>
      <c r="P72" s="30">
        <f t="shared" si="139"/>
        <v>0.31765969749293321</v>
      </c>
      <c r="Q72" s="30">
        <f t="shared" si="139"/>
        <v>0.32301004229234553</v>
      </c>
      <c r="R72" s="30">
        <f t="shared" si="139"/>
        <v>0.32421047692197463</v>
      </c>
      <c r="S72" s="30">
        <f t="shared" si="139"/>
        <v>0.34033743715657921</v>
      </c>
      <c r="T72" s="30">
        <f t="shared" si="139"/>
        <v>0.33415488673116878</v>
      </c>
      <c r="U72" s="30">
        <f t="shared" si="139"/>
        <v>0.35533838508292842</v>
      </c>
      <c r="V72" s="30">
        <f t="shared" si="139"/>
        <v>0.22647093964920445</v>
      </c>
      <c r="W72" s="30">
        <f t="shared" ref="W72" si="140">IF(W50=0,0,W50/W61)</f>
        <v>0.25284507477211204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0.20507006490089544</v>
      </c>
      <c r="C73" s="118">
        <f t="shared" si="141"/>
        <v>0.20338685810594026</v>
      </c>
      <c r="D73" s="118">
        <f t="shared" si="141"/>
        <v>0.19937044835409715</v>
      </c>
      <c r="E73" s="118">
        <f t="shared" si="141"/>
        <v>0.19859271377845517</v>
      </c>
      <c r="F73" s="118">
        <f t="shared" si="141"/>
        <v>0.20154574017970334</v>
      </c>
      <c r="G73" s="118">
        <f t="shared" si="141"/>
        <v>0.20359539022237932</v>
      </c>
      <c r="H73" s="118">
        <f t="shared" si="141"/>
        <v>0.20170129088343397</v>
      </c>
      <c r="I73" s="118">
        <f t="shared" si="141"/>
        <v>0.20580619193052635</v>
      </c>
      <c r="J73" s="118">
        <f t="shared" si="141"/>
        <v>0.20631987138621624</v>
      </c>
      <c r="K73" s="118">
        <f t="shared" ref="K73:V73" si="142">IF(K51=0,0,K51/K62)</f>
        <v>0.20288473416088842</v>
      </c>
      <c r="L73" s="118">
        <f t="shared" si="142"/>
        <v>0.19967632200232044</v>
      </c>
      <c r="M73" s="118">
        <f t="shared" si="142"/>
        <v>0.20222984943078615</v>
      </c>
      <c r="N73" s="118">
        <f t="shared" si="142"/>
        <v>0.19894976622853455</v>
      </c>
      <c r="O73" s="118">
        <f t="shared" si="142"/>
        <v>0.19847040913718769</v>
      </c>
      <c r="P73" s="118">
        <f t="shared" si="142"/>
        <v>0.19749123981937536</v>
      </c>
      <c r="Q73" s="118">
        <f t="shared" si="142"/>
        <v>0.1984473921562635</v>
      </c>
      <c r="R73" s="118">
        <f t="shared" si="142"/>
        <v>0.1979320954532488</v>
      </c>
      <c r="S73" s="118">
        <f t="shared" si="142"/>
        <v>0.19980473567476234</v>
      </c>
      <c r="T73" s="118">
        <f t="shared" si="142"/>
        <v>0.20068821393851524</v>
      </c>
      <c r="U73" s="118">
        <f t="shared" si="142"/>
        <v>0.20166161760851412</v>
      </c>
      <c r="V73" s="118">
        <f t="shared" si="142"/>
        <v>0.12170090834665315</v>
      </c>
      <c r="W73" s="118">
        <f t="shared" ref="W73" si="143">IF(W51=0,0,W51/W62)</f>
        <v>0.13895482769507819</v>
      </c>
      <c r="DA73" s="203"/>
    </row>
    <row r="74" spans="1:105" ht="11.45" customHeight="1" x14ac:dyDescent="0.25">
      <c r="A74" s="109" t="s">
        <v>24</v>
      </c>
      <c r="B74" s="119">
        <f t="shared" si="141"/>
        <v>0.56322382253672343</v>
      </c>
      <c r="C74" s="119">
        <f t="shared" si="141"/>
        <v>0.4794668420653892</v>
      </c>
      <c r="D74" s="119">
        <f t="shared" si="141"/>
        <v>0.41843179562176791</v>
      </c>
      <c r="E74" s="119">
        <f t="shared" si="141"/>
        <v>0.38005925545611713</v>
      </c>
      <c r="F74" s="119">
        <f t="shared" si="141"/>
        <v>0.39171573806348875</v>
      </c>
      <c r="G74" s="119">
        <f t="shared" si="141"/>
        <v>0.39046374935582595</v>
      </c>
      <c r="H74" s="119">
        <f t="shared" si="141"/>
        <v>0.47196430662094196</v>
      </c>
      <c r="I74" s="119">
        <f t="shared" si="141"/>
        <v>0.45101196245285075</v>
      </c>
      <c r="J74" s="119">
        <f t="shared" si="141"/>
        <v>0.47055621562258232</v>
      </c>
      <c r="K74" s="119">
        <f t="shared" ref="K74:V74" si="144">IF(K52=0,0,K52/K63)</f>
        <v>0.42603862324687647</v>
      </c>
      <c r="L74" s="119">
        <f t="shared" si="144"/>
        <v>0.42728920902505213</v>
      </c>
      <c r="M74" s="119">
        <f t="shared" si="144"/>
        <v>0.44541947460344467</v>
      </c>
      <c r="N74" s="119">
        <f t="shared" si="144"/>
        <v>0.41928736778074011</v>
      </c>
      <c r="O74" s="119">
        <f t="shared" si="144"/>
        <v>0.39557849329883965</v>
      </c>
      <c r="P74" s="119">
        <f t="shared" si="144"/>
        <v>0.387741547489871</v>
      </c>
      <c r="Q74" s="119">
        <f t="shared" si="144"/>
        <v>0.38470345516822918</v>
      </c>
      <c r="R74" s="119">
        <f t="shared" si="144"/>
        <v>0.37182263678470073</v>
      </c>
      <c r="S74" s="119">
        <f t="shared" si="144"/>
        <v>0.39349257827665701</v>
      </c>
      <c r="T74" s="119">
        <f t="shared" si="144"/>
        <v>0.379032410798397</v>
      </c>
      <c r="U74" s="119">
        <f t="shared" si="144"/>
        <v>0.41075790900268216</v>
      </c>
      <c r="V74" s="119">
        <f t="shared" si="144"/>
        <v>0.27486249418745551</v>
      </c>
      <c r="W74" s="119">
        <f t="shared" ref="W74" si="145">IF(W52=0,0,W52/W63)</f>
        <v>0.29186238469335957</v>
      </c>
      <c r="DA74" s="176"/>
    </row>
    <row r="75" spans="1:105" ht="11.45" customHeight="1" x14ac:dyDescent="0.25">
      <c r="A75" s="111" t="s">
        <v>92</v>
      </c>
      <c r="B75" s="120">
        <f t="shared" si="141"/>
        <v>0.38861918863894468</v>
      </c>
      <c r="C75" s="120">
        <f t="shared" si="141"/>
        <v>0.38961690280695027</v>
      </c>
      <c r="D75" s="120">
        <f t="shared" si="141"/>
        <v>0.3614911984153889</v>
      </c>
      <c r="E75" s="120">
        <f t="shared" si="141"/>
        <v>0.33168471424884632</v>
      </c>
      <c r="F75" s="120">
        <f t="shared" si="141"/>
        <v>0.34334003980838573</v>
      </c>
      <c r="G75" s="120">
        <f t="shared" si="141"/>
        <v>0.35349702921320642</v>
      </c>
      <c r="H75" s="120">
        <f t="shared" si="141"/>
        <v>0.37150356497048093</v>
      </c>
      <c r="I75" s="120">
        <f t="shared" si="141"/>
        <v>0.3946867507832641</v>
      </c>
      <c r="J75" s="120">
        <f t="shared" si="141"/>
        <v>0.37770020890603256</v>
      </c>
      <c r="K75" s="120">
        <f t="shared" ref="K75:V75" si="146">IF(K53=0,0,K53/K64)</f>
        <v>0.37293295957093014</v>
      </c>
      <c r="L75" s="120">
        <f t="shared" si="146"/>
        <v>0.36815252218118666</v>
      </c>
      <c r="M75" s="120">
        <f t="shared" si="146"/>
        <v>0.37973955166295559</v>
      </c>
      <c r="N75" s="120">
        <f t="shared" si="146"/>
        <v>0.35147485927953798</v>
      </c>
      <c r="O75" s="120">
        <f t="shared" si="146"/>
        <v>0.35631480978021673</v>
      </c>
      <c r="P75" s="120">
        <f t="shared" si="146"/>
        <v>0.36762674679818075</v>
      </c>
      <c r="Q75" s="120">
        <f t="shared" si="146"/>
        <v>0.38260293310981958</v>
      </c>
      <c r="R75" s="120">
        <f t="shared" si="146"/>
        <v>0.36554218193973526</v>
      </c>
      <c r="S75" s="120">
        <f t="shared" si="146"/>
        <v>0.34484857310225869</v>
      </c>
      <c r="T75" s="120">
        <f t="shared" si="146"/>
        <v>0.31987349910399265</v>
      </c>
      <c r="U75" s="120">
        <f t="shared" si="146"/>
        <v>0.41888351002961366</v>
      </c>
      <c r="V75" s="120">
        <f t="shared" si="146"/>
        <v>0.24486089554670176</v>
      </c>
      <c r="W75" s="120">
        <f t="shared" ref="W75" si="147">IF(W53=0,0,W53/W64)</f>
        <v>0.29669724341619519</v>
      </c>
      <c r="DA75" s="171"/>
    </row>
    <row r="76" spans="1:105" ht="11.45" customHeight="1" x14ac:dyDescent="0.25">
      <c r="A76" s="111" t="s">
        <v>93</v>
      </c>
      <c r="B76" s="120">
        <f t="shared" si="141"/>
        <v>0.63168660171197188</v>
      </c>
      <c r="C76" s="120">
        <f t="shared" si="141"/>
        <v>0.51210072547652841</v>
      </c>
      <c r="D76" s="120">
        <f t="shared" si="141"/>
        <v>0.43651715860480766</v>
      </c>
      <c r="E76" s="120">
        <f t="shared" si="141"/>
        <v>0.39672057808229499</v>
      </c>
      <c r="F76" s="120">
        <f t="shared" si="141"/>
        <v>0.40623977954502732</v>
      </c>
      <c r="G76" s="120">
        <f t="shared" si="141"/>
        <v>0.40339917199228115</v>
      </c>
      <c r="H76" s="120">
        <f t="shared" si="141"/>
        <v>0.49828655691641971</v>
      </c>
      <c r="I76" s="120">
        <f t="shared" si="141"/>
        <v>0.46932038372935353</v>
      </c>
      <c r="J76" s="120">
        <f t="shared" si="141"/>
        <v>0.49435965940447657</v>
      </c>
      <c r="K76" s="120">
        <f t="shared" ref="K76:V76" si="148">IF(K54=0,0,K54/K65)</f>
        <v>0.44104605410908143</v>
      </c>
      <c r="L76" s="120">
        <f t="shared" si="148"/>
        <v>0.43715422481601679</v>
      </c>
      <c r="M76" s="120">
        <f t="shared" si="148"/>
        <v>0.45705983714611331</v>
      </c>
      <c r="N76" s="120">
        <f t="shared" si="148"/>
        <v>0.4318158486680293</v>
      </c>
      <c r="O76" s="120">
        <f t="shared" si="148"/>
        <v>0.40227052197580937</v>
      </c>
      <c r="P76" s="120">
        <f t="shared" si="148"/>
        <v>0.39101113166131807</v>
      </c>
      <c r="Q76" s="120">
        <f t="shared" si="148"/>
        <v>0.38499366253443862</v>
      </c>
      <c r="R76" s="120">
        <f t="shared" si="148"/>
        <v>0.37287211148664257</v>
      </c>
      <c r="S76" s="120">
        <f t="shared" si="148"/>
        <v>0.40023976922702342</v>
      </c>
      <c r="T76" s="120">
        <f t="shared" si="148"/>
        <v>0.3905783806213991</v>
      </c>
      <c r="U76" s="120">
        <f t="shared" si="148"/>
        <v>0.40949151346908075</v>
      </c>
      <c r="V76" s="120">
        <f t="shared" si="148"/>
        <v>0.28039703577111763</v>
      </c>
      <c r="W76" s="120">
        <f t="shared" ref="W76" si="149">IF(W54=0,0,W54/W65)</f>
        <v>0.29110254421648896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0.5520306342063338</v>
      </c>
      <c r="R77" s="121">
        <f t="shared" si="150"/>
        <v>0.57546477750080827</v>
      </c>
      <c r="S77" s="121">
        <f t="shared" si="150"/>
        <v>0.60661035447395883</v>
      </c>
      <c r="T77" s="121">
        <f t="shared" si="150"/>
        <v>0.6340349003895599</v>
      </c>
      <c r="U77" s="121">
        <f t="shared" si="150"/>
        <v>0.63878977998935271</v>
      </c>
      <c r="V77" s="121">
        <f t="shared" si="150"/>
        <v>0.30639903443458522</v>
      </c>
      <c r="W77" s="121">
        <f t="shared" ref="W77" si="151">IF(W55=0,0,W55/W66)</f>
        <v>0.44451147927191087</v>
      </c>
      <c r="DA77" s="204"/>
    </row>
    <row r="78" spans="1:105" ht="11.45" customHeight="1" x14ac:dyDescent="0.25">
      <c r="A78" s="27" t="s">
        <v>34</v>
      </c>
      <c r="B78" s="30">
        <f t="shared" si="141"/>
        <v>0.28916846823208792</v>
      </c>
      <c r="C78" s="30">
        <f t="shared" si="141"/>
        <v>0.28297151849293961</v>
      </c>
      <c r="D78" s="30">
        <f t="shared" si="141"/>
        <v>0.28954041028738331</v>
      </c>
      <c r="E78" s="30">
        <f t="shared" si="141"/>
        <v>0.27862687573279576</v>
      </c>
      <c r="F78" s="30">
        <f t="shared" si="141"/>
        <v>0.29492088519907528</v>
      </c>
      <c r="G78" s="30">
        <f t="shared" si="141"/>
        <v>0.30353950581009853</v>
      </c>
      <c r="H78" s="30">
        <f t="shared" si="141"/>
        <v>0.30461549116887077</v>
      </c>
      <c r="I78" s="30">
        <f t="shared" si="141"/>
        <v>0.30796598193317426</v>
      </c>
      <c r="J78" s="30">
        <f t="shared" si="141"/>
        <v>0.306452765157886</v>
      </c>
      <c r="K78" s="30">
        <f t="shared" ref="K78:V78" si="152">IF(K56=0,0,K56/K67)</f>
        <v>0.31320590747488869</v>
      </c>
      <c r="L78" s="30">
        <f t="shared" si="152"/>
        <v>0.31753376461350996</v>
      </c>
      <c r="M78" s="30">
        <f t="shared" si="152"/>
        <v>0.32450643983323929</v>
      </c>
      <c r="N78" s="30">
        <f t="shared" si="152"/>
        <v>0.33197104308755615</v>
      </c>
      <c r="O78" s="30">
        <f t="shared" si="152"/>
        <v>0.34766356037090618</v>
      </c>
      <c r="P78" s="30">
        <f t="shared" si="152"/>
        <v>0.35677688957413789</v>
      </c>
      <c r="Q78" s="30">
        <f t="shared" si="152"/>
        <v>0.36481598286916933</v>
      </c>
      <c r="R78" s="30">
        <f t="shared" si="152"/>
        <v>0.36942173762686192</v>
      </c>
      <c r="S78" s="30">
        <f t="shared" si="152"/>
        <v>0.3606447770342136</v>
      </c>
      <c r="T78" s="30">
        <f t="shared" si="152"/>
        <v>0.35223607936794632</v>
      </c>
      <c r="U78" s="30">
        <f t="shared" si="152"/>
        <v>0.34506245743325542</v>
      </c>
      <c r="V78" s="30">
        <f t="shared" si="152"/>
        <v>0.31421865586450154</v>
      </c>
      <c r="W78" s="30">
        <f t="shared" ref="W78" si="153">IF(W56=0,0,W56/W67)</f>
        <v>0.31955514093397686</v>
      </c>
      <c r="DA78" s="173"/>
    </row>
    <row r="79" spans="1:105" ht="11.45" customHeight="1" x14ac:dyDescent="0.25">
      <c r="A79" s="83" t="s">
        <v>92</v>
      </c>
      <c r="B79" s="120">
        <f t="shared" si="141"/>
        <v>0.3116435687097055</v>
      </c>
      <c r="C79" s="120">
        <f t="shared" si="141"/>
        <v>0.30116459745062812</v>
      </c>
      <c r="D79" s="120">
        <f t="shared" si="141"/>
        <v>0.30789244098408741</v>
      </c>
      <c r="E79" s="120">
        <f t="shared" si="141"/>
        <v>0.33821019598989432</v>
      </c>
      <c r="F79" s="120">
        <f t="shared" si="141"/>
        <v>0.34123690157263659</v>
      </c>
      <c r="G79" s="120">
        <f t="shared" si="141"/>
        <v>0.34511506744469045</v>
      </c>
      <c r="H79" s="120">
        <f t="shared" si="141"/>
        <v>0.32926725285985003</v>
      </c>
      <c r="I79" s="120">
        <f t="shared" si="141"/>
        <v>0.34451557714507186</v>
      </c>
      <c r="J79" s="120">
        <f t="shared" si="141"/>
        <v>0.33371065957659685</v>
      </c>
      <c r="K79" s="120">
        <f t="shared" ref="K79:V79" si="154">IF(K57=0,0,K57/K68)</f>
        <v>0.34453841260498436</v>
      </c>
      <c r="L79" s="120">
        <f t="shared" si="154"/>
        <v>0.33384773309131915</v>
      </c>
      <c r="M79" s="120">
        <f t="shared" si="154"/>
        <v>0.34230549218581779</v>
      </c>
      <c r="N79" s="120">
        <f t="shared" si="154"/>
        <v>0.3324756367722243</v>
      </c>
      <c r="O79" s="120">
        <f t="shared" si="154"/>
        <v>0.37741996342975564</v>
      </c>
      <c r="P79" s="120">
        <f t="shared" si="154"/>
        <v>0.38089191111789017</v>
      </c>
      <c r="Q79" s="120">
        <f t="shared" si="154"/>
        <v>0.38407054918268202</v>
      </c>
      <c r="R79" s="120">
        <f t="shared" si="154"/>
        <v>0.3901897016025726</v>
      </c>
      <c r="S79" s="120">
        <f t="shared" si="154"/>
        <v>0.36062506831763991</v>
      </c>
      <c r="T79" s="120">
        <f t="shared" si="154"/>
        <v>0.37445578385550765</v>
      </c>
      <c r="U79" s="120">
        <f t="shared" si="154"/>
        <v>0.43093926663666993</v>
      </c>
      <c r="V79" s="120">
        <f t="shared" si="154"/>
        <v>0.3556593139647195</v>
      </c>
      <c r="W79" s="120">
        <f t="shared" ref="W79" si="155">IF(W57=0,0,W57/W68)</f>
        <v>0.35513341958268185</v>
      </c>
      <c r="DA79" s="171"/>
    </row>
    <row r="80" spans="1:105" ht="11.45" customHeight="1" x14ac:dyDescent="0.25">
      <c r="A80" s="85" t="s">
        <v>93</v>
      </c>
      <c r="B80" s="122">
        <f t="shared" si="141"/>
        <v>0.28593359649664662</v>
      </c>
      <c r="C80" s="122">
        <f t="shared" si="141"/>
        <v>0.28026437728130688</v>
      </c>
      <c r="D80" s="122">
        <f t="shared" si="141"/>
        <v>0.28657248837525379</v>
      </c>
      <c r="E80" s="122">
        <f t="shared" si="141"/>
        <v>0.26831604718362884</v>
      </c>
      <c r="F80" s="122">
        <f t="shared" si="141"/>
        <v>0.28340445175073836</v>
      </c>
      <c r="G80" s="122">
        <f t="shared" si="141"/>
        <v>0.29334033125202902</v>
      </c>
      <c r="H80" s="122">
        <f t="shared" si="141"/>
        <v>0.29615351057767952</v>
      </c>
      <c r="I80" s="122">
        <f t="shared" si="141"/>
        <v>0.29837009631619898</v>
      </c>
      <c r="J80" s="122">
        <f t="shared" si="141"/>
        <v>0.2990240214309145</v>
      </c>
      <c r="K80" s="122">
        <f t="shared" ref="K80:V80" si="156">IF(K58=0,0,K58/K69)</f>
        <v>0.30357522379407798</v>
      </c>
      <c r="L80" s="122">
        <f t="shared" si="156"/>
        <v>0.31148748205431626</v>
      </c>
      <c r="M80" s="122">
        <f t="shared" si="156"/>
        <v>0.31805467360551248</v>
      </c>
      <c r="N80" s="122">
        <f t="shared" si="156"/>
        <v>0.33178691792749876</v>
      </c>
      <c r="O80" s="122">
        <f t="shared" si="156"/>
        <v>0.33758081168066129</v>
      </c>
      <c r="P80" s="122">
        <f t="shared" si="156"/>
        <v>0.34913897625521073</v>
      </c>
      <c r="Q80" s="122">
        <f t="shared" si="156"/>
        <v>0.35903077560392471</v>
      </c>
      <c r="R80" s="122">
        <f t="shared" si="156"/>
        <v>0.36406458219857474</v>
      </c>
      <c r="S80" s="122">
        <f t="shared" si="156"/>
        <v>0.36065016910530678</v>
      </c>
      <c r="T80" s="122">
        <f t="shared" si="156"/>
        <v>0.34627064113231998</v>
      </c>
      <c r="U80" s="122">
        <f t="shared" si="156"/>
        <v>0.32434433085764286</v>
      </c>
      <c r="V80" s="122">
        <f t="shared" si="156"/>
        <v>0.30513197282236759</v>
      </c>
      <c r="W80" s="122">
        <f t="shared" ref="W80" si="157">IF(W58=0,0,W58/W69)</f>
        <v>0.3110496283908728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150751.76964079635</v>
      </c>
      <c r="C82" s="54">
        <f t="shared" si="158"/>
        <v>149587.03434107496</v>
      </c>
      <c r="D82" s="54">
        <f t="shared" si="158"/>
        <v>149018.89244318366</v>
      </c>
      <c r="E82" s="54">
        <f t="shared" si="158"/>
        <v>149827.64318490881</v>
      </c>
      <c r="F82" s="54">
        <f t="shared" si="158"/>
        <v>148793.90548356695</v>
      </c>
      <c r="G82" s="54">
        <f t="shared" si="158"/>
        <v>149867.25181927439</v>
      </c>
      <c r="H82" s="54">
        <f t="shared" si="158"/>
        <v>145438.52150114052</v>
      </c>
      <c r="I82" s="54">
        <f t="shared" si="158"/>
        <v>149198.40049417529</v>
      </c>
      <c r="J82" s="54">
        <f t="shared" si="158"/>
        <v>147776.41181522046</v>
      </c>
      <c r="K82" s="54">
        <f t="shared" ref="K82:V82" si="159">IF(K14=0,0,K14/K25*1000000)</f>
        <v>145078.30306647735</v>
      </c>
      <c r="L82" s="54">
        <f t="shared" si="159"/>
        <v>144889.55022503113</v>
      </c>
      <c r="M82" s="54">
        <f t="shared" si="159"/>
        <v>148030.72978194637</v>
      </c>
      <c r="N82" s="54">
        <f t="shared" si="159"/>
        <v>148069.98747202609</v>
      </c>
      <c r="O82" s="54">
        <f t="shared" si="159"/>
        <v>148719.0199198841</v>
      </c>
      <c r="P82" s="54">
        <f t="shared" si="159"/>
        <v>147657.47820155899</v>
      </c>
      <c r="Q82" s="54">
        <f t="shared" si="159"/>
        <v>148418.95156879644</v>
      </c>
      <c r="R82" s="54">
        <f t="shared" si="159"/>
        <v>148841.61302009964</v>
      </c>
      <c r="S82" s="54">
        <f t="shared" si="159"/>
        <v>150658.53881481919</v>
      </c>
      <c r="T82" s="54">
        <f t="shared" si="159"/>
        <v>151638.5542985893</v>
      </c>
      <c r="U82" s="54">
        <f t="shared" si="159"/>
        <v>149743.10738563782</v>
      </c>
      <c r="V82" s="54">
        <f t="shared" si="159"/>
        <v>144710.36885252429</v>
      </c>
      <c r="W82" s="54">
        <f t="shared" ref="W82" si="160">IF(W14=0,0,W14/W25*1000000)</f>
        <v>152273.51340216128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135244.38928786793</v>
      </c>
      <c r="C83" s="28">
        <f t="shared" si="161"/>
        <v>136105.86419352936</v>
      </c>
      <c r="D83" s="28">
        <f t="shared" si="161"/>
        <v>136493.62821486863</v>
      </c>
      <c r="E83" s="28">
        <f t="shared" si="161"/>
        <v>137056.26377134418</v>
      </c>
      <c r="F83" s="28">
        <f t="shared" si="161"/>
        <v>134585.56008446726</v>
      </c>
      <c r="G83" s="28">
        <f t="shared" si="161"/>
        <v>136542.75977149914</v>
      </c>
      <c r="H83" s="28">
        <f t="shared" si="161"/>
        <v>128880.41585301755</v>
      </c>
      <c r="I83" s="28">
        <f t="shared" si="161"/>
        <v>135744.06358629774</v>
      </c>
      <c r="J83" s="28">
        <f t="shared" si="161"/>
        <v>133859.11791473482</v>
      </c>
      <c r="K83" s="28">
        <f t="shared" ref="K83:V83" si="162">IF(K15=0,0,K15/K26*1000000)</f>
        <v>136126.68559482819</v>
      </c>
      <c r="L83" s="28">
        <f t="shared" si="162"/>
        <v>130701.29407032064</v>
      </c>
      <c r="M83" s="28">
        <f t="shared" si="162"/>
        <v>133046.58558011954</v>
      </c>
      <c r="N83" s="28">
        <f t="shared" si="162"/>
        <v>135534.85090617076</v>
      </c>
      <c r="O83" s="28">
        <f t="shared" si="162"/>
        <v>136130.88448956335</v>
      </c>
      <c r="P83" s="28">
        <f t="shared" si="162"/>
        <v>135531.75932181338</v>
      </c>
      <c r="Q83" s="28">
        <f t="shared" si="162"/>
        <v>136927.36857723637</v>
      </c>
      <c r="R83" s="28">
        <f t="shared" si="162"/>
        <v>138713.10525267781</v>
      </c>
      <c r="S83" s="28">
        <f t="shared" si="162"/>
        <v>138757.34308085972</v>
      </c>
      <c r="T83" s="28">
        <f t="shared" si="162"/>
        <v>139305.9674922539</v>
      </c>
      <c r="U83" s="28">
        <f t="shared" si="162"/>
        <v>138151.70976825102</v>
      </c>
      <c r="V83" s="28">
        <f t="shared" si="162"/>
        <v>130521.46431887621</v>
      </c>
      <c r="W83" s="28">
        <f t="shared" ref="W83" si="163">IF(W15=0,0,W15/W26*1000000)</f>
        <v>139643.89347412254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109999.99979714862</v>
      </c>
      <c r="C84" s="108">
        <f t="shared" si="161"/>
        <v>109999.99988742336</v>
      </c>
      <c r="D84" s="108">
        <f t="shared" si="161"/>
        <v>109999.99987405645</v>
      </c>
      <c r="E84" s="108">
        <f t="shared" si="161"/>
        <v>109999.99980463686</v>
      </c>
      <c r="F84" s="108">
        <f t="shared" si="161"/>
        <v>109999.999933781</v>
      </c>
      <c r="G84" s="108">
        <f t="shared" si="161"/>
        <v>109999.99984650452</v>
      </c>
      <c r="H84" s="108">
        <f t="shared" si="161"/>
        <v>109999.99983104164</v>
      </c>
      <c r="I84" s="108">
        <f t="shared" si="161"/>
        <v>109999.99984682891</v>
      </c>
      <c r="J84" s="108">
        <f t="shared" si="161"/>
        <v>109999.99982352783</v>
      </c>
      <c r="K84" s="108">
        <f t="shared" ref="K84:V84" si="164">IF(K16=0,0,K16/K27*1000000)</f>
        <v>109999.99988433188</v>
      </c>
      <c r="L84" s="108">
        <f t="shared" si="164"/>
        <v>109999.99989483538</v>
      </c>
      <c r="M84" s="108">
        <f t="shared" si="164"/>
        <v>109999.99996926855</v>
      </c>
      <c r="N84" s="108">
        <f t="shared" si="164"/>
        <v>109999.99982542728</v>
      </c>
      <c r="O84" s="108">
        <f t="shared" si="164"/>
        <v>109999.99977277104</v>
      </c>
      <c r="P84" s="108">
        <f t="shared" si="164"/>
        <v>109999.99986323048</v>
      </c>
      <c r="Q84" s="108">
        <f t="shared" si="164"/>
        <v>109999.99996779428</v>
      </c>
      <c r="R84" s="108">
        <f t="shared" si="164"/>
        <v>109999.99995320513</v>
      </c>
      <c r="S84" s="108">
        <f t="shared" si="164"/>
        <v>109999.99992350828</v>
      </c>
      <c r="T84" s="108">
        <f t="shared" si="164"/>
        <v>109999.99996020804</v>
      </c>
      <c r="U84" s="108">
        <f t="shared" si="164"/>
        <v>109999.99990024015</v>
      </c>
      <c r="V84" s="108">
        <f t="shared" si="164"/>
        <v>109999.99996409898</v>
      </c>
      <c r="W84" s="108">
        <f t="shared" ref="W84" si="165">IF(W16=0,0,W16/W27*1000000)</f>
        <v>109999.99991167786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149999.99982048097</v>
      </c>
      <c r="C85" s="110">
        <f t="shared" si="161"/>
        <v>149999.99992449602</v>
      </c>
      <c r="D85" s="110">
        <f t="shared" si="161"/>
        <v>149999.99993965362</v>
      </c>
      <c r="E85" s="110">
        <f t="shared" si="161"/>
        <v>149999.99985761827</v>
      </c>
      <c r="F85" s="110">
        <f t="shared" si="161"/>
        <v>146874.80879316397</v>
      </c>
      <c r="G85" s="110">
        <f t="shared" si="161"/>
        <v>149999.99992664906</v>
      </c>
      <c r="H85" s="110">
        <f t="shared" si="161"/>
        <v>139642.49589210024</v>
      </c>
      <c r="I85" s="110">
        <f t="shared" si="161"/>
        <v>149999.99978105162</v>
      </c>
      <c r="J85" s="110">
        <f t="shared" si="161"/>
        <v>147121.18880377535</v>
      </c>
      <c r="K85" s="110">
        <f t="shared" ref="K85:V85" si="166">IF(K17=0,0,K17/K28*1000000)</f>
        <v>149999.9999168849</v>
      </c>
      <c r="L85" s="110">
        <f t="shared" si="166"/>
        <v>141761.85169711575</v>
      </c>
      <c r="M85" s="110">
        <f t="shared" si="166"/>
        <v>146114.88501497958</v>
      </c>
      <c r="N85" s="110">
        <f t="shared" si="166"/>
        <v>149999.9998932537</v>
      </c>
      <c r="O85" s="110">
        <f t="shared" si="166"/>
        <v>149999.99982836586</v>
      </c>
      <c r="P85" s="110">
        <f t="shared" si="166"/>
        <v>149999.99989280241</v>
      </c>
      <c r="Q85" s="110">
        <f t="shared" si="166"/>
        <v>149999.99990151692</v>
      </c>
      <c r="R85" s="110">
        <f t="shared" si="166"/>
        <v>149999.99981788281</v>
      </c>
      <c r="S85" s="110">
        <f t="shared" si="166"/>
        <v>149999.99987295049</v>
      </c>
      <c r="T85" s="110">
        <f t="shared" si="166"/>
        <v>149999.99987780905</v>
      </c>
      <c r="U85" s="110">
        <f t="shared" si="166"/>
        <v>148486.42818457776</v>
      </c>
      <c r="V85" s="110">
        <f t="shared" si="166"/>
        <v>137699.65880990707</v>
      </c>
      <c r="W85" s="110">
        <f t="shared" ref="W85" si="167">IF(W17=0,0,W17/W28*1000000)</f>
        <v>149999.999834032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149999.99979315331</v>
      </c>
      <c r="C86" s="84">
        <f t="shared" si="161"/>
        <v>149999.9999522602</v>
      </c>
      <c r="D86" s="84">
        <f t="shared" si="161"/>
        <v>149999.99978101449</v>
      </c>
      <c r="E86" s="84">
        <f t="shared" si="161"/>
        <v>149999.99984513354</v>
      </c>
      <c r="F86" s="84">
        <f t="shared" si="161"/>
        <v>137343.89690469264</v>
      </c>
      <c r="G86" s="84">
        <f t="shared" si="161"/>
        <v>149999.99988213516</v>
      </c>
      <c r="H86" s="84">
        <f t="shared" si="161"/>
        <v>112835.23895373674</v>
      </c>
      <c r="I86" s="84">
        <f t="shared" si="161"/>
        <v>149999.99934789902</v>
      </c>
      <c r="J86" s="84">
        <f t="shared" si="161"/>
        <v>136873.81666974133</v>
      </c>
      <c r="K86" s="84">
        <f t="shared" ref="K86:V86" si="168">IF(K18=0,0,K18/K29*1000000)</f>
        <v>149999.99998255665</v>
      </c>
      <c r="L86" s="84">
        <f t="shared" si="168"/>
        <v>106649.71558353468</v>
      </c>
      <c r="M86" s="84">
        <f t="shared" si="168"/>
        <v>127483.96525305037</v>
      </c>
      <c r="N86" s="84">
        <f t="shared" si="168"/>
        <v>149999.99999140587</v>
      </c>
      <c r="O86" s="84">
        <f t="shared" si="168"/>
        <v>149999.99937635666</v>
      </c>
      <c r="P86" s="84">
        <f t="shared" si="168"/>
        <v>149999.99983077016</v>
      </c>
      <c r="Q86" s="84">
        <f t="shared" si="168"/>
        <v>149999.99957000167</v>
      </c>
      <c r="R86" s="84">
        <f t="shared" si="168"/>
        <v>149999.99958533363</v>
      </c>
      <c r="S86" s="84">
        <f t="shared" si="168"/>
        <v>149999.99950106838</v>
      </c>
      <c r="T86" s="84">
        <f t="shared" si="168"/>
        <v>149999.9994119209</v>
      </c>
      <c r="U86" s="84">
        <f t="shared" si="168"/>
        <v>139457.43069934682</v>
      </c>
      <c r="V86" s="84">
        <f t="shared" si="168"/>
        <v>149999.99956028047</v>
      </c>
      <c r="W86" s="84">
        <f t="shared" ref="W86" si="169">IF(W18=0,0,W18/W29*1000000)</f>
        <v>149999.99977217644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149999.99983119615</v>
      </c>
      <c r="C87" s="84">
        <f t="shared" si="161"/>
        <v>149999.99991441195</v>
      </c>
      <c r="D87" s="84">
        <f t="shared" si="161"/>
        <v>149999.99999004023</v>
      </c>
      <c r="E87" s="84">
        <f t="shared" si="161"/>
        <v>149999.99986191833</v>
      </c>
      <c r="F87" s="84">
        <f t="shared" si="161"/>
        <v>149999.99991382018</v>
      </c>
      <c r="G87" s="84">
        <f t="shared" si="161"/>
        <v>149999.99994222537</v>
      </c>
      <c r="H87" s="84">
        <f t="shared" si="161"/>
        <v>148912.16965373006</v>
      </c>
      <c r="I87" s="84">
        <f t="shared" si="161"/>
        <v>149999.99992184722</v>
      </c>
      <c r="J87" s="84">
        <f t="shared" si="161"/>
        <v>149999.99997983911</v>
      </c>
      <c r="K87" s="84">
        <f t="shared" ref="K87:V87" si="170">IF(K19=0,0,K19/K30*1000000)</f>
        <v>149999.99989832632</v>
      </c>
      <c r="L87" s="84">
        <f t="shared" si="170"/>
        <v>149999.99996836678</v>
      </c>
      <c r="M87" s="84">
        <f t="shared" si="170"/>
        <v>149999.99987681085</v>
      </c>
      <c r="N87" s="84">
        <f t="shared" si="170"/>
        <v>149999.99987511992</v>
      </c>
      <c r="O87" s="84">
        <f t="shared" si="170"/>
        <v>149999.99990540548</v>
      </c>
      <c r="P87" s="84">
        <f t="shared" si="170"/>
        <v>149999.99990288552</v>
      </c>
      <c r="Q87" s="84">
        <f t="shared" si="170"/>
        <v>149999.99994731895</v>
      </c>
      <c r="R87" s="84">
        <f t="shared" si="170"/>
        <v>149999.99985674219</v>
      </c>
      <c r="S87" s="84">
        <f t="shared" si="170"/>
        <v>149999.99992453255</v>
      </c>
      <c r="T87" s="84">
        <f t="shared" si="170"/>
        <v>149999.99996873585</v>
      </c>
      <c r="U87" s="84">
        <f t="shared" si="170"/>
        <v>149999.9999127537</v>
      </c>
      <c r="V87" s="84">
        <f t="shared" si="170"/>
        <v>135647.66770455879</v>
      </c>
      <c r="W87" s="84">
        <f t="shared" ref="W87" si="171">IF(W19=0,0,W19/W30*1000000)</f>
        <v>149999.99984375318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449999.87462490454</v>
      </c>
      <c r="R88" s="113">
        <f t="shared" si="172"/>
        <v>449999.95588473941</v>
      </c>
      <c r="S88" s="113">
        <f t="shared" si="172"/>
        <v>428236.53815713682</v>
      </c>
      <c r="T88" s="113">
        <f t="shared" si="172"/>
        <v>441011.16097256675</v>
      </c>
      <c r="U88" s="113">
        <f t="shared" si="172"/>
        <v>449999.95728002937</v>
      </c>
      <c r="V88" s="113">
        <f t="shared" si="172"/>
        <v>422540.29295587685</v>
      </c>
      <c r="W88" s="113">
        <f t="shared" ref="W88" si="173">IF(W20=0,0,W20/W31*1000000)</f>
        <v>432001.78928130394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199999.99936642279</v>
      </c>
      <c r="C89" s="28">
        <f t="shared" si="161"/>
        <v>199777.87414823624</v>
      </c>
      <c r="D89" s="28">
        <f t="shared" si="161"/>
        <v>199999.99954490899</v>
      </c>
      <c r="E89" s="28">
        <f t="shared" si="161"/>
        <v>199999.99958948808</v>
      </c>
      <c r="F89" s="28">
        <f t="shared" si="161"/>
        <v>199999.99959161784</v>
      </c>
      <c r="G89" s="28">
        <f t="shared" si="161"/>
        <v>199328.3219181819</v>
      </c>
      <c r="H89" s="28">
        <f t="shared" si="161"/>
        <v>199999.99953016816</v>
      </c>
      <c r="I89" s="28">
        <f t="shared" si="161"/>
        <v>193411.8800815694</v>
      </c>
      <c r="J89" s="28">
        <f t="shared" si="161"/>
        <v>195494.71121370973</v>
      </c>
      <c r="K89" s="28">
        <f t="shared" ref="K89:V89" si="174">IF(K21=0,0,K21/K32*1000000)</f>
        <v>178908.39126483951</v>
      </c>
      <c r="L89" s="28">
        <f t="shared" si="174"/>
        <v>199999.99954445963</v>
      </c>
      <c r="M89" s="28">
        <f t="shared" si="174"/>
        <v>199999.99979761045</v>
      </c>
      <c r="N89" s="28">
        <f t="shared" si="174"/>
        <v>196884.97606681651</v>
      </c>
      <c r="O89" s="28">
        <f t="shared" si="174"/>
        <v>196873.27864734831</v>
      </c>
      <c r="P89" s="28">
        <f t="shared" si="174"/>
        <v>195467.2266261561</v>
      </c>
      <c r="Q89" s="28">
        <f t="shared" si="174"/>
        <v>196296.00786355539</v>
      </c>
      <c r="R89" s="28">
        <f t="shared" si="174"/>
        <v>194055.02742863348</v>
      </c>
      <c r="S89" s="28">
        <f t="shared" si="174"/>
        <v>199999.99944449138</v>
      </c>
      <c r="T89" s="28">
        <f t="shared" si="174"/>
        <v>199999.99940773938</v>
      </c>
      <c r="U89" s="28">
        <f t="shared" si="174"/>
        <v>196778.14465018283</v>
      </c>
      <c r="V89" s="28">
        <f t="shared" si="174"/>
        <v>197880.131276556</v>
      </c>
      <c r="W89" s="28">
        <f t="shared" ref="W89" si="175">IF(W21=0,0,W21/W32*1000000)</f>
        <v>199999.99951299248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199999.99809853098</v>
      </c>
      <c r="C90" s="84">
        <f t="shared" si="161"/>
        <v>199999.99692710786</v>
      </c>
      <c r="D90" s="84">
        <f t="shared" si="161"/>
        <v>199999.99874650192</v>
      </c>
      <c r="E90" s="84">
        <f t="shared" si="161"/>
        <v>199999.99734353615</v>
      </c>
      <c r="F90" s="84">
        <f t="shared" si="161"/>
        <v>199999.99987057922</v>
      </c>
      <c r="G90" s="84">
        <f t="shared" si="161"/>
        <v>196636.36696427345</v>
      </c>
      <c r="H90" s="84">
        <f t="shared" si="161"/>
        <v>199999.99852128475</v>
      </c>
      <c r="I90" s="84">
        <f t="shared" si="161"/>
        <v>171850.35753994461</v>
      </c>
      <c r="J90" s="84">
        <f t="shared" si="161"/>
        <v>180569.70867148682</v>
      </c>
      <c r="K90" s="84">
        <f t="shared" ref="K90:V90" si="176">IF(K22=0,0,K22/K33*1000000)</f>
        <v>171935.48876354523</v>
      </c>
      <c r="L90" s="84">
        <f t="shared" si="176"/>
        <v>199999.99901344691</v>
      </c>
      <c r="M90" s="84">
        <f t="shared" si="176"/>
        <v>199999.99975573795</v>
      </c>
      <c r="N90" s="84">
        <f t="shared" si="176"/>
        <v>188825.25322690501</v>
      </c>
      <c r="O90" s="84">
        <f t="shared" si="176"/>
        <v>188190.50691356589</v>
      </c>
      <c r="P90" s="84">
        <f t="shared" si="176"/>
        <v>182414.35902068095</v>
      </c>
      <c r="Q90" s="84">
        <f t="shared" si="176"/>
        <v>184899.03557922255</v>
      </c>
      <c r="R90" s="84">
        <f t="shared" si="176"/>
        <v>174003.91376106182</v>
      </c>
      <c r="S90" s="84">
        <f t="shared" si="176"/>
        <v>199999.99969449057</v>
      </c>
      <c r="T90" s="84">
        <f t="shared" si="176"/>
        <v>199999.99821896039</v>
      </c>
      <c r="U90" s="84">
        <f t="shared" si="176"/>
        <v>184461.10889143421</v>
      </c>
      <c r="V90" s="84">
        <f t="shared" si="176"/>
        <v>188755.81099489954</v>
      </c>
      <c r="W90" s="84">
        <f t="shared" ref="W90" si="177">IF(W22=0,0,W22/W33*1000000)</f>
        <v>199999.99990572737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199999.99954891216</v>
      </c>
      <c r="C91" s="86">
        <f t="shared" si="161"/>
        <v>199744.86430689646</v>
      </c>
      <c r="D91" s="86">
        <f t="shared" si="161"/>
        <v>199999.99967402878</v>
      </c>
      <c r="E91" s="86">
        <f t="shared" si="161"/>
        <v>199999.99997814759</v>
      </c>
      <c r="F91" s="86">
        <f t="shared" si="161"/>
        <v>199999.99952225439</v>
      </c>
      <c r="G91" s="86">
        <f t="shared" si="161"/>
        <v>199999.99948129678</v>
      </c>
      <c r="H91" s="86">
        <f t="shared" si="161"/>
        <v>199999.99987647819</v>
      </c>
      <c r="I91" s="86">
        <f t="shared" si="161"/>
        <v>199999.99961983948</v>
      </c>
      <c r="J91" s="86">
        <f t="shared" si="161"/>
        <v>199999.99946297149</v>
      </c>
      <c r="K91" s="86">
        <f t="shared" ref="K91:V91" si="178">IF(K23=0,0,K23/K34*1000000)</f>
        <v>181166.72697924211</v>
      </c>
      <c r="L91" s="86">
        <f t="shared" si="178"/>
        <v>199999.99974126354</v>
      </c>
      <c r="M91" s="86">
        <f t="shared" si="178"/>
        <v>199999.99981278836</v>
      </c>
      <c r="N91" s="86">
        <f t="shared" si="178"/>
        <v>199999.99975365211</v>
      </c>
      <c r="O91" s="86">
        <f t="shared" si="178"/>
        <v>199999.99998387921</v>
      </c>
      <c r="P91" s="86">
        <f t="shared" si="178"/>
        <v>199999.99970331701</v>
      </c>
      <c r="Q91" s="86">
        <f t="shared" si="178"/>
        <v>199999.99971947898</v>
      </c>
      <c r="R91" s="86">
        <f t="shared" si="178"/>
        <v>199999.99926260868</v>
      </c>
      <c r="S91" s="86">
        <f t="shared" si="178"/>
        <v>199999.99937609455</v>
      </c>
      <c r="T91" s="86">
        <f t="shared" si="178"/>
        <v>199999.99972689699</v>
      </c>
      <c r="U91" s="86">
        <f t="shared" si="178"/>
        <v>199999.99944994389</v>
      </c>
      <c r="V91" s="86">
        <f t="shared" si="178"/>
        <v>199999.99977810119</v>
      </c>
      <c r="W91" s="86">
        <f t="shared" ref="W91" si="179">IF(W23=0,0,W23/W34*1000000)</f>
        <v>199999.99941910338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20390417.227963798</v>
      </c>
      <c r="C94" s="28">
        <f t="shared" si="180"/>
        <v>18128748.628000204</v>
      </c>
      <c r="D94" s="28">
        <f t="shared" si="180"/>
        <v>16264980.264649715</v>
      </c>
      <c r="E94" s="28">
        <f t="shared" si="180"/>
        <v>15167165.052894777</v>
      </c>
      <c r="F94" s="28">
        <f t="shared" si="180"/>
        <v>15230357.242103567</v>
      </c>
      <c r="G94" s="28">
        <f t="shared" si="180"/>
        <v>15450597.895808162</v>
      </c>
      <c r="H94" s="28">
        <f t="shared" si="180"/>
        <v>16655143.865987957</v>
      </c>
      <c r="I94" s="28">
        <f t="shared" si="180"/>
        <v>17160412.788478158</v>
      </c>
      <c r="J94" s="28">
        <f t="shared" si="180"/>
        <v>17481934.231210645</v>
      </c>
      <c r="K94" s="28">
        <f t="shared" ref="K94:V94" si="181">IF(K4=0,0,K4/K26*1000000)</f>
        <v>16453324.685054393</v>
      </c>
      <c r="L94" s="28">
        <f t="shared" si="181"/>
        <v>15692978.958746521</v>
      </c>
      <c r="M94" s="28">
        <f t="shared" si="181"/>
        <v>16510089.820989361</v>
      </c>
      <c r="N94" s="28">
        <f t="shared" si="181"/>
        <v>16013350.364646815</v>
      </c>
      <c r="O94" s="28">
        <f t="shared" si="181"/>
        <v>15432049.059134053</v>
      </c>
      <c r="P94" s="28">
        <f t="shared" si="181"/>
        <v>15022754.528834581</v>
      </c>
      <c r="Q94" s="28">
        <f t="shared" si="181"/>
        <v>15398594.505495636</v>
      </c>
      <c r="R94" s="28">
        <f t="shared" si="181"/>
        <v>15655294.561978964</v>
      </c>
      <c r="S94" s="28">
        <f t="shared" si="181"/>
        <v>16421873.663602216</v>
      </c>
      <c r="T94" s="28">
        <f t="shared" si="181"/>
        <v>16132150.114656426</v>
      </c>
      <c r="U94" s="28">
        <f t="shared" si="181"/>
        <v>17049962.891432311</v>
      </c>
      <c r="V94" s="28">
        <f t="shared" si="181"/>
        <v>10295747.169523606</v>
      </c>
      <c r="W94" s="28">
        <f t="shared" ref="W94" si="182">IF(W4=0,0,W4/W26*1000000)</f>
        <v>12223775.603974225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9023082.838999901</v>
      </c>
      <c r="C95" s="108">
        <f t="shared" si="180"/>
        <v>8949021.7475027274</v>
      </c>
      <c r="D95" s="108">
        <f t="shared" si="180"/>
        <v>8772299.7175365072</v>
      </c>
      <c r="E95" s="108">
        <f t="shared" si="180"/>
        <v>8738079.3907329496</v>
      </c>
      <c r="F95" s="108">
        <f t="shared" si="180"/>
        <v>8868012.5625684839</v>
      </c>
      <c r="G95" s="108">
        <f t="shared" si="180"/>
        <v>8958197.1572843008</v>
      </c>
      <c r="H95" s="108">
        <f t="shared" si="180"/>
        <v>8874856.7852394469</v>
      </c>
      <c r="I95" s="108">
        <f t="shared" si="180"/>
        <v>9055472.4323337357</v>
      </c>
      <c r="J95" s="108">
        <f t="shared" si="180"/>
        <v>9078074.3264296297</v>
      </c>
      <c r="K95" s="108">
        <f t="shared" ref="K95:V95" si="183">IF(K5=0,0,K5/K27*1000000)</f>
        <v>8926928.2936921716</v>
      </c>
      <c r="L95" s="108">
        <f t="shared" si="183"/>
        <v>8785758.1597025432</v>
      </c>
      <c r="M95" s="108">
        <f t="shared" si="183"/>
        <v>8898113.3724686634</v>
      </c>
      <c r="N95" s="108">
        <f t="shared" si="183"/>
        <v>8753789.7001630403</v>
      </c>
      <c r="O95" s="108">
        <f t="shared" si="183"/>
        <v>8732697.9839969687</v>
      </c>
      <c r="P95" s="108">
        <f t="shared" si="183"/>
        <v>8689614.5412482023</v>
      </c>
      <c r="Q95" s="108">
        <f t="shared" si="183"/>
        <v>8731685.2523191385</v>
      </c>
      <c r="R95" s="108">
        <f t="shared" si="183"/>
        <v>8709012.1962380651</v>
      </c>
      <c r="S95" s="108">
        <f t="shared" si="183"/>
        <v>8791408.3635761812</v>
      </c>
      <c r="T95" s="108">
        <f t="shared" si="183"/>
        <v>8830281.4101003595</v>
      </c>
      <c r="U95" s="108">
        <f t="shared" si="183"/>
        <v>8873111.1667275298</v>
      </c>
      <c r="V95" s="108">
        <f t="shared" si="183"/>
        <v>5354839.9655050635</v>
      </c>
      <c r="W95" s="108">
        <f t="shared" ref="W95" si="184">IF(W5=0,0,W5/W27*1000000)</f>
        <v>6114012.4136743257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27034743.449407712</v>
      </c>
      <c r="C96" s="110">
        <f t="shared" si="180"/>
        <v>23014408.40755415</v>
      </c>
      <c r="D96" s="110">
        <f t="shared" si="180"/>
        <v>20084726.181764591</v>
      </c>
      <c r="E96" s="110">
        <f t="shared" si="180"/>
        <v>18242844.244577304</v>
      </c>
      <c r="F96" s="110">
        <f t="shared" si="180"/>
        <v>18410615.721391365</v>
      </c>
      <c r="G96" s="110">
        <f t="shared" si="180"/>
        <v>18742259.959914561</v>
      </c>
      <c r="H96" s="110">
        <f t="shared" si="180"/>
        <v>21090007.599530507</v>
      </c>
      <c r="I96" s="110">
        <f t="shared" si="180"/>
        <v>21648574.166137371</v>
      </c>
      <c r="J96" s="110">
        <f t="shared" si="180"/>
        <v>22153212.749247983</v>
      </c>
      <c r="K96" s="110">
        <f t="shared" ref="K96:V96" si="185">IF(K6=0,0,K6/K28*1000000)</f>
        <v>20449853.904518794</v>
      </c>
      <c r="L96" s="110">
        <f t="shared" si="185"/>
        <v>19383459.03410795</v>
      </c>
      <c r="M96" s="110">
        <f t="shared" si="185"/>
        <v>20826372.900836781</v>
      </c>
      <c r="N96" s="110">
        <f t="shared" si="185"/>
        <v>20125793.639153168</v>
      </c>
      <c r="O96" s="110">
        <f t="shared" si="185"/>
        <v>18987767.65661798</v>
      </c>
      <c r="P96" s="110">
        <f t="shared" si="185"/>
        <v>18611594.266213018</v>
      </c>
      <c r="Q96" s="110">
        <f t="shared" si="185"/>
        <v>18465765.835951231</v>
      </c>
      <c r="R96" s="110">
        <f t="shared" si="185"/>
        <v>17847486.543996744</v>
      </c>
      <c r="S96" s="110">
        <f t="shared" si="185"/>
        <v>18887643.741281759</v>
      </c>
      <c r="T96" s="110">
        <f t="shared" si="185"/>
        <v>18193555.703502472</v>
      </c>
      <c r="U96" s="110">
        <f t="shared" si="185"/>
        <v>19517431.92203971</v>
      </c>
      <c r="V96" s="110">
        <f t="shared" si="185"/>
        <v>12111510.93416086</v>
      </c>
      <c r="W96" s="110">
        <f t="shared" ref="W96" si="186">IF(W6=0,0,W6/W28*1000000)</f>
        <v>14009394.449780516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18653721.028946277</v>
      </c>
      <c r="C97" s="84">
        <f t="shared" si="180"/>
        <v>18701611.328781538</v>
      </c>
      <c r="D97" s="84">
        <f t="shared" si="180"/>
        <v>17351577.498607043</v>
      </c>
      <c r="E97" s="84">
        <f t="shared" si="180"/>
        <v>15920866.267507236</v>
      </c>
      <c r="F97" s="84">
        <f t="shared" si="180"/>
        <v>15089810.88982272</v>
      </c>
      <c r="G97" s="84">
        <f t="shared" si="180"/>
        <v>16967857.388901152</v>
      </c>
      <c r="H97" s="84">
        <f t="shared" si="180"/>
        <v>13413981.92819497</v>
      </c>
      <c r="I97" s="84">
        <f t="shared" si="180"/>
        <v>18944963.95523648</v>
      </c>
      <c r="J97" s="84">
        <f t="shared" si="180"/>
        <v>16543126.127976738</v>
      </c>
      <c r="K97" s="84">
        <f t="shared" ref="K97:V97" si="187">IF(K7=0,0,K7/K29*1000000)</f>
        <v>17900782.057322983</v>
      </c>
      <c r="L97" s="84">
        <f t="shared" si="187"/>
        <v>12564275.770235041</v>
      </c>
      <c r="M97" s="84">
        <f t="shared" si="187"/>
        <v>15491425.219010931</v>
      </c>
      <c r="N97" s="84">
        <f t="shared" si="187"/>
        <v>16870793.244451225</v>
      </c>
      <c r="O97" s="84">
        <f t="shared" si="187"/>
        <v>17103110.798342127</v>
      </c>
      <c r="P97" s="84">
        <f t="shared" si="187"/>
        <v>17646083.826404385</v>
      </c>
      <c r="Q97" s="84">
        <f t="shared" si="187"/>
        <v>18364940.736625381</v>
      </c>
      <c r="R97" s="84">
        <f t="shared" si="187"/>
        <v>17546024.684602316</v>
      </c>
      <c r="S97" s="84">
        <f t="shared" si="187"/>
        <v>16552731.453850541</v>
      </c>
      <c r="T97" s="84">
        <f t="shared" si="187"/>
        <v>15353927.896796154</v>
      </c>
      <c r="U97" s="84">
        <f t="shared" si="187"/>
        <v>18693253.782737281</v>
      </c>
      <c r="V97" s="84">
        <f t="shared" si="187"/>
        <v>11753322.951787245</v>
      </c>
      <c r="W97" s="84">
        <f t="shared" ref="W97" si="188">IF(W7=0,0,W7/W29*1000000)</f>
        <v>14241467.662347089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30320956.848052692</v>
      </c>
      <c r="C98" s="84">
        <f t="shared" si="180"/>
        <v>24580834.80884786</v>
      </c>
      <c r="D98" s="84">
        <f t="shared" si="180"/>
        <v>20952823.611639537</v>
      </c>
      <c r="E98" s="84">
        <f t="shared" si="180"/>
        <v>19042587.730420612</v>
      </c>
      <c r="F98" s="84">
        <f t="shared" si="180"/>
        <v>19499509.406958222</v>
      </c>
      <c r="G98" s="84">
        <f t="shared" si="180"/>
        <v>19363160.248171501</v>
      </c>
      <c r="H98" s="84">
        <f t="shared" si="180"/>
        <v>23744298.335907489</v>
      </c>
      <c r="I98" s="84">
        <f t="shared" si="180"/>
        <v>22527378.407271791</v>
      </c>
      <c r="J98" s="84">
        <f t="shared" si="180"/>
        <v>23729263.648225524</v>
      </c>
      <c r="K98" s="84">
        <f t="shared" ref="K98:V98" si="189">IF(K8=0,0,K8/K30*1000000)</f>
        <v>21170210.582886223</v>
      </c>
      <c r="L98" s="84">
        <f t="shared" si="189"/>
        <v>20983402.786743652</v>
      </c>
      <c r="M98" s="84">
        <f t="shared" si="189"/>
        <v>21938872.164995898</v>
      </c>
      <c r="N98" s="84">
        <f t="shared" si="189"/>
        <v>20727160.71880934</v>
      </c>
      <c r="O98" s="84">
        <f t="shared" si="189"/>
        <v>19308985.042662021</v>
      </c>
      <c r="P98" s="84">
        <f t="shared" si="189"/>
        <v>18768534.307591956</v>
      </c>
      <c r="Q98" s="84">
        <f t="shared" si="189"/>
        <v>18479695.795162853</v>
      </c>
      <c r="R98" s="84">
        <f t="shared" si="189"/>
        <v>17897861.334265448</v>
      </c>
      <c r="S98" s="84">
        <f t="shared" si="189"/>
        <v>19211508.913231499</v>
      </c>
      <c r="T98" s="84">
        <f t="shared" si="189"/>
        <v>18747762.265919603</v>
      </c>
      <c r="U98" s="84">
        <f t="shared" si="189"/>
        <v>19655592.635083359</v>
      </c>
      <c r="V98" s="84">
        <f t="shared" si="189"/>
        <v>12171265.258759631</v>
      </c>
      <c r="W98" s="84">
        <f t="shared" ref="W98" si="190">IF(W8=0,0,W8/W30*1000000)</f>
        <v>13972922.107836636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139111681.06189576</v>
      </c>
      <c r="R99" s="113">
        <f t="shared" si="191"/>
        <v>145017109.71360767</v>
      </c>
      <c r="S99" s="113">
        <f t="shared" si="191"/>
        <v>145472722.19771299</v>
      </c>
      <c r="T99" s="113">
        <f t="shared" si="191"/>
        <v>156585221.81003827</v>
      </c>
      <c r="U99" s="113">
        <f t="shared" si="191"/>
        <v>160975009.27543169</v>
      </c>
      <c r="V99" s="113">
        <f t="shared" si="191"/>
        <v>72500925.151976958</v>
      </c>
      <c r="W99" s="113">
        <f t="shared" ref="W99" si="192">IF(W9=0,0,W9/W31*1000000)</f>
        <v>107536662.46486504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121450756.27273476</v>
      </c>
      <c r="C100" s="28">
        <f t="shared" si="180"/>
        <v>118716041.65893736</v>
      </c>
      <c r="D100" s="28">
        <f t="shared" si="180"/>
        <v>121606972.04398979</v>
      </c>
      <c r="E100" s="28">
        <f t="shared" si="180"/>
        <v>117023287.56757696</v>
      </c>
      <c r="F100" s="28">
        <f t="shared" si="180"/>
        <v>123866771.53068677</v>
      </c>
      <c r="G100" s="28">
        <f t="shared" si="180"/>
        <v>127058442.69090244</v>
      </c>
      <c r="H100" s="28">
        <f t="shared" si="180"/>
        <v>127938505.9903778</v>
      </c>
      <c r="I100" s="28">
        <f t="shared" si="180"/>
        <v>125084987.09040992</v>
      </c>
      <c r="J100" s="28">
        <f t="shared" si="180"/>
        <v>125810779.13288586</v>
      </c>
      <c r="K100" s="28">
        <f t="shared" ref="K100:V100" si="193">IF(K10=0,0,K10/K32*1000000)</f>
        <v>117673846.58605069</v>
      </c>
      <c r="L100" s="28">
        <f t="shared" si="193"/>
        <v>133364180.83391033</v>
      </c>
      <c r="M100" s="28">
        <f t="shared" si="193"/>
        <v>136292704.59203941</v>
      </c>
      <c r="N100" s="28">
        <f t="shared" si="193"/>
        <v>137256232.83365613</v>
      </c>
      <c r="O100" s="28">
        <f t="shared" si="193"/>
        <v>143735896.49250427</v>
      </c>
      <c r="P100" s="28">
        <f t="shared" si="193"/>
        <v>146450197.17166248</v>
      </c>
      <c r="Q100" s="28">
        <f t="shared" si="193"/>
        <v>150385034.18827805</v>
      </c>
      <c r="R100" s="28">
        <f t="shared" si="193"/>
        <v>150545105.39861968</v>
      </c>
      <c r="S100" s="28">
        <f t="shared" si="193"/>
        <v>151470805.93365303</v>
      </c>
      <c r="T100" s="28">
        <f t="shared" si="193"/>
        <v>147939152.89644474</v>
      </c>
      <c r="U100" s="28">
        <f t="shared" si="193"/>
        <v>142591575.34051225</v>
      </c>
      <c r="V100" s="28">
        <f t="shared" si="193"/>
        <v>130573020.63122213</v>
      </c>
      <c r="W100" s="28">
        <f t="shared" ref="W100" si="194">IF(W10=0,0,W10/W32*1000000)</f>
        <v>134213158.86545616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130890297.61365709</v>
      </c>
      <c r="C101" s="84">
        <f t="shared" si="180"/>
        <v>126489128.98582654</v>
      </c>
      <c r="D101" s="84">
        <f t="shared" si="180"/>
        <v>129314824.40283731</v>
      </c>
      <c r="E101" s="84">
        <f t="shared" si="180"/>
        <v>142048280.42902499</v>
      </c>
      <c r="F101" s="84">
        <f t="shared" si="180"/>
        <v>143319498.56776476</v>
      </c>
      <c r="G101" s="84">
        <f t="shared" si="180"/>
        <v>142510563.39860368</v>
      </c>
      <c r="H101" s="84">
        <f t="shared" si="180"/>
        <v>138292245.17866275</v>
      </c>
      <c r="I101" s="84">
        <f t="shared" si="180"/>
        <v>124330762.73196803</v>
      </c>
      <c r="J101" s="84">
        <f t="shared" si="180"/>
        <v>126541876.81866318</v>
      </c>
      <c r="K101" s="84">
        <f t="shared" ref="K101:V101" si="195">IF(K11=0,0,K11/K33*1000000)</f>
        <v>124400598.77501339</v>
      </c>
      <c r="L101" s="84">
        <f t="shared" si="195"/>
        <v>140216047.20670119</v>
      </c>
      <c r="M101" s="84">
        <f t="shared" si="195"/>
        <v>143768306.54245776</v>
      </c>
      <c r="N101" s="84">
        <f t="shared" si="195"/>
        <v>131837572.24111269</v>
      </c>
      <c r="O101" s="84">
        <f t="shared" si="195"/>
        <v>149156393.89800495</v>
      </c>
      <c r="P101" s="84">
        <f t="shared" si="195"/>
        <v>145908323.02773744</v>
      </c>
      <c r="Q101" s="84">
        <f t="shared" si="195"/>
        <v>149129975.69034657</v>
      </c>
      <c r="R101" s="84">
        <f t="shared" si="195"/>
        <v>142578523.89502782</v>
      </c>
      <c r="S101" s="84">
        <f t="shared" si="195"/>
        <v>151462528.4620426</v>
      </c>
      <c r="T101" s="84">
        <f t="shared" si="195"/>
        <v>157271427.81877998</v>
      </c>
      <c r="U101" s="84">
        <f t="shared" si="195"/>
        <v>166932223.47618932</v>
      </c>
      <c r="V101" s="84">
        <f t="shared" si="195"/>
        <v>140978800.71513048</v>
      </c>
      <c r="W101" s="84">
        <f t="shared" ref="W101" si="196">IF(W11=0,0,W11/W33*1000000)</f>
        <v>149156036.15441972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120092110.25773115</v>
      </c>
      <c r="C102" s="86">
        <f t="shared" si="180"/>
        <v>117560877.02123412</v>
      </c>
      <c r="D102" s="86">
        <f t="shared" si="180"/>
        <v>120360444.92143635</v>
      </c>
      <c r="E102" s="86">
        <f t="shared" si="180"/>
        <v>112692739.80481108</v>
      </c>
      <c r="F102" s="86">
        <f t="shared" si="180"/>
        <v>119029869.45098011</v>
      </c>
      <c r="G102" s="86">
        <f t="shared" si="180"/>
        <v>123202938.80632339</v>
      </c>
      <c r="H102" s="86">
        <f t="shared" si="180"/>
        <v>124384474.3658044</v>
      </c>
      <c r="I102" s="86">
        <f t="shared" si="180"/>
        <v>125315440.21460365</v>
      </c>
      <c r="J102" s="86">
        <f t="shared" si="180"/>
        <v>125590088.66375682</v>
      </c>
      <c r="K102" s="86">
        <f t="shared" ref="K102:V102" si="197">IF(K12=0,0,K12/K34*1000000)</f>
        <v>115495232.3422045</v>
      </c>
      <c r="L102" s="86">
        <f t="shared" si="197"/>
        <v>130824742.29356717</v>
      </c>
      <c r="M102" s="86">
        <f t="shared" si="197"/>
        <v>133582962.78927381</v>
      </c>
      <c r="N102" s="86">
        <f t="shared" si="197"/>
        <v>139350505.35790598</v>
      </c>
      <c r="O102" s="86">
        <f t="shared" si="197"/>
        <v>141783940.89444938</v>
      </c>
      <c r="P102" s="86">
        <f t="shared" si="197"/>
        <v>146638369.80966294</v>
      </c>
      <c r="Q102" s="86">
        <f t="shared" si="197"/>
        <v>150792925.54214543</v>
      </c>
      <c r="R102" s="86">
        <f t="shared" si="197"/>
        <v>152907123.95963949</v>
      </c>
      <c r="S102" s="86">
        <f t="shared" si="197"/>
        <v>151473070.55170447</v>
      </c>
      <c r="T102" s="86">
        <f t="shared" si="197"/>
        <v>145433669.07698253</v>
      </c>
      <c r="U102" s="86">
        <f t="shared" si="197"/>
        <v>136224618.58555409</v>
      </c>
      <c r="V102" s="86">
        <f t="shared" si="197"/>
        <v>128155428.44320668</v>
      </c>
      <c r="W102" s="86">
        <f t="shared" ref="W102" si="198">IF(W12=0,0,W12/W34*1000000)</f>
        <v>130640843.54472245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0.16323978883023063</v>
      </c>
      <c r="C106" s="123">
        <f t="shared" si="199"/>
        <v>0.17146649950219403</v>
      </c>
      <c r="D106" s="123">
        <f t="shared" si="199"/>
        <v>0.18211202648902203</v>
      </c>
      <c r="E106" s="123">
        <f t="shared" si="199"/>
        <v>0.18642803877703207</v>
      </c>
      <c r="F106" s="123">
        <f t="shared" si="199"/>
        <v>0.19404915912031048</v>
      </c>
      <c r="G106" s="123">
        <f t="shared" si="199"/>
        <v>0.19506140000886643</v>
      </c>
      <c r="H106" s="123">
        <f t="shared" si="199"/>
        <v>0.19346143813581429</v>
      </c>
      <c r="I106" s="123">
        <f t="shared" si="199"/>
        <v>0.18806983114599943</v>
      </c>
      <c r="J106" s="123">
        <f t="shared" si="199"/>
        <v>0.18552127445049404</v>
      </c>
      <c r="K106" s="123">
        <f t="shared" ref="K106:V106" si="202">IF(K5=0,0,K5/K$4)</f>
        <v>0.18817789780894717</v>
      </c>
      <c r="L106" s="123">
        <f t="shared" si="202"/>
        <v>0.19495979515745024</v>
      </c>
      <c r="M106" s="123">
        <f t="shared" si="202"/>
        <v>0.19502098202270043</v>
      </c>
      <c r="N106" s="123">
        <f t="shared" si="202"/>
        <v>0.19768641339305781</v>
      </c>
      <c r="O106" s="123">
        <f t="shared" si="202"/>
        <v>0.19620660050805397</v>
      </c>
      <c r="P106" s="123">
        <f t="shared" si="202"/>
        <v>0.20922167322524565</v>
      </c>
      <c r="Q106" s="123">
        <f t="shared" si="202"/>
        <v>0.19550288058076004</v>
      </c>
      <c r="R106" s="123">
        <f t="shared" si="202"/>
        <v>0.18447086707026358</v>
      </c>
      <c r="S106" s="123">
        <f t="shared" si="202"/>
        <v>0.17504478255089409</v>
      </c>
      <c r="T106" s="123">
        <f t="shared" si="202"/>
        <v>0.17138128177480252</v>
      </c>
      <c r="U106" s="123">
        <f t="shared" si="202"/>
        <v>0.16718960951209783</v>
      </c>
      <c r="V106" s="123">
        <f t="shared" si="202"/>
        <v>0.17291349011595353</v>
      </c>
      <c r="W106" s="123">
        <f t="shared" ref="W106" si="203">IF(W5=0,0,W5/W$4)</f>
        <v>0.15357149574022264</v>
      </c>
      <c r="DA106" s="203"/>
    </row>
    <row r="107" spans="1:105" ht="11.45" customHeight="1" x14ac:dyDescent="0.25">
      <c r="A107" s="109" t="s">
        <v>24</v>
      </c>
      <c r="B107" s="124">
        <f t="shared" si="199"/>
        <v>0.8367602111697694</v>
      </c>
      <c r="C107" s="124">
        <f t="shared" si="199"/>
        <v>0.82853350049780594</v>
      </c>
      <c r="D107" s="124">
        <f t="shared" si="199"/>
        <v>0.81788797351097797</v>
      </c>
      <c r="E107" s="124">
        <f t="shared" si="199"/>
        <v>0.81357196122296793</v>
      </c>
      <c r="F107" s="124">
        <f t="shared" si="199"/>
        <v>0.80595084087968949</v>
      </c>
      <c r="G107" s="124">
        <f t="shared" si="199"/>
        <v>0.8049385999911336</v>
      </c>
      <c r="H107" s="124">
        <f t="shared" si="199"/>
        <v>0.80653856186418571</v>
      </c>
      <c r="I107" s="124">
        <f t="shared" si="199"/>
        <v>0.8119301688540006</v>
      </c>
      <c r="J107" s="124">
        <f t="shared" si="199"/>
        <v>0.81447872554950596</v>
      </c>
      <c r="K107" s="124">
        <f t="shared" ref="K107:V107" si="204">IF(K6=0,0,K6/K$4)</f>
        <v>0.81182210219105289</v>
      </c>
      <c r="L107" s="124">
        <f t="shared" si="204"/>
        <v>0.80504020484254979</v>
      </c>
      <c r="M107" s="124">
        <f t="shared" si="204"/>
        <v>0.80497901797729954</v>
      </c>
      <c r="N107" s="124">
        <f t="shared" si="204"/>
        <v>0.8023135866069423</v>
      </c>
      <c r="O107" s="124">
        <f t="shared" si="204"/>
        <v>0.80379339949194606</v>
      </c>
      <c r="P107" s="124">
        <f t="shared" si="204"/>
        <v>0.79077832677475435</v>
      </c>
      <c r="Q107" s="124">
        <f t="shared" si="204"/>
        <v>0.78286412841510655</v>
      </c>
      <c r="R107" s="124">
        <f t="shared" si="204"/>
        <v>0.75447651676132399</v>
      </c>
      <c r="S107" s="124">
        <f t="shared" si="204"/>
        <v>0.76649094690790254</v>
      </c>
      <c r="T107" s="124">
        <f t="shared" si="204"/>
        <v>0.76758374159405851</v>
      </c>
      <c r="U107" s="124">
        <f t="shared" si="204"/>
        <v>0.76926215476106419</v>
      </c>
      <c r="V107" s="124">
        <f t="shared" si="204"/>
        <v>0.77687976891406918</v>
      </c>
      <c r="W107" s="124">
        <f t="shared" ref="W107" si="205">IF(W6=0,0,W6/W$4)</f>
        <v>0.78636541619241651</v>
      </c>
      <c r="DA107" s="176"/>
    </row>
    <row r="108" spans="1:105" ht="11.45" customHeight="1" x14ac:dyDescent="0.25">
      <c r="A108" s="111" t="s">
        <v>92</v>
      </c>
      <c r="B108" s="125">
        <f t="shared" si="199"/>
        <v>0.16261927922169805</v>
      </c>
      <c r="C108" s="125">
        <f t="shared" si="199"/>
        <v>0.1793821850563837</v>
      </c>
      <c r="D108" s="125">
        <f t="shared" si="199"/>
        <v>0.17032662425936135</v>
      </c>
      <c r="E108" s="125">
        <f t="shared" si="199"/>
        <v>0.18189747811200566</v>
      </c>
      <c r="F108" s="125">
        <f t="shared" si="199"/>
        <v>0.16311752281637998</v>
      </c>
      <c r="G108" s="125">
        <f t="shared" si="199"/>
        <v>0.18889881373668138</v>
      </c>
      <c r="H108" s="125">
        <f t="shared" si="199"/>
        <v>0.1318077616093318</v>
      </c>
      <c r="I108" s="125">
        <f t="shared" si="199"/>
        <v>0.17430084003956206</v>
      </c>
      <c r="J108" s="125">
        <f t="shared" si="199"/>
        <v>0.1333937011075684</v>
      </c>
      <c r="K108" s="125">
        <f t="shared" ref="K108:V108" si="206">IF(K7=0,0,K7/K$4)</f>
        <v>0.15657355259069072</v>
      </c>
      <c r="L108" s="125">
        <f t="shared" si="206"/>
        <v>9.9165681952426449E-2</v>
      </c>
      <c r="M108" s="125">
        <f t="shared" si="206"/>
        <v>0.10331758599912265</v>
      </c>
      <c r="N108" s="125">
        <f t="shared" si="206"/>
        <v>0.10487883952687241</v>
      </c>
      <c r="O108" s="125">
        <f t="shared" si="206"/>
        <v>0.10542993278814392</v>
      </c>
      <c r="P108" s="125">
        <f t="shared" si="206"/>
        <v>0.10483012215757917</v>
      </c>
      <c r="Q108" s="125">
        <f t="shared" si="206"/>
        <v>9.4511924569179395E-2</v>
      </c>
      <c r="R108" s="125">
        <f t="shared" si="206"/>
        <v>0.10619879136684136</v>
      </c>
      <c r="S108" s="125">
        <f t="shared" si="206"/>
        <v>8.1824088352998481E-2</v>
      </c>
      <c r="T108" s="125">
        <f t="shared" si="206"/>
        <v>0.10578125124813527</v>
      </c>
      <c r="U108" s="125">
        <f t="shared" si="206"/>
        <v>0.10577746190047937</v>
      </c>
      <c r="V108" s="125">
        <f t="shared" si="206"/>
        <v>0.10778768941753106</v>
      </c>
      <c r="W108" s="125">
        <f t="shared" ref="W108" si="207">IF(W7=0,0,W7/W$4)</f>
        <v>0.10856890890315404</v>
      </c>
      <c r="DA108" s="171"/>
    </row>
    <row r="109" spans="1:105" ht="11.45" customHeight="1" x14ac:dyDescent="0.25">
      <c r="A109" s="111" t="s">
        <v>93</v>
      </c>
      <c r="B109" s="125">
        <f t="shared" si="199"/>
        <v>0.67414093194807134</v>
      </c>
      <c r="C109" s="125">
        <f t="shared" si="199"/>
        <v>0.64915131544142224</v>
      </c>
      <c r="D109" s="125">
        <f t="shared" si="199"/>
        <v>0.64756134925161657</v>
      </c>
      <c r="E109" s="125">
        <f t="shared" si="199"/>
        <v>0.6316744831109623</v>
      </c>
      <c r="F109" s="125">
        <f t="shared" si="199"/>
        <v>0.64283331806330946</v>
      </c>
      <c r="G109" s="125">
        <f t="shared" si="199"/>
        <v>0.6160397862544521</v>
      </c>
      <c r="H109" s="125">
        <f t="shared" si="199"/>
        <v>0.67473080025485388</v>
      </c>
      <c r="I109" s="125">
        <f t="shared" si="199"/>
        <v>0.63762932881443846</v>
      </c>
      <c r="J109" s="125">
        <f t="shared" si="199"/>
        <v>0.68108502444193753</v>
      </c>
      <c r="K109" s="125">
        <f t="shared" ref="K109:V109" si="208">IF(K8=0,0,K8/K$4)</f>
        <v>0.65524854960036216</v>
      </c>
      <c r="L109" s="125">
        <f t="shared" si="208"/>
        <v>0.70587452289012331</v>
      </c>
      <c r="M109" s="125">
        <f t="shared" si="208"/>
        <v>0.70166143197817687</v>
      </c>
      <c r="N109" s="125">
        <f t="shared" si="208"/>
        <v>0.69743474708006992</v>
      </c>
      <c r="O109" s="125">
        <f t="shared" si="208"/>
        <v>0.69836346670380212</v>
      </c>
      <c r="P109" s="125">
        <f t="shared" si="208"/>
        <v>0.68594820461717521</v>
      </c>
      <c r="Q109" s="125">
        <f t="shared" si="208"/>
        <v>0.68835220384592721</v>
      </c>
      <c r="R109" s="125">
        <f t="shared" si="208"/>
        <v>0.64827772539448258</v>
      </c>
      <c r="S109" s="125">
        <f t="shared" si="208"/>
        <v>0.68466685855490406</v>
      </c>
      <c r="T109" s="125">
        <f t="shared" si="208"/>
        <v>0.66180249034592331</v>
      </c>
      <c r="U109" s="125">
        <f t="shared" si="208"/>
        <v>0.66348469286058476</v>
      </c>
      <c r="V109" s="125">
        <f t="shared" si="208"/>
        <v>0.66909207949653815</v>
      </c>
      <c r="W109" s="125">
        <f t="shared" ref="W109" si="209">IF(W8=0,0,W8/W$4)</f>
        <v>0.67779650728926244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2.1632991004133417E-2</v>
      </c>
      <c r="R110" s="126">
        <f t="shared" si="210"/>
        <v>6.1052616168412378E-2</v>
      </c>
      <c r="S110" s="126">
        <f t="shared" si="210"/>
        <v>5.8464270541203435E-2</v>
      </c>
      <c r="T110" s="126">
        <f t="shared" si="210"/>
        <v>6.103497663113891E-2</v>
      </c>
      <c r="U110" s="126">
        <f t="shared" si="210"/>
        <v>6.3548235726838015E-2</v>
      </c>
      <c r="V110" s="126">
        <f t="shared" si="210"/>
        <v>5.0206740969977355E-2</v>
      </c>
      <c r="W110" s="126">
        <f t="shared" ref="W110" si="211">IF(W9=0,0,W9/W$4)</f>
        <v>6.0063088067361013E-2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0.13560093762120778</v>
      </c>
      <c r="C112" s="125">
        <f t="shared" si="212"/>
        <v>0.13785459355210558</v>
      </c>
      <c r="D112" s="125">
        <f t="shared" si="212"/>
        <v>0.14803216011148568</v>
      </c>
      <c r="E112" s="125">
        <f t="shared" si="212"/>
        <v>0.17906736212835025</v>
      </c>
      <c r="F112" s="125">
        <f t="shared" si="212"/>
        <v>0.23040763897740044</v>
      </c>
      <c r="G112" s="125">
        <f t="shared" si="212"/>
        <v>0.22397308292479451</v>
      </c>
      <c r="H112" s="125">
        <f t="shared" si="212"/>
        <v>0.27622330367363629</v>
      </c>
      <c r="I112" s="125">
        <f t="shared" si="212"/>
        <v>0.23262800877841541</v>
      </c>
      <c r="J112" s="125">
        <f t="shared" si="212"/>
        <v>0.23321673003802279</v>
      </c>
      <c r="K112" s="125">
        <f t="shared" ref="K112:V112" si="215">IF(K11=0,0,K11/K$10)</f>
        <v>0.25862533431961032</v>
      </c>
      <c r="L112" s="125">
        <f t="shared" si="215"/>
        <v>0.28429569498257717</v>
      </c>
      <c r="M112" s="125">
        <f t="shared" si="215"/>
        <v>0.28063560329792292</v>
      </c>
      <c r="N112" s="125">
        <f t="shared" si="215"/>
        <v>0.2677508107069817</v>
      </c>
      <c r="O112" s="125">
        <f t="shared" si="215"/>
        <v>0.27474800940233696</v>
      </c>
      <c r="P112" s="125">
        <f t="shared" si="215"/>
        <v>0.25680051343259314</v>
      </c>
      <c r="Q112" s="125">
        <f t="shared" si="215"/>
        <v>0.24323478026753603</v>
      </c>
      <c r="R112" s="125">
        <f t="shared" si="215"/>
        <v>0.2165854704417948</v>
      </c>
      <c r="S112" s="125">
        <f t="shared" si="215"/>
        <v>0.21480506890104564</v>
      </c>
      <c r="T112" s="125">
        <f t="shared" si="215"/>
        <v>0.22500326481242225</v>
      </c>
      <c r="U112" s="125">
        <f t="shared" si="215"/>
        <v>0.24273492468651478</v>
      </c>
      <c r="V112" s="125">
        <f t="shared" si="215"/>
        <v>0.20355470914855489</v>
      </c>
      <c r="W112" s="125">
        <f t="shared" ref="W112" si="216">IF(W11=0,0,W11/W$10)</f>
        <v>0.21442098521405939</v>
      </c>
      <c r="DA112" s="171"/>
    </row>
    <row r="113" spans="1:105" ht="11.45" customHeight="1" x14ac:dyDescent="0.25">
      <c r="A113" s="85" t="s">
        <v>93</v>
      </c>
      <c r="B113" s="127">
        <f t="shared" si="212"/>
        <v>0.86439906237879227</v>
      </c>
      <c r="C113" s="127">
        <f t="shared" si="212"/>
        <v>0.86214540644789439</v>
      </c>
      <c r="D113" s="127">
        <f t="shared" si="212"/>
        <v>0.85196783988851421</v>
      </c>
      <c r="E113" s="127">
        <f t="shared" si="212"/>
        <v>0.82093263787164983</v>
      </c>
      <c r="F113" s="127">
        <f t="shared" si="212"/>
        <v>0.76959236102259954</v>
      </c>
      <c r="G113" s="127">
        <f t="shared" si="212"/>
        <v>0.77602691707520555</v>
      </c>
      <c r="H113" s="127">
        <f t="shared" si="212"/>
        <v>0.72377669632636366</v>
      </c>
      <c r="I113" s="127">
        <f t="shared" si="212"/>
        <v>0.76737199122158462</v>
      </c>
      <c r="J113" s="127">
        <f t="shared" si="212"/>
        <v>0.76678326996197721</v>
      </c>
      <c r="K113" s="127">
        <f t="shared" ref="K113:V113" si="217">IF(K12=0,0,K12/K$10)</f>
        <v>0.74137466568038968</v>
      </c>
      <c r="L113" s="127">
        <f t="shared" si="217"/>
        <v>0.71570430501742277</v>
      </c>
      <c r="M113" s="127">
        <f t="shared" si="217"/>
        <v>0.71936439670207708</v>
      </c>
      <c r="N113" s="127">
        <f t="shared" si="217"/>
        <v>0.73224918929301819</v>
      </c>
      <c r="O113" s="127">
        <f t="shared" si="217"/>
        <v>0.72525199059766299</v>
      </c>
      <c r="P113" s="127">
        <f t="shared" si="217"/>
        <v>0.74319948656740686</v>
      </c>
      <c r="Q113" s="127">
        <f t="shared" si="217"/>
        <v>0.75676521973246402</v>
      </c>
      <c r="R113" s="127">
        <f t="shared" si="217"/>
        <v>0.78341452955820523</v>
      </c>
      <c r="S113" s="127">
        <f t="shared" si="217"/>
        <v>0.78519493109895444</v>
      </c>
      <c r="T113" s="127">
        <f t="shared" si="217"/>
        <v>0.77499673518757772</v>
      </c>
      <c r="U113" s="127">
        <f t="shared" si="217"/>
        <v>0.75726507531348519</v>
      </c>
      <c r="V113" s="127">
        <f t="shared" si="217"/>
        <v>0.79644529085144511</v>
      </c>
      <c r="W113" s="127">
        <f t="shared" ref="W113" si="218">IF(W12=0,0,W12/W$10)</f>
        <v>0.78557901478594061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0.30003410182004825</v>
      </c>
      <c r="C117" s="123">
        <f t="shared" si="219"/>
        <v>0.280729073740074</v>
      </c>
      <c r="D117" s="123">
        <f t="shared" si="219"/>
        <v>0.27211909175168042</v>
      </c>
      <c r="E117" s="123">
        <f t="shared" si="219"/>
        <v>0.25971285913844239</v>
      </c>
      <c r="F117" s="123">
        <f t="shared" si="219"/>
        <v>0.27238913115450375</v>
      </c>
      <c r="G117" s="123">
        <f t="shared" si="219"/>
        <v>0.27103165603803597</v>
      </c>
      <c r="H117" s="123">
        <f t="shared" si="219"/>
        <v>0.30987547290570255</v>
      </c>
      <c r="I117" s="123">
        <f t="shared" si="219"/>
        <v>0.28880691729497232</v>
      </c>
      <c r="J117" s="123">
        <f t="shared" si="219"/>
        <v>0.29358522303595846</v>
      </c>
      <c r="K117" s="123">
        <f t="shared" ref="K117:V117" si="222">IF(K16=0,0,K16/K$15)</f>
        <v>0.28026550523712424</v>
      </c>
      <c r="L117" s="123">
        <f t="shared" si="222"/>
        <v>0.29307853027629283</v>
      </c>
      <c r="M117" s="123">
        <f t="shared" si="222"/>
        <v>0.29917258333510105</v>
      </c>
      <c r="N117" s="123">
        <f t="shared" si="222"/>
        <v>0.2934976452029619</v>
      </c>
      <c r="O117" s="123">
        <f t="shared" si="222"/>
        <v>0.28017203585299988</v>
      </c>
      <c r="P117" s="123">
        <f t="shared" si="222"/>
        <v>0.29356707011277478</v>
      </c>
      <c r="Q117" s="123">
        <f t="shared" si="222"/>
        <v>0.27697373910651429</v>
      </c>
      <c r="R117" s="123">
        <f t="shared" si="222"/>
        <v>0.26296341116604482</v>
      </c>
      <c r="S117" s="123">
        <f t="shared" si="222"/>
        <v>0.25920903370583925</v>
      </c>
      <c r="T117" s="123">
        <f t="shared" si="222"/>
        <v>0.24723164651110879</v>
      </c>
      <c r="U117" s="123">
        <f t="shared" si="222"/>
        <v>0.2557956882136021</v>
      </c>
      <c r="V117" s="123">
        <f t="shared" si="222"/>
        <v>0.28018894590626514</v>
      </c>
      <c r="W117" s="123">
        <f t="shared" ref="W117" si="223">IF(W16=0,0,W16/W$15)</f>
        <v>0.24185796955943573</v>
      </c>
      <c r="DA117" s="203"/>
    </row>
    <row r="118" spans="1:105" ht="11.45" customHeight="1" x14ac:dyDescent="0.25">
      <c r="A118" s="109" t="s">
        <v>24</v>
      </c>
      <c r="B118" s="124">
        <f t="shared" si="219"/>
        <v>0.6999658981799517</v>
      </c>
      <c r="C118" s="124">
        <f t="shared" si="219"/>
        <v>0.71927092625992606</v>
      </c>
      <c r="D118" s="124">
        <f t="shared" si="219"/>
        <v>0.72788090824831964</v>
      </c>
      <c r="E118" s="124">
        <f t="shared" si="219"/>
        <v>0.74028714086155756</v>
      </c>
      <c r="F118" s="124">
        <f t="shared" si="219"/>
        <v>0.72761086884549619</v>
      </c>
      <c r="G118" s="124">
        <f t="shared" si="219"/>
        <v>0.72896834396196397</v>
      </c>
      <c r="H118" s="124">
        <f t="shared" si="219"/>
        <v>0.69012452709429739</v>
      </c>
      <c r="I118" s="124">
        <f t="shared" si="219"/>
        <v>0.71119308270502768</v>
      </c>
      <c r="J118" s="124">
        <f t="shared" si="219"/>
        <v>0.70641477696404154</v>
      </c>
      <c r="K118" s="124">
        <f t="shared" ref="K118:V118" si="224">IF(K17=0,0,K17/K$15)</f>
        <v>0.71973449476287576</v>
      </c>
      <c r="L118" s="124">
        <f t="shared" si="224"/>
        <v>0.70692146972370706</v>
      </c>
      <c r="M118" s="124">
        <f t="shared" si="224"/>
        <v>0.70082741666489889</v>
      </c>
      <c r="N118" s="124">
        <f t="shared" si="224"/>
        <v>0.70650235479703816</v>
      </c>
      <c r="O118" s="124">
        <f t="shared" si="224"/>
        <v>0.71982796414700012</v>
      </c>
      <c r="P118" s="124">
        <f t="shared" si="224"/>
        <v>0.70643292988722517</v>
      </c>
      <c r="Q118" s="124">
        <f t="shared" si="224"/>
        <v>0.71515659700154788</v>
      </c>
      <c r="R118" s="124">
        <f t="shared" si="224"/>
        <v>0.71565493696346716</v>
      </c>
      <c r="S118" s="124">
        <f t="shared" si="224"/>
        <v>0.72042244879584638</v>
      </c>
      <c r="T118" s="124">
        <f t="shared" si="224"/>
        <v>0.73286161436226271</v>
      </c>
      <c r="U118" s="124">
        <f t="shared" si="224"/>
        <v>0.72228006481795803</v>
      </c>
      <c r="V118" s="124">
        <f t="shared" si="224"/>
        <v>0.69672963303653146</v>
      </c>
      <c r="W118" s="124">
        <f t="shared" ref="W118" si="225">IF(W17=0,0,W17/W$15)</f>
        <v>0.7370207584623969</v>
      </c>
      <c r="DA118" s="176"/>
    </row>
    <row r="119" spans="1:105" ht="11.45" customHeight="1" x14ac:dyDescent="0.25">
      <c r="A119" s="111" t="s">
        <v>92</v>
      </c>
      <c r="B119" s="125">
        <f t="shared" si="219"/>
        <v>0.19715358019999574</v>
      </c>
      <c r="C119" s="125">
        <f t="shared" si="219"/>
        <v>0.19163839792876217</v>
      </c>
      <c r="D119" s="125">
        <f t="shared" si="219"/>
        <v>0.17545913975456301</v>
      </c>
      <c r="E119" s="125">
        <f t="shared" si="219"/>
        <v>0.18965171157704569</v>
      </c>
      <c r="F119" s="125">
        <f t="shared" si="219"/>
        <v>0.16801103606751758</v>
      </c>
      <c r="G119" s="125">
        <f t="shared" si="219"/>
        <v>0.18896009454926441</v>
      </c>
      <c r="H119" s="125">
        <f t="shared" si="219"/>
        <v>0.14328128922032601</v>
      </c>
      <c r="I119" s="125">
        <f t="shared" si="219"/>
        <v>0.17446320181819014</v>
      </c>
      <c r="J119" s="125">
        <f t="shared" si="219"/>
        <v>0.14413838191692135</v>
      </c>
      <c r="K119" s="125">
        <f t="shared" ref="K119:V119" si="226">IF(K18=0,0,K18/K$15)</f>
        <v>0.15857986988460501</v>
      </c>
      <c r="L119" s="125">
        <f t="shared" si="226"/>
        <v>0.10106694756074162</v>
      </c>
      <c r="M119" s="125">
        <f t="shared" si="226"/>
        <v>0.1055076964453044</v>
      </c>
      <c r="N119" s="125">
        <f t="shared" si="226"/>
        <v>0.11017291816134174</v>
      </c>
      <c r="O119" s="125">
        <f t="shared" si="226"/>
        <v>0.10482068818897348</v>
      </c>
      <c r="P119" s="125">
        <f t="shared" si="226"/>
        <v>9.8772832352298792E-2</v>
      </c>
      <c r="Q119" s="125">
        <f t="shared" si="226"/>
        <v>8.6811878544639037E-2</v>
      </c>
      <c r="R119" s="125">
        <f t="shared" si="226"/>
        <v>0.10246507102919415</v>
      </c>
      <c r="S119" s="125">
        <f t="shared" si="226"/>
        <v>8.775451997836399E-2</v>
      </c>
      <c r="T119" s="125">
        <f t="shared" si="226"/>
        <v>0.11967487820172835</v>
      </c>
      <c r="U119" s="125">
        <f t="shared" si="226"/>
        <v>9.7390607226003234E-2</v>
      </c>
      <c r="V119" s="125">
        <f t="shared" si="226"/>
        <v>0.10851147880041559</v>
      </c>
      <c r="W119" s="125">
        <f t="shared" ref="W119" si="227">IF(W18=0,0,W18/W$15)</f>
        <v>0.10009800072950753</v>
      </c>
      <c r="DA119" s="171"/>
    </row>
    <row r="120" spans="1:105" ht="11.45" customHeight="1" x14ac:dyDescent="0.25">
      <c r="A120" s="111" t="s">
        <v>93</v>
      </c>
      <c r="B120" s="125">
        <f t="shared" si="219"/>
        <v>0.50281231797995607</v>
      </c>
      <c r="C120" s="125">
        <f t="shared" si="219"/>
        <v>0.52763252833116392</v>
      </c>
      <c r="D120" s="125">
        <f t="shared" si="219"/>
        <v>0.55242176849375657</v>
      </c>
      <c r="E120" s="125">
        <f t="shared" si="219"/>
        <v>0.55063542928451181</v>
      </c>
      <c r="F120" s="125">
        <f t="shared" si="219"/>
        <v>0.55959983277797865</v>
      </c>
      <c r="G120" s="125">
        <f t="shared" si="219"/>
        <v>0.54000824941269954</v>
      </c>
      <c r="H120" s="125">
        <f t="shared" si="219"/>
        <v>0.54684323787397138</v>
      </c>
      <c r="I120" s="125">
        <f t="shared" si="219"/>
        <v>0.53672988088683748</v>
      </c>
      <c r="J120" s="125">
        <f t="shared" si="219"/>
        <v>0.56227639504712013</v>
      </c>
      <c r="K120" s="125">
        <f t="shared" ref="K120:V120" si="228">IF(K19=0,0,K19/K$15)</f>
        <v>0.56115462487827072</v>
      </c>
      <c r="L120" s="125">
        <f t="shared" si="228"/>
        <v>0.60585452216296543</v>
      </c>
      <c r="M120" s="125">
        <f t="shared" si="228"/>
        <v>0.59531972021959445</v>
      </c>
      <c r="N120" s="125">
        <f t="shared" si="228"/>
        <v>0.59632943663569637</v>
      </c>
      <c r="O120" s="125">
        <f t="shared" si="228"/>
        <v>0.61500727595802662</v>
      </c>
      <c r="P120" s="125">
        <f t="shared" si="228"/>
        <v>0.60766009753492645</v>
      </c>
      <c r="Q120" s="125">
        <f t="shared" si="228"/>
        <v>0.62834471845690887</v>
      </c>
      <c r="R120" s="125">
        <f t="shared" si="228"/>
        <v>0.61318986593427294</v>
      </c>
      <c r="S120" s="125">
        <f t="shared" si="228"/>
        <v>0.63266792881748235</v>
      </c>
      <c r="T120" s="125">
        <f t="shared" si="228"/>
        <v>0.61318673616053443</v>
      </c>
      <c r="U120" s="125">
        <f t="shared" si="228"/>
        <v>0.6248894575919548</v>
      </c>
      <c r="V120" s="125">
        <f t="shared" si="228"/>
        <v>0.58821815423611579</v>
      </c>
      <c r="W120" s="125">
        <f t="shared" ref="W120" si="229">IF(W19=0,0,W19/W$15)</f>
        <v>0.63692275773288942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7.8696638919378732E-3</v>
      </c>
      <c r="R121" s="126">
        <f t="shared" si="230"/>
        <v>2.1381651870487985E-2</v>
      </c>
      <c r="S121" s="126">
        <f t="shared" si="230"/>
        <v>2.0368517498314434E-2</v>
      </c>
      <c r="T121" s="126">
        <f t="shared" si="230"/>
        <v>1.9906739126628339E-2</v>
      </c>
      <c r="U121" s="126">
        <f t="shared" si="230"/>
        <v>2.1924246968439851E-2</v>
      </c>
      <c r="V121" s="126">
        <f t="shared" si="230"/>
        <v>2.3081421057203538E-2</v>
      </c>
      <c r="W121" s="126">
        <f t="shared" ref="W121" si="231">IF(W20=0,0,W20/W$15)</f>
        <v>2.112127197816745E-2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0.12582167373164979</v>
      </c>
      <c r="C123" s="125">
        <f t="shared" si="232"/>
        <v>0.12952692314727099</v>
      </c>
      <c r="D123" s="125">
        <f t="shared" si="232"/>
        <v>0.13920865428658691</v>
      </c>
      <c r="E123" s="125">
        <f t="shared" si="232"/>
        <v>0.14752062547820466</v>
      </c>
      <c r="F123" s="125">
        <f t="shared" si="232"/>
        <v>0.19913445624045287</v>
      </c>
      <c r="G123" s="125">
        <f t="shared" si="232"/>
        <v>0.19699133801699878</v>
      </c>
      <c r="H123" s="125">
        <f t="shared" si="232"/>
        <v>0.25554286552950101</v>
      </c>
      <c r="I123" s="125">
        <f t="shared" si="232"/>
        <v>0.2079485454396052</v>
      </c>
      <c r="J123" s="125">
        <f t="shared" si="232"/>
        <v>0.21416730257256814</v>
      </c>
      <c r="K123" s="125">
        <f t="shared" ref="K123:V123" si="235">IF(K22=0,0,K22/K$21)</f>
        <v>0.2351058098837894</v>
      </c>
      <c r="L123" s="125">
        <f t="shared" si="235"/>
        <v>0.27040316091210026</v>
      </c>
      <c r="M123" s="125">
        <f t="shared" si="235"/>
        <v>0.26604323505048127</v>
      </c>
      <c r="N123" s="125">
        <f t="shared" si="235"/>
        <v>0.26734444899741644</v>
      </c>
      <c r="O123" s="125">
        <f t="shared" si="235"/>
        <v>0.2530864299959415</v>
      </c>
      <c r="P123" s="125">
        <f t="shared" si="235"/>
        <v>0.24054196413523907</v>
      </c>
      <c r="Q123" s="125">
        <f t="shared" si="235"/>
        <v>0.23104071796210704</v>
      </c>
      <c r="R123" s="125">
        <f t="shared" si="235"/>
        <v>0.20505764377357838</v>
      </c>
      <c r="S123" s="125">
        <f t="shared" si="235"/>
        <v>0.21481680832959207</v>
      </c>
      <c r="T123" s="125">
        <f t="shared" si="235"/>
        <v>0.21165187255619333</v>
      </c>
      <c r="U123" s="125">
        <f t="shared" si="235"/>
        <v>0.19436314140252836</v>
      </c>
      <c r="V123" s="125">
        <f t="shared" si="235"/>
        <v>0.17983695236473751</v>
      </c>
      <c r="W123" s="125">
        <f t="shared" ref="W123" si="236">IF(W22=0,0,W22/W$21)</f>
        <v>0.19293967948665078</v>
      </c>
      <c r="DA123" s="171"/>
    </row>
    <row r="124" spans="1:105" ht="11.45" customHeight="1" x14ac:dyDescent="0.25">
      <c r="A124" s="85" t="s">
        <v>93</v>
      </c>
      <c r="B124" s="127">
        <f t="shared" si="232"/>
        <v>0.87417832626835024</v>
      </c>
      <c r="C124" s="127">
        <f t="shared" si="232"/>
        <v>0.8704730768527289</v>
      </c>
      <c r="D124" s="127">
        <f t="shared" si="232"/>
        <v>0.8607913457134132</v>
      </c>
      <c r="E124" s="127">
        <f t="shared" si="232"/>
        <v>0.85247937452179523</v>
      </c>
      <c r="F124" s="127">
        <f t="shared" si="232"/>
        <v>0.80086554375954722</v>
      </c>
      <c r="G124" s="127">
        <f t="shared" si="232"/>
        <v>0.80300866198300125</v>
      </c>
      <c r="H124" s="127">
        <f t="shared" si="232"/>
        <v>0.74445713447049899</v>
      </c>
      <c r="I124" s="127">
        <f t="shared" si="232"/>
        <v>0.79205145456039483</v>
      </c>
      <c r="J124" s="127">
        <f t="shared" si="232"/>
        <v>0.78583269742743178</v>
      </c>
      <c r="K124" s="127">
        <f t="shared" ref="K124:V124" si="237">IF(K23=0,0,K23/K$21)</f>
        <v>0.76489419011621063</v>
      </c>
      <c r="L124" s="127">
        <f t="shared" si="237"/>
        <v>0.72959683908789974</v>
      </c>
      <c r="M124" s="127">
        <f t="shared" si="237"/>
        <v>0.73395676494951867</v>
      </c>
      <c r="N124" s="127">
        <f t="shared" si="237"/>
        <v>0.7326555510025835</v>
      </c>
      <c r="O124" s="127">
        <f t="shared" si="237"/>
        <v>0.74691357000405845</v>
      </c>
      <c r="P124" s="127">
        <f t="shared" si="237"/>
        <v>0.75945803586476091</v>
      </c>
      <c r="Q124" s="127">
        <f t="shared" si="237"/>
        <v>0.76895928203789299</v>
      </c>
      <c r="R124" s="127">
        <f t="shared" si="237"/>
        <v>0.79494235622642162</v>
      </c>
      <c r="S124" s="127">
        <f t="shared" si="237"/>
        <v>0.78518319167040795</v>
      </c>
      <c r="T124" s="127">
        <f t="shared" si="237"/>
        <v>0.78834812744380667</v>
      </c>
      <c r="U124" s="127">
        <f t="shared" si="237"/>
        <v>0.80563685859747169</v>
      </c>
      <c r="V124" s="127">
        <f t="shared" si="237"/>
        <v>0.82016304763526249</v>
      </c>
      <c r="W124" s="127">
        <f t="shared" ref="W124" si="238">IF(W23=0,0,W23/W$21)</f>
        <v>0.80706032051334908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539.96844368013763</v>
      </c>
      <c r="C4" s="146">
        <f t="shared" ref="C4:V4" si="0">SUM(C5,C8)</f>
        <v>532.24901117798788</v>
      </c>
      <c r="D4" s="146">
        <f t="shared" si="0"/>
        <v>526.35425623387789</v>
      </c>
      <c r="E4" s="146">
        <f t="shared" si="0"/>
        <v>540.93344797936368</v>
      </c>
      <c r="F4" s="146">
        <f t="shared" si="0"/>
        <v>498.6290627687016</v>
      </c>
      <c r="G4" s="146">
        <f t="shared" si="0"/>
        <v>467.43095442820288</v>
      </c>
      <c r="H4" s="146">
        <f t="shared" si="0"/>
        <v>415.73035253654336</v>
      </c>
      <c r="I4" s="146">
        <f t="shared" si="0"/>
        <v>426.6600171969045</v>
      </c>
      <c r="J4" s="146">
        <f t="shared" si="0"/>
        <v>400.60670679277735</v>
      </c>
      <c r="K4" s="146">
        <f t="shared" si="0"/>
        <v>369.93404987102321</v>
      </c>
      <c r="L4" s="146">
        <f t="shared" si="0"/>
        <v>369.65460017196909</v>
      </c>
      <c r="M4" s="146">
        <f t="shared" si="0"/>
        <v>373.5334479793637</v>
      </c>
      <c r="N4" s="146">
        <f t="shared" si="0"/>
        <v>357.60722269991402</v>
      </c>
      <c r="O4" s="146">
        <f t="shared" si="0"/>
        <v>347.69991401547719</v>
      </c>
      <c r="P4" s="146">
        <f t="shared" si="0"/>
        <v>324.20223559759239</v>
      </c>
      <c r="Q4" s="146">
        <f t="shared" si="0"/>
        <v>324.80171969045568</v>
      </c>
      <c r="R4" s="146">
        <f t="shared" si="0"/>
        <v>338.55924333619953</v>
      </c>
      <c r="S4" s="146">
        <f t="shared" si="0"/>
        <v>349.86130696474629</v>
      </c>
      <c r="T4" s="146">
        <f t="shared" si="0"/>
        <v>379.16199484092874</v>
      </c>
      <c r="U4" s="146">
        <f t="shared" si="0"/>
        <v>356.92175408426482</v>
      </c>
      <c r="V4" s="146">
        <f t="shared" si="0"/>
        <v>331.96835769561477</v>
      </c>
      <c r="W4" s="146">
        <f t="shared" ref="W4" si="1">SUM(W5,W8)</f>
        <v>367.12588134135854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169.4611349957008</v>
      </c>
      <c r="C5" s="101">
        <f t="shared" ref="C5:V5" si="2">SUM(C6:C7)</f>
        <v>165.35305245055889</v>
      </c>
      <c r="D5" s="101">
        <f t="shared" si="2"/>
        <v>157.13671539122959</v>
      </c>
      <c r="E5" s="101">
        <f t="shared" si="2"/>
        <v>165.35305245055889</v>
      </c>
      <c r="F5" s="101">
        <f t="shared" si="2"/>
        <v>165.35305245055889</v>
      </c>
      <c r="G5" s="101">
        <f t="shared" si="2"/>
        <v>162.27188306104901</v>
      </c>
      <c r="H5" s="101">
        <f t="shared" si="2"/>
        <v>148.92037833190031</v>
      </c>
      <c r="I5" s="101">
        <f t="shared" si="2"/>
        <v>146.86638005159071</v>
      </c>
      <c r="J5" s="101">
        <f t="shared" si="2"/>
        <v>128.3797076526225</v>
      </c>
      <c r="K5" s="101">
        <f t="shared" si="2"/>
        <v>124.1042992261393</v>
      </c>
      <c r="L5" s="101">
        <f t="shared" si="2"/>
        <v>114.7964746345658</v>
      </c>
      <c r="M5" s="101">
        <f t="shared" si="2"/>
        <v>118.9332760103181</v>
      </c>
      <c r="N5" s="101">
        <f t="shared" si="2"/>
        <v>110.6596732588134</v>
      </c>
      <c r="O5" s="101">
        <f t="shared" si="2"/>
        <v>102.3860705073087</v>
      </c>
      <c r="P5" s="101">
        <f t="shared" si="2"/>
        <v>92.044024075666371</v>
      </c>
      <c r="Q5" s="101">
        <f t="shared" si="2"/>
        <v>84.217024935511603</v>
      </c>
      <c r="R5" s="101">
        <f t="shared" si="2"/>
        <v>84.217024935511603</v>
      </c>
      <c r="S5" s="101">
        <f t="shared" si="2"/>
        <v>86.332760103181414</v>
      </c>
      <c r="T5" s="101">
        <f t="shared" si="2"/>
        <v>103.9012897678418</v>
      </c>
      <c r="U5" s="101">
        <f t="shared" si="2"/>
        <v>86.362510748065333</v>
      </c>
      <c r="V5" s="101">
        <f t="shared" si="2"/>
        <v>83.259845227858975</v>
      </c>
      <c r="W5" s="101">
        <f t="shared" ref="W5" si="3">SUM(W6:W7)</f>
        <v>90.229320722269989</v>
      </c>
      <c r="DA5" s="175"/>
    </row>
    <row r="6" spans="1:105" ht="11.45" customHeight="1" x14ac:dyDescent="0.25">
      <c r="A6" s="164" t="s">
        <v>182</v>
      </c>
      <c r="B6" s="165">
        <v>169.4611349957008</v>
      </c>
      <c r="C6" s="165">
        <v>165.35305245055889</v>
      </c>
      <c r="D6" s="165">
        <v>157.13671539122959</v>
      </c>
      <c r="E6" s="165">
        <v>165.35305245055889</v>
      </c>
      <c r="F6" s="165">
        <v>165.35305245055889</v>
      </c>
      <c r="G6" s="165">
        <v>162.27188306104901</v>
      </c>
      <c r="H6" s="165">
        <v>148.92037833190031</v>
      </c>
      <c r="I6" s="165">
        <v>146.86638005159071</v>
      </c>
      <c r="J6" s="165">
        <v>128.3797076526225</v>
      </c>
      <c r="K6" s="165">
        <v>124.1042992261393</v>
      </c>
      <c r="L6" s="165">
        <v>114.7964746345658</v>
      </c>
      <c r="M6" s="165">
        <v>118.9332760103181</v>
      </c>
      <c r="N6" s="165">
        <v>110.6596732588134</v>
      </c>
      <c r="O6" s="165">
        <v>102.3860705073087</v>
      </c>
      <c r="P6" s="165">
        <v>92.044024075666371</v>
      </c>
      <c r="Q6" s="165">
        <v>84.217024935511603</v>
      </c>
      <c r="R6" s="165">
        <v>84.217024935511603</v>
      </c>
      <c r="S6" s="165">
        <v>86.332760103181414</v>
      </c>
      <c r="T6" s="165">
        <v>103.9012897678418</v>
      </c>
      <c r="U6" s="165">
        <v>86.362510748065333</v>
      </c>
      <c r="V6" s="165">
        <v>83.259845227858975</v>
      </c>
      <c r="W6" s="165">
        <v>90.229320722269989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370.50730868443679</v>
      </c>
      <c r="C8" s="88">
        <v>366.89595872742899</v>
      </c>
      <c r="D8" s="88">
        <v>369.2175408426483</v>
      </c>
      <c r="E8" s="88">
        <v>375.58039552880479</v>
      </c>
      <c r="F8" s="88">
        <v>333.27601031814271</v>
      </c>
      <c r="G8" s="88">
        <v>305.1590713671539</v>
      </c>
      <c r="H8" s="88">
        <v>266.80997420464308</v>
      </c>
      <c r="I8" s="88">
        <v>279.79363714531382</v>
      </c>
      <c r="J8" s="88">
        <v>272.22699914015482</v>
      </c>
      <c r="K8" s="88">
        <v>245.82975064488389</v>
      </c>
      <c r="L8" s="88">
        <v>254.85812553740331</v>
      </c>
      <c r="M8" s="88">
        <v>254.60017196904559</v>
      </c>
      <c r="N8" s="88">
        <v>246.94754944110059</v>
      </c>
      <c r="O8" s="88">
        <v>245.3138435081685</v>
      </c>
      <c r="P8" s="88">
        <v>232.15821152192601</v>
      </c>
      <c r="Q8" s="88">
        <v>240.58469475494411</v>
      </c>
      <c r="R8" s="88">
        <v>254.3422184006879</v>
      </c>
      <c r="S8" s="88">
        <v>263.52854686156491</v>
      </c>
      <c r="T8" s="88">
        <v>275.26070507308691</v>
      </c>
      <c r="U8" s="88">
        <v>270.55924333619947</v>
      </c>
      <c r="V8" s="88">
        <v>248.70851246775581</v>
      </c>
      <c r="W8" s="88">
        <v>276.89656061908852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539.96844368013751</v>
      </c>
      <c r="C10" s="62">
        <f t="shared" ref="C10:V10" si="5">SUM(C11,C17)</f>
        <v>532.24901117798788</v>
      </c>
      <c r="D10" s="62">
        <f t="shared" si="5"/>
        <v>526.35425623387778</v>
      </c>
      <c r="E10" s="62">
        <f t="shared" si="5"/>
        <v>540.93344797936368</v>
      </c>
      <c r="F10" s="62">
        <f t="shared" si="5"/>
        <v>498.62906276870166</v>
      </c>
      <c r="G10" s="62">
        <f t="shared" si="5"/>
        <v>467.43095442820294</v>
      </c>
      <c r="H10" s="62">
        <f t="shared" si="5"/>
        <v>415.73035253654342</v>
      </c>
      <c r="I10" s="62">
        <f t="shared" si="5"/>
        <v>426.6600171969045</v>
      </c>
      <c r="J10" s="62">
        <f t="shared" si="5"/>
        <v>400.60670679277735</v>
      </c>
      <c r="K10" s="62">
        <f t="shared" si="5"/>
        <v>369.93404987102315</v>
      </c>
      <c r="L10" s="62">
        <f t="shared" si="5"/>
        <v>369.65460017196909</v>
      </c>
      <c r="M10" s="62">
        <f t="shared" si="5"/>
        <v>373.5334479793637</v>
      </c>
      <c r="N10" s="62">
        <f t="shared" si="5"/>
        <v>357.60722269991402</v>
      </c>
      <c r="O10" s="62">
        <f t="shared" si="5"/>
        <v>347.69991401547719</v>
      </c>
      <c r="P10" s="62">
        <f t="shared" si="5"/>
        <v>324.20223559759233</v>
      </c>
      <c r="Q10" s="62">
        <f t="shared" si="5"/>
        <v>324.80171969045568</v>
      </c>
      <c r="R10" s="62">
        <f t="shared" si="5"/>
        <v>338.55924333619953</v>
      </c>
      <c r="S10" s="62">
        <f t="shared" si="5"/>
        <v>349.86130696474623</v>
      </c>
      <c r="T10" s="62">
        <f t="shared" si="5"/>
        <v>379.16199484092874</v>
      </c>
      <c r="U10" s="62">
        <f t="shared" si="5"/>
        <v>356.92175408426482</v>
      </c>
      <c r="V10" s="62">
        <f t="shared" si="5"/>
        <v>331.96835769561483</v>
      </c>
      <c r="W10" s="62">
        <f t="shared" ref="W10" si="6">SUM(W11,W17)</f>
        <v>367.12588134135848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295.70111819442013</v>
      </c>
      <c r="C11" s="29">
        <f t="shared" ref="C11:V11" si="8">SUM(C12,C13,C16)</f>
        <v>313.22694803404238</v>
      </c>
      <c r="D11" s="29">
        <f t="shared" si="8"/>
        <v>320.06899072503683</v>
      </c>
      <c r="E11" s="29">
        <f t="shared" si="8"/>
        <v>325.75222366815814</v>
      </c>
      <c r="F11" s="29">
        <f t="shared" si="8"/>
        <v>280.77794460486041</v>
      </c>
      <c r="G11" s="29">
        <f t="shared" si="8"/>
        <v>271.39382675873213</v>
      </c>
      <c r="H11" s="29">
        <f t="shared" si="8"/>
        <v>210.14737326420567</v>
      </c>
      <c r="I11" s="29">
        <f t="shared" si="8"/>
        <v>233.4721652318637</v>
      </c>
      <c r="J11" s="29">
        <f t="shared" si="8"/>
        <v>217.66134110594967</v>
      </c>
      <c r="K11" s="29">
        <f t="shared" si="8"/>
        <v>219.25724320888219</v>
      </c>
      <c r="L11" s="29">
        <f t="shared" si="8"/>
        <v>199.92714913175965</v>
      </c>
      <c r="M11" s="29">
        <f t="shared" si="8"/>
        <v>192.89795835352919</v>
      </c>
      <c r="N11" s="29">
        <f t="shared" si="8"/>
        <v>199.06980930052987</v>
      </c>
      <c r="O11" s="29">
        <f t="shared" si="8"/>
        <v>194.21975279990357</v>
      </c>
      <c r="P11" s="29">
        <f t="shared" si="8"/>
        <v>182.91591010614755</v>
      </c>
      <c r="Q11" s="29">
        <f t="shared" si="8"/>
        <v>189.27281980815255</v>
      </c>
      <c r="R11" s="29">
        <f t="shared" si="8"/>
        <v>209.54737998893702</v>
      </c>
      <c r="S11" s="29">
        <f t="shared" si="8"/>
        <v>206.51140761573808</v>
      </c>
      <c r="T11" s="29">
        <f t="shared" si="8"/>
        <v>221.55578292965376</v>
      </c>
      <c r="U11" s="29">
        <f t="shared" si="8"/>
        <v>212.46526818811449</v>
      </c>
      <c r="V11" s="29">
        <f t="shared" si="8"/>
        <v>186.35610601496268</v>
      </c>
      <c r="W11" s="29">
        <f t="shared" ref="W11" si="9">SUM(W12,W13,W16)</f>
        <v>212.85568042635811</v>
      </c>
      <c r="DA11" s="173" t="s">
        <v>394</v>
      </c>
    </row>
    <row r="12" spans="1:105" ht="11.45" customHeight="1" x14ac:dyDescent="0.25">
      <c r="A12" s="107" t="s">
        <v>23</v>
      </c>
      <c r="B12" s="115">
        <v>26.138689780706617</v>
      </c>
      <c r="C12" s="115">
        <v>25.717648389043536</v>
      </c>
      <c r="D12" s="115">
        <v>25.690758301809783</v>
      </c>
      <c r="E12" s="115">
        <v>24.760796985483115</v>
      </c>
      <c r="F12" s="115">
        <v>23.665752229499226</v>
      </c>
      <c r="G12" s="115">
        <v>22.249511814670125</v>
      </c>
      <c r="H12" s="115">
        <v>22.083772875898521</v>
      </c>
      <c r="I12" s="115">
        <v>21.937915558700229</v>
      </c>
      <c r="J12" s="115">
        <v>21.750667161924348</v>
      </c>
      <c r="K12" s="115">
        <v>20.578361621189352</v>
      </c>
      <c r="L12" s="115">
        <v>20.744407463083938</v>
      </c>
      <c r="M12" s="115">
        <v>20.559435944536986</v>
      </c>
      <c r="N12" s="115">
        <v>20.740339315476117</v>
      </c>
      <c r="O12" s="115">
        <v>19.259071367095146</v>
      </c>
      <c r="P12" s="115">
        <v>19.473278847894285</v>
      </c>
      <c r="Q12" s="115">
        <v>18.992302521675427</v>
      </c>
      <c r="R12" s="115">
        <v>19.332949386739294</v>
      </c>
      <c r="S12" s="115">
        <v>18.864566832564641</v>
      </c>
      <c r="T12" s="115">
        <v>18.830269969845901</v>
      </c>
      <c r="U12" s="115">
        <v>18.967135026129736</v>
      </c>
      <c r="V12" s="115">
        <v>18.458951924530748</v>
      </c>
      <c r="W12" s="115">
        <v>17.751032936859403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269.56242841371352</v>
      </c>
      <c r="C13" s="116">
        <f t="shared" ref="C13:V13" si="11">SUM(C14:C15)</f>
        <v>287.50929964499886</v>
      </c>
      <c r="D13" s="116">
        <f t="shared" si="11"/>
        <v>294.37823242322702</v>
      </c>
      <c r="E13" s="116">
        <f t="shared" si="11"/>
        <v>300.99142668267501</v>
      </c>
      <c r="F13" s="116">
        <f t="shared" si="11"/>
        <v>257.11219237536119</v>
      </c>
      <c r="G13" s="116">
        <f t="shared" si="11"/>
        <v>249.14431494406199</v>
      </c>
      <c r="H13" s="116">
        <f t="shared" si="11"/>
        <v>188.06360038830715</v>
      </c>
      <c r="I13" s="116">
        <f t="shared" si="11"/>
        <v>211.53424967316346</v>
      </c>
      <c r="J13" s="116">
        <f t="shared" si="11"/>
        <v>195.91067394402532</v>
      </c>
      <c r="K13" s="116">
        <f t="shared" si="11"/>
        <v>198.67888158769284</v>
      </c>
      <c r="L13" s="116">
        <f t="shared" si="11"/>
        <v>179.1827416686757</v>
      </c>
      <c r="M13" s="116">
        <f t="shared" si="11"/>
        <v>172.33852240899222</v>
      </c>
      <c r="N13" s="116">
        <f t="shared" si="11"/>
        <v>178.32946998505375</v>
      </c>
      <c r="O13" s="116">
        <f t="shared" si="11"/>
        <v>174.96068143280843</v>
      </c>
      <c r="P13" s="116">
        <f t="shared" si="11"/>
        <v>163.44263125825327</v>
      </c>
      <c r="Q13" s="116">
        <f t="shared" si="11"/>
        <v>167.21980197986463</v>
      </c>
      <c r="R13" s="116">
        <f t="shared" si="11"/>
        <v>181.2794194098957</v>
      </c>
      <c r="S13" s="116">
        <f t="shared" si="11"/>
        <v>179.20767184039386</v>
      </c>
      <c r="T13" s="116">
        <f t="shared" si="11"/>
        <v>194.08348751026369</v>
      </c>
      <c r="U13" s="116">
        <f t="shared" si="11"/>
        <v>184.22373657730961</v>
      </c>
      <c r="V13" s="116">
        <f t="shared" si="11"/>
        <v>159.21628526343676</v>
      </c>
      <c r="W13" s="116">
        <f t="shared" ref="W13" si="12">SUM(W14:W15)</f>
        <v>186.25049461597681</v>
      </c>
      <c r="DA13" s="176" t="s">
        <v>396</v>
      </c>
    </row>
    <row r="14" spans="1:105" ht="11.45" customHeight="1" x14ac:dyDescent="0.25">
      <c r="A14" s="111" t="s">
        <v>95</v>
      </c>
      <c r="B14" s="87">
        <v>105.32486147538674</v>
      </c>
      <c r="C14" s="87">
        <v>106.14457273260236</v>
      </c>
      <c r="D14" s="87">
        <v>99.187159635627282</v>
      </c>
      <c r="E14" s="87">
        <v>104.66934494820056</v>
      </c>
      <c r="F14" s="87">
        <v>85.055242828695484</v>
      </c>
      <c r="G14" s="87">
        <v>91.294060972807301</v>
      </c>
      <c r="H14" s="87">
        <v>56.488695475628361</v>
      </c>
      <c r="I14" s="87">
        <v>73.408898396568446</v>
      </c>
      <c r="J14" s="87">
        <v>57.257301172409996</v>
      </c>
      <c r="K14" s="87">
        <v>61.514196037555109</v>
      </c>
      <c r="L14" s="87">
        <v>36.667016444064203</v>
      </c>
      <c r="M14" s="87">
        <v>36.578342711307997</v>
      </c>
      <c r="N14" s="87">
        <v>38.772036451924173</v>
      </c>
      <c r="O14" s="87">
        <v>35.595210158418809</v>
      </c>
      <c r="P14" s="87">
        <v>32.102271199374464</v>
      </c>
      <c r="Q14" s="87">
        <v>28.070423891993556</v>
      </c>
      <c r="R14" s="87">
        <v>35.207307284247896</v>
      </c>
      <c r="S14" s="87">
        <v>29.649195512475277</v>
      </c>
      <c r="T14" s="87">
        <v>42.103829478531274</v>
      </c>
      <c r="U14" s="87">
        <v>33.231983339812281</v>
      </c>
      <c r="V14" s="87">
        <v>32.804680294454911</v>
      </c>
      <c r="W14" s="87">
        <v>33.641300610657993</v>
      </c>
      <c r="DA14" s="171" t="s">
        <v>1106</v>
      </c>
    </row>
    <row r="15" spans="1:105" ht="11.45" customHeight="1" x14ac:dyDescent="0.25">
      <c r="A15" s="111" t="s">
        <v>93</v>
      </c>
      <c r="B15" s="87">
        <v>164.23756693832681</v>
      </c>
      <c r="C15" s="87">
        <v>181.36472691239652</v>
      </c>
      <c r="D15" s="87">
        <v>195.19107278759975</v>
      </c>
      <c r="E15" s="87">
        <v>196.32208173447444</v>
      </c>
      <c r="F15" s="87">
        <v>172.05694954666569</v>
      </c>
      <c r="G15" s="87">
        <v>157.85025397125469</v>
      </c>
      <c r="H15" s="87">
        <v>131.57490491267879</v>
      </c>
      <c r="I15" s="87">
        <v>138.12535127659501</v>
      </c>
      <c r="J15" s="87">
        <v>138.65337277161532</v>
      </c>
      <c r="K15" s="87">
        <v>137.16468555013773</v>
      </c>
      <c r="L15" s="87">
        <v>142.51572522461151</v>
      </c>
      <c r="M15" s="87">
        <v>135.76017969768421</v>
      </c>
      <c r="N15" s="87">
        <v>139.55743353312957</v>
      </c>
      <c r="O15" s="87">
        <v>139.36547127438962</v>
      </c>
      <c r="P15" s="87">
        <v>131.34036005887882</v>
      </c>
      <c r="Q15" s="87">
        <v>139.14937808787107</v>
      </c>
      <c r="R15" s="87">
        <v>146.07211212564781</v>
      </c>
      <c r="S15" s="87">
        <v>149.55847632791858</v>
      </c>
      <c r="T15" s="87">
        <v>151.97965803173241</v>
      </c>
      <c r="U15" s="87">
        <v>150.99175323749733</v>
      </c>
      <c r="V15" s="87">
        <v>126.41160496898183</v>
      </c>
      <c r="W15" s="87">
        <v>152.60919400531881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3.060715306612475</v>
      </c>
      <c r="R16" s="117">
        <v>8.935011192302019</v>
      </c>
      <c r="S16" s="117">
        <v>8.4391689427795917</v>
      </c>
      <c r="T16" s="117">
        <v>8.6420254495441391</v>
      </c>
      <c r="U16" s="117">
        <v>9.2743965846751433</v>
      </c>
      <c r="V16" s="117">
        <v>8.6808688269951748</v>
      </c>
      <c r="W16" s="117">
        <v>8.854152873521917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244.26732548571738</v>
      </c>
      <c r="C17" s="29">
        <f t="shared" si="13"/>
        <v>219.0220631439455</v>
      </c>
      <c r="D17" s="29">
        <f t="shared" si="13"/>
        <v>206.28526550884101</v>
      </c>
      <c r="E17" s="29">
        <f t="shared" si="13"/>
        <v>215.18122431120554</v>
      </c>
      <c r="F17" s="29">
        <f t="shared" si="13"/>
        <v>217.85111816384125</v>
      </c>
      <c r="G17" s="29">
        <f t="shared" si="13"/>
        <v>196.03712766947081</v>
      </c>
      <c r="H17" s="29">
        <f t="shared" si="13"/>
        <v>205.58297927233775</v>
      </c>
      <c r="I17" s="29">
        <f t="shared" si="13"/>
        <v>193.18785196504081</v>
      </c>
      <c r="J17" s="29">
        <f t="shared" si="13"/>
        <v>182.94536568682767</v>
      </c>
      <c r="K17" s="29">
        <f t="shared" si="13"/>
        <v>150.67680666214099</v>
      </c>
      <c r="L17" s="29">
        <f t="shared" si="13"/>
        <v>169.72745104020944</v>
      </c>
      <c r="M17" s="29">
        <f t="shared" si="13"/>
        <v>180.63548962583451</v>
      </c>
      <c r="N17" s="29">
        <f t="shared" si="13"/>
        <v>158.53741339938412</v>
      </c>
      <c r="O17" s="29">
        <f t="shared" si="13"/>
        <v>153.48016121557362</v>
      </c>
      <c r="P17" s="29">
        <f t="shared" si="13"/>
        <v>141.28632549144481</v>
      </c>
      <c r="Q17" s="29">
        <f t="shared" si="13"/>
        <v>135.52889988230316</v>
      </c>
      <c r="R17" s="29">
        <f t="shared" si="13"/>
        <v>129.01186334726248</v>
      </c>
      <c r="S17" s="29">
        <f t="shared" si="13"/>
        <v>143.34989934900815</v>
      </c>
      <c r="T17" s="29">
        <f t="shared" si="13"/>
        <v>157.60621191127498</v>
      </c>
      <c r="U17" s="29">
        <f t="shared" si="13"/>
        <v>144.45648589615033</v>
      </c>
      <c r="V17" s="29">
        <f t="shared" si="13"/>
        <v>145.61225168065212</v>
      </c>
      <c r="W17" s="29">
        <f t="shared" si="13"/>
        <v>154.27020091500037</v>
      </c>
      <c r="DA17" s="173" t="s">
        <v>401</v>
      </c>
    </row>
    <row r="18" spans="1:105" ht="11.45" customHeight="1" x14ac:dyDescent="0.25">
      <c r="A18" s="83" t="s">
        <v>95</v>
      </c>
      <c r="B18" s="87">
        <v>64.136273520314049</v>
      </c>
      <c r="C18" s="87">
        <v>59.208479717956536</v>
      </c>
      <c r="D18" s="87">
        <v>57.949555755602304</v>
      </c>
      <c r="E18" s="87">
        <v>60.68370750235831</v>
      </c>
      <c r="F18" s="87">
        <v>80.297809621863408</v>
      </c>
      <c r="G18" s="87">
        <v>70.977822088241709</v>
      </c>
      <c r="H18" s="87">
        <v>92.431682856271934</v>
      </c>
      <c r="I18" s="87">
        <v>73.457481655022264</v>
      </c>
      <c r="J18" s="87">
        <v>71.122406480212504</v>
      </c>
      <c r="K18" s="87">
        <v>62.590103188584195</v>
      </c>
      <c r="L18" s="87">
        <v>78.12945819050158</v>
      </c>
      <c r="M18" s="87">
        <v>82.354933299010099</v>
      </c>
      <c r="N18" s="87">
        <v>71.887636806889219</v>
      </c>
      <c r="O18" s="87">
        <v>66.790860348889893</v>
      </c>
      <c r="P18" s="87">
        <v>59.941752876291908</v>
      </c>
      <c r="Q18" s="87">
        <v>56.146601043518039</v>
      </c>
      <c r="R18" s="87">
        <v>49.009717651263699</v>
      </c>
      <c r="S18" s="87">
        <v>56.683564590706133</v>
      </c>
      <c r="T18" s="87">
        <v>61.797460289310528</v>
      </c>
      <c r="U18" s="87">
        <v>53.130527408253052</v>
      </c>
      <c r="V18" s="87">
        <v>50.45516493340407</v>
      </c>
      <c r="W18" s="87">
        <v>56.588020111611996</v>
      </c>
      <c r="DA18" s="171" t="s">
        <v>1108</v>
      </c>
    </row>
    <row r="19" spans="1:105" ht="11.45" customHeight="1" x14ac:dyDescent="0.25">
      <c r="A19" s="85" t="s">
        <v>93</v>
      </c>
      <c r="B19" s="88">
        <v>180.13105196540332</v>
      </c>
      <c r="C19" s="88">
        <v>159.81358342598895</v>
      </c>
      <c r="D19" s="88">
        <v>148.33570975323872</v>
      </c>
      <c r="E19" s="88">
        <v>154.49751680884722</v>
      </c>
      <c r="F19" s="88">
        <v>137.55330854197783</v>
      </c>
      <c r="G19" s="88">
        <v>125.0593055812291</v>
      </c>
      <c r="H19" s="88">
        <v>113.1512964160658</v>
      </c>
      <c r="I19" s="88">
        <v>119.73037031001856</v>
      </c>
      <c r="J19" s="88">
        <v>111.82295920661517</v>
      </c>
      <c r="K19" s="88">
        <v>88.086703473556796</v>
      </c>
      <c r="L19" s="88">
        <v>91.597992849707865</v>
      </c>
      <c r="M19" s="88">
        <v>98.28055632682441</v>
      </c>
      <c r="N19" s="88">
        <v>86.649776592494902</v>
      </c>
      <c r="O19" s="88">
        <v>86.689300866683723</v>
      </c>
      <c r="P19" s="88">
        <v>81.344572615152899</v>
      </c>
      <c r="Q19" s="88">
        <v>79.382298838785118</v>
      </c>
      <c r="R19" s="88">
        <v>80.002145695998792</v>
      </c>
      <c r="S19" s="88">
        <v>86.666334758302028</v>
      </c>
      <c r="T19" s="88">
        <v>95.808751621964447</v>
      </c>
      <c r="U19" s="88">
        <v>91.325958487897267</v>
      </c>
      <c r="V19" s="88">
        <v>95.157086747248044</v>
      </c>
      <c r="W19" s="88">
        <v>97.682180803388377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192.91831695205289</v>
      </c>
      <c r="C23" s="62">
        <f>IF(C10=0,0,C10/TrRail_act!C14*100)</f>
        <v>187.49555232922873</v>
      </c>
      <c r="D23" s="62">
        <f>IF(D10=0,0,D10/TrRail_act!D14*100)</f>
        <v>181.7937565670143</v>
      </c>
      <c r="E23" s="62">
        <f>IF(E10=0,0,E10/TrRail_act!E14*100)</f>
        <v>180.82855066503271</v>
      </c>
      <c r="F23" s="62">
        <f>IF(F10=0,0,F10/TrRail_act!F14*100)</f>
        <v>172.28593012355537</v>
      </c>
      <c r="G23" s="62">
        <f>IF(G10=0,0,G10/TrRail_act!G14*100)</f>
        <v>168.29778384517275</v>
      </c>
      <c r="H23" s="62">
        <f>IF(H10=0,0,H10/TrRail_act!H14*100)</f>
        <v>158.78592114257015</v>
      </c>
      <c r="I23" s="62">
        <f>IF(I10=0,0,I10/TrRail_act!I14*100)</f>
        <v>153.82538119374996</v>
      </c>
      <c r="J23" s="62">
        <f>IF(J10=0,0,J10/TrRail_act!J14*100)</f>
        <v>147.9761912869603</v>
      </c>
      <c r="K23" s="62">
        <f>IF(K10=0,0,K10/TrRail_act!K14*100)</f>
        <v>144.51249798366186</v>
      </c>
      <c r="L23" s="62">
        <f>IF(L10=0,0,L10/TrRail_act!L14*100)</f>
        <v>143.03048248782321</v>
      </c>
      <c r="M23" s="62">
        <f>IF(M10=0,0,M10/TrRail_act!M14*100)</f>
        <v>143.20668579548925</v>
      </c>
      <c r="N23" s="62">
        <f>IF(N10=0,0,N10/TrRail_act!N14*100)</f>
        <v>138.49989103306186</v>
      </c>
      <c r="O23" s="62">
        <f>IF(O10=0,0,O10/TrRail_act!O14*100)</f>
        <v>136.87280685896644</v>
      </c>
      <c r="P23" s="62">
        <f>IF(P10=0,0,P10/TrRail_act!P14*100)</f>
        <v>129.91835315776535</v>
      </c>
      <c r="Q23" s="62">
        <f>IF(Q10=0,0,Q10/TrRail_act!Q14*100)</f>
        <v>125.88676619151813</v>
      </c>
      <c r="R23" s="62">
        <f>IF(R10=0,0,R10/TrRail_act!R14*100)</f>
        <v>123.73390634804142</v>
      </c>
      <c r="S23" s="62">
        <f>IF(S10=0,0,S10/TrRail_act!S14*100)</f>
        <v>124.74148071743996</v>
      </c>
      <c r="T23" s="62">
        <f>IF(T10=0,0,T10/TrRail_act!T14*100)</f>
        <v>126.56329832401877</v>
      </c>
      <c r="U23" s="62">
        <f>IF(U10=0,0,U10/TrRail_act!U14*100)</f>
        <v>123.11104131585708</v>
      </c>
      <c r="V23" s="62">
        <f>IF(V10=0,0,V10/TrRail_act!V14*100)</f>
        <v>123.48635461737267</v>
      </c>
      <c r="W23" s="62">
        <f>IF(W10=0,0,W10/TrRail_act!W14*100)</f>
        <v>124.49723225877642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154.84172055613257</v>
      </c>
      <c r="C24" s="29">
        <f>IF(C11=0,0,C11/TrRail_act!C15*100)</f>
        <v>153.84253852834036</v>
      </c>
      <c r="D24" s="29">
        <f>IF(D11=0,0,D11/TrRail_act!D15*100)</f>
        <v>150.34237770316165</v>
      </c>
      <c r="E24" s="29">
        <f>IF(E11=0,0,E11/TrRail_act!E15*100)</f>
        <v>149.34532434457353</v>
      </c>
      <c r="F24" s="29">
        <f>IF(F11=0,0,F11/TrRail_act!F15*100)</f>
        <v>137.01681435127136</v>
      </c>
      <c r="G24" s="29">
        <f>IF(G11=0,0,G11/TrRail_act!G15*100)</f>
        <v>136.14297571465025</v>
      </c>
      <c r="H24" s="29">
        <f>IF(H11=0,0,H11/TrRail_act!H15*100)</f>
        <v>118.06463437368014</v>
      </c>
      <c r="I24" s="29">
        <f>IF(I11=0,0,I11/TrRail_act!I15*100)</f>
        <v>120.67110745571186</v>
      </c>
      <c r="J24" s="29">
        <f>IF(J11=0,0,J11/TrRail_act!J15*100)</f>
        <v>114.64594839661584</v>
      </c>
      <c r="K24" s="29">
        <f>IF(K11=0,0,K11/TrRail_act!K15*100)</f>
        <v>115.43811130915628</v>
      </c>
      <c r="L24" s="29">
        <f>IF(L11=0,0,L11/TrRail_act!L15*100)</f>
        <v>107.83322859411682</v>
      </c>
      <c r="M24" s="29">
        <f>IF(M11=0,0,M11/TrRail_act!M15*100)</f>
        <v>106.00727890041148</v>
      </c>
      <c r="N24" s="29">
        <f>IF(N11=0,0,N11/TrRail_act!N15*100)</f>
        <v>105.8587760934054</v>
      </c>
      <c r="O24" s="29">
        <f>IF(O11=0,0,O11/TrRail_act!O15*100)</f>
        <v>105.3593395031198</v>
      </c>
      <c r="P24" s="29">
        <f>IF(P11=0,0,P11/TrRail_act!P15*100)</f>
        <v>100.11238140561565</v>
      </c>
      <c r="Q24" s="29">
        <f>IF(Q11=0,0,Q11/TrRail_act!Q15*100)</f>
        <v>98.600419371569188</v>
      </c>
      <c r="R24" s="29">
        <f>IF(R11=0,0,R11/TrRail_act!R15*100)</f>
        <v>100.58427544115641</v>
      </c>
      <c r="S24" s="29">
        <f>IF(S11=0,0,S11/TrRail_act!S15*100)</f>
        <v>99.22904725106369</v>
      </c>
      <c r="T24" s="29">
        <f>IF(T11=0,0,T11/TrRail_act!T15*100)</f>
        <v>101.03054795622826</v>
      </c>
      <c r="U24" s="29">
        <f>IF(U11=0,0,U11/TrRail_act!U15*100)</f>
        <v>99.00896069104671</v>
      </c>
      <c r="V24" s="29">
        <f>IF(V11=0,0,V11/TrRail_act!V15*100)</f>
        <v>97.367133479865828</v>
      </c>
      <c r="W24" s="29">
        <f>IF(W11=0,0,W11/TrRail_act!W15*100)</f>
        <v>99.539191934072036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45.619257955352161</v>
      </c>
      <c r="C25" s="115">
        <f>IF(C12=0,0,C12/TrRail_act!C16*100)</f>
        <v>44.994681322329981</v>
      </c>
      <c r="D25" s="115">
        <f>IF(D12=0,0,D12/TrRail_act!D16*100)</f>
        <v>44.346129880420435</v>
      </c>
      <c r="E25" s="115">
        <f>IF(E12=0,0,E12/TrRail_act!E16*100)</f>
        <v>43.709456610350969</v>
      </c>
      <c r="F25" s="115">
        <f>IF(F12=0,0,F12/TrRail_act!F16*100)</f>
        <v>42.397613777812317</v>
      </c>
      <c r="G25" s="115">
        <f>IF(G12=0,0,G12/TrRail_act!G16*100)</f>
        <v>41.180891274229118</v>
      </c>
      <c r="H25" s="115">
        <f>IF(H12=0,0,H12/TrRail_act!H16*100)</f>
        <v>40.038880868721769</v>
      </c>
      <c r="I25" s="115">
        <f>IF(I12=0,0,I12/TrRail_act!I16*100)</f>
        <v>39.260511826343816</v>
      </c>
      <c r="J25" s="115">
        <f>IF(J12=0,0,J12/TrRail_act!J16*100)</f>
        <v>39.022563925327205</v>
      </c>
      <c r="K25" s="115">
        <f>IF(K12=0,0,K12/TrRail_act!K16*100)</f>
        <v>38.657735435015098</v>
      </c>
      <c r="L25" s="115">
        <f>IF(L12=0,0,L12/TrRail_act!L16*100)</f>
        <v>38.176654233604488</v>
      </c>
      <c r="M25" s="115">
        <f>IF(M12=0,0,M12/TrRail_act!M16*100)</f>
        <v>37.765693103376591</v>
      </c>
      <c r="N25" s="115">
        <f>IF(N12=0,0,N12/TrRail_act!N16*100)</f>
        <v>37.577917115401846</v>
      </c>
      <c r="O25" s="115">
        <f>IF(O12=0,0,O12/TrRail_act!O16*100)</f>
        <v>37.289812439287651</v>
      </c>
      <c r="P25" s="115">
        <f>IF(P12=0,0,P12/TrRail_act!P16*100)</f>
        <v>36.30513485414577</v>
      </c>
      <c r="Q25" s="115">
        <f>IF(Q12=0,0,Q12/TrRail_act!Q16*100)</f>
        <v>35.721487489486861</v>
      </c>
      <c r="R25" s="115">
        <f>IF(R12=0,0,R12/TrRail_act!R16*100)</f>
        <v>35.28991772712093</v>
      </c>
      <c r="S25" s="115">
        <f>IF(S12=0,0,S12/TrRail_act!S16*100)</f>
        <v>34.969665562112112</v>
      </c>
      <c r="T25" s="115">
        <f>IF(T12=0,0,T12/TrRail_act!T16*100)</f>
        <v>34.731385109729068</v>
      </c>
      <c r="U25" s="115">
        <f>IF(U12=0,0,U12/TrRail_act!U16*100)</f>
        <v>34.553740886575937</v>
      </c>
      <c r="V25" s="115">
        <f>IF(V12=0,0,V12/TrRail_act!V16*100)</f>
        <v>34.421104249438194</v>
      </c>
      <c r="W25" s="115">
        <f>IF(W12=0,0,W12/TrRail_act!W16*100)</f>
        <v>34.321960998429311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201.65894915285216</v>
      </c>
      <c r="C26" s="116">
        <f>IF(C13=0,0,C13/TrRail_act!C17*100)</f>
        <v>196.32549872655741</v>
      </c>
      <c r="D26" s="116">
        <f>IF(D13=0,0,D13/TrRail_act!D17*100)</f>
        <v>189.96919351843545</v>
      </c>
      <c r="E26" s="116">
        <f>IF(E13=0,0,E13/TrRail_act!E17*100)</f>
        <v>186.40525922996952</v>
      </c>
      <c r="F26" s="116">
        <f>IF(F13=0,0,F13/TrRail_act!F17*100)</f>
        <v>172.43855272584068</v>
      </c>
      <c r="G26" s="116">
        <f>IF(G13=0,0,G13/TrRail_act!G17*100)</f>
        <v>171.45003838739385</v>
      </c>
      <c r="H26" s="116">
        <f>IF(H13=0,0,H13/TrRail_act!H17*100)</f>
        <v>153.09927858198412</v>
      </c>
      <c r="I26" s="116">
        <f>IF(I13=0,0,I13/TrRail_act!I17*100)</f>
        <v>153.73096662846629</v>
      </c>
      <c r="J26" s="116">
        <f>IF(J13=0,0,J13/TrRail_act!J17*100)</f>
        <v>146.07494580824195</v>
      </c>
      <c r="K26" s="116">
        <f>IF(K13=0,0,K13/TrRail_act!K17*100)</f>
        <v>145.336484936159</v>
      </c>
      <c r="L26" s="116">
        <f>IF(L13=0,0,L13/TrRail_act!L17*100)</f>
        <v>136.71174949353039</v>
      </c>
      <c r="M26" s="116">
        <f>IF(M13=0,0,M13/TrRail_act!M17*100)</f>
        <v>135.13857574798448</v>
      </c>
      <c r="N26" s="116">
        <f>IF(N13=0,0,N13/TrRail_act!N17*100)</f>
        <v>134.22424605455885</v>
      </c>
      <c r="O26" s="116">
        <f>IF(O13=0,0,O13/TrRail_act!O17*100)</f>
        <v>131.85341715349864</v>
      </c>
      <c r="P26" s="116">
        <f>IF(P13=0,0,P13/TrRail_act!P17*100)</f>
        <v>126.62828352397923</v>
      </c>
      <c r="Q26" s="116">
        <f>IF(Q13=0,0,Q13/TrRail_act!Q17*100)</f>
        <v>121.80835142097233</v>
      </c>
      <c r="R26" s="116">
        <f>IF(R13=0,0,R13/TrRail_act!R17*100)</f>
        <v>121.58855205319578</v>
      </c>
      <c r="S26" s="116">
        <f>IF(S13=0,0,S13/TrRail_act!S17*100)</f>
        <v>119.52648142708175</v>
      </c>
      <c r="T26" s="116">
        <f>IF(T13=0,0,T13/TrRail_act!T17*100)</f>
        <v>120.76364999485081</v>
      </c>
      <c r="U26" s="116">
        <f>IF(U13=0,0,U13/TrRail_act!U17*100)</f>
        <v>118.85747893805589</v>
      </c>
      <c r="V26" s="116">
        <f>IF(V13=0,0,V13/TrRail_act!V17*100)</f>
        <v>119.39660065211261</v>
      </c>
      <c r="W26" s="116">
        <f>IF(W13=0,0,W13/TrRail_act!W17*100)</f>
        <v>118.17526391746942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279.74430256321745</v>
      </c>
      <c r="C27" s="87">
        <f>IF(C14=0,0,C14/TrRail_act!C18*100)</f>
        <v>272.03988353812684</v>
      </c>
      <c r="D27" s="87">
        <f>IF(D14=0,0,D14/TrRail_act!D18*100)</f>
        <v>265.5322479227425</v>
      </c>
      <c r="E27" s="87">
        <f>IF(E14=0,0,E14/TrRail_act!E18*100)</f>
        <v>253.02706688533809</v>
      </c>
      <c r="F27" s="87">
        <f>IF(F14=0,0,F14/TrRail_act!F18*100)</f>
        <v>247.04391107338611</v>
      </c>
      <c r="G27" s="87">
        <f>IF(G14=0,0,G14/TrRail_act!G18*100)</f>
        <v>242.36377170761108</v>
      </c>
      <c r="H27" s="87">
        <f>IF(H14=0,0,H14/TrRail_act!H18*100)</f>
        <v>221.49703930302059</v>
      </c>
      <c r="I27" s="87">
        <f>IF(I14=0,0,I14/TrRail_act!I18*100)</f>
        <v>217.4768609768083</v>
      </c>
      <c r="J27" s="87">
        <f>IF(J14=0,0,J14/TrRail_act!J18*100)</f>
        <v>209.23225796843732</v>
      </c>
      <c r="K27" s="87">
        <f>IF(K14=0,0,K14/TrRail_act!K18*100)</f>
        <v>204.2314207290016</v>
      </c>
      <c r="L27" s="87">
        <f>IF(L14=0,0,L14/TrRail_act!L18*100)</f>
        <v>195.68036929356279</v>
      </c>
      <c r="M27" s="87">
        <f>IF(M14=0,0,M14/TrRail_act!M18*100)</f>
        <v>190.5232315337098</v>
      </c>
      <c r="N27" s="87">
        <f>IF(N14=0,0,N14/TrRail_act!N18*100)</f>
        <v>187.13939782397748</v>
      </c>
      <c r="O27" s="87">
        <f>IF(O14=0,0,O14/TrRail_act!O18*100)</f>
        <v>184.21466348343461</v>
      </c>
      <c r="P27" s="87">
        <f>IF(P14=0,0,P14/TrRail_act!P18*100)</f>
        <v>177.88304773608073</v>
      </c>
      <c r="Q27" s="87">
        <f>IF(Q14=0,0,Q14/TrRail_act!Q18*100)</f>
        <v>168.44585421430619</v>
      </c>
      <c r="R27" s="87">
        <f>IF(R14=0,0,R14/TrRail_act!R18*100)</f>
        <v>164.93196074514225</v>
      </c>
      <c r="S27" s="87">
        <f>IF(S14=0,0,S14/TrRail_act!S18*100)</f>
        <v>162.34472936970079</v>
      </c>
      <c r="T27" s="87">
        <f>IF(T14=0,0,T14/TrRail_act!T18*100)</f>
        <v>160.43097474288638</v>
      </c>
      <c r="U27" s="87">
        <f>IF(U14=0,0,U14/TrRail_act!U18*100)</f>
        <v>159.01047820718958</v>
      </c>
      <c r="V27" s="87">
        <f>IF(V14=0,0,V14/TrRail_act!V18*100)</f>
        <v>157.95336585529074</v>
      </c>
      <c r="W27" s="87">
        <f>IF(W14=0,0,W14/TrRail_act!W18*100)</f>
        <v>157.165146115308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171.04154692236594</v>
      </c>
      <c r="C28" s="87">
        <f>IF(C15=0,0,C15/TrRail_act!C19*100)</f>
        <v>168.82570933460383</v>
      </c>
      <c r="D28" s="87">
        <f>IF(D15=0,0,D15/TrRail_act!D19*100)</f>
        <v>165.96900149277164</v>
      </c>
      <c r="E28" s="87">
        <f>IF(E15=0,0,E15/TrRail_act!E19*100)</f>
        <v>163.45915155466963</v>
      </c>
      <c r="F28" s="87">
        <f>IF(F15=0,0,F15/TrRail_act!F19*100)</f>
        <v>150.03946891994428</v>
      </c>
      <c r="G28" s="87">
        <f>IF(G15=0,0,G15/TrRail_act!G19*100)</f>
        <v>146.63585125672881</v>
      </c>
      <c r="H28" s="87">
        <f>IF(H15=0,0,H15/TrRail_act!H19*100)</f>
        <v>135.17801951330736</v>
      </c>
      <c r="I28" s="87">
        <f>IF(I15=0,0,I15/TrRail_act!I19*100)</f>
        <v>133.01046414330543</v>
      </c>
      <c r="J28" s="87">
        <f>IF(J15=0,0,J15/TrRail_act!J19*100)</f>
        <v>129.88470047484225</v>
      </c>
      <c r="K28" s="87">
        <f>IF(K15=0,0,K15/TrRail_act!K19*100)</f>
        <v>128.69303081347911</v>
      </c>
      <c r="L28" s="87">
        <f>IF(L15=0,0,L15/TrRail_act!L19*100)</f>
        <v>126.87477017416818</v>
      </c>
      <c r="M28" s="87">
        <f>IF(M15=0,0,M15/TrRail_act!M19*100)</f>
        <v>125.32282926437645</v>
      </c>
      <c r="N28" s="87">
        <f>IF(N15=0,0,N15/TrRail_act!N19*100)</f>
        <v>124.44807817279681</v>
      </c>
      <c r="O28" s="87">
        <f>IF(O15=0,0,O15/TrRail_act!O19*100)</f>
        <v>122.92906440305924</v>
      </c>
      <c r="P28" s="87">
        <f>IF(P15=0,0,P15/TrRail_act!P19*100)</f>
        <v>118.29701699304248</v>
      </c>
      <c r="Q28" s="87">
        <f>IF(Q15=0,0,Q15/TrRail_act!Q19*100)</f>
        <v>115.36493093983428</v>
      </c>
      <c r="R28" s="87">
        <f>IF(R15=0,0,R15/TrRail_act!R19*100)</f>
        <v>114.34579463498412</v>
      </c>
      <c r="S28" s="87">
        <f>IF(S15=0,0,S15/TrRail_act!S19*100)</f>
        <v>113.58735503333168</v>
      </c>
      <c r="T28" s="87">
        <f>IF(T15=0,0,T15/TrRail_act!T19*100)</f>
        <v>113.02182849438256</v>
      </c>
      <c r="U28" s="87">
        <f>IF(U15=0,0,U15/TrRail_act!U19*100)</f>
        <v>112.59953213921628</v>
      </c>
      <c r="V28" s="87">
        <f>IF(V15=0,0,V15/TrRail_act!V19*100)</f>
        <v>112.28384566516291</v>
      </c>
      <c r="W28" s="87">
        <f>IF(W15=0,0,W15/TrRail_act!W19*100)</f>
        <v>112.04766177215653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202.60831319640639</v>
      </c>
      <c r="R29" s="117">
        <f>IF(R16=0,0,R16/TrRail_act!R20*100)</f>
        <v>200.58650130181164</v>
      </c>
      <c r="S29" s="117">
        <f>IF(S16=0,0,S16/TrRail_act!S20*100)</f>
        <v>199.08339359397814</v>
      </c>
      <c r="T29" s="117">
        <f>IF(T16=0,0,T16/TrRail_act!T20*100)</f>
        <v>197.96345917656936</v>
      </c>
      <c r="U29" s="117">
        <f>IF(U16=0,0,U16/TrRail_act!U20*100)</f>
        <v>197.12764481050729</v>
      </c>
      <c r="V29" s="117">
        <f>IF(V16=0,0,V16/TrRail_act!V20*100)</f>
        <v>196.50310064920615</v>
      </c>
      <c r="W29" s="117">
        <f>IF(W16=0,0,W16/TrRail_act!W20*100)</f>
        <v>196.03599139419777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274.68936580498678</v>
      </c>
      <c r="C30" s="29">
        <f>IF(C17=0,0,C17/TrRail_act!C21*100)</f>
        <v>272.85474247741593</v>
      </c>
      <c r="D30" s="29">
        <f>IF(D17=0,0,D17/TrRail_act!D21*100)</f>
        <v>269.16015636161035</v>
      </c>
      <c r="E30" s="29">
        <f>IF(E17=0,0,E17/TrRail_act!E21*100)</f>
        <v>265.58540240259276</v>
      </c>
      <c r="F30" s="29">
        <f>IF(F17=0,0,F17/TrRail_act!F21*100)</f>
        <v>257.82040373390214</v>
      </c>
      <c r="G30" s="29">
        <f>IF(G17=0,0,G17/TrRail_act!G21*100)</f>
        <v>250.06108819292194</v>
      </c>
      <c r="H30" s="29">
        <f>IF(H17=0,0,H17/TrRail_act!H21*100)</f>
        <v>245.25362059361115</v>
      </c>
      <c r="I30" s="29">
        <f>IF(I17=0,0,I17/TrRail_act!I21*100)</f>
        <v>230.29159992764724</v>
      </c>
      <c r="J30" s="29">
        <f>IF(J17=0,0,J17/TrRail_act!J21*100)</f>
        <v>226.22569354928203</v>
      </c>
      <c r="K30" s="29">
        <f>IF(K17=0,0,K17/TrRail_act!K21*100)</f>
        <v>228.1160513952627</v>
      </c>
      <c r="L30" s="29">
        <f>IF(L17=0,0,L17/TrRail_act!L21*100)</f>
        <v>232.37411481944582</v>
      </c>
      <c r="M30" s="29">
        <f>IF(M17=0,0,M17/TrRail_act!M21*100)</f>
        <v>229.03378345668239</v>
      </c>
      <c r="N30" s="29">
        <f>IF(N17=0,0,N17/TrRail_act!N21*100)</f>
        <v>226.00381170613852</v>
      </c>
      <c r="O30" s="29">
        <f>IF(O17=0,0,O17/TrRail_act!O21*100)</f>
        <v>220.2292889653597</v>
      </c>
      <c r="P30" s="29">
        <f>IF(P17=0,0,P17/TrRail_act!P21*100)</f>
        <v>211.40367278016799</v>
      </c>
      <c r="Q30" s="29">
        <f>IF(Q17=0,0,Q17/TrRail_act!Q21*100)</f>
        <v>205.18650775102927</v>
      </c>
      <c r="R30" s="29">
        <f>IF(R17=0,0,R17/TrRail_act!R21*100)</f>
        <v>197.60227470419039</v>
      </c>
      <c r="S30" s="29">
        <f>IF(S17=0,0,S17/TrRail_act!S21*100)</f>
        <v>198.12512405069626</v>
      </c>
      <c r="T30" s="29">
        <f>IF(T17=0,0,T17/TrRail_act!T21*100)</f>
        <v>196.30337400163086</v>
      </c>
      <c r="U30" s="29">
        <f>IF(U17=0,0,U17/TrRail_act!U21*100)</f>
        <v>191.77354358886458</v>
      </c>
      <c r="V30" s="29">
        <f>IF(V17=0,0,V17/TrRail_act!V21*100)</f>
        <v>188.04521019462547</v>
      </c>
      <c r="W30" s="29">
        <f>IF(W17=0,0,W17/TrRail_act!W21*100)</f>
        <v>190.34963349723705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573.22448665971524</v>
      </c>
      <c r="C31" s="87">
        <f>IF(C18=0,0,C18/TrRail_act!C22*100)</f>
        <v>569.4656094890978</v>
      </c>
      <c r="D31" s="87">
        <f>IF(D18=0,0,D18/TrRail_act!D22*100)</f>
        <v>543.15832365154961</v>
      </c>
      <c r="E31" s="87">
        <f>IF(E18=0,0,E18/TrRail_act!E22*100)</f>
        <v>507.71405715730077</v>
      </c>
      <c r="F31" s="87">
        <f>IF(F18=0,0,F18/TrRail_act!F22*100)</f>
        <v>477.21575908683366</v>
      </c>
      <c r="G31" s="87">
        <f>IF(G18=0,0,G18/TrRail_act!G22*100)</f>
        <v>459.60349784142284</v>
      </c>
      <c r="H31" s="87">
        <f>IF(H18=0,0,H18/TrRail_act!H22*100)</f>
        <v>431.50454214645902</v>
      </c>
      <c r="I31" s="87">
        <f>IF(I18=0,0,I18/TrRail_act!I22*100)</f>
        <v>421.09339731726141</v>
      </c>
      <c r="J31" s="87">
        <f>IF(J18=0,0,J18/TrRail_act!J22*100)</f>
        <v>410.65185774169385</v>
      </c>
      <c r="K31" s="87">
        <f>IF(K18=0,0,K18/TrRail_act!K22*100)</f>
        <v>403.04333532066516</v>
      </c>
      <c r="L31" s="87">
        <f>IF(L18=0,0,L18/TrRail_act!L22*100)</f>
        <v>395.58399120945762</v>
      </c>
      <c r="M31" s="87">
        <f>IF(M18=0,0,M18/TrRail_act!M22*100)</f>
        <v>392.49476297320047</v>
      </c>
      <c r="N31" s="87">
        <f>IF(N18=0,0,N18/TrRail_act!N22*100)</f>
        <v>383.32490055863184</v>
      </c>
      <c r="O31" s="87">
        <f>IF(O18=0,0,O18/TrRail_act!O22*100)</f>
        <v>378.67881369544813</v>
      </c>
      <c r="P31" s="87">
        <f>IF(P18=0,0,P18/TrRail_act!P22*100)</f>
        <v>372.86445464358218</v>
      </c>
      <c r="Q31" s="87">
        <f>IF(Q18=0,0,Q18/TrRail_act!Q22*100)</f>
        <v>367.91867437332724</v>
      </c>
      <c r="R31" s="87">
        <f>IF(R18=0,0,R18/TrRail_act!R22*100)</f>
        <v>366.07370061675408</v>
      </c>
      <c r="S31" s="87">
        <f>IF(S18=0,0,S18/TrRail_act!S22*100)</f>
        <v>364.69604436667191</v>
      </c>
      <c r="T31" s="87">
        <f>IF(T18=0,0,T18/TrRail_act!T22*100)</f>
        <v>363.66620562506904</v>
      </c>
      <c r="U31" s="87">
        <f>IF(U18=0,0,U18/TrRail_act!U22*100)</f>
        <v>362.89573545046278</v>
      </c>
      <c r="V31" s="87">
        <f>IF(V18=0,0,V18/TrRail_act!V22*100)</f>
        <v>362.31895422718458</v>
      </c>
      <c r="W31" s="87">
        <f>IF(W18=0,0,W18/TrRail_act!W22*100)</f>
        <v>361.88696999201363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231.72080041631378</v>
      </c>
      <c r="C32" s="88">
        <f>IF(C19=0,0,C19/TrRail_act!C23*100)</f>
        <v>228.71886510487832</v>
      </c>
      <c r="D32" s="88">
        <f>IF(D19=0,0,D19/TrRail_act!D23*100)</f>
        <v>224.84870233112031</v>
      </c>
      <c r="E32" s="88">
        <f>IF(E19=0,0,E19/TrRail_act!E23*100)</f>
        <v>223.68530292435307</v>
      </c>
      <c r="F32" s="88">
        <f>IF(F19=0,0,F19/TrRail_act!F23*100)</f>
        <v>203.26795715867001</v>
      </c>
      <c r="G32" s="88">
        <f>IF(G19=0,0,G19/TrRail_act!G23*100)</f>
        <v>198.65686106288126</v>
      </c>
      <c r="H32" s="88">
        <f>IF(H19=0,0,H19/TrRail_act!H23*100)</f>
        <v>181.32100178006803</v>
      </c>
      <c r="I32" s="88">
        <f>IF(I19=0,0,I19/TrRail_act!I23*100)</f>
        <v>180.19768746023809</v>
      </c>
      <c r="J32" s="88">
        <f>IF(J19=0,0,J19/TrRail_act!J23*100)</f>
        <v>175.96301774284316</v>
      </c>
      <c r="K32" s="88">
        <f>IF(K19=0,0,K19/TrRail_act!K23*100)</f>
        <v>174.34858749047743</v>
      </c>
      <c r="L32" s="88">
        <f>IF(L19=0,0,L19/TrRail_act!L23*100)</f>
        <v>171.8852748141845</v>
      </c>
      <c r="M32" s="88">
        <f>IF(M19=0,0,M19/TrRail_act!M23*100)</f>
        <v>169.78276231773833</v>
      </c>
      <c r="N32" s="88">
        <f>IF(N19=0,0,N19/TrRail_act!N23*100)</f>
        <v>168.59768169403534</v>
      </c>
      <c r="O32" s="88">
        <f>IF(O19=0,0,O19/TrRail_act!O23*100)</f>
        <v>166.53977767655849</v>
      </c>
      <c r="P32" s="88">
        <f>IF(P19=0,0,P19/TrRail_act!P23*100)</f>
        <v>160.26445011592446</v>
      </c>
      <c r="Q32" s="88">
        <f>IF(Q19=0,0,Q19/TrRail_act!Q23*100)</f>
        <v>156.29216771223872</v>
      </c>
      <c r="R32" s="88">
        <f>IF(R19=0,0,R19/TrRail_act!R23*100)</f>
        <v>154.14459079765376</v>
      </c>
      <c r="S32" s="88">
        <f>IF(S19=0,0,S19/TrRail_act!S23*100)</f>
        <v>152.55329591887244</v>
      </c>
      <c r="T32" s="88">
        <f>IF(T19=0,0,T19/TrRail_act!T23*100)</f>
        <v>151.37061463266474</v>
      </c>
      <c r="U32" s="88">
        <f>IF(U19=0,0,U19/TrRail_act!U23*100)</f>
        <v>150.48962463832368</v>
      </c>
      <c r="V32" s="88">
        <f>IF(V19=0,0,V19/TrRail_act!V23*100)</f>
        <v>149.83224864463682</v>
      </c>
      <c r="W32" s="88">
        <f>IF(W19=0,0,W19/TrRail_act!W23*100)</f>
        <v>149.34110181494069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10.270252785302171</v>
      </c>
      <c r="C35" s="29">
        <f>IF(C11=0,0,C11/TrRail_act!C4*1000)</f>
        <v>11.550092113796319</v>
      </c>
      <c r="D35" s="29">
        <f>IF(D11=0,0,D11/TrRail_act!D4*1000)</f>
        <v>12.616539505894471</v>
      </c>
      <c r="E35" s="29">
        <f>IF(E11=0,0,E11/TrRail_act!E4*1000)</f>
        <v>13.495410707935957</v>
      </c>
      <c r="F35" s="29">
        <f>IF(F11=0,0,F11/TrRail_act!F4*1000)</f>
        <v>12.107716455578284</v>
      </c>
      <c r="G35" s="29">
        <f>IF(G11=0,0,G11/TrRail_act!G4*1000)</f>
        <v>12.031468136664103</v>
      </c>
      <c r="H35" s="29">
        <f>IF(H11=0,0,H11/TrRail_act!H4*1000)</f>
        <v>9.1360478768892115</v>
      </c>
      <c r="I35" s="29">
        <f>IF(I11=0,0,I11/TrRail_act!I4*1000)</f>
        <v>9.5454501505320604</v>
      </c>
      <c r="J35" s="29">
        <f>IF(J11=0,0,J11/TrRail_act!J4*1000)</f>
        <v>8.7784368262129338</v>
      </c>
      <c r="K35" s="29">
        <f>IF(K11=0,0,K11/TrRail_act!K4*1000)</f>
        <v>9.5507794227853022</v>
      </c>
      <c r="L35" s="29">
        <f>IF(L11=0,0,L11/TrRail_act!L4*1000)</f>
        <v>8.9810497790647172</v>
      </c>
      <c r="M35" s="29">
        <f>IF(M11=0,0,M11/TrRail_act!M4*1000)</f>
        <v>8.5425982882351281</v>
      </c>
      <c r="N35" s="29">
        <f>IF(N11=0,0,N11/TrRail_act!N4*1000)</f>
        <v>8.9597449054789724</v>
      </c>
      <c r="O35" s="29">
        <f>IF(O11=0,0,O11/TrRail_act!O4*1000)</f>
        <v>9.2940736650306555</v>
      </c>
      <c r="P35" s="29">
        <f>IF(P11=0,0,P11/TrRail_act!P4*1000)</f>
        <v>9.0319036736947069</v>
      </c>
      <c r="Q35" s="29">
        <f>IF(Q11=0,0,Q11/TrRail_act!Q4*1000)</f>
        <v>8.7677456279159092</v>
      </c>
      <c r="R35" s="29">
        <f>IF(R11=0,0,R11/TrRail_act!R4*1000)</f>
        <v>8.9122291061317238</v>
      </c>
      <c r="S35" s="29">
        <f>IF(S11=0,0,S11/TrRail_act!S4*1000)</f>
        <v>8.3844019477022567</v>
      </c>
      <c r="T35" s="29">
        <f>IF(T11=0,0,T11/TrRail_act!T4*1000)</f>
        <v>8.7242916345839365</v>
      </c>
      <c r="U35" s="29">
        <f>IF(U11=0,0,U11/TrRail_act!U4*1000)</f>
        <v>8.0224557020702072</v>
      </c>
      <c r="V35" s="29">
        <f>IF(V11=0,0,V11/TrRail_act!V4*1000)</f>
        <v>12.343446890325687</v>
      </c>
      <c r="W35" s="29">
        <f>IF(W11=0,0,W11/TrRail_act!W4*1000)</f>
        <v>11.371315021868183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5.5614233575971523</v>
      </c>
      <c r="C36" s="115">
        <f>IF(C12=0,0,C12/TrRail_act!C5*1000)</f>
        <v>5.5306770729125887</v>
      </c>
      <c r="D36" s="115">
        <f>IF(D12=0,0,D12/TrRail_act!D5*1000)</f>
        <v>5.5607701951969224</v>
      </c>
      <c r="E36" s="115">
        <f>IF(E12=0,0,E12/TrRail_act!E5*1000)</f>
        <v>5.5023993301073588</v>
      </c>
      <c r="F36" s="115">
        <f>IF(F12=0,0,F12/TrRail_act!F5*1000)</f>
        <v>5.2590560509998285</v>
      </c>
      <c r="G36" s="115">
        <f>IF(G12=0,0,G12/TrRail_act!G5*1000)</f>
        <v>5.0567072306068468</v>
      </c>
      <c r="H36" s="115">
        <f>IF(H12=0,0,H12/TrRail_act!H5*1000)</f>
        <v>4.9626455900895552</v>
      </c>
      <c r="I36" s="115">
        <f>IF(I12=0,0,I12/TrRail_act!I5*1000)</f>
        <v>4.7691120779783107</v>
      </c>
      <c r="J36" s="115">
        <f>IF(J12=0,0,J12/TrRail_act!J5*1000)</f>
        <v>4.7284059047661628</v>
      </c>
      <c r="K36" s="115">
        <f>IF(K12=0,0,K12/TrRail_act!K5*1000)</f>
        <v>4.7635096345345724</v>
      </c>
      <c r="L36" s="115">
        <f>IF(L12=0,0,L12/TrRail_act!L5*1000)</f>
        <v>4.7798173878073591</v>
      </c>
      <c r="M36" s="115">
        <f>IF(M12=0,0,M12/TrRail_act!M5*1000)</f>
        <v>4.6686595981843455</v>
      </c>
      <c r="N36" s="115">
        <f>IF(N12=0,0,N12/TrRail_act!N5*1000)</f>
        <v>4.7220358470082227</v>
      </c>
      <c r="O36" s="115">
        <f>IF(O12=0,0,O12/TrRail_act!O5*1000)</f>
        <v>4.6971501446233237</v>
      </c>
      <c r="P36" s="115">
        <f>IF(P12=0,0,P12/TrRail_act!P5*1000)</f>
        <v>4.5957905382727713</v>
      </c>
      <c r="Q36" s="115">
        <f>IF(Q12=0,0,Q12/TrRail_act!Q5*1000)</f>
        <v>4.500120548492605</v>
      </c>
      <c r="R36" s="115">
        <f>IF(R12=0,0,R12/TrRail_act!R5*1000)</f>
        <v>4.4573263429447625</v>
      </c>
      <c r="S36" s="115">
        <f>IF(S12=0,0,S12/TrRail_act!S5*1000)</f>
        <v>4.375480071082368</v>
      </c>
      <c r="T36" s="115">
        <f>IF(T12=0,0,T12/TrRail_act!T5*1000)</f>
        <v>4.3265352294641604</v>
      </c>
      <c r="U36" s="115">
        <f>IF(U12=0,0,U12/TrRail_act!U5*1000)</f>
        <v>4.2836288452340918</v>
      </c>
      <c r="V36" s="115">
        <f>IF(V12=0,0,V12/TrRail_act!V5*1000)</f>
        <v>7.0708396340381139</v>
      </c>
      <c r="W36" s="115">
        <f>IF(W12=0,0,W12/TrRail_act!W5*1000)</f>
        <v>6.1750213302673549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11.188877154811287</v>
      </c>
      <c r="C37" s="116">
        <f>IF(C13=0,0,C13/TrRail_act!C6*1000)</f>
        <v>12.795820893008093</v>
      </c>
      <c r="D37" s="116">
        <f>IF(D13=0,0,D13/TrRail_act!D6*1000)</f>
        <v>14.187586506493181</v>
      </c>
      <c r="E37" s="116">
        <f>IF(E13=0,0,E13/TrRail_act!E6*1000)</f>
        <v>15.32698985042647</v>
      </c>
      <c r="F37" s="116">
        <f>IF(F13=0,0,F13/TrRail_act!F6*1000)</f>
        <v>13.756671609168603</v>
      </c>
      <c r="G37" s="116">
        <f>IF(G13=0,0,G13/TrRail_act!G6*1000)</f>
        <v>13.721667397921573</v>
      </c>
      <c r="H37" s="116">
        <f>IF(H13=0,0,H13/TrRail_act!H6*1000)</f>
        <v>10.137106532358082</v>
      </c>
      <c r="I37" s="116">
        <f>IF(I13=0,0,I13/TrRail_act!I6*1000)</f>
        <v>10.65180772814157</v>
      </c>
      <c r="J37" s="116">
        <f>IF(J13=0,0,J13/TrRail_act!J6*1000)</f>
        <v>9.7009494401597092</v>
      </c>
      <c r="K37" s="116">
        <f>IF(K13=0,0,K13/TrRail_act!K6*1000)</f>
        <v>10.660454020909633</v>
      </c>
      <c r="L37" s="116">
        <f>IF(L13=0,0,L13/TrRail_act!L6*1000)</f>
        <v>9.9984789726396812</v>
      </c>
      <c r="M37" s="116">
        <f>IF(M13=0,0,M13/TrRail_act!M6*1000)</f>
        <v>9.4811312322711245</v>
      </c>
      <c r="N37" s="116">
        <f>IF(N13=0,0,N13/TrRail_act!N6*1000)</f>
        <v>10.003897115732848</v>
      </c>
      <c r="O37" s="116">
        <f>IF(O13=0,0,O13/TrRail_act!O6*1000)</f>
        <v>10.416186309031875</v>
      </c>
      <c r="P37" s="116">
        <f>IF(P13=0,0,P13/TrRail_act!P6*1000)</f>
        <v>10.205596706728272</v>
      </c>
      <c r="Q37" s="116">
        <f>IF(Q13=0,0,Q13/TrRail_act!Q6*1000)</f>
        <v>9.8946628390452442</v>
      </c>
      <c r="R37" s="116">
        <f>IF(R13=0,0,R13/TrRail_act!R6*1000)</f>
        <v>10.218964301150129</v>
      </c>
      <c r="S37" s="116">
        <f>IF(S13=0,0,S13/TrRail_act!S6*1000)</f>
        <v>9.4924345484609294</v>
      </c>
      <c r="T37" s="116">
        <f>IF(T13=0,0,T13/TrRail_act!T6*1000)</f>
        <v>9.9565735140955063</v>
      </c>
      <c r="U37" s="116">
        <f>IF(U13=0,0,U13/TrRail_act!U6*1000)</f>
        <v>9.0425433945569935</v>
      </c>
      <c r="V37" s="116">
        <f>IF(V13=0,0,V13/TrRail_act!V6*1000)</f>
        <v>13.57458310712224</v>
      </c>
      <c r="W37" s="116">
        <f>IF(W13=0,0,W13/TrRail_act!W6*1000)</f>
        <v>12.653144739089575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22.495053539990028</v>
      </c>
      <c r="C38" s="87">
        <f>IF(C14=0,0,C14/TrRail_act!C7*1000)</f>
        <v>21.819500897728535</v>
      </c>
      <c r="D38" s="87">
        <f>IF(D14=0,0,D14/TrRail_act!D7*1000)</f>
        <v>22.954591381366413</v>
      </c>
      <c r="E38" s="87">
        <f>IF(E14=0,0,E14/TrRail_act!E7*1000)</f>
        <v>23.839192764953648</v>
      </c>
      <c r="F38" s="87">
        <f>IF(F14=0,0,F14/TrRail_act!F7*1000)</f>
        <v>22.485353660912459</v>
      </c>
      <c r="G38" s="87">
        <f>IF(G14=0,0,G14/TrRail_act!G7*1000)</f>
        <v>21.425548844697026</v>
      </c>
      <c r="H38" s="87">
        <f>IF(H14=0,0,H14/TrRail_act!H7*1000)</f>
        <v>18.63180634287961</v>
      </c>
      <c r="I38" s="87">
        <f>IF(I14=0,0,I14/TrRail_act!I7*1000)</f>
        <v>17.219103230696632</v>
      </c>
      <c r="J38" s="87">
        <f>IF(J14=0,0,J14/TrRail_act!J7*1000)</f>
        <v>17.311369989579145</v>
      </c>
      <c r="K38" s="87">
        <f>IF(K14=0,0,K14/TrRail_act!K7*1000)</f>
        <v>17.113617163589502</v>
      </c>
      <c r="L38" s="87">
        <f>IF(L14=0,0,L14/TrRail_act!L7*1000)</f>
        <v>16.609994966744591</v>
      </c>
      <c r="M38" s="87">
        <f>IF(M14=0,0,M14/TrRail_act!M7*1000)</f>
        <v>15.678774990267211</v>
      </c>
      <c r="N38" s="87">
        <f>IF(N14=0,0,N14/TrRail_act!N7*1000)</f>
        <v>16.63876100266998</v>
      </c>
      <c r="O38" s="87">
        <f>IF(O14=0,0,O14/TrRail_act!O7*1000)</f>
        <v>16.156241828421901</v>
      </c>
      <c r="P38" s="87">
        <f>IF(P14=0,0,P14/TrRail_act!P7*1000)</f>
        <v>15.120894467464332</v>
      </c>
      <c r="Q38" s="87">
        <f>IF(Q14=0,0,Q14/TrRail_act!Q7*1000)</f>
        <v>13.758213773771953</v>
      </c>
      <c r="R38" s="87">
        <f>IF(R14=0,0,R14/TrRail_act!R7*1000)</f>
        <v>14.09994257279841</v>
      </c>
      <c r="S38" s="87">
        <f>IF(S14=0,0,S14/TrRail_act!S7*1000)</f>
        <v>14.711595722041054</v>
      </c>
      <c r="T38" s="87">
        <f>IF(T14=0,0,T14/TrRail_act!T7*1000)</f>
        <v>15.673283265911605</v>
      </c>
      <c r="U38" s="87">
        <f>IF(U14=0,0,U14/TrRail_act!U7*1000)</f>
        <v>11.86267142295331</v>
      </c>
      <c r="V38" s="87">
        <f>IF(V14=0,0,V14/TrRail_act!V7*1000)</f>
        <v>20.158558482591172</v>
      </c>
      <c r="W38" s="87">
        <f>IF(W14=0,0,W14/TrRail_act!W7*1000)</f>
        <v>16.553611215099298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8.4615509128070769</v>
      </c>
      <c r="C39" s="87">
        <f>IF(C15=0,0,C15/TrRail_act!C8*1000)</f>
        <v>10.302276787046226</v>
      </c>
      <c r="D39" s="87">
        <f>IF(D15=0,0,D15/TrRail_act!D8*1000)</f>
        <v>11.881620674949547</v>
      </c>
      <c r="E39" s="87">
        <f>IF(E15=0,0,E15/TrRail_act!E8*1000)</f>
        <v>12.875809242806183</v>
      </c>
      <c r="F39" s="87">
        <f>IF(F15=0,0,F15/TrRail_act!F8*1000)</f>
        <v>11.541787978024841</v>
      </c>
      <c r="G39" s="87">
        <f>IF(G15=0,0,G15/TrRail_act!G8*1000)</f>
        <v>11.359394540007774</v>
      </c>
      <c r="H39" s="87">
        <f>IF(H15=0,0,H15/TrRail_act!H8*1000)</f>
        <v>8.4776782579334604</v>
      </c>
      <c r="I39" s="87">
        <f>IF(I15=0,0,I15/TrRail_act!I8*1000)</f>
        <v>8.8565874157200444</v>
      </c>
      <c r="J39" s="87">
        <f>IF(J15=0,0,J15/TrRail_act!J8*1000)</f>
        <v>8.2104128292513057</v>
      </c>
      <c r="K39" s="87">
        <f>IF(K15=0,0,K15/TrRail_act!K8*1000)</f>
        <v>9.1184518610987695</v>
      </c>
      <c r="L39" s="87">
        <f>IF(L15=0,0,L15/TrRail_act!L8*1000)</f>
        <v>9.0696517221386106</v>
      </c>
      <c r="M39" s="87">
        <f>IF(M15=0,0,M15/TrRail_act!M8*1000)</f>
        <v>8.568546383260065</v>
      </c>
      <c r="N39" s="87">
        <f>IF(N15=0,0,N15/TrRail_act!N8*1000)</f>
        <v>9.0061595814415814</v>
      </c>
      <c r="O39" s="87">
        <f>IF(O15=0,0,O15/TrRail_act!O8*1000)</f>
        <v>9.5496265640528648</v>
      </c>
      <c r="P39" s="87">
        <f>IF(P15=0,0,P15/TrRail_act!P8*1000)</f>
        <v>9.4544156973889333</v>
      </c>
      <c r="Q39" s="87">
        <f>IF(Q15=0,0,Q15/TrRail_act!Q8*1000)</f>
        <v>9.3641907457303457</v>
      </c>
      <c r="R39" s="87">
        <f>IF(R15=0,0,R15/TrRail_act!R8*1000)</f>
        <v>9.5831948066495709</v>
      </c>
      <c r="S39" s="87">
        <f>IF(S15=0,0,S15/TrRail_act!S8*1000)</f>
        <v>8.8686960110108739</v>
      </c>
      <c r="T39" s="87">
        <f>IF(T15=0,0,T15/TrRail_act!T8*1000)</f>
        <v>9.0428255010690872</v>
      </c>
      <c r="U39" s="87">
        <f>IF(U15=0,0,U15/TrRail_act!U8*1000)</f>
        <v>8.5929384703016467</v>
      </c>
      <c r="V39" s="87">
        <f>IF(V15=0,0,V15/TrRail_act!V8*1000)</f>
        <v>12.513934633390921</v>
      </c>
      <c r="W39" s="87">
        <f>IF(W15=0,0,W15/TrRail_act!W8*1000)</f>
        <v>12.028371101339058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6.553994232574893</v>
      </c>
      <c r="R40" s="117">
        <f>IF(R16=0,0,R16/TrRail_act!R9*1000)</f>
        <v>6.2243632434235137</v>
      </c>
      <c r="S40" s="117">
        <f>IF(S16=0,0,S16/TrRail_act!S9*1000)</f>
        <v>5.8605339880413831</v>
      </c>
      <c r="T40" s="117">
        <f>IF(T16=0,0,T16/TrRail_act!T9*1000)</f>
        <v>5.5755002900284767</v>
      </c>
      <c r="U40" s="117">
        <f>IF(U16=0,0,U16/TrRail_act!U9*1000)</f>
        <v>5.5106337401516008</v>
      </c>
      <c r="V40" s="117">
        <f>IF(V16=0,0,V16/TrRail_act!V9*1000)</f>
        <v>11.452333544848516</v>
      </c>
      <c r="W40" s="117">
        <f>IF(W16=0,0,W16/TrRail_act!W9*1000)</f>
        <v>7.875258270498902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4.523468990476248</v>
      </c>
      <c r="C41" s="29">
        <f>IF(C17=0,0,C17/TrRail_act!C10*1000)</f>
        <v>4.591657508258816</v>
      </c>
      <c r="D41" s="29">
        <f>IF(D17=0,0,D17/TrRail_act!D10*1000)</f>
        <v>4.4267224358120387</v>
      </c>
      <c r="E41" s="29">
        <f>IF(E17=0,0,E17/TrRail_act!E10*1000)</f>
        <v>4.5390179575000635</v>
      </c>
      <c r="F41" s="29">
        <f>IF(F17=0,0,F17/TrRail_act!F10*1000)</f>
        <v>4.1628662799786218</v>
      </c>
      <c r="G41" s="29">
        <f>IF(G17=0,0,G17/TrRail_act!G10*1000)</f>
        <v>3.9229393994531097</v>
      </c>
      <c r="H41" s="29">
        <f>IF(H17=0,0,H17/TrRail_act!H10*1000)</f>
        <v>3.833929716764346</v>
      </c>
      <c r="I41" s="29">
        <f>IF(I17=0,0,I17/TrRail_act!I10*1000)</f>
        <v>3.5608694812275967</v>
      </c>
      <c r="J41" s="29">
        <f>IF(J17=0,0,J17/TrRail_act!J10*1000)</f>
        <v>3.515273248790955</v>
      </c>
      <c r="K41" s="29">
        <f>IF(K17=0,0,K17/TrRail_act!K10*1000)</f>
        <v>3.4682197413313611</v>
      </c>
      <c r="L41" s="29">
        <f>IF(L17=0,0,L17/TrRail_act!L10*1000)</f>
        <v>3.4848054828089405</v>
      </c>
      <c r="M41" s="29">
        <f>IF(M17=0,0,M17/TrRail_act!M10*1000)</f>
        <v>3.3609103863698602</v>
      </c>
      <c r="N41" s="29">
        <f>IF(N17=0,0,N17/TrRail_act!N10*1000)</f>
        <v>3.2418750056107832</v>
      </c>
      <c r="O41" s="29">
        <f>IF(O17=0,0,O17/TrRail_act!O10*1000)</f>
        <v>3.0164533168682537</v>
      </c>
      <c r="P41" s="29">
        <f>IF(P17=0,0,P17/TrRail_act!P10*1000)</f>
        <v>2.8216069636619499</v>
      </c>
      <c r="Q41" s="29">
        <f>IF(Q17=0,0,Q17/TrRail_act!Q10*1000)</f>
        <v>2.678277965383538</v>
      </c>
      <c r="R41" s="29">
        <f>IF(R17=0,0,R17/TrRail_act!R10*1000)</f>
        <v>2.5471246465402269</v>
      </c>
      <c r="S41" s="29">
        <f>IF(S17=0,0,S17/TrRail_act!S10*1000)</f>
        <v>2.6160172883371016</v>
      </c>
      <c r="T41" s="29">
        <f>IF(T17=0,0,T17/TrRail_act!T10*1000)</f>
        <v>2.6538393599931802</v>
      </c>
      <c r="U41" s="29">
        <f>IF(U17=0,0,U17/TrRail_act!U10*1000)</f>
        <v>2.646498715670349</v>
      </c>
      <c r="V41" s="29">
        <f>IF(V17=0,0,V17/TrRail_act!V10*1000)</f>
        <v>2.8497779020011769</v>
      </c>
      <c r="W41" s="29">
        <f>IF(W17=0,0,W17/TrRail_act!W10*1000)</f>
        <v>2.8365271280820856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8.7588536608241618</v>
      </c>
      <c r="C42" s="87">
        <f>IF(C18=0,0,C18/TrRail_act!C11*1000)</f>
        <v>9.0041824986141865</v>
      </c>
      <c r="D42" s="87">
        <f>IF(D18=0,0,D18/TrRail_act!D11*1000)</f>
        <v>8.4005576739644496</v>
      </c>
      <c r="E42" s="87">
        <f>IF(E18=0,0,E18/TrRail_act!E11*1000)</f>
        <v>7.1484716165552182</v>
      </c>
      <c r="F42" s="87">
        <f>IF(F18=0,0,F18/TrRail_act!F11*1000)</f>
        <v>6.6594673236647823</v>
      </c>
      <c r="G42" s="87">
        <f>IF(G18=0,0,G18/TrRail_act!G11*1000)</f>
        <v>6.341618467034646</v>
      </c>
      <c r="H42" s="87">
        <f>IF(H18=0,0,H18/TrRail_act!H11*1000)</f>
        <v>6.240473403242925</v>
      </c>
      <c r="I42" s="87">
        <f>IF(I18=0,0,I18/TrRail_act!I11*1000)</f>
        <v>5.8203657161410431</v>
      </c>
      <c r="J42" s="87">
        <f>IF(J18=0,0,J18/TrRail_act!J11*1000)</f>
        <v>5.8598219168254193</v>
      </c>
      <c r="K42" s="87">
        <f>IF(K18=0,0,K18/TrRail_act!K11*1000)</f>
        <v>5.570507982568234</v>
      </c>
      <c r="L42" s="87">
        <f>IF(L18=0,0,L18/TrRail_act!L11*1000)</f>
        <v>5.6424923842701062</v>
      </c>
      <c r="M42" s="87">
        <f>IF(M18=0,0,M18/TrRail_act!M11*1000)</f>
        <v>5.4601013524205451</v>
      </c>
      <c r="N42" s="87">
        <f>IF(N18=0,0,N18/TrRail_act!N11*1000)</f>
        <v>5.4901967766659299</v>
      </c>
      <c r="O42" s="87">
        <f>IF(O18=0,0,O18/TrRail_act!O11*1000)</f>
        <v>4.7777876659786518</v>
      </c>
      <c r="P42" s="87">
        <f>IF(P18=0,0,P18/TrRail_act!P11*1000)</f>
        <v>4.6615456256374683</v>
      </c>
      <c r="Q42" s="87">
        <f>IF(Q18=0,0,Q18/TrRail_act!Q11*1000)</f>
        <v>4.5616454873208818</v>
      </c>
      <c r="R42" s="87">
        <f>IF(R18=0,0,R18/TrRail_act!R11*1000)</f>
        <v>4.4675912537296094</v>
      </c>
      <c r="S42" s="87">
        <f>IF(S18=0,0,S18/TrRail_act!S11*1000)</f>
        <v>4.8156603156268654</v>
      </c>
      <c r="T42" s="87">
        <f>IF(T18=0,0,T18/TrRail_act!T11*1000)</f>
        <v>4.6246951201535875</v>
      </c>
      <c r="U42" s="87">
        <f>IF(U18=0,0,U18/TrRail_act!U11*1000)</f>
        <v>4.0100196582305188</v>
      </c>
      <c r="V42" s="87">
        <f>IF(V18=0,0,V18/TrRail_act!V11*1000)</f>
        <v>4.8510703522133323</v>
      </c>
      <c r="W42" s="87">
        <f>IF(W18=0,0,W18/TrRail_act!W11*1000)</f>
        <v>4.8524616120366133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3.8590511799048715</v>
      </c>
      <c r="C43" s="88">
        <f>IF(C19=0,0,C19/TrRail_act!C12*1000)</f>
        <v>3.8861073370990145</v>
      </c>
      <c r="D43" s="88">
        <f>IF(D19=0,0,D19/TrRail_act!D12*1000)</f>
        <v>3.736255746003867</v>
      </c>
      <c r="E43" s="88">
        <f>IF(E19=0,0,E19/TrRail_act!E12*1000)</f>
        <v>3.9698263310901103</v>
      </c>
      <c r="F43" s="88">
        <f>IF(F19=0,0,F19/TrRail_act!F12*1000)</f>
        <v>3.4154108983011136</v>
      </c>
      <c r="G43" s="88">
        <f>IF(G19=0,0,G19/TrRail_act!G12*1000)</f>
        <v>3.2248721089348793</v>
      </c>
      <c r="H43" s="88">
        <f>IF(H19=0,0,H19/TrRail_act!H12*1000)</f>
        <v>2.9154925096975126</v>
      </c>
      <c r="I43" s="88">
        <f>IF(I19=0,0,I19/TrRail_act!I12*1000)</f>
        <v>2.8759055836874996</v>
      </c>
      <c r="J43" s="88">
        <f>IF(J19=0,0,J19/TrRail_act!J12*1000)</f>
        <v>2.8021799991154457</v>
      </c>
      <c r="K43" s="88">
        <f>IF(K19=0,0,K19/TrRail_act!K12*1000)</f>
        <v>2.7348456129787397</v>
      </c>
      <c r="L43" s="88">
        <f>IF(L19=0,0,L19/TrRail_act!L12*1000)</f>
        <v>2.6277181453354395</v>
      </c>
      <c r="M43" s="88">
        <f>IF(M19=0,0,M19/TrRail_act!M12*1000)</f>
        <v>2.5419822799804623</v>
      </c>
      <c r="N43" s="88">
        <f>IF(N19=0,0,N19/TrRail_act!N12*1000)</f>
        <v>2.419764191788798</v>
      </c>
      <c r="O43" s="88">
        <f>IF(O19=0,0,O19/TrRail_act!O12*1000)</f>
        <v>2.3492050878613222</v>
      </c>
      <c r="P43" s="88">
        <f>IF(P19=0,0,P19/TrRail_act!P12*1000)</f>
        <v>2.1858460386078966</v>
      </c>
      <c r="Q43" s="88">
        <f>IF(Q19=0,0,Q19/TrRail_act!Q12*1000)</f>
        <v>2.0729376650941109</v>
      </c>
      <c r="R43" s="88">
        <f>IF(R19=0,0,R19/TrRail_act!R12*1000)</f>
        <v>2.0161858550163632</v>
      </c>
      <c r="S43" s="88">
        <f>IF(S19=0,0,S19/TrRail_act!S12*1000)</f>
        <v>2.0142629298704953</v>
      </c>
      <c r="T43" s="88">
        <f>IF(T19=0,0,T19/TrRail_act!T12*1000)</f>
        <v>2.0816447166142904</v>
      </c>
      <c r="U43" s="88">
        <f>IF(U19=0,0,U19/TrRail_act!U12*1000)</f>
        <v>2.2094335926500972</v>
      </c>
      <c r="V43" s="88">
        <f>IF(V19=0,0,V19/TrRail_act!V12*1000)</f>
        <v>2.3382895332412459</v>
      </c>
      <c r="W43" s="88">
        <f>IF(W19=0,0,W19/TrRail_act!W12*1000)</f>
        <v>2.2862850136153301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290827.7767664601</v>
      </c>
      <c r="C45" s="54">
        <f>IF(C10=0,0,1000000*C10/TrRail_act!C25)</f>
        <v>280469.03625071154</v>
      </c>
      <c r="D45" s="54">
        <f>IF(D10=0,0,1000000*D10/TrRail_act!D25)</f>
        <v>270907.0425670222</v>
      </c>
      <c r="E45" s="54">
        <f>IF(E10=0,0,1000000*E10/TrRail_act!E25)</f>
        <v>270931.15566684731</v>
      </c>
      <c r="F45" s="54">
        <f>IF(F10=0,0,1000000*F10/TrRail_act!F25)</f>
        <v>256350.96402952718</v>
      </c>
      <c r="G45" s="54">
        <f>IF(G10=0,0,1000000*G10/TrRail_act!G25)</f>
        <v>252223.2635215031</v>
      </c>
      <c r="H45" s="54">
        <f>IF(H10=0,0,1000000*H10/TrRail_act!H25)</f>
        <v>230935.89606172094</v>
      </c>
      <c r="I45" s="54">
        <f>IF(I10=0,0,1000000*I10/TrRail_act!I25)</f>
        <v>229505.00829514288</v>
      </c>
      <c r="J45" s="54">
        <f>IF(J10=0,0,1000000*J10/TrRail_act!J25)</f>
        <v>218673.90582469685</v>
      </c>
      <c r="K45" s="54">
        <f>IF(K10=0,0,1000000*K10/TrRail_act!K25)</f>
        <v>209656.27979367389</v>
      </c>
      <c r="L45" s="54">
        <f>IF(L10=0,0,1000000*L10/TrRail_act!L25)</f>
        <v>207236.22276129894</v>
      </c>
      <c r="M45" s="54">
        <f>IF(M10=0,0,1000000*M10/TrRail_act!M25)</f>
        <v>211989.90207960166</v>
      </c>
      <c r="N45" s="54">
        <f>IF(N10=0,0,1000000*N10/TrRail_act!N25)</f>
        <v>205076.77130142448</v>
      </c>
      <c r="O45" s="54">
        <f>IF(O10=0,0,1000000*O10/TrRail_act!O25)</f>
        <v>203555.89689749081</v>
      </c>
      <c r="P45" s="54">
        <f>IF(P10=0,0,1000000*P10/TrRail_act!P25)</f>
        <v>191834.1639937518</v>
      </c>
      <c r="Q45" s="54">
        <f>IF(Q10=0,0,1000000*Q10/TrRail_act!Q25)</f>
        <v>186839.81854531332</v>
      </c>
      <c r="R45" s="54">
        <f>IF(R10=0,0,1000000*R10/TrRail_act!R25)</f>
        <v>184167.54206120432</v>
      </c>
      <c r="S45" s="54">
        <f>IF(S10=0,0,1000000*S10/TrRail_act!S25)</f>
        <v>187933.69214486447</v>
      </c>
      <c r="T45" s="54">
        <f>IF(T10=0,0,1000000*T10/TrRail_act!T25)</f>
        <v>191918.75585115276</v>
      </c>
      <c r="U45" s="54">
        <f>IF(U10=0,0,1000000*U10/TrRail_act!U25)</f>
        <v>184350.29880118082</v>
      </c>
      <c r="V45" s="54">
        <f>IF(V10=0,0,1000000*V10/TrRail_act!V25)</f>
        <v>178697.55924933613</v>
      </c>
      <c r="W45" s="54">
        <f>IF(W10=0,0,1000000*W10/TrRail_act!W25)</f>
        <v>189576.30964888775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209414.7393289686</v>
      </c>
      <c r="C46" s="28">
        <f>IF(C11=0,0,1000000*C11/TrRail_act!C26)</f>
        <v>209388.71656126098</v>
      </c>
      <c r="D46" s="28">
        <f>IF(D11=0,0,1000000*D11/TrRail_act!D26)</f>
        <v>205207.766071547</v>
      </c>
      <c r="E46" s="28">
        <f>IF(E11=0,0,1000000*E11/TrRail_act!E26)</f>
        <v>204687.12166386819</v>
      </c>
      <c r="F46" s="28">
        <f>IF(F11=0,0,1000000*F11/TrRail_act!F26)</f>
        <v>184404.84700455327</v>
      </c>
      <c r="G46" s="28">
        <f>IF(G11=0,0,1000000*G11/TrRail_act!G26)</f>
        <v>185893.37627582531</v>
      </c>
      <c r="H46" s="28">
        <f>IF(H11=0,0,1000000*H11/TrRail_act!H26)</f>
        <v>152162.19175614364</v>
      </c>
      <c r="I46" s="28">
        <f>IF(I11=0,0,1000000*I11/TrRail_act!I26)</f>
        <v>163803.86483497114</v>
      </c>
      <c r="J46" s="28">
        <f>IF(J11=0,0,1000000*J11/TrRail_act!J26)</f>
        <v>153464.05524869202</v>
      </c>
      <c r="K46" s="28">
        <f>IF(K11=0,0,1000000*K11/TrRail_act!K26)</f>
        <v>157142.074838423</v>
      </c>
      <c r="L46" s="28">
        <f>IF(L11=0,0,1000000*L11/TrRail_act!L26)</f>
        <v>140939.42521031768</v>
      </c>
      <c r="M46" s="28">
        <f>IF(M11=0,0,1000000*M11/TrRail_act!M26)</f>
        <v>141039.06504339195</v>
      </c>
      <c r="N46" s="28">
        <f>IF(N11=0,0,1000000*N11/TrRail_act!N26)</f>
        <v>143475.53434929415</v>
      </c>
      <c r="O46" s="28">
        <f>IF(O11=0,0,1000000*O11/TrRail_act!O26)</f>
        <v>143426.60075795892</v>
      </c>
      <c r="P46" s="28">
        <f>IF(P11=0,0,1000000*P11/TrRail_act!P26)</f>
        <v>135684.07181799487</v>
      </c>
      <c r="Q46" s="28">
        <f>IF(Q11=0,0,1000000*Q11/TrRail_act!Q26)</f>
        <v>135010.9596516093</v>
      </c>
      <c r="R46" s="28">
        <f>IF(R11=0,0,1000000*R11/TrRail_act!R26)</f>
        <v>139523.57186033463</v>
      </c>
      <c r="S46" s="28">
        <f>IF(S11=0,0,1000000*S11/TrRail_act!S26)</f>
        <v>137687.58953002683</v>
      </c>
      <c r="T46" s="28">
        <f>IF(T11=0,0,1000000*T11/TrRail_act!T26)</f>
        <v>140741.58229314935</v>
      </c>
      <c r="U46" s="28">
        <f>IF(U11=0,0,1000000*U11/TrRail_act!U26)</f>
        <v>136782.57201845659</v>
      </c>
      <c r="V46" s="28">
        <f>IF(V11=0,0,1000000*V11/TrRail_act!V26)</f>
        <v>127085.00838323565</v>
      </c>
      <c r="W46" s="28">
        <f>IF(W11=0,0,1000000*W11/TrRail_act!W26)</f>
        <v>139000.40314941792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50181.183658348076</v>
      </c>
      <c r="C47" s="108">
        <f>IF(C12=0,0,1000000*C12/TrRail_act!C27)</f>
        <v>49494.149403909483</v>
      </c>
      <c r="D47" s="108">
        <f>IF(D12=0,0,1000000*D12/TrRail_act!D27)</f>
        <v>48780.742812611388</v>
      </c>
      <c r="E47" s="108">
        <f>IF(E12=0,0,1000000*E12/TrRail_act!E27)</f>
        <v>48080.402185993895</v>
      </c>
      <c r="F47" s="108">
        <f>IF(F12=0,0,1000000*F12/TrRail_act!F27)</f>
        <v>46637.375127518273</v>
      </c>
      <c r="G47" s="108">
        <f>IF(G12=0,0,1000000*G12/TrRail_act!G27)</f>
        <v>45298.98033844123</v>
      </c>
      <c r="H47" s="108">
        <f>IF(H12=0,0,1000000*H12/TrRail_act!H27)</f>
        <v>44042.768887944912</v>
      </c>
      <c r="I47" s="108">
        <f>IF(I12=0,0,1000000*I12/TrRail_act!I27)</f>
        <v>43186.562948842453</v>
      </c>
      <c r="J47" s="108">
        <f>IF(J12=0,0,1000000*J12/TrRail_act!J27)</f>
        <v>42924.820248995966</v>
      </c>
      <c r="K47" s="108">
        <f>IF(K12=0,0,1000000*K12/TrRail_act!K27)</f>
        <v>42523.508933801932</v>
      </c>
      <c r="L47" s="108">
        <f>IF(L12=0,0,1000000*L12/TrRail_act!L27)</f>
        <v>41994.319616816603</v>
      </c>
      <c r="M47" s="108">
        <f>IF(M12=0,0,1000000*M12/TrRail_act!M27)</f>
        <v>41542.26240210831</v>
      </c>
      <c r="N47" s="108">
        <f>IF(N12=0,0,1000000*N12/TrRail_act!N27)</f>
        <v>41335.708761341237</v>
      </c>
      <c r="O47" s="108">
        <f>IF(O12=0,0,1000000*O12/TrRail_act!O27)</f>
        <v>41018.793598483164</v>
      </c>
      <c r="P47" s="108">
        <f>IF(P12=0,0,1000000*P12/TrRail_act!P27)</f>
        <v>39935.648289905985</v>
      </c>
      <c r="Q47" s="108">
        <f>IF(Q12=0,0,1000000*Q12/TrRail_act!Q27)</f>
        <v>39293.636226931194</v>
      </c>
      <c r="R47" s="108">
        <f>IF(R12=0,0,1000000*R12/TrRail_act!R27)</f>
        <v>38818.909483319148</v>
      </c>
      <c r="S47" s="108">
        <f>IF(S12=0,0,1000000*S12/TrRail_act!S27)</f>
        <v>38466.632091574422</v>
      </c>
      <c r="T47" s="108">
        <f>IF(T12=0,0,1000000*T12/TrRail_act!T27)</f>
        <v>38204.523606881681</v>
      </c>
      <c r="U47" s="108">
        <f>IF(U12=0,0,1000000*U12/TrRail_act!U27)</f>
        <v>38009.114940762767</v>
      </c>
      <c r="V47" s="108">
        <f>IF(V12=0,0,1000000*V12/TrRail_act!V27)</f>
        <v>37863.214662024489</v>
      </c>
      <c r="W47" s="108">
        <f>IF(W12=0,0,1000000*W12/TrRail_act!W27)</f>
        <v>37754.157067958353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302488.423367262</v>
      </c>
      <c r="C48" s="110">
        <f>IF(C13=0,0,1000000*C13/TrRail_act!C28)</f>
        <v>294488.24794160249</v>
      </c>
      <c r="D48" s="110">
        <f>IF(D13=0,0,1000000*D13/TrRail_act!D28)</f>
        <v>284953.79016301362</v>
      </c>
      <c r="E48" s="110">
        <f>IF(E13=0,0,1000000*E13/TrRail_act!E28)</f>
        <v>279607.88857954723</v>
      </c>
      <c r="F48" s="110">
        <f>IF(F13=0,0,1000000*F13/TrRail_act!F28)</f>
        <v>253268.79460177777</v>
      </c>
      <c r="G48" s="110">
        <f>IF(G13=0,0,1000000*G13/TrRail_act!G28)</f>
        <v>257175.05745533053</v>
      </c>
      <c r="H48" s="110">
        <f>IF(H13=0,0,1000000*H13/TrRail_act!H28)</f>
        <v>213791.65380468228</v>
      </c>
      <c r="I48" s="110">
        <f>IF(I13=0,0,1000000*I13/TrRail_act!I28)</f>
        <v>230596.44960610801</v>
      </c>
      <c r="J48" s="110">
        <f>IF(J13=0,0,1000000*J13/TrRail_act!J28)</f>
        <v>214907.19681755613</v>
      </c>
      <c r="K48" s="110">
        <f>IF(K13=0,0,1000000*K13/TrRail_act!K28)</f>
        <v>218004.72728344196</v>
      </c>
      <c r="L48" s="110">
        <f>IF(L13=0,0,1000000*L13/TrRail_act!L28)</f>
        <v>193805.10756955095</v>
      </c>
      <c r="M48" s="110">
        <f>IF(M13=0,0,1000000*M13/TrRail_act!M28)</f>
        <v>197457.57456504859</v>
      </c>
      <c r="N48" s="110">
        <f>IF(N13=0,0,1000000*N13/TrRail_act!N28)</f>
        <v>201336.36893855885</v>
      </c>
      <c r="O48" s="110">
        <f>IF(O13=0,0,1000000*O13/TrRail_act!O28)</f>
        <v>197780.12550394246</v>
      </c>
      <c r="P48" s="110">
        <f>IF(P13=0,0,1000000*P13/TrRail_act!P28)</f>
        <v>189942.42515022639</v>
      </c>
      <c r="Q48" s="110">
        <f>IF(Q13=0,0,1000000*Q13/TrRail_act!Q28)</f>
        <v>182712.52701149788</v>
      </c>
      <c r="R48" s="110">
        <f>IF(R13=0,0,1000000*R13/TrRail_act!R28)</f>
        <v>182382.82785836002</v>
      </c>
      <c r="S48" s="110">
        <f>IF(S13=0,0,1000000*S13/TrRail_act!S28)</f>
        <v>179289.72198876482</v>
      </c>
      <c r="T48" s="110">
        <f>IF(T13=0,0,1000000*T13/TrRail_act!T28)</f>
        <v>181145.47484471393</v>
      </c>
      <c r="U48" s="110">
        <f>IF(U13=0,0,1000000*U13/TrRail_act!U28)</f>
        <v>176487.22510535596</v>
      </c>
      <c r="V48" s="110">
        <f>IF(V13=0,0,1000000*V13/TrRail_act!V28)</f>
        <v>164408.71172858632</v>
      </c>
      <c r="W48" s="110">
        <f>IF(W13=0,0,1000000*W13/TrRail_act!W28)</f>
        <v>177262.89568007103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419616.45326618443</v>
      </c>
      <c r="C49" s="84">
        <f>IF(C14=0,0,1000000*C14/TrRail_act!C29)</f>
        <v>408059.825177319</v>
      </c>
      <c r="D49" s="84">
        <f>IF(D14=0,0,1000000*D14/TrRail_act!D29)</f>
        <v>398298.37130263663</v>
      </c>
      <c r="E49" s="84">
        <f>IF(E14=0,0,1000000*E14/TrRail_act!E29)</f>
        <v>379540.5999361531</v>
      </c>
      <c r="F49" s="84">
        <f>IF(F14=0,0,1000000*F14/TrRail_act!F29)</f>
        <v>339299.73453395203</v>
      </c>
      <c r="G49" s="84">
        <f>IF(G14=0,0,1000000*G14/TrRail_act!G29)</f>
        <v>363545.65727575496</v>
      </c>
      <c r="H49" s="84">
        <f>IF(H14=0,0,1000000*H14/TrRail_act!H29)</f>
        <v>249926.71357301547</v>
      </c>
      <c r="I49" s="84">
        <f>IF(I14=0,0,1000000*I14/TrRail_act!I29)</f>
        <v>326215.2900470437</v>
      </c>
      <c r="J49" s="84">
        <f>IF(J14=0,0,1000000*J14/TrRail_act!J29)</f>
        <v>286384.17718567915</v>
      </c>
      <c r="K49" s="84">
        <f>IF(K14=0,0,1000000*K14/TrRail_act!K29)</f>
        <v>306347.13105787762</v>
      </c>
      <c r="L49" s="84">
        <f>IF(L14=0,0,1000000*L14/TrRail_act!L29)</f>
        <v>208692.55730439504</v>
      </c>
      <c r="M49" s="84">
        <f>IF(M14=0,0,1000000*M14/TrRail_act!M29)</f>
        <v>242886.5702874233</v>
      </c>
      <c r="N49" s="84">
        <f>IF(N14=0,0,1000000*N14/TrRail_act!N29)</f>
        <v>280709.09671988321</v>
      </c>
      <c r="O49" s="84">
        <f>IF(O14=0,0,1000000*O14/TrRail_act!O29)</f>
        <v>276321.99407630943</v>
      </c>
      <c r="P49" s="84">
        <f>IF(P14=0,0,1000000*P14/TrRail_act!P29)</f>
        <v>266824.57130308991</v>
      </c>
      <c r="Q49" s="84">
        <f>IF(Q14=0,0,1000000*Q14/TrRail_act!Q29)</f>
        <v>252668.78059714497</v>
      </c>
      <c r="R49" s="84">
        <f>IF(R14=0,0,1000000*R14/TrRail_act!R29)</f>
        <v>247397.94043379603</v>
      </c>
      <c r="S49" s="84">
        <f>IF(S14=0,0,1000000*S14/TrRail_act!S29)</f>
        <v>243517.09324456201</v>
      </c>
      <c r="T49" s="84">
        <f>IF(T14=0,0,1000000*T14/TrRail_act!T29)</f>
        <v>240646.46117086851</v>
      </c>
      <c r="U49" s="84">
        <f>IF(U14=0,0,1000000*U14/TrRail_act!U29)</f>
        <v>221751.92745049138</v>
      </c>
      <c r="V49" s="84">
        <f>IF(V14=0,0,1000000*V14/TrRail_act!V29)</f>
        <v>236930.04808838427</v>
      </c>
      <c r="W49" s="84">
        <f>IF(W14=0,0,1000000*W14/TrRail_act!W29)</f>
        <v>235747.71881490274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256562.32009482424</v>
      </c>
      <c r="C50" s="84">
        <f>IF(C15=0,0,1000000*C15/TrRail_act!C30)</f>
        <v>253238.56385741115</v>
      </c>
      <c r="D50" s="84">
        <f>IF(D15=0,0,1000000*D15/TrRail_act!D30)</f>
        <v>248953.50222262734</v>
      </c>
      <c r="E50" s="84">
        <f>IF(E15=0,0,1000000*E15/TrRail_act!E30)</f>
        <v>245188.72710629733</v>
      </c>
      <c r="F50" s="84">
        <f>IF(F15=0,0,1000000*F15/TrRail_act!F30)</f>
        <v>225059.20325061271</v>
      </c>
      <c r="G50" s="84">
        <f>IF(G15=0,0,1000000*G15/TrRail_act!G30)</f>
        <v>219953.77680037485</v>
      </c>
      <c r="H50" s="84">
        <f>IF(H15=0,0,1000000*H15/TrRail_act!H30)</f>
        <v>201296.52175220859</v>
      </c>
      <c r="I50" s="84">
        <f>IF(I15=0,0,1000000*I15/TrRail_act!I30)</f>
        <v>199515.69611100678</v>
      </c>
      <c r="J50" s="84">
        <f>IF(J15=0,0,1000000*J15/TrRail_act!J30)</f>
        <v>194827.05068607745</v>
      </c>
      <c r="K50" s="84">
        <f>IF(K15=0,0,1000000*K15/TrRail_act!K30)</f>
        <v>193039.54608937175</v>
      </c>
      <c r="L50" s="84">
        <f>IF(L15=0,0,1000000*L15/TrRail_act!L30)</f>
        <v>190312.15522111772</v>
      </c>
      <c r="M50" s="84">
        <f>IF(M15=0,0,1000000*M15/TrRail_act!M30)</f>
        <v>187984.24374218049</v>
      </c>
      <c r="N50" s="84">
        <f>IF(N15=0,0,1000000*N15/TrRail_act!N30)</f>
        <v>186672.11710378435</v>
      </c>
      <c r="O50" s="84">
        <f>IF(O15=0,0,1000000*O15/TrRail_act!O30)</f>
        <v>184393.5964883047</v>
      </c>
      <c r="P50" s="84">
        <f>IF(P15=0,0,1000000*P15/TrRail_act!P30)</f>
        <v>177445.52537468015</v>
      </c>
      <c r="Q50" s="84">
        <f>IF(Q15=0,0,1000000*Q15/TrRail_act!Q30)</f>
        <v>173047.39634897598</v>
      </c>
      <c r="R50" s="84">
        <f>IF(R15=0,0,1000000*R15/TrRail_act!R30)</f>
        <v>171518.69178866685</v>
      </c>
      <c r="S50" s="84">
        <f>IF(S15=0,0,1000000*S15/TrRail_act!S30)</f>
        <v>170381.03246427607</v>
      </c>
      <c r="T50" s="84">
        <f>IF(T15=0,0,1000000*T15/TrRail_act!T30)</f>
        <v>169532.74270623852</v>
      </c>
      <c r="U50" s="84">
        <f>IF(U15=0,0,1000000*U15/TrRail_act!U30)</f>
        <v>168899.29811058549</v>
      </c>
      <c r="V50" s="84">
        <f>IF(V15=0,0,1000000*V15/TrRail_act!V30)</f>
        <v>152310.41785377983</v>
      </c>
      <c r="W50" s="84">
        <f>IF(W15=0,0,1000000*W15/TrRail_act!W30)</f>
        <v>168071.49248316386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911737.15536346275</v>
      </c>
      <c r="R51" s="113">
        <f>IF(R16=0,0,1000000*R16/TrRail_act!R31)</f>
        <v>902639.16736889444</v>
      </c>
      <c r="S51" s="113">
        <f>IF(S16=0,0,1000000*S16/TrRail_act!S31)</f>
        <v>852547.83277259907</v>
      </c>
      <c r="T51" s="113">
        <f>IF(T16=0,0,1000000*T16/TrRail_act!T31)</f>
        <v>873040.94961604173</v>
      </c>
      <c r="U51" s="113">
        <f>IF(U16=0,0,1000000*U16/TrRail_act!U31)</f>
        <v>887074.31743441068</v>
      </c>
      <c r="V51" s="113">
        <f>IF(V16=0,0,1000000*V16/TrRail_act!V31)</f>
        <v>830304.77715053724</v>
      </c>
      <c r="W51" s="113">
        <f>IF(W16=0,0,1000000*W16/TrRail_act!W31)</f>
        <v>846878.99045827729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549378.72986960434</v>
      </c>
      <c r="C52" s="28">
        <f>IF(C17=0,0,1000000*C17/TrRail_act!C32)</f>
        <v>545103.4040340262</v>
      </c>
      <c r="D52" s="28">
        <f>IF(D17=0,0,1000000*D17/TrRail_act!D32)</f>
        <v>538320.31149829703</v>
      </c>
      <c r="E52" s="28">
        <f>IF(E17=0,0,1000000*E17/TrRail_act!E32)</f>
        <v>531170.80371492577</v>
      </c>
      <c r="F52" s="28">
        <f>IF(F17=0,0,1000000*F17/TrRail_act!F32)</f>
        <v>515640.80641491187</v>
      </c>
      <c r="G52" s="28">
        <f>IF(G17=0,0,1000000*G17/TrRail_act!G32)</f>
        <v>498442.57086529623</v>
      </c>
      <c r="H52" s="28">
        <f>IF(H17=0,0,1000000*H17/TrRail_act!H32)</f>
        <v>490507.24003494281</v>
      </c>
      <c r="I52" s="28">
        <f>IF(I17=0,0,1000000*I17/TrRail_act!I32)</f>
        <v>445411.3130899886</v>
      </c>
      <c r="J52" s="28">
        <f>IF(J17=0,0,1000000*J17/TrRail_act!J32)</f>
        <v>442259.26629538095</v>
      </c>
      <c r="K52" s="28">
        <f>IF(K17=0,0,1000000*K17/TrRail_act!K32)</f>
        <v>408118.75776813901</v>
      </c>
      <c r="L52" s="28">
        <f>IF(L17=0,0,1000000*L17/TrRail_act!L32)</f>
        <v>464748.2285803337</v>
      </c>
      <c r="M52" s="28">
        <f>IF(M17=0,0,1000000*M17/TrRail_act!M32)</f>
        <v>458067.56644982431</v>
      </c>
      <c r="N52" s="28">
        <f>IF(N17=0,0,1000000*N17/TrRail_act!N32)</f>
        <v>444967.55058772385</v>
      </c>
      <c r="O52" s="28">
        <f>IF(O17=0,0,1000000*O17/TrRail_act!O32)</f>
        <v>433572.62172784656</v>
      </c>
      <c r="P52" s="28">
        <f>IF(P17=0,0,1000000*P17/TrRail_act!P32)</f>
        <v>413224.89616922848</v>
      </c>
      <c r="Q52" s="28">
        <f>IF(Q17=0,0,1000000*Q17/TrRail_act!Q32)</f>
        <v>402772.92338991509</v>
      </c>
      <c r="R52" s="28">
        <f>IF(R17=0,0,1000000*R17/TrRail_act!R32)</f>
        <v>383457.14837682032</v>
      </c>
      <c r="S52" s="28">
        <f>IF(S17=0,0,1000000*S17/TrRail_act!S32)</f>
        <v>396250.24700079026</v>
      </c>
      <c r="T52" s="28">
        <f>IF(T17=0,0,1000000*T17/TrRail_act!T32)</f>
        <v>392606.74684063409</v>
      </c>
      <c r="U52" s="28">
        <f>IF(U17=0,0,1000000*U17/TrRail_act!U32)</f>
        <v>377368.42100407736</v>
      </c>
      <c r="V52" s="28">
        <f>IF(V17=0,0,1000000*V17/TrRail_act!V32)</f>
        <v>372104.10879240051</v>
      </c>
      <c r="W52" s="28">
        <f>IF(W17=0,0,1000000*W17/TrRail_act!W32)</f>
        <v>380699.26606745709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1146448.9624197443</v>
      </c>
      <c r="C53" s="84">
        <f>IF(C18=0,0,1000000*C18/TrRail_act!C33)</f>
        <v>1138931.2014791316</v>
      </c>
      <c r="D53" s="84">
        <f>IF(D18=0,0,1000000*D18/TrRail_act!D33)</f>
        <v>1086316.6404946202</v>
      </c>
      <c r="E53" s="84">
        <f>IF(E18=0,0,1000000*E18/TrRail_act!E33)</f>
        <v>1015428.1008273612</v>
      </c>
      <c r="F53" s="84">
        <f>IF(F18=0,0,1000000*F18/TrRail_act!F33)</f>
        <v>954431.51755605103</v>
      </c>
      <c r="G53" s="84">
        <f>IF(G18=0,0,1000000*G18/TrRail_act!G33)</f>
        <v>903747.62059609685</v>
      </c>
      <c r="H53" s="84">
        <f>IF(H18=0,0,1000000*H18/TrRail_act!H33)</f>
        <v>863009.07791219454</v>
      </c>
      <c r="I53" s="84">
        <f>IF(I18=0,0,1000000*I18/TrRail_act!I33)</f>
        <v>723650.50886681327</v>
      </c>
      <c r="J53" s="84">
        <f>IF(J18=0,0,1000000*J18/TrRail_act!J33)</f>
        <v>741512.86317822512</v>
      </c>
      <c r="K53" s="84">
        <f>IF(K18=0,0,1000000*K18/TrRail_act!K33)</f>
        <v>692974.5285124802</v>
      </c>
      <c r="L53" s="84">
        <f>IF(L18=0,0,1000000*L18/TrRail_act!L33)</f>
        <v>791167.97851626924</v>
      </c>
      <c r="M53" s="84">
        <f>IF(M18=0,0,1000000*M18/TrRail_act!M33)</f>
        <v>784989.52498768514</v>
      </c>
      <c r="N53" s="84">
        <f>IF(N18=0,0,1000000*N18/TrRail_act!N33)</f>
        <v>723814.2141616185</v>
      </c>
      <c r="O53" s="84">
        <f>IF(O18=0,0,1000000*O18/TrRail_act!O33)</f>
        <v>712637.57906774164</v>
      </c>
      <c r="P53" s="84">
        <f>IF(P18=0,0,1000000*P18/TrRail_act!P33)</f>
        <v>680158.30495404825</v>
      </c>
      <c r="Q53" s="84">
        <f>IF(Q18=0,0,1000000*Q18/TrRail_act!Q33)</f>
        <v>680278.08063214214</v>
      </c>
      <c r="R53" s="84">
        <f>IF(R18=0,0,1000000*R18/TrRail_act!R33)</f>
        <v>636982.56632310431</v>
      </c>
      <c r="S53" s="84">
        <f>IF(S18=0,0,1000000*S18/TrRail_act!S33)</f>
        <v>729392.08761916298</v>
      </c>
      <c r="T53" s="84">
        <f>IF(T18=0,0,1000000*T18/TrRail_act!T33)</f>
        <v>727332.40477309888</v>
      </c>
      <c r="U53" s="84">
        <f>IF(U18=0,0,1000000*U18/TrRail_act!U33)</f>
        <v>669401.4977316492</v>
      </c>
      <c r="V53" s="84">
        <f>IF(V18=0,0,1000000*V18/TrRail_act!V33)</f>
        <v>683898.08043976116</v>
      </c>
      <c r="W53" s="84">
        <f>IF(W18=0,0,1000000*W18/TrRail_act!W33)</f>
        <v>723773.93964286684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463441.59978736332</v>
      </c>
      <c r="C54" s="86">
        <f>IF(C19=0,0,1000000*C19/TrRail_act!C34)</f>
        <v>456854.18674801278</v>
      </c>
      <c r="D54" s="86">
        <f>IF(D19=0,0,1000000*D19/TrRail_act!D34)</f>
        <v>449697.40392929851</v>
      </c>
      <c r="E54" s="86">
        <f>IF(E19=0,0,1000000*E19/TrRail_act!E34)</f>
        <v>447370.60579982545</v>
      </c>
      <c r="F54" s="86">
        <f>IF(F19=0,0,1000000*F19/TrRail_act!F34)</f>
        <v>406535.91334623622</v>
      </c>
      <c r="G54" s="86">
        <f>IF(G19=0,0,1000000*G19/TrRail_act!G34)</f>
        <v>397313.72109532298</v>
      </c>
      <c r="H54" s="86">
        <f>IF(H19=0,0,1000000*H19/TrRail_act!H34)</f>
        <v>362642.00333616504</v>
      </c>
      <c r="I54" s="86">
        <f>IF(I19=0,0,1000000*I19/TrRail_act!I34)</f>
        <v>360395.37423543562</v>
      </c>
      <c r="J54" s="86">
        <f>IF(J19=0,0,1000000*J19/TrRail_act!J34)</f>
        <v>351926.03454071481</v>
      </c>
      <c r="K54" s="86">
        <f>IF(K19=0,0,1000000*K19/TrRail_act!K34)</f>
        <v>315861.62949103827</v>
      </c>
      <c r="L54" s="86">
        <f>IF(L19=0,0,1000000*L19/TrRail_act!L34)</f>
        <v>343770.54918363917</v>
      </c>
      <c r="M54" s="86">
        <f>IF(M19=0,0,1000000*M19/TrRail_act!M34)</f>
        <v>339565.52431762352</v>
      </c>
      <c r="N54" s="86">
        <f>IF(N19=0,0,1000000*N19/TrRail_act!N34)</f>
        <v>337195.36297273391</v>
      </c>
      <c r="O54" s="86">
        <f>IF(O19=0,0,1000000*O19/TrRail_act!O34)</f>
        <v>333079.55532626947</v>
      </c>
      <c r="P54" s="86">
        <f>IF(P19=0,0,1000000*P19/TrRail_act!P34)</f>
        <v>320528.89975637151</v>
      </c>
      <c r="Q54" s="86">
        <f>IF(Q19=0,0,1000000*Q19/TrRail_act!Q34)</f>
        <v>312584.33498604503</v>
      </c>
      <c r="R54" s="86">
        <f>IF(R19=0,0,1000000*R19/TrRail_act!R34)</f>
        <v>308289.18045865867</v>
      </c>
      <c r="S54" s="86">
        <f>IF(S19=0,0,1000000*S19/TrRail_act!S34)</f>
        <v>305106.5908859566</v>
      </c>
      <c r="T54" s="86">
        <f>IF(T19=0,0,1000000*T19/TrRail_act!T34)</f>
        <v>302741.22885193175</v>
      </c>
      <c r="U54" s="86">
        <f>IF(U19=0,0,1000000*U19/TrRail_act!U34)</f>
        <v>300979.24844886997</v>
      </c>
      <c r="V54" s="86">
        <f>IF(V19=0,0,1000000*V19/TrRail_act!V34)</f>
        <v>299664.49695679761</v>
      </c>
      <c r="W54" s="86">
        <f>IF(W19=0,0,1000000*W19/TrRail_act!W34)</f>
        <v>298682.20276236394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0.54762666532710447</v>
      </c>
      <c r="C57" s="31">
        <f t="shared" ref="C57:V57" si="17">IF(C11=0,0,C11/C$10)</f>
        <v>0.58849700319931086</v>
      </c>
      <c r="D57" s="31">
        <f t="shared" si="17"/>
        <v>0.60808663924400541</v>
      </c>
      <c r="E57" s="31">
        <f t="shared" si="17"/>
        <v>0.60220388457210994</v>
      </c>
      <c r="F57" s="31">
        <f t="shared" si="17"/>
        <v>0.5630998382761826</v>
      </c>
      <c r="G57" s="31">
        <f t="shared" si="17"/>
        <v>0.58060730507401181</v>
      </c>
      <c r="H57" s="31">
        <f t="shared" si="17"/>
        <v>0.50548960878610216</v>
      </c>
      <c r="I57" s="31">
        <f t="shared" si="17"/>
        <v>0.54720891534609351</v>
      </c>
      <c r="J57" s="31">
        <f t="shared" si="17"/>
        <v>0.54332924889981882</v>
      </c>
      <c r="K57" s="31">
        <f t="shared" si="17"/>
        <v>0.59269278749908483</v>
      </c>
      <c r="L57" s="31">
        <f t="shared" si="17"/>
        <v>0.5408485354672995</v>
      </c>
      <c r="M57" s="31">
        <f t="shared" si="17"/>
        <v>0.51641415085319498</v>
      </c>
      <c r="N57" s="31">
        <f t="shared" si="17"/>
        <v>0.55667166842314941</v>
      </c>
      <c r="O57" s="31">
        <f t="shared" si="17"/>
        <v>0.55858441423502414</v>
      </c>
      <c r="P57" s="31">
        <f t="shared" si="17"/>
        <v>0.56420311158244818</v>
      </c>
      <c r="Q57" s="31">
        <f t="shared" si="17"/>
        <v>0.58273342883939894</v>
      </c>
      <c r="R57" s="31">
        <f t="shared" si="17"/>
        <v>0.6189385878939071</v>
      </c>
      <c r="S57" s="31">
        <f t="shared" si="17"/>
        <v>0.59026649562178424</v>
      </c>
      <c r="T57" s="31">
        <f t="shared" si="17"/>
        <v>0.58433014369650604</v>
      </c>
      <c r="U57" s="31">
        <f t="shared" si="17"/>
        <v>0.59527127656655543</v>
      </c>
      <c r="V57" s="31">
        <f t="shared" si="17"/>
        <v>0.56136707518923989</v>
      </c>
      <c r="W57" s="31">
        <f t="shared" ref="W57" si="18">IF(W11=0,0,W11/W$10)</f>
        <v>0.57978936175421014</v>
      </c>
      <c r="DA57" s="173"/>
    </row>
    <row r="58" spans="1:105" ht="11.45" customHeight="1" x14ac:dyDescent="0.25">
      <c r="A58" s="107" t="s">
        <v>23</v>
      </c>
      <c r="B58" s="123">
        <f t="shared" si="14"/>
        <v>4.8407809913037177E-2</v>
      </c>
      <c r="C58" s="123">
        <f t="shared" ref="C58:V58" si="19">IF(C12=0,0,C12/C$10)</f>
        <v>4.8318827933798394E-2</v>
      </c>
      <c r="D58" s="123">
        <f t="shared" si="19"/>
        <v>4.8808873486898281E-2</v>
      </c>
      <c r="E58" s="123">
        <f t="shared" si="19"/>
        <v>4.5774202127777698E-2</v>
      </c>
      <c r="F58" s="123">
        <f t="shared" si="19"/>
        <v>4.7461638313041982E-2</v>
      </c>
      <c r="G58" s="123">
        <f t="shared" si="19"/>
        <v>4.7599568671885278E-2</v>
      </c>
      <c r="H58" s="123">
        <f t="shared" si="19"/>
        <v>5.3120424672281584E-2</v>
      </c>
      <c r="I58" s="123">
        <f t="shared" si="19"/>
        <v>5.1417790921280147E-2</v>
      </c>
      <c r="J58" s="123">
        <f t="shared" si="19"/>
        <v>5.4294316078875235E-2</v>
      </c>
      <c r="K58" s="123">
        <f t="shared" si="19"/>
        <v>5.5627108746448078E-2</v>
      </c>
      <c r="L58" s="123">
        <f t="shared" si="19"/>
        <v>5.6118353331551442E-2</v>
      </c>
      <c r="M58" s="123">
        <f t="shared" si="19"/>
        <v>5.504041486981593E-2</v>
      </c>
      <c r="N58" s="123">
        <f t="shared" si="19"/>
        <v>5.7997540315007465E-2</v>
      </c>
      <c r="O58" s="123">
        <f t="shared" si="19"/>
        <v>5.5389922720078283E-2</v>
      </c>
      <c r="P58" s="123">
        <f t="shared" si="19"/>
        <v>6.006522074716656E-2</v>
      </c>
      <c r="Q58" s="123">
        <f t="shared" si="19"/>
        <v>5.8473528218309853E-2</v>
      </c>
      <c r="R58" s="123">
        <f t="shared" si="19"/>
        <v>5.7103593439748718E-2</v>
      </c>
      <c r="S58" s="123">
        <f t="shared" si="19"/>
        <v>5.3920129082652542E-2</v>
      </c>
      <c r="T58" s="123">
        <f t="shared" si="19"/>
        <v>4.9662862380882439E-2</v>
      </c>
      <c r="U58" s="123">
        <f t="shared" si="19"/>
        <v>5.3140876982387092E-2</v>
      </c>
      <c r="V58" s="123">
        <f t="shared" si="19"/>
        <v>5.5604552351510406E-2</v>
      </c>
      <c r="W58" s="123">
        <f t="shared" ref="W58" si="20">IF(W12=0,0,W12/W$10)</f>
        <v>4.8351352598740537E-2</v>
      </c>
      <c r="DA58" s="203"/>
    </row>
    <row r="59" spans="1:105" ht="11.45" customHeight="1" x14ac:dyDescent="0.25">
      <c r="A59" s="109" t="s">
        <v>24</v>
      </c>
      <c r="B59" s="124">
        <f t="shared" si="14"/>
        <v>0.4992188554140673</v>
      </c>
      <c r="C59" s="124">
        <f t="shared" ref="C59:V59" si="21">IF(C13=0,0,C13/C$10)</f>
        <v>0.54017817526551248</v>
      </c>
      <c r="D59" s="124">
        <f t="shared" si="21"/>
        <v>0.55927776575710708</v>
      </c>
      <c r="E59" s="124">
        <f t="shared" si="21"/>
        <v>0.55642968244433222</v>
      </c>
      <c r="F59" s="124">
        <f t="shared" si="21"/>
        <v>0.51563819996314064</v>
      </c>
      <c r="G59" s="124">
        <f t="shared" si="21"/>
        <v>0.53300773640212651</v>
      </c>
      <c r="H59" s="124">
        <f t="shared" si="21"/>
        <v>0.4523691841138206</v>
      </c>
      <c r="I59" s="124">
        <f t="shared" si="21"/>
        <v>0.49579112442481327</v>
      </c>
      <c r="J59" s="124">
        <f t="shared" si="21"/>
        <v>0.48903493282094362</v>
      </c>
      <c r="K59" s="124">
        <f t="shared" si="21"/>
        <v>0.53706567875263678</v>
      </c>
      <c r="L59" s="124">
        <f t="shared" si="21"/>
        <v>0.48473018213574803</v>
      </c>
      <c r="M59" s="124">
        <f t="shared" si="21"/>
        <v>0.46137373598337911</v>
      </c>
      <c r="N59" s="124">
        <f t="shared" si="21"/>
        <v>0.49867412810814188</v>
      </c>
      <c r="O59" s="124">
        <f t="shared" si="21"/>
        <v>0.50319449151494577</v>
      </c>
      <c r="P59" s="124">
        <f t="shared" si="21"/>
        <v>0.50413789083528171</v>
      </c>
      <c r="Q59" s="124">
        <f t="shared" si="21"/>
        <v>0.51483656594931015</v>
      </c>
      <c r="R59" s="124">
        <f t="shared" si="21"/>
        <v>0.53544371621211295</v>
      </c>
      <c r="S59" s="124">
        <f t="shared" si="21"/>
        <v>0.51222489676016592</v>
      </c>
      <c r="T59" s="124">
        <f t="shared" si="21"/>
        <v>0.51187484545144946</v>
      </c>
      <c r="U59" s="124">
        <f t="shared" si="21"/>
        <v>0.51614600250400167</v>
      </c>
      <c r="V59" s="124">
        <f t="shared" si="21"/>
        <v>0.47961283529746468</v>
      </c>
      <c r="W59" s="124">
        <f t="shared" ref="W59" si="22">IF(W13=0,0,W13/W$10)</f>
        <v>0.50732052432663732</v>
      </c>
      <c r="DA59" s="176"/>
    </row>
    <row r="60" spans="1:105" ht="11.45" customHeight="1" x14ac:dyDescent="0.25">
      <c r="A60" s="111" t="s">
        <v>92</v>
      </c>
      <c r="B60" s="125">
        <f t="shared" si="14"/>
        <v>0.19505743846353046</v>
      </c>
      <c r="C60" s="125">
        <f t="shared" ref="C60:V60" si="23">IF(C14=0,0,C14/C$10)</f>
        <v>0.19942652875517855</v>
      </c>
      <c r="D60" s="125">
        <f t="shared" si="23"/>
        <v>0.18844183068893988</v>
      </c>
      <c r="E60" s="125">
        <f t="shared" si="23"/>
        <v>0.19349763883004262</v>
      </c>
      <c r="F60" s="125">
        <f t="shared" si="23"/>
        <v>0.17057818963943933</v>
      </c>
      <c r="G60" s="125">
        <f t="shared" si="23"/>
        <v>0.1953102594253415</v>
      </c>
      <c r="H60" s="125">
        <f t="shared" si="23"/>
        <v>0.13587820838908535</v>
      </c>
      <c r="I60" s="125">
        <f t="shared" si="23"/>
        <v>0.17205478703829444</v>
      </c>
      <c r="J60" s="125">
        <f t="shared" si="23"/>
        <v>0.14292646678535914</v>
      </c>
      <c r="K60" s="125">
        <f t="shared" si="23"/>
        <v>0.16628422298245302</v>
      </c>
      <c r="L60" s="125">
        <f t="shared" si="23"/>
        <v>9.9192642069126508E-2</v>
      </c>
      <c r="M60" s="125">
        <f t="shared" si="23"/>
        <v>9.7925213683484669E-2</v>
      </c>
      <c r="N60" s="125">
        <f t="shared" si="23"/>
        <v>0.10842073087673544</v>
      </c>
      <c r="O60" s="125">
        <f t="shared" si="23"/>
        <v>0.10237336485747407</v>
      </c>
      <c r="P60" s="125">
        <f t="shared" si="23"/>
        <v>9.9019277705476957E-2</v>
      </c>
      <c r="Q60" s="125">
        <f t="shared" si="23"/>
        <v>8.642326130152693E-2</v>
      </c>
      <c r="R60" s="125">
        <f t="shared" si="23"/>
        <v>0.10399157009364526</v>
      </c>
      <c r="S60" s="125">
        <f t="shared" si="23"/>
        <v>8.474556895044949E-2</v>
      </c>
      <c r="T60" s="125">
        <f t="shared" si="23"/>
        <v>0.1110444349682126</v>
      </c>
      <c r="U60" s="125">
        <f t="shared" si="23"/>
        <v>9.3107194951100175E-2</v>
      </c>
      <c r="V60" s="125">
        <f t="shared" si="23"/>
        <v>9.8818696222047336E-2</v>
      </c>
      <c r="W60" s="125">
        <f t="shared" ref="W60" si="24">IF(W14=0,0,W14/W$10)</f>
        <v>9.1634238609775015E-2</v>
      </c>
      <c r="DA60" s="171"/>
    </row>
    <row r="61" spans="1:105" ht="11.45" customHeight="1" x14ac:dyDescent="0.25">
      <c r="A61" s="111" t="s">
        <v>93</v>
      </c>
      <c r="B61" s="125">
        <f t="shared" si="14"/>
        <v>0.30416141695053689</v>
      </c>
      <c r="C61" s="125">
        <f t="shared" ref="C61:V61" si="25">IF(C15=0,0,C15/C$10)</f>
        <v>0.34075164651033396</v>
      </c>
      <c r="D61" s="125">
        <f t="shared" si="25"/>
        <v>0.3708359350681672</v>
      </c>
      <c r="E61" s="125">
        <f t="shared" si="25"/>
        <v>0.36293204361428955</v>
      </c>
      <c r="F61" s="125">
        <f t="shared" si="25"/>
        <v>0.34506001032370126</v>
      </c>
      <c r="G61" s="125">
        <f t="shared" si="25"/>
        <v>0.33769747697678498</v>
      </c>
      <c r="H61" s="125">
        <f t="shared" si="25"/>
        <v>0.31649097572473522</v>
      </c>
      <c r="I61" s="125">
        <f t="shared" si="25"/>
        <v>0.32373633738651886</v>
      </c>
      <c r="J61" s="125">
        <f t="shared" si="25"/>
        <v>0.34610846603558448</v>
      </c>
      <c r="K61" s="125">
        <f t="shared" si="25"/>
        <v>0.37078145577018379</v>
      </c>
      <c r="L61" s="125">
        <f t="shared" si="25"/>
        <v>0.38553754006662155</v>
      </c>
      <c r="M61" s="125">
        <f t="shared" si="25"/>
        <v>0.36344852229989438</v>
      </c>
      <c r="N61" s="125">
        <f t="shared" si="25"/>
        <v>0.39025339723140645</v>
      </c>
      <c r="O61" s="125">
        <f t="shared" si="25"/>
        <v>0.40082112665747177</v>
      </c>
      <c r="P61" s="125">
        <f t="shared" si="25"/>
        <v>0.40511861312980474</v>
      </c>
      <c r="Q61" s="125">
        <f t="shared" si="25"/>
        <v>0.42841330464778321</v>
      </c>
      <c r="R61" s="125">
        <f t="shared" si="25"/>
        <v>0.43145214611846766</v>
      </c>
      <c r="S61" s="125">
        <f t="shared" si="25"/>
        <v>0.42747932780971643</v>
      </c>
      <c r="T61" s="125">
        <f t="shared" si="25"/>
        <v>0.40083041048323687</v>
      </c>
      <c r="U61" s="125">
        <f t="shared" si="25"/>
        <v>0.42303880755290146</v>
      </c>
      <c r="V61" s="125">
        <f t="shared" si="25"/>
        <v>0.38079413907541731</v>
      </c>
      <c r="W61" s="125">
        <f t="shared" ref="W61" si="26">IF(W15=0,0,W15/W$10)</f>
        <v>0.41568628571686228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9.4233346717788775E-3</v>
      </c>
      <c r="R62" s="126">
        <f t="shared" si="27"/>
        <v>2.6391278242045464E-2</v>
      </c>
      <c r="S62" s="126">
        <f t="shared" si="27"/>
        <v>2.4121469778965766E-2</v>
      </c>
      <c r="T62" s="126">
        <f t="shared" si="27"/>
        <v>2.2792435864173993E-2</v>
      </c>
      <c r="U62" s="126">
        <f t="shared" si="27"/>
        <v>2.5984397080166689E-2</v>
      </c>
      <c r="V62" s="126">
        <f t="shared" si="27"/>
        <v>2.6149687540264761E-2</v>
      </c>
      <c r="W62" s="126">
        <f t="shared" ref="W62" si="28">IF(W16=0,0,W16/W$10)</f>
        <v>2.4117484828832345E-2</v>
      </c>
      <c r="DA62" s="204"/>
    </row>
    <row r="63" spans="1:105" ht="11.45" customHeight="1" x14ac:dyDescent="0.25">
      <c r="A63" s="27" t="s">
        <v>34</v>
      </c>
      <c r="B63" s="31">
        <f t="shared" si="14"/>
        <v>0.45237333467289553</v>
      </c>
      <c r="C63" s="31">
        <f t="shared" ref="C63:V63" si="29">IF(C17=0,0,C17/C$10)</f>
        <v>0.41150299680068914</v>
      </c>
      <c r="D63" s="31">
        <f t="shared" si="29"/>
        <v>0.3919133607559947</v>
      </c>
      <c r="E63" s="31">
        <f t="shared" si="29"/>
        <v>0.39779611542789012</v>
      </c>
      <c r="F63" s="31">
        <f t="shared" si="29"/>
        <v>0.4369001617238174</v>
      </c>
      <c r="G63" s="31">
        <f t="shared" si="29"/>
        <v>0.41939269492598819</v>
      </c>
      <c r="H63" s="31">
        <f t="shared" si="29"/>
        <v>0.49451039121389784</v>
      </c>
      <c r="I63" s="31">
        <f t="shared" si="29"/>
        <v>0.45279108465390655</v>
      </c>
      <c r="J63" s="31">
        <f t="shared" si="29"/>
        <v>0.45667075110018113</v>
      </c>
      <c r="K63" s="31">
        <f t="shared" si="29"/>
        <v>0.40730721250091523</v>
      </c>
      <c r="L63" s="31">
        <f t="shared" si="29"/>
        <v>0.4591514645327005</v>
      </c>
      <c r="M63" s="31">
        <f t="shared" si="29"/>
        <v>0.48358584914680502</v>
      </c>
      <c r="N63" s="31">
        <f t="shared" si="29"/>
        <v>0.44332833157685053</v>
      </c>
      <c r="O63" s="31">
        <f t="shared" si="29"/>
        <v>0.44141558576497592</v>
      </c>
      <c r="P63" s="31">
        <f t="shared" si="29"/>
        <v>0.43579688841755188</v>
      </c>
      <c r="Q63" s="31">
        <f t="shared" si="29"/>
        <v>0.41726657116060117</v>
      </c>
      <c r="R63" s="31">
        <f t="shared" si="29"/>
        <v>0.38106141210609279</v>
      </c>
      <c r="S63" s="31">
        <f t="shared" si="29"/>
        <v>0.40973350437821582</v>
      </c>
      <c r="T63" s="31">
        <f t="shared" si="29"/>
        <v>0.41566985630349401</v>
      </c>
      <c r="U63" s="31">
        <f t="shared" si="29"/>
        <v>0.40472872343344457</v>
      </c>
      <c r="V63" s="31">
        <f t="shared" si="29"/>
        <v>0.43863292481076005</v>
      </c>
      <c r="W63" s="31">
        <f t="shared" ref="W63" si="30">IF(W17=0,0,W17/W$10)</f>
        <v>0.42021063824578991</v>
      </c>
      <c r="DA63" s="173"/>
    </row>
    <row r="64" spans="1:105" ht="11.45" customHeight="1" x14ac:dyDescent="0.25">
      <c r="A64" s="83" t="s">
        <v>92</v>
      </c>
      <c r="B64" s="125">
        <f t="shared" si="14"/>
        <v>0.11877781798357576</v>
      </c>
      <c r="C64" s="125">
        <f t="shared" ref="C64:V64" si="31">IF(C18=0,0,C18/C$10)</f>
        <v>0.111242066165449</v>
      </c>
      <c r="D64" s="125">
        <f t="shared" si="31"/>
        <v>0.1100961093584342</v>
      </c>
      <c r="E64" s="125">
        <f t="shared" si="31"/>
        <v>0.11218331521010577</v>
      </c>
      <c r="F64" s="125">
        <f t="shared" si="31"/>
        <v>0.1610371629282889</v>
      </c>
      <c r="G64" s="125">
        <f t="shared" si="31"/>
        <v>0.15184664476289803</v>
      </c>
      <c r="H64" s="125">
        <f t="shared" si="31"/>
        <v>0.22233566130619975</v>
      </c>
      <c r="I64" s="125">
        <f t="shared" si="31"/>
        <v>0.17216865582490584</v>
      </c>
      <c r="J64" s="125">
        <f t="shared" si="31"/>
        <v>0.17753673434379655</v>
      </c>
      <c r="K64" s="125">
        <f t="shared" si="31"/>
        <v>0.16919259854670346</v>
      </c>
      <c r="L64" s="125">
        <f t="shared" si="31"/>
        <v>0.21135800326616938</v>
      </c>
      <c r="M64" s="125">
        <f t="shared" si="31"/>
        <v>0.22047539181433598</v>
      </c>
      <c r="N64" s="125">
        <f t="shared" si="31"/>
        <v>0.20102400690942895</v>
      </c>
      <c r="O64" s="125">
        <f t="shared" si="31"/>
        <v>0.19209340484886295</v>
      </c>
      <c r="P64" s="125">
        <f t="shared" si="31"/>
        <v>0.18489000473979786</v>
      </c>
      <c r="Q64" s="125">
        <f t="shared" si="31"/>
        <v>0.17286423574674167</v>
      </c>
      <c r="R64" s="125">
        <f t="shared" si="31"/>
        <v>0.14475965024117085</v>
      </c>
      <c r="S64" s="125">
        <f t="shared" si="31"/>
        <v>0.16201724358280595</v>
      </c>
      <c r="T64" s="125">
        <f t="shared" si="31"/>
        <v>0.16298432102942345</v>
      </c>
      <c r="U64" s="125">
        <f t="shared" si="31"/>
        <v>0.14885763280124861</v>
      </c>
      <c r="V64" s="125">
        <f t="shared" si="31"/>
        <v>0.15198787403607583</v>
      </c>
      <c r="W64" s="125">
        <f t="shared" ref="W64" si="32">IF(W18=0,0,W18/W$10)</f>
        <v>0.15413792104456867</v>
      </c>
      <c r="DA64" s="171"/>
    </row>
    <row r="65" spans="1:105" ht="11.45" customHeight="1" x14ac:dyDescent="0.25">
      <c r="A65" s="85" t="s">
        <v>93</v>
      </c>
      <c r="B65" s="127">
        <f t="shared" si="14"/>
        <v>0.33359551668931975</v>
      </c>
      <c r="C65" s="127">
        <f t="shared" ref="C65:V65" si="33">IF(C19=0,0,C19/C$10)</f>
        <v>0.30026093063524012</v>
      </c>
      <c r="D65" s="127">
        <f t="shared" si="33"/>
        <v>0.28181725139756053</v>
      </c>
      <c r="E65" s="127">
        <f t="shared" si="33"/>
        <v>0.28561280021778429</v>
      </c>
      <c r="F65" s="127">
        <f t="shared" si="33"/>
        <v>0.27586299879552845</v>
      </c>
      <c r="G65" s="127">
        <f t="shared" si="33"/>
        <v>0.26754605016309019</v>
      </c>
      <c r="H65" s="127">
        <f t="shared" si="33"/>
        <v>0.27217472990769809</v>
      </c>
      <c r="I65" s="127">
        <f t="shared" si="33"/>
        <v>0.28062242882900074</v>
      </c>
      <c r="J65" s="127">
        <f t="shared" si="33"/>
        <v>0.27913401675638461</v>
      </c>
      <c r="K65" s="127">
        <f t="shared" si="33"/>
        <v>0.23811461395421174</v>
      </c>
      <c r="L65" s="127">
        <f t="shared" si="33"/>
        <v>0.2477934612665311</v>
      </c>
      <c r="M65" s="127">
        <f t="shared" si="33"/>
        <v>0.26311045733246902</v>
      </c>
      <c r="N65" s="127">
        <f t="shared" si="33"/>
        <v>0.24230432466742158</v>
      </c>
      <c r="O65" s="127">
        <f t="shared" si="33"/>
        <v>0.24932218091611297</v>
      </c>
      <c r="P65" s="127">
        <f t="shared" si="33"/>
        <v>0.25090688367775399</v>
      </c>
      <c r="Q65" s="127">
        <f t="shared" si="33"/>
        <v>0.24440233541385947</v>
      </c>
      <c r="R65" s="127">
        <f t="shared" si="33"/>
        <v>0.23630176186492197</v>
      </c>
      <c r="S65" s="127">
        <f t="shared" si="33"/>
        <v>0.24771626079540987</v>
      </c>
      <c r="T65" s="127">
        <f t="shared" si="33"/>
        <v>0.25268553527407051</v>
      </c>
      <c r="U65" s="127">
        <f t="shared" si="33"/>
        <v>0.25587109063219593</v>
      </c>
      <c r="V65" s="127">
        <f t="shared" si="33"/>
        <v>0.28664505077468422</v>
      </c>
      <c r="W65" s="127">
        <f t="shared" ref="W65" si="34">IF(W19=0,0,W19/W$10)</f>
        <v>0.26607271720122122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525.73941108000008</v>
      </c>
      <c r="C4" s="26">
        <f t="shared" ref="C4:W4" si="0">SUM(C5:C6)</f>
        <v>512.99441855999999</v>
      </c>
      <c r="D4" s="26">
        <f t="shared" si="0"/>
        <v>487.50390000000004</v>
      </c>
      <c r="E4" s="26">
        <f t="shared" si="0"/>
        <v>512.99441855999999</v>
      </c>
      <c r="F4" s="26">
        <f t="shared" si="0"/>
        <v>512.99441855999999</v>
      </c>
      <c r="G4" s="26">
        <f t="shared" si="0"/>
        <v>503.43534072</v>
      </c>
      <c r="H4" s="26">
        <f t="shared" si="0"/>
        <v>462.01338144000016</v>
      </c>
      <c r="I4" s="26">
        <f t="shared" si="0"/>
        <v>455.64101856000002</v>
      </c>
      <c r="J4" s="26">
        <f t="shared" si="0"/>
        <v>398.28761855999994</v>
      </c>
      <c r="K4" s="26">
        <f t="shared" si="0"/>
        <v>385.02351108000005</v>
      </c>
      <c r="L4" s="26">
        <f t="shared" si="0"/>
        <v>356.14674108000008</v>
      </c>
      <c r="M4" s="26">
        <f t="shared" si="0"/>
        <v>368.98083143999986</v>
      </c>
      <c r="N4" s="26">
        <f t="shared" si="0"/>
        <v>343.31265071999997</v>
      </c>
      <c r="O4" s="26">
        <f t="shared" si="0"/>
        <v>317.64447000000007</v>
      </c>
      <c r="P4" s="26">
        <f t="shared" si="0"/>
        <v>285.55911071999998</v>
      </c>
      <c r="Q4" s="26">
        <f t="shared" si="0"/>
        <v>261.27648144</v>
      </c>
      <c r="R4" s="26">
        <f t="shared" si="0"/>
        <v>261.27648144</v>
      </c>
      <c r="S4" s="26">
        <f t="shared" si="0"/>
        <v>267.84037799999999</v>
      </c>
      <c r="T4" s="26">
        <f t="shared" si="0"/>
        <v>322.34531472000003</v>
      </c>
      <c r="U4" s="26">
        <f t="shared" si="0"/>
        <v>267.93267695999998</v>
      </c>
      <c r="V4" s="26">
        <f t="shared" si="0"/>
        <v>258.30690912</v>
      </c>
      <c r="W4" s="26">
        <f t="shared" si="0"/>
        <v>279.92914092000001</v>
      </c>
      <c r="DA4" s="202" t="s">
        <v>1135</v>
      </c>
    </row>
    <row r="5" spans="1:105" ht="11.45" customHeight="1" x14ac:dyDescent="0.25">
      <c r="A5" s="107" t="s">
        <v>92</v>
      </c>
      <c r="B5" s="129">
        <v>525.73941108000008</v>
      </c>
      <c r="C5" s="129">
        <v>512.99441855999999</v>
      </c>
      <c r="D5" s="129">
        <v>487.50390000000004</v>
      </c>
      <c r="E5" s="129">
        <v>512.99441855999999</v>
      </c>
      <c r="F5" s="129">
        <v>512.99441855999999</v>
      </c>
      <c r="G5" s="129">
        <v>503.43534072</v>
      </c>
      <c r="H5" s="129">
        <v>462.01338144000016</v>
      </c>
      <c r="I5" s="129">
        <v>455.64101856000002</v>
      </c>
      <c r="J5" s="129">
        <v>398.28761855999994</v>
      </c>
      <c r="K5" s="129">
        <v>385.02351108000005</v>
      </c>
      <c r="L5" s="129">
        <v>356.14674108000008</v>
      </c>
      <c r="M5" s="129">
        <v>368.98083143999986</v>
      </c>
      <c r="N5" s="129">
        <v>343.31265071999997</v>
      </c>
      <c r="O5" s="129">
        <v>317.64447000000007</v>
      </c>
      <c r="P5" s="129">
        <v>285.55911071999998</v>
      </c>
      <c r="Q5" s="129">
        <v>261.27648144</v>
      </c>
      <c r="R5" s="129">
        <v>261.27648144</v>
      </c>
      <c r="S5" s="129">
        <v>267.84037799999999</v>
      </c>
      <c r="T5" s="129">
        <v>322.34531472000003</v>
      </c>
      <c r="U5" s="129">
        <v>267.93267695999998</v>
      </c>
      <c r="V5" s="129">
        <v>258.30690912</v>
      </c>
      <c r="W5" s="129">
        <v>279.92914092000001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525.73941108000008</v>
      </c>
      <c r="C8" s="79">
        <f t="shared" si="1"/>
        <v>512.99441855999999</v>
      </c>
      <c r="D8" s="79">
        <f t="shared" si="1"/>
        <v>487.50390000000004</v>
      </c>
      <c r="E8" s="79">
        <f t="shared" si="1"/>
        <v>512.99441855999999</v>
      </c>
      <c r="F8" s="79">
        <f t="shared" si="1"/>
        <v>512.99441855999999</v>
      </c>
      <c r="G8" s="79">
        <f t="shared" si="1"/>
        <v>503.43534072</v>
      </c>
      <c r="H8" s="79">
        <f t="shared" si="1"/>
        <v>462.01338144000016</v>
      </c>
      <c r="I8" s="79">
        <f t="shared" si="1"/>
        <v>455.64101856000002</v>
      </c>
      <c r="J8" s="79">
        <f t="shared" si="1"/>
        <v>398.28761855999994</v>
      </c>
      <c r="K8" s="79">
        <f t="shared" si="1"/>
        <v>385.02351108000005</v>
      </c>
      <c r="L8" s="79">
        <f t="shared" si="1"/>
        <v>356.14674108000003</v>
      </c>
      <c r="M8" s="79">
        <f t="shared" si="1"/>
        <v>368.98083143999986</v>
      </c>
      <c r="N8" s="79">
        <f t="shared" si="1"/>
        <v>343.31265071999997</v>
      </c>
      <c r="O8" s="79">
        <f t="shared" si="1"/>
        <v>317.64447000000007</v>
      </c>
      <c r="P8" s="79">
        <f t="shared" si="1"/>
        <v>285.55911071999998</v>
      </c>
      <c r="Q8" s="79">
        <f t="shared" si="1"/>
        <v>261.27648144</v>
      </c>
      <c r="R8" s="79">
        <f t="shared" si="1"/>
        <v>261.27648144</v>
      </c>
      <c r="S8" s="79">
        <f t="shared" si="1"/>
        <v>267.84037799999999</v>
      </c>
      <c r="T8" s="79">
        <f t="shared" si="1"/>
        <v>322.34531472000003</v>
      </c>
      <c r="U8" s="79">
        <f t="shared" si="1"/>
        <v>267.93267695999998</v>
      </c>
      <c r="V8" s="79">
        <f t="shared" si="1"/>
        <v>258.30690912</v>
      </c>
      <c r="W8" s="79">
        <f t="shared" si="1"/>
        <v>279.92914092000001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326.76183034863556</v>
      </c>
      <c r="C9" s="32">
        <f t="shared" si="2"/>
        <v>329.30491796359291</v>
      </c>
      <c r="D9" s="32">
        <f t="shared" si="2"/>
        <v>307.72010877217122</v>
      </c>
      <c r="E9" s="32">
        <f t="shared" si="2"/>
        <v>324.72814355098245</v>
      </c>
      <c r="F9" s="32">
        <f t="shared" si="2"/>
        <v>263.87698439031004</v>
      </c>
      <c r="G9" s="32">
        <f t="shared" si="2"/>
        <v>283.23241109038366</v>
      </c>
      <c r="H9" s="32">
        <f t="shared" si="2"/>
        <v>175.25159083106439</v>
      </c>
      <c r="I9" s="32">
        <f t="shared" si="2"/>
        <v>227.74514647280381</v>
      </c>
      <c r="J9" s="32">
        <f t="shared" si="2"/>
        <v>177.63612759454682</v>
      </c>
      <c r="K9" s="32">
        <f t="shared" si="2"/>
        <v>190.84279825379647</v>
      </c>
      <c r="L9" s="32">
        <f t="shared" si="2"/>
        <v>113.75644115597392</v>
      </c>
      <c r="M9" s="32">
        <f t="shared" si="2"/>
        <v>113.48133810040491</v>
      </c>
      <c r="N9" s="32">
        <f t="shared" si="2"/>
        <v>120.28709480273486</v>
      </c>
      <c r="O9" s="32">
        <f t="shared" si="2"/>
        <v>110.43124918542949</v>
      </c>
      <c r="P9" s="32">
        <f t="shared" si="2"/>
        <v>99.594689691637882</v>
      </c>
      <c r="Q9" s="32">
        <f t="shared" si="2"/>
        <v>87.086210806489987</v>
      </c>
      <c r="R9" s="32">
        <f t="shared" si="2"/>
        <v>109.22781201602763</v>
      </c>
      <c r="S9" s="32">
        <f t="shared" si="2"/>
        <v>91.984221562778941</v>
      </c>
      <c r="T9" s="32">
        <f t="shared" si="2"/>
        <v>130.62371212618962</v>
      </c>
      <c r="U9" s="32">
        <f t="shared" si="2"/>
        <v>103.09952987472042</v>
      </c>
      <c r="V9" s="32">
        <f t="shared" si="2"/>
        <v>101.77385687350647</v>
      </c>
      <c r="W9" s="32">
        <f t="shared" si="2"/>
        <v>104.36940347095684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326.76183034863556</v>
      </c>
      <c r="C11" s="130">
        <f t="shared" si="3"/>
        <v>329.30491796359291</v>
      </c>
      <c r="D11" s="130">
        <f t="shared" si="3"/>
        <v>307.72010877217122</v>
      </c>
      <c r="E11" s="130">
        <f t="shared" si="3"/>
        <v>324.72814355098245</v>
      </c>
      <c r="F11" s="130">
        <f t="shared" si="3"/>
        <v>263.87698439031004</v>
      </c>
      <c r="G11" s="130">
        <f t="shared" si="3"/>
        <v>283.23241109038366</v>
      </c>
      <c r="H11" s="130">
        <f t="shared" si="3"/>
        <v>175.25159083106439</v>
      </c>
      <c r="I11" s="130">
        <f t="shared" si="3"/>
        <v>227.74514647280381</v>
      </c>
      <c r="J11" s="130">
        <f t="shared" si="3"/>
        <v>177.63612759454682</v>
      </c>
      <c r="K11" s="130">
        <f t="shared" si="3"/>
        <v>190.84279825379647</v>
      </c>
      <c r="L11" s="130">
        <f t="shared" si="3"/>
        <v>113.75644115597392</v>
      </c>
      <c r="M11" s="130">
        <f t="shared" si="3"/>
        <v>113.48133810040491</v>
      </c>
      <c r="N11" s="130">
        <f t="shared" si="3"/>
        <v>120.28709480273486</v>
      </c>
      <c r="O11" s="130">
        <f t="shared" si="3"/>
        <v>110.43124918542949</v>
      </c>
      <c r="P11" s="130">
        <f t="shared" si="3"/>
        <v>99.594689691637882</v>
      </c>
      <c r="Q11" s="130">
        <f t="shared" si="3"/>
        <v>87.086210806489987</v>
      </c>
      <c r="R11" s="130">
        <f t="shared" si="3"/>
        <v>109.22781201602763</v>
      </c>
      <c r="S11" s="130">
        <f t="shared" si="3"/>
        <v>91.984221562778941</v>
      </c>
      <c r="T11" s="130">
        <f t="shared" si="3"/>
        <v>130.62371212618962</v>
      </c>
      <c r="U11" s="130">
        <f t="shared" si="3"/>
        <v>103.09952987472042</v>
      </c>
      <c r="V11" s="130">
        <f t="shared" si="3"/>
        <v>101.77385687350647</v>
      </c>
      <c r="W11" s="130">
        <f t="shared" si="3"/>
        <v>104.36940347095684</v>
      </c>
      <c r="DA11" s="176" t="s">
        <v>408</v>
      </c>
    </row>
    <row r="12" spans="1:105" ht="11.45" customHeight="1" x14ac:dyDescent="0.25">
      <c r="A12" s="111" t="s">
        <v>92</v>
      </c>
      <c r="B12" s="96">
        <v>326.76183034863556</v>
      </c>
      <c r="C12" s="96">
        <v>329.30491796359291</v>
      </c>
      <c r="D12" s="96">
        <v>307.72010877217122</v>
      </c>
      <c r="E12" s="96">
        <v>324.72814355098245</v>
      </c>
      <c r="F12" s="96">
        <v>263.87698439031004</v>
      </c>
      <c r="G12" s="96">
        <v>283.23241109038366</v>
      </c>
      <c r="H12" s="96">
        <v>175.25159083106439</v>
      </c>
      <c r="I12" s="96">
        <v>227.74514647280381</v>
      </c>
      <c r="J12" s="96">
        <v>177.63612759454682</v>
      </c>
      <c r="K12" s="96">
        <v>190.84279825379647</v>
      </c>
      <c r="L12" s="96">
        <v>113.75644115597392</v>
      </c>
      <c r="M12" s="96">
        <v>113.48133810040491</v>
      </c>
      <c r="N12" s="96">
        <v>120.28709480273486</v>
      </c>
      <c r="O12" s="96">
        <v>110.43124918542949</v>
      </c>
      <c r="P12" s="96">
        <v>99.594689691637882</v>
      </c>
      <c r="Q12" s="96">
        <v>87.086210806489987</v>
      </c>
      <c r="R12" s="96">
        <v>109.22781201602763</v>
      </c>
      <c r="S12" s="96">
        <v>91.984221562778941</v>
      </c>
      <c r="T12" s="96">
        <v>130.62371212618962</v>
      </c>
      <c r="U12" s="96">
        <v>103.09952987472042</v>
      </c>
      <c r="V12" s="96">
        <v>101.77385687350647</v>
      </c>
      <c r="W12" s="96">
        <v>104.36940347095684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198.9775807313645</v>
      </c>
      <c r="C15" s="32">
        <f t="shared" si="4"/>
        <v>183.68950059640707</v>
      </c>
      <c r="D15" s="32">
        <f t="shared" si="4"/>
        <v>179.7837912278288</v>
      </c>
      <c r="E15" s="32">
        <f t="shared" si="4"/>
        <v>188.26627500901748</v>
      </c>
      <c r="F15" s="32">
        <f t="shared" si="4"/>
        <v>249.11743416968994</v>
      </c>
      <c r="G15" s="32">
        <f t="shared" si="4"/>
        <v>220.20292962961634</v>
      </c>
      <c r="H15" s="32">
        <f t="shared" si="4"/>
        <v>286.76179060893577</v>
      </c>
      <c r="I15" s="32">
        <f t="shared" si="4"/>
        <v>227.89587208719618</v>
      </c>
      <c r="J15" s="32">
        <f t="shared" si="4"/>
        <v>220.65149096545312</v>
      </c>
      <c r="K15" s="32">
        <f t="shared" si="4"/>
        <v>194.18071282620355</v>
      </c>
      <c r="L15" s="32">
        <f t="shared" si="4"/>
        <v>242.3902999240261</v>
      </c>
      <c r="M15" s="32">
        <f t="shared" si="4"/>
        <v>255.49949333959498</v>
      </c>
      <c r="N15" s="32">
        <f t="shared" si="4"/>
        <v>223.02555591726508</v>
      </c>
      <c r="O15" s="32">
        <f t="shared" si="4"/>
        <v>207.21322081457058</v>
      </c>
      <c r="P15" s="32">
        <f t="shared" si="4"/>
        <v>185.9644210283621</v>
      </c>
      <c r="Q15" s="32">
        <f t="shared" si="4"/>
        <v>174.19027063351001</v>
      </c>
      <c r="R15" s="32">
        <f t="shared" si="4"/>
        <v>152.04866942397234</v>
      </c>
      <c r="S15" s="32">
        <f t="shared" si="4"/>
        <v>175.85615643722102</v>
      </c>
      <c r="T15" s="32">
        <f t="shared" si="4"/>
        <v>191.72160259381042</v>
      </c>
      <c r="U15" s="32">
        <f t="shared" si="4"/>
        <v>164.83314708527956</v>
      </c>
      <c r="V15" s="32">
        <f t="shared" si="4"/>
        <v>156.53305224649355</v>
      </c>
      <c r="W15" s="32">
        <f t="shared" si="4"/>
        <v>175.55973744904315</v>
      </c>
      <c r="DA15" s="173" t="s">
        <v>413</v>
      </c>
    </row>
    <row r="16" spans="1:105" ht="11.45" customHeight="1" x14ac:dyDescent="0.25">
      <c r="A16" s="83" t="s">
        <v>92</v>
      </c>
      <c r="B16" s="96">
        <v>198.9775807313645</v>
      </c>
      <c r="C16" s="96">
        <v>183.68950059640707</v>
      </c>
      <c r="D16" s="96">
        <v>179.7837912278288</v>
      </c>
      <c r="E16" s="96">
        <v>188.26627500901748</v>
      </c>
      <c r="F16" s="96">
        <v>249.11743416968994</v>
      </c>
      <c r="G16" s="96">
        <v>220.20292962961634</v>
      </c>
      <c r="H16" s="96">
        <v>286.76179060893577</v>
      </c>
      <c r="I16" s="96">
        <v>227.89587208719618</v>
      </c>
      <c r="J16" s="96">
        <v>220.65149096545312</v>
      </c>
      <c r="K16" s="96">
        <v>194.18071282620355</v>
      </c>
      <c r="L16" s="96">
        <v>242.3902999240261</v>
      </c>
      <c r="M16" s="96">
        <v>255.49949333959498</v>
      </c>
      <c r="N16" s="96">
        <v>223.02555591726508</v>
      </c>
      <c r="O16" s="96">
        <v>207.21322081457058</v>
      </c>
      <c r="P16" s="96">
        <v>185.9644210283621</v>
      </c>
      <c r="Q16" s="96">
        <v>174.19027063351001</v>
      </c>
      <c r="R16" s="96">
        <v>152.04866942397234</v>
      </c>
      <c r="S16" s="96">
        <v>175.85615643722102</v>
      </c>
      <c r="T16" s="96">
        <v>191.72160259381042</v>
      </c>
      <c r="U16" s="96">
        <v>164.83314708527956</v>
      </c>
      <c r="V16" s="96">
        <v>156.53305224649355</v>
      </c>
      <c r="W16" s="96">
        <v>175.55973744904315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0.97364839970432338</v>
      </c>
      <c r="C22" s="134">
        <f>IF(C4=0,0,C4/TrRail_ene!C4)</f>
        <v>0.96382408945133946</v>
      </c>
      <c r="D22" s="134">
        <f>IF(D4=0,0,D4/TrRail_ene!D4)</f>
        <v>0.92618971771624614</v>
      </c>
      <c r="E22" s="134">
        <f>IF(E4=0,0,E4/TrRail_ene!E4)</f>
        <v>0.94835033861609253</v>
      </c>
      <c r="F22" s="134">
        <f>IF(F4=0,0,F4/TrRail_ene!F4)</f>
        <v>1.0288097041747484</v>
      </c>
      <c r="G22" s="134">
        <f>IF(G4=0,0,G4/TrRail_ene!G4)</f>
        <v>1.0770261061033932</v>
      </c>
      <c r="H22" s="134">
        <f>IF(H4=0,0,H4/TrRail_ene!H4)</f>
        <v>1.1113294437634029</v>
      </c>
      <c r="I22" s="134">
        <f>IF(I4=0,0,I4/TrRail_ene!I4)</f>
        <v>1.0679252805395185</v>
      </c>
      <c r="J22" s="134">
        <f>IF(J4=0,0,J4/TrRail_ene!J4)</f>
        <v>0.9942110598912739</v>
      </c>
      <c r="K22" s="134">
        <f>IF(K4=0,0,K4/TrRail_ene!K4)</f>
        <v>1.0407895980762998</v>
      </c>
      <c r="L22" s="134">
        <f>IF(L4=0,0,L4/TrRail_ene!L4)</f>
        <v>0.96345816044035448</v>
      </c>
      <c r="M22" s="134">
        <f>IF(M4=0,0,M4/TrRail_ene!M4)</f>
        <v>0.98781202442782223</v>
      </c>
      <c r="N22" s="134">
        <f>IF(N4=0,0,N4/TrRail_ene!N4)</f>
        <v>0.9600271720688669</v>
      </c>
      <c r="O22" s="134">
        <f>IF(O4=0,0,O4/TrRail_ene!O4)</f>
        <v>0.91355924231221042</v>
      </c>
      <c r="P22" s="134">
        <f>IF(P4=0,0,P4/TrRail_ene!P4)</f>
        <v>0.88080549535273045</v>
      </c>
      <c r="Q22" s="134">
        <f>IF(Q4=0,0,Q4/TrRail_ene!Q4)</f>
        <v>0.8044184054474931</v>
      </c>
      <c r="R22" s="134">
        <f>IF(R4=0,0,R4/TrRail_ene!R4)</f>
        <v>0.77173046248967592</v>
      </c>
      <c r="S22" s="134">
        <f>IF(S4=0,0,S4/TrRail_ene!S4)</f>
        <v>0.76556158874404734</v>
      </c>
      <c r="T22" s="134">
        <f>IF(T4=0,0,T4/TrRail_ene!T4)</f>
        <v>0.85015196434767881</v>
      </c>
      <c r="U22" s="134">
        <f>IF(U4=0,0,U4/TrRail_ene!U4)</f>
        <v>0.75067623055764876</v>
      </c>
      <c r="V22" s="134">
        <f>IF(V4=0,0,V4/TrRail_ene!V4)</f>
        <v>0.77810701873232235</v>
      </c>
      <c r="W22" s="134">
        <f>IF(W4=0,0,W4/TrRail_ene!W4)</f>
        <v>0.76248816862823721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1.5512093999999998</v>
      </c>
      <c r="U23" s="129">
        <f>IF(U5=0,0,U5/SUM(TrRail_ene!U5:U7))</f>
        <v>1.5512094000000001</v>
      </c>
      <c r="V23" s="129">
        <f>IF(V5=0,0,V5/SUM(TrRail_ene!V5:V7))</f>
        <v>1.5512094000000003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1878.3461057401776</v>
      </c>
      <c r="C26" s="54">
        <f>IF(C8=0,0,C8/TrRail_act!C14*1000)</f>
        <v>1807.1272999989485</v>
      </c>
      <c r="D26" s="54">
        <f>IF(D8=0,0,D8/TrRail_act!D14*1000)</f>
        <v>1683.7550807737898</v>
      </c>
      <c r="E26" s="54">
        <f>IF(E8=0,0,E8/TrRail_act!E14*1000)</f>
        <v>1714.8881725464103</v>
      </c>
      <c r="F26" s="54">
        <f>IF(F8=0,0,F8/TrRail_act!F14*1000)</f>
        <v>1772.4943680388637</v>
      </c>
      <c r="G26" s="54">
        <f>IF(G8=0,0,G8/TrRail_act!G14*1000)</f>
        <v>1812.6110680059692</v>
      </c>
      <c r="H26" s="54">
        <f>IF(H8=0,0,H8/TrRail_act!H14*1000)</f>
        <v>1764.6346942083203</v>
      </c>
      <c r="I26" s="54">
        <f>IF(I8=0,0,I8/TrRail_act!I14*1000)</f>
        <v>1642.7401336543378</v>
      </c>
      <c r="J26" s="54">
        <f>IF(J8=0,0,J8/TrRail_act!J14*1000)</f>
        <v>1471.1956597808266</v>
      </c>
      <c r="K26" s="54">
        <f>IF(K8=0,0,K8/TrRail_act!K14*1000)</f>
        <v>1504.0710469341752</v>
      </c>
      <c r="L26" s="54">
        <f>IF(L8=0,0,L8/TrRail_act!L14*1000)</f>
        <v>1378.0388554461445</v>
      </c>
      <c r="M26" s="54">
        <f>IF(M8=0,0,M8/TrRail_act!M14*1000)</f>
        <v>1414.612862072413</v>
      </c>
      <c r="N26" s="54">
        <f>IF(N8=0,0,N8/TrRail_act!N14*1000)</f>
        <v>1329.6365872031661</v>
      </c>
      <c r="O26" s="54">
        <f>IF(O8=0,0,O8/TrRail_act!O14*1000)</f>
        <v>1250.4141772722292</v>
      </c>
      <c r="P26" s="54">
        <f>IF(P8=0,0,P8/TrRail_act!P14*1000)</f>
        <v>1144.3279940853647</v>
      </c>
      <c r="Q26" s="54">
        <f>IF(Q8=0,0,Q8/TrRail_act!Q14*1000)</f>
        <v>1012.656317267224</v>
      </c>
      <c r="R26" s="54">
        <f>IF(R8=0,0,R8/TrRail_act!R14*1000)</f>
        <v>954.89224771628255</v>
      </c>
      <c r="S26" s="54">
        <f>IF(S8=0,0,S8/TrRail_act!S14*1000)</f>
        <v>954.97286160328292</v>
      </c>
      <c r="T26" s="54">
        <f>IF(T8=0,0,T8/TrRail_act!T14*1000)</f>
        <v>1075.9803668448587</v>
      </c>
      <c r="U26" s="54">
        <f>IF(U8=0,0,U8/TrRail_act!U14*1000)</f>
        <v>924.1653243501454</v>
      </c>
      <c r="V26" s="54">
        <f>IF(V8=0,0,V8/TrRail_act!V14*1000)</f>
        <v>960.8559924544619</v>
      </c>
      <c r="W26" s="54">
        <f>IF(W8=0,0,W8/TrRail_act!W14*1000)</f>
        <v>949.27666624278754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1711.0643453836142</v>
      </c>
      <c r="C27" s="28">
        <f>IF(C9=0,0,C9/TrRail_act!C15*1000)</f>
        <v>1617.3929110301203</v>
      </c>
      <c r="D27" s="28">
        <f>IF(D9=0,0,D9/TrRail_act!D15*1000)</f>
        <v>1445.418774092597</v>
      </c>
      <c r="E27" s="28">
        <f>IF(E9=0,0,E9/TrRail_act!E15*1000)</f>
        <v>1488.7582155643531</v>
      </c>
      <c r="F27" s="28">
        <f>IF(F9=0,0,F9/TrRail_act!F15*1000)</f>
        <v>1287.6931566922856</v>
      </c>
      <c r="G27" s="28">
        <f>IF(G9=0,0,G9/TrRail_act!G15*1000)</f>
        <v>1420.8172575332635</v>
      </c>
      <c r="H27" s="28">
        <f>IF(H9=0,0,H9/TrRail_act!H15*1000)</f>
        <v>984.5954614365719</v>
      </c>
      <c r="I27" s="28">
        <f>IF(I9=0,0,I9/TrRail_act!I15*1000)</f>
        <v>1177.1107281779657</v>
      </c>
      <c r="J27" s="28">
        <f>IF(J9=0,0,J9/TrRail_act!J15*1000)</f>
        <v>935.63984371786114</v>
      </c>
      <c r="K27" s="28">
        <f>IF(K9=0,0,K9/TrRail_act!K15*1000)</f>
        <v>1004.7801324576789</v>
      </c>
      <c r="L27" s="28">
        <f>IF(L9=0,0,L9/TrRail_act!L15*1000)</f>
        <v>613.55970794847337</v>
      </c>
      <c r="M27" s="28">
        <f>IF(M9=0,0,M9/TrRail_act!M15*1000)</f>
        <v>623.63790475968108</v>
      </c>
      <c r="N27" s="28">
        <f>IF(N9=0,0,N9/TrRail_act!N15*1000)</f>
        <v>639.64720116979811</v>
      </c>
      <c r="O27" s="28">
        <f>IF(O9=0,0,O9/TrRail_act!O15*1000)</f>
        <v>599.06180020053364</v>
      </c>
      <c r="P27" s="28">
        <f>IF(P9=0,0,P9/TrRail_act!P15*1000)</f>
        <v>545.09536948410528</v>
      </c>
      <c r="Q27" s="28">
        <f>IF(Q9=0,0,Q9/TrRail_act!Q15*1000)</f>
        <v>453.66983572730271</v>
      </c>
      <c r="R27" s="28">
        <f>IF(R9=0,0,R9/TrRail_act!R15*1000)</f>
        <v>524.30148877237252</v>
      </c>
      <c r="S27" s="28">
        <f>IF(S9=0,0,S9/TrRail_act!S15*1000)</f>
        <v>441.98559165259894</v>
      </c>
      <c r="T27" s="28">
        <f>IF(T9=0,0,T9/TrRail_act!T15*1000)</f>
        <v>595.65067711979941</v>
      </c>
      <c r="U27" s="28">
        <f>IF(U9=0,0,U9/TrRail_act!U15*1000)</f>
        <v>480.44451630530654</v>
      </c>
      <c r="V27" s="28">
        <f>IF(V9=0,0,V9/TrRail_act!V15*1000)</f>
        <v>531.74692897735417</v>
      </c>
      <c r="W27" s="28">
        <f>IF(W9=0,0,W9/TrRail_act!W15*1000)</f>
        <v>488.06994783183228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2444.4967245300322</v>
      </c>
      <c r="C29" s="110">
        <f>IF(C11=0,0,C11/TrRail_act!C17*1000)</f>
        <v>2248.6560376355824</v>
      </c>
      <c r="D29" s="110">
        <f>IF(D11=0,0,D11/TrRail_act!D17*1000)</f>
        <v>1985.7901996235439</v>
      </c>
      <c r="E29" s="110">
        <f>IF(E11=0,0,E11/TrRail_act!E17*1000)</f>
        <v>2011.055080372885</v>
      </c>
      <c r="F29" s="110">
        <f>IF(F11=0,0,F11/TrRail_act!F17*1000)</f>
        <v>1769.7552521933526</v>
      </c>
      <c r="G29" s="110">
        <f>IF(G11=0,0,G11/TrRail_act!G17*1000)</f>
        <v>1949.0795029741357</v>
      </c>
      <c r="H29" s="110">
        <f>IF(H11=0,0,H11/TrRail_act!H17*1000)</f>
        <v>1426.6924631444647</v>
      </c>
      <c r="I29" s="110">
        <f>IF(I11=0,0,I11/TrRail_act!I17*1000)</f>
        <v>1655.1211714557421</v>
      </c>
      <c r="J29" s="110">
        <f>IF(J11=0,0,J11/TrRail_act!J17*1000)</f>
        <v>1324.4907584450032</v>
      </c>
      <c r="K29" s="110">
        <f>IF(K11=0,0,K11/TrRail_act!K17*1000)</f>
        <v>1396.0427626700239</v>
      </c>
      <c r="L29" s="110">
        <f>IF(L11=0,0,L11/TrRail_act!L17*1000)</f>
        <v>867.93191921059747</v>
      </c>
      <c r="M29" s="110">
        <f>IF(M11=0,0,M11/TrRail_act!M17*1000)</f>
        <v>889.85945745024117</v>
      </c>
      <c r="N29" s="110">
        <f>IF(N11=0,0,N11/TrRail_act!N17*1000)</f>
        <v>905.37164784617607</v>
      </c>
      <c r="O29" s="110">
        <f>IF(O11=0,0,O11/TrRail_act!O17*1000)</f>
        <v>832.22912978995612</v>
      </c>
      <c r="P29" s="110">
        <f>IF(P11=0,0,P11/TrRail_act!P17*1000)</f>
        <v>771.61659150165076</v>
      </c>
      <c r="Q29" s="110">
        <f>IF(Q11=0,0,Q11/TrRail_act!Q17*1000)</f>
        <v>634.36433031508591</v>
      </c>
      <c r="R29" s="110">
        <f>IF(R11=0,0,R11/TrRail_act!R17*1000)</f>
        <v>732.61772076496857</v>
      </c>
      <c r="S29" s="110">
        <f>IF(S11=0,0,S11/TrRail_act!S17*1000)</f>
        <v>613.50891048905805</v>
      </c>
      <c r="T29" s="110">
        <f>IF(T11=0,0,T11/TrRail_act!T17*1000)</f>
        <v>812.77374260914928</v>
      </c>
      <c r="U29" s="110">
        <f>IF(U11=0,0,U11/TrRail_act!U17*1000)</f>
        <v>665.17759482451834</v>
      </c>
      <c r="V29" s="110">
        <f>IF(V11=0,0,V11/TrRail_act!V17*1000)</f>
        <v>763.20412361371928</v>
      </c>
      <c r="W29" s="110">
        <f>IF(W11=0,0,W11/TrRail_act!W17*1000)</f>
        <v>662.22008298662308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8678.8398346501417</v>
      </c>
      <c r="C30" s="84">
        <f>IF(C12=0,0,C12/TrRail_act!C18*1000)</f>
        <v>8439.8164903849502</v>
      </c>
      <c r="D30" s="84">
        <f>IF(D12=0,0,D12/TrRail_act!D18*1000)</f>
        <v>8237.9223796177721</v>
      </c>
      <c r="E30" s="84">
        <f>IF(E12=0,0,E12/TrRail_act!E18*1000)</f>
        <v>7849.9592921393041</v>
      </c>
      <c r="F30" s="84">
        <f>IF(F12=0,0,F12/TrRail_act!F18*1000)</f>
        <v>7664.3367413960113</v>
      </c>
      <c r="G30" s="84">
        <f>IF(G12=0,0,G12/TrRail_act!G18*1000)</f>
        <v>7519.1392178460073</v>
      </c>
      <c r="H30" s="84">
        <f>IF(H12=0,0,H12/TrRail_act!H18*1000)</f>
        <v>6871.7657887803007</v>
      </c>
      <c r="I30" s="84">
        <f>IF(I12=0,0,I12/TrRail_act!I18*1000)</f>
        <v>6747.043020594364</v>
      </c>
      <c r="J30" s="84">
        <f>IF(J12=0,0,J12/TrRail_act!J18*1000)</f>
        <v>6491.2609068772972</v>
      </c>
      <c r="K30" s="84">
        <f>IF(K12=0,0,K12/TrRail_act!K18*1000)</f>
        <v>6336.1139922036427</v>
      </c>
      <c r="L30" s="84">
        <f>IF(L12=0,0,L12/TrRail_act!L18*1000)</f>
        <v>6070.824564872918</v>
      </c>
      <c r="M30" s="84">
        <f>IF(M12=0,0,M12/TrRail_act!M18*1000)</f>
        <v>5910.8285534693423</v>
      </c>
      <c r="N30" s="84">
        <f>IF(N12=0,0,N12/TrRail_act!N18*1000)</f>
        <v>5805.8478602978685</v>
      </c>
      <c r="O30" s="84">
        <f>IF(O12=0,0,O12/TrRail_act!O18*1000)</f>
        <v>5715.11035226681</v>
      </c>
      <c r="P30" s="84">
        <f>IF(P12=0,0,P12/TrRail_act!P18*1000)</f>
        <v>5518.677114977143</v>
      </c>
      <c r="Q30" s="84">
        <f>IF(Q12=0,0,Q12/TrRail_act!Q18*1000)</f>
        <v>5225.8958489652287</v>
      </c>
      <c r="R30" s="84">
        <f>IF(R12=0,0,R12/TrRail_act!R18*1000)</f>
        <v>5116.8801573659139</v>
      </c>
      <c r="S30" s="84">
        <f>IF(S12=0,0,S12/TrRail_act!S18*1000)</f>
        <v>5036.6134047747191</v>
      </c>
      <c r="T30" s="84">
        <f>IF(T12=0,0,T12/TrRail_act!T18*1000)</f>
        <v>4977.2407214465575</v>
      </c>
      <c r="U30" s="84">
        <f>IF(U12=0,0,U12/TrRail_act!U18*1000)</f>
        <v>4933.1709698697532</v>
      </c>
      <c r="V30" s="84">
        <f>IF(V12=0,0,V12/TrRail_act!V18*1000)</f>
        <v>4900.3749175273206</v>
      </c>
      <c r="W30" s="84">
        <f>IF(W12=0,0,W12/TrRail_act!W18*1000)</f>
        <v>4875.9210401287855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2237.5905312683717</v>
      </c>
      <c r="C33" s="28">
        <f>IF(C15=0,0,C15/TrRail_act!C21*1000)</f>
        <v>2288.3791094643102</v>
      </c>
      <c r="D33" s="28">
        <f>IF(D15=0,0,D15/TrRail_act!D21*1000)</f>
        <v>2345.8114295658011</v>
      </c>
      <c r="E33" s="28">
        <f>IF(E15=0,0,E15/TrRail_act!E21*1000)</f>
        <v>2323.6587935197149</v>
      </c>
      <c r="F33" s="28">
        <f>IF(F15=0,0,F15/TrRail_act!F21*1000)</f>
        <v>2948.2317096246925</v>
      </c>
      <c r="G33" s="28">
        <f>IF(G15=0,0,G15/TrRail_act!G21*1000)</f>
        <v>2808.8650788279488</v>
      </c>
      <c r="H33" s="28">
        <f>IF(H15=0,0,H15/TrRail_act!H21*1000)</f>
        <v>3420.9722830012356</v>
      </c>
      <c r="I33" s="28">
        <f>IF(I15=0,0,I15/TrRail_act!I21*1000)</f>
        <v>2716.656584046706</v>
      </c>
      <c r="J33" s="28">
        <f>IF(J15=0,0,J15/TrRail_act!J21*1000)</f>
        <v>2728.5215118153101</v>
      </c>
      <c r="K33" s="28">
        <f>IF(K15=0,0,K15/TrRail_act!K21*1000)</f>
        <v>2939.7847252201377</v>
      </c>
      <c r="L33" s="28">
        <f>IF(L15=0,0,L15/TrRail_act!L21*1000)</f>
        <v>3318.5693322126049</v>
      </c>
      <c r="M33" s="28">
        <f>IF(M15=0,0,M15/TrRail_act!M21*1000)</f>
        <v>3239.5635958385665</v>
      </c>
      <c r="N33" s="28">
        <f>IF(N15=0,0,N15/TrRail_act!N21*1000)</f>
        <v>3179.3520951552414</v>
      </c>
      <c r="O33" s="28">
        <f>IF(O15=0,0,O15/TrRail_act!O21*1000)</f>
        <v>2973.3106821615997</v>
      </c>
      <c r="P33" s="28">
        <f>IF(P15=0,0,P15/TrRail_act!P21*1000)</f>
        <v>2782.5454073553474</v>
      </c>
      <c r="Q33" s="28">
        <f>IF(Q15=0,0,Q15/TrRail_act!Q21*1000)</f>
        <v>2637.1861165061791</v>
      </c>
      <c r="R33" s="28">
        <f>IF(R15=0,0,R15/TrRail_act!R21*1000)</f>
        <v>2328.8682268738003</v>
      </c>
      <c r="S33" s="28">
        <f>IF(S15=0,0,S15/TrRail_act!S21*1000)</f>
        <v>2430.5230047197883</v>
      </c>
      <c r="T33" s="28">
        <f>IF(T15=0,0,T15/TrRail_act!T21*1000)</f>
        <v>2387.9514012653203</v>
      </c>
      <c r="U33" s="28">
        <f>IF(U15=0,0,U15/TrRail_act!U21*1000)</f>
        <v>2188.2462750875343</v>
      </c>
      <c r="V33" s="28">
        <f>IF(V15=0,0,V15/TrRail_act!V21*1000)</f>
        <v>2021.484481721624</v>
      </c>
      <c r="W33" s="28">
        <f>IF(W15=0,0,W15/TrRail_act!W21*1000)</f>
        <v>2166.1818991672276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17783.824240334496</v>
      </c>
      <c r="C34" s="84">
        <f>IF(C16=0,0,C16/TrRail_act!C22*1000)</f>
        <v>17667.208128324353</v>
      </c>
      <c r="D34" s="84">
        <f>IF(D16=0,0,D16/TrRail_act!D22*1000)</f>
        <v>16851.045946730523</v>
      </c>
      <c r="E34" s="84">
        <f>IF(E16=0,0,E16/TrRail_act!E22*1000)</f>
        <v>15751.416359490846</v>
      </c>
      <c r="F34" s="84">
        <f>IF(F16=0,0,F16/TrRail_act!F22*1000)</f>
        <v>14805.231426472636</v>
      </c>
      <c r="G34" s="84">
        <f>IF(G16=0,0,G16/TrRail_act!G22*1000)</f>
        <v>14258.825322489896</v>
      </c>
      <c r="H34" s="84">
        <f>IF(H16=0,0,H16/TrRail_act!H22*1000)</f>
        <v>13387.078038405667</v>
      </c>
      <c r="I34" s="84">
        <f>IF(I16=0,0,I16/TrRail_act!I22*1000)</f>
        <v>13064.080723929415</v>
      </c>
      <c r="J34" s="84">
        <f>IF(J16=0,0,J16/TrRail_act!J22*1000)</f>
        <v>12740.140437127566</v>
      </c>
      <c r="K34" s="84">
        <f>IF(K16=0,0,K16/TrRail_act!K22*1000)</f>
        <v>12504.092207135356</v>
      </c>
      <c r="L34" s="84">
        <f>IF(L16=0,0,L16/TrRail_act!L22*1000)</f>
        <v>12272.672113072562</v>
      </c>
      <c r="M34" s="84">
        <f>IF(M16=0,0,M16/TrRail_act!M22*1000)</f>
        <v>12176.831315496012</v>
      </c>
      <c r="N34" s="84">
        <f>IF(N16=0,0,N16/TrRail_act!N22*1000)</f>
        <v>11892.343780012299</v>
      </c>
      <c r="O34" s="84">
        <f>IF(O16=0,0,O16/TrRail_act!O22*1000)</f>
        <v>11748.202707704557</v>
      </c>
      <c r="P34" s="84">
        <f>IF(P16=0,0,P16/TrRail_act!P22*1000)</f>
        <v>11567.816939379969</v>
      </c>
      <c r="Q34" s="84">
        <f>IF(Q16=0,0,Q16/TrRail_act!Q22*1000)</f>
        <v>11414.378122468888</v>
      </c>
      <c r="R34" s="84">
        <f>IF(R16=0,0,R16/TrRail_act!R22*1000)</f>
        <v>11357.139309789894</v>
      </c>
      <c r="S34" s="84">
        <f>IF(S16=0,0,S16/TrRail_act!S22*1000)</f>
        <v>11314.398643287972</v>
      </c>
      <c r="T34" s="84">
        <f>IF(T16=0,0,T16/TrRail_act!T22*1000)</f>
        <v>11282.448732558798</v>
      </c>
      <c r="U34" s="84">
        <f>IF(U16=0,0,U16/TrRail_act!U22*1000)</f>
        <v>11258.545521013424</v>
      </c>
      <c r="V34" s="84">
        <f>IF(V16=0,0,V16/TrRail_act!V22*1000)</f>
        <v>11240.651351907571</v>
      </c>
      <c r="W34" s="84">
        <f>IF(W16=0,0,W16/TrRail_act!W22*1000)</f>
        <v>11227.249391782589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11.349049400827854</v>
      </c>
      <c r="C38" s="29">
        <f>IF(C9=0,0,C9/TrRail_act!C4*1000)</f>
        <v>12.142959473564398</v>
      </c>
      <c r="D38" s="29">
        <f>IF(D9=0,0,D9/TrRail_act!D4*1000)</f>
        <v>12.129768961022162</v>
      </c>
      <c r="E38" s="29">
        <f>IF(E9=0,0,E9/TrRail_act!E4*1000)</f>
        <v>13.452984652870263</v>
      </c>
      <c r="F38" s="29">
        <f>IF(F9=0,0,F9/TrRail_act!F4*1000)</f>
        <v>11.378912651587324</v>
      </c>
      <c r="G38" s="29">
        <f>IF(G9=0,0,G9/TrRail_act!G4*1000)</f>
        <v>12.556297871631141</v>
      </c>
      <c r="H38" s="29">
        <f>IF(H9=0,0,H9/TrRail_act!H4*1000)</f>
        <v>7.618971864666741</v>
      </c>
      <c r="I38" s="29">
        <f>IF(I9=0,0,I9/TrRail_act!I4*1000)</f>
        <v>9.3113024437958956</v>
      </c>
      <c r="J38" s="29">
        <f>IF(J9=0,0,J9/TrRail_act!J4*1000)</f>
        <v>7.1641914738675867</v>
      </c>
      <c r="K38" s="29">
        <f>IF(K9=0,0,K9/TrRail_act!K4*1000)</f>
        <v>8.313054765596398</v>
      </c>
      <c r="L38" s="29">
        <f>IF(L9=0,0,L9/TrRail_act!L4*1000)</f>
        <v>5.1101226879283912</v>
      </c>
      <c r="M38" s="29">
        <f>IF(M9=0,0,M9/TrRail_act!M4*1000)</f>
        <v>5.0255870662273114</v>
      </c>
      <c r="N38" s="29">
        <f>IF(N9=0,0,N9/TrRail_act!N4*1000)</f>
        <v>5.4138881663699925</v>
      </c>
      <c r="O38" s="29">
        <f>IF(O9=0,0,O9/TrRail_act!O4*1000)</f>
        <v>5.2845096858307183</v>
      </c>
      <c r="P38" s="29">
        <f>IF(P9=0,0,P9/TrRail_act!P4*1000)</f>
        <v>4.9177222647520624</v>
      </c>
      <c r="Q38" s="29">
        <f>IF(Q9=0,0,Q9/TrRail_act!Q4*1000)</f>
        <v>4.0341225159761551</v>
      </c>
      <c r="R38" s="29">
        <f>IF(R9=0,0,R9/TrRail_act!R4*1000)</f>
        <v>4.6455521682004299</v>
      </c>
      <c r="S38" s="29">
        <f>IF(S9=0,0,S9/TrRail_act!S4*1000)</f>
        <v>3.734576677061324</v>
      </c>
      <c r="T38" s="29">
        <f>IF(T9=0,0,T9/TrRail_act!T4*1000)</f>
        <v>5.1436227207061931</v>
      </c>
      <c r="U38" s="29">
        <f>IF(U9=0,0,U9/TrRail_act!U4*1000)</f>
        <v>3.8929252690462932</v>
      </c>
      <c r="V38" s="29">
        <f>IF(V9=0,0,V9/TrRail_act!V4*1000)</f>
        <v>6.7410734426961607</v>
      </c>
      <c r="W38" s="29">
        <f>IF(W9=0,0,W9/TrRail_act!W4*1000)</f>
        <v>5.5756903604144927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13.563084440836608</v>
      </c>
      <c r="C40" s="116">
        <f>IF(C11=0,0,C11/TrRail_act!C6*1000)</f>
        <v>14.655966797080106</v>
      </c>
      <c r="D40" s="116">
        <f>IF(D11=0,0,D11/TrRail_act!D6*1000)</f>
        <v>14.830599487790796</v>
      </c>
      <c r="E40" s="116">
        <f>IF(E11=0,0,E11/TrRail_act!E6*1000)</f>
        <v>16.535703409256669</v>
      </c>
      <c r="F40" s="116">
        <f>IF(F11=0,0,F11/TrRail_act!F6*1000)</f>
        <v>14.118618747475123</v>
      </c>
      <c r="G40" s="116">
        <f>IF(G11=0,0,G11/TrRail_act!G6*1000)</f>
        <v>15.599075347820877</v>
      </c>
      <c r="H40" s="116">
        <f>IF(H11=0,0,H11/TrRail_act!H6*1000)</f>
        <v>9.4465066209068773</v>
      </c>
      <c r="I40" s="116">
        <f>IF(I11=0,0,I11/TrRail_act!I6*1000)</f>
        <v>11.468107481383946</v>
      </c>
      <c r="J40" s="116">
        <f>IF(J11=0,0,J11/TrRail_act!J6*1000)</f>
        <v>8.7960449415472546</v>
      </c>
      <c r="K40" s="116">
        <f>IF(K11=0,0,K11/TrRail_act!K6*1000)</f>
        <v>10.239995613768121</v>
      </c>
      <c r="L40" s="116">
        <f>IF(L11=0,0,L11/TrRail_act!L6*1000)</f>
        <v>6.3476614673273764</v>
      </c>
      <c r="M40" s="116">
        <f>IF(M11=0,0,M11/TrRail_act!M6*1000)</f>
        <v>6.2431280244487493</v>
      </c>
      <c r="N40" s="116">
        <f>IF(N11=0,0,N11/TrRail_act!N6*1000)</f>
        <v>6.7478455515951339</v>
      </c>
      <c r="O40" s="116">
        <f>IF(O11=0,0,O11/TrRail_act!O6*1000)</f>
        <v>6.5744626531779184</v>
      </c>
      <c r="P40" s="116">
        <f>IF(P11=0,0,P11/TrRail_act!P6*1000)</f>
        <v>6.2188379451537852</v>
      </c>
      <c r="Q40" s="116">
        <f>IF(Q11=0,0,Q11/TrRail_act!Q6*1000)</f>
        <v>5.153030225236094</v>
      </c>
      <c r="R40" s="116">
        <f>IF(R11=0,0,R11/TrRail_act!R6*1000)</f>
        <v>6.1573184386732009</v>
      </c>
      <c r="S40" s="116">
        <f>IF(S11=0,0,S11/TrRail_act!S6*1000)</f>
        <v>4.872303700555058</v>
      </c>
      <c r="T40" s="116">
        <f>IF(T11=0,0,T11/TrRail_act!T6*1000)</f>
        <v>6.7010574116959738</v>
      </c>
      <c r="U40" s="116">
        <f>IF(U11=0,0,U11/TrRail_act!U6*1000)</f>
        <v>5.0605963714092388</v>
      </c>
      <c r="V40" s="116">
        <f>IF(V11=0,0,V11/TrRail_act!V6*1000)</f>
        <v>8.6771128718140051</v>
      </c>
      <c r="W40" s="116">
        <f>IF(W11=0,0,W11/TrRail_act!W6*1000)</f>
        <v>7.090457242400106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69.789077009471626</v>
      </c>
      <c r="C41" s="87">
        <f>IF(C12=0,0,C12/TrRail_act!C7*1000)</f>
        <v>67.693229791729877</v>
      </c>
      <c r="D41" s="87">
        <f>IF(D12=0,0,D12/TrRail_act!D7*1000)</f>
        <v>71.214755847869128</v>
      </c>
      <c r="E41" s="87">
        <f>IF(E12=0,0,E12/TrRail_act!E7*1000)</f>
        <v>73.959159810816175</v>
      </c>
      <c r="F41" s="87">
        <f>IF(F12=0,0,F12/TrRail_act!F7*1000)</f>
        <v>69.758983922263639</v>
      </c>
      <c r="G41" s="87">
        <f>IF(G12=0,0,G12/TrRail_act!G7*1000)</f>
        <v>66.471025536106325</v>
      </c>
      <c r="H41" s="87">
        <f>IF(H12=0,0,H12/TrRail_act!H7*1000)</f>
        <v>57.803666276108949</v>
      </c>
      <c r="I41" s="87">
        <f>IF(I12=0,0,I12/TrRail_act!I7*1000)</f>
        <v>53.420869582053967</v>
      </c>
      <c r="J41" s="87">
        <f>IF(J12=0,0,J12/TrRail_act!J7*1000)</f>
        <v>53.707119709426138</v>
      </c>
      <c r="K41" s="87">
        <f>IF(K12=0,0,K12/TrRail_act!K7*1000)</f>
        <v>53.093607624322757</v>
      </c>
      <c r="L41" s="87">
        <f>IF(L12=0,0,L12/TrRail_act!L7*1000)</f>
        <v>51.531160652733789</v>
      </c>
      <c r="M41" s="87">
        <f>IF(M12=0,0,M12/TrRail_act!M7*1000)</f>
        <v>48.642126290774812</v>
      </c>
      <c r="N41" s="87">
        <f>IF(N12=0,0,N12/TrRail_act!N7*1000)</f>
        <v>51.620404943390199</v>
      </c>
      <c r="O41" s="87">
        <f>IF(O12=0,0,O12/TrRail_act!O7*1000)</f>
        <v>50.123428385842487</v>
      </c>
      <c r="P41" s="87">
        <f>IF(P12=0,0,P12/TrRail_act!P7*1000)</f>
        <v>46.911347268677332</v>
      </c>
      <c r="Q41" s="87">
        <f>IF(Q12=0,0,Q12/TrRail_act!Q7*1000)</f>
        <v>42.683741066169063</v>
      </c>
      <c r="R41" s="87">
        <f>IF(R12=0,0,R12/TrRail_act!R7*1000)</f>
        <v>43.743926916770164</v>
      </c>
      <c r="S41" s="87">
        <f>IF(S12=0,0,S12/TrRail_act!S7*1000)</f>
        <v>45.641531146059741</v>
      </c>
      <c r="T41" s="87">
        <f>IF(T12=0,0,T12/TrRail_act!T7*1000)</f>
        <v>48.625088661889563</v>
      </c>
      <c r="U41" s="87">
        <f>IF(U12=0,0,U12/TrRail_act!U7*1000)</f>
        <v>36.802974840793105</v>
      </c>
      <c r="V41" s="87">
        <f>IF(V12=0,0,V12/TrRail_act!V7*1000)</f>
        <v>62.540290817290334</v>
      </c>
      <c r="W41" s="87">
        <f>IF(W12=0,0,W12/TrRail_act!W7*1000)</f>
        <v>51.356234641614911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3.6847700135437873</v>
      </c>
      <c r="C44" s="29">
        <f>IF(C15=0,0,C15/TrRail_act!C10*1000)</f>
        <v>3.8509329265494143</v>
      </c>
      <c r="D44" s="29">
        <f>IF(D15=0,0,D15/TrRail_act!D10*1000)</f>
        <v>3.8580212709834507</v>
      </c>
      <c r="E44" s="29">
        <f>IF(E15=0,0,E15/TrRail_act!E10*1000)</f>
        <v>3.9712758666234413</v>
      </c>
      <c r="F44" s="29">
        <f>IF(F15=0,0,F15/TrRail_act!F10*1000)</f>
        <v>4.7603270306827552</v>
      </c>
      <c r="G44" s="29">
        <f>IF(G15=0,0,G15/TrRail_act!G10*1000)</f>
        <v>4.4065262472908096</v>
      </c>
      <c r="H44" s="29">
        <f>IF(H15=0,0,H15/TrRail_act!H10*1000)</f>
        <v>5.3478383985852034</v>
      </c>
      <c r="I44" s="29">
        <f>IF(I15=0,0,I15/TrRail_act!I10*1000)</f>
        <v>4.2006132764491584</v>
      </c>
      <c r="J44" s="29">
        <f>IF(J15=0,0,J15/TrRail_act!J10*1000)</f>
        <v>4.2397919214006325</v>
      </c>
      <c r="K44" s="29">
        <f>IF(K15=0,0,K15/TrRail_act!K10*1000)</f>
        <v>4.4695756203522512</v>
      </c>
      <c r="L44" s="29">
        <f>IF(L15=0,0,L15/TrRail_act!L10*1000)</f>
        <v>4.9767025957093951</v>
      </c>
      <c r="M44" s="29">
        <f>IF(M15=0,0,M15/TrRail_act!M10*1000)</f>
        <v>4.7538327194506564</v>
      </c>
      <c r="N44" s="29">
        <f>IF(N15=0,0,N15/TrRail_act!N10*1000)</f>
        <v>4.5605700246869327</v>
      </c>
      <c r="O44" s="29">
        <f>IF(O15=0,0,O15/TrRail_act!O10*1000)</f>
        <v>4.0725068456706941</v>
      </c>
      <c r="P44" s="29">
        <f>IF(P15=0,0,P15/TrRail_act!P10*1000)</f>
        <v>3.7138661759503542</v>
      </c>
      <c r="Q44" s="29">
        <f>IF(Q15=0,0,Q15/TrRail_act!Q10*1000)</f>
        <v>3.4422913786437568</v>
      </c>
      <c r="R44" s="29">
        <f>IF(R15=0,0,R15/TrRail_act!R10*1000)</f>
        <v>3.0019480636519713</v>
      </c>
      <c r="S44" s="29">
        <f>IF(S15=0,0,S15/TrRail_act!S10*1000)</f>
        <v>3.2092296373381939</v>
      </c>
      <c r="T44" s="29">
        <f>IF(T15=0,0,T15/TrRail_act!T10*1000)</f>
        <v>3.2282885868156939</v>
      </c>
      <c r="U44" s="29">
        <f>IF(U15=0,0,U15/TrRail_act!U10*1000)</f>
        <v>3.0198070329268574</v>
      </c>
      <c r="V44" s="29">
        <f>IF(V15=0,0,V15/TrRail_act!V10*1000)</f>
        <v>3.0635089292017685</v>
      </c>
      <c r="W44" s="29">
        <f>IF(W15=0,0,W15/TrRail_act!W10*1000)</f>
        <v>3.2279724465229402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27.173632263789706</v>
      </c>
      <c r="C45" s="87">
        <f>IF(C16=0,0,C16/TrRail_act!C11*1000)</f>
        <v>27.934745062331622</v>
      </c>
      <c r="D45" s="87">
        <f>IF(D16=0,0,D16/TrRail_act!D11*1000)</f>
        <v>26.062048058191582</v>
      </c>
      <c r="E45" s="87">
        <f>IF(E16=0,0,E16/TrRail_act!E11*1000)</f>
        <v>22.177552734467302</v>
      </c>
      <c r="F45" s="87">
        <f>IF(F16=0,0,F16/TrRail_act!F11*1000)</f>
        <v>20.660456622923306</v>
      </c>
      <c r="G45" s="87">
        <f>IF(G16=0,0,G16/TrRail_act!G11*1000)</f>
        <v>19.674356354555467</v>
      </c>
      <c r="H45" s="87">
        <f>IF(H16=0,0,H16/TrRail_act!H11*1000)</f>
        <v>19.360562007120834</v>
      </c>
      <c r="I45" s="87">
        <f>IF(I16=0,0,I16/TrRail_act!I11*1000)</f>
        <v>18.057212020631436</v>
      </c>
      <c r="J45" s="87">
        <f>IF(J16=0,0,J16/TrRail_act!J11*1000)</f>
        <v>18.17962167941122</v>
      </c>
      <c r="K45" s="87">
        <f>IF(K16=0,0,K16/TrRail_act!K11*1000)</f>
        <v>17.282048690669761</v>
      </c>
      <c r="L45" s="87">
        <f>IF(L16=0,0,L16/TrRail_act!L11*1000)</f>
        <v>17.505374451816405</v>
      </c>
      <c r="M45" s="87">
        <f>IF(M16=0,0,M16/TrRail_act!M11*1000)</f>
        <v>16.939521085654928</v>
      </c>
      <c r="N45" s="87">
        <f>IF(N16=0,0,N16/TrRail_act!N11*1000)</f>
        <v>17.03288969562778</v>
      </c>
      <c r="O45" s="87">
        <f>IF(O16=0,0,O16/TrRail_act!O11*1000)</f>
        <v>14.822698277340292</v>
      </c>
      <c r="P45" s="87">
        <f>IF(P16=0,0,P16/TrRail_act!P11*1000)</f>
        <v>14.462066786035447</v>
      </c>
      <c r="Q45" s="87">
        <f>IF(Q16=0,0,Q16/TrRail_act!Q11*1000)</f>
        <v>14.152134718799468</v>
      </c>
      <c r="R45" s="87">
        <f>IF(R16=0,0,R16/TrRail_act!R11*1000)</f>
        <v>13.86033909628631</v>
      </c>
      <c r="S45" s="87">
        <f>IF(S16=0,0,S16/TrRail_act!S11*1000)</f>
        <v>14.940195097614721</v>
      </c>
      <c r="T45" s="87">
        <f>IF(T16=0,0,T16/TrRail_act!T11*1000)</f>
        <v>14.347741085032746</v>
      </c>
      <c r="U45" s="87">
        <f>IF(U16=0,0,U16/TrRail_act!U11*1000)</f>
        <v>12.440760376063936</v>
      </c>
      <c r="V45" s="87">
        <f>IF(V16=0,0,V16/TrRail_act!V11*1000)</f>
        <v>15.050051860829264</v>
      </c>
      <c r="W45" s="87">
        <f>IF(W16=0,0,W16/TrRail_act!W11*1000)</f>
        <v>15.054368131460695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283.16399943823012</v>
      </c>
      <c r="C48" s="62">
        <f>IF(C8=0,0,1000000*C8/TrRail_act!C25/1000)</f>
        <v>270.32281348363676</v>
      </c>
      <c r="D48" s="62">
        <f>IF(D8=0,0,1000000*D8/TrRail_act!D25/1000)</f>
        <v>250.91131728249343</v>
      </c>
      <c r="E48" s="62">
        <f>IF(E8=0,0,1000000*E8/TrRail_act!E25/1000)</f>
        <v>256.93765321830392</v>
      </c>
      <c r="F48" s="62">
        <f>IF(F8=0,0,1000000*F8/TrRail_act!F25/1000)</f>
        <v>263.73635946812942</v>
      </c>
      <c r="G48" s="62">
        <f>IF(G8=0,0,1000000*G8/TrRail_act!G25/1000)</f>
        <v>271.65103937925448</v>
      </c>
      <c r="H48" s="62">
        <f>IF(H8=0,0,1000000*H8/TrRail_act!H25/1000)</f>
        <v>256.64586091527531</v>
      </c>
      <c r="I48" s="62">
        <f>IF(I8=0,0,1000000*I8/TrRail_act!I25/1000)</f>
        <v>245.09420036881497</v>
      </c>
      <c r="J48" s="62">
        <f>IF(J8=0,0,1000000*J8/TrRail_act!J25/1000)</f>
        <v>217.40801568053647</v>
      </c>
      <c r="K48" s="62">
        <f>IF(K8=0,0,1000000*K8/TrRail_act!K25/1000)</f>
        <v>218.20807518063012</v>
      </c>
      <c r="L48" s="62">
        <f>IF(L8=0,0,1000000*L8/TrRail_act!L25/1000)</f>
        <v>199.66342995820858</v>
      </c>
      <c r="M48" s="62">
        <f>IF(M8=0,0,1000000*M8/TrRail_act!M25/1000)</f>
        <v>209.40617433150715</v>
      </c>
      <c r="N48" s="62">
        <f>IF(N8=0,0,1000000*N8/TrRail_act!N25/1000)</f>
        <v>196.8792728095203</v>
      </c>
      <c r="O48" s="62">
        <f>IF(O8=0,0,1000000*O8/TrRail_act!O25/1000)</f>
        <v>185.96037093785415</v>
      </c>
      <c r="P48" s="62">
        <f>IF(P8=0,0,1000000*P8/TrRail_act!P25/1000)</f>
        <v>168.96858584209349</v>
      </c>
      <c r="Q48" s="62">
        <f>IF(Q8=0,0,1000000*Q8/TrRail_act!Q25/1000)</f>
        <v>150.2973889083199</v>
      </c>
      <c r="R48" s="62">
        <f>IF(R8=0,0,1000000*R8/TrRail_act!R25/1000)</f>
        <v>142.12770241048005</v>
      </c>
      <c r="S48" s="62">
        <f>IF(S8=0,0,1000000*S8/TrRail_act!S25/1000)</f>
        <v>143.87481593695716</v>
      </c>
      <c r="T48" s="62">
        <f>IF(T8=0,0,1000000*T8/TrRail_act!T25/1000)</f>
        <v>163.16010728202011</v>
      </c>
      <c r="U48" s="62">
        <f>IF(U8=0,0,1000000*U8/TrRail_act!U25/1000)</f>
        <v>138.38738740624666</v>
      </c>
      <c r="V48" s="62">
        <f>IF(V8=0,0,1000000*V8/TrRail_act!V25/1000)</f>
        <v>139.04582508224345</v>
      </c>
      <c r="W48" s="62">
        <f>IF(W8=0,0,1000000*W8/TrRail_act!W25/1000)</f>
        <v>144.54969315948009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231.41185242365245</v>
      </c>
      <c r="C49" s="29">
        <f>IF(C9=0,0,1000000*C9/TrRail_act!C26/1000)</f>
        <v>220.13665989624263</v>
      </c>
      <c r="D49" s="29">
        <f>IF(D9=0,0,1000000*D9/TrRail_act!D26/1000)</f>
        <v>197.29045276578611</v>
      </c>
      <c r="E49" s="29">
        <f>IF(E9=0,0,1000000*E9/TrRail_act!E26/1000)</f>
        <v>204.0436386841437</v>
      </c>
      <c r="F49" s="29">
        <f>IF(F9=0,0,1000000*F9/TrRail_act!F26/1000)</f>
        <v>173.30490471036691</v>
      </c>
      <c r="G49" s="29">
        <f>IF(G9=0,0,1000000*G9/TrRail_act!G26/1000)</f>
        <v>194.00230947456458</v>
      </c>
      <c r="H49" s="29">
        <f>IF(H9=0,0,1000000*H9/TrRail_act!H26/1000)</f>
        <v>126.89507251693911</v>
      </c>
      <c r="I49" s="29">
        <f>IF(I9=0,0,1000000*I9/TrRail_act!I26/1000)</f>
        <v>159.78579353390299</v>
      </c>
      <c r="J49" s="29">
        <f>IF(J9=0,0,1000000*J9/TrRail_act!J26/1000)</f>
        <v>125.24392416595323</v>
      </c>
      <c r="K49" s="29">
        <f>IF(K9=0,0,1000000*K9/TrRail_act!K26/1000)</f>
        <v>136.77738918299627</v>
      </c>
      <c r="L49" s="29">
        <f>IF(L9=0,0,1000000*L9/TrRail_act!L26/1000)</f>
        <v>80.193047818273456</v>
      </c>
      <c r="M49" s="29">
        <f>IF(M9=0,0,1000000*M9/TrRail_act!M26/1000)</f>
        <v>82.972893866615323</v>
      </c>
      <c r="N49" s="29">
        <f>IF(N9=0,0,1000000*N9/TrRail_act!N26/1000)</f>
        <v>86.694488043097991</v>
      </c>
      <c r="O49" s="29">
        <f>IF(O9=0,0,1000000*O9/TrRail_act!O26/1000)</f>
        <v>81.550812725208743</v>
      </c>
      <c r="P49" s="29">
        <f>IF(P9=0,0,1000000*P9/TrRail_act!P26/1000)</f>
        <v>73.877734424354713</v>
      </c>
      <c r="Q49" s="29">
        <f>IF(Q9=0,0,1000000*Q9/TrRail_act!Q26/1000)</f>
        <v>62.11981680900665</v>
      </c>
      <c r="R49" s="29">
        <f>IF(R9=0,0,1000000*R9/TrRail_act!R26/1000)</f>
        <v>72.727487596217784</v>
      </c>
      <c r="S49" s="29">
        <f>IF(S9=0,0,1000000*S9/TrRail_act!S26/1000)</f>
        <v>61.328746377736429</v>
      </c>
      <c r="T49" s="29">
        <f>IF(T9=0,0,1000000*T9/TrRail_act!T26/1000)</f>
        <v>82.977693863589806</v>
      </c>
      <c r="U49" s="29">
        <f>IF(U9=0,0,1000000*U9/TrRail_act!U26/1000)</f>
        <v>66.374231376358466</v>
      </c>
      <c r="V49" s="29">
        <f>IF(V9=0,0,1000000*V9/TrRail_act!V26/1000)</f>
        <v>69.404387817189743</v>
      </c>
      <c r="W49" s="29">
        <f>IF(W9=0,0,1000000*W9/TrRail_act!W26/1000)</f>
        <v>68.155987802948928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366.67450824067112</v>
      </c>
      <c r="C51" s="116">
        <f>IF(C11=0,0,1000000*C11/TrRail_act!C28/1000)</f>
        <v>337.29840547555483</v>
      </c>
      <c r="D51" s="116">
        <f>IF(D11=0,0,1000000*D11/TrRail_act!D28/1000)</f>
        <v>297.86852982369629</v>
      </c>
      <c r="E51" s="116">
        <f>IF(E11=0,0,1000000*E11/TrRail_act!E28/1000)</f>
        <v>301.6582617695953</v>
      </c>
      <c r="F51" s="116">
        <f>IF(F11=0,0,1000000*F11/TrRail_act!F28/1000)</f>
        <v>259.93246427659636</v>
      </c>
      <c r="G51" s="116">
        <f>IF(G11=0,0,1000000*G11/TrRail_act!G28/1000)</f>
        <v>292.3619253031535</v>
      </c>
      <c r="H51" s="116">
        <f>IF(H11=0,0,1000000*H11/TrRail_act!H28/1000)</f>
        <v>199.22689642394127</v>
      </c>
      <c r="I51" s="116">
        <f>IF(I11=0,0,1000000*I11/TrRail_act!I28/1000)</f>
        <v>248.26817535597522</v>
      </c>
      <c r="J51" s="116">
        <f>IF(J11=0,0,1000000*J11/TrRail_act!J28/1000)</f>
        <v>194.86065494204288</v>
      </c>
      <c r="K51" s="116">
        <f>IF(K11=0,0,1000000*K11/TrRail_act!K28/1000)</f>
        <v>209.40641428447137</v>
      </c>
      <c r="L51" s="116">
        <f>IF(L11=0,0,1000000*L11/TrRail_act!L28/1000)</f>
        <v>123.03963601432577</v>
      </c>
      <c r="M51" s="116">
        <f>IF(M11=0,0,1000000*M11/TrRail_act!M28/1000)</f>
        <v>130.02171230483413</v>
      </c>
      <c r="N51" s="116">
        <f>IF(N11=0,0,1000000*N11/TrRail_act!N28/1000)</f>
        <v>135.80574708028132</v>
      </c>
      <c r="O51" s="116">
        <f>IF(O11=0,0,1000000*O11/TrRail_act!O28/1000)</f>
        <v>124.83436932565451</v>
      </c>
      <c r="P51" s="116">
        <f>IF(P11=0,0,1000000*P11/TrRail_act!P28/1000)</f>
        <v>115.74248864253217</v>
      </c>
      <c r="Q51" s="116">
        <f>IF(Q11=0,0,1000000*Q11/TrRail_act!Q28/1000)</f>
        <v>95.154649484788735</v>
      </c>
      <c r="R51" s="116">
        <f>IF(R11=0,0,1000000*R11/TrRail_act!R28/1000)</f>
        <v>109.89265798132301</v>
      </c>
      <c r="S51" s="116">
        <f>IF(S11=0,0,1000000*S11/TrRail_act!S28/1000)</f>
        <v>92.026336495412707</v>
      </c>
      <c r="T51" s="116">
        <f>IF(T11=0,0,1000000*T11/TrRail_act!T28/1000)</f>
        <v>121.91606129205879</v>
      </c>
      <c r="U51" s="116">
        <f>IF(U11=0,0,1000000*U11/TrRail_act!U28/1000)</f>
        <v>98.769845163900996</v>
      </c>
      <c r="V51" s="116">
        <f>IF(V11=0,0,1000000*V11/TrRail_act!V28/1000)</f>
        <v>105.09294742392326</v>
      </c>
      <c r="W51" s="116">
        <f>IF(W11=0,0,1000000*W11/TrRail_act!W28/1000)</f>
        <v>99.333012338086121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1301.8259734023318</v>
      </c>
      <c r="C52" s="87">
        <f>IF(C12=0,0,1000000*C12/TrRail_act!C29/1000)</f>
        <v>1265.9724731548276</v>
      </c>
      <c r="D52" s="87">
        <f>IF(D12=0,0,1000000*D12/TrRail_act!D29/1000)</f>
        <v>1235.6883551386802</v>
      </c>
      <c r="E52" s="87">
        <f>IF(E12=0,0,1000000*E12/TrRail_act!E29/1000)</f>
        <v>1177.4938926052005</v>
      </c>
      <c r="F52" s="87">
        <f>IF(F12=0,0,1000000*F12/TrRail_act!F29/1000)</f>
        <v>1052.6498752531418</v>
      </c>
      <c r="G52" s="87">
        <f>IF(G12=0,0,1000000*G12/TrRail_act!G29/1000)</f>
        <v>1127.8708817906588</v>
      </c>
      <c r="H52" s="87">
        <f>IF(H12=0,0,1000000*H12/TrRail_act!H29/1000)</f>
        <v>775.37733481113855</v>
      </c>
      <c r="I52" s="87">
        <f>IF(I12=0,0,1000000*I12/TrRail_act!I29/1000)</f>
        <v>1012.0564486894011</v>
      </c>
      <c r="J52" s="87">
        <f>IF(J12=0,0,1000000*J12/TrRail_act!J29/1000)</f>
        <v>888.4836553233821</v>
      </c>
      <c r="K52" s="87">
        <f>IF(K12=0,0,1000000*K12/TrRail_act!K29/1000)</f>
        <v>950.41709872002343</v>
      </c>
      <c r="L52" s="87">
        <f>IF(L12=0,0,1000000*L12/TrRail_act!L29/1000)</f>
        <v>647.45171320123234</v>
      </c>
      <c r="M52" s="87">
        <f>IF(M12=0,0,1000000*M12/TrRail_act!M29/1000)</f>
        <v>753.53586192722366</v>
      </c>
      <c r="N52" s="87">
        <f>IF(N12=0,0,1000000*N12/TrRail_act!N29/1000)</f>
        <v>870.877178994784</v>
      </c>
      <c r="O52" s="87">
        <f>IF(O12=0,0,1000000*O12/TrRail_act!O29/1000)</f>
        <v>857.26654927583093</v>
      </c>
      <c r="P52" s="87">
        <f>IF(P12=0,0,1000000*P12/TrRail_act!P29/1000)</f>
        <v>827.80156631264674</v>
      </c>
      <c r="Q52" s="87">
        <f>IF(Q12=0,0,1000000*Q12/TrRail_act!Q29/1000)</f>
        <v>783.88437509765788</v>
      </c>
      <c r="R52" s="87">
        <f>IF(R12=0,0,1000000*R12/TrRail_act!R29/1000)</f>
        <v>767.53202148308901</v>
      </c>
      <c r="S52" s="87">
        <f>IF(S12=0,0,1000000*S12/TrRail_act!S29/1000)</f>
        <v>755.49200820328213</v>
      </c>
      <c r="T52" s="87">
        <f>IF(T12=0,0,1000000*T12/TrRail_act!T29/1000)</f>
        <v>746.58610528997247</v>
      </c>
      <c r="U52" s="87">
        <f>IF(U12=0,0,1000000*U12/TrRail_act!U29/1000)</f>
        <v>687.96734865864062</v>
      </c>
      <c r="V52" s="87">
        <f>IF(V12=0,0,1000000*V12/TrRail_act!V29/1000)</f>
        <v>735.05623547430753</v>
      </c>
      <c r="W52" s="87">
        <f>IF(W12=0,0,1000000*W12/TrRail_act!W29/1000)</f>
        <v>731.3881549084681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447.51810483598803</v>
      </c>
      <c r="C55" s="29">
        <f>IF(C15=0,0,1000000*C15/TrRail_act!C32/1000)</f>
        <v>457.16751373401394</v>
      </c>
      <c r="D55" s="29">
        <f>IF(D15=0,0,1000000*D15/TrRail_act!D32/1000)</f>
        <v>469.16228484560247</v>
      </c>
      <c r="E55" s="29">
        <f>IF(E15=0,0,1000000*E15/TrRail_act!E32/1000)</f>
        <v>464.73175775005336</v>
      </c>
      <c r="F55" s="29">
        <f>IF(F15=0,0,1000000*F15/TrRail_act!F32/1000)</f>
        <v>589.64634072093338</v>
      </c>
      <c r="G55" s="29">
        <f>IF(G15=0,0,1000000*G15/TrRail_act!G32/1000)</f>
        <v>559.88636265735681</v>
      </c>
      <c r="H55" s="29">
        <f>IF(H15=0,0,1000000*H15/TrRail_act!H32/1000)</f>
        <v>684.19445499296558</v>
      </c>
      <c r="I55" s="29">
        <f>IF(I15=0,0,1000000*I15/TrRail_act!I32/1000)</f>
        <v>525.43365745644746</v>
      </c>
      <c r="J55" s="29">
        <f>IF(J15=0,0,1000000*J15/TrRail_act!J32/1000)</f>
        <v>533.41152499272869</v>
      </c>
      <c r="K55" s="29">
        <f>IF(K15=0,0,1000000*K15/TrRail_act!K32/1000)</f>
        <v>525.95215585408312</v>
      </c>
      <c r="L55" s="29">
        <f>IF(L15=0,0,1000000*L15/TrRail_act!L32/1000)</f>
        <v>663.71386493077875</v>
      </c>
      <c r="M55" s="29">
        <f>IF(M15=0,0,1000000*M15/TrRail_act!M32/1000)</f>
        <v>647.91271851205966</v>
      </c>
      <c r="N55" s="29">
        <f>IF(N15=0,0,1000000*N15/TrRail_act!N32/1000)</f>
        <v>625.96666116262247</v>
      </c>
      <c r="O55" s="29">
        <f>IF(O15=0,0,1000000*O15/TrRail_act!O32/1000)</f>
        <v>585.36542243433803</v>
      </c>
      <c r="P55" s="29">
        <f>IF(P15=0,0,1000000*P15/TrRail_act!P32/1000)</f>
        <v>543.8964337370976</v>
      </c>
      <c r="Q55" s="29">
        <f>IF(Q15=0,0,1000000*Q15/TrRail_act!Q32/1000)</f>
        <v>517.66910666335605</v>
      </c>
      <c r="R55" s="29">
        <f>IF(R15=0,0,1000000*R15/TrRail_act!R32/1000)</f>
        <v>451.92858764366827</v>
      </c>
      <c r="S55" s="29">
        <f>IF(S15=0,0,1000000*S15/TrRail_act!S32/1000)</f>
        <v>486.10459959378124</v>
      </c>
      <c r="T55" s="29">
        <f>IF(T15=0,0,1000000*T15/TrRail_act!T32/1000)</f>
        <v>477.5902788387744</v>
      </c>
      <c r="U55" s="29">
        <f>IF(U15=0,0,1000000*U15/TrRail_act!U32/1000)</f>
        <v>430.59904204939858</v>
      </c>
      <c r="V55" s="29">
        <f>IF(V15=0,0,1000000*V15/TrRail_act!V32/1000)</f>
        <v>400.01161461659569</v>
      </c>
      <c r="W55" s="29">
        <f>IF(W15=0,0,1000000*W15/TrRail_act!W32/1000)</f>
        <v>433.23637877849865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3556.7648142515086</v>
      </c>
      <c r="C56" s="87">
        <f>IF(C16=0,0,1000000*C16/TrRail_act!C33/1000)</f>
        <v>3533.4415713754465</v>
      </c>
      <c r="D56" s="87">
        <f>IF(D16=0,0,1000000*D16/TrRail_act!D33/1000)</f>
        <v>3370.2091682233508</v>
      </c>
      <c r="E56" s="87">
        <f>IF(E16=0,0,1000000*E16/TrRail_act!E33/1000)</f>
        <v>3150.2832300551013</v>
      </c>
      <c r="F56" s="87">
        <f>IF(F16=0,0,1000000*F16/TrRail_act!F33/1000)</f>
        <v>2961.0462833784231</v>
      </c>
      <c r="G56" s="87">
        <f>IF(G16=0,0,1000000*G16/TrRail_act!G33/1000)</f>
        <v>2803.8036085925983</v>
      </c>
      <c r="H56" s="87">
        <f>IF(H16=0,0,1000000*H16/TrRail_act!H33/1000)</f>
        <v>2677.4155878854572</v>
      </c>
      <c r="I56" s="87">
        <f>IF(I16=0,0,1000000*I16/TrRail_act!I33/1000)</f>
        <v>2245.066943337968</v>
      </c>
      <c r="J56" s="87">
        <f>IF(J16=0,0,1000000*J16/TrRail_act!J33/1000)</f>
        <v>2300.4834471659528</v>
      </c>
      <c r="K56" s="87">
        <f>IF(K16=0,0,1000000*K16/TrRail_act!K33/1000)</f>
        <v>2149.8972051782548</v>
      </c>
      <c r="L56" s="87">
        <f>IF(L16=0,0,1000000*L16/TrRail_act!L33/1000)</f>
        <v>2454.5344105068698</v>
      </c>
      <c r="M56" s="87">
        <f>IF(M16=0,0,1000000*M16/TrRail_act!M33/1000)</f>
        <v>2435.3662601248643</v>
      </c>
      <c r="N56" s="87">
        <f>IF(N16=0,0,1000000*N16/TrRail_act!N33/1000)</f>
        <v>2245.5748257222317</v>
      </c>
      <c r="O56" s="87">
        <f>IF(O16=0,0,1000000*O16/TrRail_act!O33/1000)</f>
        <v>2210.9002228862482</v>
      </c>
      <c r="P56" s="87">
        <f>IF(P16=0,0,1000000*P16/TrRail_act!P33/1000)</f>
        <v>2110.1359122655722</v>
      </c>
      <c r="Q56" s="87">
        <f>IF(Q16=0,0,1000000*Q16/TrRail_act!Q33/1000)</f>
        <v>2110.5075065810747</v>
      </c>
      <c r="R56" s="87">
        <f>IF(R16=0,0,1000000*R16/TrRail_act!R33/1000)</f>
        <v>1976.1866890330457</v>
      </c>
      <c r="S56" s="87">
        <f>IF(S16=0,0,1000000*S16/TrRail_act!S33/1000)</f>
        <v>2262.8797252009385</v>
      </c>
      <c r="T56" s="87">
        <f>IF(T16=0,0,1000000*T16/TrRail_act!T33/1000)</f>
        <v>2256.4897264172714</v>
      </c>
      <c r="U56" s="87">
        <f>IF(U16=0,0,1000000*U16/TrRail_act!U33/1000)</f>
        <v>2076.763791310826</v>
      </c>
      <c r="V56" s="87">
        <f>IF(V16=0,0,1000000*V16/TrRail_act!V33/1000)</f>
        <v>2121.7382620402273</v>
      </c>
      <c r="W56" s="87">
        <f>IF(W16=0,0,1000000*W16/TrRail_act!W33/1000)</f>
        <v>2245.4498772980951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0.62152812488868803</v>
      </c>
      <c r="C60" s="31">
        <f t="shared" ref="C60:V60" si="8">IF(C9=0,0,C9/C$8)</f>
        <v>0.64192690222238213</v>
      </c>
      <c r="D60" s="31">
        <f t="shared" si="8"/>
        <v>0.63121568621742552</v>
      </c>
      <c r="E60" s="31">
        <f t="shared" si="8"/>
        <v>0.63300521760550532</v>
      </c>
      <c r="F60" s="31">
        <f t="shared" si="8"/>
        <v>0.51438568304705035</v>
      </c>
      <c r="G60" s="31">
        <f t="shared" si="8"/>
        <v>0.56259938105519591</v>
      </c>
      <c r="H60" s="31">
        <f t="shared" si="8"/>
        <v>0.37932146096037617</v>
      </c>
      <c r="I60" s="31">
        <f t="shared" si="8"/>
        <v>0.49983460047685263</v>
      </c>
      <c r="J60" s="31">
        <f t="shared" si="8"/>
        <v>0.44599962267666343</v>
      </c>
      <c r="K60" s="31">
        <f t="shared" si="8"/>
        <v>0.49566531071954001</v>
      </c>
      <c r="L60" s="31">
        <f t="shared" si="8"/>
        <v>0.31940890659566978</v>
      </c>
      <c r="M60" s="31">
        <f t="shared" si="8"/>
        <v>0.30755347820516299</v>
      </c>
      <c r="N60" s="31">
        <f t="shared" si="8"/>
        <v>0.35037186818040966</v>
      </c>
      <c r="O60" s="31">
        <f t="shared" si="8"/>
        <v>0.34765676602343959</v>
      </c>
      <c r="P60" s="31">
        <f t="shared" si="8"/>
        <v>0.34877083571426909</v>
      </c>
      <c r="Q60" s="31">
        <f t="shared" si="8"/>
        <v>0.33331056177166341</v>
      </c>
      <c r="R60" s="31">
        <f t="shared" si="8"/>
        <v>0.41805451227002571</v>
      </c>
      <c r="S60" s="31">
        <f t="shared" si="8"/>
        <v>0.34342925532601715</v>
      </c>
      <c r="T60" s="31">
        <f t="shared" si="8"/>
        <v>0.40522913211769113</v>
      </c>
      <c r="U60" s="31">
        <f t="shared" si="8"/>
        <v>0.38479640126206882</v>
      </c>
      <c r="V60" s="31">
        <f t="shared" si="8"/>
        <v>0.39400361848713089</v>
      </c>
      <c r="W60" s="31">
        <f t="shared" ref="W60" si="9">IF(W9=0,0,W9/W$8)</f>
        <v>0.37284222402834516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0.62152812488868803</v>
      </c>
      <c r="C62" s="124">
        <f t="shared" ref="C62:V62" si="12">IF(C11=0,0,C11/C$8)</f>
        <v>0.64192690222238213</v>
      </c>
      <c r="D62" s="124">
        <f t="shared" si="12"/>
        <v>0.63121568621742552</v>
      </c>
      <c r="E62" s="124">
        <f t="shared" si="12"/>
        <v>0.63300521760550532</v>
      </c>
      <c r="F62" s="124">
        <f t="shared" si="12"/>
        <v>0.51438568304705035</v>
      </c>
      <c r="G62" s="124">
        <f t="shared" si="12"/>
        <v>0.56259938105519591</v>
      </c>
      <c r="H62" s="124">
        <f t="shared" si="12"/>
        <v>0.37932146096037617</v>
      </c>
      <c r="I62" s="124">
        <f t="shared" si="12"/>
        <v>0.49983460047685263</v>
      </c>
      <c r="J62" s="124">
        <f t="shared" si="12"/>
        <v>0.44599962267666343</v>
      </c>
      <c r="K62" s="124">
        <f t="shared" si="12"/>
        <v>0.49566531071954001</v>
      </c>
      <c r="L62" s="124">
        <f t="shared" si="12"/>
        <v>0.31940890659566978</v>
      </c>
      <c r="M62" s="124">
        <f t="shared" si="12"/>
        <v>0.30755347820516299</v>
      </c>
      <c r="N62" s="124">
        <f t="shared" si="12"/>
        <v>0.35037186818040966</v>
      </c>
      <c r="O62" s="124">
        <f t="shared" si="12"/>
        <v>0.34765676602343959</v>
      </c>
      <c r="P62" s="124">
        <f t="shared" si="12"/>
        <v>0.34877083571426909</v>
      </c>
      <c r="Q62" s="124">
        <f t="shared" si="12"/>
        <v>0.33331056177166341</v>
      </c>
      <c r="R62" s="124">
        <f t="shared" si="12"/>
        <v>0.41805451227002571</v>
      </c>
      <c r="S62" s="124">
        <f t="shared" si="12"/>
        <v>0.34342925532601715</v>
      </c>
      <c r="T62" s="124">
        <f t="shared" si="12"/>
        <v>0.40522913211769113</v>
      </c>
      <c r="U62" s="124">
        <f t="shared" si="12"/>
        <v>0.38479640126206882</v>
      </c>
      <c r="V62" s="124">
        <f t="shared" si="12"/>
        <v>0.39400361848713089</v>
      </c>
      <c r="W62" s="124">
        <f t="shared" ref="W62" si="13">IF(W11=0,0,W11/W$8)</f>
        <v>0.37284222402834516</v>
      </c>
      <c r="DA62" s="176"/>
    </row>
    <row r="63" spans="1:105" ht="11.45" customHeight="1" x14ac:dyDescent="0.25">
      <c r="A63" s="111" t="s">
        <v>92</v>
      </c>
      <c r="B63" s="125">
        <f t="shared" si="5"/>
        <v>0.62152812488868803</v>
      </c>
      <c r="C63" s="125">
        <f t="shared" ref="C63:V63" si="14">IF(C12=0,0,C12/C$8)</f>
        <v>0.64192690222238213</v>
      </c>
      <c r="D63" s="125">
        <f t="shared" si="14"/>
        <v>0.63121568621742552</v>
      </c>
      <c r="E63" s="125">
        <f t="shared" si="14"/>
        <v>0.63300521760550532</v>
      </c>
      <c r="F63" s="125">
        <f t="shared" si="14"/>
        <v>0.51438568304705035</v>
      </c>
      <c r="G63" s="125">
        <f t="shared" si="14"/>
        <v>0.56259938105519591</v>
      </c>
      <c r="H63" s="125">
        <f t="shared" si="14"/>
        <v>0.37932146096037617</v>
      </c>
      <c r="I63" s="125">
        <f t="shared" si="14"/>
        <v>0.49983460047685263</v>
      </c>
      <c r="J63" s="125">
        <f t="shared" si="14"/>
        <v>0.44599962267666343</v>
      </c>
      <c r="K63" s="125">
        <f t="shared" si="14"/>
        <v>0.49566531071954001</v>
      </c>
      <c r="L63" s="125">
        <f t="shared" si="14"/>
        <v>0.31940890659566978</v>
      </c>
      <c r="M63" s="125">
        <f t="shared" si="14"/>
        <v>0.30755347820516299</v>
      </c>
      <c r="N63" s="125">
        <f t="shared" si="14"/>
        <v>0.35037186818040966</v>
      </c>
      <c r="O63" s="125">
        <f t="shared" si="14"/>
        <v>0.34765676602343959</v>
      </c>
      <c r="P63" s="125">
        <f t="shared" si="14"/>
        <v>0.34877083571426909</v>
      </c>
      <c r="Q63" s="125">
        <f t="shared" si="14"/>
        <v>0.33331056177166341</v>
      </c>
      <c r="R63" s="125">
        <f t="shared" si="14"/>
        <v>0.41805451227002571</v>
      </c>
      <c r="S63" s="125">
        <f t="shared" si="14"/>
        <v>0.34342925532601715</v>
      </c>
      <c r="T63" s="125">
        <f t="shared" si="14"/>
        <v>0.40522913211769113</v>
      </c>
      <c r="U63" s="125">
        <f t="shared" si="14"/>
        <v>0.38479640126206882</v>
      </c>
      <c r="V63" s="125">
        <f t="shared" si="14"/>
        <v>0.39400361848713089</v>
      </c>
      <c r="W63" s="125">
        <f t="shared" ref="W63" si="15">IF(W12=0,0,W12/W$8)</f>
        <v>0.37284222402834516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0.37847187511131197</v>
      </c>
      <c r="C66" s="31">
        <f t="shared" ref="C66:V66" si="20">IF(C15=0,0,C15/C$8)</f>
        <v>0.35807309777761781</v>
      </c>
      <c r="D66" s="31">
        <f t="shared" si="20"/>
        <v>0.36878431378257442</v>
      </c>
      <c r="E66" s="31">
        <f t="shared" si="20"/>
        <v>0.36699478239449462</v>
      </c>
      <c r="F66" s="31">
        <f t="shared" si="20"/>
        <v>0.48561431695294965</v>
      </c>
      <c r="G66" s="31">
        <f t="shared" si="20"/>
        <v>0.43740061894480409</v>
      </c>
      <c r="H66" s="31">
        <f t="shared" si="20"/>
        <v>0.62067853903962389</v>
      </c>
      <c r="I66" s="31">
        <f t="shared" si="20"/>
        <v>0.50016539952314731</v>
      </c>
      <c r="J66" s="31">
        <f t="shared" si="20"/>
        <v>0.55400037732333662</v>
      </c>
      <c r="K66" s="31">
        <f t="shared" si="20"/>
        <v>0.50433468928045988</v>
      </c>
      <c r="L66" s="31">
        <f t="shared" si="20"/>
        <v>0.68059109340433022</v>
      </c>
      <c r="M66" s="31">
        <f t="shared" si="20"/>
        <v>0.69244652179483712</v>
      </c>
      <c r="N66" s="31">
        <f t="shared" si="20"/>
        <v>0.64962813181959023</v>
      </c>
      <c r="O66" s="31">
        <f t="shared" si="20"/>
        <v>0.65234323397656047</v>
      </c>
      <c r="P66" s="31">
        <f t="shared" si="20"/>
        <v>0.65122916428573097</v>
      </c>
      <c r="Q66" s="31">
        <f t="shared" si="20"/>
        <v>0.66668943822833659</v>
      </c>
      <c r="R66" s="31">
        <f t="shared" si="20"/>
        <v>0.58194548772997412</v>
      </c>
      <c r="S66" s="31">
        <f t="shared" si="20"/>
        <v>0.6565707446739828</v>
      </c>
      <c r="T66" s="31">
        <f t="shared" si="20"/>
        <v>0.59477086788230893</v>
      </c>
      <c r="U66" s="31">
        <f t="shared" si="20"/>
        <v>0.61520359873793118</v>
      </c>
      <c r="V66" s="31">
        <f t="shared" si="20"/>
        <v>0.60599638151286916</v>
      </c>
      <c r="W66" s="31">
        <f t="shared" ref="W66" si="21">IF(W15=0,0,W15/W$8)</f>
        <v>0.62715777597165479</v>
      </c>
      <c r="DA66" s="173"/>
    </row>
    <row r="67" spans="1:105" ht="11.45" customHeight="1" x14ac:dyDescent="0.25">
      <c r="A67" s="83" t="s">
        <v>92</v>
      </c>
      <c r="B67" s="125">
        <f t="shared" si="5"/>
        <v>0.37847187511131197</v>
      </c>
      <c r="C67" s="125">
        <f t="shared" ref="C67:V67" si="22">IF(C16=0,0,C16/C$8)</f>
        <v>0.35807309777761781</v>
      </c>
      <c r="D67" s="125">
        <f t="shared" si="22"/>
        <v>0.36878431378257442</v>
      </c>
      <c r="E67" s="125">
        <f t="shared" si="22"/>
        <v>0.36699478239449462</v>
      </c>
      <c r="F67" s="125">
        <f t="shared" si="22"/>
        <v>0.48561431695294965</v>
      </c>
      <c r="G67" s="125">
        <f t="shared" si="22"/>
        <v>0.43740061894480409</v>
      </c>
      <c r="H67" s="125">
        <f t="shared" si="22"/>
        <v>0.62067853903962389</v>
      </c>
      <c r="I67" s="125">
        <f t="shared" si="22"/>
        <v>0.50016539952314731</v>
      </c>
      <c r="J67" s="125">
        <f t="shared" si="22"/>
        <v>0.55400037732333662</v>
      </c>
      <c r="K67" s="125">
        <f t="shared" si="22"/>
        <v>0.50433468928045988</v>
      </c>
      <c r="L67" s="125">
        <f t="shared" si="22"/>
        <v>0.68059109340433022</v>
      </c>
      <c r="M67" s="125">
        <f t="shared" si="22"/>
        <v>0.69244652179483712</v>
      </c>
      <c r="N67" s="125">
        <f t="shared" si="22"/>
        <v>0.64962813181959023</v>
      </c>
      <c r="O67" s="125">
        <f t="shared" si="22"/>
        <v>0.65234323397656047</v>
      </c>
      <c r="P67" s="125">
        <f t="shared" si="22"/>
        <v>0.65122916428573097</v>
      </c>
      <c r="Q67" s="125">
        <f t="shared" si="22"/>
        <v>0.66668943822833659</v>
      </c>
      <c r="R67" s="125">
        <f t="shared" si="22"/>
        <v>0.58194548772997412</v>
      </c>
      <c r="S67" s="125">
        <f t="shared" si="22"/>
        <v>0.6565707446739828</v>
      </c>
      <c r="T67" s="125">
        <f t="shared" si="22"/>
        <v>0.59477086788230893</v>
      </c>
      <c r="U67" s="125">
        <f t="shared" si="22"/>
        <v>0.61520359873793118</v>
      </c>
      <c r="V67" s="125">
        <f t="shared" si="22"/>
        <v>0.60599638151286916</v>
      </c>
      <c r="W67" s="125">
        <f t="shared" ref="W67" si="23">IF(W16=0,0,W16/W$8)</f>
        <v>0.62715777597165479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7727.5182447475363</v>
      </c>
      <c r="C4" s="11">
        <f t="shared" si="0"/>
        <v>7782.8402571433398</v>
      </c>
      <c r="D4" s="11">
        <f t="shared" ref="D4:V4" si="1">SUM(D5:D7)</f>
        <v>7833.7215725654005</v>
      </c>
      <c r="E4" s="11">
        <f t="shared" si="1"/>
        <v>8537.6550701221531</v>
      </c>
      <c r="F4" s="11">
        <f t="shared" si="1"/>
        <v>8405.9017898025304</v>
      </c>
      <c r="G4" s="11">
        <f t="shared" si="1"/>
        <v>10057.520183540473</v>
      </c>
      <c r="H4" s="11">
        <f t="shared" si="1"/>
        <v>12302.182497496467</v>
      </c>
      <c r="I4" s="11">
        <f t="shared" si="1"/>
        <v>15024.724618222001</v>
      </c>
      <c r="J4" s="11">
        <f t="shared" si="1"/>
        <v>16686.432214988512</v>
      </c>
      <c r="K4" s="11">
        <f t="shared" si="1"/>
        <v>14619.926541396026</v>
      </c>
      <c r="L4" s="11">
        <f t="shared" si="1"/>
        <v>15535.058396881868</v>
      </c>
      <c r="M4" s="11">
        <f t="shared" si="1"/>
        <v>16479.631985589451</v>
      </c>
      <c r="N4" s="11">
        <f t="shared" si="1"/>
        <v>16950.437919343218</v>
      </c>
      <c r="O4" s="11">
        <f t="shared" si="1"/>
        <v>17818.624975995925</v>
      </c>
      <c r="P4" s="11">
        <f t="shared" si="1"/>
        <v>19830.280303875705</v>
      </c>
      <c r="Q4" s="11">
        <f t="shared" si="1"/>
        <v>21624.302386300369</v>
      </c>
      <c r="R4" s="11">
        <f t="shared" si="1"/>
        <v>24116.398110231388</v>
      </c>
      <c r="S4" s="11">
        <f t="shared" si="1"/>
        <v>29807.655641513655</v>
      </c>
      <c r="T4" s="11">
        <f t="shared" si="1"/>
        <v>35624.553356332879</v>
      </c>
      <c r="U4" s="11">
        <f t="shared" si="1"/>
        <v>38764.430289887168</v>
      </c>
      <c r="V4" s="11">
        <f t="shared" si="1"/>
        <v>11564.406981804754</v>
      </c>
      <c r="W4" s="11">
        <f t="shared" ref="W4" si="2">SUM(W5:W7)</f>
        <v>16842.586609639671</v>
      </c>
      <c r="DA4" s="189" t="s">
        <v>189</v>
      </c>
    </row>
    <row r="5" spans="1:105" ht="11.45" customHeight="1" x14ac:dyDescent="0.25">
      <c r="A5" s="83" t="s">
        <v>27</v>
      </c>
      <c r="B5" s="84">
        <v>243.80120081546806</v>
      </c>
      <c r="C5" s="84">
        <v>246.83806160291348</v>
      </c>
      <c r="D5" s="84">
        <v>334.74890462597682</v>
      </c>
      <c r="E5" s="84">
        <v>343.09289744009305</v>
      </c>
      <c r="F5" s="84">
        <v>262.1684805949692</v>
      </c>
      <c r="G5" s="84">
        <v>275.61719741344655</v>
      </c>
      <c r="H5" s="84">
        <v>275.66147918496665</v>
      </c>
      <c r="I5" s="84">
        <v>331.16842446921891</v>
      </c>
      <c r="J5" s="84">
        <v>290.47121893327585</v>
      </c>
      <c r="K5" s="84">
        <v>267.78872708836974</v>
      </c>
      <c r="L5" s="84">
        <v>307.66640073734402</v>
      </c>
      <c r="M5" s="84">
        <v>407.30642366066002</v>
      </c>
      <c r="N5" s="84">
        <v>673.46022859012942</v>
      </c>
      <c r="O5" s="84">
        <v>460.26806791486121</v>
      </c>
      <c r="P5" s="84">
        <v>562.28334189344127</v>
      </c>
      <c r="Q5" s="84">
        <v>554.4982749138959</v>
      </c>
      <c r="R5" s="84">
        <v>606.07416235382084</v>
      </c>
      <c r="S5" s="84">
        <v>761.18977750654324</v>
      </c>
      <c r="T5" s="84">
        <v>648.49503683068804</v>
      </c>
      <c r="U5" s="84">
        <v>662.60020664744468</v>
      </c>
      <c r="V5" s="84">
        <v>229.99141504106885</v>
      </c>
      <c r="W5" s="84">
        <v>263.24942436808578</v>
      </c>
      <c r="DA5" s="171" t="s">
        <v>190</v>
      </c>
    </row>
    <row r="6" spans="1:105" ht="11.45" customHeight="1" x14ac:dyDescent="0.25">
      <c r="A6" s="83" t="s">
        <v>173</v>
      </c>
      <c r="B6" s="84">
        <v>3902.6928852650994</v>
      </c>
      <c r="C6" s="84">
        <v>3938.2833070750348</v>
      </c>
      <c r="D6" s="84">
        <v>3917.5560723164631</v>
      </c>
      <c r="E6" s="84">
        <v>4243.6546407295236</v>
      </c>
      <c r="F6" s="84">
        <v>4176.8559015988467</v>
      </c>
      <c r="G6" s="84">
        <v>5352.7729349046613</v>
      </c>
      <c r="H6" s="84">
        <v>6931.3273426949627</v>
      </c>
      <c r="I6" s="84">
        <v>8778.9452127265104</v>
      </c>
      <c r="J6" s="84">
        <v>9129.5231452885509</v>
      </c>
      <c r="K6" s="84">
        <v>8223.9310450721896</v>
      </c>
      <c r="L6" s="84">
        <v>8689.4478554658745</v>
      </c>
      <c r="M6" s="84">
        <v>10192.179573286234</v>
      </c>
      <c r="N6" s="84">
        <v>10223.827389328791</v>
      </c>
      <c r="O6" s="84">
        <v>11668.100116168698</v>
      </c>
      <c r="P6" s="84">
        <v>12679.983485085831</v>
      </c>
      <c r="Q6" s="84">
        <v>14893.448181367181</v>
      </c>
      <c r="R6" s="84">
        <v>17108.766419167576</v>
      </c>
      <c r="S6" s="84">
        <v>19838.834194332296</v>
      </c>
      <c r="T6" s="84">
        <v>22199.70607869565</v>
      </c>
      <c r="U6" s="84">
        <v>22279.727838307004</v>
      </c>
      <c r="V6" s="84">
        <v>7189.2206927955776</v>
      </c>
      <c r="W6" s="84">
        <v>9443.2717642326661</v>
      </c>
      <c r="DA6" s="171" t="s">
        <v>191</v>
      </c>
    </row>
    <row r="7" spans="1:105" ht="11.45" customHeight="1" x14ac:dyDescent="0.25">
      <c r="A7" s="83" t="s">
        <v>174</v>
      </c>
      <c r="B7" s="84">
        <v>3581.024158666969</v>
      </c>
      <c r="C7" s="84">
        <v>3597.7188884653915</v>
      </c>
      <c r="D7" s="84">
        <v>3581.4165956229604</v>
      </c>
      <c r="E7" s="84">
        <v>3950.9075319525355</v>
      </c>
      <c r="F7" s="84">
        <v>3966.8774076087143</v>
      </c>
      <c r="G7" s="84">
        <v>4429.1300512223643</v>
      </c>
      <c r="H7" s="84">
        <v>5095.1936756165378</v>
      </c>
      <c r="I7" s="84">
        <v>5914.6109810262715</v>
      </c>
      <c r="J7" s="84">
        <v>7266.4378507666843</v>
      </c>
      <c r="K7" s="84">
        <v>6128.2067692354667</v>
      </c>
      <c r="L7" s="84">
        <v>6537.9441406786509</v>
      </c>
      <c r="M7" s="84">
        <v>5880.1459886425564</v>
      </c>
      <c r="N7" s="84">
        <v>6053.150301424299</v>
      </c>
      <c r="O7" s="84">
        <v>5690.256791912363</v>
      </c>
      <c r="P7" s="84">
        <v>6588.0134768964326</v>
      </c>
      <c r="Q7" s="84">
        <v>6176.3559300192937</v>
      </c>
      <c r="R7" s="84">
        <v>6401.5575287099919</v>
      </c>
      <c r="S7" s="84">
        <v>9207.6316696748145</v>
      </c>
      <c r="T7" s="84">
        <v>12776.352240806544</v>
      </c>
      <c r="U7" s="84">
        <v>15822.102244932721</v>
      </c>
      <c r="V7" s="84">
        <v>4145.1948739681075</v>
      </c>
      <c r="W7" s="84">
        <v>7136.0654210389202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36.99626868439907</v>
      </c>
      <c r="C8" s="13">
        <f t="shared" si="3"/>
        <v>35.240806698231232</v>
      </c>
      <c r="D8" s="13">
        <f t="shared" ref="D8:V8" si="4">SUM(D9:D11)</f>
        <v>34.933802217212239</v>
      </c>
      <c r="E8" s="13">
        <f t="shared" si="4"/>
        <v>34.804446968638715</v>
      </c>
      <c r="F8" s="13">
        <f t="shared" si="4"/>
        <v>31.334613528856732</v>
      </c>
      <c r="G8" s="13">
        <f t="shared" si="4"/>
        <v>32.787803701837674</v>
      </c>
      <c r="H8" s="13">
        <f t="shared" si="4"/>
        <v>43.017714564653588</v>
      </c>
      <c r="I8" s="13">
        <f t="shared" si="4"/>
        <v>60.245734836349044</v>
      </c>
      <c r="J8" s="13">
        <f t="shared" si="4"/>
        <v>69.125354991028033</v>
      </c>
      <c r="K8" s="13">
        <f t="shared" si="4"/>
        <v>63.576419584586915</v>
      </c>
      <c r="L8" s="13">
        <f t="shared" si="4"/>
        <v>97.968971190068871</v>
      </c>
      <c r="M8" s="13">
        <f t="shared" si="4"/>
        <v>96.212825787890935</v>
      </c>
      <c r="N8" s="13">
        <f t="shared" si="4"/>
        <v>90.433277875368745</v>
      </c>
      <c r="O8" s="13">
        <f t="shared" si="4"/>
        <v>97.649258550371854</v>
      </c>
      <c r="P8" s="13">
        <f t="shared" si="4"/>
        <v>142.58415019290786</v>
      </c>
      <c r="Q8" s="13">
        <f t="shared" si="4"/>
        <v>162.67985466015369</v>
      </c>
      <c r="R8" s="13">
        <f t="shared" si="4"/>
        <v>190.22173869730614</v>
      </c>
      <c r="S8" s="13">
        <f t="shared" si="4"/>
        <v>217.14480554431549</v>
      </c>
      <c r="T8" s="13">
        <f t="shared" si="4"/>
        <v>240.66422670619852</v>
      </c>
      <c r="U8" s="13">
        <f t="shared" si="4"/>
        <v>362.49286399460641</v>
      </c>
      <c r="V8" s="13">
        <f t="shared" si="4"/>
        <v>201.10455650017474</v>
      </c>
      <c r="W8" s="13">
        <f t="shared" ref="W8" si="5">SUM(W9:W11)</f>
        <v>257.68129581477035</v>
      </c>
      <c r="DA8" s="193" t="s">
        <v>193</v>
      </c>
    </row>
    <row r="9" spans="1:105" ht="11.45" customHeight="1" x14ac:dyDescent="0.25">
      <c r="A9" s="92" t="s">
        <v>27</v>
      </c>
      <c r="B9" s="102">
        <v>1.0004069636170398</v>
      </c>
      <c r="C9" s="102">
        <v>0.76680133329451317</v>
      </c>
      <c r="D9" s="102">
        <v>0.87468731155290125</v>
      </c>
      <c r="E9" s="102">
        <v>0.92761660962498071</v>
      </c>
      <c r="F9" s="102">
        <v>0.64858514428969138</v>
      </c>
      <c r="G9" s="102">
        <v>0.52576165729167557</v>
      </c>
      <c r="H9" s="102">
        <v>1.2641429596481619</v>
      </c>
      <c r="I9" s="102">
        <v>1.6622819557176538</v>
      </c>
      <c r="J9" s="102">
        <v>1.8642950076167801</v>
      </c>
      <c r="K9" s="102">
        <v>1.8832669962279589</v>
      </c>
      <c r="L9" s="102">
        <v>1.828069359511882</v>
      </c>
      <c r="M9" s="102">
        <v>2.2304625557947522</v>
      </c>
      <c r="N9" s="102">
        <v>2.3869033857546511</v>
      </c>
      <c r="O9" s="102">
        <v>2.0916529001118151</v>
      </c>
      <c r="P9" s="102">
        <v>1.3480580153718964</v>
      </c>
      <c r="Q9" s="102">
        <v>0.93784698083030249</v>
      </c>
      <c r="R9" s="102">
        <v>0.52890092859418747</v>
      </c>
      <c r="S9" s="102">
        <v>0.17525112461004899</v>
      </c>
      <c r="T9" s="102">
        <v>0.16401510262257638</v>
      </c>
      <c r="U9" s="102">
        <v>0.22048491825026462</v>
      </c>
      <c r="V9" s="102">
        <v>6.1895484479377497E-2</v>
      </c>
      <c r="W9" s="102">
        <v>6.8820840718823426E-2</v>
      </c>
      <c r="DA9" s="175" t="s">
        <v>194</v>
      </c>
    </row>
    <row r="10" spans="1:105" ht="11.45" customHeight="1" x14ac:dyDescent="0.25">
      <c r="A10" s="92" t="s">
        <v>173</v>
      </c>
      <c r="B10" s="102">
        <v>9.1170261438849831</v>
      </c>
      <c r="C10" s="102">
        <v>7.3011007178140908</v>
      </c>
      <c r="D10" s="102">
        <v>7.8385447792262619</v>
      </c>
      <c r="E10" s="102">
        <v>8.0203032037835502</v>
      </c>
      <c r="F10" s="102">
        <v>5.4235429289431876</v>
      </c>
      <c r="G10" s="102">
        <v>7.4773118906297071</v>
      </c>
      <c r="H10" s="102">
        <v>8.8087001610206652</v>
      </c>
      <c r="I10" s="102">
        <v>9.7685306878952023</v>
      </c>
      <c r="J10" s="102">
        <v>10.948807901471618</v>
      </c>
      <c r="K10" s="102">
        <v>13.238564920255502</v>
      </c>
      <c r="L10" s="102">
        <v>13.6511143671589</v>
      </c>
      <c r="M10" s="102">
        <v>16.0359043052587</v>
      </c>
      <c r="N10" s="102">
        <v>18.132539886575291</v>
      </c>
      <c r="O10" s="102">
        <v>19.503343750173872</v>
      </c>
      <c r="P10" s="102">
        <v>23.594449908401952</v>
      </c>
      <c r="Q10" s="102">
        <v>27.574151858608374</v>
      </c>
      <c r="R10" s="102">
        <v>28.855759716795372</v>
      </c>
      <c r="S10" s="102">
        <v>31.449738795216511</v>
      </c>
      <c r="T10" s="102">
        <v>34.435515481964721</v>
      </c>
      <c r="U10" s="102">
        <v>38.002480845091931</v>
      </c>
      <c r="V10" s="102">
        <v>34.304004112998427</v>
      </c>
      <c r="W10" s="102">
        <v>46.074108901856917</v>
      </c>
      <c r="DA10" s="175" t="s">
        <v>195</v>
      </c>
    </row>
    <row r="11" spans="1:105" ht="11.45" customHeight="1" x14ac:dyDescent="0.25">
      <c r="A11" s="85" t="s">
        <v>174</v>
      </c>
      <c r="B11" s="86">
        <v>26.878835576897043</v>
      </c>
      <c r="C11" s="86">
        <v>27.172904647122628</v>
      </c>
      <c r="D11" s="86">
        <v>26.220570126433074</v>
      </c>
      <c r="E11" s="86">
        <v>25.856527155230182</v>
      </c>
      <c r="F11" s="86">
        <v>25.262485455623853</v>
      </c>
      <c r="G11" s="86">
        <v>24.784730153916289</v>
      </c>
      <c r="H11" s="86">
        <v>32.944871443984759</v>
      </c>
      <c r="I11" s="86">
        <v>48.814922192736191</v>
      </c>
      <c r="J11" s="86">
        <v>56.312252081939633</v>
      </c>
      <c r="K11" s="86">
        <v>48.45458766810345</v>
      </c>
      <c r="L11" s="86">
        <v>82.489787463398088</v>
      </c>
      <c r="M11" s="86">
        <v>77.946458926837479</v>
      </c>
      <c r="N11" s="86">
        <v>69.913834603038808</v>
      </c>
      <c r="O11" s="86">
        <v>76.054261900086175</v>
      </c>
      <c r="P11" s="86">
        <v>117.641642269134</v>
      </c>
      <c r="Q11" s="86">
        <v>134.167855820715</v>
      </c>
      <c r="R11" s="86">
        <v>160.83707805191656</v>
      </c>
      <c r="S11" s="86">
        <v>185.51981562448893</v>
      </c>
      <c r="T11" s="86">
        <v>206.06469612161123</v>
      </c>
      <c r="U11" s="86">
        <v>324.26989823126422</v>
      </c>
      <c r="V11" s="86">
        <v>166.73865690269693</v>
      </c>
      <c r="W11" s="86">
        <v>211.53836607219461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97.455068578667166</v>
      </c>
      <c r="C13" s="54">
        <f t="shared" si="6"/>
        <v>96.102682288169021</v>
      </c>
      <c r="D13" s="54">
        <f t="shared" ref="D13:V13" si="7">SUM(D14,D18)</f>
        <v>97.450148291647878</v>
      </c>
      <c r="E13" s="54">
        <f t="shared" si="7"/>
        <v>104.52672983991368</v>
      </c>
      <c r="F13" s="54">
        <f t="shared" si="7"/>
        <v>100.01157593537991</v>
      </c>
      <c r="G13" s="54">
        <f t="shared" si="7"/>
        <v>117.52185123478687</v>
      </c>
      <c r="H13" s="54">
        <f t="shared" si="7"/>
        <v>142.96816169120743</v>
      </c>
      <c r="I13" s="54">
        <f t="shared" si="7"/>
        <v>152.92861162256207</v>
      </c>
      <c r="J13" s="54">
        <f t="shared" si="7"/>
        <v>156.41664314912526</v>
      </c>
      <c r="K13" s="54">
        <f t="shared" si="7"/>
        <v>137.9667750333254</v>
      </c>
      <c r="L13" s="54">
        <f t="shared" si="7"/>
        <v>141.35787245790817</v>
      </c>
      <c r="M13" s="54">
        <f t="shared" si="7"/>
        <v>150.65504819194211</v>
      </c>
      <c r="N13" s="54">
        <f t="shared" si="7"/>
        <v>150.94133644009241</v>
      </c>
      <c r="O13" s="54">
        <f t="shared" si="7"/>
        <v>152.67380913905788</v>
      </c>
      <c r="P13" s="54">
        <f t="shared" si="7"/>
        <v>166.57305001695244</v>
      </c>
      <c r="Q13" s="54">
        <f t="shared" si="7"/>
        <v>183.4630973324324</v>
      </c>
      <c r="R13" s="54">
        <f t="shared" si="7"/>
        <v>185.79426134788156</v>
      </c>
      <c r="S13" s="54">
        <f t="shared" si="7"/>
        <v>212.47473109424214</v>
      </c>
      <c r="T13" s="54">
        <f t="shared" si="7"/>
        <v>253.50028657949139</v>
      </c>
      <c r="U13" s="54">
        <f t="shared" si="7"/>
        <v>259.4023239780426</v>
      </c>
      <c r="V13" s="54">
        <f t="shared" si="7"/>
        <v>104.49708595997369</v>
      </c>
      <c r="W13" s="54">
        <f t="shared" ref="W13" si="8">SUM(W14,W18)</f>
        <v>136.19558419403012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96.715674431195396</v>
      </c>
      <c r="C14" s="11">
        <f t="shared" si="9"/>
        <v>95.489045106024378</v>
      </c>
      <c r="D14" s="11">
        <f t="shared" ref="D14:V14" si="10">SUM(D15:D17)</f>
        <v>96.781621994926169</v>
      </c>
      <c r="E14" s="11">
        <f t="shared" si="10"/>
        <v>103.83594053825911</v>
      </c>
      <c r="F14" s="11">
        <f t="shared" si="10"/>
        <v>99.42517298987282</v>
      </c>
      <c r="G14" s="11">
        <f t="shared" si="10"/>
        <v>116.81483248347305</v>
      </c>
      <c r="H14" s="11">
        <f t="shared" si="10"/>
        <v>141.96376376295214</v>
      </c>
      <c r="I14" s="11">
        <f t="shared" si="10"/>
        <v>151.61896939903292</v>
      </c>
      <c r="J14" s="11">
        <f t="shared" si="10"/>
        <v>154.9070210879635</v>
      </c>
      <c r="K14" s="11">
        <f t="shared" si="10"/>
        <v>136.51258163198293</v>
      </c>
      <c r="L14" s="11">
        <f t="shared" si="10"/>
        <v>139.55415351332101</v>
      </c>
      <c r="M14" s="11">
        <f t="shared" si="10"/>
        <v>148.80862438800267</v>
      </c>
      <c r="N14" s="11">
        <f t="shared" si="10"/>
        <v>149.17956528925754</v>
      </c>
      <c r="O14" s="11">
        <f t="shared" si="10"/>
        <v>150.78258425443227</v>
      </c>
      <c r="P14" s="11">
        <f t="shared" si="10"/>
        <v>164.43098706357728</v>
      </c>
      <c r="Q14" s="11">
        <f t="shared" si="10"/>
        <v>181.06780356987974</v>
      </c>
      <c r="R14" s="11">
        <f t="shared" si="10"/>
        <v>183.33744049821036</v>
      </c>
      <c r="S14" s="11">
        <f t="shared" si="10"/>
        <v>209.60010593156886</v>
      </c>
      <c r="T14" s="11">
        <f t="shared" si="10"/>
        <v>250.31938576018513</v>
      </c>
      <c r="U14" s="11">
        <f t="shared" si="10"/>
        <v>255.17994482314774</v>
      </c>
      <c r="V14" s="11">
        <f t="shared" si="10"/>
        <v>100.82017093975315</v>
      </c>
      <c r="W14" s="11">
        <f t="shared" ref="W14" si="11">SUM(W15:W17)</f>
        <v>130.9688893872036</v>
      </c>
      <c r="DA14" s="189" t="s">
        <v>198</v>
      </c>
    </row>
    <row r="15" spans="1:105" ht="11.45" customHeight="1" x14ac:dyDescent="0.25">
      <c r="A15" s="83" t="s">
        <v>27</v>
      </c>
      <c r="B15" s="84">
        <v>8.5357043005836548</v>
      </c>
      <c r="C15" s="84">
        <v>8.5440863342667175</v>
      </c>
      <c r="D15" s="84">
        <v>11.403407574400857</v>
      </c>
      <c r="E15" s="84">
        <v>11.414932870715065</v>
      </c>
      <c r="F15" s="84">
        <v>8.5699309381228197</v>
      </c>
      <c r="G15" s="84">
        <v>8.7848112372881353</v>
      </c>
      <c r="H15" s="84">
        <v>8.5293103612382666</v>
      </c>
      <c r="I15" s="84">
        <v>9.1851272108453159</v>
      </c>
      <c r="J15" s="84">
        <v>8.7709076196154587</v>
      </c>
      <c r="K15" s="84">
        <v>8.0582640472163369</v>
      </c>
      <c r="L15" s="84">
        <v>8.4788184673993232</v>
      </c>
      <c r="M15" s="84">
        <v>9.9596528668875806</v>
      </c>
      <c r="N15" s="84">
        <v>13.649049529395283</v>
      </c>
      <c r="O15" s="84">
        <v>10.32357016777245</v>
      </c>
      <c r="P15" s="84">
        <v>10.681327724929318</v>
      </c>
      <c r="Q15" s="84">
        <v>9.2556356639163866</v>
      </c>
      <c r="R15" s="84">
        <v>9.2084044063117823</v>
      </c>
      <c r="S15" s="84">
        <v>10.321245937040329</v>
      </c>
      <c r="T15" s="84">
        <v>9.2758557936223323</v>
      </c>
      <c r="U15" s="84">
        <v>9.4843232645249476</v>
      </c>
      <c r="V15" s="84">
        <v>4.741847597337288</v>
      </c>
      <c r="W15" s="84">
        <v>4.6466917621934778</v>
      </c>
      <c r="DA15" s="171" t="s">
        <v>199</v>
      </c>
    </row>
    <row r="16" spans="1:105" ht="11.45" customHeight="1" x14ac:dyDescent="0.25">
      <c r="A16" s="83" t="s">
        <v>173</v>
      </c>
      <c r="B16" s="84">
        <v>54.113902764412607</v>
      </c>
      <c r="C16" s="84">
        <v>53.355617712723976</v>
      </c>
      <c r="D16" s="84">
        <v>52.393294215219285</v>
      </c>
      <c r="E16" s="84">
        <v>56.714774792168463</v>
      </c>
      <c r="F16" s="84">
        <v>55.753430030102074</v>
      </c>
      <c r="G16" s="84">
        <v>69.480679951254047</v>
      </c>
      <c r="H16" s="84">
        <v>89.418141349543532</v>
      </c>
      <c r="I16" s="84">
        <v>95.024174116621836</v>
      </c>
      <c r="J16" s="84">
        <v>99.089219783813519</v>
      </c>
      <c r="K16" s="84">
        <v>87.661387987785162</v>
      </c>
      <c r="L16" s="84">
        <v>89.117712181634104</v>
      </c>
      <c r="M16" s="84">
        <v>96.017616161657216</v>
      </c>
      <c r="N16" s="84">
        <v>95.345403531131538</v>
      </c>
      <c r="O16" s="84">
        <v>102.96768364269765</v>
      </c>
      <c r="P16" s="84">
        <v>106.88737046377791</v>
      </c>
      <c r="Q16" s="84">
        <v>119.52616104447019</v>
      </c>
      <c r="R16" s="84">
        <v>134.57088569703691</v>
      </c>
      <c r="S16" s="84">
        <v>147.15854465615973</v>
      </c>
      <c r="T16" s="84">
        <v>161.53628328165215</v>
      </c>
      <c r="U16" s="84">
        <v>161.12473146570005</v>
      </c>
      <c r="V16" s="84">
        <v>63.701548336352204</v>
      </c>
      <c r="W16" s="84">
        <v>80.533087578602462</v>
      </c>
      <c r="DA16" s="171" t="s">
        <v>200</v>
      </c>
    </row>
    <row r="17" spans="1:105" ht="11.45" customHeight="1" x14ac:dyDescent="0.25">
      <c r="A17" s="83" t="s">
        <v>174</v>
      </c>
      <c r="B17" s="84">
        <v>34.066067366199142</v>
      </c>
      <c r="C17" s="84">
        <v>33.589341059033679</v>
      </c>
      <c r="D17" s="84">
        <v>32.984920205306025</v>
      </c>
      <c r="E17" s="84">
        <v>35.706232875375584</v>
      </c>
      <c r="F17" s="84">
        <v>35.10181202164793</v>
      </c>
      <c r="G17" s="84">
        <v>38.549341294930876</v>
      </c>
      <c r="H17" s="84">
        <v>44.016312052170342</v>
      </c>
      <c r="I17" s="84">
        <v>47.409668071565768</v>
      </c>
      <c r="J17" s="84">
        <v>47.046893684534524</v>
      </c>
      <c r="K17" s="84">
        <v>40.792929596981416</v>
      </c>
      <c r="L17" s="84">
        <v>41.957622864287579</v>
      </c>
      <c r="M17" s="84">
        <v>42.831355359457866</v>
      </c>
      <c r="N17" s="84">
        <v>40.185112228730731</v>
      </c>
      <c r="O17" s="84">
        <v>37.491330443962184</v>
      </c>
      <c r="P17" s="84">
        <v>46.862288874870039</v>
      </c>
      <c r="Q17" s="84">
        <v>52.286006861493163</v>
      </c>
      <c r="R17" s="84">
        <v>39.558150394861663</v>
      </c>
      <c r="S17" s="84">
        <v>52.120315338368819</v>
      </c>
      <c r="T17" s="84">
        <v>79.507246684910655</v>
      </c>
      <c r="U17" s="84">
        <v>84.570890092922724</v>
      </c>
      <c r="V17" s="84">
        <v>32.37677500606366</v>
      </c>
      <c r="W17" s="84">
        <v>45.789110046407671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0.73939414747177279</v>
      </c>
      <c r="C18" s="13">
        <f t="shared" si="12"/>
        <v>0.61363718214464413</v>
      </c>
      <c r="D18" s="13">
        <f t="shared" ref="D18:V18" si="13">SUM(D19:D21)</f>
        <v>0.66852629672170627</v>
      </c>
      <c r="E18" s="13">
        <f t="shared" si="13"/>
        <v>0.69078930165457364</v>
      </c>
      <c r="F18" s="13">
        <f t="shared" si="13"/>
        <v>0.58640294550708338</v>
      </c>
      <c r="G18" s="13">
        <f t="shared" si="13"/>
        <v>0.70701875131381042</v>
      </c>
      <c r="H18" s="13">
        <f t="shared" si="13"/>
        <v>1.004397928255284</v>
      </c>
      <c r="I18" s="13">
        <f t="shared" si="13"/>
        <v>1.3096422235291447</v>
      </c>
      <c r="J18" s="13">
        <f t="shared" si="13"/>
        <v>1.5096220611617566</v>
      </c>
      <c r="K18" s="13">
        <f t="shared" si="13"/>
        <v>1.4541934013424667</v>
      </c>
      <c r="L18" s="13">
        <f t="shared" si="13"/>
        <v>1.8037189445871518</v>
      </c>
      <c r="M18" s="13">
        <f t="shared" si="13"/>
        <v>1.8464238039394458</v>
      </c>
      <c r="N18" s="13">
        <f t="shared" si="13"/>
        <v>1.7617711508348828</v>
      </c>
      <c r="O18" s="13">
        <f t="shared" si="13"/>
        <v>1.8912248846256214</v>
      </c>
      <c r="P18" s="13">
        <f t="shared" si="13"/>
        <v>2.1420629533751709</v>
      </c>
      <c r="Q18" s="13">
        <f t="shared" si="13"/>
        <v>2.3952937625526429</v>
      </c>
      <c r="R18" s="13">
        <f t="shared" si="13"/>
        <v>2.4568208496712129</v>
      </c>
      <c r="S18" s="13">
        <f t="shared" si="13"/>
        <v>2.8746251626732802</v>
      </c>
      <c r="T18" s="13">
        <f t="shared" si="13"/>
        <v>3.1809008193062667</v>
      </c>
      <c r="U18" s="13">
        <f t="shared" si="13"/>
        <v>4.2223791548948579</v>
      </c>
      <c r="V18" s="13">
        <f t="shared" si="13"/>
        <v>3.6769150202205343</v>
      </c>
      <c r="W18" s="13">
        <f t="shared" ref="W18" si="14">SUM(W19:W21)</f>
        <v>5.2266948068265142</v>
      </c>
      <c r="DA18" s="193" t="s">
        <v>202</v>
      </c>
    </row>
    <row r="19" spans="1:105" ht="11.45" customHeight="1" x14ac:dyDescent="0.25">
      <c r="A19" s="92" t="s">
        <v>27</v>
      </c>
      <c r="B19" s="102">
        <v>0.10162966002554744</v>
      </c>
      <c r="C19" s="102">
        <v>7.8496566055537911E-2</v>
      </c>
      <c r="D19" s="102">
        <v>8.7074005392732454E-2</v>
      </c>
      <c r="E19" s="102">
        <v>8.6814082988575042E-2</v>
      </c>
      <c r="F19" s="102">
        <v>6.4460756231037752E-2</v>
      </c>
      <c r="G19" s="102">
        <v>5.3394698630136989E-2</v>
      </c>
      <c r="H19" s="102">
        <v>0.13346837305534917</v>
      </c>
      <c r="I19" s="102">
        <v>0.17615799916473315</v>
      </c>
      <c r="J19" s="102">
        <v>0.20535042211561552</v>
      </c>
      <c r="K19" s="102">
        <v>0.20566349517446411</v>
      </c>
      <c r="L19" s="102">
        <v>0.18665222900763362</v>
      </c>
      <c r="M19" s="102">
        <v>0.20595294537614653</v>
      </c>
      <c r="N19" s="102">
        <v>0.21213570422535213</v>
      </c>
      <c r="O19" s="102">
        <v>0.18130283311167902</v>
      </c>
      <c r="P19" s="102">
        <v>0.10537479004881237</v>
      </c>
      <c r="Q19" s="102">
        <v>7.0439988764394973E-2</v>
      </c>
      <c r="R19" s="102">
        <v>3.4677335789460341E-2</v>
      </c>
      <c r="S19" s="102">
        <v>1.2352173266993732E-2</v>
      </c>
      <c r="T19" s="102">
        <v>1.1269616161616163E-2</v>
      </c>
      <c r="U19" s="102">
        <v>1.3743995780590717E-2</v>
      </c>
      <c r="V19" s="102">
        <v>4.1869326453315226E-3</v>
      </c>
      <c r="W19" s="102">
        <v>4.5357674033711702E-3</v>
      </c>
      <c r="DA19" s="175" t="s">
        <v>203</v>
      </c>
    </row>
    <row r="20" spans="1:105" ht="11.45" customHeight="1" x14ac:dyDescent="0.25">
      <c r="A20" s="92" t="s">
        <v>173</v>
      </c>
      <c r="B20" s="102">
        <v>0.38394113426099846</v>
      </c>
      <c r="C20" s="102">
        <v>0.29019220532294326</v>
      </c>
      <c r="D20" s="102">
        <v>0.33117891511137243</v>
      </c>
      <c r="E20" s="102">
        <v>0.33240198064264409</v>
      </c>
      <c r="F20" s="102">
        <v>0.24859396276887824</v>
      </c>
      <c r="G20" s="102">
        <v>0.36846178936078933</v>
      </c>
      <c r="H20" s="102">
        <v>0.47881781960942638</v>
      </c>
      <c r="I20" s="102">
        <v>0.54264505960697307</v>
      </c>
      <c r="J20" s="102">
        <v>0.60865370596992119</v>
      </c>
      <c r="K20" s="102">
        <v>0.71779043710064039</v>
      </c>
      <c r="L20" s="102">
        <v>0.72832904484781069</v>
      </c>
      <c r="M20" s="102">
        <v>0.80413802892403285</v>
      </c>
      <c r="N20" s="102">
        <v>0.83522368944258296</v>
      </c>
      <c r="O20" s="102">
        <v>0.89285186559735619</v>
      </c>
      <c r="P20" s="102">
        <v>0.93721711554350484</v>
      </c>
      <c r="Q20" s="102">
        <v>1.0681778753985447</v>
      </c>
      <c r="R20" s="102">
        <v>1.0511449724160307</v>
      </c>
      <c r="S20" s="102">
        <v>1.2208650118868052</v>
      </c>
      <c r="T20" s="102">
        <v>1.3008945178560098</v>
      </c>
      <c r="U20" s="102">
        <v>1.3620247305428386</v>
      </c>
      <c r="V20" s="102">
        <v>1.5056118511956047</v>
      </c>
      <c r="W20" s="102">
        <v>2.105518217019807</v>
      </c>
      <c r="DA20" s="175" t="s">
        <v>204</v>
      </c>
    </row>
    <row r="21" spans="1:105" ht="11.45" customHeight="1" x14ac:dyDescent="0.25">
      <c r="A21" s="85" t="s">
        <v>174</v>
      </c>
      <c r="B21" s="86">
        <v>0.25382335318522686</v>
      </c>
      <c r="C21" s="86">
        <v>0.244948410766163</v>
      </c>
      <c r="D21" s="86">
        <v>0.25027337621760132</v>
      </c>
      <c r="E21" s="86">
        <v>0.27157323802335459</v>
      </c>
      <c r="F21" s="86">
        <v>0.27334822650716739</v>
      </c>
      <c r="G21" s="86">
        <v>0.28516226332288402</v>
      </c>
      <c r="H21" s="86">
        <v>0.39211173559050833</v>
      </c>
      <c r="I21" s="86">
        <v>0.59083916475743847</v>
      </c>
      <c r="J21" s="86">
        <v>0.69561793307621989</v>
      </c>
      <c r="K21" s="86">
        <v>0.53073946906736214</v>
      </c>
      <c r="L21" s="86">
        <v>0.8887376707317074</v>
      </c>
      <c r="M21" s="86">
        <v>0.83633282963926658</v>
      </c>
      <c r="N21" s="86">
        <v>0.71441175716694783</v>
      </c>
      <c r="O21" s="86">
        <v>0.81707018591658631</v>
      </c>
      <c r="P21" s="86">
        <v>1.0994710477828538</v>
      </c>
      <c r="Q21" s="86">
        <v>1.2566758983897033</v>
      </c>
      <c r="R21" s="86">
        <v>1.3709985414657218</v>
      </c>
      <c r="S21" s="86">
        <v>1.6414079775194812</v>
      </c>
      <c r="T21" s="86">
        <v>1.8687366852886405</v>
      </c>
      <c r="U21" s="86">
        <v>2.8466104285714287</v>
      </c>
      <c r="V21" s="86">
        <v>2.1671162363795982</v>
      </c>
      <c r="W21" s="86">
        <v>3.116640822403336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90232</v>
      </c>
      <c r="C23" s="54">
        <f t="shared" si="15"/>
        <v>89131</v>
      </c>
      <c r="D23" s="54">
        <f t="shared" ref="D23:V23" si="16">SUM(D24,D28)</f>
        <v>96257</v>
      </c>
      <c r="E23" s="54">
        <f t="shared" si="16"/>
        <v>101474</v>
      </c>
      <c r="F23" s="54">
        <f t="shared" si="16"/>
        <v>91982</v>
      </c>
      <c r="G23" s="54">
        <f t="shared" si="16"/>
        <v>104177</v>
      </c>
      <c r="H23" s="54">
        <f t="shared" si="16"/>
        <v>121454</v>
      </c>
      <c r="I23" s="54">
        <f t="shared" si="16"/>
        <v>126730</v>
      </c>
      <c r="J23" s="54">
        <f t="shared" si="16"/>
        <v>130340</v>
      </c>
      <c r="K23" s="54">
        <f t="shared" si="16"/>
        <v>118801</v>
      </c>
      <c r="L23" s="54">
        <f t="shared" si="16"/>
        <v>122132</v>
      </c>
      <c r="M23" s="54">
        <f t="shared" si="16"/>
        <v>132804</v>
      </c>
      <c r="N23" s="54">
        <f t="shared" si="16"/>
        <v>141446</v>
      </c>
      <c r="O23" s="54">
        <f t="shared" si="16"/>
        <v>136322</v>
      </c>
      <c r="P23" s="54">
        <f t="shared" si="16"/>
        <v>142638</v>
      </c>
      <c r="Q23" s="54">
        <f t="shared" si="16"/>
        <v>153013</v>
      </c>
      <c r="R23" s="54">
        <f t="shared" si="16"/>
        <v>157295</v>
      </c>
      <c r="S23" s="54">
        <f t="shared" si="16"/>
        <v>173637</v>
      </c>
      <c r="T23" s="54">
        <f t="shared" si="16"/>
        <v>195013</v>
      </c>
      <c r="U23" s="54">
        <f t="shared" si="16"/>
        <v>201546</v>
      </c>
      <c r="V23" s="54">
        <f t="shared" si="16"/>
        <v>81608</v>
      </c>
      <c r="W23" s="54">
        <f t="shared" ref="W23" si="17">SUM(W24,W28)</f>
        <v>97856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89189</v>
      </c>
      <c r="C24" s="11">
        <f t="shared" si="18"/>
        <v>88306</v>
      </c>
      <c r="D24" s="11">
        <f t="shared" ref="D24:V24" si="19">SUM(D25:D27)</f>
        <v>95342</v>
      </c>
      <c r="E24" s="11">
        <f t="shared" si="19"/>
        <v>100546</v>
      </c>
      <c r="F24" s="11">
        <f t="shared" si="19"/>
        <v>91250</v>
      </c>
      <c r="G24" s="11">
        <f t="shared" si="19"/>
        <v>103384</v>
      </c>
      <c r="H24" s="11">
        <f t="shared" si="19"/>
        <v>120217</v>
      </c>
      <c r="I24" s="11">
        <f t="shared" si="19"/>
        <v>125268</v>
      </c>
      <c r="J24" s="11">
        <f t="shared" si="19"/>
        <v>128679</v>
      </c>
      <c r="K24" s="11">
        <f t="shared" si="19"/>
        <v>117097</v>
      </c>
      <c r="L24" s="11">
        <f t="shared" si="19"/>
        <v>120473</v>
      </c>
      <c r="M24" s="11">
        <f t="shared" si="19"/>
        <v>131031</v>
      </c>
      <c r="N24" s="11">
        <f t="shared" si="19"/>
        <v>139663</v>
      </c>
      <c r="O24" s="11">
        <f t="shared" si="19"/>
        <v>134511</v>
      </c>
      <c r="P24" s="11">
        <f t="shared" si="19"/>
        <v>140928</v>
      </c>
      <c r="Q24" s="11">
        <f t="shared" si="19"/>
        <v>151179</v>
      </c>
      <c r="R24" s="11">
        <f t="shared" si="19"/>
        <v>155615</v>
      </c>
      <c r="S24" s="11">
        <f t="shared" si="19"/>
        <v>171802</v>
      </c>
      <c r="T24" s="11">
        <f t="shared" si="19"/>
        <v>192979</v>
      </c>
      <c r="U24" s="11">
        <f t="shared" si="19"/>
        <v>199406</v>
      </c>
      <c r="V24" s="11">
        <f t="shared" si="19"/>
        <v>79474</v>
      </c>
      <c r="W24" s="11">
        <f t="shared" ref="W24" si="20">SUM(W25:W27)</f>
        <v>95123</v>
      </c>
      <c r="DA24" s="189" t="s">
        <v>207</v>
      </c>
    </row>
    <row r="25" spans="1:105" ht="11.45" customHeight="1" x14ac:dyDescent="0.25">
      <c r="A25" s="83" t="s">
        <v>27</v>
      </c>
      <c r="B25" s="84">
        <v>24440</v>
      </c>
      <c r="C25" s="84">
        <v>24464</v>
      </c>
      <c r="D25" s="84">
        <v>32651</v>
      </c>
      <c r="E25" s="84">
        <v>32684</v>
      </c>
      <c r="F25" s="84">
        <v>24538</v>
      </c>
      <c r="G25" s="84">
        <v>24563</v>
      </c>
      <c r="H25" s="84">
        <v>24588</v>
      </c>
      <c r="I25" s="84">
        <v>26702</v>
      </c>
      <c r="J25" s="84">
        <v>25522</v>
      </c>
      <c r="K25" s="84">
        <v>23574</v>
      </c>
      <c r="L25" s="84">
        <v>23834</v>
      </c>
      <c r="M25" s="84">
        <v>27661</v>
      </c>
      <c r="N25" s="84">
        <v>36725</v>
      </c>
      <c r="O25" s="84">
        <v>27673</v>
      </c>
      <c r="P25" s="84">
        <v>28240</v>
      </c>
      <c r="Q25" s="84">
        <v>26916</v>
      </c>
      <c r="R25" s="84">
        <v>27497</v>
      </c>
      <c r="S25" s="84">
        <v>30226</v>
      </c>
      <c r="T25" s="84">
        <v>27494</v>
      </c>
      <c r="U25" s="84">
        <v>28302</v>
      </c>
      <c r="V25" s="84">
        <v>14051</v>
      </c>
      <c r="W25" s="84">
        <v>13563</v>
      </c>
      <c r="DA25" s="171" t="s">
        <v>208</v>
      </c>
    </row>
    <row r="26" spans="1:105" ht="11.45" customHeight="1" x14ac:dyDescent="0.25">
      <c r="A26" s="83" t="s">
        <v>173</v>
      </c>
      <c r="B26" s="84">
        <v>52744</v>
      </c>
      <c r="C26" s="84">
        <v>52005</v>
      </c>
      <c r="D26" s="84">
        <v>51067</v>
      </c>
      <c r="E26" s="84">
        <v>55279</v>
      </c>
      <c r="F26" s="84">
        <v>54342</v>
      </c>
      <c r="G26" s="84">
        <v>65324</v>
      </c>
      <c r="H26" s="84">
        <v>79787</v>
      </c>
      <c r="I26" s="84">
        <v>81327</v>
      </c>
      <c r="J26" s="84">
        <v>85577</v>
      </c>
      <c r="K26" s="84">
        <v>76963</v>
      </c>
      <c r="L26" s="84">
        <v>78663</v>
      </c>
      <c r="M26" s="84">
        <v>84012</v>
      </c>
      <c r="N26" s="84">
        <v>84553</v>
      </c>
      <c r="O26" s="84">
        <v>90252</v>
      </c>
      <c r="P26" s="84">
        <v>92175</v>
      </c>
      <c r="Q26" s="84">
        <v>101461</v>
      </c>
      <c r="R26" s="84">
        <v>111166</v>
      </c>
      <c r="S26" s="84">
        <v>120142</v>
      </c>
      <c r="T26" s="84">
        <v>132034</v>
      </c>
      <c r="U26" s="84">
        <v>135204</v>
      </c>
      <c r="V26" s="84">
        <v>52306</v>
      </c>
      <c r="W26" s="84">
        <v>62505</v>
      </c>
      <c r="DA26" s="171" t="s">
        <v>209</v>
      </c>
    </row>
    <row r="27" spans="1:105" ht="11.45" customHeight="1" x14ac:dyDescent="0.25">
      <c r="A27" s="83" t="s">
        <v>174</v>
      </c>
      <c r="B27" s="84">
        <v>12005</v>
      </c>
      <c r="C27" s="84">
        <v>11837</v>
      </c>
      <c r="D27" s="84">
        <v>11624</v>
      </c>
      <c r="E27" s="84">
        <v>12583</v>
      </c>
      <c r="F27" s="84">
        <v>12370</v>
      </c>
      <c r="G27" s="84">
        <v>13497</v>
      </c>
      <c r="H27" s="84">
        <v>15842</v>
      </c>
      <c r="I27" s="84">
        <v>17239</v>
      </c>
      <c r="J27" s="84">
        <v>17580</v>
      </c>
      <c r="K27" s="84">
        <v>16560</v>
      </c>
      <c r="L27" s="84">
        <v>17976</v>
      </c>
      <c r="M27" s="84">
        <v>19358</v>
      </c>
      <c r="N27" s="84">
        <v>18385</v>
      </c>
      <c r="O27" s="84">
        <v>16586</v>
      </c>
      <c r="P27" s="84">
        <v>20513</v>
      </c>
      <c r="Q27" s="84">
        <v>22802</v>
      </c>
      <c r="R27" s="84">
        <v>16952</v>
      </c>
      <c r="S27" s="84">
        <v>21434</v>
      </c>
      <c r="T27" s="84">
        <v>33451</v>
      </c>
      <c r="U27" s="84">
        <v>35900</v>
      </c>
      <c r="V27" s="84">
        <v>13117</v>
      </c>
      <c r="W27" s="84">
        <v>19055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1043</v>
      </c>
      <c r="C28" s="13">
        <f t="shared" si="21"/>
        <v>825</v>
      </c>
      <c r="D28" s="13">
        <f t="shared" ref="D28:V28" si="22">SUM(D29:D31)</f>
        <v>915</v>
      </c>
      <c r="E28" s="13">
        <f t="shared" si="22"/>
        <v>928</v>
      </c>
      <c r="F28" s="13">
        <f t="shared" si="22"/>
        <v>732</v>
      </c>
      <c r="G28" s="13">
        <f t="shared" si="22"/>
        <v>793</v>
      </c>
      <c r="H28" s="13">
        <f t="shared" si="22"/>
        <v>1237</v>
      </c>
      <c r="I28" s="13">
        <f t="shared" si="22"/>
        <v>1462</v>
      </c>
      <c r="J28" s="13">
        <f t="shared" si="22"/>
        <v>1661</v>
      </c>
      <c r="K28" s="13">
        <f t="shared" si="22"/>
        <v>1704</v>
      </c>
      <c r="L28" s="13">
        <f t="shared" si="22"/>
        <v>1659</v>
      </c>
      <c r="M28" s="13">
        <f t="shared" si="22"/>
        <v>1773</v>
      </c>
      <c r="N28" s="13">
        <f t="shared" si="22"/>
        <v>1783</v>
      </c>
      <c r="O28" s="13">
        <f t="shared" si="22"/>
        <v>1811</v>
      </c>
      <c r="P28" s="13">
        <f t="shared" si="22"/>
        <v>1710</v>
      </c>
      <c r="Q28" s="13">
        <f t="shared" si="22"/>
        <v>1834</v>
      </c>
      <c r="R28" s="13">
        <f t="shared" si="22"/>
        <v>1680</v>
      </c>
      <c r="S28" s="13">
        <f t="shared" si="22"/>
        <v>1835</v>
      </c>
      <c r="T28" s="13">
        <f t="shared" si="22"/>
        <v>2034</v>
      </c>
      <c r="U28" s="13">
        <f t="shared" si="22"/>
        <v>2140</v>
      </c>
      <c r="V28" s="13">
        <f t="shared" si="22"/>
        <v>2134</v>
      </c>
      <c r="W28" s="13">
        <f t="shared" ref="W28" si="23">SUM(W29:W31)</f>
        <v>2733</v>
      </c>
      <c r="DA28" s="193" t="s">
        <v>211</v>
      </c>
    </row>
    <row r="29" spans="1:105" ht="11.45" customHeight="1" x14ac:dyDescent="0.25">
      <c r="A29" s="92" t="s">
        <v>27</v>
      </c>
      <c r="B29" s="102">
        <v>391</v>
      </c>
      <c r="C29" s="102">
        <v>302</v>
      </c>
      <c r="D29" s="102">
        <v>335</v>
      </c>
      <c r="E29" s="102">
        <v>334</v>
      </c>
      <c r="F29" s="102">
        <v>248</v>
      </c>
      <c r="G29" s="102">
        <v>199</v>
      </c>
      <c r="H29" s="102">
        <v>505</v>
      </c>
      <c r="I29" s="102">
        <v>657</v>
      </c>
      <c r="J29" s="102">
        <v>748</v>
      </c>
      <c r="K29" s="102">
        <v>736</v>
      </c>
      <c r="L29" s="102">
        <v>622</v>
      </c>
      <c r="M29" s="102">
        <v>632</v>
      </c>
      <c r="N29" s="102">
        <v>591</v>
      </c>
      <c r="O29" s="102">
        <v>515</v>
      </c>
      <c r="P29" s="102">
        <v>302</v>
      </c>
      <c r="Q29" s="102">
        <v>230</v>
      </c>
      <c r="R29" s="102">
        <v>120</v>
      </c>
      <c r="S29" s="102">
        <v>43</v>
      </c>
      <c r="T29" s="102">
        <v>41</v>
      </c>
      <c r="U29" s="102">
        <v>53</v>
      </c>
      <c r="V29" s="102">
        <v>16</v>
      </c>
      <c r="W29" s="102">
        <v>17</v>
      </c>
      <c r="DA29" s="175" t="s">
        <v>212</v>
      </c>
    </row>
    <row r="30" spans="1:105" ht="11.45" customHeight="1" x14ac:dyDescent="0.25">
      <c r="A30" s="92" t="s">
        <v>173</v>
      </c>
      <c r="B30" s="102">
        <v>509</v>
      </c>
      <c r="C30" s="102">
        <v>385</v>
      </c>
      <c r="D30" s="102">
        <v>439</v>
      </c>
      <c r="E30" s="102">
        <v>441</v>
      </c>
      <c r="F30" s="102">
        <v>330</v>
      </c>
      <c r="G30" s="102">
        <v>435</v>
      </c>
      <c r="H30" s="102">
        <v>563</v>
      </c>
      <c r="I30" s="102">
        <v>601</v>
      </c>
      <c r="J30" s="102">
        <v>710</v>
      </c>
      <c r="K30" s="102">
        <v>829</v>
      </c>
      <c r="L30" s="102">
        <v>830</v>
      </c>
      <c r="M30" s="102">
        <v>920</v>
      </c>
      <c r="N30" s="102">
        <v>980</v>
      </c>
      <c r="O30" s="102">
        <v>1063</v>
      </c>
      <c r="P30" s="102">
        <v>1102</v>
      </c>
      <c r="Q30" s="102">
        <v>1261</v>
      </c>
      <c r="R30" s="102">
        <v>1196</v>
      </c>
      <c r="S30" s="102">
        <v>1374</v>
      </c>
      <c r="T30" s="102">
        <v>1518</v>
      </c>
      <c r="U30" s="102">
        <v>1586</v>
      </c>
      <c r="V30" s="102">
        <v>1744</v>
      </c>
      <c r="W30" s="102">
        <v>2172</v>
      </c>
      <c r="DA30" s="175" t="s">
        <v>213</v>
      </c>
    </row>
    <row r="31" spans="1:105" ht="11.45" customHeight="1" x14ac:dyDescent="0.25">
      <c r="A31" s="85" t="s">
        <v>174</v>
      </c>
      <c r="B31" s="86">
        <v>143</v>
      </c>
      <c r="C31" s="86">
        <v>138</v>
      </c>
      <c r="D31" s="86">
        <v>141</v>
      </c>
      <c r="E31" s="86">
        <v>153</v>
      </c>
      <c r="F31" s="86">
        <v>154</v>
      </c>
      <c r="G31" s="86">
        <v>159</v>
      </c>
      <c r="H31" s="86">
        <v>169</v>
      </c>
      <c r="I31" s="86">
        <v>204</v>
      </c>
      <c r="J31" s="86">
        <v>203</v>
      </c>
      <c r="K31" s="86">
        <v>139</v>
      </c>
      <c r="L31" s="86">
        <v>207</v>
      </c>
      <c r="M31" s="86">
        <v>221</v>
      </c>
      <c r="N31" s="86">
        <v>212</v>
      </c>
      <c r="O31" s="86">
        <v>233</v>
      </c>
      <c r="P31" s="86">
        <v>306</v>
      </c>
      <c r="Q31" s="86">
        <v>343</v>
      </c>
      <c r="R31" s="86">
        <v>364</v>
      </c>
      <c r="S31" s="86">
        <v>418</v>
      </c>
      <c r="T31" s="86">
        <v>475</v>
      </c>
      <c r="U31" s="86">
        <v>501</v>
      </c>
      <c r="V31" s="86">
        <v>374</v>
      </c>
      <c r="W31" s="86">
        <v>544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4293212</v>
      </c>
      <c r="C34" s="11">
        <f t="shared" si="24"/>
        <v>4326551</v>
      </c>
      <c r="D34" s="11">
        <f t="shared" ref="D34:V34" si="25">SUM(D35:D37)</f>
        <v>4594722</v>
      </c>
      <c r="E34" s="11">
        <f t="shared" si="25"/>
        <v>5004853</v>
      </c>
      <c r="F34" s="11">
        <f t="shared" si="25"/>
        <v>4794802</v>
      </c>
      <c r="G34" s="11">
        <f t="shared" si="25"/>
        <v>5766823</v>
      </c>
      <c r="H34" s="11">
        <f t="shared" si="25"/>
        <v>7180968</v>
      </c>
      <c r="I34" s="11">
        <f t="shared" si="25"/>
        <v>9044874</v>
      </c>
      <c r="J34" s="11">
        <f t="shared" si="25"/>
        <v>9790991</v>
      </c>
      <c r="K34" s="11">
        <f t="shared" si="25"/>
        <v>8933825</v>
      </c>
      <c r="L34" s="11">
        <f t="shared" si="25"/>
        <v>9656743</v>
      </c>
      <c r="M34" s="11">
        <f t="shared" si="25"/>
        <v>10950150</v>
      </c>
      <c r="N34" s="11">
        <f t="shared" si="25"/>
        <v>11873702</v>
      </c>
      <c r="O34" s="11">
        <f t="shared" si="25"/>
        <v>12324680</v>
      </c>
      <c r="P34" s="11">
        <f t="shared" si="25"/>
        <v>13649733</v>
      </c>
      <c r="Q34" s="11">
        <f t="shared" si="25"/>
        <v>15279249</v>
      </c>
      <c r="R34" s="11">
        <f t="shared" si="25"/>
        <v>17050850</v>
      </c>
      <c r="S34" s="11">
        <f t="shared" si="25"/>
        <v>19982576</v>
      </c>
      <c r="T34" s="11">
        <f t="shared" si="25"/>
        <v>22841930</v>
      </c>
      <c r="U34" s="11">
        <f t="shared" si="25"/>
        <v>24457343</v>
      </c>
      <c r="V34" s="11">
        <f t="shared" si="25"/>
        <v>7259513</v>
      </c>
      <c r="W34" s="11">
        <f t="shared" ref="W34" si="26">SUM(W35:W37)</f>
        <v>9757966</v>
      </c>
      <c r="DA34" s="189" t="s">
        <v>215</v>
      </c>
    </row>
    <row r="35" spans="1:105" ht="11.45" customHeight="1" x14ac:dyDescent="0.25">
      <c r="A35" s="83" t="s">
        <v>27</v>
      </c>
      <c r="B35" s="84">
        <v>710805</v>
      </c>
      <c r="C35" s="84">
        <v>719659</v>
      </c>
      <c r="D35" s="84">
        <v>975964</v>
      </c>
      <c r="E35" s="84">
        <v>1000291</v>
      </c>
      <c r="F35" s="84">
        <v>764355</v>
      </c>
      <c r="G35" s="84">
        <v>784708</v>
      </c>
      <c r="H35" s="84">
        <v>809167</v>
      </c>
      <c r="I35" s="84">
        <v>980303</v>
      </c>
      <c r="J35" s="84">
        <v>860649</v>
      </c>
      <c r="K35" s="84">
        <v>797695</v>
      </c>
      <c r="L35" s="84">
        <v>880632</v>
      </c>
      <c r="M35" s="84">
        <v>1138051</v>
      </c>
      <c r="N35" s="84">
        <v>1802317</v>
      </c>
      <c r="O35" s="84">
        <v>1226903</v>
      </c>
      <c r="P35" s="84">
        <v>1495205</v>
      </c>
      <c r="Q35" s="84">
        <v>1603569</v>
      </c>
      <c r="R35" s="84">
        <v>1810883</v>
      </c>
      <c r="S35" s="84">
        <v>2205503</v>
      </c>
      <c r="T35" s="84">
        <v>1887044</v>
      </c>
      <c r="U35" s="84">
        <v>1947802</v>
      </c>
      <c r="V35" s="84">
        <v>671480</v>
      </c>
      <c r="W35" s="84">
        <v>746152</v>
      </c>
      <c r="DA35" s="171" t="s">
        <v>216</v>
      </c>
    </row>
    <row r="36" spans="1:105" ht="11.45" customHeight="1" x14ac:dyDescent="0.25">
      <c r="A36" s="83" t="s">
        <v>173</v>
      </c>
      <c r="B36" s="84">
        <v>2806774</v>
      </c>
      <c r="C36" s="84">
        <v>2827643</v>
      </c>
      <c r="D36" s="84">
        <v>2843040</v>
      </c>
      <c r="E36" s="84">
        <v>3148814</v>
      </c>
      <c r="F36" s="84">
        <v>3171240</v>
      </c>
      <c r="G36" s="84">
        <v>4028995</v>
      </c>
      <c r="H36" s="84">
        <v>5244692</v>
      </c>
      <c r="I36" s="84">
        <v>6742727</v>
      </c>
      <c r="J36" s="84">
        <v>7261488</v>
      </c>
      <c r="K36" s="84">
        <v>6607094</v>
      </c>
      <c r="L36" s="84">
        <v>7054511</v>
      </c>
      <c r="M36" s="84">
        <v>8115870</v>
      </c>
      <c r="N36" s="84">
        <v>8246258</v>
      </c>
      <c r="O36" s="84">
        <v>9340673</v>
      </c>
      <c r="P36" s="84">
        <v>10138108</v>
      </c>
      <c r="Q36" s="84">
        <v>11791860</v>
      </c>
      <c r="R36" s="84">
        <v>13341254</v>
      </c>
      <c r="S36" s="84">
        <v>15071602</v>
      </c>
      <c r="T36" s="84">
        <v>16948333</v>
      </c>
      <c r="U36" s="84">
        <v>17456129</v>
      </c>
      <c r="V36" s="84">
        <v>5382006</v>
      </c>
      <c r="W36" s="84">
        <v>6583632</v>
      </c>
      <c r="DA36" s="171" t="s">
        <v>217</v>
      </c>
    </row>
    <row r="37" spans="1:105" ht="11.45" customHeight="1" x14ac:dyDescent="0.25">
      <c r="A37" s="83" t="s">
        <v>174</v>
      </c>
      <c r="B37" s="84">
        <v>775633</v>
      </c>
      <c r="C37" s="84">
        <v>779249</v>
      </c>
      <c r="D37" s="84">
        <v>775718</v>
      </c>
      <c r="E37" s="84">
        <v>855748</v>
      </c>
      <c r="F37" s="84">
        <v>859207</v>
      </c>
      <c r="G37" s="84">
        <v>953120</v>
      </c>
      <c r="H37" s="84">
        <v>1127109</v>
      </c>
      <c r="I37" s="84">
        <v>1321844</v>
      </c>
      <c r="J37" s="84">
        <v>1668854</v>
      </c>
      <c r="K37" s="84">
        <v>1529036</v>
      </c>
      <c r="L37" s="84">
        <v>1721600</v>
      </c>
      <c r="M37" s="84">
        <v>1696229</v>
      </c>
      <c r="N37" s="84">
        <v>1825127</v>
      </c>
      <c r="O37" s="84">
        <v>1757104</v>
      </c>
      <c r="P37" s="84">
        <v>2016420</v>
      </c>
      <c r="Q37" s="84">
        <v>1883820</v>
      </c>
      <c r="R37" s="84">
        <v>1898713</v>
      </c>
      <c r="S37" s="84">
        <v>2705471</v>
      </c>
      <c r="T37" s="84">
        <v>4006553</v>
      </c>
      <c r="U37" s="84">
        <v>5053412</v>
      </c>
      <c r="V37" s="84">
        <v>1206027</v>
      </c>
      <c r="W37" s="84">
        <v>2428182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19556.282057832166</v>
      </c>
      <c r="C38" s="13">
        <f t="shared" si="27"/>
        <v>16690.428979510845</v>
      </c>
      <c r="D38" s="13">
        <f t="shared" ref="D38:V38" si="28">SUM(D39:D41)</f>
        <v>18037.682403937284</v>
      </c>
      <c r="E38" s="13">
        <f t="shared" si="28"/>
        <v>18659.121664212274</v>
      </c>
      <c r="F38" s="13">
        <f t="shared" si="28"/>
        <v>15231.582130475859</v>
      </c>
      <c r="G38" s="13">
        <f t="shared" si="28"/>
        <v>15629.32840478783</v>
      </c>
      <c r="H38" s="13">
        <f t="shared" si="28"/>
        <v>20376.766751067313</v>
      </c>
      <c r="I38" s="13">
        <f t="shared" si="28"/>
        <v>23798.065246571416</v>
      </c>
      <c r="J38" s="13">
        <f t="shared" si="28"/>
        <v>25728.225269757633</v>
      </c>
      <c r="K38" s="13">
        <f t="shared" si="28"/>
        <v>25095.061331988065</v>
      </c>
      <c r="L38" s="13">
        <f t="shared" si="28"/>
        <v>29046.159583676883</v>
      </c>
      <c r="M38" s="13">
        <f t="shared" si="28"/>
        <v>33305.899183430534</v>
      </c>
      <c r="N38" s="13">
        <f t="shared" si="28"/>
        <v>35201.009438016685</v>
      </c>
      <c r="O38" s="13">
        <f t="shared" si="28"/>
        <v>37320.196434249607</v>
      </c>
      <c r="P38" s="13">
        <f t="shared" si="28"/>
        <v>44175.517795677843</v>
      </c>
      <c r="Q38" s="13">
        <f t="shared" si="28"/>
        <v>48581.148440204794</v>
      </c>
      <c r="R38" s="13">
        <f t="shared" si="28"/>
        <v>53013.730435167483</v>
      </c>
      <c r="S38" s="13">
        <f t="shared" si="28"/>
        <v>57347.927183037762</v>
      </c>
      <c r="T38" s="13">
        <f t="shared" si="28"/>
        <v>64175.069275512156</v>
      </c>
      <c r="U38" s="13">
        <f t="shared" si="28"/>
        <v>69285.58588832221</v>
      </c>
      <c r="V38" s="13">
        <f t="shared" si="28"/>
        <v>49573.146730999142</v>
      </c>
      <c r="W38" s="13">
        <f t="shared" ref="W38" si="29">SUM(W39:W41)</f>
        <v>67561.064377172122</v>
      </c>
      <c r="DA38" s="193" t="s">
        <v>219</v>
      </c>
    </row>
    <row r="39" spans="1:105" ht="11.45" customHeight="1" x14ac:dyDescent="0.25">
      <c r="A39" s="92" t="s">
        <v>27</v>
      </c>
      <c r="B39" s="102">
        <v>3919.0949407016606</v>
      </c>
      <c r="C39" s="102">
        <v>3003.9447296252579</v>
      </c>
      <c r="D39" s="102">
        <v>3426.5881207072034</v>
      </c>
      <c r="E39" s="102">
        <v>3633.9386808624236</v>
      </c>
      <c r="F39" s="102">
        <v>2540.8327311214352</v>
      </c>
      <c r="G39" s="102">
        <v>1995.2468840778915</v>
      </c>
      <c r="H39" s="102">
        <v>4870.370448002247</v>
      </c>
      <c r="I39" s="102">
        <v>6312.7775370764894</v>
      </c>
      <c r="J39" s="102">
        <v>6914.7013633515344</v>
      </c>
      <c r="K39" s="102">
        <v>6862.54636135899</v>
      </c>
      <c r="L39" s="102">
        <v>6203.0126554661756</v>
      </c>
      <c r="M39" s="102">
        <v>6885.901378103571</v>
      </c>
      <c r="N39" s="102">
        <v>6614.0638368146192</v>
      </c>
      <c r="O39" s="102">
        <v>5908.3376839615194</v>
      </c>
      <c r="P39" s="102">
        <v>3885.8396453500491</v>
      </c>
      <c r="Q39" s="102">
        <v>3045.2554311241929</v>
      </c>
      <c r="R39" s="102">
        <v>1831.3592392921619</v>
      </c>
      <c r="S39" s="102">
        <v>603.6039156176289</v>
      </c>
      <c r="T39" s="102">
        <v>585.80085653249694</v>
      </c>
      <c r="U39" s="102">
        <v>837.57596480472591</v>
      </c>
      <c r="V39" s="102">
        <v>233.04768285660768</v>
      </c>
      <c r="W39" s="102">
        <v>250.47598864252487</v>
      </c>
      <c r="DA39" s="175" t="s">
        <v>220</v>
      </c>
    </row>
    <row r="40" spans="1:105" ht="11.45" customHeight="1" x14ac:dyDescent="0.25">
      <c r="A40" s="92" t="s">
        <v>173</v>
      </c>
      <c r="B40" s="102">
        <v>8182.7224078183208</v>
      </c>
      <c r="C40" s="102">
        <v>6256.7273811332834</v>
      </c>
      <c r="D40" s="102">
        <v>7153.8977477985618</v>
      </c>
      <c r="E40" s="102">
        <v>7570.8698242906084</v>
      </c>
      <c r="F40" s="102">
        <v>5289.5975453206793</v>
      </c>
      <c r="G40" s="102">
        <v>6603.7445587331504</v>
      </c>
      <c r="H40" s="102">
        <v>7873.7090046553421</v>
      </c>
      <c r="I40" s="102">
        <v>8267.1367167606841</v>
      </c>
      <c r="J40" s="102">
        <v>9696.2037139256954</v>
      </c>
      <c r="K40" s="102">
        <v>11296.584284652108</v>
      </c>
      <c r="L40" s="102">
        <v>11969.253094275691</v>
      </c>
      <c r="M40" s="102">
        <v>14250.527254236078</v>
      </c>
      <c r="N40" s="102">
        <v>16132.585673584184</v>
      </c>
      <c r="O40" s="102">
        <v>17584.19189477956</v>
      </c>
      <c r="P40" s="102">
        <v>20053.923817044662</v>
      </c>
      <c r="Q40" s="102">
        <v>22919.640627167082</v>
      </c>
      <c r="R40" s="102">
        <v>24605.92028441275</v>
      </c>
      <c r="S40" s="102">
        <v>26282.001263251306</v>
      </c>
      <c r="T40" s="102">
        <v>28858.735103049039</v>
      </c>
      <c r="U40" s="102">
        <v>30915.328397531594</v>
      </c>
      <c r="V40" s="102">
        <v>30553.422738265799</v>
      </c>
      <c r="W40" s="102">
        <v>38336.514071907011</v>
      </c>
      <c r="DA40" s="175" t="s">
        <v>221</v>
      </c>
    </row>
    <row r="41" spans="1:105" ht="11.45" customHeight="1" x14ac:dyDescent="0.25">
      <c r="A41" s="85" t="s">
        <v>174</v>
      </c>
      <c r="B41" s="86">
        <v>7454.4647093121857</v>
      </c>
      <c r="C41" s="86">
        <v>7429.7568687523035</v>
      </c>
      <c r="D41" s="86">
        <v>7457.1965354315171</v>
      </c>
      <c r="E41" s="86">
        <v>7454.3131590592411</v>
      </c>
      <c r="F41" s="86">
        <v>7401.1518540337447</v>
      </c>
      <c r="G41" s="86">
        <v>7030.3369619767882</v>
      </c>
      <c r="H41" s="86">
        <v>7632.6872984097263</v>
      </c>
      <c r="I41" s="86">
        <v>9218.1509927342395</v>
      </c>
      <c r="J41" s="86">
        <v>9117.3201924803998</v>
      </c>
      <c r="K41" s="86">
        <v>6935.9306859769677</v>
      </c>
      <c r="L41" s="86">
        <v>10873.893833935019</v>
      </c>
      <c r="M41" s="86">
        <v>12169.470551090884</v>
      </c>
      <c r="N41" s="86">
        <v>12454.359927617877</v>
      </c>
      <c r="O41" s="86">
        <v>13827.666855508525</v>
      </c>
      <c r="P41" s="86">
        <v>20235.75433328313</v>
      </c>
      <c r="Q41" s="86">
        <v>22616.252381913517</v>
      </c>
      <c r="R41" s="86">
        <v>26576.450911462569</v>
      </c>
      <c r="S41" s="86">
        <v>30462.322004168826</v>
      </c>
      <c r="T41" s="86">
        <v>34730.533315930625</v>
      </c>
      <c r="U41" s="86">
        <v>37532.681525985899</v>
      </c>
      <c r="V41" s="86">
        <v>18786.676309876737</v>
      </c>
      <c r="W41" s="86">
        <v>28974.074316622595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70.156858873491515</v>
      </c>
      <c r="C43" s="54">
        <f t="shared" si="30"/>
        <v>69.266021827776285</v>
      </c>
      <c r="D43" s="54">
        <f t="shared" ref="D43:V43" si="31">SUM(D44,D48)</f>
        <v>71.678988631483364</v>
      </c>
      <c r="E43" s="54">
        <f t="shared" si="31"/>
        <v>76.412126896826464</v>
      </c>
      <c r="F43" s="54">
        <f t="shared" si="31"/>
        <v>74.2590918054307</v>
      </c>
      <c r="G43" s="54">
        <f t="shared" si="31"/>
        <v>84.012226055636262</v>
      </c>
      <c r="H43" s="54">
        <f t="shared" si="31"/>
        <v>98.863487589464214</v>
      </c>
      <c r="I43" s="54">
        <f t="shared" si="31"/>
        <v>104.18431299459021</v>
      </c>
      <c r="J43" s="54">
        <f t="shared" si="31"/>
        <v>106.8235467297703</v>
      </c>
      <c r="K43" s="54">
        <f t="shared" si="31"/>
        <v>100.16101581177686</v>
      </c>
      <c r="L43" s="54">
        <f t="shared" si="31"/>
        <v>101.26506843199877</v>
      </c>
      <c r="M43" s="54">
        <f t="shared" si="31"/>
        <v>106.17140968076751</v>
      </c>
      <c r="N43" s="54">
        <f t="shared" si="31"/>
        <v>108.2141258282798</v>
      </c>
      <c r="O43" s="54">
        <f t="shared" si="31"/>
        <v>109.37779558230714</v>
      </c>
      <c r="P43" s="54">
        <f t="shared" si="31"/>
        <v>116.5579158484335</v>
      </c>
      <c r="Q43" s="54">
        <f t="shared" si="31"/>
        <v>126.83461070279303</v>
      </c>
      <c r="R43" s="54">
        <f t="shared" si="31"/>
        <v>132.3318280681917</v>
      </c>
      <c r="S43" s="54">
        <f t="shared" si="31"/>
        <v>142.57799768984694</v>
      </c>
      <c r="T43" s="54">
        <f t="shared" si="31"/>
        <v>168.87585065501693</v>
      </c>
      <c r="U43" s="54">
        <f t="shared" si="31"/>
        <v>174.01191823886222</v>
      </c>
      <c r="V43" s="54">
        <f t="shared" si="31"/>
        <v>169.52129618151534</v>
      </c>
      <c r="W43" s="54">
        <f t="shared" ref="W43" si="32">SUM(W44,W48)</f>
        <v>165.51913880074486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69.260498688383649</v>
      </c>
      <c r="C44" s="11">
        <f t="shared" si="33"/>
        <v>68.446272451095183</v>
      </c>
      <c r="D44" s="11">
        <f t="shared" ref="D44:V44" si="34">SUM(D45:D47)</f>
        <v>70.882647143998184</v>
      </c>
      <c r="E44" s="11">
        <f t="shared" si="34"/>
        <v>75.59805600639541</v>
      </c>
      <c r="F44" s="11">
        <f t="shared" si="34"/>
        <v>73.513228362081861</v>
      </c>
      <c r="G44" s="11">
        <f t="shared" si="34"/>
        <v>83.231964892123059</v>
      </c>
      <c r="H44" s="11">
        <f t="shared" si="34"/>
        <v>97.747709788272402</v>
      </c>
      <c r="I44" s="11">
        <f t="shared" si="34"/>
        <v>102.810851901935</v>
      </c>
      <c r="J44" s="11">
        <f t="shared" si="34"/>
        <v>105.23150522316918</v>
      </c>
      <c r="K44" s="11">
        <f t="shared" si="34"/>
        <v>98.503414933947255</v>
      </c>
      <c r="L44" s="11">
        <f t="shared" si="34"/>
        <v>99.516703463363527</v>
      </c>
      <c r="M44" s="11">
        <f t="shared" si="34"/>
        <v>104.39674344606523</v>
      </c>
      <c r="N44" s="11">
        <f t="shared" si="34"/>
        <v>106.43982075925302</v>
      </c>
      <c r="O44" s="11">
        <f t="shared" si="34"/>
        <v>107.54257689008682</v>
      </c>
      <c r="P44" s="11">
        <f t="shared" si="34"/>
        <v>114.54110055956924</v>
      </c>
      <c r="Q44" s="11">
        <f t="shared" si="34"/>
        <v>124.61345094790155</v>
      </c>
      <c r="R44" s="11">
        <f t="shared" si="34"/>
        <v>130.09577510510562</v>
      </c>
      <c r="S44" s="11">
        <f t="shared" si="34"/>
        <v>140.07426587155945</v>
      </c>
      <c r="T44" s="11">
        <f t="shared" si="34"/>
        <v>166.12338028709027</v>
      </c>
      <c r="U44" s="11">
        <f t="shared" si="34"/>
        <v>170.78098661122613</v>
      </c>
      <c r="V44" s="11">
        <f t="shared" si="34"/>
        <v>166.16362003200052</v>
      </c>
      <c r="W44" s="11">
        <f t="shared" ref="W44" si="35">SUM(W45:W47)</f>
        <v>161.54625345277495</v>
      </c>
      <c r="DA44" s="189" t="s">
        <v>224</v>
      </c>
    </row>
    <row r="45" spans="1:105" ht="11.45" customHeight="1" x14ac:dyDescent="0.25">
      <c r="A45" s="83" t="s">
        <v>27</v>
      </c>
      <c r="B45" s="84">
        <v>10.395576350489154</v>
      </c>
      <c r="C45" s="84">
        <v>10.405784772437261</v>
      </c>
      <c r="D45" s="84">
        <v>13.888132709485326</v>
      </c>
      <c r="E45" s="84">
        <v>13.902169289663973</v>
      </c>
      <c r="F45" s="84">
        <v>12.862611654615058</v>
      </c>
      <c r="G45" s="84">
        <v>11.823054019566143</v>
      </c>
      <c r="H45" s="84">
        <v>10.783496384517228</v>
      </c>
      <c r="I45" s="84">
        <v>11.309614570097416</v>
      </c>
      <c r="J45" s="84">
        <v>10.805249788314987</v>
      </c>
      <c r="K45" s="84">
        <v>9.9636517328825018</v>
      </c>
      <c r="L45" s="84">
        <v>10.189824711415135</v>
      </c>
      <c r="M45" s="84">
        <v>11.866580866580867</v>
      </c>
      <c r="N45" s="84">
        <v>15.898268398268398</v>
      </c>
      <c r="O45" s="84">
        <v>14.858710763219483</v>
      </c>
      <c r="P45" s="84">
        <v>13.819153128170568</v>
      </c>
      <c r="Q45" s="84">
        <v>12.779595493121652</v>
      </c>
      <c r="R45" s="84">
        <v>11.740037858072737</v>
      </c>
      <c r="S45" s="84">
        <v>12.775147928994082</v>
      </c>
      <c r="T45" s="84">
        <v>11.735590293945167</v>
      </c>
      <c r="U45" s="84">
        <v>11.901597981497057</v>
      </c>
      <c r="V45" s="84">
        <v>11.208559558131114</v>
      </c>
      <c r="W45" s="84">
        <v>10.515521134765171</v>
      </c>
      <c r="DA45" s="171" t="s">
        <v>225</v>
      </c>
    </row>
    <row r="46" spans="1:105" ht="11.45" customHeight="1" x14ac:dyDescent="0.25">
      <c r="A46" s="83" t="s">
        <v>173</v>
      </c>
      <c r="B46" s="84">
        <v>37.877160100132258</v>
      </c>
      <c r="C46" s="84">
        <v>37.346431734601971</v>
      </c>
      <c r="D46" s="84">
        <v>36.672836112834531</v>
      </c>
      <c r="E46" s="84">
        <v>39.697634968479683</v>
      </c>
      <c r="F46" s="84">
        <v>39.024742581592676</v>
      </c>
      <c r="G46" s="84">
        <v>47.688348482398744</v>
      </c>
      <c r="H46" s="84">
        <v>59.697431992395444</v>
      </c>
      <c r="I46" s="84">
        <v>62.083148594636214</v>
      </c>
      <c r="J46" s="84">
        <v>65.028262123817413</v>
      </c>
      <c r="K46" s="84">
        <v>61.240546113804186</v>
      </c>
      <c r="L46" s="84">
        <v>62.090515115584751</v>
      </c>
      <c r="M46" s="84">
        <v>64.311503687356094</v>
      </c>
      <c r="N46" s="84">
        <v>63.973633285840123</v>
      </c>
      <c r="O46" s="84">
        <v>68.112014275015497</v>
      </c>
      <c r="P46" s="84">
        <v>70.10552952095091</v>
      </c>
      <c r="Q46" s="84">
        <v>77.750148429368849</v>
      </c>
      <c r="R46" s="84">
        <v>86.370806445398046</v>
      </c>
      <c r="S46" s="84">
        <v>93.860740407463965</v>
      </c>
      <c r="T46" s="84">
        <v>103.08257526921872</v>
      </c>
      <c r="U46" s="84">
        <v>104.1537788736315</v>
      </c>
      <c r="V46" s="84">
        <v>101.62863486695601</v>
      </c>
      <c r="W46" s="84">
        <v>99.103490860280516</v>
      </c>
      <c r="DA46" s="171" t="s">
        <v>226</v>
      </c>
    </row>
    <row r="47" spans="1:105" ht="11.45" customHeight="1" x14ac:dyDescent="0.25">
      <c r="A47" s="83" t="s">
        <v>174</v>
      </c>
      <c r="B47" s="84">
        <v>20.987762237762237</v>
      </c>
      <c r="C47" s="84">
        <v>20.694055944055943</v>
      </c>
      <c r="D47" s="84">
        <v>20.321678321678323</v>
      </c>
      <c r="E47" s="84">
        <v>21.998251748251747</v>
      </c>
      <c r="F47" s="84">
        <v>21.625874125874127</v>
      </c>
      <c r="G47" s="84">
        <v>23.720562390158172</v>
      </c>
      <c r="H47" s="84">
        <v>27.266781411359723</v>
      </c>
      <c r="I47" s="84">
        <v>29.418088737201366</v>
      </c>
      <c r="J47" s="84">
        <v>29.397993311036789</v>
      </c>
      <c r="K47" s="84">
        <v>27.299217087260566</v>
      </c>
      <c r="L47" s="84">
        <v>27.236363636363638</v>
      </c>
      <c r="M47" s="84">
        <v>28.218658892128278</v>
      </c>
      <c r="N47" s="84">
        <v>26.567919075144509</v>
      </c>
      <c r="O47" s="84">
        <v>24.571851851851854</v>
      </c>
      <c r="P47" s="84">
        <v>30.616417910447762</v>
      </c>
      <c r="Q47" s="84">
        <v>34.083707025411059</v>
      </c>
      <c r="R47" s="84">
        <v>31.984930801634835</v>
      </c>
      <c r="S47" s="84">
        <v>33.438377535101402</v>
      </c>
      <c r="T47" s="84">
        <v>51.305214723926383</v>
      </c>
      <c r="U47" s="84">
        <v>54.725609756097562</v>
      </c>
      <c r="V47" s="84">
        <v>53.326425606913411</v>
      </c>
      <c r="W47" s="84">
        <v>51.927241457729259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0.89636018510786086</v>
      </c>
      <c r="C48" s="13">
        <f t="shared" si="36"/>
        <v>0.81974937668110837</v>
      </c>
      <c r="D48" s="13">
        <f t="shared" ref="D48:V48" si="37">SUM(D49:D51)</f>
        <v>0.7963414874851853</v>
      </c>
      <c r="E48" s="13">
        <f t="shared" si="37"/>
        <v>0.81407089043105929</v>
      </c>
      <c r="F48" s="13">
        <f t="shared" si="37"/>
        <v>0.74586344334884458</v>
      </c>
      <c r="G48" s="13">
        <f t="shared" si="37"/>
        <v>0.78026116351319985</v>
      </c>
      <c r="H48" s="13">
        <f t="shared" si="37"/>
        <v>1.1157778011918105</v>
      </c>
      <c r="I48" s="13">
        <f t="shared" si="37"/>
        <v>1.3734610926552131</v>
      </c>
      <c r="J48" s="13">
        <f t="shared" si="37"/>
        <v>1.5920415066011211</v>
      </c>
      <c r="K48" s="13">
        <f t="shared" si="37"/>
        <v>1.6576008778296079</v>
      </c>
      <c r="L48" s="13">
        <f t="shared" si="37"/>
        <v>1.7483649686352427</v>
      </c>
      <c r="M48" s="13">
        <f t="shared" si="37"/>
        <v>1.7746662347022741</v>
      </c>
      <c r="N48" s="13">
        <f t="shared" si="37"/>
        <v>1.7743050690267739</v>
      </c>
      <c r="O48" s="13">
        <f t="shared" si="37"/>
        <v>1.8352186922203206</v>
      </c>
      <c r="P48" s="13">
        <f t="shared" si="37"/>
        <v>2.0168152888642519</v>
      </c>
      <c r="Q48" s="13">
        <f t="shared" si="37"/>
        <v>2.2211597548914721</v>
      </c>
      <c r="R48" s="13">
        <f t="shared" si="37"/>
        <v>2.2360529630860868</v>
      </c>
      <c r="S48" s="13">
        <f t="shared" si="37"/>
        <v>2.503731818287501</v>
      </c>
      <c r="T48" s="13">
        <f t="shared" si="37"/>
        <v>2.7524703679266644</v>
      </c>
      <c r="U48" s="13">
        <f t="shared" si="37"/>
        <v>3.2309316276361022</v>
      </c>
      <c r="V48" s="13">
        <f t="shared" si="37"/>
        <v>3.3576761495148046</v>
      </c>
      <c r="W48" s="13">
        <f t="shared" ref="W48" si="38">SUM(W49:W51)</f>
        <v>3.9728853479699193</v>
      </c>
      <c r="DA48" s="193" t="s">
        <v>228</v>
      </c>
    </row>
    <row r="49" spans="1:105" ht="11.45" customHeight="1" x14ac:dyDescent="0.25">
      <c r="A49" s="92" t="s">
        <v>27</v>
      </c>
      <c r="B49" s="102">
        <v>0.26383265856950067</v>
      </c>
      <c r="C49" s="102">
        <v>0.23744939271255061</v>
      </c>
      <c r="D49" s="102">
        <v>0.22604588394062078</v>
      </c>
      <c r="E49" s="102">
        <v>0.2253711201079622</v>
      </c>
      <c r="F49" s="102">
        <v>0.19898785425101212</v>
      </c>
      <c r="G49" s="102">
        <v>0.17260458839406206</v>
      </c>
      <c r="H49" s="102">
        <v>0.341446923597025</v>
      </c>
      <c r="I49" s="102">
        <v>0.4451219512195122</v>
      </c>
      <c r="J49" s="102">
        <v>0.50849762066621351</v>
      </c>
      <c r="K49" s="102">
        <v>0.50170415814587599</v>
      </c>
      <c r="L49" s="102">
        <v>0.47532089228892593</v>
      </c>
      <c r="M49" s="102">
        <v>0.44893762643197588</v>
      </c>
      <c r="N49" s="102">
        <v>0.42255436057502582</v>
      </c>
      <c r="O49" s="102">
        <v>0.39617109471807577</v>
      </c>
      <c r="P49" s="102">
        <v>0.36978782886112571</v>
      </c>
      <c r="Q49" s="102">
        <v>0.34340456300417566</v>
      </c>
      <c r="R49" s="102">
        <v>0.3170212971472256</v>
      </c>
      <c r="S49" s="102">
        <v>0.29063803129027554</v>
      </c>
      <c r="T49" s="102">
        <v>0.26425476543332549</v>
      </c>
      <c r="U49" s="102">
        <v>0.23787149957637543</v>
      </c>
      <c r="V49" s="102">
        <v>0.22028265567174204</v>
      </c>
      <c r="W49" s="102">
        <v>0.20269381176710866</v>
      </c>
      <c r="DA49" s="175" t="s">
        <v>229</v>
      </c>
    </row>
    <row r="50" spans="1:105" ht="11.45" customHeight="1" x14ac:dyDescent="0.25">
      <c r="A50" s="92" t="s">
        <v>173</v>
      </c>
      <c r="B50" s="102">
        <v>0.4322474144935422</v>
      </c>
      <c r="C50" s="102">
        <v>0.38902267304418803</v>
      </c>
      <c r="D50" s="102">
        <v>0.37281661194792592</v>
      </c>
      <c r="E50" s="102">
        <v>0.37441405603738276</v>
      </c>
      <c r="F50" s="102">
        <v>0.33118931458802853</v>
      </c>
      <c r="G50" s="102">
        <v>0.38371291314730671</v>
      </c>
      <c r="H50" s="102">
        <v>0.49728169726691662</v>
      </c>
      <c r="I50" s="102">
        <v>0.54197550507206449</v>
      </c>
      <c r="J50" s="102">
        <v>0.65162899231788651</v>
      </c>
      <c r="K50" s="102">
        <v>0.74400983727119241</v>
      </c>
      <c r="L50" s="102">
        <v>0.75294357383375388</v>
      </c>
      <c r="M50" s="102">
        <v>0.82000778447167133</v>
      </c>
      <c r="N50" s="102">
        <v>0.86605789585760273</v>
      </c>
      <c r="O50" s="102">
        <v>0.93471859317324046</v>
      </c>
      <c r="P50" s="102">
        <v>0.97301864943043892</v>
      </c>
      <c r="Q50" s="102">
        <v>1.1121301918872966</v>
      </c>
      <c r="R50" s="102">
        <v>1.089874490540228</v>
      </c>
      <c r="S50" s="102">
        <v>1.2318731297202299</v>
      </c>
      <c r="T50" s="102">
        <v>1.3705685436698096</v>
      </c>
      <c r="U50" s="102">
        <v>1.4274351280597264</v>
      </c>
      <c r="V50" s="102">
        <v>1.5851205013127168</v>
      </c>
      <c r="W50" s="102">
        <v>2.0594997123034395</v>
      </c>
      <c r="DA50" s="175" t="s">
        <v>230</v>
      </c>
    </row>
    <row r="51" spans="1:105" ht="11.45" customHeight="1" x14ac:dyDescent="0.25">
      <c r="A51" s="85" t="s">
        <v>174</v>
      </c>
      <c r="B51" s="86">
        <v>0.20028011204481794</v>
      </c>
      <c r="C51" s="86">
        <v>0.19327731092436976</v>
      </c>
      <c r="D51" s="86">
        <v>0.19747899159663865</v>
      </c>
      <c r="E51" s="86">
        <v>0.21428571428571427</v>
      </c>
      <c r="F51" s="86">
        <v>0.21568627450980393</v>
      </c>
      <c r="G51" s="86">
        <v>0.22394366197183099</v>
      </c>
      <c r="H51" s="86">
        <v>0.27704918032786885</v>
      </c>
      <c r="I51" s="86">
        <v>0.38636363636363635</v>
      </c>
      <c r="J51" s="86">
        <v>0.43191489361702129</v>
      </c>
      <c r="K51" s="86">
        <v>0.41188688241253951</v>
      </c>
      <c r="L51" s="86">
        <v>0.52010050251256279</v>
      </c>
      <c r="M51" s="86">
        <v>0.50572082379862704</v>
      </c>
      <c r="N51" s="86">
        <v>0.48569281259414526</v>
      </c>
      <c r="O51" s="86">
        <v>0.50432900432900429</v>
      </c>
      <c r="P51" s="86">
        <v>0.67400881057268724</v>
      </c>
      <c r="Q51" s="86">
        <v>0.765625</v>
      </c>
      <c r="R51" s="86">
        <v>0.82915717539863321</v>
      </c>
      <c r="S51" s="86">
        <v>0.98122065727699526</v>
      </c>
      <c r="T51" s="86">
        <v>1.1176470588235294</v>
      </c>
      <c r="U51" s="86">
        <v>1.565625</v>
      </c>
      <c r="V51" s="86">
        <v>1.5522729925303456</v>
      </c>
      <c r="W51" s="86">
        <v>1.7106918238993711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5.9732474346110358</v>
      </c>
      <c r="C53" s="54">
        <f t="shared" si="39"/>
        <v>1.4673161777485337</v>
      </c>
      <c r="D53" s="54">
        <f t="shared" ref="D53:V53" si="40">SUM(D54,D58)</f>
        <v>4.728561365643273</v>
      </c>
      <c r="E53" s="54">
        <f t="shared" si="40"/>
        <v>7.0420056596030971</v>
      </c>
      <c r="F53" s="54">
        <f t="shared" si="40"/>
        <v>0.89725605061247016</v>
      </c>
      <c r="G53" s="54">
        <f t="shared" si="40"/>
        <v>12.773168073199413</v>
      </c>
      <c r="H53" s="54">
        <f t="shared" si="40"/>
        <v>17.855061195681959</v>
      </c>
      <c r="I53" s="54">
        <f t="shared" si="40"/>
        <v>7.6296927993860049</v>
      </c>
      <c r="J53" s="54">
        <f t="shared" si="40"/>
        <v>5.1114867410167273</v>
      </c>
      <c r="K53" s="54">
        <f t="shared" si="40"/>
        <v>0.1123501068341628</v>
      </c>
      <c r="L53" s="54">
        <f t="shared" si="40"/>
        <v>3.7032414473070494</v>
      </c>
      <c r="M53" s="54">
        <f t="shared" si="40"/>
        <v>7.5134671775368087</v>
      </c>
      <c r="N53" s="54">
        <f t="shared" si="40"/>
        <v>5.6105480387434978</v>
      </c>
      <c r="O53" s="54">
        <f t="shared" si="40"/>
        <v>5.4899689355118717</v>
      </c>
      <c r="P53" s="54">
        <f t="shared" si="40"/>
        <v>10.381776279195694</v>
      </c>
      <c r="Q53" s="54">
        <f t="shared" si="40"/>
        <v>13.300912449877938</v>
      </c>
      <c r="R53" s="54">
        <f t="shared" si="40"/>
        <v>9.9785429653321938</v>
      </c>
      <c r="S53" s="54">
        <f t="shared" si="40"/>
        <v>12.573505302015187</v>
      </c>
      <c r="T53" s="54">
        <f t="shared" si="40"/>
        <v>29.323767110373044</v>
      </c>
      <c r="U53" s="54">
        <f t="shared" si="40"/>
        <v>7.4692835864144094</v>
      </c>
      <c r="V53" s="54">
        <f t="shared" si="40"/>
        <v>0.17373296446412012</v>
      </c>
      <c r="W53" s="54">
        <f t="shared" ref="W53" si="41">SUM(W54,W58)</f>
        <v>0.65528821060187825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5.8749346596369083</v>
      </c>
      <c r="C54" s="11">
        <f t="shared" si="42"/>
        <v>1.4673161777485337</v>
      </c>
      <c r="D54" s="11">
        <f t="shared" ref="D54:V54" si="43">SUM(D55:D57)</f>
        <v>4.7179171079400044</v>
      </c>
      <c r="E54" s="11">
        <f t="shared" si="43"/>
        <v>6.9969512774342233</v>
      </c>
      <c r="F54" s="11">
        <f t="shared" si="43"/>
        <v>0.88941291335738049</v>
      </c>
      <c r="G54" s="11">
        <f t="shared" si="43"/>
        <v>12.692977087712107</v>
      </c>
      <c r="H54" s="11">
        <f t="shared" si="43"/>
        <v>17.48998545382026</v>
      </c>
      <c r="I54" s="11">
        <f t="shared" si="43"/>
        <v>7.3446845286996023</v>
      </c>
      <c r="J54" s="11">
        <f t="shared" si="43"/>
        <v>4.8597010256386248</v>
      </c>
      <c r="K54" s="11">
        <f t="shared" si="43"/>
        <v>0</v>
      </c>
      <c r="L54" s="11">
        <f t="shared" si="43"/>
        <v>3.56080376896927</v>
      </c>
      <c r="M54" s="11">
        <f t="shared" si="43"/>
        <v>7.4275552222546972</v>
      </c>
      <c r="N54" s="11">
        <f t="shared" si="43"/>
        <v>5.5515305049225665</v>
      </c>
      <c r="O54" s="11">
        <f t="shared" si="43"/>
        <v>5.3832620469953749</v>
      </c>
      <c r="P54" s="11">
        <f t="shared" si="43"/>
        <v>10.151134786064464</v>
      </c>
      <c r="Q54" s="11">
        <f t="shared" si="43"/>
        <v>13.046590946003242</v>
      </c>
      <c r="R54" s="11">
        <f t="shared" si="43"/>
        <v>9.8934794950094691</v>
      </c>
      <c r="S54" s="11">
        <f t="shared" si="43"/>
        <v>12.260033181490822</v>
      </c>
      <c r="T54" s="11">
        <f t="shared" si="43"/>
        <v>29.023354973201737</v>
      </c>
      <c r="U54" s="11">
        <f t="shared" si="43"/>
        <v>6.9391487391728273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0.35706791436310681</v>
      </c>
      <c r="C55" s="84">
        <v>0.35706791436310681</v>
      </c>
      <c r="D55" s="84">
        <v>3.8292074294630645</v>
      </c>
      <c r="E55" s="84">
        <v>0.36089607259364698</v>
      </c>
      <c r="F55" s="84">
        <v>0</v>
      </c>
      <c r="G55" s="84">
        <v>0</v>
      </c>
      <c r="H55" s="84">
        <v>0</v>
      </c>
      <c r="I55" s="84">
        <v>0.87297767799518766</v>
      </c>
      <c r="J55" s="84">
        <v>0</v>
      </c>
      <c r="K55" s="84">
        <v>0</v>
      </c>
      <c r="L55" s="84">
        <v>0.57303247094763243</v>
      </c>
      <c r="M55" s="84">
        <v>2.0236156475807316</v>
      </c>
      <c r="N55" s="84">
        <v>4.3785470241025326</v>
      </c>
      <c r="O55" s="84">
        <v>0</v>
      </c>
      <c r="P55" s="84">
        <v>0</v>
      </c>
      <c r="Q55" s="84">
        <v>0</v>
      </c>
      <c r="R55" s="84">
        <v>0</v>
      </c>
      <c r="S55" s="84">
        <v>1.3819695633363445</v>
      </c>
      <c r="T55" s="84">
        <v>0</v>
      </c>
      <c r="U55" s="84">
        <v>0.51286717996688935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3.5500928524997755</v>
      </c>
      <c r="C56" s="84">
        <v>0.71415269228972034</v>
      </c>
      <c r="D56" s="84">
        <v>0.57128543605255977</v>
      </c>
      <c r="E56" s="84">
        <v>4.2696799134651533</v>
      </c>
      <c r="F56" s="84">
        <v>0.57198867093300043</v>
      </c>
      <c r="G56" s="84">
        <v>9.908486958626062</v>
      </c>
      <c r="H56" s="84">
        <v>13.253964567816707</v>
      </c>
      <c r="I56" s="84">
        <v>3.6305976600607717</v>
      </c>
      <c r="J56" s="84">
        <v>4.1899945870012019</v>
      </c>
      <c r="K56" s="84">
        <v>0</v>
      </c>
      <c r="L56" s="84">
        <v>2.360822884116565</v>
      </c>
      <c r="M56" s="84">
        <v>3.7318424541073254</v>
      </c>
      <c r="N56" s="84">
        <v>1.1729834808200339</v>
      </c>
      <c r="O56" s="84">
        <v>5.3832620469953749</v>
      </c>
      <c r="P56" s="84">
        <v>3.4167668626665564</v>
      </c>
      <c r="Q56" s="84">
        <v>8.8894999662379455</v>
      </c>
      <c r="R56" s="84">
        <v>9.8934794950094691</v>
      </c>
      <c r="S56" s="84">
        <v>8.7348150198859109</v>
      </c>
      <c r="T56" s="84">
        <v>10.466715919574757</v>
      </c>
      <c r="U56" s="84">
        <v>2.3160846622327593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1.9677738927740265</v>
      </c>
      <c r="C57" s="84">
        <v>0.39609557109570659</v>
      </c>
      <c r="D57" s="84">
        <v>0.31742424242438005</v>
      </c>
      <c r="E57" s="84">
        <v>2.366375291375423</v>
      </c>
      <c r="F57" s="84">
        <v>0.31742424242438005</v>
      </c>
      <c r="G57" s="84">
        <v>2.7844901290860449</v>
      </c>
      <c r="H57" s="84">
        <v>4.2360208860035513</v>
      </c>
      <c r="I57" s="84">
        <v>2.8411091906436425</v>
      </c>
      <c r="J57" s="84">
        <v>0.66970643863742296</v>
      </c>
      <c r="K57" s="84">
        <v>0</v>
      </c>
      <c r="L57" s="84">
        <v>0.6269484139050725</v>
      </c>
      <c r="M57" s="84">
        <v>1.6720971205666402</v>
      </c>
      <c r="N57" s="84">
        <v>0</v>
      </c>
      <c r="O57" s="84">
        <v>0</v>
      </c>
      <c r="P57" s="84">
        <v>6.7343679233979081</v>
      </c>
      <c r="Q57" s="84">
        <v>4.1570909797652966</v>
      </c>
      <c r="R57" s="84">
        <v>0</v>
      </c>
      <c r="S57" s="84">
        <v>2.143248598268567</v>
      </c>
      <c r="T57" s="84">
        <v>18.556639053626981</v>
      </c>
      <c r="U57" s="84">
        <v>4.1101968969731786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9.8312774974127798E-2</v>
      </c>
      <c r="C58" s="13">
        <f t="shared" si="45"/>
        <v>0</v>
      </c>
      <c r="D58" s="13">
        <f t="shared" ref="D58:V58" si="46">SUM(D59:D61)</f>
        <v>1.0644257703268906E-2</v>
      </c>
      <c r="E58" s="13">
        <f t="shared" si="46"/>
        <v>4.5054382168873877E-2</v>
      </c>
      <c r="F58" s="13">
        <f t="shared" si="46"/>
        <v>7.8431372550896716E-3</v>
      </c>
      <c r="G58" s="13">
        <f t="shared" si="46"/>
        <v>8.0190985487305202E-2</v>
      </c>
      <c r="H58" s="13">
        <f t="shared" si="46"/>
        <v>0.36507574186169744</v>
      </c>
      <c r="I58" s="13">
        <f t="shared" si="46"/>
        <v>0.28500827068640244</v>
      </c>
      <c r="J58" s="13">
        <f t="shared" si="46"/>
        <v>0.25178571537810268</v>
      </c>
      <c r="K58" s="13">
        <f t="shared" si="46"/>
        <v>0.1123501068341628</v>
      </c>
      <c r="L58" s="13">
        <f t="shared" si="46"/>
        <v>0.14243767833777926</v>
      </c>
      <c r="M58" s="13">
        <f t="shared" si="46"/>
        <v>8.5911955282111818E-2</v>
      </c>
      <c r="N58" s="13">
        <f t="shared" si="46"/>
        <v>5.9017533820931417E-2</v>
      </c>
      <c r="O58" s="13">
        <f t="shared" si="46"/>
        <v>0.10670688851649676</v>
      </c>
      <c r="P58" s="13">
        <f t="shared" si="46"/>
        <v>0.23064149313123095</v>
      </c>
      <c r="Q58" s="13">
        <f t="shared" si="46"/>
        <v>0.25432150387469554</v>
      </c>
      <c r="R58" s="13">
        <f t="shared" si="46"/>
        <v>8.5063470322724669E-2</v>
      </c>
      <c r="S58" s="13">
        <f t="shared" si="46"/>
        <v>0.31347212052436402</v>
      </c>
      <c r="T58" s="13">
        <f t="shared" si="46"/>
        <v>0.30041213717130821</v>
      </c>
      <c r="U58" s="13">
        <f t="shared" si="46"/>
        <v>0.53013484724158189</v>
      </c>
      <c r="V58" s="13">
        <f t="shared" si="46"/>
        <v>0.17373296446412012</v>
      </c>
      <c r="W58" s="13">
        <f t="shared" ref="W58" si="47">SUM(W59:W61)</f>
        <v>0.65528821060187825</v>
      </c>
      <c r="DA58" s="193" t="s">
        <v>237</v>
      </c>
    </row>
    <row r="59" spans="1:105" ht="11.45" customHeight="1" x14ac:dyDescent="0.25">
      <c r="A59" s="92" t="s">
        <v>27</v>
      </c>
      <c r="B59" s="102">
        <v>2.1410256410171413E-2</v>
      </c>
      <c r="C59" s="102">
        <v>0</v>
      </c>
      <c r="D59" s="102">
        <v>0</v>
      </c>
      <c r="E59" s="102">
        <v>7.240215924341431E-3</v>
      </c>
      <c r="F59" s="102">
        <v>0</v>
      </c>
      <c r="G59" s="102">
        <v>0</v>
      </c>
      <c r="H59" s="102">
        <v>0.17675731495996294</v>
      </c>
      <c r="I59" s="102">
        <v>0.11159000737948721</v>
      </c>
      <c r="J59" s="102">
        <v>7.1290649203701262E-2</v>
      </c>
      <c r="K59" s="102">
        <v>1.1215172366624282E-3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6.485770063659782E-2</v>
      </c>
      <c r="C60" s="102">
        <v>0</v>
      </c>
      <c r="D60" s="102">
        <v>0</v>
      </c>
      <c r="E60" s="102">
        <v>1.4564866524456807E-2</v>
      </c>
      <c r="F60" s="102">
        <v>0</v>
      </c>
      <c r="G60" s="102">
        <v>6.5491020994278129E-2</v>
      </c>
      <c r="H60" s="102">
        <v>0.12877033151469669</v>
      </c>
      <c r="I60" s="102">
        <v>5.7661230240147757E-2</v>
      </c>
      <c r="J60" s="102">
        <v>0.1285012318900165</v>
      </c>
      <c r="K60" s="102">
        <v>0.11122858959750037</v>
      </c>
      <c r="L60" s="102">
        <v>2.7781481206755942E-2</v>
      </c>
      <c r="M60" s="102">
        <v>8.5911955282111818E-2</v>
      </c>
      <c r="N60" s="102">
        <v>5.9017533820931417E-2</v>
      </c>
      <c r="O60" s="102">
        <v>8.162811975063769E-2</v>
      </c>
      <c r="P60" s="102">
        <v>5.4519109856547954E-2</v>
      </c>
      <c r="Q60" s="102">
        <v>0.15626273741638275</v>
      </c>
      <c r="R60" s="102">
        <v>1.5088717893091422E-2</v>
      </c>
      <c r="S60" s="102">
        <v>0.15496606161500195</v>
      </c>
      <c r="T60" s="102">
        <v>0.1575431585937741</v>
      </c>
      <c r="U60" s="102">
        <v>7.571432903411135E-2</v>
      </c>
      <c r="V60" s="102">
        <v>0.17373296446412012</v>
      </c>
      <c r="W60" s="102">
        <v>0.49042680220185275</v>
      </c>
      <c r="DA60" s="175" t="s">
        <v>239</v>
      </c>
    </row>
    <row r="61" spans="1:105" ht="11.45" customHeight="1" x14ac:dyDescent="0.25">
      <c r="A61" s="85" t="s">
        <v>174</v>
      </c>
      <c r="B61" s="86">
        <v>1.2044817927358564E-2</v>
      </c>
      <c r="C61" s="86">
        <v>0</v>
      </c>
      <c r="D61" s="86">
        <v>1.0644257703268906E-2</v>
      </c>
      <c r="E61" s="86">
        <v>2.3249299720075639E-2</v>
      </c>
      <c r="F61" s="86">
        <v>7.8431372550896716E-3</v>
      </c>
      <c r="G61" s="86">
        <v>1.4699964493027073E-2</v>
      </c>
      <c r="H61" s="86">
        <v>5.9548095387037842E-2</v>
      </c>
      <c r="I61" s="86">
        <v>0.11575703306676749</v>
      </c>
      <c r="J61" s="86">
        <v>5.1993834284384921E-2</v>
      </c>
      <c r="K61" s="86">
        <v>0</v>
      </c>
      <c r="L61" s="86">
        <v>0.11465619713102332</v>
      </c>
      <c r="M61" s="86">
        <v>0</v>
      </c>
      <c r="N61" s="86">
        <v>0</v>
      </c>
      <c r="O61" s="86">
        <v>2.5078768765859072E-2</v>
      </c>
      <c r="P61" s="86">
        <v>0.17612238327468299</v>
      </c>
      <c r="Q61" s="86">
        <v>9.8058766458312796E-2</v>
      </c>
      <c r="R61" s="86">
        <v>6.9974752429633247E-2</v>
      </c>
      <c r="S61" s="86">
        <v>0.15850605890936209</v>
      </c>
      <c r="T61" s="86">
        <v>0.14286897857753411</v>
      </c>
      <c r="U61" s="86">
        <v>0.45442051820747054</v>
      </c>
      <c r="V61" s="86">
        <v>0</v>
      </c>
      <c r="W61" s="86">
        <v>0.1648614084000255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48.136115440244872</v>
      </c>
      <c r="C66" s="14">
        <f t="shared" si="48"/>
        <v>48.994983353339521</v>
      </c>
      <c r="D66" s="14">
        <f t="shared" ref="D66:V66" si="49">IF(D34=0,0,D34/D24)</f>
        <v>48.192003524155147</v>
      </c>
      <c r="E66" s="14">
        <f t="shared" si="49"/>
        <v>49.776748950729022</v>
      </c>
      <c r="F66" s="14">
        <f t="shared" si="49"/>
        <v>52.545775342465753</v>
      </c>
      <c r="G66" s="14">
        <f t="shared" si="49"/>
        <v>55.780614021512029</v>
      </c>
      <c r="H66" s="14">
        <f t="shared" si="49"/>
        <v>59.733382133974395</v>
      </c>
      <c r="I66" s="14">
        <f t="shared" si="49"/>
        <v>72.204186224734173</v>
      </c>
      <c r="J66" s="14">
        <f t="shared" si="49"/>
        <v>76.088491517652457</v>
      </c>
      <c r="K66" s="14">
        <f t="shared" si="49"/>
        <v>76.29422615438483</v>
      </c>
      <c r="L66" s="14">
        <f t="shared" si="49"/>
        <v>80.156906526773639</v>
      </c>
      <c r="M66" s="14">
        <f t="shared" si="49"/>
        <v>83.569155390709071</v>
      </c>
      <c r="N66" s="14">
        <f t="shared" si="49"/>
        <v>85.016804737117198</v>
      </c>
      <c r="O66" s="14">
        <f t="shared" si="49"/>
        <v>91.625814989108704</v>
      </c>
      <c r="P66" s="14">
        <f t="shared" si="49"/>
        <v>96.856075442779286</v>
      </c>
      <c r="Q66" s="14">
        <f t="shared" si="49"/>
        <v>101.06727124799079</v>
      </c>
      <c r="R66" s="14">
        <f t="shared" si="49"/>
        <v>109.5707354689458</v>
      </c>
      <c r="S66" s="14">
        <f t="shared" si="49"/>
        <v>116.311661098241</v>
      </c>
      <c r="T66" s="14">
        <f t="shared" si="49"/>
        <v>118.36484798864124</v>
      </c>
      <c r="U66" s="14">
        <f t="shared" si="49"/>
        <v>122.65098843565389</v>
      </c>
      <c r="V66" s="14">
        <f t="shared" si="49"/>
        <v>91.344502604625418</v>
      </c>
      <c r="W66" s="14">
        <f t="shared" ref="W66" si="50">IF(W34=0,0,W34/W24)</f>
        <v>102.58261408912671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29.083674304418984</v>
      </c>
      <c r="C67" s="87">
        <f t="shared" si="48"/>
        <v>29.417061805101373</v>
      </c>
      <c r="D67" s="87">
        <f t="shared" ref="D67:V67" si="51">IF(D35=0,0,D35/D25)</f>
        <v>29.890784355762456</v>
      </c>
      <c r="E67" s="87">
        <f t="shared" si="51"/>
        <v>30.604913719251009</v>
      </c>
      <c r="F67" s="87">
        <f t="shared" si="51"/>
        <v>31.149849213464829</v>
      </c>
      <c r="G67" s="87">
        <f t="shared" si="51"/>
        <v>31.9467491755893</v>
      </c>
      <c r="H67" s="87">
        <f t="shared" si="51"/>
        <v>32.909020660484792</v>
      </c>
      <c r="I67" s="87">
        <f t="shared" si="51"/>
        <v>36.712718148453298</v>
      </c>
      <c r="J67" s="87">
        <f t="shared" si="51"/>
        <v>33.721847817569156</v>
      </c>
      <c r="K67" s="87">
        <f t="shared" si="51"/>
        <v>33.837914651734962</v>
      </c>
      <c r="L67" s="87">
        <f t="shared" si="51"/>
        <v>36.948560879415957</v>
      </c>
      <c r="M67" s="87">
        <f t="shared" si="51"/>
        <v>41.142800332598242</v>
      </c>
      <c r="N67" s="87">
        <f t="shared" si="51"/>
        <v>49.076024506466986</v>
      </c>
      <c r="O67" s="87">
        <f t="shared" si="51"/>
        <v>44.335742420409787</v>
      </c>
      <c r="P67" s="87">
        <f t="shared" si="51"/>
        <v>52.946352691218131</v>
      </c>
      <c r="Q67" s="87">
        <f t="shared" si="51"/>
        <v>59.576794471689702</v>
      </c>
      <c r="R67" s="87">
        <f t="shared" si="51"/>
        <v>65.85747536094847</v>
      </c>
      <c r="S67" s="87">
        <f t="shared" si="51"/>
        <v>72.96708132071727</v>
      </c>
      <c r="T67" s="87">
        <f t="shared" si="51"/>
        <v>68.634756674183464</v>
      </c>
      <c r="U67" s="87">
        <f t="shared" si="51"/>
        <v>68.822062045085147</v>
      </c>
      <c r="V67" s="87">
        <f t="shared" si="51"/>
        <v>47.788769482599101</v>
      </c>
      <c r="W67" s="87">
        <f t="shared" ref="W67" si="52">IF(W35=0,0,W35/W25)</f>
        <v>55.013787510137874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53.215038677385103</v>
      </c>
      <c r="C68" s="87">
        <f t="shared" si="48"/>
        <v>54.37252187289684</v>
      </c>
      <c r="D68" s="87">
        <f t="shared" ref="D68:V68" si="53">IF(D36=0,0,D36/D26)</f>
        <v>55.672743650498361</v>
      </c>
      <c r="E68" s="87">
        <f t="shared" si="53"/>
        <v>56.962209880786553</v>
      </c>
      <c r="F68" s="87">
        <f t="shared" si="53"/>
        <v>58.35707187810533</v>
      </c>
      <c r="G68" s="87">
        <f t="shared" si="53"/>
        <v>61.677101830873795</v>
      </c>
      <c r="H68" s="87">
        <f t="shared" si="53"/>
        <v>65.733665885419924</v>
      </c>
      <c r="I68" s="87">
        <f t="shared" si="53"/>
        <v>82.90883716354962</v>
      </c>
      <c r="J68" s="87">
        <f t="shared" si="53"/>
        <v>84.853266648749084</v>
      </c>
      <c r="K68" s="87">
        <f t="shared" si="53"/>
        <v>85.847667060795445</v>
      </c>
      <c r="L68" s="87">
        <f t="shared" si="53"/>
        <v>89.680167295933288</v>
      </c>
      <c r="M68" s="87">
        <f t="shared" si="53"/>
        <v>96.603699471504072</v>
      </c>
      <c r="N68" s="87">
        <f t="shared" si="53"/>
        <v>97.527680862890733</v>
      </c>
      <c r="O68" s="87">
        <f t="shared" si="53"/>
        <v>103.49546824447104</v>
      </c>
      <c r="P68" s="87">
        <f t="shared" si="53"/>
        <v>109.9876105234608</v>
      </c>
      <c r="Q68" s="87">
        <f t="shared" si="53"/>
        <v>116.22061678871685</v>
      </c>
      <c r="R68" s="87">
        <f t="shared" si="53"/>
        <v>120.01200007196445</v>
      </c>
      <c r="S68" s="87">
        <f t="shared" si="53"/>
        <v>125.44823625376638</v>
      </c>
      <c r="T68" s="87">
        <f t="shared" si="53"/>
        <v>128.36339882151566</v>
      </c>
      <c r="U68" s="87">
        <f t="shared" si="53"/>
        <v>129.10956036803645</v>
      </c>
      <c r="V68" s="87">
        <f t="shared" si="53"/>
        <v>102.89462012006271</v>
      </c>
      <c r="W68" s="87">
        <f t="shared" ref="W68" si="54">IF(W36=0,0,W36/W26)</f>
        <v>105.32968562514999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64.609162848813</v>
      </c>
      <c r="C69" s="87">
        <f t="shared" si="48"/>
        <v>65.831629635887467</v>
      </c>
      <c r="D69" s="87">
        <f t="shared" ref="D69:V69" si="55">IF(D37=0,0,D37/D27)</f>
        <v>66.734170681348928</v>
      </c>
      <c r="E69" s="87">
        <f t="shared" si="55"/>
        <v>68.008265119605824</v>
      </c>
      <c r="F69" s="87">
        <f t="shared" si="55"/>
        <v>69.458932902182696</v>
      </c>
      <c r="G69" s="87">
        <f t="shared" si="55"/>
        <v>70.617174186856332</v>
      </c>
      <c r="H69" s="87">
        <f t="shared" si="55"/>
        <v>71.14688801918949</v>
      </c>
      <c r="I69" s="87">
        <f t="shared" si="55"/>
        <v>76.677533499622953</v>
      </c>
      <c r="J69" s="87">
        <f t="shared" si="55"/>
        <v>94.92912400455063</v>
      </c>
      <c r="K69" s="87">
        <f t="shared" si="55"/>
        <v>92.333091787439614</v>
      </c>
      <c r="L69" s="87">
        <f t="shared" si="55"/>
        <v>95.772140631953718</v>
      </c>
      <c r="M69" s="87">
        <f t="shared" si="55"/>
        <v>87.624186382890798</v>
      </c>
      <c r="N69" s="87">
        <f t="shared" si="55"/>
        <v>99.272613543649712</v>
      </c>
      <c r="O69" s="87">
        <f t="shared" si="55"/>
        <v>105.93898468587966</v>
      </c>
      <c r="P69" s="87">
        <f t="shared" si="55"/>
        <v>98.299614878369809</v>
      </c>
      <c r="Q69" s="87">
        <f t="shared" si="55"/>
        <v>82.616437154635562</v>
      </c>
      <c r="R69" s="87">
        <f t="shared" si="55"/>
        <v>112.00525011798018</v>
      </c>
      <c r="S69" s="87">
        <f t="shared" si="55"/>
        <v>126.22333675468882</v>
      </c>
      <c r="T69" s="87">
        <f t="shared" si="55"/>
        <v>119.77378852650145</v>
      </c>
      <c r="U69" s="87">
        <f t="shared" si="55"/>
        <v>140.76356545961002</v>
      </c>
      <c r="V69" s="87">
        <f t="shared" si="55"/>
        <v>91.943813371960047</v>
      </c>
      <c r="W69" s="87">
        <f t="shared" ref="W69" si="56">IF(W37=0,0,W37/W27)</f>
        <v>127.43017580687484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18.750030736176573</v>
      </c>
      <c r="C70" s="15">
        <f t="shared" si="48"/>
        <v>20.230823005467691</v>
      </c>
      <c r="D70" s="15">
        <f t="shared" ref="D70:V70" si="57">IF(D38=0,0,D38/D28)</f>
        <v>19.713314102663698</v>
      </c>
      <c r="E70" s="15">
        <f t="shared" si="57"/>
        <v>20.106812138159778</v>
      </c>
      <c r="F70" s="15">
        <f t="shared" si="57"/>
        <v>20.80817230939325</v>
      </c>
      <c r="G70" s="15">
        <f t="shared" si="57"/>
        <v>19.709115264549595</v>
      </c>
      <c r="H70" s="15">
        <f t="shared" si="57"/>
        <v>16.47272979067689</v>
      </c>
      <c r="I70" s="15">
        <f t="shared" si="57"/>
        <v>16.277746406683594</v>
      </c>
      <c r="J70" s="15">
        <f t="shared" si="57"/>
        <v>15.489599801178587</v>
      </c>
      <c r="K70" s="15">
        <f t="shared" si="57"/>
        <v>14.727148669007081</v>
      </c>
      <c r="L70" s="15">
        <f t="shared" si="57"/>
        <v>17.508233624880582</v>
      </c>
      <c r="M70" s="15">
        <f t="shared" si="57"/>
        <v>18.785053120942209</v>
      </c>
      <c r="N70" s="15">
        <f t="shared" si="57"/>
        <v>19.742573997765948</v>
      </c>
      <c r="O70" s="15">
        <f t="shared" si="57"/>
        <v>20.60750769422949</v>
      </c>
      <c r="P70" s="15">
        <f t="shared" si="57"/>
        <v>25.833636137823301</v>
      </c>
      <c r="Q70" s="15">
        <f t="shared" si="57"/>
        <v>26.489175812543508</v>
      </c>
      <c r="R70" s="15">
        <f t="shared" si="57"/>
        <v>31.55579192569493</v>
      </c>
      <c r="S70" s="15">
        <f t="shared" si="57"/>
        <v>31.25227639402603</v>
      </c>
      <c r="T70" s="15">
        <f t="shared" si="57"/>
        <v>31.551164835551699</v>
      </c>
      <c r="U70" s="15">
        <f t="shared" si="57"/>
        <v>32.376442003888883</v>
      </c>
      <c r="V70" s="15">
        <f t="shared" si="57"/>
        <v>23.230153107309814</v>
      </c>
      <c r="W70" s="15">
        <f t="shared" ref="W70" si="58">IF(W38=0,0,W38/W28)</f>
        <v>24.720477269364114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13.240241004887796</v>
      </c>
      <c r="R71" s="41">
        <f t="shared" si="59"/>
        <v>15.261326994101349</v>
      </c>
      <c r="S71" s="41">
        <f t="shared" si="59"/>
        <v>14.037300363200671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44.912907352120193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73.11691224406448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1080.0499665159496</v>
      </c>
      <c r="C75" s="62">
        <f t="shared" si="65"/>
        <v>1078.218378433643</v>
      </c>
      <c r="D75" s="62">
        <f t="shared" ref="D75:V75" si="66">IF(D13=0,0,D13*1000000/D23)</f>
        <v>1012.3954444003853</v>
      </c>
      <c r="E75" s="62">
        <f t="shared" si="66"/>
        <v>1030.0838622692875</v>
      </c>
      <c r="F75" s="62">
        <f t="shared" si="66"/>
        <v>1087.2950787695409</v>
      </c>
      <c r="G75" s="62">
        <f t="shared" si="66"/>
        <v>1128.097864545791</v>
      </c>
      <c r="H75" s="62">
        <f t="shared" si="66"/>
        <v>1177.1383543663235</v>
      </c>
      <c r="I75" s="62">
        <f t="shared" si="66"/>
        <v>1206.7277804983987</v>
      </c>
      <c r="J75" s="62">
        <f t="shared" si="66"/>
        <v>1200.0663123302538</v>
      </c>
      <c r="K75" s="62">
        <f t="shared" si="66"/>
        <v>1161.3267147021104</v>
      </c>
      <c r="L75" s="62">
        <f t="shared" si="66"/>
        <v>1157.4187965308697</v>
      </c>
      <c r="M75" s="62">
        <f t="shared" si="66"/>
        <v>1134.4164949244159</v>
      </c>
      <c r="N75" s="62">
        <f t="shared" si="66"/>
        <v>1067.1304698619431</v>
      </c>
      <c r="O75" s="62">
        <f t="shared" si="66"/>
        <v>1119.9498917200297</v>
      </c>
      <c r="P75" s="62">
        <f t="shared" si="66"/>
        <v>1167.8027595518195</v>
      </c>
      <c r="Q75" s="62">
        <f t="shared" si="66"/>
        <v>1199.0033352227092</v>
      </c>
      <c r="R75" s="62">
        <f t="shared" si="66"/>
        <v>1181.1835172629872</v>
      </c>
      <c r="S75" s="62">
        <f t="shared" si="66"/>
        <v>1223.671977137604</v>
      </c>
      <c r="T75" s="62">
        <f t="shared" si="66"/>
        <v>1299.9148086511739</v>
      </c>
      <c r="U75" s="62">
        <f t="shared" si="66"/>
        <v>1287.0626257928343</v>
      </c>
      <c r="V75" s="62">
        <f t="shared" si="66"/>
        <v>1280.4760067637203</v>
      </c>
      <c r="W75" s="62">
        <f t="shared" ref="W75" si="67">IF(W13=0,0,W13*1000000/W23)</f>
        <v>1391.7959470449446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1084.3901650561772</v>
      </c>
      <c r="C76" s="14">
        <f t="shared" si="65"/>
        <v>1081.3426619485017</v>
      </c>
      <c r="D76" s="14">
        <f t="shared" ref="D76:V76" si="68">IF(D14=0,0,D14*1000000/D24)</f>
        <v>1015.0995573296781</v>
      </c>
      <c r="E76" s="14">
        <f t="shared" si="68"/>
        <v>1032.7207500871154</v>
      </c>
      <c r="F76" s="14">
        <f t="shared" si="68"/>
        <v>1089.5909368753184</v>
      </c>
      <c r="G76" s="14">
        <f t="shared" si="68"/>
        <v>1129.912099391328</v>
      </c>
      <c r="H76" s="14">
        <f t="shared" si="68"/>
        <v>1180.8959112517543</v>
      </c>
      <c r="I76" s="14">
        <f t="shared" si="68"/>
        <v>1210.3567503195782</v>
      </c>
      <c r="J76" s="14">
        <f t="shared" si="68"/>
        <v>1203.8251858342348</v>
      </c>
      <c r="K76" s="14">
        <f t="shared" si="68"/>
        <v>1165.8076776687953</v>
      </c>
      <c r="L76" s="14">
        <f t="shared" si="68"/>
        <v>1158.3853105120734</v>
      </c>
      <c r="M76" s="14">
        <f t="shared" si="68"/>
        <v>1135.6749501110628</v>
      </c>
      <c r="N76" s="14">
        <f t="shared" si="68"/>
        <v>1068.1394878332667</v>
      </c>
      <c r="O76" s="14">
        <f t="shared" si="68"/>
        <v>1120.9684282655862</v>
      </c>
      <c r="P76" s="14">
        <f t="shared" si="68"/>
        <v>1166.7730122018143</v>
      </c>
      <c r="Q76" s="14">
        <f t="shared" si="68"/>
        <v>1197.7047312780196</v>
      </c>
      <c r="R76" s="14">
        <f t="shared" si="68"/>
        <v>1178.1476110799751</v>
      </c>
      <c r="S76" s="14">
        <f t="shared" si="68"/>
        <v>1220.0096968112646</v>
      </c>
      <c r="T76" s="14">
        <f t="shared" si="68"/>
        <v>1297.1327748624726</v>
      </c>
      <c r="U76" s="14">
        <f t="shared" si="68"/>
        <v>1279.7004344059244</v>
      </c>
      <c r="V76" s="14">
        <f t="shared" si="68"/>
        <v>1268.5931366201924</v>
      </c>
      <c r="W76" s="14">
        <f t="shared" ref="W76" si="69">IF(W14=0,0,W14*1000000/W24)</f>
        <v>1376.8372463778855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349.25140346086965</v>
      </c>
      <c r="C77" s="39">
        <f t="shared" si="65"/>
        <v>349.25140346086971</v>
      </c>
      <c r="D77" s="39">
        <f t="shared" ref="D77:V77" si="70">IF(D15=0,0,D15*1000000/D25)</f>
        <v>349.25140346086971</v>
      </c>
      <c r="E77" s="39">
        <f t="shared" si="70"/>
        <v>349.25140346086971</v>
      </c>
      <c r="F77" s="39">
        <f t="shared" si="70"/>
        <v>349.25140346086965</v>
      </c>
      <c r="G77" s="39">
        <f t="shared" si="70"/>
        <v>357.64406779661022</v>
      </c>
      <c r="H77" s="39">
        <f t="shared" si="70"/>
        <v>346.88914760201186</v>
      </c>
      <c r="I77" s="39">
        <f t="shared" si="70"/>
        <v>343.98648830968898</v>
      </c>
      <c r="J77" s="39">
        <f t="shared" si="70"/>
        <v>343.6606699951202</v>
      </c>
      <c r="K77" s="39">
        <f t="shared" si="70"/>
        <v>341.82845708052673</v>
      </c>
      <c r="L77" s="39">
        <f t="shared" si="70"/>
        <v>355.74467010989861</v>
      </c>
      <c r="M77" s="39">
        <f t="shared" si="70"/>
        <v>360.0612004948332</v>
      </c>
      <c r="N77" s="39">
        <f t="shared" si="70"/>
        <v>371.65553517754341</v>
      </c>
      <c r="O77" s="39">
        <f t="shared" si="70"/>
        <v>373.05569211044877</v>
      </c>
      <c r="P77" s="39">
        <f t="shared" si="70"/>
        <v>378.2339845938144</v>
      </c>
      <c r="Q77" s="39">
        <f t="shared" si="70"/>
        <v>343.87114221713432</v>
      </c>
      <c r="R77" s="39">
        <f t="shared" si="70"/>
        <v>334.8876025134299</v>
      </c>
      <c r="S77" s="39">
        <f t="shared" si="70"/>
        <v>341.46913045193969</v>
      </c>
      <c r="T77" s="39">
        <f t="shared" si="70"/>
        <v>337.37745666772139</v>
      </c>
      <c r="U77" s="39">
        <f t="shared" si="70"/>
        <v>335.11141490088858</v>
      </c>
      <c r="V77" s="39">
        <f t="shared" si="70"/>
        <v>337.47403012862344</v>
      </c>
      <c r="W77" s="39">
        <f t="shared" ref="W77" si="71">IF(W15=0,0,W15*1000000/W25)</f>
        <v>342.60058705253095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1025.9726748902738</v>
      </c>
      <c r="C78" s="39">
        <f t="shared" si="65"/>
        <v>1025.9709203485045</v>
      </c>
      <c r="D78" s="39">
        <f t="shared" ref="D78:V78" si="72">IF(D16=0,0,D16*1000000/D26)</f>
        <v>1025.9716493081496</v>
      </c>
      <c r="E78" s="39">
        <f t="shared" si="72"/>
        <v>1025.9732410529941</v>
      </c>
      <c r="F78" s="39">
        <f t="shared" si="72"/>
        <v>1025.9730968698625</v>
      </c>
      <c r="G78" s="39">
        <f t="shared" si="72"/>
        <v>1063.6317425640507</v>
      </c>
      <c r="H78" s="39">
        <f t="shared" si="72"/>
        <v>1120.7106589988787</v>
      </c>
      <c r="I78" s="39">
        <f t="shared" si="72"/>
        <v>1168.4209932325284</v>
      </c>
      <c r="J78" s="39">
        <f t="shared" si="72"/>
        <v>1157.8954600396546</v>
      </c>
      <c r="K78" s="39">
        <f t="shared" si="72"/>
        <v>1139.0068992604909</v>
      </c>
      <c r="L78" s="39">
        <f t="shared" si="72"/>
        <v>1132.9050783930704</v>
      </c>
      <c r="M78" s="39">
        <f t="shared" si="72"/>
        <v>1142.9035871263297</v>
      </c>
      <c r="N78" s="39">
        <f t="shared" si="72"/>
        <v>1127.6406931880776</v>
      </c>
      <c r="O78" s="39">
        <f t="shared" si="72"/>
        <v>1140.8908793455839</v>
      </c>
      <c r="P78" s="39">
        <f t="shared" si="72"/>
        <v>1159.6134577030423</v>
      </c>
      <c r="Q78" s="39">
        <f t="shared" si="72"/>
        <v>1178.0502956256116</v>
      </c>
      <c r="R78" s="39">
        <f t="shared" si="72"/>
        <v>1210.5399645308541</v>
      </c>
      <c r="S78" s="39">
        <f t="shared" si="72"/>
        <v>1224.8717738689195</v>
      </c>
      <c r="T78" s="39">
        <f t="shared" si="72"/>
        <v>1223.4445921630197</v>
      </c>
      <c r="U78" s="39">
        <f t="shared" si="72"/>
        <v>1191.715714518062</v>
      </c>
      <c r="V78" s="39">
        <f t="shared" si="72"/>
        <v>1217.8631196488398</v>
      </c>
      <c r="W78" s="39">
        <f t="shared" ref="W78" si="73">IF(W16=0,0,W16*1000000/W26)</f>
        <v>1288.4263271514674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2837.6565902706493</v>
      </c>
      <c r="C79" s="39">
        <f t="shared" si="65"/>
        <v>2837.6565902706493</v>
      </c>
      <c r="D79" s="39">
        <f t="shared" ref="D79:V79" si="74">IF(D17=0,0,D17*1000000/D27)</f>
        <v>2837.6565902706493</v>
      </c>
      <c r="E79" s="39">
        <f t="shared" si="74"/>
        <v>2837.6565902706498</v>
      </c>
      <c r="F79" s="39">
        <f t="shared" si="74"/>
        <v>2837.6565902706493</v>
      </c>
      <c r="G79" s="39">
        <f t="shared" si="74"/>
        <v>2856.1414606898479</v>
      </c>
      <c r="H79" s="39">
        <f t="shared" si="74"/>
        <v>2778.4567638032031</v>
      </c>
      <c r="I79" s="39">
        <f t="shared" si="74"/>
        <v>2750.1402675077306</v>
      </c>
      <c r="J79" s="39">
        <f t="shared" si="74"/>
        <v>2676.1600503148197</v>
      </c>
      <c r="K79" s="39">
        <f t="shared" si="74"/>
        <v>2463.341159238008</v>
      </c>
      <c r="L79" s="39">
        <f t="shared" si="74"/>
        <v>2334.0911695754103</v>
      </c>
      <c r="M79" s="39">
        <f t="shared" si="74"/>
        <v>2212.5919702168544</v>
      </c>
      <c r="N79" s="39">
        <f t="shared" si="74"/>
        <v>2185.75535647162</v>
      </c>
      <c r="O79" s="39">
        <f t="shared" si="74"/>
        <v>2260.4202606995168</v>
      </c>
      <c r="P79" s="39">
        <f t="shared" si="74"/>
        <v>2284.5165931297247</v>
      </c>
      <c r="Q79" s="39">
        <f t="shared" si="74"/>
        <v>2293.0447706996388</v>
      </c>
      <c r="R79" s="39">
        <f t="shared" si="74"/>
        <v>2333.5388387719245</v>
      </c>
      <c r="S79" s="39">
        <f t="shared" si="74"/>
        <v>2431.665360565868</v>
      </c>
      <c r="T79" s="39">
        <f t="shared" si="74"/>
        <v>2376.8272005294507</v>
      </c>
      <c r="U79" s="39">
        <f t="shared" si="74"/>
        <v>2355.7351000814128</v>
      </c>
      <c r="V79" s="39">
        <f t="shared" si="74"/>
        <v>2468.3063967419121</v>
      </c>
      <c r="W79" s="39">
        <f t="shared" ref="W79" si="75">IF(W17=0,0,W17*1000000/W27)</f>
        <v>2402.9971160539317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708.91097552423082</v>
      </c>
      <c r="C80" s="15">
        <f t="shared" si="65"/>
        <v>743.80264502381101</v>
      </c>
      <c r="D80" s="15">
        <f t="shared" ref="D80:V80" si="76">IF(D18=0,0,D18*1000000/D28)</f>
        <v>730.62983248273906</v>
      </c>
      <c r="E80" s="15">
        <f t="shared" si="76"/>
        <v>744.38502333466988</v>
      </c>
      <c r="F80" s="15">
        <f t="shared" si="76"/>
        <v>801.09692009164405</v>
      </c>
      <c r="G80" s="15">
        <f t="shared" si="76"/>
        <v>891.57471792409899</v>
      </c>
      <c r="H80" s="15">
        <f t="shared" si="76"/>
        <v>811.96275525891997</v>
      </c>
      <c r="I80" s="15">
        <f t="shared" si="76"/>
        <v>895.78811458901828</v>
      </c>
      <c r="J80" s="15">
        <f t="shared" si="76"/>
        <v>908.86337216240611</v>
      </c>
      <c r="K80" s="15">
        <f t="shared" si="76"/>
        <v>853.39988341694061</v>
      </c>
      <c r="L80" s="15">
        <f t="shared" si="76"/>
        <v>1087.2326368819481</v>
      </c>
      <c r="M80" s="15">
        <f t="shared" si="76"/>
        <v>1041.4121849630264</v>
      </c>
      <c r="N80" s="15">
        <f t="shared" si="76"/>
        <v>988.09374696291809</v>
      </c>
      <c r="O80" s="15">
        <f t="shared" si="76"/>
        <v>1044.2986662758815</v>
      </c>
      <c r="P80" s="15">
        <f t="shared" si="76"/>
        <v>1252.6683937866496</v>
      </c>
      <c r="Q80" s="15">
        <f t="shared" si="76"/>
        <v>1306.0489435946797</v>
      </c>
      <c r="R80" s="15">
        <f t="shared" si="76"/>
        <v>1462.3933628995314</v>
      </c>
      <c r="S80" s="15">
        <f t="shared" si="76"/>
        <v>1566.5532221652752</v>
      </c>
      <c r="T80" s="15">
        <f t="shared" si="76"/>
        <v>1563.8647095901015</v>
      </c>
      <c r="U80" s="15">
        <f t="shared" si="76"/>
        <v>1973.0743714461951</v>
      </c>
      <c r="V80" s="15">
        <f t="shared" si="76"/>
        <v>1723.0154733929403</v>
      </c>
      <c r="W80" s="15">
        <f t="shared" ref="W80" si="77">IF(W18=0,0,W18*1000000/W28)</f>
        <v>1912.4386413562072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259.92240415741031</v>
      </c>
      <c r="C81" s="41">
        <f t="shared" si="65"/>
        <v>259.92240415741031</v>
      </c>
      <c r="D81" s="41">
        <f t="shared" ref="D81:V81" si="78">IF(D19=0,0,D19*1000000/D29)</f>
        <v>259.92240415741031</v>
      </c>
      <c r="E81" s="41">
        <f t="shared" si="78"/>
        <v>259.92240415741031</v>
      </c>
      <c r="F81" s="41">
        <f t="shared" si="78"/>
        <v>259.92240415741031</v>
      </c>
      <c r="G81" s="41">
        <f t="shared" si="78"/>
        <v>268.3150684931507</v>
      </c>
      <c r="H81" s="41">
        <f t="shared" si="78"/>
        <v>264.29380803039436</v>
      </c>
      <c r="I81" s="41">
        <f t="shared" si="78"/>
        <v>268.12480846991349</v>
      </c>
      <c r="J81" s="41">
        <f t="shared" si="78"/>
        <v>274.53264988718649</v>
      </c>
      <c r="K81" s="41">
        <f t="shared" si="78"/>
        <v>279.43409670443492</v>
      </c>
      <c r="L81" s="41">
        <f t="shared" si="78"/>
        <v>300.08396946564886</v>
      </c>
      <c r="M81" s="41">
        <f t="shared" si="78"/>
        <v>325.87491356985208</v>
      </c>
      <c r="N81" s="41">
        <f t="shared" si="78"/>
        <v>358.94366197183098</v>
      </c>
      <c r="O81" s="41">
        <f t="shared" si="78"/>
        <v>352.04433613918258</v>
      </c>
      <c r="P81" s="41">
        <f t="shared" si="78"/>
        <v>348.92314585699461</v>
      </c>
      <c r="Q81" s="41">
        <f t="shared" si="78"/>
        <v>306.26082071476077</v>
      </c>
      <c r="R81" s="41">
        <f t="shared" si="78"/>
        <v>288.97779824550281</v>
      </c>
      <c r="S81" s="41">
        <f t="shared" si="78"/>
        <v>287.2598434184589</v>
      </c>
      <c r="T81" s="41">
        <f t="shared" si="78"/>
        <v>274.86868686868689</v>
      </c>
      <c r="U81" s="41">
        <f t="shared" si="78"/>
        <v>259.32067510548524</v>
      </c>
      <c r="V81" s="41">
        <f t="shared" si="78"/>
        <v>261.68329033322016</v>
      </c>
      <c r="W81" s="41">
        <f t="shared" ref="W81" si="79">IF(W19=0,0,W19*1000000/W29)</f>
        <v>266.80984725712767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754.30478243811092</v>
      </c>
      <c r="C82" s="41">
        <f t="shared" si="65"/>
        <v>753.74598785180069</v>
      </c>
      <c r="D82" s="41">
        <f t="shared" ref="D82:V82" si="80">IF(D20=0,0,D20*1000000/D30)</f>
        <v>754.39388408057505</v>
      </c>
      <c r="E82" s="41">
        <f t="shared" si="80"/>
        <v>753.74598785180069</v>
      </c>
      <c r="F82" s="41">
        <f t="shared" si="80"/>
        <v>753.31503869357039</v>
      </c>
      <c r="G82" s="41">
        <f t="shared" si="80"/>
        <v>847.03859623169967</v>
      </c>
      <c r="H82" s="41">
        <f t="shared" si="80"/>
        <v>850.4757009048426</v>
      </c>
      <c r="I82" s="41">
        <f t="shared" si="80"/>
        <v>902.90359335602841</v>
      </c>
      <c r="J82" s="41">
        <f t="shared" si="80"/>
        <v>857.25874080270592</v>
      </c>
      <c r="K82" s="41">
        <f t="shared" si="80"/>
        <v>865.85094945794981</v>
      </c>
      <c r="L82" s="41">
        <f t="shared" si="80"/>
        <v>877.50487331061527</v>
      </c>
      <c r="M82" s="41">
        <f t="shared" si="80"/>
        <v>874.063074917427</v>
      </c>
      <c r="N82" s="41">
        <f t="shared" si="80"/>
        <v>852.26907085977859</v>
      </c>
      <c r="O82" s="41">
        <f t="shared" si="80"/>
        <v>839.93590366637466</v>
      </c>
      <c r="P82" s="41">
        <f t="shared" si="80"/>
        <v>850.4692518543601</v>
      </c>
      <c r="Q82" s="41">
        <f t="shared" si="80"/>
        <v>847.08792656506307</v>
      </c>
      <c r="R82" s="41">
        <f t="shared" si="80"/>
        <v>878.88375620069462</v>
      </c>
      <c r="S82" s="41">
        <f t="shared" si="80"/>
        <v>888.54804358573892</v>
      </c>
      <c r="T82" s="41">
        <f t="shared" si="80"/>
        <v>856.97926077471004</v>
      </c>
      <c r="U82" s="41">
        <f t="shared" si="80"/>
        <v>858.77977966131061</v>
      </c>
      <c r="V82" s="41">
        <f t="shared" si="80"/>
        <v>863.30954770390179</v>
      </c>
      <c r="W82" s="41">
        <f t="shared" ref="W82" si="81">IF(W20=0,0,W20*1000000/W30)</f>
        <v>969.39144430009537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1774.9884838127753</v>
      </c>
      <c r="C83" s="40">
        <f t="shared" si="65"/>
        <v>1774.9884838127753</v>
      </c>
      <c r="D83" s="40">
        <f t="shared" ref="D83:V83" si="82">IF(D21=0,0,D21*1000000/D31)</f>
        <v>1774.9884838127753</v>
      </c>
      <c r="E83" s="40">
        <f t="shared" si="82"/>
        <v>1774.9884838127753</v>
      </c>
      <c r="F83" s="40">
        <f t="shared" si="82"/>
        <v>1774.9884838127753</v>
      </c>
      <c r="G83" s="40">
        <f t="shared" si="82"/>
        <v>1793.473354231975</v>
      </c>
      <c r="H83" s="40">
        <f t="shared" si="82"/>
        <v>2320.1877845592207</v>
      </c>
      <c r="I83" s="40">
        <f t="shared" si="82"/>
        <v>2896.2704154776397</v>
      </c>
      <c r="J83" s="40">
        <f t="shared" si="82"/>
        <v>3426.6893254986198</v>
      </c>
      <c r="K83" s="40">
        <f t="shared" si="82"/>
        <v>3818.2695616356987</v>
      </c>
      <c r="L83" s="40">
        <f t="shared" si="82"/>
        <v>4293.4186991869919</v>
      </c>
      <c r="M83" s="40">
        <f t="shared" si="82"/>
        <v>3784.3114463315233</v>
      </c>
      <c r="N83" s="40">
        <f t="shared" si="82"/>
        <v>3369.8667790893765</v>
      </c>
      <c r="O83" s="40">
        <f t="shared" si="82"/>
        <v>3506.7389953501561</v>
      </c>
      <c r="P83" s="40">
        <f t="shared" si="82"/>
        <v>3593.0426398132472</v>
      </c>
      <c r="Q83" s="40">
        <f t="shared" si="82"/>
        <v>3663.778129416045</v>
      </c>
      <c r="R83" s="40">
        <f t="shared" si="82"/>
        <v>3766.4795095212139</v>
      </c>
      <c r="S83" s="40">
        <f t="shared" si="82"/>
        <v>3926.8133433480411</v>
      </c>
      <c r="T83" s="40">
        <f t="shared" si="82"/>
        <v>3934.1824953445062</v>
      </c>
      <c r="U83" s="40">
        <f t="shared" si="82"/>
        <v>5681.8571428571431</v>
      </c>
      <c r="V83" s="40">
        <f t="shared" si="82"/>
        <v>5794.4284395176428</v>
      </c>
      <c r="W83" s="40">
        <f t="shared" ref="W83" si="83">IF(W21=0,0,W21*1000000/W31)</f>
        <v>5729.1191588296615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86642.055015164835</v>
      </c>
      <c r="C86" s="11">
        <f t="shared" si="84"/>
        <v>88134.897483108056</v>
      </c>
      <c r="D86" s="11">
        <f t="shared" ref="D86:V86" si="85">IF(D4=0,0,D4*1000000/D24)</f>
        <v>82164.435113228174</v>
      </c>
      <c r="E86" s="11">
        <f t="shared" si="85"/>
        <v>84912.926124581325</v>
      </c>
      <c r="F86" s="11">
        <f t="shared" si="85"/>
        <v>92119.471669068822</v>
      </c>
      <c r="G86" s="11">
        <f t="shared" si="85"/>
        <v>97283.140365438303</v>
      </c>
      <c r="H86" s="11">
        <f t="shared" si="85"/>
        <v>102333.1350599039</v>
      </c>
      <c r="I86" s="11">
        <f t="shared" si="85"/>
        <v>119940.64420460134</v>
      </c>
      <c r="J86" s="11">
        <f t="shared" si="85"/>
        <v>129674.86703338161</v>
      </c>
      <c r="K86" s="11">
        <f t="shared" si="85"/>
        <v>124853.12639432287</v>
      </c>
      <c r="L86" s="11">
        <f t="shared" si="85"/>
        <v>128950.53992912825</v>
      </c>
      <c r="M86" s="11">
        <f t="shared" si="85"/>
        <v>125768.95532804794</v>
      </c>
      <c r="N86" s="11">
        <f t="shared" si="85"/>
        <v>121366.70356030743</v>
      </c>
      <c r="O86" s="11">
        <f t="shared" si="85"/>
        <v>132469.6491439059</v>
      </c>
      <c r="P86" s="11">
        <f t="shared" si="85"/>
        <v>140712.13885016253</v>
      </c>
      <c r="Q86" s="11">
        <f t="shared" si="85"/>
        <v>143037.73927794449</v>
      </c>
      <c r="R86" s="11">
        <f t="shared" si="85"/>
        <v>154974.76535187088</v>
      </c>
      <c r="S86" s="11">
        <f t="shared" si="85"/>
        <v>173500.05029926109</v>
      </c>
      <c r="T86" s="11">
        <f t="shared" si="85"/>
        <v>184603.26437764149</v>
      </c>
      <c r="U86" s="11">
        <f t="shared" si="85"/>
        <v>194399.51801794916</v>
      </c>
      <c r="V86" s="11">
        <f t="shared" si="85"/>
        <v>145511.82753862589</v>
      </c>
      <c r="W86" s="11">
        <f t="shared" ref="W86" si="86">IF(W4=0,0,W4*1000000/W24)</f>
        <v>177061.13778623121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9975.4992150355192</v>
      </c>
      <c r="C87" s="36">
        <f t="shared" si="84"/>
        <v>10089.848822879067</v>
      </c>
      <c r="D87" s="36">
        <f t="shared" ref="D87:V87" si="87">IF(D5=0,0,D5*1000000/D25)</f>
        <v>10252.332382652194</v>
      </c>
      <c r="E87" s="36">
        <f t="shared" si="87"/>
        <v>10497.273817161089</v>
      </c>
      <c r="F87" s="36">
        <f t="shared" si="87"/>
        <v>10684.182924238699</v>
      </c>
      <c r="G87" s="36">
        <f t="shared" si="87"/>
        <v>11220.827969443739</v>
      </c>
      <c r="H87" s="36">
        <f t="shared" si="87"/>
        <v>11211.220074221841</v>
      </c>
      <c r="I87" s="36">
        <f t="shared" si="87"/>
        <v>12402.382760438129</v>
      </c>
      <c r="J87" s="36">
        <f t="shared" si="87"/>
        <v>11381.209111091446</v>
      </c>
      <c r="K87" s="36">
        <f t="shared" si="87"/>
        <v>11359.494658877142</v>
      </c>
      <c r="L87" s="36">
        <f t="shared" si="87"/>
        <v>12908.718668177562</v>
      </c>
      <c r="M87" s="36">
        <f t="shared" si="87"/>
        <v>14724.934878010919</v>
      </c>
      <c r="N87" s="36">
        <f t="shared" si="87"/>
        <v>18337.923174680174</v>
      </c>
      <c r="O87" s="36">
        <f t="shared" si="87"/>
        <v>16632.387811760967</v>
      </c>
      <c r="P87" s="36">
        <f t="shared" si="87"/>
        <v>19910.883211524128</v>
      </c>
      <c r="Q87" s="36">
        <f t="shared" si="87"/>
        <v>20601.065348264819</v>
      </c>
      <c r="R87" s="36">
        <f t="shared" si="87"/>
        <v>22041.464972681413</v>
      </c>
      <c r="S87" s="36">
        <f t="shared" si="87"/>
        <v>25183.278551794589</v>
      </c>
      <c r="T87" s="36">
        <f t="shared" si="87"/>
        <v>23586.783910332728</v>
      </c>
      <c r="U87" s="36">
        <f t="shared" si="87"/>
        <v>23411.78032108843</v>
      </c>
      <c r="V87" s="36">
        <f t="shared" si="87"/>
        <v>16368.330726714743</v>
      </c>
      <c r="W87" s="36">
        <f t="shared" ref="W87" si="88">IF(W5=0,0,W5*1000000/W25)</f>
        <v>19409.380252752766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73993.115525274901</v>
      </c>
      <c r="C88" s="36">
        <f t="shared" si="84"/>
        <v>75728.93581530689</v>
      </c>
      <c r="D88" s="36">
        <f t="shared" ref="D88:V88" si="89">IF(D6=0,0,D6*1000000/D26)</f>
        <v>76714.043752647762</v>
      </c>
      <c r="E88" s="36">
        <f t="shared" si="89"/>
        <v>76767.934310127239</v>
      </c>
      <c r="F88" s="36">
        <f t="shared" si="89"/>
        <v>76862.38823743783</v>
      </c>
      <c r="G88" s="36">
        <f t="shared" si="89"/>
        <v>81941.903969515974</v>
      </c>
      <c r="H88" s="36">
        <f t="shared" si="89"/>
        <v>86872.890855590042</v>
      </c>
      <c r="I88" s="36">
        <f t="shared" si="89"/>
        <v>107946.25662727644</v>
      </c>
      <c r="J88" s="36">
        <f t="shared" si="89"/>
        <v>106681.97232070009</v>
      </c>
      <c r="K88" s="36">
        <f t="shared" si="89"/>
        <v>106855.64550592088</v>
      </c>
      <c r="L88" s="36">
        <f t="shared" si="89"/>
        <v>110464.23166502516</v>
      </c>
      <c r="M88" s="36">
        <f t="shared" si="89"/>
        <v>121318.13994770074</v>
      </c>
      <c r="N88" s="36">
        <f t="shared" si="89"/>
        <v>120916.19918073624</v>
      </c>
      <c r="O88" s="36">
        <f t="shared" si="89"/>
        <v>129283.56287028207</v>
      </c>
      <c r="P88" s="36">
        <f t="shared" si="89"/>
        <v>137564.23634484221</v>
      </c>
      <c r="Q88" s="36">
        <f t="shared" si="89"/>
        <v>146789.8816428695</v>
      </c>
      <c r="R88" s="36">
        <f t="shared" si="89"/>
        <v>153902.86975484929</v>
      </c>
      <c r="S88" s="36">
        <f t="shared" si="89"/>
        <v>165128.21656316938</v>
      </c>
      <c r="T88" s="36">
        <f t="shared" si="89"/>
        <v>168136.28367462661</v>
      </c>
      <c r="U88" s="36">
        <f t="shared" si="89"/>
        <v>164786.0110522396</v>
      </c>
      <c r="V88" s="36">
        <f t="shared" si="89"/>
        <v>137445.43059678772</v>
      </c>
      <c r="W88" s="36">
        <f t="shared" ref="W88" si="90">IF(W6=0,0,W6*1000000/W26)</f>
        <v>151080.26180677811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298294.39055951429</v>
      </c>
      <c r="C89" s="36">
        <f t="shared" si="84"/>
        <v>303938.40402681351</v>
      </c>
      <c r="D89" s="36">
        <f t="shared" ref="D89:V89" si="91">IF(D7=0,0,D7*1000000/D27)</f>
        <v>308105.3506213834</v>
      </c>
      <c r="E89" s="36">
        <f t="shared" si="91"/>
        <v>313987.72406838875</v>
      </c>
      <c r="F89" s="36">
        <f t="shared" si="91"/>
        <v>320685.31993603188</v>
      </c>
      <c r="G89" s="36">
        <f t="shared" si="91"/>
        <v>328156.63119377376</v>
      </c>
      <c r="H89" s="36">
        <f t="shared" si="91"/>
        <v>321625.65809976886</v>
      </c>
      <c r="I89" s="36">
        <f t="shared" si="91"/>
        <v>343094.78397971299</v>
      </c>
      <c r="J89" s="36">
        <f t="shared" si="91"/>
        <v>413335.48639173404</v>
      </c>
      <c r="K89" s="36">
        <f t="shared" si="91"/>
        <v>370060.79524368764</v>
      </c>
      <c r="L89" s="36">
        <f t="shared" si="91"/>
        <v>363704.05767015193</v>
      </c>
      <c r="M89" s="36">
        <f t="shared" si="91"/>
        <v>303757.92895147001</v>
      </c>
      <c r="N89" s="36">
        <f t="shared" si="91"/>
        <v>329243.96526648349</v>
      </c>
      <c r="O89" s="36">
        <f t="shared" si="91"/>
        <v>343075.89484579541</v>
      </c>
      <c r="P89" s="36">
        <f t="shared" si="91"/>
        <v>321162.84682379139</v>
      </c>
      <c r="Q89" s="36">
        <f t="shared" si="91"/>
        <v>270869.04350580188</v>
      </c>
      <c r="R89" s="36">
        <f t="shared" si="91"/>
        <v>377628.45261385036</v>
      </c>
      <c r="S89" s="36">
        <f t="shared" si="91"/>
        <v>429580.65081995027</v>
      </c>
      <c r="T89" s="36">
        <f t="shared" si="91"/>
        <v>381942.31086683634</v>
      </c>
      <c r="U89" s="36">
        <f t="shared" si="91"/>
        <v>440727.0820315521</v>
      </c>
      <c r="V89" s="36">
        <f t="shared" si="91"/>
        <v>316016.99123032001</v>
      </c>
      <c r="W89" s="36">
        <f t="shared" ref="W89" si="92">IF(W7=0,0,W7*1000000/W27)</f>
        <v>374498.31650689692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35471.015037774756</v>
      </c>
      <c r="C90" s="13">
        <f t="shared" si="84"/>
        <v>42716.129331189375</v>
      </c>
      <c r="D90" s="13">
        <f t="shared" ref="D90:V90" si="93">IF(D8=0,0,D8*1000000/D28)</f>
        <v>38179.018816625394</v>
      </c>
      <c r="E90" s="13">
        <f t="shared" si="93"/>
        <v>37504.791992067585</v>
      </c>
      <c r="F90" s="13">
        <f t="shared" si="93"/>
        <v>42806.849083137611</v>
      </c>
      <c r="G90" s="13">
        <f t="shared" si="93"/>
        <v>41346.536824511568</v>
      </c>
      <c r="H90" s="13">
        <f t="shared" si="93"/>
        <v>34775.840391797567</v>
      </c>
      <c r="I90" s="13">
        <f t="shared" si="93"/>
        <v>41207.752966039014</v>
      </c>
      <c r="J90" s="13">
        <f t="shared" si="93"/>
        <v>41616.709807963896</v>
      </c>
      <c r="K90" s="13">
        <f t="shared" si="93"/>
        <v>37310.1053900158</v>
      </c>
      <c r="L90" s="13">
        <f t="shared" si="93"/>
        <v>59053.026636569542</v>
      </c>
      <c r="M90" s="13">
        <f t="shared" si="93"/>
        <v>54265.553179859526</v>
      </c>
      <c r="N90" s="13">
        <f t="shared" si="93"/>
        <v>50719.729599197279</v>
      </c>
      <c r="O90" s="13">
        <f t="shared" si="93"/>
        <v>53920.076504898869</v>
      </c>
      <c r="P90" s="13">
        <f t="shared" si="93"/>
        <v>83382.543972460742</v>
      </c>
      <c r="Q90" s="13">
        <f t="shared" si="93"/>
        <v>88702.210828873329</v>
      </c>
      <c r="R90" s="13">
        <f t="shared" si="93"/>
        <v>113227.22541506316</v>
      </c>
      <c r="S90" s="13">
        <f t="shared" si="93"/>
        <v>118335.04389335994</v>
      </c>
      <c r="T90" s="13">
        <f t="shared" si="93"/>
        <v>118320.66209744274</v>
      </c>
      <c r="U90" s="13">
        <f t="shared" si="93"/>
        <v>169389.18878252638</v>
      </c>
      <c r="V90" s="13">
        <f t="shared" si="93"/>
        <v>94238.311387148424</v>
      </c>
      <c r="W90" s="13">
        <f t="shared" ref="W90" si="94">IF(W8=0,0,W8*1000000/W28)</f>
        <v>94285.142998452371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2558.5855846983118</v>
      </c>
      <c r="C91" s="34">
        <f t="shared" si="84"/>
        <v>2539.0772625646132</v>
      </c>
      <c r="D91" s="34">
        <f t="shared" ref="D91:V91" si="95">IF(D9=0,0,D9*1000000/D29)</f>
        <v>2611.0069001579145</v>
      </c>
      <c r="E91" s="34">
        <f t="shared" si="95"/>
        <v>2777.295238398146</v>
      </c>
      <c r="F91" s="34">
        <f t="shared" si="95"/>
        <v>2615.262678587465</v>
      </c>
      <c r="G91" s="34">
        <f t="shared" si="95"/>
        <v>2642.0183783501284</v>
      </c>
      <c r="H91" s="34">
        <f t="shared" si="95"/>
        <v>2503.2533854419048</v>
      </c>
      <c r="I91" s="34">
        <f t="shared" si="95"/>
        <v>2530.1095216402646</v>
      </c>
      <c r="J91" s="34">
        <f t="shared" si="95"/>
        <v>2492.3730048352677</v>
      </c>
      <c r="K91" s="34">
        <f t="shared" si="95"/>
        <v>2558.7866796575531</v>
      </c>
      <c r="L91" s="34">
        <f t="shared" si="95"/>
        <v>2939.0182628808393</v>
      </c>
      <c r="M91" s="34">
        <f t="shared" si="95"/>
        <v>3529.212904738532</v>
      </c>
      <c r="N91" s="34">
        <f t="shared" si="95"/>
        <v>4038.7536137980555</v>
      </c>
      <c r="O91" s="34">
        <f t="shared" si="95"/>
        <v>4061.4619419646897</v>
      </c>
      <c r="P91" s="34">
        <f t="shared" si="95"/>
        <v>4463.7682628208486</v>
      </c>
      <c r="Q91" s="34">
        <f t="shared" si="95"/>
        <v>4077.5955688274021</v>
      </c>
      <c r="R91" s="34">
        <f t="shared" si="95"/>
        <v>4407.5077382848958</v>
      </c>
      <c r="S91" s="34">
        <f t="shared" si="95"/>
        <v>4075.6075490709063</v>
      </c>
      <c r="T91" s="34">
        <f t="shared" si="95"/>
        <v>4000.3683566482046</v>
      </c>
      <c r="U91" s="34">
        <f t="shared" si="95"/>
        <v>4160.0927971748042</v>
      </c>
      <c r="V91" s="34">
        <f t="shared" si="95"/>
        <v>3868.4677799610936</v>
      </c>
      <c r="W91" s="34">
        <f t="shared" ref="W91" si="96">IF(W9=0,0,W9*1000000/W29)</f>
        <v>4048.2847481660838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17911.642718831008</v>
      </c>
      <c r="C92" s="34">
        <f t="shared" si="84"/>
        <v>18963.897968348287</v>
      </c>
      <c r="D92" s="34">
        <f t="shared" ref="D92:V92" si="97">IF(D10=0,0,D10*1000000/D30)</f>
        <v>17855.45507796415</v>
      </c>
      <c r="E92" s="34">
        <f t="shared" si="97"/>
        <v>18186.628580008051</v>
      </c>
      <c r="F92" s="34">
        <f t="shared" si="97"/>
        <v>16434.978572555116</v>
      </c>
      <c r="G92" s="34">
        <f t="shared" si="97"/>
        <v>17189.222737079785</v>
      </c>
      <c r="H92" s="34">
        <f t="shared" si="97"/>
        <v>15646.003838402601</v>
      </c>
      <c r="I92" s="34">
        <f t="shared" si="97"/>
        <v>16253.794821789023</v>
      </c>
      <c r="J92" s="34">
        <f t="shared" si="97"/>
        <v>15420.856199255801</v>
      </c>
      <c r="K92" s="34">
        <f t="shared" si="97"/>
        <v>15969.318359777446</v>
      </c>
      <c r="L92" s="34">
        <f t="shared" si="97"/>
        <v>16447.125743564942</v>
      </c>
      <c r="M92" s="34">
        <f t="shared" si="97"/>
        <v>17430.330766585543</v>
      </c>
      <c r="N92" s="34">
        <f t="shared" si="97"/>
        <v>18502.591720995191</v>
      </c>
      <c r="O92" s="34">
        <f t="shared" si="97"/>
        <v>18347.454139392168</v>
      </c>
      <c r="P92" s="34">
        <f t="shared" si="97"/>
        <v>21410.571604720462</v>
      </c>
      <c r="Q92" s="34">
        <f t="shared" si="97"/>
        <v>21866.892829982848</v>
      </c>
      <c r="R92" s="34">
        <f t="shared" si="97"/>
        <v>24126.889395313858</v>
      </c>
      <c r="S92" s="34">
        <f t="shared" si="97"/>
        <v>22889.183984873736</v>
      </c>
      <c r="T92" s="34">
        <f t="shared" si="97"/>
        <v>22684.792807618393</v>
      </c>
      <c r="U92" s="34">
        <f t="shared" si="97"/>
        <v>23961.211125530852</v>
      </c>
      <c r="V92" s="34">
        <f t="shared" si="97"/>
        <v>19669.727129012859</v>
      </c>
      <c r="W92" s="34">
        <f t="shared" ref="W92" si="98">IF(W10=0,0,W10*1000000/W30)</f>
        <v>21212.757321296922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187963.88515312618</v>
      </c>
      <c r="C93" s="35">
        <f t="shared" si="84"/>
        <v>196905.10613856977</v>
      </c>
      <c r="D93" s="35">
        <f t="shared" ref="D93:V93" si="99">IF(D11=0,0,D11*1000000/D31)</f>
        <v>185961.49025839061</v>
      </c>
      <c r="E93" s="35">
        <f t="shared" si="99"/>
        <v>168996.90951130839</v>
      </c>
      <c r="F93" s="35">
        <f t="shared" si="99"/>
        <v>164042.11334820685</v>
      </c>
      <c r="G93" s="35">
        <f t="shared" si="99"/>
        <v>155878.80599947352</v>
      </c>
      <c r="H93" s="35">
        <f t="shared" si="99"/>
        <v>194940.06771588614</v>
      </c>
      <c r="I93" s="35">
        <f t="shared" si="99"/>
        <v>239288.83427811859</v>
      </c>
      <c r="J93" s="35">
        <f t="shared" si="99"/>
        <v>277400.25656127895</v>
      </c>
      <c r="K93" s="35">
        <f t="shared" si="99"/>
        <v>348594.15588563634</v>
      </c>
      <c r="L93" s="35">
        <f t="shared" si="99"/>
        <v>398501.38871206803</v>
      </c>
      <c r="M93" s="35">
        <f t="shared" si="99"/>
        <v>352698.90917121031</v>
      </c>
      <c r="N93" s="35">
        <f t="shared" si="99"/>
        <v>329782.23869357927</v>
      </c>
      <c r="O93" s="35">
        <f t="shared" si="99"/>
        <v>326413.14120208658</v>
      </c>
      <c r="P93" s="35">
        <f t="shared" si="99"/>
        <v>384449.81133703922</v>
      </c>
      <c r="Q93" s="35">
        <f t="shared" si="99"/>
        <v>391159.92950645776</v>
      </c>
      <c r="R93" s="35">
        <f t="shared" si="99"/>
        <v>441860.10453823232</v>
      </c>
      <c r="S93" s="35">
        <f t="shared" si="99"/>
        <v>443827.31010643282</v>
      </c>
      <c r="T93" s="35">
        <f t="shared" si="99"/>
        <v>433820.41288760258</v>
      </c>
      <c r="U93" s="35">
        <f t="shared" si="99"/>
        <v>647245.30585082679</v>
      </c>
      <c r="V93" s="35">
        <f t="shared" si="99"/>
        <v>445825.28583608806</v>
      </c>
      <c r="W93" s="35">
        <f t="shared" ref="W93" si="100">IF(W11=0,0,W11*1000000/W31)</f>
        <v>388857.29057388712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1286.1465215070198</v>
      </c>
      <c r="C95" s="62">
        <f t="shared" si="101"/>
        <v>1286.7925376401172</v>
      </c>
      <c r="D95" s="62">
        <f t="shared" ref="D95:V95" si="102">IF(D23=0,0,D23/D43)</f>
        <v>1342.8900412487308</v>
      </c>
      <c r="E95" s="62">
        <f t="shared" si="102"/>
        <v>1327.9829278540133</v>
      </c>
      <c r="F95" s="62">
        <f t="shared" si="102"/>
        <v>1238.6631422992059</v>
      </c>
      <c r="G95" s="62">
        <f t="shared" si="102"/>
        <v>1240.0218978962635</v>
      </c>
      <c r="H95" s="62">
        <f t="shared" si="102"/>
        <v>1228.5020785868294</v>
      </c>
      <c r="I95" s="62">
        <f t="shared" si="102"/>
        <v>1216.4019357365296</v>
      </c>
      <c r="J95" s="62">
        <f t="shared" si="102"/>
        <v>1220.1429739991584</v>
      </c>
      <c r="K95" s="62">
        <f t="shared" si="102"/>
        <v>1186.1001911487349</v>
      </c>
      <c r="L95" s="62">
        <f t="shared" si="102"/>
        <v>1206.0624842416785</v>
      </c>
      <c r="M95" s="62">
        <f t="shared" si="102"/>
        <v>1250.8452171757956</v>
      </c>
      <c r="N95" s="62">
        <f t="shared" si="102"/>
        <v>1307.093680398568</v>
      </c>
      <c r="O95" s="62">
        <f t="shared" si="102"/>
        <v>1246.3407154463746</v>
      </c>
      <c r="P95" s="62">
        <f t="shared" si="102"/>
        <v>1223.7521489787089</v>
      </c>
      <c r="Q95" s="62">
        <f t="shared" si="102"/>
        <v>1206.3978369323011</v>
      </c>
      <c r="R95" s="62">
        <f t="shared" si="102"/>
        <v>1188.6407245802163</v>
      </c>
      <c r="S95" s="62">
        <f t="shared" si="102"/>
        <v>1217.8386764675738</v>
      </c>
      <c r="T95" s="62">
        <f t="shared" si="102"/>
        <v>1154.7713852727029</v>
      </c>
      <c r="U95" s="62">
        <f t="shared" si="102"/>
        <v>1158.2310110698415</v>
      </c>
      <c r="V95" s="62">
        <f t="shared" si="102"/>
        <v>481.40264284328049</v>
      </c>
      <c r="W95" s="62">
        <f t="shared" ref="W95" si="103">IF(W23=0,0,W23/W43)</f>
        <v>591.20655598505107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1287.7325703541137</v>
      </c>
      <c r="C96" s="11">
        <f t="shared" si="104"/>
        <v>1290.1506077353531</v>
      </c>
      <c r="D96" s="11">
        <f t="shared" ref="D96:V96" si="105">IF(D24=0,0,D24/D44)</f>
        <v>1345.0682761087155</v>
      </c>
      <c r="E96" s="11">
        <f t="shared" si="105"/>
        <v>1330.0077450601912</v>
      </c>
      <c r="F96" s="11">
        <f t="shared" si="105"/>
        <v>1241.2731971252506</v>
      </c>
      <c r="G96" s="11">
        <f t="shared" si="105"/>
        <v>1242.1189399288601</v>
      </c>
      <c r="H96" s="11">
        <f t="shared" si="105"/>
        <v>1229.8702471945121</v>
      </c>
      <c r="I96" s="11">
        <f t="shared" si="105"/>
        <v>1218.4316896769371</v>
      </c>
      <c r="J96" s="11">
        <f t="shared" si="105"/>
        <v>1222.8182018978505</v>
      </c>
      <c r="K96" s="11">
        <f t="shared" si="105"/>
        <v>1188.7608168561558</v>
      </c>
      <c r="L96" s="11">
        <f t="shared" si="105"/>
        <v>1210.5806945700467</v>
      </c>
      <c r="M96" s="11">
        <f t="shared" si="105"/>
        <v>1255.1253580787691</v>
      </c>
      <c r="N96" s="11">
        <f t="shared" si="105"/>
        <v>1312.1311084870351</v>
      </c>
      <c r="O96" s="11">
        <f t="shared" si="105"/>
        <v>1250.7697312988519</v>
      </c>
      <c r="P96" s="11">
        <f t="shared" si="105"/>
        <v>1230.3705771249138</v>
      </c>
      <c r="Q96" s="11">
        <f t="shared" si="105"/>
        <v>1213.1836398881608</v>
      </c>
      <c r="R96" s="11">
        <f t="shared" si="105"/>
        <v>1196.1572147464217</v>
      </c>
      <c r="S96" s="11">
        <f t="shared" si="105"/>
        <v>1226.506517317986</v>
      </c>
      <c r="T96" s="11">
        <f t="shared" si="105"/>
        <v>1161.6606865722242</v>
      </c>
      <c r="U96" s="11">
        <f t="shared" si="105"/>
        <v>1167.6124137515214</v>
      </c>
      <c r="V96" s="11">
        <f t="shared" si="105"/>
        <v>478.28760582307092</v>
      </c>
      <c r="W96" s="11">
        <f t="shared" ref="W96" si="106">IF(W24=0,0,W24/W44)</f>
        <v>588.82826414669807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2351</v>
      </c>
      <c r="C97" s="36">
        <f t="shared" si="104"/>
        <v>2351</v>
      </c>
      <c r="D97" s="36">
        <f t="shared" ref="D97:V97" si="107">IF(D25=0,0,D25/D45)</f>
        <v>2351</v>
      </c>
      <c r="E97" s="36">
        <f t="shared" si="107"/>
        <v>2351</v>
      </c>
      <c r="F97" s="36">
        <f t="shared" si="107"/>
        <v>1907.6996693121691</v>
      </c>
      <c r="G97" s="36">
        <f t="shared" si="107"/>
        <v>2077.5511944164627</v>
      </c>
      <c r="H97" s="36">
        <f t="shared" si="107"/>
        <v>2280.1509940044175</v>
      </c>
      <c r="I97" s="36">
        <f t="shared" si="107"/>
        <v>2361</v>
      </c>
      <c r="J97" s="36">
        <f t="shared" si="107"/>
        <v>2362</v>
      </c>
      <c r="K97" s="36">
        <f t="shared" si="107"/>
        <v>2366</v>
      </c>
      <c r="L97" s="36">
        <f t="shared" si="107"/>
        <v>2339</v>
      </c>
      <c r="M97" s="36">
        <f t="shared" si="107"/>
        <v>2331</v>
      </c>
      <c r="N97" s="36">
        <f t="shared" si="107"/>
        <v>2310</v>
      </c>
      <c r="O97" s="36">
        <f t="shared" si="107"/>
        <v>1862.4092252001012</v>
      </c>
      <c r="P97" s="36">
        <f t="shared" si="107"/>
        <v>2043.5405656249877</v>
      </c>
      <c r="Q97" s="36">
        <f t="shared" si="107"/>
        <v>2106.1699499398842</v>
      </c>
      <c r="R97" s="36">
        <f t="shared" si="107"/>
        <v>2342.1559906719031</v>
      </c>
      <c r="S97" s="36">
        <f t="shared" si="107"/>
        <v>2366</v>
      </c>
      <c r="T97" s="36">
        <f t="shared" si="107"/>
        <v>2342.7879903224971</v>
      </c>
      <c r="U97" s="36">
        <f t="shared" si="107"/>
        <v>2378</v>
      </c>
      <c r="V97" s="36">
        <f t="shared" si="107"/>
        <v>1253.5955157419735</v>
      </c>
      <c r="W97" s="36">
        <f t="shared" ref="W97" si="108">IF(W25=0,0,W25/W45)</f>
        <v>1289.8076877197855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1392.5014404608394</v>
      </c>
      <c r="C98" s="36">
        <f t="shared" si="104"/>
        <v>1392.5025118749609</v>
      </c>
      <c r="D98" s="36">
        <f t="shared" ref="D98:V98" si="109">IF(D26=0,0,D26/D46)</f>
        <v>1392.5020645492943</v>
      </c>
      <c r="E98" s="36">
        <f t="shared" si="109"/>
        <v>1392.5010909060975</v>
      </c>
      <c r="F98" s="36">
        <f t="shared" si="109"/>
        <v>1392.5011775896305</v>
      </c>
      <c r="G98" s="36">
        <f t="shared" si="109"/>
        <v>1369.810489958787</v>
      </c>
      <c r="H98" s="36">
        <f t="shared" si="109"/>
        <v>1336.5231524559326</v>
      </c>
      <c r="I98" s="36">
        <f t="shared" si="109"/>
        <v>1309.9689986893866</v>
      </c>
      <c r="J98" s="36">
        <f t="shared" si="109"/>
        <v>1315.9970327525691</v>
      </c>
      <c r="K98" s="36">
        <f t="shared" si="109"/>
        <v>1256.7327511576816</v>
      </c>
      <c r="L98" s="36">
        <f t="shared" si="109"/>
        <v>1266.9084779465061</v>
      </c>
      <c r="M98" s="36">
        <f t="shared" si="109"/>
        <v>1306.3292752166997</v>
      </c>
      <c r="N98" s="36">
        <f t="shared" si="109"/>
        <v>1321.6851327203719</v>
      </c>
      <c r="O98" s="36">
        <f t="shared" si="109"/>
        <v>1325.0525764161077</v>
      </c>
      <c r="P98" s="36">
        <f t="shared" si="109"/>
        <v>1314.8035629978897</v>
      </c>
      <c r="Q98" s="36">
        <f t="shared" si="109"/>
        <v>1304.962138974834</v>
      </c>
      <c r="R98" s="36">
        <f t="shared" si="109"/>
        <v>1287.0784073352029</v>
      </c>
      <c r="S98" s="36">
        <f t="shared" si="109"/>
        <v>1280.002687795185</v>
      </c>
      <c r="T98" s="36">
        <f t="shared" si="109"/>
        <v>1280.8566302808154</v>
      </c>
      <c r="U98" s="36">
        <f t="shared" si="109"/>
        <v>1298.1190069353254</v>
      </c>
      <c r="V98" s="36">
        <f t="shared" si="109"/>
        <v>514.67777825093083</v>
      </c>
      <c r="W98" s="36">
        <f t="shared" ref="W98" si="110">IF(W26=0,0,W26/W46)</f>
        <v>630.70432189035284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572</v>
      </c>
      <c r="C99" s="36">
        <f t="shared" si="104"/>
        <v>572</v>
      </c>
      <c r="D99" s="36">
        <f t="shared" ref="D99:V99" si="111">IF(D27=0,0,D27/D47)</f>
        <v>572</v>
      </c>
      <c r="E99" s="36">
        <f t="shared" si="111"/>
        <v>572</v>
      </c>
      <c r="F99" s="36">
        <f t="shared" si="111"/>
        <v>572</v>
      </c>
      <c r="G99" s="36">
        <f t="shared" si="111"/>
        <v>569</v>
      </c>
      <c r="H99" s="36">
        <f t="shared" si="111"/>
        <v>581</v>
      </c>
      <c r="I99" s="36">
        <f t="shared" si="111"/>
        <v>586</v>
      </c>
      <c r="J99" s="36">
        <f t="shared" si="111"/>
        <v>598</v>
      </c>
      <c r="K99" s="36">
        <f t="shared" si="111"/>
        <v>606.61080305221935</v>
      </c>
      <c r="L99" s="36">
        <f t="shared" si="111"/>
        <v>660</v>
      </c>
      <c r="M99" s="36">
        <f t="shared" si="111"/>
        <v>686</v>
      </c>
      <c r="N99" s="36">
        <f t="shared" si="111"/>
        <v>692</v>
      </c>
      <c r="O99" s="36">
        <f t="shared" si="111"/>
        <v>675</v>
      </c>
      <c r="P99" s="36">
        <f t="shared" si="111"/>
        <v>670</v>
      </c>
      <c r="Q99" s="36">
        <f t="shared" si="111"/>
        <v>669</v>
      </c>
      <c r="R99" s="36">
        <f t="shared" si="111"/>
        <v>529.99958340174169</v>
      </c>
      <c r="S99" s="36">
        <f t="shared" si="111"/>
        <v>641</v>
      </c>
      <c r="T99" s="36">
        <f t="shared" si="111"/>
        <v>652</v>
      </c>
      <c r="U99" s="36">
        <f t="shared" si="111"/>
        <v>656</v>
      </c>
      <c r="V99" s="36">
        <f t="shared" si="111"/>
        <v>245.97560872895764</v>
      </c>
      <c r="W99" s="36">
        <f t="shared" ref="W99" si="112">IF(W27=0,0,W27/W47)</f>
        <v>366.95575318614783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1163.5947438634769</v>
      </c>
      <c r="C100" s="13">
        <f t="shared" si="104"/>
        <v>1006.4051568299444</v>
      </c>
      <c r="D100" s="13">
        <f t="shared" ref="D100:V100" si="113">IF(D28=0,0,D28/D48)</f>
        <v>1149.0045594504106</v>
      </c>
      <c r="E100" s="13">
        <f t="shared" si="113"/>
        <v>1139.9498629764466</v>
      </c>
      <c r="F100" s="13">
        <f t="shared" si="113"/>
        <v>981.41289337549608</v>
      </c>
      <c r="G100" s="13">
        <f t="shared" si="113"/>
        <v>1016.3263751709009</v>
      </c>
      <c r="H100" s="13">
        <f t="shared" si="113"/>
        <v>1108.6436732104787</v>
      </c>
      <c r="I100" s="13">
        <f t="shared" si="113"/>
        <v>1064.4640811583683</v>
      </c>
      <c r="J100" s="13">
        <f t="shared" si="113"/>
        <v>1043.3145072618738</v>
      </c>
      <c r="K100" s="13">
        <f t="shared" si="113"/>
        <v>1027.9917335897801</v>
      </c>
      <c r="L100" s="13">
        <f t="shared" si="113"/>
        <v>948.88654815304369</v>
      </c>
      <c r="M100" s="13">
        <f t="shared" si="113"/>
        <v>999.06109967627026</v>
      </c>
      <c r="N100" s="13">
        <f t="shared" si="113"/>
        <v>1004.9004712464669</v>
      </c>
      <c r="O100" s="13">
        <f t="shared" si="113"/>
        <v>986.80337535630701</v>
      </c>
      <c r="P100" s="13">
        <f t="shared" si="113"/>
        <v>847.87139875509786</v>
      </c>
      <c r="Q100" s="13">
        <f t="shared" si="113"/>
        <v>825.69477317475116</v>
      </c>
      <c r="R100" s="13">
        <f t="shared" si="113"/>
        <v>751.32388531680806</v>
      </c>
      <c r="S100" s="13">
        <f t="shared" si="113"/>
        <v>732.90597123740702</v>
      </c>
      <c r="T100" s="13">
        <f t="shared" si="113"/>
        <v>738.97253307476581</v>
      </c>
      <c r="U100" s="13">
        <f t="shared" si="113"/>
        <v>662.34765901428943</v>
      </c>
      <c r="V100" s="13">
        <f t="shared" si="113"/>
        <v>635.55861404572033</v>
      </c>
      <c r="W100" s="13">
        <f t="shared" ref="W100" si="114">IF(W28=0,0,W28/W48)</f>
        <v>687.91313129550019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1482</v>
      </c>
      <c r="C101" s="34">
        <f t="shared" si="104"/>
        <v>1271.849957374254</v>
      </c>
      <c r="D101" s="34">
        <f t="shared" ref="D101:V101" si="115">IF(D29=0,0,D29/D49)</f>
        <v>1482</v>
      </c>
      <c r="E101" s="34">
        <f t="shared" si="115"/>
        <v>1482</v>
      </c>
      <c r="F101" s="34">
        <f t="shared" si="115"/>
        <v>1246.3072227873856</v>
      </c>
      <c r="G101" s="34">
        <f t="shared" si="115"/>
        <v>1152.9241594996092</v>
      </c>
      <c r="H101" s="34">
        <f t="shared" si="115"/>
        <v>1479</v>
      </c>
      <c r="I101" s="34">
        <f t="shared" si="115"/>
        <v>1476</v>
      </c>
      <c r="J101" s="34">
        <f t="shared" si="115"/>
        <v>1470.9999999999998</v>
      </c>
      <c r="K101" s="34">
        <f t="shared" si="115"/>
        <v>1466.9999999999998</v>
      </c>
      <c r="L101" s="34">
        <f t="shared" si="115"/>
        <v>1308.5896498357881</v>
      </c>
      <c r="M101" s="34">
        <f t="shared" si="115"/>
        <v>1407.76794545592</v>
      </c>
      <c r="N101" s="34">
        <f t="shared" si="115"/>
        <v>1398.6366137501168</v>
      </c>
      <c r="O101" s="34">
        <f t="shared" si="115"/>
        <v>1299.9434003797919</v>
      </c>
      <c r="P101" s="34">
        <f t="shared" si="115"/>
        <v>816.6845321277907</v>
      </c>
      <c r="Q101" s="34">
        <f t="shared" si="115"/>
        <v>669.76396000073908</v>
      </c>
      <c r="R101" s="34">
        <f t="shared" si="115"/>
        <v>378.52346539441373</v>
      </c>
      <c r="S101" s="34">
        <f t="shared" si="115"/>
        <v>147.95035532377946</v>
      </c>
      <c r="T101" s="34">
        <f t="shared" si="115"/>
        <v>155.15330417132921</v>
      </c>
      <c r="U101" s="34">
        <f t="shared" si="115"/>
        <v>222.80937436551889</v>
      </c>
      <c r="V101" s="34">
        <f t="shared" si="115"/>
        <v>72.633952733176926</v>
      </c>
      <c r="W101" s="34">
        <f t="shared" ref="W101" si="116">IF(W29=0,0,W29/W49)</f>
        <v>83.870345383472667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1177.5663264438208</v>
      </c>
      <c r="C102" s="34">
        <f t="shared" si="104"/>
        <v>989.65954088817057</v>
      </c>
      <c r="D102" s="34">
        <f t="shared" ref="D102:V102" si="117">IF(D30=0,0,D30/D50)</f>
        <v>1177.5226369508407</v>
      </c>
      <c r="E102" s="34">
        <f t="shared" si="117"/>
        <v>1177.8403959171048</v>
      </c>
      <c r="F102" s="34">
        <f t="shared" si="117"/>
        <v>996.40895845474984</v>
      </c>
      <c r="G102" s="34">
        <f t="shared" si="117"/>
        <v>1133.6600492071641</v>
      </c>
      <c r="H102" s="34">
        <f t="shared" si="117"/>
        <v>1132.1550804991903</v>
      </c>
      <c r="I102" s="34">
        <f t="shared" si="117"/>
        <v>1108.9062040176284</v>
      </c>
      <c r="J102" s="34">
        <f t="shared" si="117"/>
        <v>1089.5770574517933</v>
      </c>
      <c r="K102" s="34">
        <f t="shared" si="117"/>
        <v>1114.2325792902502</v>
      </c>
      <c r="L102" s="34">
        <f t="shared" si="117"/>
        <v>1102.3402401509304</v>
      </c>
      <c r="M102" s="34">
        <f t="shared" si="117"/>
        <v>1121.940568640764</v>
      </c>
      <c r="N102" s="34">
        <f t="shared" si="117"/>
        <v>1131.5640728955743</v>
      </c>
      <c r="O102" s="34">
        <f t="shared" si="117"/>
        <v>1137.2406708967476</v>
      </c>
      <c r="P102" s="34">
        <f t="shared" si="117"/>
        <v>1132.5579428976628</v>
      </c>
      <c r="Q102" s="34">
        <f t="shared" si="117"/>
        <v>1133.8600545140041</v>
      </c>
      <c r="R102" s="34">
        <f t="shared" si="117"/>
        <v>1097.3740649780395</v>
      </c>
      <c r="S102" s="34">
        <f t="shared" si="117"/>
        <v>1115.3746005581343</v>
      </c>
      <c r="T102" s="34">
        <f t="shared" si="117"/>
        <v>1107.5695608301578</v>
      </c>
      <c r="U102" s="34">
        <f t="shared" si="117"/>
        <v>1111.0837675375178</v>
      </c>
      <c r="V102" s="34">
        <f t="shared" si="117"/>
        <v>1100.231811118276</v>
      </c>
      <c r="W102" s="34">
        <f t="shared" ref="W102" si="118">IF(W30=0,0,W30/W50)</f>
        <v>1054.6250562816224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714</v>
      </c>
      <c r="C103" s="35">
        <f t="shared" si="104"/>
        <v>714</v>
      </c>
      <c r="D103" s="35">
        <f t="shared" ref="D103:V103" si="119">IF(D31=0,0,D31/D51)</f>
        <v>714</v>
      </c>
      <c r="E103" s="35">
        <f t="shared" si="119"/>
        <v>714</v>
      </c>
      <c r="F103" s="35">
        <f t="shared" si="119"/>
        <v>714</v>
      </c>
      <c r="G103" s="35">
        <f t="shared" si="119"/>
        <v>710</v>
      </c>
      <c r="H103" s="35">
        <f t="shared" si="119"/>
        <v>610</v>
      </c>
      <c r="I103" s="35">
        <f t="shared" si="119"/>
        <v>528</v>
      </c>
      <c r="J103" s="35">
        <f t="shared" si="119"/>
        <v>470</v>
      </c>
      <c r="K103" s="35">
        <f t="shared" si="119"/>
        <v>337.47129596805115</v>
      </c>
      <c r="L103" s="35">
        <f t="shared" si="119"/>
        <v>398</v>
      </c>
      <c r="M103" s="35">
        <f t="shared" si="119"/>
        <v>436.99999999999994</v>
      </c>
      <c r="N103" s="35">
        <f t="shared" si="119"/>
        <v>436.48988517594449</v>
      </c>
      <c r="O103" s="35">
        <f t="shared" si="119"/>
        <v>462.00000000000006</v>
      </c>
      <c r="P103" s="35">
        <f t="shared" si="119"/>
        <v>454</v>
      </c>
      <c r="Q103" s="35">
        <f t="shared" si="119"/>
        <v>448</v>
      </c>
      <c r="R103" s="35">
        <f t="shared" si="119"/>
        <v>439</v>
      </c>
      <c r="S103" s="35">
        <f t="shared" si="119"/>
        <v>426</v>
      </c>
      <c r="T103" s="35">
        <f t="shared" si="119"/>
        <v>425</v>
      </c>
      <c r="U103" s="35">
        <f t="shared" si="119"/>
        <v>320</v>
      </c>
      <c r="V103" s="35">
        <f t="shared" si="119"/>
        <v>240.93700128760608</v>
      </c>
      <c r="W103" s="35">
        <f t="shared" ref="W103" si="120">IF(W31=0,0,W31/W51)</f>
        <v>318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3.1549741209757988E-2</v>
      </c>
      <c r="C107" s="43">
        <f t="shared" si="124"/>
        <v>3.1715678781452261E-2</v>
      </c>
      <c r="D107" s="43">
        <f t="shared" ref="D107:V107" si="125">IF(D5=0,0,D5/D$4)</f>
        <v>4.2731784826040564E-2</v>
      </c>
      <c r="E107" s="43">
        <f t="shared" si="125"/>
        <v>4.0185846654868927E-2</v>
      </c>
      <c r="F107" s="43">
        <f t="shared" si="125"/>
        <v>3.1188620465803469E-2</v>
      </c>
      <c r="G107" s="43">
        <f t="shared" si="125"/>
        <v>2.7404090907468912E-2</v>
      </c>
      <c r="H107" s="43">
        <f t="shared" si="125"/>
        <v>2.2407526407697546E-2</v>
      </c>
      <c r="I107" s="43">
        <f t="shared" si="125"/>
        <v>2.2041563681478561E-2</v>
      </c>
      <c r="J107" s="43">
        <f t="shared" si="125"/>
        <v>1.7407628856236947E-2</v>
      </c>
      <c r="K107" s="43">
        <f t="shared" si="125"/>
        <v>1.8316694432775116E-2</v>
      </c>
      <c r="L107" s="43">
        <f t="shared" si="125"/>
        <v>1.9804650415675137E-2</v>
      </c>
      <c r="M107" s="43">
        <f t="shared" si="125"/>
        <v>2.4715747537131138E-2</v>
      </c>
      <c r="N107" s="43">
        <f t="shared" si="125"/>
        <v>3.9731140386738993E-2</v>
      </c>
      <c r="O107" s="43">
        <f t="shared" si="125"/>
        <v>2.5830728719803239E-2</v>
      </c>
      <c r="P107" s="43">
        <f t="shared" si="125"/>
        <v>2.8354785372526808E-2</v>
      </c>
      <c r="Q107" s="43">
        <f t="shared" si="125"/>
        <v>2.5642365936631873E-2</v>
      </c>
      <c r="R107" s="43">
        <f t="shared" si="125"/>
        <v>2.5131205729129746E-2</v>
      </c>
      <c r="S107" s="43">
        <f t="shared" si="125"/>
        <v>2.5536720722391219E-2</v>
      </c>
      <c r="T107" s="43">
        <f t="shared" si="125"/>
        <v>1.8203597680064861E-2</v>
      </c>
      <c r="U107" s="43">
        <f t="shared" si="125"/>
        <v>1.7092994832953942E-2</v>
      </c>
      <c r="V107" s="43">
        <f t="shared" si="125"/>
        <v>1.9887869339338674E-2</v>
      </c>
      <c r="W107" s="43">
        <f t="shared" ref="W107" si="126">IF(W5=0,0,W5/W$4)</f>
        <v>1.5629987867624671E-2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0.50503832688040495</v>
      </c>
      <c r="C108" s="43">
        <f t="shared" si="127"/>
        <v>0.50602134657207598</v>
      </c>
      <c r="D108" s="43">
        <f t="shared" ref="D108:V108" si="128">IF(D6=0,0,D6/D$4)</f>
        <v>0.50008875552026233</v>
      </c>
      <c r="E108" s="43">
        <f t="shared" si="128"/>
        <v>0.49705154470111512</v>
      </c>
      <c r="F108" s="43">
        <f t="shared" si="128"/>
        <v>0.49689563428708206</v>
      </c>
      <c r="G108" s="43">
        <f t="shared" si="128"/>
        <v>0.53221597742002891</v>
      </c>
      <c r="H108" s="43">
        <f t="shared" si="128"/>
        <v>0.56342257514920702</v>
      </c>
      <c r="I108" s="43">
        <f t="shared" si="128"/>
        <v>0.58429990803820775</v>
      </c>
      <c r="J108" s="43">
        <f t="shared" si="128"/>
        <v>0.54712253809942657</v>
      </c>
      <c r="K108" s="43">
        <f t="shared" si="128"/>
        <v>0.56251520975747005</v>
      </c>
      <c r="L108" s="43">
        <f t="shared" si="128"/>
        <v>0.55934439597665009</v>
      </c>
      <c r="M108" s="43">
        <f t="shared" si="128"/>
        <v>0.61847130944421236</v>
      </c>
      <c r="N108" s="43">
        <f t="shared" si="128"/>
        <v>0.60316007397435645</v>
      </c>
      <c r="O108" s="43">
        <f t="shared" si="128"/>
        <v>0.65482606721266046</v>
      </c>
      <c r="P108" s="43">
        <f t="shared" si="128"/>
        <v>0.63942532787131645</v>
      </c>
      <c r="Q108" s="43">
        <f t="shared" si="128"/>
        <v>0.68873658513037705</v>
      </c>
      <c r="R108" s="43">
        <f t="shared" si="128"/>
        <v>0.70942461394801648</v>
      </c>
      <c r="S108" s="43">
        <f t="shared" si="128"/>
        <v>0.66556170780174995</v>
      </c>
      <c r="T108" s="43">
        <f t="shared" si="128"/>
        <v>0.62315745706743775</v>
      </c>
      <c r="U108" s="43">
        <f t="shared" si="128"/>
        <v>0.57474668585853872</v>
      </c>
      <c r="V108" s="43">
        <f t="shared" si="128"/>
        <v>0.62166790775410952</v>
      </c>
      <c r="W108" s="43">
        <f t="shared" ref="W108" si="129">IF(W6=0,0,W6/W$4)</f>
        <v>0.56067823684682205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0.46341193190983709</v>
      </c>
      <c r="C109" s="43">
        <f t="shared" si="130"/>
        <v>0.46226297464647176</v>
      </c>
      <c r="D109" s="43">
        <f t="shared" ref="D109:V109" si="131">IF(D7=0,0,D7/D$4)</f>
        <v>0.45717945965369711</v>
      </c>
      <c r="E109" s="43">
        <f t="shared" si="131"/>
        <v>0.4627626086440158</v>
      </c>
      <c r="F109" s="43">
        <f t="shared" si="131"/>
        <v>0.47191574524711444</v>
      </c>
      <c r="G109" s="43">
        <f t="shared" si="131"/>
        <v>0.44037993167250211</v>
      </c>
      <c r="H109" s="43">
        <f t="shared" si="131"/>
        <v>0.41416989844309543</v>
      </c>
      <c r="I109" s="43">
        <f t="shared" si="131"/>
        <v>0.39365852828031372</v>
      </c>
      <c r="J109" s="43">
        <f t="shared" si="131"/>
        <v>0.43546983304433645</v>
      </c>
      <c r="K109" s="43">
        <f t="shared" si="131"/>
        <v>0.41916809580975484</v>
      </c>
      <c r="L109" s="43">
        <f t="shared" si="131"/>
        <v>0.42085095360767488</v>
      </c>
      <c r="M109" s="43">
        <f t="shared" si="131"/>
        <v>0.3568129430186564</v>
      </c>
      <c r="N109" s="43">
        <f t="shared" si="131"/>
        <v>0.35710878563890469</v>
      </c>
      <c r="O109" s="43">
        <f t="shared" si="131"/>
        <v>0.31934320406753613</v>
      </c>
      <c r="P109" s="43">
        <f t="shared" si="131"/>
        <v>0.33221988675615677</v>
      </c>
      <c r="Q109" s="43">
        <f t="shared" si="131"/>
        <v>0.28562104893299112</v>
      </c>
      <c r="R109" s="43">
        <f t="shared" si="131"/>
        <v>0.26544418032285383</v>
      </c>
      <c r="S109" s="43">
        <f t="shared" si="131"/>
        <v>0.30890157147585873</v>
      </c>
      <c r="T109" s="43">
        <f t="shared" si="131"/>
        <v>0.35863894525249751</v>
      </c>
      <c r="U109" s="43">
        <f t="shared" si="131"/>
        <v>0.40816031930850738</v>
      </c>
      <c r="V109" s="43">
        <f t="shared" si="131"/>
        <v>0.35844422290655181</v>
      </c>
      <c r="W109" s="43">
        <f t="shared" ref="W109" si="132">IF(W7=0,0,W7/W$4)</f>
        <v>0.4236917752855533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2.7040753005421348E-2</v>
      </c>
      <c r="C111" s="44">
        <f t="shared" si="136"/>
        <v>2.1758904098327567E-2</v>
      </c>
      <c r="D111" s="44">
        <f t="shared" ref="D111:V111" si="137">IF(D9=0,0,D9/D$8)</f>
        <v>2.503842284656704E-2</v>
      </c>
      <c r="E111" s="44">
        <f t="shared" si="137"/>
        <v>2.6652243906097096E-2</v>
      </c>
      <c r="F111" s="44">
        <f t="shared" si="137"/>
        <v>2.069868018931828E-2</v>
      </c>
      <c r="G111" s="44">
        <f t="shared" si="137"/>
        <v>1.6035281352566103E-2</v>
      </c>
      <c r="H111" s="44">
        <f t="shared" si="137"/>
        <v>2.938656719543329E-2</v>
      </c>
      <c r="I111" s="44">
        <f t="shared" si="137"/>
        <v>2.7591695250013318E-2</v>
      </c>
      <c r="J111" s="44">
        <f t="shared" si="137"/>
        <v>2.6969771191175107E-2</v>
      </c>
      <c r="K111" s="44">
        <f t="shared" si="137"/>
        <v>2.9622099019311978E-2</v>
      </c>
      <c r="L111" s="44">
        <f t="shared" si="137"/>
        <v>1.8659677011053411E-2</v>
      </c>
      <c r="M111" s="44">
        <f t="shared" si="137"/>
        <v>2.3182590652851106E-2</v>
      </c>
      <c r="N111" s="44">
        <f t="shared" si="137"/>
        <v>2.6394082375784042E-2</v>
      </c>
      <c r="O111" s="44">
        <f t="shared" si="137"/>
        <v>2.1420059211538684E-2</v>
      </c>
      <c r="P111" s="44">
        <f t="shared" si="137"/>
        <v>9.4544731202455129E-3</v>
      </c>
      <c r="Q111" s="44">
        <f t="shared" si="137"/>
        <v>5.7649853621366421E-3</v>
      </c>
      <c r="R111" s="44">
        <f t="shared" si="137"/>
        <v>2.7804441922161739E-3</v>
      </c>
      <c r="S111" s="44">
        <f t="shared" si="137"/>
        <v>8.0707030578395893E-4</v>
      </c>
      <c r="T111" s="44">
        <f t="shared" si="137"/>
        <v>6.8151010587379505E-4</v>
      </c>
      <c r="U111" s="44">
        <f t="shared" si="137"/>
        <v>6.082462308928245E-4</v>
      </c>
      <c r="V111" s="44">
        <f t="shared" si="137"/>
        <v>3.0777763346860674E-4</v>
      </c>
      <c r="W111" s="44">
        <f t="shared" ref="W111" si="138">IF(W9=0,0,W9/W$8)</f>
        <v>2.6707736198398375E-4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0.24643096366443937</v>
      </c>
      <c r="C112" s="44">
        <f t="shared" si="139"/>
        <v>0.20717745709778373</v>
      </c>
      <c r="D112" s="44">
        <f t="shared" ref="D112:V112" si="140">IF(D10=0,0,D10/D$8)</f>
        <v>0.22438281211096259</v>
      </c>
      <c r="E112" s="44">
        <f t="shared" si="140"/>
        <v>0.23043903587982348</v>
      </c>
      <c r="F112" s="44">
        <f t="shared" si="140"/>
        <v>0.17308472382940124</v>
      </c>
      <c r="G112" s="44">
        <f t="shared" si="140"/>
        <v>0.2280516242754809</v>
      </c>
      <c r="H112" s="44">
        <f t="shared" si="140"/>
        <v>0.20476913406874755</v>
      </c>
      <c r="I112" s="44">
        <f t="shared" si="140"/>
        <v>0.16214476783178675</v>
      </c>
      <c r="J112" s="44">
        <f t="shared" si="140"/>
        <v>0.15839062096524051</v>
      </c>
      <c r="K112" s="44">
        <f t="shared" si="140"/>
        <v>0.20823074037130868</v>
      </c>
      <c r="L112" s="44">
        <f t="shared" si="140"/>
        <v>0.13934120366207045</v>
      </c>
      <c r="M112" s="44">
        <f t="shared" si="140"/>
        <v>0.16667117064632492</v>
      </c>
      <c r="N112" s="44">
        <f t="shared" si="140"/>
        <v>0.20050738304061894</v>
      </c>
      <c r="O112" s="44">
        <f t="shared" si="140"/>
        <v>0.19972853905606641</v>
      </c>
      <c r="P112" s="44">
        <f t="shared" si="140"/>
        <v>0.16547736811195402</v>
      </c>
      <c r="Q112" s="44">
        <f t="shared" si="140"/>
        <v>0.16949948668329062</v>
      </c>
      <c r="R112" s="44">
        <f t="shared" si="140"/>
        <v>0.15169538410492941</v>
      </c>
      <c r="S112" s="44">
        <f t="shared" si="140"/>
        <v>0.14483302382657348</v>
      </c>
      <c r="T112" s="44">
        <f t="shared" si="140"/>
        <v>0.14308530999085042</v>
      </c>
      <c r="U112" s="44">
        <f t="shared" si="140"/>
        <v>0.10483649367965869</v>
      </c>
      <c r="V112" s="44">
        <f t="shared" si="140"/>
        <v>0.17057795561667755</v>
      </c>
      <c r="W112" s="44">
        <f t="shared" ref="W112" si="141">IF(W10=0,0,W10/W$8)</f>
        <v>0.17880269018429834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0.72652828333013919</v>
      </c>
      <c r="C113" s="45">
        <f t="shared" si="142"/>
        <v>0.77106363880388873</v>
      </c>
      <c r="D113" s="45">
        <f t="shared" ref="D113:V113" si="143">IF(D11=0,0,D11/D$8)</f>
        <v>0.75057876504247034</v>
      </c>
      <c r="E113" s="45">
        <f t="shared" si="143"/>
        <v>0.74290872021407939</v>
      </c>
      <c r="F113" s="45">
        <f t="shared" si="143"/>
        <v>0.80621659598128048</v>
      </c>
      <c r="G113" s="45">
        <f t="shared" si="143"/>
        <v>0.75591309437195287</v>
      </c>
      <c r="H113" s="45">
        <f t="shared" si="143"/>
        <v>0.76584429873581916</v>
      </c>
      <c r="I113" s="45">
        <f t="shared" si="143"/>
        <v>0.81026353691819997</v>
      </c>
      <c r="J113" s="45">
        <f t="shared" si="143"/>
        <v>0.81463960784358436</v>
      </c>
      <c r="K113" s="45">
        <f t="shared" si="143"/>
        <v>0.76214716060937926</v>
      </c>
      <c r="L113" s="45">
        <f t="shared" si="143"/>
        <v>0.8419991193268761</v>
      </c>
      <c r="M113" s="45">
        <f t="shared" si="143"/>
        <v>0.81014623870082392</v>
      </c>
      <c r="N113" s="45">
        <f t="shared" si="143"/>
        <v>0.77309853458359712</v>
      </c>
      <c r="O113" s="45">
        <f t="shared" si="143"/>
        <v>0.77885140173239498</v>
      </c>
      <c r="P113" s="45">
        <f t="shared" si="143"/>
        <v>0.82506815876780037</v>
      </c>
      <c r="Q113" s="45">
        <f t="shared" si="143"/>
        <v>0.82473552795457261</v>
      </c>
      <c r="R113" s="45">
        <f t="shared" si="143"/>
        <v>0.84552417170285432</v>
      </c>
      <c r="S113" s="45">
        <f t="shared" si="143"/>
        <v>0.85435990586764254</v>
      </c>
      <c r="T113" s="45">
        <f t="shared" si="143"/>
        <v>0.85623317990327585</v>
      </c>
      <c r="U113" s="45">
        <f t="shared" si="143"/>
        <v>0.89455526008944852</v>
      </c>
      <c r="V113" s="45">
        <f t="shared" si="143"/>
        <v>0.82911426674985389</v>
      </c>
      <c r="W113" s="45">
        <f t="shared" ref="W113" si="144">IF(W11=0,0,W11/W$8)</f>
        <v>0.82093023245371766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8.8255645744951608E-2</v>
      </c>
      <c r="C117" s="43">
        <f t="shared" si="148"/>
        <v>8.9477136615828123E-2</v>
      </c>
      <c r="D117" s="43">
        <f t="shared" ref="D117:V117" si="149">IF(D15=0,0,D15/D$14)</f>
        <v>0.11782616719317524</v>
      </c>
      <c r="E117" s="43">
        <f t="shared" si="149"/>
        <v>0.10993238768332964</v>
      </c>
      <c r="F117" s="43">
        <f t="shared" si="149"/>
        <v>8.619478025947945E-2</v>
      </c>
      <c r="G117" s="43">
        <f t="shared" si="149"/>
        <v>7.5202874930553096E-2</v>
      </c>
      <c r="H117" s="43">
        <f t="shared" si="149"/>
        <v>6.0080897654138807E-2</v>
      </c>
      <c r="I117" s="43">
        <f t="shared" si="149"/>
        <v>6.0580330068540238E-2</v>
      </c>
      <c r="J117" s="43">
        <f t="shared" si="149"/>
        <v>5.6620465347628914E-2</v>
      </c>
      <c r="K117" s="43">
        <f t="shared" si="149"/>
        <v>5.9029460514783805E-2</v>
      </c>
      <c r="L117" s="43">
        <f t="shared" si="149"/>
        <v>6.0756475202939662E-2</v>
      </c>
      <c r="M117" s="43">
        <f t="shared" si="149"/>
        <v>6.6929271793540968E-2</v>
      </c>
      <c r="N117" s="43">
        <f t="shared" si="149"/>
        <v>9.1494096412802428E-2</v>
      </c>
      <c r="O117" s="43">
        <f t="shared" si="149"/>
        <v>6.8466595255804466E-2</v>
      </c>
      <c r="P117" s="43">
        <f t="shared" si="149"/>
        <v>6.4959335923705064E-2</v>
      </c>
      <c r="Q117" s="43">
        <f t="shared" si="149"/>
        <v>5.1116959953315756E-2</v>
      </c>
      <c r="R117" s="43">
        <f t="shared" si="149"/>
        <v>5.0226535187184909E-2</v>
      </c>
      <c r="S117" s="43">
        <f t="shared" si="149"/>
        <v>4.9242560690356013E-2</v>
      </c>
      <c r="T117" s="43">
        <f t="shared" si="149"/>
        <v>3.7056082434258335E-2</v>
      </c>
      <c r="U117" s="43">
        <f t="shared" si="149"/>
        <v>3.7167196940566978E-2</v>
      </c>
      <c r="V117" s="43">
        <f t="shared" si="149"/>
        <v>4.7032727212601745E-2</v>
      </c>
      <c r="W117" s="43">
        <f t="shared" ref="W117" si="150">IF(W15=0,0,W15/W$14)</f>
        <v>3.5479355318160662E-2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0.55951533278000187</v>
      </c>
      <c r="C118" s="43">
        <f t="shared" si="151"/>
        <v>0.55876166374353853</v>
      </c>
      <c r="D118" s="43">
        <f t="shared" ref="D118:V118" si="152">IF(D16=0,0,D16/D$14)</f>
        <v>0.54135581875209771</v>
      </c>
      <c r="E118" s="43">
        <f t="shared" si="152"/>
        <v>0.54619599435584143</v>
      </c>
      <c r="F118" s="43">
        <f t="shared" si="152"/>
        <v>0.56075768694695627</v>
      </c>
      <c r="G118" s="43">
        <f t="shared" si="152"/>
        <v>0.59479330213553283</v>
      </c>
      <c r="H118" s="43">
        <f t="shared" si="152"/>
        <v>0.62986595296847658</v>
      </c>
      <c r="I118" s="43">
        <f t="shared" si="152"/>
        <v>0.6267301149273472</v>
      </c>
      <c r="J118" s="43">
        <f t="shared" si="152"/>
        <v>0.6396690033019613</v>
      </c>
      <c r="K118" s="43">
        <f t="shared" si="152"/>
        <v>0.64214878174457857</v>
      </c>
      <c r="L118" s="43">
        <f t="shared" si="152"/>
        <v>0.63858874808142096</v>
      </c>
      <c r="M118" s="43">
        <f t="shared" si="152"/>
        <v>0.64524228052334853</v>
      </c>
      <c r="N118" s="43">
        <f t="shared" si="152"/>
        <v>0.63913179627690864</v>
      </c>
      <c r="O118" s="43">
        <f t="shared" si="152"/>
        <v>0.68288843935018917</v>
      </c>
      <c r="P118" s="43">
        <f t="shared" si="152"/>
        <v>0.65004396295723677</v>
      </c>
      <c r="Q118" s="43">
        <f t="shared" si="152"/>
        <v>0.660118246799969</v>
      </c>
      <c r="R118" s="43">
        <f t="shared" si="152"/>
        <v>0.73400656915110873</v>
      </c>
      <c r="S118" s="43">
        <f t="shared" si="152"/>
        <v>0.70209193837051154</v>
      </c>
      <c r="T118" s="43">
        <f t="shared" si="152"/>
        <v>0.64532070814686981</v>
      </c>
      <c r="U118" s="43">
        <f t="shared" si="152"/>
        <v>0.63141612314936202</v>
      </c>
      <c r="V118" s="43">
        <f t="shared" si="152"/>
        <v>0.63183336967776194</v>
      </c>
      <c r="W118" s="43">
        <f t="shared" ref="W118" si="153">IF(W16=0,0,W16/W$14)</f>
        <v>0.61490242419716967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0.35222902147504664</v>
      </c>
      <c r="C119" s="43">
        <f t="shared" si="154"/>
        <v>0.35176119964063329</v>
      </c>
      <c r="D119" s="43">
        <f t="shared" ref="D119:V119" si="155">IF(D17=0,0,D17/D$14)</f>
        <v>0.340818014054727</v>
      </c>
      <c r="E119" s="43">
        <f t="shared" si="155"/>
        <v>0.34387161796082893</v>
      </c>
      <c r="F119" s="43">
        <f t="shared" si="155"/>
        <v>0.35304753279356432</v>
      </c>
      <c r="G119" s="43">
        <f t="shared" si="155"/>
        <v>0.33000382293391406</v>
      </c>
      <c r="H119" s="43">
        <f t="shared" si="155"/>
        <v>0.3100531493773846</v>
      </c>
      <c r="I119" s="43">
        <f t="shared" si="155"/>
        <v>0.31268955500411261</v>
      </c>
      <c r="J119" s="43">
        <f t="shared" si="155"/>
        <v>0.30371053135040976</v>
      </c>
      <c r="K119" s="43">
        <f t="shared" si="155"/>
        <v>0.29882175774063763</v>
      </c>
      <c r="L119" s="43">
        <f t="shared" si="155"/>
        <v>0.30065477671563928</v>
      </c>
      <c r="M119" s="43">
        <f t="shared" si="155"/>
        <v>0.2878284476831105</v>
      </c>
      <c r="N119" s="43">
        <f t="shared" si="155"/>
        <v>0.26937410731028905</v>
      </c>
      <c r="O119" s="43">
        <f t="shared" si="155"/>
        <v>0.24864496539400652</v>
      </c>
      <c r="P119" s="43">
        <f t="shared" si="155"/>
        <v>0.28499670111905806</v>
      </c>
      <c r="Q119" s="43">
        <f t="shared" si="155"/>
        <v>0.28876479324671517</v>
      </c>
      <c r="R119" s="43">
        <f t="shared" si="155"/>
        <v>0.21576689566170643</v>
      </c>
      <c r="S119" s="43">
        <f t="shared" si="155"/>
        <v>0.24866550093913256</v>
      </c>
      <c r="T119" s="43">
        <f t="shared" si="155"/>
        <v>0.3176232094188719</v>
      </c>
      <c r="U119" s="43">
        <f t="shared" si="155"/>
        <v>0.33141667991007095</v>
      </c>
      <c r="V119" s="43">
        <f t="shared" si="155"/>
        <v>0.3211339031096363</v>
      </c>
      <c r="W119" s="43">
        <f t="shared" ref="W119" si="156">IF(W17=0,0,W17/W$14)</f>
        <v>0.34961822048466973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0.13744991135384563</v>
      </c>
      <c r="C121" s="44">
        <f t="shared" si="160"/>
        <v>0.12792015924001654</v>
      </c>
      <c r="D121" s="44">
        <f t="shared" ref="D121:V121" si="161">IF(D19=0,0,D19/D$18)</f>
        <v>0.13024768931263084</v>
      </c>
      <c r="E121" s="44">
        <f t="shared" si="161"/>
        <v>0.12567375143280096</v>
      </c>
      <c r="F121" s="44">
        <f t="shared" si="161"/>
        <v>0.10992570334942001</v>
      </c>
      <c r="G121" s="44">
        <f t="shared" si="161"/>
        <v>7.5520908789076427E-2</v>
      </c>
      <c r="H121" s="44">
        <f t="shared" si="161"/>
        <v>0.13288395893766322</v>
      </c>
      <c r="I121" s="44">
        <f t="shared" si="161"/>
        <v>0.1345084909449798</v>
      </c>
      <c r="J121" s="44">
        <f t="shared" si="161"/>
        <v>0.13602770348863638</v>
      </c>
      <c r="K121" s="44">
        <f t="shared" si="161"/>
        <v>0.14142788365330353</v>
      </c>
      <c r="L121" s="44">
        <f t="shared" si="161"/>
        <v>0.10348188090376571</v>
      </c>
      <c r="M121" s="44">
        <f t="shared" si="161"/>
        <v>0.11154153501310733</v>
      </c>
      <c r="N121" s="44">
        <f t="shared" si="161"/>
        <v>0.12041047676641969</v>
      </c>
      <c r="O121" s="44">
        <f t="shared" si="161"/>
        <v>9.5865295864890718E-2</v>
      </c>
      <c r="P121" s="44">
        <f t="shared" si="161"/>
        <v>4.9193134068621622E-2</v>
      </c>
      <c r="Q121" s="44">
        <f t="shared" si="161"/>
        <v>2.9407661751403601E-2</v>
      </c>
      <c r="R121" s="44">
        <f t="shared" si="161"/>
        <v>1.411471894424092E-2</v>
      </c>
      <c r="S121" s="44">
        <f t="shared" si="161"/>
        <v>4.2969683238654778E-3</v>
      </c>
      <c r="T121" s="44">
        <f t="shared" si="161"/>
        <v>3.5429008327502618E-3</v>
      </c>
      <c r="U121" s="44">
        <f t="shared" si="161"/>
        <v>3.255035911367121E-3</v>
      </c>
      <c r="V121" s="44">
        <f t="shared" si="161"/>
        <v>1.1387080262410846E-3</v>
      </c>
      <c r="W121" s="44">
        <f t="shared" ref="W121" si="162">IF(W19=0,0,W19/W$18)</f>
        <v>8.6780796870845932E-4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0.51926450266588819</v>
      </c>
      <c r="C122" s="44">
        <f t="shared" si="163"/>
        <v>0.47290518528999487</v>
      </c>
      <c r="D122" s="44">
        <f t="shared" ref="D122:V122" si="164">IF(D20=0,0,D20/D$18)</f>
        <v>0.49538651917717363</v>
      </c>
      <c r="E122" s="44">
        <f t="shared" si="164"/>
        <v>0.48119155847734935</v>
      </c>
      <c r="F122" s="44">
        <f t="shared" si="164"/>
        <v>0.42393027639707753</v>
      </c>
      <c r="G122" s="44">
        <f t="shared" si="164"/>
        <v>0.52114853909616821</v>
      </c>
      <c r="H122" s="44">
        <f t="shared" si="164"/>
        <v>0.4767212338252923</v>
      </c>
      <c r="I122" s="44">
        <f t="shared" si="164"/>
        <v>0.41434603272387321</v>
      </c>
      <c r="J122" s="44">
        <f t="shared" si="164"/>
        <v>0.40318283736627492</v>
      </c>
      <c r="K122" s="44">
        <f t="shared" si="164"/>
        <v>0.49360039485669399</v>
      </c>
      <c r="L122" s="44">
        <f t="shared" si="164"/>
        <v>0.40379297840912565</v>
      </c>
      <c r="M122" s="44">
        <f t="shared" si="164"/>
        <v>0.43551108212987749</v>
      </c>
      <c r="N122" s="44">
        <f t="shared" si="164"/>
        <v>0.47408182898600659</v>
      </c>
      <c r="O122" s="44">
        <f t="shared" si="164"/>
        <v>0.47210243099889265</v>
      </c>
      <c r="P122" s="44">
        <f t="shared" si="164"/>
        <v>0.43753014544542951</v>
      </c>
      <c r="Q122" s="44">
        <f t="shared" si="164"/>
        <v>0.44594858972963597</v>
      </c>
      <c r="R122" s="44">
        <f t="shared" si="164"/>
        <v>0.42784762778152968</v>
      </c>
      <c r="S122" s="44">
        <f t="shared" si="164"/>
        <v>0.42470407193940102</v>
      </c>
      <c r="T122" s="44">
        <f t="shared" si="164"/>
        <v>0.40897047464049074</v>
      </c>
      <c r="U122" s="44">
        <f t="shared" si="164"/>
        <v>0.32257281513051483</v>
      </c>
      <c r="V122" s="44">
        <f t="shared" si="164"/>
        <v>0.40947692370255023</v>
      </c>
      <c r="W122" s="44">
        <f t="shared" ref="W122" si="165">IF(W20=0,0,W20/W$18)</f>
        <v>0.40283932673279843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0.34328558598026615</v>
      </c>
      <c r="C123" s="45">
        <f t="shared" si="166"/>
        <v>0.39917465546998865</v>
      </c>
      <c r="D123" s="45">
        <f t="shared" ref="D123:V123" si="167">IF(D21=0,0,D21/D$18)</f>
        <v>0.37436579151019539</v>
      </c>
      <c r="E123" s="45">
        <f t="shared" si="167"/>
        <v>0.3931346900898498</v>
      </c>
      <c r="F123" s="45">
        <f t="shared" si="167"/>
        <v>0.46614402025350249</v>
      </c>
      <c r="G123" s="45">
        <f t="shared" si="167"/>
        <v>0.40333055211475527</v>
      </c>
      <c r="H123" s="45">
        <f t="shared" si="167"/>
        <v>0.39039480723704439</v>
      </c>
      <c r="I123" s="45">
        <f t="shared" si="167"/>
        <v>0.45114547633114699</v>
      </c>
      <c r="J123" s="45">
        <f t="shared" si="167"/>
        <v>0.46078945914508873</v>
      </c>
      <c r="K123" s="45">
        <f t="shared" si="167"/>
        <v>0.36497172149000245</v>
      </c>
      <c r="L123" s="45">
        <f t="shared" si="167"/>
        <v>0.4927251406871086</v>
      </c>
      <c r="M123" s="45">
        <f t="shared" si="167"/>
        <v>0.45294738285701525</v>
      </c>
      <c r="N123" s="45">
        <f t="shared" si="167"/>
        <v>0.40550769424757377</v>
      </c>
      <c r="O123" s="45">
        <f t="shared" si="167"/>
        <v>0.43203227313621667</v>
      </c>
      <c r="P123" s="45">
        <f t="shared" si="167"/>
        <v>0.51327672048594886</v>
      </c>
      <c r="Q123" s="45">
        <f t="shared" si="167"/>
        <v>0.52464374851896045</v>
      </c>
      <c r="R123" s="45">
        <f t="shared" si="167"/>
        <v>0.55803765327422927</v>
      </c>
      <c r="S123" s="45">
        <f t="shared" si="167"/>
        <v>0.57099895973673342</v>
      </c>
      <c r="T123" s="45">
        <f t="shared" si="167"/>
        <v>0.58748662452675893</v>
      </c>
      <c r="U123" s="45">
        <f t="shared" si="167"/>
        <v>0.67417214895811806</v>
      </c>
      <c r="V123" s="45">
        <f t="shared" si="167"/>
        <v>0.58938436827120866</v>
      </c>
      <c r="W123" s="45">
        <f t="shared" ref="W123" si="168">IF(W21=0,0,W21/W$18)</f>
        <v>0.59629286529849312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284.40816852966458</v>
      </c>
      <c r="C3" s="79">
        <f t="shared" si="0"/>
        <v>280.19492691315565</v>
      </c>
      <c r="D3" s="79">
        <f t="shared" ref="D3" si="1">SUM(D4:D5)</f>
        <v>275.98641444539976</v>
      </c>
      <c r="E3" s="79">
        <f t="shared" ref="E3" si="2">SUM(E4:E5)</f>
        <v>298.10593293207222</v>
      </c>
      <c r="F3" s="79">
        <f t="shared" ref="F3" si="3">SUM(F4:F5)</f>
        <v>291.78134135855544</v>
      </c>
      <c r="G3" s="79">
        <f t="shared" ref="G3" si="4">SUM(G4:G5)</f>
        <v>330.75382631126394</v>
      </c>
      <c r="H3" s="79">
        <f t="shared" ref="H3" si="5">SUM(H4:H5)</f>
        <v>440.29810834049874</v>
      </c>
      <c r="I3" s="79">
        <f t="shared" ref="I3" si="6">SUM(I4:I5)</f>
        <v>459.2624247635423</v>
      </c>
      <c r="J3" s="79">
        <f t="shared" ref="J3" si="7">SUM(J4:J5)</f>
        <v>549.84239036973338</v>
      </c>
      <c r="K3" s="79">
        <f t="shared" ref="K3" si="8">SUM(K4:K5)</f>
        <v>486.9112639724849</v>
      </c>
      <c r="L3" s="79">
        <f t="shared" ref="L3" si="9">SUM(L4:L5)</f>
        <v>512.58718830610496</v>
      </c>
      <c r="M3" s="79">
        <f t="shared" ref="M3" si="10">SUM(M4:M5)</f>
        <v>503.36775580395539</v>
      </c>
      <c r="N3" s="79">
        <f t="shared" ref="N3" si="11">SUM(N4:N5)</f>
        <v>556.77368873602745</v>
      </c>
      <c r="O3" s="79">
        <f t="shared" ref="O3" si="12">SUM(O4:O5)</f>
        <v>542.37128116938948</v>
      </c>
      <c r="P3" s="79">
        <f t="shared" ref="P3" si="13">SUM(P4:P5)</f>
        <v>611.20662080825446</v>
      </c>
      <c r="Q3" s="79">
        <f t="shared" ref="Q3" si="14">SUM(Q4:Q5)</f>
        <v>667.66981943250232</v>
      </c>
      <c r="R3" s="79">
        <f t="shared" ref="R3" si="15">SUM(R4:R5)</f>
        <v>707.7243336199482</v>
      </c>
      <c r="S3" s="79">
        <f t="shared" ref="S3" si="16">SUM(S4:S5)</f>
        <v>878.20240756663804</v>
      </c>
      <c r="T3" s="79">
        <f t="shared" ref="T3" si="17">SUM(T4:T5)</f>
        <v>1039.2325021496129</v>
      </c>
      <c r="U3" s="79">
        <f t="shared" ref="U3" si="18">SUM(U4:U5)</f>
        <v>1109.9375752364574</v>
      </c>
      <c r="V3" s="79">
        <f t="shared" ref="V3:W3" si="19">SUM(V4:V5)</f>
        <v>475.3942390369732</v>
      </c>
      <c r="W3" s="79">
        <f t="shared" si="19"/>
        <v>593.84926913155607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3.1742906276870162</v>
      </c>
      <c r="C4" s="96">
        <f t="shared" si="20"/>
        <v>3.1742906276870162</v>
      </c>
      <c r="D4" s="96">
        <f t="shared" ref="D4:V4" si="21">SUM(D7,D11)</f>
        <v>4.232330180567498</v>
      </c>
      <c r="E4" s="96">
        <f t="shared" si="21"/>
        <v>4.232330180567498</v>
      </c>
      <c r="F4" s="96">
        <f t="shared" si="21"/>
        <v>3.1742906276870162</v>
      </c>
      <c r="G4" s="96">
        <f t="shared" si="21"/>
        <v>3.1742906276870162</v>
      </c>
      <c r="H4" s="96">
        <f t="shared" si="21"/>
        <v>3.1742906276870162</v>
      </c>
      <c r="I4" s="96">
        <f t="shared" si="21"/>
        <v>4.232330180567498</v>
      </c>
      <c r="J4" s="96">
        <f t="shared" si="21"/>
        <v>3.1742906276870162</v>
      </c>
      <c r="K4" s="96">
        <f t="shared" si="21"/>
        <v>4.2036973344797932</v>
      </c>
      <c r="L4" s="96">
        <f t="shared" si="21"/>
        <v>4.2036973344797932</v>
      </c>
      <c r="M4" s="96">
        <f t="shared" si="21"/>
        <v>5.2546001719690452</v>
      </c>
      <c r="N4" s="96">
        <f t="shared" si="21"/>
        <v>18.606104901117796</v>
      </c>
      <c r="O4" s="96">
        <f t="shared" si="21"/>
        <v>16.528116938950983</v>
      </c>
      <c r="P4" s="96">
        <f t="shared" si="21"/>
        <v>26.822355975924335</v>
      </c>
      <c r="Q4" s="96">
        <f t="shared" si="21"/>
        <v>18.582201203783324</v>
      </c>
      <c r="R4" s="96">
        <f t="shared" si="21"/>
        <v>24.744453998280314</v>
      </c>
      <c r="S4" s="96">
        <f t="shared" si="21"/>
        <v>27.531470335339638</v>
      </c>
      <c r="T4" s="96">
        <f t="shared" si="21"/>
        <v>32.843594153052457</v>
      </c>
      <c r="U4" s="96">
        <f t="shared" si="21"/>
        <v>33.825451418744628</v>
      </c>
      <c r="V4" s="96">
        <f t="shared" si="21"/>
        <v>18.235769561478936</v>
      </c>
      <c r="W4" s="96">
        <f t="shared" ref="W4" si="22">SUM(W7,W11)</f>
        <v>30.038091143594155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281.23387790197756</v>
      </c>
      <c r="C5" s="96">
        <f t="shared" si="23"/>
        <v>277.02063628546864</v>
      </c>
      <c r="D5" s="96">
        <f t="shared" ref="D5:V5" si="24">SUM(D8:D9,D12:D13)</f>
        <v>271.75408426483227</v>
      </c>
      <c r="E5" s="96">
        <f t="shared" si="24"/>
        <v>293.87360275150473</v>
      </c>
      <c r="F5" s="96">
        <f t="shared" si="24"/>
        <v>288.60705073086842</v>
      </c>
      <c r="G5" s="96">
        <f t="shared" si="24"/>
        <v>327.57953568357692</v>
      </c>
      <c r="H5" s="96">
        <f t="shared" si="24"/>
        <v>437.12381771281173</v>
      </c>
      <c r="I5" s="96">
        <f t="shared" si="24"/>
        <v>455.03009458297481</v>
      </c>
      <c r="J5" s="96">
        <f t="shared" si="24"/>
        <v>546.66809974204637</v>
      </c>
      <c r="K5" s="96">
        <f t="shared" si="24"/>
        <v>482.70756663800512</v>
      </c>
      <c r="L5" s="96">
        <f t="shared" si="24"/>
        <v>508.38349097162512</v>
      </c>
      <c r="M5" s="96">
        <f t="shared" si="24"/>
        <v>498.11315563198633</v>
      </c>
      <c r="N5" s="96">
        <f t="shared" si="24"/>
        <v>538.16758383490969</v>
      </c>
      <c r="O5" s="96">
        <f t="shared" si="24"/>
        <v>525.84316423043845</v>
      </c>
      <c r="P5" s="96">
        <f t="shared" si="24"/>
        <v>584.38426483233013</v>
      </c>
      <c r="Q5" s="96">
        <f t="shared" si="24"/>
        <v>649.08761822871895</v>
      </c>
      <c r="R5" s="96">
        <f t="shared" si="24"/>
        <v>682.97987962166792</v>
      </c>
      <c r="S5" s="96">
        <f t="shared" si="24"/>
        <v>850.67093723129835</v>
      </c>
      <c r="T5" s="96">
        <f t="shared" si="24"/>
        <v>1006.3889079965603</v>
      </c>
      <c r="U5" s="96">
        <f t="shared" si="24"/>
        <v>1076.1121238177127</v>
      </c>
      <c r="V5" s="96">
        <f t="shared" si="24"/>
        <v>457.15846947549426</v>
      </c>
      <c r="W5" s="96">
        <f t="shared" ref="W5" si="25">SUM(W8:W9,W12:W13)</f>
        <v>563.81117798796197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282.39183834260825</v>
      </c>
      <c r="C6" s="21">
        <f t="shared" si="26"/>
        <v>278.58669880877505</v>
      </c>
      <c r="D6" s="21">
        <f t="shared" ref="D6:V6" si="27">SUM(D7:D9)</f>
        <v>274.20068401904297</v>
      </c>
      <c r="E6" s="21">
        <f t="shared" si="27"/>
        <v>296.28363752370672</v>
      </c>
      <c r="F6" s="21">
        <f t="shared" si="27"/>
        <v>290.30909680894661</v>
      </c>
      <c r="G6" s="21">
        <f t="shared" si="27"/>
        <v>328.82595056161722</v>
      </c>
      <c r="H6" s="21">
        <f t="shared" si="27"/>
        <v>437.64076519503874</v>
      </c>
      <c r="I6" s="21">
        <f t="shared" si="27"/>
        <v>456.02185117972681</v>
      </c>
      <c r="J6" s="21">
        <f t="shared" si="27"/>
        <v>545.51936010632426</v>
      </c>
      <c r="K6" s="21">
        <f t="shared" si="27"/>
        <v>482.09726400861052</v>
      </c>
      <c r="L6" s="21">
        <f t="shared" si="27"/>
        <v>505.33948225459477</v>
      </c>
      <c r="M6" s="21">
        <f t="shared" si="27"/>
        <v>496.66230416426873</v>
      </c>
      <c r="N6" s="21">
        <f t="shared" si="27"/>
        <v>549.76100684798564</v>
      </c>
      <c r="O6" s="21">
        <f t="shared" si="27"/>
        <v>535.04438593636075</v>
      </c>
      <c r="P6" s="21">
        <f t="shared" si="27"/>
        <v>602.73281147310649</v>
      </c>
      <c r="Q6" s="21">
        <f t="shared" si="27"/>
        <v>658.73803248795446</v>
      </c>
      <c r="R6" s="21">
        <f t="shared" si="27"/>
        <v>696.80659344495984</v>
      </c>
      <c r="S6" s="21">
        <f t="shared" si="27"/>
        <v>865.52699854035654</v>
      </c>
      <c r="T6" s="21">
        <f t="shared" si="27"/>
        <v>1027.5537672701328</v>
      </c>
      <c r="U6" s="21">
        <f t="shared" si="27"/>
        <v>1094.194984335888</v>
      </c>
      <c r="V6" s="21">
        <f t="shared" si="27"/>
        <v>456.37717177609449</v>
      </c>
      <c r="W6" s="21">
        <f t="shared" ref="W6" si="28">SUM(W7:W9)</f>
        <v>570.14426683849922</v>
      </c>
      <c r="DA6" s="189" t="s">
        <v>279</v>
      </c>
    </row>
    <row r="7" spans="1:105" ht="11.45" customHeight="1" x14ac:dyDescent="0.25">
      <c r="A7" s="83" t="s">
        <v>27</v>
      </c>
      <c r="B7" s="96">
        <v>3.1271011748368092</v>
      </c>
      <c r="C7" s="96">
        <v>3.1377542195117267</v>
      </c>
      <c r="D7" s="96">
        <v>4.1917632157272822</v>
      </c>
      <c r="E7" s="96">
        <v>4.1919236020705766</v>
      </c>
      <c r="F7" s="96">
        <v>3.1443151549555144</v>
      </c>
      <c r="G7" s="96">
        <v>3.1502171071243077</v>
      </c>
      <c r="H7" s="96">
        <v>3.1136940402153166</v>
      </c>
      <c r="I7" s="96">
        <v>4.1354739623750421</v>
      </c>
      <c r="J7" s="96">
        <v>3.0877565555208748</v>
      </c>
      <c r="K7" s="96">
        <v>4.0812986805464062</v>
      </c>
      <c r="L7" s="96">
        <v>4.1004369300062837</v>
      </c>
      <c r="M7" s="96">
        <v>5.1395873572244382</v>
      </c>
      <c r="N7" s="96">
        <v>18.313140194603818</v>
      </c>
      <c r="O7" s="96">
        <v>16.22958519773659</v>
      </c>
      <c r="P7" s="96">
        <v>26.543399715032777</v>
      </c>
      <c r="Q7" s="96">
        <v>18.428334084449876</v>
      </c>
      <c r="R7" s="96">
        <v>24.639985864234365</v>
      </c>
      <c r="S7" s="96">
        <v>27.493689358921749</v>
      </c>
      <c r="T7" s="96">
        <v>32.796622886848581</v>
      </c>
      <c r="U7" s="96">
        <v>33.765304607658138</v>
      </c>
      <c r="V7" s="96">
        <v>18.216038526043413</v>
      </c>
      <c r="W7" s="96">
        <v>30.002320134476797</v>
      </c>
      <c r="DA7" s="171" t="s">
        <v>280</v>
      </c>
    </row>
    <row r="8" spans="1:105" ht="11.45" customHeight="1" x14ac:dyDescent="0.25">
      <c r="A8" s="83" t="s">
        <v>173</v>
      </c>
      <c r="B8" s="96">
        <v>179.00094151993136</v>
      </c>
      <c r="C8" s="96">
        <v>176.55403876808663</v>
      </c>
      <c r="D8" s="96">
        <v>173.06483801109218</v>
      </c>
      <c r="E8" s="96">
        <v>187.21795330372331</v>
      </c>
      <c r="F8" s="96">
        <v>184.05871319816325</v>
      </c>
      <c r="G8" s="96">
        <v>216.6059958628957</v>
      </c>
      <c r="H8" s="96">
        <v>305.91737747403721</v>
      </c>
      <c r="I8" s="96">
        <v>329.18814626469589</v>
      </c>
      <c r="J8" s="96">
        <v>402.01491647956357</v>
      </c>
      <c r="K8" s="96">
        <v>342.45659694782984</v>
      </c>
      <c r="L8" s="96">
        <v>358.80194013951274</v>
      </c>
      <c r="M8" s="96">
        <v>350.91184040805609</v>
      </c>
      <c r="N8" s="96">
        <v>382.385263129875</v>
      </c>
      <c r="O8" s="96">
        <v>381.39033869411367</v>
      </c>
      <c r="P8" s="96">
        <v>421.18247052889444</v>
      </c>
      <c r="Q8" s="96">
        <v>477.69444843471456</v>
      </c>
      <c r="R8" s="96">
        <v>512.33934910688197</v>
      </c>
      <c r="S8" s="96">
        <v>647.34515253603956</v>
      </c>
      <c r="T8" s="96">
        <v>771.78648560879606</v>
      </c>
      <c r="U8" s="96">
        <v>824.49287308231271</v>
      </c>
      <c r="V8" s="96">
        <v>301.28915951847603</v>
      </c>
      <c r="W8" s="96">
        <v>379.88480135160819</v>
      </c>
      <c r="DA8" s="171" t="s">
        <v>281</v>
      </c>
    </row>
    <row r="9" spans="1:105" ht="11.45" customHeight="1" x14ac:dyDescent="0.25">
      <c r="A9" s="83" t="s">
        <v>174</v>
      </c>
      <c r="B9" s="96">
        <v>100.26379564784011</v>
      </c>
      <c r="C9" s="96">
        <v>98.894905821176692</v>
      </c>
      <c r="D9" s="96">
        <v>96.944082792223512</v>
      </c>
      <c r="E9" s="96">
        <v>104.87376061791282</v>
      </c>
      <c r="F9" s="96">
        <v>103.10606845582785</v>
      </c>
      <c r="G9" s="96">
        <v>109.06973759159717</v>
      </c>
      <c r="H9" s="96">
        <v>128.60969368078622</v>
      </c>
      <c r="I9" s="96">
        <v>122.6982309526559</v>
      </c>
      <c r="J9" s="96">
        <v>140.41668707123983</v>
      </c>
      <c r="K9" s="96">
        <v>135.55936838023428</v>
      </c>
      <c r="L9" s="96">
        <v>142.43710518507572</v>
      </c>
      <c r="M9" s="96">
        <v>140.61087639898818</v>
      </c>
      <c r="N9" s="96">
        <v>149.06260352350679</v>
      </c>
      <c r="O9" s="96">
        <v>137.42446204451051</v>
      </c>
      <c r="P9" s="96">
        <v>155.00694122917926</v>
      </c>
      <c r="Q9" s="96">
        <v>162.61524996879001</v>
      </c>
      <c r="R9" s="96">
        <v>159.82725847384353</v>
      </c>
      <c r="S9" s="96">
        <v>190.6881566453952</v>
      </c>
      <c r="T9" s="96">
        <v>222.97065877448804</v>
      </c>
      <c r="U9" s="96">
        <v>235.93680664591719</v>
      </c>
      <c r="V9" s="96">
        <v>136.87197373157505</v>
      </c>
      <c r="W9" s="96">
        <v>160.25714535241423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2.0163301870562971</v>
      </c>
      <c r="C10" s="22">
        <f t="shared" si="29"/>
        <v>1.6082281043805833</v>
      </c>
      <c r="D10" s="22">
        <f t="shared" ref="D10:V10" si="30">SUM(D11:D13)</f>
        <v>1.7857304263568281</v>
      </c>
      <c r="E10" s="22">
        <f t="shared" si="30"/>
        <v>1.8222954083655143</v>
      </c>
      <c r="F10" s="22">
        <f t="shared" si="30"/>
        <v>1.4722445496088108</v>
      </c>
      <c r="G10" s="22">
        <f t="shared" si="30"/>
        <v>1.9278757496467789</v>
      </c>
      <c r="H10" s="22">
        <f t="shared" si="30"/>
        <v>2.6573431454600218</v>
      </c>
      <c r="I10" s="22">
        <f t="shared" si="30"/>
        <v>3.2405735838155278</v>
      </c>
      <c r="J10" s="22">
        <f t="shared" si="30"/>
        <v>4.3230302634091569</v>
      </c>
      <c r="K10" s="22">
        <f t="shared" si="30"/>
        <v>4.8139999638743731</v>
      </c>
      <c r="L10" s="22">
        <f t="shared" si="30"/>
        <v>7.2477060515101588</v>
      </c>
      <c r="M10" s="22">
        <f t="shared" si="30"/>
        <v>6.7054516396866557</v>
      </c>
      <c r="N10" s="22">
        <f t="shared" si="30"/>
        <v>7.0126818880419322</v>
      </c>
      <c r="O10" s="22">
        <f t="shared" si="30"/>
        <v>7.3268952330286226</v>
      </c>
      <c r="P10" s="22">
        <f t="shared" si="30"/>
        <v>8.4738093351480632</v>
      </c>
      <c r="Q10" s="22">
        <f t="shared" si="30"/>
        <v>8.9317869445477385</v>
      </c>
      <c r="R10" s="22">
        <f t="shared" si="30"/>
        <v>10.917740174988451</v>
      </c>
      <c r="S10" s="22">
        <f t="shared" si="30"/>
        <v>12.675409026281539</v>
      </c>
      <c r="T10" s="22">
        <f t="shared" si="30"/>
        <v>11.6787348794801</v>
      </c>
      <c r="U10" s="22">
        <f t="shared" si="30"/>
        <v>15.742590900569262</v>
      </c>
      <c r="V10" s="22">
        <f t="shared" si="30"/>
        <v>19.017067260878683</v>
      </c>
      <c r="W10" s="22">
        <f t="shared" ref="W10" si="31">SUM(W11:W13)</f>
        <v>23.705002293056882</v>
      </c>
      <c r="DA10" s="193" t="s">
        <v>283</v>
      </c>
    </row>
    <row r="11" spans="1:105" ht="11.45" customHeight="1" x14ac:dyDescent="0.25">
      <c r="A11" s="92" t="s">
        <v>27</v>
      </c>
      <c r="B11" s="97">
        <v>4.7189452850207217E-2</v>
      </c>
      <c r="C11" s="97">
        <v>3.6536408175289317E-2</v>
      </c>
      <c r="D11" s="97">
        <v>4.0566964840215929E-2</v>
      </c>
      <c r="E11" s="97">
        <v>4.0406578496921468E-2</v>
      </c>
      <c r="F11" s="97">
        <v>2.9975472731501834E-2</v>
      </c>
      <c r="G11" s="97">
        <v>2.4073520562708398E-2</v>
      </c>
      <c r="H11" s="97">
        <v>6.0596587471699576E-2</v>
      </c>
      <c r="I11" s="97">
        <v>9.6856218192456239E-2</v>
      </c>
      <c r="J11" s="97">
        <v>8.6534072166141479E-2</v>
      </c>
      <c r="K11" s="97">
        <v>0.12239865393338741</v>
      </c>
      <c r="L11" s="97">
        <v>0.10326040447350973</v>
      </c>
      <c r="M11" s="97">
        <v>0.11501281474460667</v>
      </c>
      <c r="N11" s="97">
        <v>0.29296470651397649</v>
      </c>
      <c r="O11" s="97">
        <v>0.29853174121439496</v>
      </c>
      <c r="P11" s="97">
        <v>0.27895626089155878</v>
      </c>
      <c r="Q11" s="97">
        <v>0.1538671193334471</v>
      </c>
      <c r="R11" s="97">
        <v>0.1044681340459469</v>
      </c>
      <c r="S11" s="97">
        <v>3.7780976417889543E-2</v>
      </c>
      <c r="T11" s="97">
        <v>4.6971266203877128E-2</v>
      </c>
      <c r="U11" s="97">
        <v>6.0146811086487569E-2</v>
      </c>
      <c r="V11" s="97">
        <v>1.9731035435524388E-2</v>
      </c>
      <c r="W11" s="97">
        <v>3.5771009117358109E-2</v>
      </c>
      <c r="DA11" s="175" t="s">
        <v>284</v>
      </c>
    </row>
    <row r="12" spans="1:105" ht="11.45" customHeight="1" x14ac:dyDescent="0.25">
      <c r="A12" s="92" t="s">
        <v>173</v>
      </c>
      <c r="B12" s="97">
        <v>1.5717776730147843</v>
      </c>
      <c r="C12" s="97">
        <v>1.1880897179988521</v>
      </c>
      <c r="D12" s="97">
        <v>1.3539135110804703</v>
      </c>
      <c r="E12" s="97">
        <v>1.3576176284980181</v>
      </c>
      <c r="F12" s="97">
        <v>1.0151935096324243</v>
      </c>
      <c r="G12" s="97">
        <v>1.4763046862518743</v>
      </c>
      <c r="H12" s="97">
        <v>1.9000777148177725</v>
      </c>
      <c r="I12" s="97">
        <v>2.0191138998182514</v>
      </c>
      <c r="J12" s="97">
        <v>2.3218928049166587</v>
      </c>
      <c r="K12" s="97">
        <v>2.6442551811518347</v>
      </c>
      <c r="L12" s="97">
        <v>2.6494712285656288</v>
      </c>
      <c r="M12" s="97">
        <v>2.6175530914810299</v>
      </c>
      <c r="N12" s="97">
        <v>2.9551042941810559</v>
      </c>
      <c r="O12" s="97">
        <v>2.7744068008775677</v>
      </c>
      <c r="P12" s="97">
        <v>3.0694358682213867</v>
      </c>
      <c r="Q12" s="97">
        <v>3.3245399827296351</v>
      </c>
      <c r="R12" s="97">
        <v>3.1196848937992532</v>
      </c>
      <c r="S12" s="97">
        <v>4.2562469943292687</v>
      </c>
      <c r="T12" s="97">
        <v>4.4592901168495356</v>
      </c>
      <c r="U12" s="97">
        <v>4.2232459799716224</v>
      </c>
      <c r="V12" s="97">
        <v>6.0335451544383352</v>
      </c>
      <c r="W12" s="97">
        <v>8.0537793022887136</v>
      </c>
      <c r="DA12" s="175" t="s">
        <v>285</v>
      </c>
    </row>
    <row r="13" spans="1:105" ht="11.45" customHeight="1" x14ac:dyDescent="0.25">
      <c r="A13" s="85" t="s">
        <v>174</v>
      </c>
      <c r="B13" s="98">
        <v>0.39736306119130554</v>
      </c>
      <c r="C13" s="98">
        <v>0.38360197820644204</v>
      </c>
      <c r="D13" s="98">
        <v>0.39124995043614197</v>
      </c>
      <c r="E13" s="98">
        <v>0.42427120137057467</v>
      </c>
      <c r="F13" s="98">
        <v>0.4270755672448846</v>
      </c>
      <c r="G13" s="98">
        <v>0.4274975428321961</v>
      </c>
      <c r="H13" s="98">
        <v>0.69666884317054945</v>
      </c>
      <c r="I13" s="98">
        <v>1.1246034658048198</v>
      </c>
      <c r="J13" s="98">
        <v>1.9146033863263572</v>
      </c>
      <c r="K13" s="98">
        <v>2.0473461287891515</v>
      </c>
      <c r="L13" s="98">
        <v>4.4949744184710205</v>
      </c>
      <c r="M13" s="98">
        <v>3.9728857334610188</v>
      </c>
      <c r="N13" s="98">
        <v>3.7646128873468991</v>
      </c>
      <c r="O13" s="98">
        <v>4.2539566909366595</v>
      </c>
      <c r="P13" s="98">
        <v>5.1254172060351175</v>
      </c>
      <c r="Q13" s="98">
        <v>5.4533798424846553</v>
      </c>
      <c r="R13" s="98">
        <v>7.6935871471432504</v>
      </c>
      <c r="S13" s="98">
        <v>8.3813810555343817</v>
      </c>
      <c r="T13" s="98">
        <v>7.1724734964266874</v>
      </c>
      <c r="U13" s="98">
        <v>11.459198109511151</v>
      </c>
      <c r="V13" s="98">
        <v>12.963791071004824</v>
      </c>
      <c r="W13" s="98">
        <v>15.615451981650811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291.83517356009668</v>
      </c>
      <c r="C17" s="62">
        <f>IF(C3=0,0,C3/TrAvia_act!C13*100)</f>
        <v>291.5578631540962</v>
      </c>
      <c r="D17" s="62">
        <f>IF(D3=0,0,D3/TrAvia_act!D13*100)</f>
        <v>283.20779319845695</v>
      </c>
      <c r="E17" s="62">
        <f>IF(E3=0,0,E3/TrAvia_act!E13*100)</f>
        <v>285.19588567310177</v>
      </c>
      <c r="F17" s="62">
        <f>IF(F3=0,0,F3/TrAvia_act!F13*100)</f>
        <v>291.74756884851308</v>
      </c>
      <c r="G17" s="62">
        <f>IF(G3=0,0,G3/TrAvia_act!G13*100)</f>
        <v>281.44027926387849</v>
      </c>
      <c r="H17" s="62">
        <f>IF(H3=0,0,H3/TrAvia_act!H13*100)</f>
        <v>307.96934305659272</v>
      </c>
      <c r="I17" s="62">
        <f>IF(I3=0,0,I3/TrAvia_act!I13*100)</f>
        <v>300.31164207325202</v>
      </c>
      <c r="J17" s="62">
        <f>IF(J3=0,0,J3/TrAvia_act!J13*100)</f>
        <v>351.52422357352469</v>
      </c>
      <c r="K17" s="62">
        <f>IF(K3=0,0,K3/TrAvia_act!K13*100)</f>
        <v>352.91921830808406</v>
      </c>
      <c r="L17" s="62">
        <f>IF(L3=0,0,L3/TrAvia_act!L13*100)</f>
        <v>362.61665473122974</v>
      </c>
      <c r="M17" s="62">
        <f>IF(M3=0,0,M3/TrAvia_act!M13*100)</f>
        <v>334.11940844002754</v>
      </c>
      <c r="N17" s="62">
        <f>IF(N3=0,0,N3/TrAvia_act!N13*100)</f>
        <v>368.86760238604825</v>
      </c>
      <c r="O17" s="62">
        <f>IF(O3=0,0,O3/TrAvia_act!O13*100)</f>
        <v>355.24841112426071</v>
      </c>
      <c r="P17" s="62">
        <f>IF(P3=0,0,P3/TrAvia_act!P13*100)</f>
        <v>366.9300770719218</v>
      </c>
      <c r="Q17" s="62">
        <f>IF(Q3=0,0,Q3/TrAvia_act!Q13*100)</f>
        <v>363.92594976345276</v>
      </c>
      <c r="R17" s="62">
        <f>IF(R3=0,0,R3/TrAvia_act!R13*100)</f>
        <v>380.91829558438496</v>
      </c>
      <c r="S17" s="62">
        <f>IF(S3=0,0,S3/TrAvia_act!S13*100)</f>
        <v>413.32087022485302</v>
      </c>
      <c r="T17" s="62">
        <f>IF(T3=0,0,T3/TrAvia_act!T13*100)</f>
        <v>409.95318631473634</v>
      </c>
      <c r="U17" s="62">
        <f>IF(U3=0,0,U3/TrAvia_act!U13*100)</f>
        <v>427.88266435516175</v>
      </c>
      <c r="V17" s="62">
        <f>IF(V3=0,0,V3/TrAvia_act!V13*100)</f>
        <v>454.93540290594041</v>
      </c>
      <c r="W17" s="62">
        <f>IF(W3=0,0,W3/TrAvia_act!W13*100)</f>
        <v>436.02681588085323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291.98146009259847</v>
      </c>
      <c r="C18" s="14">
        <f>IF(C6=0,0,C6/TrAvia_act!C14*100)</f>
        <v>291.74728734531988</v>
      </c>
      <c r="D18" s="14">
        <f>IF(D6=0,0,D6/TrAvia_act!D14*100)</f>
        <v>283.31895908235356</v>
      </c>
      <c r="E18" s="14">
        <f>IF(E6=0,0,E6/TrAvia_act!E14*100)</f>
        <v>285.33823258868529</v>
      </c>
      <c r="F18" s="14">
        <f>IF(F6=0,0,F6/TrAvia_act!F14*100)</f>
        <v>291.98751993976083</v>
      </c>
      <c r="G18" s="14">
        <f>IF(G6=0,0,G6/TrAvia_act!G14*100)</f>
        <v>281.49332030086117</v>
      </c>
      <c r="H18" s="14">
        <f>IF(H6=0,0,H6/TrAvia_act!H14*100)</f>
        <v>308.27638940723023</v>
      </c>
      <c r="I18" s="14">
        <f>IF(I6=0,0,I6/TrAvia_act!I14*100)</f>
        <v>300.76833590628235</v>
      </c>
      <c r="J18" s="14">
        <f>IF(J6=0,0,J6/TrAvia_act!J14*100)</f>
        <v>352.15922188352755</v>
      </c>
      <c r="K18" s="14">
        <f>IF(K6=0,0,K6/TrAvia_act!K14*100)</f>
        <v>353.15225764924077</v>
      </c>
      <c r="L18" s="14">
        <f>IF(L6=0,0,L6/TrAvia_act!L14*100)</f>
        <v>362.1099548329517</v>
      </c>
      <c r="M18" s="14">
        <f>IF(M6=0,0,M6/TrAvia_act!M14*100)</f>
        <v>333.75908567589107</v>
      </c>
      <c r="N18" s="14">
        <f>IF(N6=0,0,N6/TrAvia_act!N14*100)</f>
        <v>368.52299829537986</v>
      </c>
      <c r="O18" s="14">
        <f>IF(O6=0,0,O6/TrAvia_act!O14*100)</f>
        <v>354.84495015254595</v>
      </c>
      <c r="P18" s="14">
        <f>IF(P6=0,0,P6/TrAvia_act!P14*100)</f>
        <v>366.5567070031999</v>
      </c>
      <c r="Q18" s="14">
        <f>IF(Q6=0,0,Q6/TrAvia_act!Q14*100)</f>
        <v>363.80738016393224</v>
      </c>
      <c r="R18" s="14">
        <f>IF(R6=0,0,R6/TrAvia_act!R14*100)</f>
        <v>380.0678091454875</v>
      </c>
      <c r="S18" s="14">
        <f>IF(S6=0,0,S6/TrAvia_act!S14*100)</f>
        <v>412.94206159558786</v>
      </c>
      <c r="T18" s="14">
        <f>IF(T6=0,0,T6/TrAvia_act!T14*100)</f>
        <v>410.49707922124969</v>
      </c>
      <c r="U18" s="14">
        <f>IF(U6=0,0,U6/TrAvia_act!U14*100)</f>
        <v>428.79348731508617</v>
      </c>
      <c r="V18" s="14">
        <f>IF(V6=0,0,V6/TrAvia_act!V14*100)</f>
        <v>452.66454869314845</v>
      </c>
      <c r="W18" s="14">
        <f>IF(W6=0,0,W6/TrAvia_act!W14*100)</f>
        <v>435.32801530666836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36.635537791802186</v>
      </c>
      <c r="C19" s="87">
        <f>IF(C7=0,0,C7/TrAvia_act!C15*100)</f>
        <v>36.724280359007153</v>
      </c>
      <c r="D19" s="87">
        <f>IF(D7=0,0,D7/TrAvia_act!D15*100)</f>
        <v>36.758865175855298</v>
      </c>
      <c r="E19" s="87">
        <f>IF(E7=0,0,E7/TrAvia_act!E15*100)</f>
        <v>36.723155970762903</v>
      </c>
      <c r="F19" s="87">
        <f>IF(F7=0,0,F7/TrAvia_act!F15*100)</f>
        <v>36.690087442457894</v>
      </c>
      <c r="G19" s="87">
        <f>IF(G7=0,0,G7/TrAvia_act!G15*100)</f>
        <v>35.859815561578046</v>
      </c>
      <c r="H19" s="87">
        <f>IF(H7=0,0,H7/TrAvia_act!H15*100)</f>
        <v>36.505812408534247</v>
      </c>
      <c r="I19" s="87">
        <f>IF(I7=0,0,I7/TrAvia_act!I15*100)</f>
        <v>45.023589411936413</v>
      </c>
      <c r="J19" s="87">
        <f>IF(J7=0,0,J7/TrAvia_act!J15*100)</f>
        <v>35.204527164501712</v>
      </c>
      <c r="K19" s="87">
        <f>IF(K7=0,0,K7/TrAvia_act!K15*100)</f>
        <v>50.647368423677527</v>
      </c>
      <c r="L19" s="87">
        <f>IF(L7=0,0,L7/TrAvia_act!L15*100)</f>
        <v>48.360947292034609</v>
      </c>
      <c r="M19" s="87">
        <f>IF(M7=0,0,M7/TrAvia_act!M15*100)</f>
        <v>51.604081245761066</v>
      </c>
      <c r="N19" s="87">
        <f>IF(N7=0,0,N7/TrAvia_act!N15*100)</f>
        <v>134.17154179976939</v>
      </c>
      <c r="O19" s="87">
        <f>IF(O7=0,0,O7/TrAvia_act!O15*100)</f>
        <v>157.20903654436535</v>
      </c>
      <c r="P19" s="87">
        <f>IF(P7=0,0,P7/TrAvia_act!P15*100)</f>
        <v>248.50281162221734</v>
      </c>
      <c r="Q19" s="87">
        <f>IF(Q7=0,0,Q7/TrAvia_act!Q15*100)</f>
        <v>199.10392709485927</v>
      </c>
      <c r="R19" s="87">
        <f>IF(R7=0,0,R7/TrAvia_act!R15*100)</f>
        <v>267.58149161373933</v>
      </c>
      <c r="S19" s="87">
        <f>IF(S7=0,0,S7/TrAvia_act!S15*100)</f>
        <v>266.37955850130345</v>
      </c>
      <c r="T19" s="87">
        <f>IF(T7=0,0,T7/TrAvia_act!T15*100)</f>
        <v>353.56977961427651</v>
      </c>
      <c r="U19" s="87">
        <f>IF(U7=0,0,U7/TrAvia_act!U15*100)</f>
        <v>356.01174344144817</v>
      </c>
      <c r="V19" s="87">
        <f>IF(V7=0,0,V7/TrAvia_act!V15*100)</f>
        <v>384.15487111547725</v>
      </c>
      <c r="W19" s="87">
        <f>IF(W7=0,0,W7/TrAvia_act!W15*100)</f>
        <v>645.67054734687531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330.7854957333613</v>
      </c>
      <c r="C20" s="87">
        <f>IF(C8=0,0,C8/TrAvia_act!C16*100)</f>
        <v>330.90056180903872</v>
      </c>
      <c r="D20" s="87">
        <f>IF(D8=0,0,D8/TrAvia_act!D16*100)</f>
        <v>330.31868028794429</v>
      </c>
      <c r="E20" s="87">
        <f>IF(E8=0,0,E8/TrAvia_act!E16*100)</f>
        <v>330.10437578176817</v>
      </c>
      <c r="F20" s="87">
        <f>IF(F8=0,0,F8/TrAvia_act!F16*100)</f>
        <v>330.12984689693047</v>
      </c>
      <c r="G20" s="87">
        <f>IF(G8=0,0,G8/TrAvia_act!G16*100)</f>
        <v>311.74996562333757</v>
      </c>
      <c r="H20" s="87">
        <f>IF(H8=0,0,H8/TrAvia_act!H16*100)</f>
        <v>342.12003611009845</v>
      </c>
      <c r="I20" s="87">
        <f>IF(I8=0,0,I8/TrAvia_act!I16*100)</f>
        <v>346.42568517426724</v>
      </c>
      <c r="J20" s="87">
        <f>IF(J8=0,0,J8/TrAvia_act!J16*100)</f>
        <v>405.71004328892064</v>
      </c>
      <c r="K20" s="87">
        <f>IF(K8=0,0,K8/TrAvia_act!K16*100)</f>
        <v>390.65842420330847</v>
      </c>
      <c r="L20" s="87">
        <f>IF(L8=0,0,L8/TrAvia_act!L16*100)</f>
        <v>402.61574422851567</v>
      </c>
      <c r="M20" s="87">
        <f>IF(M8=0,0,M8/TrAvia_act!M16*100)</f>
        <v>365.46610344632364</v>
      </c>
      <c r="N20" s="87">
        <f>IF(N8=0,0,N8/TrAvia_act!N16*100)</f>
        <v>401.05264540101422</v>
      </c>
      <c r="O20" s="87">
        <f>IF(O8=0,0,O8/TrAvia_act!O16*100)</f>
        <v>370.39809501547569</v>
      </c>
      <c r="P20" s="87">
        <f>IF(P8=0,0,P8/TrAvia_act!P16*100)</f>
        <v>394.04325197767417</v>
      </c>
      <c r="Q20" s="87">
        <f>IF(Q8=0,0,Q8/TrAvia_act!Q16*100)</f>
        <v>399.65681509421722</v>
      </c>
      <c r="R20" s="87">
        <f>IF(R8=0,0,R8/TrAvia_act!R16*100)</f>
        <v>380.7207974095715</v>
      </c>
      <c r="S20" s="87">
        <f>IF(S8=0,0,S8/TrAvia_act!S16*100)</f>
        <v>439.89640835914798</v>
      </c>
      <c r="T20" s="87">
        <f>IF(T8=0,0,T8/TrAvia_act!T16*100)</f>
        <v>477.77902891520733</v>
      </c>
      <c r="U20" s="87">
        <f>IF(U8=0,0,U8/TrAvia_act!U16*100)</f>
        <v>511.71093697545081</v>
      </c>
      <c r="V20" s="87">
        <f>IF(V8=0,0,V8/TrAvia_act!V16*100)</f>
        <v>472.96991578231552</v>
      </c>
      <c r="W20" s="87">
        <f>IF(W8=0,0,W8/TrAvia_act!W16*100)</f>
        <v>471.71269943031848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294.32160328351648</v>
      </c>
      <c r="C21" s="87">
        <f>IF(C9=0,0,C9/TrAvia_act!C17*100)</f>
        <v>294.42347692194284</v>
      </c>
      <c r="D21" s="87">
        <f>IF(D9=0,0,D9/TrAvia_act!D17*100)</f>
        <v>293.90425136341207</v>
      </c>
      <c r="E21" s="87">
        <f>IF(E9=0,0,E9/TrAvia_act!E17*100)</f>
        <v>293.71275593241836</v>
      </c>
      <c r="F21" s="87">
        <f>IF(F9=0,0,F9/TrAvia_act!F17*100)</f>
        <v>293.73431887858226</v>
      </c>
      <c r="G21" s="87">
        <f>IF(G9=0,0,G9/TrAvia_act!G17*100)</f>
        <v>282.93541193644086</v>
      </c>
      <c r="H21" s="87">
        <f>IF(H9=0,0,H9/TrAvia_act!H17*100)</f>
        <v>292.18643653823506</v>
      </c>
      <c r="I21" s="87">
        <f>IF(I9=0,0,I9/TrAvia_act!I17*100)</f>
        <v>258.80423960665718</v>
      </c>
      <c r="J21" s="87">
        <f>IF(J9=0,0,J9/TrAvia_act!J17*100)</f>
        <v>298.4611226679101</v>
      </c>
      <c r="K21" s="87">
        <f>IF(K9=0,0,K9/TrAvia_act!K17*100)</f>
        <v>332.31094142908859</v>
      </c>
      <c r="L21" s="87">
        <f>IF(L9=0,0,L9/TrAvia_act!L17*100)</f>
        <v>339.47849153845107</v>
      </c>
      <c r="M21" s="87">
        <f>IF(M9=0,0,M9/TrAvia_act!M17*100)</f>
        <v>328.28957948896425</v>
      </c>
      <c r="N21" s="87">
        <f>IF(N9=0,0,N9/TrAvia_act!N17*100)</f>
        <v>370.93987115191646</v>
      </c>
      <c r="O21" s="87">
        <f>IF(O9=0,0,O9/TrAvia_act!O17*100)</f>
        <v>366.5499741331322</v>
      </c>
      <c r="P21" s="87">
        <f>IF(P9=0,0,P9/TrAvia_act!P17*100)</f>
        <v>330.77117006186592</v>
      </c>
      <c r="Q21" s="87">
        <f>IF(Q9=0,0,Q9/TrAvia_act!Q17*100)</f>
        <v>311.01103283630277</v>
      </c>
      <c r="R21" s="87">
        <f>IF(R9=0,0,R9/TrAvia_act!R17*100)</f>
        <v>404.03117152465251</v>
      </c>
      <c r="S21" s="87">
        <f>IF(S9=0,0,S9/TrAvia_act!S17*100)</f>
        <v>365.86147917071116</v>
      </c>
      <c r="T21" s="87">
        <f>IF(T9=0,0,T9/TrAvia_act!T17*100)</f>
        <v>280.44067436786827</v>
      </c>
      <c r="U21" s="87">
        <f>IF(U9=0,0,U9/TrAvia_act!U17*100)</f>
        <v>278.98110849570145</v>
      </c>
      <c r="V21" s="87">
        <f>IF(V9=0,0,V9/TrAvia_act!V17*100)</f>
        <v>422.74739749694368</v>
      </c>
      <c r="W21" s="87">
        <f>IF(W9=0,0,W9/TrAvia_act!W17*100)</f>
        <v>349.98964860857131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272.70031740862174</v>
      </c>
      <c r="C22" s="15">
        <f>IF(C10=0,0,C10/TrAvia_act!C18*100)</f>
        <v>262.08126742904864</v>
      </c>
      <c r="D22" s="15">
        <f>IF(D10=0,0,D10/TrAvia_act!D18*100)</f>
        <v>267.11446282870617</v>
      </c>
      <c r="E22" s="15">
        <f>IF(E10=0,0,E10/TrAvia_act!E18*100)</f>
        <v>263.79902004862629</v>
      </c>
      <c r="F22" s="15">
        <f>IF(F10=0,0,F10/TrAvia_act!F18*100)</f>
        <v>251.0636348075825</v>
      </c>
      <c r="G22" s="15">
        <f>IF(G10=0,0,G10/TrAvia_act!G18*100)</f>
        <v>272.67674952953132</v>
      </c>
      <c r="H22" s="15">
        <f>IF(H10=0,0,H10/TrAvia_act!H18*100)</f>
        <v>264.57075136306088</v>
      </c>
      <c r="I22" s="15">
        <f>IF(I10=0,0,I10/TrAvia_act!I18*100)</f>
        <v>247.43960797804959</v>
      </c>
      <c r="J22" s="15">
        <f>IF(J10=0,0,J10/TrAvia_act!J18*100)</f>
        <v>286.36506941891747</v>
      </c>
      <c r="K22" s="15">
        <f>IF(K10=0,0,K10/TrAvia_act!K18*100)</f>
        <v>331.0426219394364</v>
      </c>
      <c r="L22" s="15">
        <f>IF(L10=0,0,L10/TrAvia_act!L18*100)</f>
        <v>401.82014350185062</v>
      </c>
      <c r="M22" s="15">
        <f>IF(M10=0,0,M10/TrAvia_act!M18*100)</f>
        <v>363.15886013710445</v>
      </c>
      <c r="N22" s="15">
        <f>IF(N10=0,0,N10/TrAvia_act!N18*100)</f>
        <v>398.04726537375205</v>
      </c>
      <c r="O22" s="15">
        <f>IF(O10=0,0,O10/TrAvia_act!O18*100)</f>
        <v>387.41533556328085</v>
      </c>
      <c r="P22" s="15">
        <f>IF(P10=0,0,P10/TrAvia_act!P18*100)</f>
        <v>395.59105029085111</v>
      </c>
      <c r="Q22" s="15">
        <f>IF(Q10=0,0,Q10/TrAvia_act!Q18*100)</f>
        <v>372.88899942816255</v>
      </c>
      <c r="R22" s="15">
        <f>IF(R10=0,0,R10/TrAvia_act!R18*100)</f>
        <v>444.38487146710474</v>
      </c>
      <c r="S22" s="15">
        <f>IF(S10=0,0,S10/TrAvia_act!S18*100)</f>
        <v>440.94128134932015</v>
      </c>
      <c r="T22" s="15">
        <f>IF(T10=0,0,T10/TrAvia_act!T18*100)</f>
        <v>367.1518083367074</v>
      </c>
      <c r="U22" s="15">
        <f>IF(U10=0,0,U10/TrAvia_act!U18*100)</f>
        <v>372.83697941525264</v>
      </c>
      <c r="V22" s="15">
        <f>IF(V10=0,0,V10/TrAvia_act!V18*100)</f>
        <v>517.2017073089188</v>
      </c>
      <c r="W22" s="15">
        <f>IF(W10=0,0,W10/TrAvia_act!W18*100)</f>
        <v>453.53714286313613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46.432756774296834</v>
      </c>
      <c r="C23" s="101">
        <f>IF(C11=0,0,C11/TrAvia_act!C19*100)</f>
        <v>46.545231226343162</v>
      </c>
      <c r="D23" s="101">
        <f>IF(D11=0,0,D11/TrAvia_act!D19*100)</f>
        <v>46.589064850348336</v>
      </c>
      <c r="E23" s="101">
        <f>IF(E11=0,0,E11/TrAvia_act!E19*100)</f>
        <v>46.543806149791479</v>
      </c>
      <c r="F23" s="101">
        <f>IF(F11=0,0,F11/TrAvia_act!F19*100)</f>
        <v>46.501894306149474</v>
      </c>
      <c r="G23" s="101">
        <f>IF(G11=0,0,G11/TrAvia_act!G19*100)</f>
        <v>45.085975162936577</v>
      </c>
      <c r="H23" s="101">
        <f>IF(H11=0,0,H11/TrAvia_act!H19*100)</f>
        <v>45.401458101665959</v>
      </c>
      <c r="I23" s="101">
        <f>IF(I11=0,0,I11/TrAvia_act!I19*100)</f>
        <v>54.982583051412668</v>
      </c>
      <c r="J23" s="101">
        <f>IF(J11=0,0,J11/TrAvia_act!J19*100)</f>
        <v>42.139709903991054</v>
      </c>
      <c r="K23" s="101">
        <f>IF(K11=0,0,K11/TrAvia_act!K19*100)</f>
        <v>59.514039586634837</v>
      </c>
      <c r="L23" s="101">
        <f>IF(L11=0,0,L11/TrAvia_act!L19*100)</f>
        <v>55.322352710444534</v>
      </c>
      <c r="M23" s="101">
        <f>IF(M11=0,0,M11/TrAvia_act!M19*100)</f>
        <v>55.844219433012029</v>
      </c>
      <c r="N23" s="101">
        <f>IF(N11=0,0,N11/TrAvia_act!N19*100)</f>
        <v>138.10249791933165</v>
      </c>
      <c r="O23" s="101">
        <f>IF(O11=0,0,O11/TrAvia_act!O19*100)</f>
        <v>164.65917056602487</v>
      </c>
      <c r="P23" s="101">
        <f>IF(P11=0,0,P11/TrAvia_act!P19*100)</f>
        <v>264.72770267189992</v>
      </c>
      <c r="Q23" s="101">
        <f>IF(Q11=0,0,Q11/TrAvia_act!Q19*100)</f>
        <v>218.43717188555502</v>
      </c>
      <c r="R23" s="101">
        <f>IF(R11=0,0,R11/TrAvia_act!R19*100)</f>
        <v>301.25767065905455</v>
      </c>
      <c r="S23" s="101">
        <f>IF(S11=0,0,S11/TrAvia_act!S19*100)</f>
        <v>305.86501339682604</v>
      </c>
      <c r="T23" s="101">
        <f>IF(T11=0,0,T11/TrAvia_act!T19*100)</f>
        <v>416.79561690716031</v>
      </c>
      <c r="U23" s="101">
        <f>IF(U11=0,0,U11/TrAvia_act!U19*100)</f>
        <v>437.62245017149201</v>
      </c>
      <c r="V23" s="101">
        <f>IF(V11=0,0,V11/TrAvia_act!V19*100)</f>
        <v>471.25275486637497</v>
      </c>
      <c r="W23" s="101">
        <f>IF(W11=0,0,W11/TrAvia_act!W19*100)</f>
        <v>788.64293373535008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409.37985872238141</v>
      </c>
      <c r="C24" s="101">
        <f>IF(C12=0,0,C12/TrAvia_act!C20*100)</f>
        <v>409.41475897902728</v>
      </c>
      <c r="D24" s="101">
        <f>IF(D12=0,0,D12/TrAvia_act!D20*100)</f>
        <v>408.81633742448901</v>
      </c>
      <c r="E24" s="101">
        <f>IF(E12=0,0,E12/TrAvia_act!E20*100)</f>
        <v>408.42645578503766</v>
      </c>
      <c r="F24" s="101">
        <f>IF(F12=0,0,F12/TrAvia_act!F20*100)</f>
        <v>408.37416095107091</v>
      </c>
      <c r="G24" s="101">
        <f>IF(G12=0,0,G12/TrAvia_act!G20*100)</f>
        <v>400.66696978619689</v>
      </c>
      <c r="H24" s="101">
        <f>IF(H12=0,0,H12/TrAvia_act!H20*100)</f>
        <v>396.82685919410301</v>
      </c>
      <c r="I24" s="101">
        <f>IF(I12=0,0,I12/TrAvia_act!I20*100)</f>
        <v>372.08740116065098</v>
      </c>
      <c r="J24" s="101">
        <f>IF(J12=0,0,J12/TrAvia_act!J20*100)</f>
        <v>381.48010636304309</v>
      </c>
      <c r="K24" s="101">
        <f>IF(K12=0,0,K12/TrAvia_act!K20*100)</f>
        <v>368.38818748167404</v>
      </c>
      <c r="L24" s="101">
        <f>IF(L12=0,0,L12/TrAvia_act!L20*100)</f>
        <v>363.77393532606595</v>
      </c>
      <c r="M24" s="101">
        <f>IF(M12=0,0,M12/TrAvia_act!M20*100)</f>
        <v>325.51042200844734</v>
      </c>
      <c r="N24" s="101">
        <f>IF(N12=0,0,N12/TrAvia_act!N20*100)</f>
        <v>353.80992320192121</v>
      </c>
      <c r="O24" s="101">
        <f>IF(O12=0,0,O12/TrAvia_act!O20*100)</f>
        <v>310.73539830947999</v>
      </c>
      <c r="P24" s="101">
        <f>IF(P12=0,0,P12/TrAvia_act!P20*100)</f>
        <v>327.50531518423878</v>
      </c>
      <c r="Q24" s="101">
        <f>IF(Q12=0,0,Q12/TrAvia_act!Q20*100)</f>
        <v>311.23467910147696</v>
      </c>
      <c r="R24" s="101">
        <f>IF(R12=0,0,R12/TrAvia_act!R20*100)</f>
        <v>296.78921325464125</v>
      </c>
      <c r="S24" s="101">
        <f>IF(S12=0,0,S12/TrAvia_act!S20*100)</f>
        <v>348.62551984771721</v>
      </c>
      <c r="T24" s="101">
        <f>IF(T12=0,0,T12/TrAvia_act!T20*100)</f>
        <v>342.78644852765183</v>
      </c>
      <c r="U24" s="101">
        <f>IF(U12=0,0,U12/TrAvia_act!U20*100)</f>
        <v>310.07116723118799</v>
      </c>
      <c r="V24" s="101">
        <f>IF(V12=0,0,V12/TrAvia_act!V20*100)</f>
        <v>400.7370923420338</v>
      </c>
      <c r="W24" s="101">
        <f>IF(W12=0,0,W12/TrAvia_act!W20*100)</f>
        <v>382.50817481352379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156.55102503564004</v>
      </c>
      <c r="C25" s="88">
        <f>IF(C13=0,0,C13/TrAvia_act!C21*100)</f>
        <v>156.60521209612705</v>
      </c>
      <c r="D25" s="88">
        <f>IF(D13=0,0,D13/TrAvia_act!D21*100)</f>
        <v>156.32903361481326</v>
      </c>
      <c r="E25" s="88">
        <f>IF(E13=0,0,E13/TrAvia_act!E21*100)</f>
        <v>156.22717630744177</v>
      </c>
      <c r="F25" s="88">
        <f>IF(F13=0,0,F13/TrAvia_act!F21*100)</f>
        <v>156.23864573845566</v>
      </c>
      <c r="G25" s="88">
        <f>IF(G13=0,0,G13/TrAvia_act!G21*100)</f>
        <v>149.91378517295203</v>
      </c>
      <c r="H25" s="88">
        <f>IF(H13=0,0,H13/TrAvia_act!H21*100)</f>
        <v>177.67100036457398</v>
      </c>
      <c r="I25" s="88">
        <f>IF(I13=0,0,I13/TrAvia_act!I21*100)</f>
        <v>190.34003378339207</v>
      </c>
      <c r="J25" s="88">
        <f>IF(J13=0,0,J13/TrAvia_act!J21*100)</f>
        <v>275.23778431925092</v>
      </c>
      <c r="K25" s="88">
        <f>IF(K13=0,0,K13/TrAvia_act!K21*100)</f>
        <v>385.75350960553862</v>
      </c>
      <c r="L25" s="88">
        <f>IF(L13=0,0,L13/TrAvia_act!L21*100)</f>
        <v>505.77066399922705</v>
      </c>
      <c r="M25" s="88">
        <f>IF(M13=0,0,M13/TrAvia_act!M21*100)</f>
        <v>475.03644394476703</v>
      </c>
      <c r="N25" s="88">
        <f>IF(N13=0,0,N13/TrAvia_act!N21*100)</f>
        <v>526.95281811650852</v>
      </c>
      <c r="O25" s="88">
        <f>IF(O13=0,0,O13/TrAvia_act!O21*100)</f>
        <v>520.63540736890138</v>
      </c>
      <c r="P25" s="88">
        <f>IF(P13=0,0,P13/TrAvia_act!P21*100)</f>
        <v>466.17118444099231</v>
      </c>
      <c r="Q25" s="88">
        <f>IF(Q13=0,0,Q13/TrAvia_act!Q21*100)</f>
        <v>433.9527677321243</v>
      </c>
      <c r="R25" s="88">
        <f>IF(R13=0,0,R13/TrAvia_act!R21*100)</f>
        <v>561.16669087905143</v>
      </c>
      <c r="S25" s="88">
        <f>IF(S13=0,0,S13/TrAvia_act!S21*100)</f>
        <v>510.62144027108013</v>
      </c>
      <c r="T25" s="88">
        <f>IF(T13=0,0,T13/TrAvia_act!T21*100)</f>
        <v>383.8140254264257</v>
      </c>
      <c r="U25" s="88">
        <f>IF(U13=0,0,U13/TrAvia_act!U21*100)</f>
        <v>402.55589575922227</v>
      </c>
      <c r="V25" s="88">
        <f>IF(V13=0,0,V13/TrAvia_act!V21*100)</f>
        <v>598.20469494807708</v>
      </c>
      <c r="W25" s="88">
        <f>IF(W13=0,0,W13/TrAvia_act!W21*100)</f>
        <v>501.03469958431918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36.543665042079006</v>
      </c>
      <c r="C28" s="14">
        <f>IF(C6=0,0,C6/TrAvia_act!C4*1000)</f>
        <v>35.794991237688485</v>
      </c>
      <c r="D28" s="14">
        <f>IF(D6=0,0,D6/TrAvia_act!D4*1000)</f>
        <v>35.002607825548139</v>
      </c>
      <c r="E28" s="14">
        <f>IF(E6=0,0,E6/TrAvia_act!E4*1000)</f>
        <v>34.703163232790054</v>
      </c>
      <c r="F28" s="14">
        <f>IF(F6=0,0,F6/TrAvia_act!F4*1000)</f>
        <v>34.536341735651717</v>
      </c>
      <c r="G28" s="14">
        <f>IF(G6=0,0,G6/TrAvia_act!G4*1000)</f>
        <v>32.694535487957936</v>
      </c>
      <c r="H28" s="14">
        <f>IF(H6=0,0,H6/TrAvia_act!H4*1000)</f>
        <v>35.574237765055102</v>
      </c>
      <c r="I28" s="14">
        <f>IF(I6=0,0,I6/TrAvia_act!I4*1000)</f>
        <v>30.351428246921948</v>
      </c>
      <c r="J28" s="14">
        <f>IF(J6=0,0,J6/TrAvia_act!J4*1000)</f>
        <v>32.692390624780408</v>
      </c>
      <c r="K28" s="14">
        <f>IF(K6=0,0,K6/TrAvia_act!K4*1000)</f>
        <v>32.975354742280125</v>
      </c>
      <c r="L28" s="14">
        <f>IF(L6=0,0,L6/TrAvia_act!L4*1000)</f>
        <v>32.528972170199523</v>
      </c>
      <c r="M28" s="14">
        <f>IF(M6=0,0,M6/TrAvia_act!M4*1000)</f>
        <v>30.137948747798077</v>
      </c>
      <c r="N28" s="14">
        <f>IF(N6=0,0,N6/TrAvia_act!N4*1000)</f>
        <v>32.433439741436921</v>
      </c>
      <c r="O28" s="14">
        <f>IF(O6=0,0,O6/TrAvia_act!O4*1000)</f>
        <v>30.02725444062812</v>
      </c>
      <c r="P28" s="14">
        <f>IF(P6=0,0,P6/TrAvia_act!P4*1000)</f>
        <v>30.39456841945427</v>
      </c>
      <c r="Q28" s="14">
        <f>IF(Q6=0,0,Q6/TrAvia_act!Q4*1000)</f>
        <v>30.462857054074696</v>
      </c>
      <c r="R28" s="14">
        <f>IF(R6=0,0,R6/TrAvia_act!R4*1000)</f>
        <v>28.893476971975325</v>
      </c>
      <c r="S28" s="14">
        <f>IF(S6=0,0,S6/TrAvia_act!S4*1000)</f>
        <v>29.037070507984588</v>
      </c>
      <c r="T28" s="14">
        <f>IF(T6=0,0,T6/TrAvia_act!T4*1000)</f>
        <v>28.84397614735196</v>
      </c>
      <c r="U28" s="14">
        <f>IF(U6=0,0,U6/TrAvia_act!U4*1000)</f>
        <v>28.226778419115337</v>
      </c>
      <c r="V28" s="14">
        <f>IF(V6=0,0,V6/TrAvia_act!V4*1000)</f>
        <v>39.463949383150457</v>
      </c>
      <c r="W28" s="14">
        <f>IF(W6=0,0,W6/TrAvia_act!W4*1000)</f>
        <v>33.851348373781455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12.826438772152303</v>
      </c>
      <c r="C29" s="87">
        <f>IF(C7=0,0,C7/TrAvia_act!C5*1000)</f>
        <v>12.711792497217905</v>
      </c>
      <c r="D29" s="87">
        <f>IF(D7=0,0,D7/TrAvia_act!D5*1000)</f>
        <v>12.522111821130057</v>
      </c>
      <c r="E29" s="87">
        <f>IF(E7=0,0,E7/TrAvia_act!E5*1000)</f>
        <v>12.21804249912379</v>
      </c>
      <c r="F29" s="87">
        <f>IF(F7=0,0,F7/TrAvia_act!F5*1000)</f>
        <v>11.993490399073746</v>
      </c>
      <c r="G29" s="87">
        <f>IF(G7=0,0,G7/TrAvia_act!G5*1000)</f>
        <v>11.429682678322662</v>
      </c>
      <c r="H29" s="87">
        <f>IF(H7=0,0,H7/TrAvia_act!H5*1000)</f>
        <v>11.295354176511738</v>
      </c>
      <c r="I29" s="87">
        <f>IF(I7=0,0,I7/TrAvia_act!I5*1000)</f>
        <v>12.487524947474036</v>
      </c>
      <c r="J29" s="87">
        <f>IF(J7=0,0,J7/TrAvia_act!J5*1000)</f>
        <v>10.630163521399218</v>
      </c>
      <c r="K29" s="87">
        <f>IF(K7=0,0,K7/TrAvia_act!K5*1000)</f>
        <v>15.240741180264791</v>
      </c>
      <c r="L29" s="87">
        <f>IF(L7=0,0,L7/TrAvia_act!L5*1000)</f>
        <v>13.327542169633409</v>
      </c>
      <c r="M29" s="87">
        <f>IF(M7=0,0,M7/TrAvia_act!M5*1000)</f>
        <v>12.618478518046631</v>
      </c>
      <c r="N29" s="87">
        <f>IF(N7=0,0,N7/TrAvia_act!N5*1000)</f>
        <v>27.19260828949302</v>
      </c>
      <c r="O29" s="87">
        <f>IF(O7=0,0,O7/TrAvia_act!O5*1000)</f>
        <v>35.261158288171067</v>
      </c>
      <c r="P29" s="87">
        <f>IF(P7=0,0,P7/TrAvia_act!P5*1000)</f>
        <v>47.206448666343441</v>
      </c>
      <c r="Q29" s="87">
        <f>IF(Q7=0,0,Q7/TrAvia_act!Q5*1000)</f>
        <v>33.234249623790951</v>
      </c>
      <c r="R29" s="87">
        <f>IF(R7=0,0,R7/TrAvia_act!R5*1000)</f>
        <v>40.655067308165094</v>
      </c>
      <c r="S29" s="87">
        <f>IF(S7=0,0,S7/TrAvia_act!S5*1000)</f>
        <v>36.119362308022339</v>
      </c>
      <c r="T29" s="87">
        <f>IF(T7=0,0,T7/TrAvia_act!T5*1000)</f>
        <v>50.573436995187471</v>
      </c>
      <c r="U29" s="87">
        <f>IF(U7=0,0,U7/TrAvia_act!U5*1000)</f>
        <v>50.958789733103615</v>
      </c>
      <c r="V29" s="87">
        <f>IF(V7=0,0,V7/TrAvia_act!V5*1000)</f>
        <v>79.203123833081463</v>
      </c>
      <c r="W29" s="87">
        <f>IF(W7=0,0,W7/TrAvia_act!W5*1000)</f>
        <v>113.96917659552548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45.866007595873718</v>
      </c>
      <c r="C30" s="87">
        <f>IF(C8=0,0,C8/TrAvia_act!C6*1000)</f>
        <v>44.830202654773821</v>
      </c>
      <c r="D30" s="87">
        <f>IF(D8=0,0,D8/TrAvia_act!D6*1000)</f>
        <v>44.176735397371964</v>
      </c>
      <c r="E30" s="87">
        <f>IF(E8=0,0,E8/TrAvia_act!E6*1000)</f>
        <v>44.117151171269391</v>
      </c>
      <c r="F30" s="87">
        <f>IF(F8=0,0,F8/TrAvia_act!F6*1000)</f>
        <v>44.06633064063999</v>
      </c>
      <c r="G30" s="87">
        <f>IF(G8=0,0,G8/TrAvia_act!G6*1000)</f>
        <v>40.466128210004804</v>
      </c>
      <c r="H30" s="87">
        <f>IF(H8=0,0,H8/TrAvia_act!H6*1000)</f>
        <v>44.135468193757788</v>
      </c>
      <c r="I30" s="87">
        <f>IF(I8=0,0,I8/TrAvia_act!I6*1000)</f>
        <v>37.497459921208311</v>
      </c>
      <c r="J30" s="87">
        <f>IF(J8=0,0,J8/TrAvia_act!J6*1000)</f>
        <v>44.034601816747717</v>
      </c>
      <c r="K30" s="87">
        <f>IF(K8=0,0,K8/TrAvia_act!K6*1000)</f>
        <v>41.641472316700799</v>
      </c>
      <c r="L30" s="87">
        <f>IF(L8=0,0,L8/TrAvia_act!L6*1000)</f>
        <v>41.291684593494345</v>
      </c>
      <c r="M30" s="87">
        <f>IF(M8=0,0,M8/TrAvia_act!M6*1000)</f>
        <v>34.429519013558021</v>
      </c>
      <c r="N30" s="87">
        <f>IF(N8=0,0,N8/TrAvia_act!N6*1000)</f>
        <v>37.401380967072363</v>
      </c>
      <c r="O30" s="87">
        <f>IF(O8=0,0,O8/TrAvia_act!O6*1000)</f>
        <v>32.686584353661324</v>
      </c>
      <c r="P30" s="87">
        <f>IF(P8=0,0,P8/TrAvia_act!P6*1000)</f>
        <v>33.216326426945926</v>
      </c>
      <c r="Q30" s="87">
        <f>IF(Q8=0,0,Q8/TrAvia_act!Q6*1000)</f>
        <v>32.074133714202333</v>
      </c>
      <c r="R30" s="87">
        <f>IF(R8=0,0,R8/TrAvia_act!R6*1000)</f>
        <v>29.946013438636317</v>
      </c>
      <c r="S30" s="87">
        <f>IF(S8=0,0,S8/TrAvia_act!S6*1000)</f>
        <v>32.630201260564895</v>
      </c>
      <c r="T30" s="87">
        <f>IF(T8=0,0,T8/TrAvia_act!T6*1000)</f>
        <v>34.765617295692714</v>
      </c>
      <c r="U30" s="87">
        <f>IF(U8=0,0,U8/TrAvia_act!U6*1000)</f>
        <v>37.006415835327566</v>
      </c>
      <c r="V30" s="87">
        <f>IF(V8=0,0,V8/TrAvia_act!V6*1000)</f>
        <v>41.908458843168113</v>
      </c>
      <c r="W30" s="87">
        <f>IF(W8=0,0,W8/TrAvia_act!W6*1000)</f>
        <v>40.228091580553652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27.998637039400251</v>
      </c>
      <c r="C31" s="87">
        <f>IF(C9=0,0,C9/TrAvia_act!C7*1000)</f>
        <v>27.488224868886395</v>
      </c>
      <c r="D31" s="87">
        <f>IF(D9=0,0,D9/TrAvia_act!D7*1000)</f>
        <v>27.068641752178181</v>
      </c>
      <c r="E31" s="87">
        <f>IF(E9=0,0,E9/TrAvia_act!E7*1000)</f>
        <v>26.544220478398362</v>
      </c>
      <c r="F31" s="87">
        <f>IF(F9=0,0,F9/TrAvia_act!F7*1000)</f>
        <v>25.991745612824861</v>
      </c>
      <c r="G31" s="87">
        <f>IF(G9=0,0,G9/TrAvia_act!G7*1000)</f>
        <v>24.625544143030027</v>
      </c>
      <c r="H31" s="87">
        <f>IF(H9=0,0,H9/TrAvia_act!H7*1000)</f>
        <v>25.241374885562905</v>
      </c>
      <c r="I31" s="87">
        <f>IF(I9=0,0,I9/TrAvia_act!I7*1000)</f>
        <v>20.744936792337604</v>
      </c>
      <c r="J31" s="87">
        <f>IF(J9=0,0,J9/TrAvia_act!J7*1000)</f>
        <v>19.324005785919493</v>
      </c>
      <c r="K31" s="87">
        <f>IF(K9=0,0,K9/TrAvia_act!K7*1000)</f>
        <v>22.120560464892112</v>
      </c>
      <c r="L31" s="87">
        <f>IF(L9=0,0,L9/TrAvia_act!L7*1000)</f>
        <v>21.786222414908927</v>
      </c>
      <c r="M31" s="87">
        <f>IF(M9=0,0,M9/TrAvia_act!M7*1000)</f>
        <v>23.912820646048022</v>
      </c>
      <c r="N31" s="87">
        <f>IF(N9=0,0,N9/TrAvia_act!N7*1000)</f>
        <v>24.625624030586607</v>
      </c>
      <c r="O31" s="87">
        <f>IF(O9=0,0,O9/TrAvia_act!O7*1000)</f>
        <v>24.150836608961779</v>
      </c>
      <c r="P31" s="87">
        <f>IF(P9=0,0,P9/TrAvia_act!P7*1000)</f>
        <v>23.528631471804754</v>
      </c>
      <c r="Q31" s="87">
        <f>IF(Q9=0,0,Q9/TrAvia_act!Q7*1000)</f>
        <v>26.328672086144174</v>
      </c>
      <c r="R31" s="87">
        <f>IF(R9=0,0,R9/TrAvia_act!R7*1000)</f>
        <v>24.966933087306188</v>
      </c>
      <c r="S31" s="87">
        <f>IF(S9=0,0,S9/TrAvia_act!S7*1000)</f>
        <v>20.709794167095492</v>
      </c>
      <c r="T31" s="87">
        <f>IF(T9=0,0,T9/TrAvia_act!T7*1000)</f>
        <v>17.451824634447647</v>
      </c>
      <c r="U31" s="87">
        <f>IF(U9=0,0,U9/TrAvia_act!U7*1000)</f>
        <v>14.911849449176685</v>
      </c>
      <c r="V31" s="87">
        <f>IF(V9=0,0,V9/TrAvia_act!V7*1000)</f>
        <v>33.019430423195132</v>
      </c>
      <c r="W31" s="87">
        <f>IF(W9=0,0,W9/TrAvia_act!W7*1000)</f>
        <v>22.457353723234622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54.500906679450139</v>
      </c>
      <c r="C32" s="15">
        <f>IF(C10=0,0,C10/TrAvia_act!C8*1000)</f>
        <v>45.635394165403753</v>
      </c>
      <c r="D32" s="15">
        <f>IF(D10=0,0,D10/TrAvia_act!D8*1000)</f>
        <v>51.11755128323766</v>
      </c>
      <c r="E32" s="15">
        <f>IF(E10=0,0,E10/TrAvia_act!E8*1000)</f>
        <v>52.358119926672941</v>
      </c>
      <c r="F32" s="15">
        <f>IF(F10=0,0,F10/TrAvia_act!F8*1000)</f>
        <v>46.984608514574106</v>
      </c>
      <c r="G32" s="15">
        <f>IF(G10=0,0,G10/TrAvia_act!G8*1000)</f>
        <v>58.798563245598736</v>
      </c>
      <c r="H32" s="15">
        <f>IF(H10=0,0,H10/TrAvia_act!H8*1000)</f>
        <v>61.773229292926779</v>
      </c>
      <c r="I32" s="15">
        <f>IF(I10=0,0,I10/TrAvia_act!I8*1000)</f>
        <v>53.789261474163972</v>
      </c>
      <c r="J32" s="15">
        <f>IF(J10=0,0,J10/TrAvia_act!J8*1000)</f>
        <v>62.538995481039557</v>
      </c>
      <c r="K32" s="15">
        <f>IF(K10=0,0,K10/TrAvia_act!K8*1000)</f>
        <v>75.7198973350404</v>
      </c>
      <c r="L32" s="15">
        <f>IF(L10=0,0,L10/TrAvia_act!L8*1000)</f>
        <v>73.97960766015332</v>
      </c>
      <c r="M32" s="15">
        <f>IF(M10=0,0,M10/TrAvia_act!M8*1000)</f>
        <v>69.693947608080592</v>
      </c>
      <c r="N32" s="15">
        <f>IF(N10=0,0,N10/TrAvia_act!N8*1000)</f>
        <v>77.545368837636389</v>
      </c>
      <c r="O32" s="15">
        <f>IF(O10=0,0,O10/TrAvia_act!O8*1000)</f>
        <v>75.032778966253815</v>
      </c>
      <c r="P32" s="15">
        <f>IF(P10=0,0,P10/TrAvia_act!P8*1000)</f>
        <v>59.430233470434857</v>
      </c>
      <c r="Q32" s="15">
        <f>IF(Q10=0,0,Q10/TrAvia_act!Q8*1000)</f>
        <v>54.904075020270248</v>
      </c>
      <c r="R32" s="15">
        <f>IF(R10=0,0,R10/TrAvia_act!R8*1000)</f>
        <v>57.394808026444899</v>
      </c>
      <c r="S32" s="15">
        <f>IF(S10=0,0,S10/TrAvia_act!S8*1000)</f>
        <v>58.373070424172347</v>
      </c>
      <c r="T32" s="15">
        <f>IF(T10=0,0,T10/TrAvia_act!T8*1000)</f>
        <v>48.527091206361263</v>
      </c>
      <c r="U32" s="15">
        <f>IF(U10=0,0,U10/TrAvia_act!U8*1000)</f>
        <v>43.428691883996635</v>
      </c>
      <c r="V32" s="15">
        <f>IF(V10=0,0,V10/TrAvia_act!V8*1000)</f>
        <v>94.563084953583129</v>
      </c>
      <c r="W32" s="15">
        <f>IF(W10=0,0,W10/TrAvia_act!W8*1000)</f>
        <v>91.993492263779999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47.170256272098023</v>
      </c>
      <c r="C33" s="101">
        <f>IF(C11=0,0,C11/TrAvia_act!C9*1000)</f>
        <v>47.647815136566031</v>
      </c>
      <c r="D33" s="101">
        <f>IF(D11=0,0,D11/TrAvia_act!D9*1000)</f>
        <v>46.378819384259955</v>
      </c>
      <c r="E33" s="101">
        <f>IF(E11=0,0,E11/TrAvia_act!E9*1000)</f>
        <v>43.559567689562115</v>
      </c>
      <c r="F33" s="101">
        <f>IF(F11=0,0,F11/TrAvia_act!F9*1000)</f>
        <v>46.216711861832671</v>
      </c>
      <c r="G33" s="101">
        <f>IF(G11=0,0,G11/TrAvia_act!G9*1000)</f>
        <v>45.787896908870984</v>
      </c>
      <c r="H33" s="101">
        <f>IF(H11=0,0,H11/TrAvia_act!H9*1000)</f>
        <v>47.934916703222321</v>
      </c>
      <c r="I33" s="101">
        <f>IF(I11=0,0,I11/TrAvia_act!I9*1000)</f>
        <v>58.267021343344055</v>
      </c>
      <c r="J33" s="101">
        <f>IF(J11=0,0,J11/TrAvia_act!J9*1000)</f>
        <v>46.416512307653626</v>
      </c>
      <c r="K33" s="101">
        <f>IF(K11=0,0,K11/TrAvia_act!K9*1000)</f>
        <v>64.992724971309244</v>
      </c>
      <c r="L33" s="101">
        <f>IF(L11=0,0,L11/TrAvia_act!L9*1000)</f>
        <v>56.486043013751718</v>
      </c>
      <c r="M33" s="101">
        <f>IF(M11=0,0,M11/TrAvia_act!M9*1000)</f>
        <v>51.564557515571302</v>
      </c>
      <c r="N33" s="101">
        <f>IF(N11=0,0,N11/TrAvia_act!N9*1000)</f>
        <v>122.73840167240444</v>
      </c>
      <c r="O33" s="101">
        <f>IF(O11=0,0,O11/TrAvia_act!O9*1000)</f>
        <v>142.72527779271414</v>
      </c>
      <c r="P33" s="101">
        <f>IF(P11=0,0,P11/TrAvia_act!P9*1000)</f>
        <v>206.93194039916858</v>
      </c>
      <c r="Q33" s="101">
        <f>IF(Q11=0,0,Q11/TrAvia_act!Q9*1000)</f>
        <v>164.06420501266015</v>
      </c>
      <c r="R33" s="101">
        <f>IF(R11=0,0,R11/TrAvia_act!R9*1000)</f>
        <v>197.51928650157976</v>
      </c>
      <c r="S33" s="101">
        <f>IF(S11=0,0,S11/TrAvia_act!S9*1000)</f>
        <v>215.58193422128352</v>
      </c>
      <c r="T33" s="101">
        <f>IF(T11=0,0,T11/TrAvia_act!T9*1000)</f>
        <v>286.38378693677458</v>
      </c>
      <c r="U33" s="101">
        <f>IF(U11=0,0,U11/TrAvia_act!U9*1000)</f>
        <v>272.79331195894798</v>
      </c>
      <c r="V33" s="101">
        <f>IF(V11=0,0,V11/TrAvia_act!V9*1000)</f>
        <v>318.77988518045169</v>
      </c>
      <c r="W33" s="101">
        <f>IF(W11=0,0,W11/TrAvia_act!W9*1000)</f>
        <v>519.77001070802464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172.40025949349885</v>
      </c>
      <c r="C34" s="101">
        <f>IF(C12=0,0,C12/TrAvia_act!C10*1000)</f>
        <v>162.72747958400439</v>
      </c>
      <c r="D34" s="101">
        <f>IF(D12=0,0,D12/TrAvia_act!D10*1000)</f>
        <v>172.72511023584588</v>
      </c>
      <c r="E34" s="101">
        <f>IF(E12=0,0,E12/TrAvia_act!E10*1000)</f>
        <v>169.27260653407302</v>
      </c>
      <c r="F34" s="101">
        <f>IF(F12=0,0,F12/TrAvia_act!F10*1000)</f>
        <v>187.18271855372615</v>
      </c>
      <c r="G34" s="101">
        <f>IF(G12=0,0,G12/TrAvia_act!G10*1000)</f>
        <v>197.43789049403239</v>
      </c>
      <c r="H34" s="101">
        <f>IF(H12=0,0,H12/TrAvia_act!H10*1000)</f>
        <v>215.70466471611746</v>
      </c>
      <c r="I34" s="101">
        <f>IF(I12=0,0,I12/TrAvia_act!I10*1000)</f>
        <v>206.6957625797564</v>
      </c>
      <c r="J34" s="101">
        <f>IF(J12=0,0,J12/TrAvia_act!J10*1000)</f>
        <v>212.06809232670668</v>
      </c>
      <c r="K34" s="101">
        <f>IF(K12=0,0,K12/TrAvia_act!K10*1000)</f>
        <v>199.73880832853905</v>
      </c>
      <c r="L34" s="101">
        <f>IF(L12=0,0,L12/TrAvia_act!L10*1000)</f>
        <v>194.08461150538602</v>
      </c>
      <c r="M34" s="101">
        <f>IF(M12=0,0,M12/TrAvia_act!M10*1000)</f>
        <v>163.23077524369162</v>
      </c>
      <c r="N34" s="101">
        <f>IF(N12=0,0,N12/TrAvia_act!N10*1000)</f>
        <v>162.97244140457749</v>
      </c>
      <c r="O34" s="101">
        <f>IF(O12=0,0,O12/TrAvia_act!O10*1000)</f>
        <v>142.25287911734796</v>
      </c>
      <c r="P34" s="101">
        <f>IF(P12=0,0,P12/TrAvia_act!P10*1000)</f>
        <v>130.09143591554405</v>
      </c>
      <c r="Q34" s="101">
        <f>IF(Q12=0,0,Q12/TrAvia_act!Q10*1000)</f>
        <v>120.56726167959168</v>
      </c>
      <c r="R34" s="101">
        <f>IF(R12=0,0,R12/TrAvia_act!R10*1000)</f>
        <v>108.11307428455797</v>
      </c>
      <c r="S34" s="101">
        <f>IF(S12=0,0,S12/TrAvia_act!S10*1000)</f>
        <v>135.33489171543266</v>
      </c>
      <c r="T34" s="101">
        <f>IF(T12=0,0,T12/TrAvia_act!T10*1000)</f>
        <v>129.49683065395223</v>
      </c>
      <c r="U34" s="101">
        <f>IF(U12=0,0,U12/TrAvia_act!U10*1000)</f>
        <v>111.13079688630538</v>
      </c>
      <c r="V34" s="101">
        <f>IF(V12=0,0,V12/TrAvia_act!V10*1000)</f>
        <v>175.88457413203588</v>
      </c>
      <c r="W34" s="101">
        <f>IF(W12=0,0,W12/TrAvia_act!W10*1000)</f>
        <v>174.80054404186475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14.783492389560504</v>
      </c>
      <c r="C35" s="88">
        <f>IF(C13=0,0,C13/TrAvia_act!C11*1000)</f>
        <v>14.117076668395924</v>
      </c>
      <c r="D35" s="88">
        <f>IF(D13=0,0,D13/TrAvia_act!D11*1000)</f>
        <v>14.921489065629475</v>
      </c>
      <c r="E35" s="88">
        <f>IF(E13=0,0,E13/TrAvia_act!E11*1000)</f>
        <v>16.408669223962445</v>
      </c>
      <c r="F35" s="88">
        <f>IF(F13=0,0,F13/TrAvia_act!F11*1000)</f>
        <v>16.905524517573166</v>
      </c>
      <c r="G35" s="88">
        <f>IF(G13=0,0,G13/TrAvia_act!G11*1000)</f>
        <v>17.248424339396983</v>
      </c>
      <c r="H35" s="88">
        <f>IF(H13=0,0,H13/TrAvia_act!H11*1000)</f>
        <v>21.146503617568396</v>
      </c>
      <c r="I35" s="88">
        <f>IF(I13=0,0,I13/TrAvia_act!I11*1000)</f>
        <v>23.03810833426186</v>
      </c>
      <c r="J35" s="88">
        <f>IF(J13=0,0,J13/TrAvia_act!J11*1000)</f>
        <v>33.999765868721227</v>
      </c>
      <c r="K35" s="88">
        <f>IF(K13=0,0,K13/TrAvia_act!K11*1000)</f>
        <v>42.252885171838386</v>
      </c>
      <c r="L35" s="88">
        <f>IF(L13=0,0,L13/TrAvia_act!L11*1000)</f>
        <v>54.491283790317752</v>
      </c>
      <c r="M35" s="88">
        <f>IF(M13=0,0,M13/TrAvia_act!M11*1000)</f>
        <v>50.969419113574745</v>
      </c>
      <c r="N35" s="88">
        <f>IF(N13=0,0,N13/TrAvia_act!N11*1000)</f>
        <v>53.846465563244472</v>
      </c>
      <c r="O35" s="88">
        <f>IF(O13=0,0,O13/TrAvia_act!O11*1000)</f>
        <v>55.933179609647091</v>
      </c>
      <c r="P35" s="88">
        <f>IF(P13=0,0,P13/TrAvia_act!P11*1000)</f>
        <v>43.568052155455923</v>
      </c>
      <c r="Q35" s="88">
        <f>IF(Q13=0,0,Q13/TrAvia_act!Q11*1000)</f>
        <v>40.645949129364219</v>
      </c>
      <c r="R35" s="88">
        <f>IF(R13=0,0,R13/TrAvia_act!R11*1000)</f>
        <v>47.834661262994594</v>
      </c>
      <c r="S35" s="88">
        <f>IF(S13=0,0,S13/TrAvia_act!S11*1000)</f>
        <v>45.177821179486045</v>
      </c>
      <c r="T35" s="88">
        <f>IF(T13=0,0,T13/TrAvia_act!T11*1000)</f>
        <v>34.806901091848246</v>
      </c>
      <c r="U35" s="88">
        <f>IF(U13=0,0,U13/TrAvia_act!U11*1000)</f>
        <v>35.338457784751363</v>
      </c>
      <c r="V35" s="88">
        <f>IF(V13=0,0,V13/TrAvia_act!V11*1000)</f>
        <v>77.749163342307924</v>
      </c>
      <c r="W35" s="88">
        <f>IF(W13=0,0,W13/TrAvia_act!W11*1000)</f>
        <v>73.818533590835756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3151.9656943175878</v>
      </c>
      <c r="C37" s="62">
        <f>IF(C3=0,0,C3/TrAvia_act!C23*1000000)</f>
        <v>3143.6304642958753</v>
      </c>
      <c r="D37" s="62">
        <f>IF(D3=0,0,D3/TrAvia_act!D23*1000000)</f>
        <v>2867.1827965280422</v>
      </c>
      <c r="E37" s="62">
        <f>IF(E3=0,0,E3/TrAvia_act!E23*1000000)</f>
        <v>2937.7567941745888</v>
      </c>
      <c r="F37" s="62">
        <f>IF(F3=0,0,F3/TrAvia_act!F23*1000000)</f>
        <v>3172.1569585196607</v>
      </c>
      <c r="G37" s="62">
        <f>IF(G3=0,0,G3/TrAvia_act!G23*1000000)</f>
        <v>3174.9217803475235</v>
      </c>
      <c r="H37" s="62">
        <f>IF(H3=0,0,H3/TrAvia_act!H23*1000000)</f>
        <v>3625.2252568091517</v>
      </c>
      <c r="I37" s="62">
        <f>IF(I3=0,0,I3/TrAvia_act!I23*1000000)</f>
        <v>3623.9440129688496</v>
      </c>
      <c r="J37" s="62">
        <f>IF(J3=0,0,J3/TrAvia_act!J23*1000000)</f>
        <v>4218.5237867863543</v>
      </c>
      <c r="K37" s="62">
        <f>IF(K3=0,0,K3/TrAvia_act!K23*1000000)</f>
        <v>4098.5451635296413</v>
      </c>
      <c r="L37" s="62">
        <f>IF(L3=0,0,L3/TrAvia_act!L23*1000000)</f>
        <v>4196.993321210698</v>
      </c>
      <c r="M37" s="62">
        <f>IF(M3=0,0,M3/TrAvia_act!M23*1000000)</f>
        <v>3790.3056820875531</v>
      </c>
      <c r="N37" s="62">
        <f>IF(N3=0,0,N3/TrAvia_act!N23*1000000)</f>
        <v>3936.2985785107217</v>
      </c>
      <c r="O37" s="62">
        <f>IF(O3=0,0,O3/TrAvia_act!O23*1000000)</f>
        <v>3978.6041957232842</v>
      </c>
      <c r="P37" s="62">
        <f>IF(P3=0,0,P3/TrAvia_act!P23*1000000)</f>
        <v>4285.0195656715214</v>
      </c>
      <c r="Q37" s="62">
        <f>IF(Q3=0,0,Q3/TrAvia_act!Q23*1000000)</f>
        <v>4363.4842754047186</v>
      </c>
      <c r="R37" s="62">
        <f>IF(R3=0,0,R3/TrAvia_act!R23*1000000)</f>
        <v>4499.3441216818601</v>
      </c>
      <c r="S37" s="62">
        <f>IF(S3=0,0,S3/TrAvia_act!S23*1000000)</f>
        <v>5057.6916646028103</v>
      </c>
      <c r="T37" s="62">
        <f>IF(T3=0,0,T3/TrAvia_act!T23*1000000)</f>
        <v>5329.0421774425949</v>
      </c>
      <c r="U37" s="62">
        <f>IF(U3=0,0,U3/TrAvia_act!U23*1000000)</f>
        <v>5507.1178551618859</v>
      </c>
      <c r="V37" s="62">
        <f>IF(V3=0,0,V3/TrAvia_act!V23*1000000)</f>
        <v>5825.3386804844276</v>
      </c>
      <c r="W37" s="62">
        <f>IF(W3=0,0,W3/TrAvia_act!W23*1000000)</f>
        <v>6068.6035514588384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3166.218237031565</v>
      </c>
      <c r="C38" s="14">
        <f>IF(C6=0,0,C6/TrAvia_act!C24*1000000)</f>
        <v>3154.7878831424259</v>
      </c>
      <c r="D38" s="14">
        <f>IF(D6=0,0,D6/TrAvia_act!D24*1000000)</f>
        <v>2875.969499476023</v>
      </c>
      <c r="E38" s="14">
        <f>IF(E6=0,0,E6/TrAvia_act!E24*1000000)</f>
        <v>2946.7471358751886</v>
      </c>
      <c r="F38" s="14">
        <f>IF(F6=0,0,F6/TrAvia_act!F24*1000000)</f>
        <v>3181.4695540706475</v>
      </c>
      <c r="G38" s="14">
        <f>IF(G6=0,0,G6/TrAvia_act!G24*1000000)</f>
        <v>3180.6270850578153</v>
      </c>
      <c r="H38" s="14">
        <f>IF(H6=0,0,H6/TrAvia_act!H24*1000000)</f>
        <v>3640.4232778645178</v>
      </c>
      <c r="I38" s="14">
        <f>IF(I6=0,0,I6/TrAvia_act!I24*1000000)</f>
        <v>3640.3698564655524</v>
      </c>
      <c r="J38" s="14">
        <f>IF(J6=0,0,J6/TrAvia_act!J24*1000000)</f>
        <v>4239.3814072717714</v>
      </c>
      <c r="K38" s="14">
        <f>IF(K6=0,0,K6/TrAvia_act!K24*1000000)</f>
        <v>4117.0761335355346</v>
      </c>
      <c r="L38" s="14">
        <f>IF(L6=0,0,L6/TrAvia_act!L24*1000000)</f>
        <v>4194.6285246868165</v>
      </c>
      <c r="M38" s="14">
        <f>IF(M6=0,0,M6/TrAvia_act!M24*1000000)</f>
        <v>3790.4183297408154</v>
      </c>
      <c r="N38" s="14">
        <f>IF(N6=0,0,N6/TrAvia_act!N24*1000000)</f>
        <v>3936.3396665400692</v>
      </c>
      <c r="O38" s="14">
        <f>IF(O6=0,0,O6/TrAvia_act!O24*1000000)</f>
        <v>3977.699860504797</v>
      </c>
      <c r="P38" s="14">
        <f>IF(P6=0,0,P6/TrAvia_act!P24*1000000)</f>
        <v>4276.8847317290138</v>
      </c>
      <c r="Q38" s="14">
        <f>IF(Q6=0,0,Q6/TrAvia_act!Q24*1000000)</f>
        <v>4357.3382049620277</v>
      </c>
      <c r="R38" s="14">
        <f>IF(R6=0,0,R6/TrAvia_act!R24*1000000)</f>
        <v>4477.7598139315605</v>
      </c>
      <c r="S38" s="14">
        <f>IF(S6=0,0,S6/TrAvia_act!S24*1000000)</f>
        <v>5037.9331936785165</v>
      </c>
      <c r="T38" s="14">
        <f>IF(T6=0,0,T6/TrAvia_act!T24*1000000)</f>
        <v>5324.6921544319994</v>
      </c>
      <c r="U38" s="14">
        <f>IF(U6=0,0,U6/TrAvia_act!U24*1000000)</f>
        <v>5487.2721198754707</v>
      </c>
      <c r="V38" s="14">
        <f>IF(V6=0,0,V6/TrAvia_act!V24*1000000)</f>
        <v>5742.4713966340505</v>
      </c>
      <c r="W38" s="14">
        <f>IF(W6=0,0,W6/TrAvia_act!W24*1000000)</f>
        <v>5993.7582586598328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127.95012990330642</v>
      </c>
      <c r="C39" s="87">
        <f>IF(C7=0,0,C7/TrAvia_act!C25*1000000)</f>
        <v>128.26006456473704</v>
      </c>
      <c r="D39" s="87">
        <f>IF(D7=0,0,D7/TrAvia_act!D25*1000000)</f>
        <v>128.38085252296352</v>
      </c>
      <c r="E39" s="87">
        <f>IF(E7=0,0,E7/TrAvia_act!E25*1000000)</f>
        <v>128.25613762301361</v>
      </c>
      <c r="F39" s="87">
        <f>IF(F7=0,0,F7/TrAvia_act!F25*1000000)</f>
        <v>128.14064532380448</v>
      </c>
      <c r="G39" s="87">
        <f>IF(G7=0,0,G7/TrAvia_act!G25*1000000)</f>
        <v>128.25050307878954</v>
      </c>
      <c r="H39" s="87">
        <f>IF(H7=0,0,H7/TrAvia_act!H25*1000000)</f>
        <v>126.63470148915391</v>
      </c>
      <c r="I39" s="87">
        <f>IF(I7=0,0,I7/TrAvia_act!I25*1000000)</f>
        <v>154.87506412909303</v>
      </c>
      <c r="J39" s="87">
        <f>IF(J7=0,0,J7/TrAvia_act!J25*1000000)</f>
        <v>120.98411392214069</v>
      </c>
      <c r="K39" s="87">
        <f>IF(K7=0,0,K7/TrAvia_act!K25*1000000)</f>
        <v>173.12711803454678</v>
      </c>
      <c r="L39" s="87">
        <f>IF(L7=0,0,L7/TrAvia_act!L25*1000000)</f>
        <v>172.04149240607049</v>
      </c>
      <c r="M39" s="87">
        <f>IF(M7=0,0,M7/TrAvia_act!M25*1000000)</f>
        <v>185.80627443781637</v>
      </c>
      <c r="N39" s="87">
        <f>IF(N7=0,0,N7/TrAvia_act!N25*1000000)</f>
        <v>498.65596173189431</v>
      </c>
      <c r="O39" s="87">
        <f>IF(O7=0,0,O7/TrAvia_act!O25*1000000)</f>
        <v>586.47725934075061</v>
      </c>
      <c r="P39" s="87">
        <f>IF(P7=0,0,P7/TrAvia_act!P25*1000000)</f>
        <v>939.92208622637304</v>
      </c>
      <c r="Q39" s="87">
        <f>IF(Q7=0,0,Q7/TrAvia_act!Q25*1000000)</f>
        <v>684.66094830026293</v>
      </c>
      <c r="R39" s="87">
        <f>IF(R7=0,0,R7/TrAvia_act!R25*1000000)</f>
        <v>896.09724203492613</v>
      </c>
      <c r="S39" s="87">
        <f>IF(S7=0,0,S7/TrAvia_act!S25*1000000)</f>
        <v>909.6039621161168</v>
      </c>
      <c r="T39" s="87">
        <f>IF(T7=0,0,T7/TrAvia_act!T25*1000000)</f>
        <v>1192.8647300083139</v>
      </c>
      <c r="U39" s="87">
        <f>IF(U7=0,0,U7/TrAvia_act!U25*1000000)</f>
        <v>1193.0359906599583</v>
      </c>
      <c r="V39" s="87">
        <f>IF(V7=0,0,V7/TrAvia_act!V25*1000000)</f>
        <v>1296.4229254888201</v>
      </c>
      <c r="W39" s="87">
        <f>IF(W7=0,0,W7/TrAvia_act!W25*1000000)</f>
        <v>2212.071085635685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3393.76879872462</v>
      </c>
      <c r="C40" s="87">
        <f>IF(C8=0,0,C8/TrAvia_act!C26*1000000)</f>
        <v>3394.9435394305665</v>
      </c>
      <c r="D40" s="87">
        <f>IF(D8=0,0,D8/TrAvia_act!D26*1000000)</f>
        <v>3388.9760121231361</v>
      </c>
      <c r="E40" s="87">
        <f>IF(E8=0,0,E8/TrAvia_act!E26*1000000)</f>
        <v>3386.7825630659618</v>
      </c>
      <c r="F40" s="87">
        <f>IF(F8=0,0,F8/TrAvia_act!F26*1000000)</f>
        <v>3387.0434139001741</v>
      </c>
      <c r="G40" s="87">
        <f>IF(G8=0,0,G8/TrAvia_act!G26*1000000)</f>
        <v>3315.8715918023345</v>
      </c>
      <c r="H40" s="87">
        <f>IF(H8=0,0,H8/TrAvia_act!H26*1000000)</f>
        <v>3834.1757112566861</v>
      </c>
      <c r="I40" s="87">
        <f>IF(I8=0,0,I8/TrAvia_act!I26*1000000)</f>
        <v>4047.7104315257652</v>
      </c>
      <c r="J40" s="87">
        <f>IF(J8=0,0,J8/TrAvia_act!J26*1000000)</f>
        <v>4697.6981721673301</v>
      </c>
      <c r="K40" s="87">
        <f>IF(K8=0,0,K8/TrAvia_act!K26*1000000)</f>
        <v>4449.6264042179982</v>
      </c>
      <c r="L40" s="87">
        <f>IF(L8=0,0,L8/TrAvia_act!L26*1000000)</f>
        <v>4561.2542127749093</v>
      </c>
      <c r="M40" s="87">
        <f>IF(M8=0,0,M8/TrAvia_act!M26*1000000)</f>
        <v>4176.9252060188555</v>
      </c>
      <c r="N40" s="87">
        <f>IF(N8=0,0,N8/TrAvia_act!N26*1000000)</f>
        <v>4522.4328306491198</v>
      </c>
      <c r="O40" s="87">
        <f>IF(O8=0,0,O8/TrAvia_act!O26*1000000)</f>
        <v>4225.8380833013525</v>
      </c>
      <c r="P40" s="87">
        <f>IF(P8=0,0,P8/TrAvia_act!P26*1000000)</f>
        <v>4569.3785791038181</v>
      </c>
      <c r="Q40" s="87">
        <f>IF(Q8=0,0,Q8/TrAvia_act!Q26*1000000)</f>
        <v>4708.1582917053302</v>
      </c>
      <c r="R40" s="87">
        <f>IF(R8=0,0,R8/TrAvia_act!R26*1000000)</f>
        <v>4608.7774059234116</v>
      </c>
      <c r="S40" s="87">
        <f>IF(S8=0,0,S8/TrAvia_act!S26*1000000)</f>
        <v>5388.1669402543621</v>
      </c>
      <c r="T40" s="87">
        <f>IF(T8=0,0,T8/TrAvia_act!T26*1000000)</f>
        <v>5845.361691752094</v>
      </c>
      <c r="U40" s="87">
        <f>IF(U8=0,0,U8/TrAvia_act!U26*1000000)</f>
        <v>6098.1396488440632</v>
      </c>
      <c r="V40" s="87">
        <f>IF(V8=0,0,V8/TrAvia_act!V26*1000000)</f>
        <v>5760.1261713469976</v>
      </c>
      <c r="W40" s="87">
        <f>IF(W8=0,0,W8/TrAvia_act!W26*1000000)</f>
        <v>6077.6706079770929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8351.8363721649403</v>
      </c>
      <c r="C41" s="87">
        <f>IF(C9=0,0,C9/TrAvia_act!C27*1000000)</f>
        <v>8354.7271961794959</v>
      </c>
      <c r="D41" s="87">
        <f>IF(D9=0,0,D9/TrAvia_act!D27*1000000)</f>
        <v>8339.9933578994769</v>
      </c>
      <c r="E41" s="87">
        <f>IF(E9=0,0,E9/TrAvia_act!E27*1000000)</f>
        <v>8334.5593751818178</v>
      </c>
      <c r="F41" s="87">
        <f>IF(F9=0,0,F9/TrAvia_act!F27*1000000)</f>
        <v>8335.1712575446927</v>
      </c>
      <c r="G41" s="87">
        <f>IF(G9=0,0,G9/TrAvia_act!G27*1000000)</f>
        <v>8081.0356072902996</v>
      </c>
      <c r="H41" s="87">
        <f>IF(H9=0,0,H9/TrAvia_act!H27*1000000)</f>
        <v>8118.2738089121458</v>
      </c>
      <c r="I41" s="87">
        <f>IF(I9=0,0,I9/TrAvia_act!I27*1000000)</f>
        <v>7117.4796074398691</v>
      </c>
      <c r="J41" s="87">
        <f>IF(J9=0,0,J9/TrAvia_act!J27*1000000)</f>
        <v>7987.2973305597179</v>
      </c>
      <c r="K41" s="87">
        <f>IF(K9=0,0,K9/TrAvia_act!K27*1000000)</f>
        <v>8185.9521968740501</v>
      </c>
      <c r="L41" s="87">
        <f>IF(L9=0,0,L9/TrAvia_act!L27*1000000)</f>
        <v>7923.7374936067945</v>
      </c>
      <c r="M41" s="87">
        <f>IF(M9=0,0,M9/TrAvia_act!M27*1000000)</f>
        <v>7263.7088748315</v>
      </c>
      <c r="N41" s="87">
        <f>IF(N9=0,0,N9/TrAvia_act!N27*1000000)</f>
        <v>8107.8381029919392</v>
      </c>
      <c r="O41" s="87">
        <f>IF(O9=0,0,O9/TrAvia_act!O27*1000000)</f>
        <v>8285.5698808941579</v>
      </c>
      <c r="P41" s="87">
        <f>IF(P9=0,0,P9/TrAvia_act!P27*1000000)</f>
        <v>7556.5222653526671</v>
      </c>
      <c r="Q41" s="87">
        <f>IF(Q9=0,0,Q9/TrAvia_act!Q27*1000000)</f>
        <v>7131.6222247517771</v>
      </c>
      <c r="R41" s="87">
        <f>IF(R9=0,0,R9/TrAvia_act!R27*1000000)</f>
        <v>9428.2243082729783</v>
      </c>
      <c r="S41" s="87">
        <f>IF(S9=0,0,S9/TrAvia_act!S27*1000000)</f>
        <v>8896.5268566480918</v>
      </c>
      <c r="T41" s="87">
        <f>IF(T9=0,0,T9/TrAvia_act!T27*1000000)</f>
        <v>6665.5902297237162</v>
      </c>
      <c r="U41" s="87">
        <f>IF(U9=0,0,U9/TrAvia_act!U27*1000000)</f>
        <v>6572.0558954294474</v>
      </c>
      <c r="V41" s="87">
        <f>IF(V9=0,0,V9/TrAvia_act!V27*1000000)</f>
        <v>10434.70105447702</v>
      </c>
      <c r="W41" s="87">
        <f>IF(W9=0,0,W9/TrAvia_act!W27*1000000)</f>
        <v>8410.2411625512577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1933.2024803991342</v>
      </c>
      <c r="C42" s="15">
        <f>IF(C10=0,0,C10/TrAvia_act!C28*1000000)</f>
        <v>1949.367399249192</v>
      </c>
      <c r="D42" s="15">
        <f>IF(D10=0,0,D10/TrAvia_act!D28*1000000)</f>
        <v>1951.6179523025444</v>
      </c>
      <c r="E42" s="15">
        <f>IF(E10=0,0,E10/TrAvia_act!E28*1000000)</f>
        <v>1963.6803969455973</v>
      </c>
      <c r="F42" s="15">
        <f>IF(F10=0,0,F10/TrAvia_act!F28*1000000)</f>
        <v>2011.2630459136758</v>
      </c>
      <c r="G42" s="15">
        <f>IF(G10=0,0,G10/TrAvia_act!G28*1000000)</f>
        <v>2431.1169604625206</v>
      </c>
      <c r="H42" s="15">
        <f>IF(H10=0,0,H10/TrAvia_act!H28*1000000)</f>
        <v>2148.2159623767352</v>
      </c>
      <c r="I42" s="15">
        <f>IF(I10=0,0,I10/TrAvia_act!I28*1000000)</f>
        <v>2216.5345990530286</v>
      </c>
      <c r="J42" s="15">
        <f>IF(J10=0,0,J10/TrAvia_act!J28*1000000)</f>
        <v>2602.6672266159885</v>
      </c>
      <c r="K42" s="15">
        <f>IF(K10=0,0,K10/TrAvia_act!K28*1000000)</f>
        <v>2825.1173496915335</v>
      </c>
      <c r="L42" s="15">
        <f>IF(L10=0,0,L10/TrAvia_act!L28*1000000)</f>
        <v>4368.7197417179977</v>
      </c>
      <c r="M42" s="15">
        <f>IF(M10=0,0,M10/TrAvia_act!M28*1000000)</f>
        <v>3781.9806202406403</v>
      </c>
      <c r="N42" s="15">
        <f>IF(N10=0,0,N10/TrAvia_act!N28*1000000)</f>
        <v>3933.0801391149366</v>
      </c>
      <c r="O42" s="15">
        <f>IF(O10=0,0,O10/TrAvia_act!O28*1000000)</f>
        <v>4045.7731822355727</v>
      </c>
      <c r="P42" s="15">
        <f>IF(P10=0,0,P10/TrAvia_act!P28*1000000)</f>
        <v>4955.4440556421423</v>
      </c>
      <c r="Q42" s="15">
        <f>IF(Q10=0,0,Q10/TrAvia_act!Q28*1000000)</f>
        <v>4870.1128378122894</v>
      </c>
      <c r="R42" s="15">
        <f>IF(R10=0,0,R10/TrAvia_act!R28*1000000)</f>
        <v>6498.654866064554</v>
      </c>
      <c r="S42" s="15">
        <f>IF(S10=0,0,S10/TrAvia_act!S28*1000000)</f>
        <v>6907.5798508346261</v>
      </c>
      <c r="T42" s="15">
        <f>IF(T10=0,0,T10/TrAvia_act!T28*1000000)</f>
        <v>5741.7575611996554</v>
      </c>
      <c r="U42" s="15">
        <f>IF(U10=0,0,U10/TrAvia_act!U28*1000000)</f>
        <v>7356.3508881164771</v>
      </c>
      <c r="V42" s="15">
        <f>IF(V10=0,0,V10/TrAvia_act!V28*1000000)</f>
        <v>8911.465445585136</v>
      </c>
      <c r="W42" s="15">
        <f>IF(W10=0,0,W10/TrAvia_act!W28*1000000)</f>
        <v>8673.6195730175186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120.68913772431513</v>
      </c>
      <c r="C43" s="101">
        <f>IF(C11=0,0,C11/TrAvia_act!C29*1000000)</f>
        <v>120.9814840241368</v>
      </c>
      <c r="D43" s="101">
        <f>IF(D11=0,0,D11/TrAvia_act!D29*1000000)</f>
        <v>121.09541743348038</v>
      </c>
      <c r="E43" s="101">
        <f>IF(E11=0,0,E11/TrAvia_act!E29*1000000)</f>
        <v>120.9777799309026</v>
      </c>
      <c r="F43" s="101">
        <f>IF(F11=0,0,F11/TrAvia_act!F29*1000000)</f>
        <v>120.86884165928159</v>
      </c>
      <c r="G43" s="101">
        <f>IF(G11=0,0,G11/TrAvia_act!G29*1000000)</f>
        <v>120.97246513923818</v>
      </c>
      <c r="H43" s="101">
        <f>IF(H11=0,0,H11/TrAvia_act!H29*1000000)</f>
        <v>119.99324251821697</v>
      </c>
      <c r="I43" s="101">
        <f>IF(I11=0,0,I11/TrAvia_act!I29*1000000)</f>
        <v>147.42194549841133</v>
      </c>
      <c r="J43" s="101">
        <f>IF(J11=0,0,J11/TrAvia_act!J29*1000000)</f>
        <v>115.68726225419984</v>
      </c>
      <c r="K43" s="101">
        <f>IF(K11=0,0,K11/TrAvia_act!K29*1000000)</f>
        <v>166.3025189312329</v>
      </c>
      <c r="L43" s="101">
        <f>IF(L11=0,0,L11/TrAvia_act!L29*1000000)</f>
        <v>166.01351201528897</v>
      </c>
      <c r="M43" s="101">
        <f>IF(M11=0,0,M11/TrAvia_act!M29*1000000)</f>
        <v>181.9823018110865</v>
      </c>
      <c r="N43" s="101">
        <f>IF(N11=0,0,N11/TrAvia_act!N29*1000000)</f>
        <v>495.71016330622075</v>
      </c>
      <c r="O43" s="101">
        <f>IF(O11=0,0,O11/TrAvia_act!O29*1000000)</f>
        <v>579.67328391144645</v>
      </c>
      <c r="P43" s="101">
        <f>IF(P11=0,0,P11/TrAvia_act!P29*1000000)</f>
        <v>923.69622811774434</v>
      </c>
      <c r="Q43" s="101">
        <f>IF(Q11=0,0,Q11/TrAvia_act!Q29*1000000)</f>
        <v>668.98747536281348</v>
      </c>
      <c r="R43" s="101">
        <f>IF(R11=0,0,R11/TrAvia_act!R29*1000000)</f>
        <v>870.5677837162242</v>
      </c>
      <c r="S43" s="101">
        <f>IF(S11=0,0,S11/TrAvia_act!S29*1000000)</f>
        <v>878.62735855557071</v>
      </c>
      <c r="T43" s="101">
        <f>IF(T11=0,0,T11/TrAvia_act!T29*1000000)</f>
        <v>1145.6406391189544</v>
      </c>
      <c r="U43" s="101">
        <f>IF(U11=0,0,U11/TrAvia_act!U29*1000000)</f>
        <v>1134.8454921978787</v>
      </c>
      <c r="V43" s="101">
        <f>IF(V11=0,0,V11/TrAvia_act!V29*1000000)</f>
        <v>1233.1897147202742</v>
      </c>
      <c r="W43" s="101">
        <f>IF(W11=0,0,W11/TrAvia_act!W29*1000000)</f>
        <v>2104.1770069034178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3087.9718526813049</v>
      </c>
      <c r="C44" s="101">
        <f>IF(C12=0,0,C12/TrAvia_act!C30*1000000)</f>
        <v>3085.9473194775383</v>
      </c>
      <c r="D44" s="101">
        <f>IF(D12=0,0,D12/TrAvia_act!D30*1000000)</f>
        <v>3084.085446652552</v>
      </c>
      <c r="E44" s="101">
        <f>IF(E12=0,0,E12/TrAvia_act!E30*1000000)</f>
        <v>3078.4980238050298</v>
      </c>
      <c r="F44" s="101">
        <f>IF(F12=0,0,F12/TrAvia_act!F30*1000000)</f>
        <v>3076.343968583104</v>
      </c>
      <c r="G44" s="101">
        <f>IF(G12=0,0,G12/TrAvia_act!G30*1000000)</f>
        <v>3393.8038764410903</v>
      </c>
      <c r="H44" s="101">
        <f>IF(H12=0,0,H12/TrAvia_act!H30*1000000)</f>
        <v>3374.9160121097202</v>
      </c>
      <c r="I44" s="101">
        <f>IF(I12=0,0,I12/TrAvia_act!I30*1000000)</f>
        <v>3359.5905155045784</v>
      </c>
      <c r="J44" s="101">
        <f>IF(J12=0,0,J12/TrAvia_act!J30*1000000)</f>
        <v>3270.2715562206463</v>
      </c>
      <c r="K44" s="101">
        <f>IF(K12=0,0,K12/TrAvia_act!K30*1000000)</f>
        <v>3189.6926190010067</v>
      </c>
      <c r="L44" s="101">
        <f>IF(L12=0,0,L12/TrAvia_act!L30*1000000)</f>
        <v>3192.134010320035</v>
      </c>
      <c r="M44" s="101">
        <f>IF(M12=0,0,M12/TrAvia_act!M30*1000000)</f>
        <v>2845.1664037837281</v>
      </c>
      <c r="N44" s="101">
        <f>IF(N12=0,0,N12/TrAvia_act!N30*1000000)</f>
        <v>3015.41254508271</v>
      </c>
      <c r="O44" s="101">
        <f>IF(O12=0,0,O12/TrAvia_act!O30*1000000)</f>
        <v>2609.9781758020395</v>
      </c>
      <c r="P44" s="101">
        <f>IF(P12=0,0,P12/TrAvia_act!P30*1000000)</f>
        <v>2785.3320038306597</v>
      </c>
      <c r="Q44" s="101">
        <f>IF(Q12=0,0,Q12/TrAvia_act!Q30*1000000)</f>
        <v>2636.4313899521294</v>
      </c>
      <c r="R44" s="101">
        <f>IF(R12=0,0,R12/TrAvia_act!R30*1000000)</f>
        <v>2608.4321854508808</v>
      </c>
      <c r="S44" s="101">
        <f>IF(S12=0,0,S12/TrAvia_act!S30*1000000)</f>
        <v>3097.7052360475027</v>
      </c>
      <c r="T44" s="101">
        <f>IF(T12=0,0,T12/TrAvia_act!T30*1000000)</f>
        <v>2937.6087726281526</v>
      </c>
      <c r="U44" s="101">
        <f>IF(U12=0,0,U12/TrAvia_act!U30*1000000)</f>
        <v>2662.8284867412499</v>
      </c>
      <c r="V44" s="101">
        <f>IF(V12=0,0,V12/TrAvia_act!V30*1000000)</f>
        <v>3459.6015793797797</v>
      </c>
      <c r="W44" s="101">
        <f>IF(W12=0,0,W12/TrAvia_act!W30*1000000)</f>
        <v>3708.0015203907519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2778.7626656734651</v>
      </c>
      <c r="C45" s="88">
        <f>IF(C13=0,0,C13/TrAvia_act!C31*1000000)</f>
        <v>2779.724479756826</v>
      </c>
      <c r="D45" s="88">
        <f>IF(D13=0,0,D13/TrAvia_act!D31*1000000)</f>
        <v>2774.8223435187374</v>
      </c>
      <c r="E45" s="88">
        <f>IF(E13=0,0,E13/TrAvia_act!E31*1000000)</f>
        <v>2773.0143880429719</v>
      </c>
      <c r="F45" s="88">
        <f>IF(F13=0,0,F13/TrAvia_act!F31*1000000)</f>
        <v>2773.2179691226274</v>
      </c>
      <c r="G45" s="88">
        <f>IF(G13=0,0,G13/TrAvia_act!G31*1000000)</f>
        <v>2688.6637913974596</v>
      </c>
      <c r="H45" s="88">
        <f>IF(H13=0,0,H13/TrAvia_act!H31*1000000)</f>
        <v>4122.3008471630146</v>
      </c>
      <c r="I45" s="88">
        <f>IF(I13=0,0,I13/TrAvia_act!I31*1000000)</f>
        <v>5512.7620872785292</v>
      </c>
      <c r="J45" s="88">
        <f>IF(J13=0,0,J13/TrAvia_act!J31*1000000)</f>
        <v>9431.5437750066867</v>
      </c>
      <c r="K45" s="88">
        <f>IF(K13=0,0,K13/TrAvia_act!K31*1000000)</f>
        <v>14729.108840209723</v>
      </c>
      <c r="L45" s="88">
        <f>IF(L13=0,0,L13/TrAvia_act!L31*1000000)</f>
        <v>21714.852263145025</v>
      </c>
      <c r="M45" s="88">
        <f>IF(M13=0,0,M13/TrAvia_act!M31*1000000)</f>
        <v>17976.858522448048</v>
      </c>
      <c r="N45" s="88">
        <f>IF(N13=0,0,N13/TrAvia_act!N31*1000000)</f>
        <v>17757.607959183486</v>
      </c>
      <c r="O45" s="88">
        <f>IF(O13=0,0,O13/TrAvia_act!O31*1000000)</f>
        <v>18257.324853805407</v>
      </c>
      <c r="P45" s="88">
        <f>IF(P13=0,0,P13/TrAvia_act!P31*1000000)</f>
        <v>16749.729431487314</v>
      </c>
      <c r="Q45" s="88">
        <f>IF(Q13=0,0,Q13/TrAvia_act!Q31*1000000)</f>
        <v>15899.066596165176</v>
      </c>
      <c r="R45" s="88">
        <f>IF(R13=0,0,R13/TrAvia_act!R31*1000000)</f>
        <v>21136.22842621772</v>
      </c>
      <c r="S45" s="88">
        <f>IF(S13=0,0,S13/TrAvia_act!S31*1000000)</f>
        <v>20051.150850560723</v>
      </c>
      <c r="T45" s="88">
        <f>IF(T13=0,0,T13/TrAvia_act!T31*1000000)</f>
        <v>15099.944203003552</v>
      </c>
      <c r="U45" s="88">
        <f>IF(U13=0,0,U13/TrAvia_act!U31*1000000)</f>
        <v>22872.650917187926</v>
      </c>
      <c r="V45" s="88">
        <f>IF(V13=0,0,V13/TrAvia_act!V31*1000000)</f>
        <v>34662.542970601135</v>
      </c>
      <c r="W45" s="88">
        <f>IF(W13=0,0,W13/TrAvia_act!W31*1000000)</f>
        <v>28704.874966269872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0.99291043503609488</v>
      </c>
      <c r="C48" s="16">
        <f t="shared" si="35"/>
        <v>0.99426032397481967</v>
      </c>
      <c r="D48" s="16">
        <f t="shared" ref="D48:V48" si="36">IF(D6=0,0,D6/D$3)</f>
        <v>0.99352964373284369</v>
      </c>
      <c r="E48" s="16">
        <f t="shared" si="36"/>
        <v>0.99388708775286017</v>
      </c>
      <c r="F48" s="16">
        <f t="shared" si="36"/>
        <v>0.99495428822571741</v>
      </c>
      <c r="G48" s="16">
        <f t="shared" si="36"/>
        <v>0.99417126697777813</v>
      </c>
      <c r="H48" s="16">
        <f t="shared" si="36"/>
        <v>0.99396467280889389</v>
      </c>
      <c r="I48" s="16">
        <f t="shared" si="36"/>
        <v>0.99294396099248938</v>
      </c>
      <c r="J48" s="16">
        <f t="shared" si="36"/>
        <v>0.99213769192931422</v>
      </c>
      <c r="K48" s="16">
        <f t="shared" si="36"/>
        <v>0.99011318833620898</v>
      </c>
      <c r="L48" s="16">
        <f t="shared" si="36"/>
        <v>0.98586053998840484</v>
      </c>
      <c r="M48" s="16">
        <f t="shared" si="36"/>
        <v>0.9866788216718867</v>
      </c>
      <c r="N48" s="16">
        <f t="shared" si="36"/>
        <v>0.9874047893607153</v>
      </c>
      <c r="O48" s="16">
        <f t="shared" si="36"/>
        <v>0.98649099705789833</v>
      </c>
      <c r="P48" s="16">
        <f t="shared" si="36"/>
        <v>0.98613593333798921</v>
      </c>
      <c r="Q48" s="16">
        <f t="shared" si="36"/>
        <v>0.98662244917384523</v>
      </c>
      <c r="R48" s="16">
        <f t="shared" si="36"/>
        <v>0.98457345656161765</v>
      </c>
      <c r="S48" s="16">
        <f t="shared" si="36"/>
        <v>0.98556664281825068</v>
      </c>
      <c r="T48" s="16">
        <f t="shared" si="36"/>
        <v>0.98876215394021738</v>
      </c>
      <c r="U48" s="16">
        <f t="shared" si="36"/>
        <v>0.98581668802660749</v>
      </c>
      <c r="V48" s="16">
        <f t="shared" si="36"/>
        <v>0.95999727026687909</v>
      </c>
      <c r="W48" s="16">
        <f t="shared" ref="W48" si="37">IF(W6=0,0,W6/W$3)</f>
        <v>0.96008245942994419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1.0995117302724882E-2</v>
      </c>
      <c r="C49" s="103">
        <f t="shared" si="38"/>
        <v>1.1198469058949988E-2</v>
      </c>
      <c r="D49" s="103">
        <f t="shared" ref="D49:V49" si="39">IF(D7=0,0,D7/D$3)</f>
        <v>1.5188295496902319E-2</v>
      </c>
      <c r="E49" s="103">
        <f t="shared" si="39"/>
        <v>1.4061859020517271E-2</v>
      </c>
      <c r="F49" s="103">
        <f t="shared" si="39"/>
        <v>1.0776272191756166E-2</v>
      </c>
      <c r="G49" s="103">
        <f t="shared" si="39"/>
        <v>9.5243557489784539E-3</v>
      </c>
      <c r="H49" s="103">
        <f t="shared" si="39"/>
        <v>7.0717860949958532E-3</v>
      </c>
      <c r="I49" s="103">
        <f t="shared" si="39"/>
        <v>9.0045989817352217E-3</v>
      </c>
      <c r="J49" s="103">
        <f t="shared" si="39"/>
        <v>5.6157120833200194E-3</v>
      </c>
      <c r="K49" s="103">
        <f t="shared" si="39"/>
        <v>8.382017387005938E-3</v>
      </c>
      <c r="L49" s="103">
        <f t="shared" si="39"/>
        <v>7.9994916446440717E-3</v>
      </c>
      <c r="M49" s="103">
        <f t="shared" si="39"/>
        <v>1.0210402430357762E-2</v>
      </c>
      <c r="N49" s="103">
        <f t="shared" si="39"/>
        <v>3.2891533068270189E-2</v>
      </c>
      <c r="O49" s="103">
        <f t="shared" si="39"/>
        <v>2.9923385992607309E-2</v>
      </c>
      <c r="P49" s="103">
        <f t="shared" si="39"/>
        <v>4.3427866798844569E-2</v>
      </c>
      <c r="Q49" s="103">
        <f t="shared" si="39"/>
        <v>2.7600969143870186E-2</v>
      </c>
      <c r="R49" s="103">
        <f t="shared" si="39"/>
        <v>3.4815795774893014E-2</v>
      </c>
      <c r="S49" s="103">
        <f t="shared" si="39"/>
        <v>3.1306779760604933E-2</v>
      </c>
      <c r="T49" s="103">
        <f t="shared" si="39"/>
        <v>3.1558503817971449E-2</v>
      </c>
      <c r="U49" s="103">
        <f t="shared" si="39"/>
        <v>3.0420904167033799E-2</v>
      </c>
      <c r="V49" s="103">
        <f t="shared" si="39"/>
        <v>3.8317751941934416E-2</v>
      </c>
      <c r="W49" s="103">
        <f t="shared" ref="W49" si="40">IF(W7=0,0,W7/W$3)</f>
        <v>5.0521776642669151E-2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0.62938045150155753</v>
      </c>
      <c r="C50" s="103">
        <f t="shared" si="41"/>
        <v>0.63011147529736766</v>
      </c>
      <c r="D50" s="103">
        <f t="shared" ref="D50:V50" si="42">IF(D8=0,0,D8/D$3)</f>
        <v>0.62707738117787226</v>
      </c>
      <c r="E50" s="103">
        <f t="shared" si="42"/>
        <v>0.62802491537927108</v>
      </c>
      <c r="F50" s="103">
        <f t="shared" si="42"/>
        <v>0.63081042927958419</v>
      </c>
      <c r="G50" s="103">
        <f t="shared" si="42"/>
        <v>0.65488583542206202</v>
      </c>
      <c r="H50" s="103">
        <f t="shared" si="42"/>
        <v>0.69479602950612729</v>
      </c>
      <c r="I50" s="103">
        <f t="shared" si="42"/>
        <v>0.71677570059031726</v>
      </c>
      <c r="J50" s="103">
        <f t="shared" si="42"/>
        <v>0.73114573106892433</v>
      </c>
      <c r="K50" s="103">
        <f t="shared" si="42"/>
        <v>0.70332445003199162</v>
      </c>
      <c r="L50" s="103">
        <f t="shared" si="42"/>
        <v>0.69998226316426138</v>
      </c>
      <c r="M50" s="103">
        <f t="shared" si="42"/>
        <v>0.69712816596207305</v>
      </c>
      <c r="N50" s="103">
        <f t="shared" si="42"/>
        <v>0.68678759586853977</v>
      </c>
      <c r="O50" s="103">
        <f t="shared" si="42"/>
        <v>0.70319051162113544</v>
      </c>
      <c r="P50" s="103">
        <f t="shared" si="42"/>
        <v>0.68909998057927824</v>
      </c>
      <c r="Q50" s="103">
        <f t="shared" si="42"/>
        <v>0.71546509147401527</v>
      </c>
      <c r="R50" s="103">
        <f t="shared" si="42"/>
        <v>0.72392501538884624</v>
      </c>
      <c r="S50" s="103">
        <f t="shared" si="42"/>
        <v>0.7371252309928551</v>
      </c>
      <c r="T50" s="103">
        <f t="shared" si="42"/>
        <v>0.74265045022397302</v>
      </c>
      <c r="U50" s="103">
        <f t="shared" si="42"/>
        <v>0.74282814770611361</v>
      </c>
      <c r="V50" s="103">
        <f t="shared" si="42"/>
        <v>0.63376695546166184</v>
      </c>
      <c r="W50" s="103">
        <f t="shared" ref="W50" si="43">IF(W8=0,0,W8/W$3)</f>
        <v>0.63969902986855731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0.35253486623181257</v>
      </c>
      <c r="C51" s="103">
        <f t="shared" si="44"/>
        <v>0.35295037961850195</v>
      </c>
      <c r="D51" s="103">
        <f t="shared" ref="D51:V51" si="45">IF(D9=0,0,D9/D$3)</f>
        <v>0.35126396705806912</v>
      </c>
      <c r="E51" s="103">
        <f t="shared" si="45"/>
        <v>0.35180031335307183</v>
      </c>
      <c r="F51" s="103">
        <f t="shared" si="45"/>
        <v>0.35336758675437707</v>
      </c>
      <c r="G51" s="103">
        <f t="shared" si="45"/>
        <v>0.32976107580673741</v>
      </c>
      <c r="H51" s="103">
        <f t="shared" si="45"/>
        <v>0.29209685720777073</v>
      </c>
      <c r="I51" s="103">
        <f t="shared" si="45"/>
        <v>0.26716366142043696</v>
      </c>
      <c r="J51" s="103">
        <f t="shared" si="45"/>
        <v>0.25537624877706994</v>
      </c>
      <c r="K51" s="103">
        <f t="shared" si="45"/>
        <v>0.27840672091721147</v>
      </c>
      <c r="L51" s="103">
        <f t="shared" si="45"/>
        <v>0.27787878517949938</v>
      </c>
      <c r="M51" s="103">
        <f t="shared" si="45"/>
        <v>0.27934025327945583</v>
      </c>
      <c r="N51" s="103">
        <f t="shared" si="45"/>
        <v>0.26772566042390522</v>
      </c>
      <c r="O51" s="103">
        <f t="shared" si="45"/>
        <v>0.25337709944415565</v>
      </c>
      <c r="P51" s="103">
        <f t="shared" si="45"/>
        <v>0.25360808595986639</v>
      </c>
      <c r="Q51" s="103">
        <f t="shared" si="45"/>
        <v>0.24355638855595974</v>
      </c>
      <c r="R51" s="103">
        <f t="shared" si="45"/>
        <v>0.22583264539787837</v>
      </c>
      <c r="S51" s="103">
        <f t="shared" si="45"/>
        <v>0.21713463206479056</v>
      </c>
      <c r="T51" s="103">
        <f t="shared" si="45"/>
        <v>0.21455319989827273</v>
      </c>
      <c r="U51" s="103">
        <f t="shared" si="45"/>
        <v>0.21256763615346025</v>
      </c>
      <c r="V51" s="103">
        <f t="shared" si="45"/>
        <v>0.28791256286328282</v>
      </c>
      <c r="W51" s="103">
        <f t="shared" ref="W51" si="46">IF(W9=0,0,W9/W$3)</f>
        <v>0.26986165291871783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7.0895649639049945E-3</v>
      </c>
      <c r="C52" s="17">
        <f t="shared" si="47"/>
        <v>5.739676025180291E-3</v>
      </c>
      <c r="D52" s="17">
        <f t="shared" ref="D52:V52" si="48">IF(D10=0,0,D10/D$3)</f>
        <v>6.4703562671564437E-3</v>
      </c>
      <c r="E52" s="17">
        <f t="shared" si="48"/>
        <v>6.1129122471398475E-3</v>
      </c>
      <c r="F52" s="17">
        <f t="shared" si="48"/>
        <v>5.0457117742825214E-3</v>
      </c>
      <c r="G52" s="17">
        <f t="shared" si="48"/>
        <v>5.8287330222221061E-3</v>
      </c>
      <c r="H52" s="17">
        <f t="shared" si="48"/>
        <v>6.0353271911061683E-3</v>
      </c>
      <c r="I52" s="17">
        <f t="shared" si="48"/>
        <v>7.0560390075107551E-3</v>
      </c>
      <c r="J52" s="17">
        <f t="shared" si="48"/>
        <v>7.8623080706858549E-3</v>
      </c>
      <c r="K52" s="17">
        <f t="shared" si="48"/>
        <v>9.8868116637909811E-3</v>
      </c>
      <c r="L52" s="17">
        <f t="shared" si="48"/>
        <v>1.4139460011595139E-2</v>
      </c>
      <c r="M52" s="17">
        <f t="shared" si="48"/>
        <v>1.3321178328113255E-2</v>
      </c>
      <c r="N52" s="17">
        <f t="shared" si="48"/>
        <v>1.2595210639284937E-2</v>
      </c>
      <c r="O52" s="17">
        <f t="shared" si="48"/>
        <v>1.3509002942101464E-2</v>
      </c>
      <c r="P52" s="17">
        <f t="shared" si="48"/>
        <v>1.3864066662010907E-2</v>
      </c>
      <c r="Q52" s="17">
        <f t="shared" si="48"/>
        <v>1.3377550826154562E-2</v>
      </c>
      <c r="R52" s="17">
        <f t="shared" si="48"/>
        <v>1.5426543438382517E-2</v>
      </c>
      <c r="S52" s="17">
        <f t="shared" si="48"/>
        <v>1.4433357181749389E-2</v>
      </c>
      <c r="T52" s="17">
        <f t="shared" si="48"/>
        <v>1.1237846059782659E-2</v>
      </c>
      <c r="U52" s="17">
        <f t="shared" si="48"/>
        <v>1.4183311973392298E-2</v>
      </c>
      <c r="V52" s="17">
        <f t="shared" si="48"/>
        <v>4.0002729733120836E-2</v>
      </c>
      <c r="W52" s="17">
        <f t="shared" ref="W52" si="49">IF(W10=0,0,W10/W$3)</f>
        <v>3.9917540570055809E-2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1.6592158057262418E-4</v>
      </c>
      <c r="C53" s="104">
        <f t="shared" si="50"/>
        <v>1.3039639431663768E-4</v>
      </c>
      <c r="D53" s="104">
        <f t="shared" ref="D53:V53" si="51">IF(D11=0,0,D11/D$3)</f>
        <v>1.4698899191011288E-4</v>
      </c>
      <c r="E53" s="104">
        <f t="shared" si="51"/>
        <v>1.3554436203095863E-4</v>
      </c>
      <c r="F53" s="104">
        <f t="shared" si="51"/>
        <v>1.027326579277956E-4</v>
      </c>
      <c r="G53" s="104">
        <f t="shared" si="51"/>
        <v>7.2783800662833232E-5</v>
      </c>
      <c r="H53" s="104">
        <f t="shared" si="51"/>
        <v>1.3762627257266798E-4</v>
      </c>
      <c r="I53" s="104">
        <f t="shared" si="51"/>
        <v>2.1089515050643219E-4</v>
      </c>
      <c r="J53" s="104">
        <f t="shared" si="51"/>
        <v>1.573797758807809E-4</v>
      </c>
      <c r="K53" s="104">
        <f t="shared" si="51"/>
        <v>2.5137774167472142E-4</v>
      </c>
      <c r="L53" s="104">
        <f t="shared" si="51"/>
        <v>2.0144944475640125E-4</v>
      </c>
      <c r="M53" s="104">
        <f t="shared" si="51"/>
        <v>2.2848665497239408E-4</v>
      </c>
      <c r="N53" s="104">
        <f t="shared" si="51"/>
        <v>5.261827425413313E-4</v>
      </c>
      <c r="O53" s="104">
        <f t="shared" si="51"/>
        <v>5.5041952179094022E-4</v>
      </c>
      <c r="P53" s="104">
        <f t="shared" si="51"/>
        <v>4.5640255094532415E-4</v>
      </c>
      <c r="Q53" s="104">
        <f t="shared" si="51"/>
        <v>2.3045390828692715E-4</v>
      </c>
      <c r="R53" s="104">
        <f t="shared" si="51"/>
        <v>1.4761133549217039E-4</v>
      </c>
      <c r="S53" s="104">
        <f t="shared" si="51"/>
        <v>4.3020807153757113E-5</v>
      </c>
      <c r="T53" s="104">
        <f t="shared" si="51"/>
        <v>4.5198034228836044E-5</v>
      </c>
      <c r="U53" s="104">
        <f t="shared" si="51"/>
        <v>5.4189363824063791E-5</v>
      </c>
      <c r="V53" s="104">
        <f t="shared" si="51"/>
        <v>4.1504574130924275E-5</v>
      </c>
      <c r="W53" s="104">
        <f t="shared" ref="W53" si="52">IF(W11=0,0,W11/W$3)</f>
        <v>6.0235839255421766E-5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5.5264856882999243E-3</v>
      </c>
      <c r="C54" s="104">
        <f t="shared" si="53"/>
        <v>4.2402256567874684E-3</v>
      </c>
      <c r="D54" s="104">
        <f t="shared" ref="D54:V54" si="54">IF(D12=0,0,D12/D$3)</f>
        <v>4.9057252104281537E-3</v>
      </c>
      <c r="E54" s="104">
        <f t="shared" si="54"/>
        <v>4.5541449482233926E-3</v>
      </c>
      <c r="F54" s="104">
        <f t="shared" si="54"/>
        <v>3.4792955056879528E-3</v>
      </c>
      <c r="G54" s="104">
        <f t="shared" si="54"/>
        <v>4.4634545961761965E-3</v>
      </c>
      <c r="H54" s="104">
        <f t="shared" si="54"/>
        <v>4.3154346539875941E-3</v>
      </c>
      <c r="I54" s="104">
        <f t="shared" si="54"/>
        <v>4.3964273821395696E-3</v>
      </c>
      <c r="J54" s="104">
        <f t="shared" si="54"/>
        <v>4.2228333893196855E-3</v>
      </c>
      <c r="K54" s="104">
        <f t="shared" si="54"/>
        <v>5.430671616792295E-3</v>
      </c>
      <c r="L54" s="104">
        <f t="shared" si="54"/>
        <v>5.1688206201974509E-3</v>
      </c>
      <c r="M54" s="104">
        <f t="shared" si="54"/>
        <v>5.2000809771781996E-3</v>
      </c>
      <c r="N54" s="104">
        <f t="shared" si="54"/>
        <v>5.3075501841505007E-3</v>
      </c>
      <c r="O54" s="104">
        <f t="shared" si="54"/>
        <v>5.115327631093884E-3</v>
      </c>
      <c r="P54" s="104">
        <f t="shared" si="54"/>
        <v>5.0219283687771427E-3</v>
      </c>
      <c r="Q54" s="104">
        <f t="shared" si="54"/>
        <v>4.9793174499865606E-3</v>
      </c>
      <c r="R54" s="104">
        <f t="shared" si="54"/>
        <v>4.4080509113517928E-3</v>
      </c>
      <c r="S54" s="104">
        <f t="shared" si="54"/>
        <v>4.8465444385681717E-3</v>
      </c>
      <c r="T54" s="104">
        <f t="shared" si="54"/>
        <v>4.2909455849635802E-3</v>
      </c>
      <c r="U54" s="104">
        <f t="shared" si="54"/>
        <v>3.8049400923037642E-3</v>
      </c>
      <c r="V54" s="104">
        <f t="shared" si="54"/>
        <v>1.2691666534833805E-2</v>
      </c>
      <c r="W54" s="104">
        <f t="shared" ref="W54" si="55">IF(W12=0,0,W12/W$3)</f>
        <v>1.3561992446444439E-2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1.3971576950324459E-3</v>
      </c>
      <c r="C55" s="105">
        <f t="shared" si="56"/>
        <v>1.3690539740761852E-3</v>
      </c>
      <c r="D55" s="105">
        <f t="shared" ref="D55:V55" si="57">IF(D13=0,0,D13/D$3)</f>
        <v>1.4176420648181782E-3</v>
      </c>
      <c r="E55" s="105">
        <f t="shared" si="57"/>
        <v>1.4232229368854965E-3</v>
      </c>
      <c r="F55" s="105">
        <f t="shared" si="57"/>
        <v>1.4636836106667729E-3</v>
      </c>
      <c r="G55" s="105">
        <f t="shared" si="57"/>
        <v>1.292494625383076E-3</v>
      </c>
      <c r="H55" s="105">
        <f t="shared" si="57"/>
        <v>1.5822662645459057E-3</v>
      </c>
      <c r="I55" s="105">
        <f t="shared" si="57"/>
        <v>2.4487164748647522E-3</v>
      </c>
      <c r="J55" s="105">
        <f t="shared" si="57"/>
        <v>3.4820949054853892E-3</v>
      </c>
      <c r="K55" s="105">
        <f t="shared" si="57"/>
        <v>4.2047623053239657E-3</v>
      </c>
      <c r="L55" s="105">
        <f t="shared" si="57"/>
        <v>8.7691899466412881E-3</v>
      </c>
      <c r="M55" s="105">
        <f t="shared" si="57"/>
        <v>7.8926106959626603E-3</v>
      </c>
      <c r="N55" s="105">
        <f t="shared" si="57"/>
        <v>6.7614777125931027E-3</v>
      </c>
      <c r="O55" s="105">
        <f t="shared" si="57"/>
        <v>7.8432557892166386E-3</v>
      </c>
      <c r="P55" s="105">
        <f t="shared" si="57"/>
        <v>8.3857357422884408E-3</v>
      </c>
      <c r="Q55" s="105">
        <f t="shared" si="57"/>
        <v>8.1677794678810724E-3</v>
      </c>
      <c r="R55" s="105">
        <f t="shared" si="57"/>
        <v>1.0870881191538553E-2</v>
      </c>
      <c r="S55" s="105">
        <f t="shared" si="57"/>
        <v>9.5437919360274615E-3</v>
      </c>
      <c r="T55" s="105">
        <f t="shared" si="57"/>
        <v>6.9017024405902423E-3</v>
      </c>
      <c r="U55" s="105">
        <f t="shared" si="57"/>
        <v>1.032418251726447E-2</v>
      </c>
      <c r="V55" s="105">
        <f t="shared" si="57"/>
        <v>2.7269558624156112E-2</v>
      </c>
      <c r="W55" s="105">
        <f t="shared" ref="W55" si="58">IF(W13=0,0,W13/W$3)</f>
        <v>2.6295312284355953E-2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446.00568750997729</v>
      </c>
      <c r="C57" s="62">
        <v>446.28678457063995</v>
      </c>
      <c r="D57" s="62">
        <v>451.19825701130736</v>
      </c>
      <c r="E57" s="62">
        <v>449.83699539439669</v>
      </c>
      <c r="F57" s="62">
        <v>445.73577772774564</v>
      </c>
      <c r="G57" s="62">
        <v>434.81022603458962</v>
      </c>
      <c r="H57" s="62">
        <v>418.99896699259733</v>
      </c>
      <c r="I57" s="62">
        <v>416.03630872756514</v>
      </c>
      <c r="J57" s="62">
        <v>410.05333853820503</v>
      </c>
      <c r="K57" s="62">
        <v>402.69391959987684</v>
      </c>
      <c r="L57" s="62">
        <v>399.97471420156631</v>
      </c>
      <c r="M57" s="62">
        <v>396.28974017298805</v>
      </c>
      <c r="N57" s="62">
        <v>400.16402061205889</v>
      </c>
      <c r="O57" s="62">
        <v>395.17442984730496</v>
      </c>
      <c r="P57" s="62">
        <v>402.92054039159035</v>
      </c>
      <c r="Q57" s="62">
        <v>404.6731053359091</v>
      </c>
      <c r="R57" s="62">
        <v>394.3608100097216</v>
      </c>
      <c r="S57" s="62">
        <v>405.51527864840449</v>
      </c>
      <c r="T57" s="62">
        <v>417.88849062109819</v>
      </c>
      <c r="U57" s="62">
        <v>420.57337144597926</v>
      </c>
      <c r="V57" s="62">
        <v>427.64681820327195</v>
      </c>
      <c r="W57" s="62">
        <v>427.02629417592476</v>
      </c>
      <c r="DA57" s="172" t="s">
        <v>313</v>
      </c>
    </row>
    <row r="58" spans="1:105" ht="11.45" customHeight="1" x14ac:dyDescent="0.25">
      <c r="A58" s="10" t="s">
        <v>33</v>
      </c>
      <c r="B58" s="14">
        <v>446.53540350626548</v>
      </c>
      <c r="C58" s="14">
        <v>446.75056691312756</v>
      </c>
      <c r="D58" s="14">
        <v>451.71933048862417</v>
      </c>
      <c r="E58" s="14">
        <v>450.33726454933048</v>
      </c>
      <c r="F58" s="14">
        <v>446.17993627611799</v>
      </c>
      <c r="G58" s="14">
        <v>435.26202695187141</v>
      </c>
      <c r="H58" s="14">
        <v>419.30570016877533</v>
      </c>
      <c r="I58" s="14">
        <v>416.12312418285978</v>
      </c>
      <c r="J58" s="14">
        <v>409.61344195789746</v>
      </c>
      <c r="K58" s="14">
        <v>401.96160802957439</v>
      </c>
      <c r="L58" s="14">
        <v>397.58425115349826</v>
      </c>
      <c r="M58" s="14">
        <v>394.40489342733832</v>
      </c>
      <c r="N58" s="14">
        <v>398.69387760843284</v>
      </c>
      <c r="O58" s="14">
        <v>393.29892236733042</v>
      </c>
      <c r="P58" s="14">
        <v>400.59116969627382</v>
      </c>
      <c r="Q58" s="14">
        <v>402.24162431670493</v>
      </c>
      <c r="R58" s="14">
        <v>391.49377082856512</v>
      </c>
      <c r="S58" s="14">
        <v>402.39595953484337</v>
      </c>
      <c r="T58" s="14">
        <v>415.14141769082664</v>
      </c>
      <c r="U58" s="14">
        <v>415.94645622756281</v>
      </c>
      <c r="V58" s="14">
        <v>419.20529327522763</v>
      </c>
      <c r="W58" s="14">
        <v>417.90474722557127</v>
      </c>
      <c r="DA58" s="189" t="s">
        <v>314</v>
      </c>
    </row>
    <row r="59" spans="1:105" ht="11.45" customHeight="1" x14ac:dyDescent="0.25">
      <c r="A59" s="83" t="s">
        <v>27</v>
      </c>
      <c r="B59" s="87">
        <v>606.26928365824256</v>
      </c>
      <c r="C59" s="87">
        <v>606.26928365824244</v>
      </c>
      <c r="D59" s="87">
        <v>606.26928365824256</v>
      </c>
      <c r="E59" s="87">
        <v>606.26928365824244</v>
      </c>
      <c r="F59" s="87">
        <v>606.26928365824244</v>
      </c>
      <c r="G59" s="87">
        <v>595.27055121308922</v>
      </c>
      <c r="H59" s="87">
        <v>609.49729566408394</v>
      </c>
      <c r="I59" s="87">
        <v>613.51871054745902</v>
      </c>
      <c r="J59" s="87">
        <v>614.00397936568822</v>
      </c>
      <c r="K59" s="87">
        <v>616.59603075257121</v>
      </c>
      <c r="L59" s="87">
        <v>597.8745530594399</v>
      </c>
      <c r="M59" s="87">
        <v>592.44439694204016</v>
      </c>
      <c r="N59" s="87">
        <v>578.37130053532348</v>
      </c>
      <c r="O59" s="87">
        <v>576.66084022095754</v>
      </c>
      <c r="P59" s="87">
        <v>570.61546539126937</v>
      </c>
      <c r="Q59" s="87">
        <v>613.7498752485493</v>
      </c>
      <c r="R59" s="87">
        <v>626.48817529000746</v>
      </c>
      <c r="S59" s="87">
        <v>616.97179448585894</v>
      </c>
      <c r="T59" s="87">
        <v>622.73325986133273</v>
      </c>
      <c r="U59" s="87">
        <v>626.07770901087918</v>
      </c>
      <c r="V59" s="87">
        <v>622.64706543818795</v>
      </c>
      <c r="W59" s="87">
        <v>615.37070185431946</v>
      </c>
      <c r="DA59" s="171" t="s">
        <v>315</v>
      </c>
    </row>
    <row r="60" spans="1:105" ht="11.45" customHeight="1" x14ac:dyDescent="0.25">
      <c r="A60" s="83" t="s">
        <v>173</v>
      </c>
      <c r="B60" s="87">
        <v>336.62493357036175</v>
      </c>
      <c r="C60" s="87">
        <v>336.62523463056363</v>
      </c>
      <c r="D60" s="87">
        <v>336.62523324959795</v>
      </c>
      <c r="E60" s="87">
        <v>336.62505307860806</v>
      </c>
      <c r="F60" s="87">
        <v>336.6251549318103</v>
      </c>
      <c r="G60" s="87">
        <v>332.34175246679627</v>
      </c>
      <c r="H60" s="87">
        <v>328.23462459344051</v>
      </c>
      <c r="I60" s="87">
        <v>325.64962806738924</v>
      </c>
      <c r="J60" s="87">
        <v>327.62477530501428</v>
      </c>
      <c r="K60" s="87">
        <v>331.18437566408977</v>
      </c>
      <c r="L60" s="87">
        <v>333.4571539762315</v>
      </c>
      <c r="M60" s="87">
        <v>334.45741203310178</v>
      </c>
      <c r="N60" s="87">
        <v>337.87312471172811</v>
      </c>
      <c r="O60" s="87">
        <v>337.30172136668233</v>
      </c>
      <c r="P60" s="87">
        <v>337.13177651584402</v>
      </c>
      <c r="Q60" s="87">
        <v>336.54111673732103</v>
      </c>
      <c r="R60" s="87">
        <v>335.55874105645279</v>
      </c>
      <c r="S60" s="87">
        <v>336.22119305233707</v>
      </c>
      <c r="T60" s="87">
        <v>338.08913018767129</v>
      </c>
      <c r="U60" s="87">
        <v>335.63002264833244</v>
      </c>
      <c r="V60" s="87">
        <v>332.54590416156151</v>
      </c>
      <c r="W60" s="87">
        <v>330.66591836337818</v>
      </c>
      <c r="DA60" s="171" t="s">
        <v>316</v>
      </c>
    </row>
    <row r="61" spans="1:105" ht="11.45" customHeight="1" x14ac:dyDescent="0.25">
      <c r="A61" s="83" t="s">
        <v>174</v>
      </c>
      <c r="B61" s="87">
        <v>581.10460005781079</v>
      </c>
      <c r="C61" s="87">
        <v>581.1046000578109</v>
      </c>
      <c r="D61" s="87">
        <v>581.1046000578109</v>
      </c>
      <c r="E61" s="87">
        <v>581.1046000578109</v>
      </c>
      <c r="F61" s="87">
        <v>581.10460005781079</v>
      </c>
      <c r="G61" s="87">
        <v>584.30026669882068</v>
      </c>
      <c r="H61" s="87">
        <v>567.45993796231005</v>
      </c>
      <c r="I61" s="87">
        <v>559.21768594939772</v>
      </c>
      <c r="J61" s="87">
        <v>544.19198672382743</v>
      </c>
      <c r="K61" s="87">
        <v>511.65830349563743</v>
      </c>
      <c r="L61" s="87">
        <v>493.31501005845598</v>
      </c>
      <c r="M61" s="87">
        <v>482.74226957803768</v>
      </c>
      <c r="N61" s="87">
        <v>481.97231077820868</v>
      </c>
      <c r="O61" s="87">
        <v>496.60153677417048</v>
      </c>
      <c r="P61" s="87">
        <v>506.58092316365344</v>
      </c>
      <c r="Q61" s="87">
        <v>514.99236764113346</v>
      </c>
      <c r="R61" s="87">
        <v>527.07399727713494</v>
      </c>
      <c r="S61" s="87">
        <v>546.74451757806673</v>
      </c>
      <c r="T61" s="87">
        <v>547.47084159099757</v>
      </c>
      <c r="U61" s="87">
        <v>545.40011399716229</v>
      </c>
      <c r="V61" s="87">
        <v>559.91255596710425</v>
      </c>
      <c r="W61" s="87">
        <v>551.29997622513179</v>
      </c>
      <c r="DA61" s="171" t="s">
        <v>317</v>
      </c>
    </row>
    <row r="62" spans="1:105" ht="11.45" customHeight="1" x14ac:dyDescent="0.25">
      <c r="A62" s="12" t="s">
        <v>34</v>
      </c>
      <c r="B62" s="15">
        <v>365.6753448106698</v>
      </c>
      <c r="C62" s="15">
        <v>363.53071693214241</v>
      </c>
      <c r="D62" s="15">
        <v>364.46657314780748</v>
      </c>
      <c r="E62" s="15">
        <v>363.83029078228856</v>
      </c>
      <c r="F62" s="15">
        <v>361.12767090253101</v>
      </c>
      <c r="G62" s="15">
        <v>354.06495931519891</v>
      </c>
      <c r="H62" s="15">
        <v>369.00066816208277</v>
      </c>
      <c r="I62" s="15">
        <v>404.42355790425609</v>
      </c>
      <c r="J62" s="15">
        <v>462.29940968030769</v>
      </c>
      <c r="K62" s="15">
        <v>482.76388230327984</v>
      </c>
      <c r="L62" s="15">
        <v>606.2735910283385</v>
      </c>
      <c r="M62" s="15">
        <v>567.26592663690667</v>
      </c>
      <c r="N62" s="15">
        <v>541.69104535443375</v>
      </c>
      <c r="O62" s="15">
        <v>560.55849771676969</v>
      </c>
      <c r="P62" s="15">
        <v>590.98110340007247</v>
      </c>
      <c r="Q62" s="15">
        <v>594.04541448193652</v>
      </c>
      <c r="R62" s="15">
        <v>611.37339504805232</v>
      </c>
      <c r="S62" s="15">
        <v>633.93850000312409</v>
      </c>
      <c r="T62" s="15">
        <v>634.83663520705647</v>
      </c>
      <c r="U62" s="15">
        <v>701.11466939621414</v>
      </c>
      <c r="V62" s="15">
        <v>659.37537690512556</v>
      </c>
      <c r="W62" s="15">
        <v>655.78969731291409</v>
      </c>
      <c r="DA62" s="193" t="s">
        <v>318</v>
      </c>
    </row>
    <row r="63" spans="1:105" ht="11.45" customHeight="1" x14ac:dyDescent="0.25">
      <c r="A63" s="92" t="s">
        <v>27</v>
      </c>
      <c r="B63" s="101">
        <v>768.40018966855587</v>
      </c>
      <c r="C63" s="101">
        <v>768.40018966855587</v>
      </c>
      <c r="D63" s="101">
        <v>768.40018966855598</v>
      </c>
      <c r="E63" s="101">
        <v>768.40018966855587</v>
      </c>
      <c r="F63" s="101">
        <v>768.40018966855598</v>
      </c>
      <c r="G63" s="101">
        <v>748.42418643047404</v>
      </c>
      <c r="H63" s="101">
        <v>758.01808277803184</v>
      </c>
      <c r="I63" s="101">
        <v>749.22599234898428</v>
      </c>
      <c r="J63" s="101">
        <v>734.96086027413151</v>
      </c>
      <c r="K63" s="101">
        <v>724.54150581326314</v>
      </c>
      <c r="L63" s="101">
        <v>683.93670415967085</v>
      </c>
      <c r="M63" s="101">
        <v>641.12361088508771</v>
      </c>
      <c r="N63" s="101">
        <v>595.31641551813743</v>
      </c>
      <c r="O63" s="101">
        <v>603.98878929516047</v>
      </c>
      <c r="P63" s="101">
        <v>607.87127628853943</v>
      </c>
      <c r="Q63" s="101">
        <v>673.34576947109758</v>
      </c>
      <c r="R63" s="101">
        <v>705.33416659382385</v>
      </c>
      <c r="S63" s="101">
        <v>708.42555355071534</v>
      </c>
      <c r="T63" s="101">
        <v>734.09128318508272</v>
      </c>
      <c r="U63" s="101">
        <v>769.5972564459986</v>
      </c>
      <c r="V63" s="101">
        <v>763.81732202220735</v>
      </c>
      <c r="W63" s="101">
        <v>751.63372038472244</v>
      </c>
      <c r="DA63" s="175" t="s">
        <v>319</v>
      </c>
    </row>
    <row r="64" spans="1:105" ht="11.45" customHeight="1" x14ac:dyDescent="0.25">
      <c r="A64" s="92" t="s">
        <v>173</v>
      </c>
      <c r="B64" s="101">
        <v>380.37789273086298</v>
      </c>
      <c r="C64" s="101">
        <v>380.49263067893099</v>
      </c>
      <c r="D64" s="101">
        <v>380.35961309866258</v>
      </c>
      <c r="E64" s="101">
        <v>380.49263067893099</v>
      </c>
      <c r="F64" s="101">
        <v>380.58123423437013</v>
      </c>
      <c r="G64" s="101">
        <v>361.86099650608242</v>
      </c>
      <c r="H64" s="101">
        <v>357.21092816115527</v>
      </c>
      <c r="I64" s="101">
        <v>347.19946037526319</v>
      </c>
      <c r="J64" s="101">
        <v>353.37180876128895</v>
      </c>
      <c r="K64" s="101">
        <v>351.76047144540456</v>
      </c>
      <c r="L64" s="101">
        <v>349.59277710573537</v>
      </c>
      <c r="M64" s="101">
        <v>350.02448266720427</v>
      </c>
      <c r="N64" s="101">
        <v>354.30939617922996</v>
      </c>
      <c r="O64" s="101">
        <v>356.32958040559197</v>
      </c>
      <c r="P64" s="101">
        <v>353.66475484944709</v>
      </c>
      <c r="Q64" s="101">
        <v>353.61944753384688</v>
      </c>
      <c r="R64" s="101">
        <v>347.86728248721124</v>
      </c>
      <c r="S64" s="101">
        <v>346.32856342745328</v>
      </c>
      <c r="T64" s="101">
        <v>350.85418028592892</v>
      </c>
      <c r="U64" s="101">
        <v>338.89228064872412</v>
      </c>
      <c r="V64" s="101">
        <v>341.33919141777983</v>
      </c>
      <c r="W64" s="101">
        <v>328.47277995494375</v>
      </c>
      <c r="DA64" s="175" t="s">
        <v>320</v>
      </c>
    </row>
    <row r="65" spans="1:105" ht="11.45" customHeight="1" x14ac:dyDescent="0.25">
      <c r="A65" s="85" t="s">
        <v>174</v>
      </c>
      <c r="B65" s="88">
        <v>343.4358114731433</v>
      </c>
      <c r="C65" s="88">
        <v>343.43581147314336</v>
      </c>
      <c r="D65" s="88">
        <v>343.43581147314336</v>
      </c>
      <c r="E65" s="88">
        <v>343.4358114731433</v>
      </c>
      <c r="F65" s="88">
        <v>343.4358114731433</v>
      </c>
      <c r="G65" s="88">
        <v>343.99160044995642</v>
      </c>
      <c r="H65" s="88">
        <v>383.3974257406457</v>
      </c>
      <c r="I65" s="88">
        <v>456.97994831775173</v>
      </c>
      <c r="J65" s="88">
        <v>557.60918366583371</v>
      </c>
      <c r="K65" s="88">
        <v>659.93743170330447</v>
      </c>
      <c r="L65" s="88">
        <v>816.62597980588623</v>
      </c>
      <c r="M65" s="88">
        <v>776.14461746835082</v>
      </c>
      <c r="N65" s="88">
        <v>760.76021770202192</v>
      </c>
      <c r="O65" s="88">
        <v>783.72925216751264</v>
      </c>
      <c r="P65" s="88">
        <v>793.27560138476304</v>
      </c>
      <c r="Q65" s="88">
        <v>798.4081295577455</v>
      </c>
      <c r="R65" s="88">
        <v>813.40360663609715</v>
      </c>
      <c r="S65" s="88">
        <v>847.86027536019083</v>
      </c>
      <c r="T65" s="88">
        <v>832.52699023806736</v>
      </c>
      <c r="U65" s="88">
        <v>874.4281114037932</v>
      </c>
      <c r="V65" s="88">
        <v>880.33216821168844</v>
      </c>
      <c r="W65" s="88">
        <v>876.91615092348172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0.65433060997359638</v>
      </c>
      <c r="C67" s="59">
        <f t="shared" ref="C67:W67" si="60">IF(C3=0,0,C17/C57)</f>
        <v>0.65329710229846005</v>
      </c>
      <c r="D67" s="59">
        <f t="shared" si="60"/>
        <v>0.62767927135711332</v>
      </c>
      <c r="E67" s="59">
        <f t="shared" si="60"/>
        <v>0.63399828958722027</v>
      </c>
      <c r="F67" s="59">
        <f t="shared" si="60"/>
        <v>0.65453029221879466</v>
      </c>
      <c r="G67" s="59">
        <f t="shared" si="60"/>
        <v>0.64727152769744112</v>
      </c>
      <c r="H67" s="59">
        <f t="shared" si="60"/>
        <v>0.73501217739764446</v>
      </c>
      <c r="I67" s="59">
        <f t="shared" si="60"/>
        <v>0.72183998312970898</v>
      </c>
      <c r="J67" s="59">
        <f t="shared" si="60"/>
        <v>0.85726463007634524</v>
      </c>
      <c r="K67" s="59">
        <f t="shared" si="60"/>
        <v>0.87639569690734409</v>
      </c>
      <c r="L67" s="59">
        <f t="shared" si="60"/>
        <v>0.90659894702366095</v>
      </c>
      <c r="M67" s="59">
        <f t="shared" si="60"/>
        <v>0.84311899746427454</v>
      </c>
      <c r="N67" s="59">
        <f t="shared" si="60"/>
        <v>0.92179102414519387</v>
      </c>
      <c r="O67" s="59">
        <f t="shared" si="60"/>
        <v>0.89896608761231933</v>
      </c>
      <c r="P67" s="59">
        <f t="shared" si="60"/>
        <v>0.91067602737579434</v>
      </c>
      <c r="Q67" s="59">
        <f t="shared" si="60"/>
        <v>0.89930846642592388</v>
      </c>
      <c r="R67" s="59">
        <f t="shared" si="60"/>
        <v>0.96591315849816506</v>
      </c>
      <c r="S67" s="59">
        <f t="shared" si="60"/>
        <v>1.0192485757934073</v>
      </c>
      <c r="T67" s="59">
        <f t="shared" si="60"/>
        <v>0.98101095271954541</v>
      </c>
      <c r="U67" s="59">
        <f t="shared" si="60"/>
        <v>1.0173793525825288</v>
      </c>
      <c r="V67" s="59">
        <f t="shared" si="60"/>
        <v>1.0638110317699065</v>
      </c>
      <c r="W67" s="59">
        <f t="shared" si="60"/>
        <v>1.0210772072532388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0.65388199412614234</v>
      </c>
      <c r="C68" s="23">
        <f t="shared" ref="C68:W68" si="62">IF(C6=0,0,C18/C58)</f>
        <v>0.65304290347336325</v>
      </c>
      <c r="D68" s="23">
        <f t="shared" si="62"/>
        <v>0.62720131718934369</v>
      </c>
      <c r="E68" s="23">
        <f t="shared" si="62"/>
        <v>0.63361008526406104</v>
      </c>
      <c r="F68" s="23">
        <f t="shared" si="62"/>
        <v>0.65441651719423044</v>
      </c>
      <c r="G68" s="23">
        <f t="shared" si="62"/>
        <v>0.64672152145260986</v>
      </c>
      <c r="H68" s="23">
        <f t="shared" si="62"/>
        <v>0.73520676986538813</v>
      </c>
      <c r="I68" s="23">
        <f t="shared" si="62"/>
        <v>0.72278688308154126</v>
      </c>
      <c r="J68" s="23">
        <f t="shared" si="62"/>
        <v>0.85973551112056668</v>
      </c>
      <c r="K68" s="23">
        <f t="shared" si="62"/>
        <v>0.8785721088648285</v>
      </c>
      <c r="L68" s="23">
        <f t="shared" si="62"/>
        <v>0.9107753986290299</v>
      </c>
      <c r="M68" s="23">
        <f t="shared" si="62"/>
        <v>0.84623464677519245</v>
      </c>
      <c r="N68" s="23">
        <f t="shared" si="62"/>
        <v>0.92432570197959107</v>
      </c>
      <c r="O68" s="23">
        <f t="shared" si="62"/>
        <v>0.90222711014989887</v>
      </c>
      <c r="P68" s="23">
        <f t="shared" si="62"/>
        <v>0.91503940858487054</v>
      </c>
      <c r="Q68" s="23">
        <f t="shared" si="62"/>
        <v>0.90444985842014325</v>
      </c>
      <c r="R68" s="23">
        <f t="shared" si="62"/>
        <v>0.97081444831447639</v>
      </c>
      <c r="S68" s="23">
        <f t="shared" si="62"/>
        <v>1.0262082702642825</v>
      </c>
      <c r="T68" s="23">
        <f t="shared" si="62"/>
        <v>0.98881263523304774</v>
      </c>
      <c r="U68" s="23">
        <f t="shared" si="62"/>
        <v>1.0308862616694463</v>
      </c>
      <c r="V68" s="23">
        <f t="shared" si="62"/>
        <v>1.0798159182497566</v>
      </c>
      <c r="W68" s="23">
        <f t="shared" si="62"/>
        <v>1.0416919601817602</v>
      </c>
      <c r="DA68" s="189"/>
    </row>
    <row r="69" spans="1:105" ht="11.45" customHeight="1" x14ac:dyDescent="0.25">
      <c r="A69" s="83" t="s">
        <v>27</v>
      </c>
      <c r="B69" s="91">
        <f t="shared" si="61"/>
        <v>6.0427830964390153E-2</v>
      </c>
      <c r="C69" s="91">
        <f t="shared" ref="C69:W69" si="63">IF(C7=0,0,C19/C59)</f>
        <v>6.0574205800782155E-2</v>
      </c>
      <c r="D69" s="91">
        <f t="shared" si="63"/>
        <v>6.0631251106853828E-2</v>
      </c>
      <c r="E69" s="91">
        <f t="shared" si="63"/>
        <v>6.0572351198752074E-2</v>
      </c>
      <c r="F69" s="91">
        <f t="shared" si="63"/>
        <v>6.0517806907632012E-2</v>
      </c>
      <c r="G69" s="91">
        <f t="shared" si="63"/>
        <v>6.0241205429195324E-2</v>
      </c>
      <c r="H69" s="91">
        <f t="shared" si="63"/>
        <v>5.9894953871385055E-2</v>
      </c>
      <c r="I69" s="91">
        <f t="shared" si="63"/>
        <v>7.338584567659015E-2</v>
      </c>
      <c r="J69" s="91">
        <f t="shared" si="63"/>
        <v>5.7335991862578164E-2</v>
      </c>
      <c r="K69" s="91">
        <f t="shared" si="63"/>
        <v>8.2140276449495009E-2</v>
      </c>
      <c r="L69" s="91">
        <f t="shared" si="63"/>
        <v>8.0888117824319955E-2</v>
      </c>
      <c r="M69" s="91">
        <f t="shared" si="63"/>
        <v>8.7103670001979244E-2</v>
      </c>
      <c r="N69" s="91">
        <f t="shared" si="63"/>
        <v>0.23198167280358509</v>
      </c>
      <c r="O69" s="91">
        <f t="shared" si="63"/>
        <v>0.27261958083390575</v>
      </c>
      <c r="P69" s="91">
        <f t="shared" si="63"/>
        <v>0.4354996082200816</v>
      </c>
      <c r="Q69" s="91">
        <f t="shared" si="63"/>
        <v>0.32440564980030095</v>
      </c>
      <c r="R69" s="91">
        <f t="shared" si="63"/>
        <v>0.42711339522070507</v>
      </c>
      <c r="S69" s="91">
        <f t="shared" si="63"/>
        <v>0.43175321932388416</v>
      </c>
      <c r="T69" s="91">
        <f t="shared" si="63"/>
        <v>0.56777082966952452</v>
      </c>
      <c r="U69" s="91">
        <f t="shared" si="63"/>
        <v>0.56863826697152364</v>
      </c>
      <c r="V69" s="91">
        <f t="shared" si="63"/>
        <v>0.61697049972463647</v>
      </c>
      <c r="W69" s="91">
        <f t="shared" si="63"/>
        <v>1.0492383621794996</v>
      </c>
      <c r="DA69" s="171"/>
    </row>
    <row r="70" spans="1:105" ht="11.45" customHeight="1" x14ac:dyDescent="0.25">
      <c r="A70" s="83" t="s">
        <v>173</v>
      </c>
      <c r="B70" s="91">
        <f t="shared" si="61"/>
        <v>0.98265298480696206</v>
      </c>
      <c r="C70" s="91">
        <f t="shared" ref="C70:W70" si="64">IF(C8=0,0,C20/C60)</f>
        <v>0.98299392846229261</v>
      </c>
      <c r="D70" s="91">
        <f t="shared" si="64"/>
        <v>0.98126535880636867</v>
      </c>
      <c r="E70" s="91">
        <f t="shared" si="64"/>
        <v>0.98062925727837258</v>
      </c>
      <c r="F70" s="91">
        <f t="shared" si="64"/>
        <v>0.98070462667534286</v>
      </c>
      <c r="G70" s="91">
        <f t="shared" si="64"/>
        <v>0.93804032538609183</v>
      </c>
      <c r="H70" s="91">
        <f t="shared" si="64"/>
        <v>1.0423033113397369</v>
      </c>
      <c r="I70" s="91">
        <f t="shared" si="64"/>
        <v>1.0637988049615663</v>
      </c>
      <c r="J70" s="91">
        <f t="shared" si="64"/>
        <v>1.2383374941996068</v>
      </c>
      <c r="K70" s="91">
        <f t="shared" si="64"/>
        <v>1.179579874261766</v>
      </c>
      <c r="L70" s="91">
        <f t="shared" si="64"/>
        <v>1.2073987300245888</v>
      </c>
      <c r="M70" s="91">
        <f t="shared" si="64"/>
        <v>1.0927134226887842</v>
      </c>
      <c r="N70" s="91">
        <f t="shared" si="64"/>
        <v>1.1869918501011012</v>
      </c>
      <c r="O70" s="91">
        <f t="shared" si="64"/>
        <v>1.0981209746416152</v>
      </c>
      <c r="P70" s="91">
        <f t="shared" si="64"/>
        <v>1.168810772007294</v>
      </c>
      <c r="Q70" s="91">
        <f t="shared" si="64"/>
        <v>1.1875423097444573</v>
      </c>
      <c r="R70" s="91">
        <f t="shared" si="64"/>
        <v>1.1345876319923398</v>
      </c>
      <c r="S70" s="91">
        <f t="shared" si="64"/>
        <v>1.3083541949441377</v>
      </c>
      <c r="T70" s="91">
        <f t="shared" si="64"/>
        <v>1.4131747703630548</v>
      </c>
      <c r="U70" s="91">
        <f t="shared" si="64"/>
        <v>1.5246280202758054</v>
      </c>
      <c r="V70" s="91">
        <f t="shared" si="64"/>
        <v>1.4222695569647776</v>
      </c>
      <c r="W70" s="91">
        <f t="shared" si="64"/>
        <v>1.4265537306204625</v>
      </c>
      <c r="DA70" s="171"/>
    </row>
    <row r="71" spans="1:105" ht="11.45" customHeight="1" x14ac:dyDescent="0.25">
      <c r="A71" s="83" t="s">
        <v>174</v>
      </c>
      <c r="B71" s="91">
        <f t="shared" si="61"/>
        <v>0.50648644539078869</v>
      </c>
      <c r="C71" s="91">
        <f t="shared" ref="C71:W71" si="65">IF(C9=0,0,C21/C61)</f>
        <v>0.50666175571945615</v>
      </c>
      <c r="D71" s="91">
        <f t="shared" si="65"/>
        <v>0.50576824092284445</v>
      </c>
      <c r="E71" s="91">
        <f t="shared" si="65"/>
        <v>0.5054387039840994</v>
      </c>
      <c r="F71" s="91">
        <f t="shared" si="65"/>
        <v>0.50547581080817516</v>
      </c>
      <c r="G71" s="91">
        <f t="shared" si="65"/>
        <v>0.48422947594217131</v>
      </c>
      <c r="H71" s="91">
        <f t="shared" si="65"/>
        <v>0.51490231643038331</v>
      </c>
      <c r="I71" s="91">
        <f t="shared" si="65"/>
        <v>0.46279695029186857</v>
      </c>
      <c r="J71" s="91">
        <f t="shared" si="65"/>
        <v>0.54844821303731628</v>
      </c>
      <c r="K71" s="91">
        <f t="shared" si="65"/>
        <v>0.64947825366802048</v>
      </c>
      <c r="L71" s="91">
        <f t="shared" si="65"/>
        <v>0.68815763683781717</v>
      </c>
      <c r="M71" s="91">
        <f t="shared" si="65"/>
        <v>0.68005144810691709</v>
      </c>
      <c r="N71" s="91">
        <f t="shared" si="65"/>
        <v>0.76962900742780116</v>
      </c>
      <c r="O71" s="91">
        <f t="shared" si="65"/>
        <v>0.73811687437411366</v>
      </c>
      <c r="P71" s="91">
        <f t="shared" si="65"/>
        <v>0.65294833448556189</v>
      </c>
      <c r="Q71" s="91">
        <f t="shared" si="65"/>
        <v>0.60391386820129977</v>
      </c>
      <c r="R71" s="91">
        <f t="shared" si="65"/>
        <v>0.76655493082921589</v>
      </c>
      <c r="S71" s="91">
        <f t="shared" si="65"/>
        <v>0.66916350764957011</v>
      </c>
      <c r="T71" s="91">
        <f t="shared" si="65"/>
        <v>0.51224769076812093</v>
      </c>
      <c r="U71" s="91">
        <f t="shared" si="65"/>
        <v>0.51151641031221529</v>
      </c>
      <c r="V71" s="91">
        <f t="shared" si="65"/>
        <v>0.75502396399515781</v>
      </c>
      <c r="W71" s="91">
        <f t="shared" si="65"/>
        <v>0.63484430201688902</v>
      </c>
      <c r="DA71" s="171"/>
    </row>
    <row r="72" spans="1:105" ht="11.45" customHeight="1" x14ac:dyDescent="0.25">
      <c r="A72" s="12" t="s">
        <v>34</v>
      </c>
      <c r="B72" s="24">
        <f t="shared" si="61"/>
        <v>0.7457443365502634</v>
      </c>
      <c r="C72" s="24">
        <f t="shared" ref="C72:W72" si="66">IF(C10=0,0,C22/C62)</f>
        <v>0.72093293694895499</v>
      </c>
      <c r="D72" s="24">
        <f t="shared" si="66"/>
        <v>0.73289152561153892</v>
      </c>
      <c r="E72" s="24">
        <f t="shared" si="66"/>
        <v>0.72506063055228209</v>
      </c>
      <c r="F72" s="24">
        <f t="shared" si="66"/>
        <v>0.69522126116817284</v>
      </c>
      <c r="G72" s="24">
        <f t="shared" si="66"/>
        <v>0.77013198385098192</v>
      </c>
      <c r="H72" s="24">
        <f t="shared" si="66"/>
        <v>0.71699260784766039</v>
      </c>
      <c r="I72" s="24">
        <f t="shared" si="66"/>
        <v>0.61183282512100556</v>
      </c>
      <c r="J72" s="24">
        <f t="shared" si="66"/>
        <v>0.61943637266797835</v>
      </c>
      <c r="K72" s="24">
        <f t="shared" si="66"/>
        <v>0.68572367170473258</v>
      </c>
      <c r="L72" s="24">
        <f t="shared" si="66"/>
        <v>0.66277032258703272</v>
      </c>
      <c r="M72" s="24">
        <f t="shared" si="66"/>
        <v>0.64019156287092449</v>
      </c>
      <c r="N72" s="24">
        <f t="shared" si="66"/>
        <v>0.73482341786415506</v>
      </c>
      <c r="O72" s="24">
        <f t="shared" si="66"/>
        <v>0.69112382943310235</v>
      </c>
      <c r="P72" s="24">
        <f t="shared" si="66"/>
        <v>0.66938020186247904</v>
      </c>
      <c r="Q72" s="24">
        <f t="shared" si="66"/>
        <v>0.62771126640773223</v>
      </c>
      <c r="R72" s="24">
        <f t="shared" si="66"/>
        <v>0.72686328038886494</v>
      </c>
      <c r="S72" s="24">
        <f t="shared" si="66"/>
        <v>0.69555845140679606</v>
      </c>
      <c r="T72" s="24">
        <f t="shared" si="66"/>
        <v>0.57834061233242817</v>
      </c>
      <c r="U72" s="24">
        <f t="shared" si="66"/>
        <v>0.53177746193262843</v>
      </c>
      <c r="V72" s="24">
        <f t="shared" si="66"/>
        <v>0.78438128784317118</v>
      </c>
      <c r="W72" s="24">
        <f t="shared" si="66"/>
        <v>0.69158930785508832</v>
      </c>
      <c r="DA72" s="193"/>
    </row>
    <row r="73" spans="1:105" ht="11.45" customHeight="1" x14ac:dyDescent="0.25">
      <c r="A73" s="92" t="s">
        <v>27</v>
      </c>
      <c r="B73" s="93">
        <f t="shared" si="61"/>
        <v>6.042783096439016E-2</v>
      </c>
      <c r="C73" s="93">
        <f t="shared" ref="C73:W73" si="67">IF(C11=0,0,C23/C63)</f>
        <v>6.0574205800782176E-2</v>
      </c>
      <c r="D73" s="93">
        <f t="shared" si="67"/>
        <v>6.0631251106853842E-2</v>
      </c>
      <c r="E73" s="93">
        <f t="shared" si="67"/>
        <v>6.0572351198752081E-2</v>
      </c>
      <c r="F73" s="93">
        <f t="shared" si="67"/>
        <v>6.0517806907631998E-2</v>
      </c>
      <c r="G73" s="93">
        <f t="shared" si="67"/>
        <v>6.0241205429195338E-2</v>
      </c>
      <c r="H73" s="93">
        <f t="shared" si="67"/>
        <v>5.9894953871385062E-2</v>
      </c>
      <c r="I73" s="93">
        <f t="shared" si="67"/>
        <v>7.338584567659015E-2</v>
      </c>
      <c r="J73" s="93">
        <f t="shared" si="67"/>
        <v>5.7335991862578171E-2</v>
      </c>
      <c r="K73" s="93">
        <f t="shared" si="67"/>
        <v>8.2140276449495023E-2</v>
      </c>
      <c r="L73" s="93">
        <f t="shared" si="67"/>
        <v>8.0888117824319983E-2</v>
      </c>
      <c r="M73" s="93">
        <f t="shared" si="67"/>
        <v>8.7103670001979244E-2</v>
      </c>
      <c r="N73" s="93">
        <f t="shared" si="67"/>
        <v>0.23198167280358509</v>
      </c>
      <c r="O73" s="93">
        <f t="shared" si="67"/>
        <v>0.27261958083390575</v>
      </c>
      <c r="P73" s="93">
        <f t="shared" si="67"/>
        <v>0.4354996082200816</v>
      </c>
      <c r="Q73" s="93">
        <f t="shared" si="67"/>
        <v>0.3244056498003009</v>
      </c>
      <c r="R73" s="93">
        <f t="shared" si="67"/>
        <v>0.42711339522070513</v>
      </c>
      <c r="S73" s="93">
        <f t="shared" si="67"/>
        <v>0.43175321932388416</v>
      </c>
      <c r="T73" s="93">
        <f t="shared" si="67"/>
        <v>0.56777082966952452</v>
      </c>
      <c r="U73" s="93">
        <f t="shared" si="67"/>
        <v>0.56863826697152375</v>
      </c>
      <c r="V73" s="93">
        <f t="shared" si="67"/>
        <v>0.61697049972463669</v>
      </c>
      <c r="W73" s="93">
        <f t="shared" si="67"/>
        <v>1.0492383621794996</v>
      </c>
      <c r="DA73" s="175"/>
    </row>
    <row r="74" spans="1:105" ht="11.45" customHeight="1" x14ac:dyDescent="0.25">
      <c r="A74" s="92" t="s">
        <v>173</v>
      </c>
      <c r="B74" s="93">
        <f t="shared" si="61"/>
        <v>1.0762451408080091</v>
      </c>
      <c r="C74" s="93">
        <f t="shared" ref="C74:W74" si="68">IF(C12=0,0,C24/C64)</f>
        <v>1.0760123218378479</v>
      </c>
      <c r="D74" s="93">
        <f t="shared" si="68"/>
        <v>1.0748153151539908</v>
      </c>
      <c r="E74" s="93">
        <f t="shared" si="68"/>
        <v>1.0734148912589003</v>
      </c>
      <c r="F74" s="93">
        <f t="shared" si="68"/>
        <v>1.073027580491752</v>
      </c>
      <c r="G74" s="93">
        <f t="shared" si="68"/>
        <v>1.1072400000409057</v>
      </c>
      <c r="H74" s="93">
        <f t="shared" si="68"/>
        <v>1.1109034688184989</v>
      </c>
      <c r="I74" s="93">
        <f t="shared" si="68"/>
        <v>1.0716819685102281</v>
      </c>
      <c r="J74" s="93">
        <f t="shared" si="68"/>
        <v>1.0795431239981623</v>
      </c>
      <c r="K74" s="93">
        <f t="shared" si="68"/>
        <v>1.0472699958808482</v>
      </c>
      <c r="L74" s="93">
        <f t="shared" si="68"/>
        <v>1.0405647918064436</v>
      </c>
      <c r="M74" s="93">
        <f t="shared" si="68"/>
        <v>0.92996472569016153</v>
      </c>
      <c r="N74" s="93">
        <f t="shared" si="68"/>
        <v>0.99859029147210054</v>
      </c>
      <c r="O74" s="93">
        <f t="shared" si="68"/>
        <v>0.87204491402534023</v>
      </c>
      <c r="P74" s="93">
        <f t="shared" si="68"/>
        <v>0.92603322975639957</v>
      </c>
      <c r="Q74" s="93">
        <f t="shared" si="68"/>
        <v>0.88014016557074948</v>
      </c>
      <c r="R74" s="93">
        <f t="shared" si="68"/>
        <v>0.85316794132702667</v>
      </c>
      <c r="S74" s="93">
        <f t="shared" si="68"/>
        <v>1.0066323042995127</v>
      </c>
      <c r="T74" s="93">
        <f t="shared" si="68"/>
        <v>0.97700545636451508</v>
      </c>
      <c r="U74" s="93">
        <f t="shared" si="68"/>
        <v>0.91495494272585565</v>
      </c>
      <c r="V74" s="93">
        <f t="shared" si="68"/>
        <v>1.1740143013685009</v>
      </c>
      <c r="W74" s="93">
        <f t="shared" si="68"/>
        <v>1.1645049396969576</v>
      </c>
      <c r="DA74" s="175"/>
    </row>
    <row r="75" spans="1:105" ht="11.45" customHeight="1" x14ac:dyDescent="0.25">
      <c r="A75" s="85" t="s">
        <v>174</v>
      </c>
      <c r="B75" s="94">
        <f t="shared" si="61"/>
        <v>0.45583780085170977</v>
      </c>
      <c r="C75" s="94">
        <f t="shared" ref="C75:W75" si="69">IF(C13=0,0,C25/C65)</f>
        <v>0.45599558014751052</v>
      </c>
      <c r="D75" s="94">
        <f t="shared" si="69"/>
        <v>0.45519141683056008</v>
      </c>
      <c r="E75" s="94">
        <f t="shared" si="69"/>
        <v>0.45489483358568955</v>
      </c>
      <c r="F75" s="94">
        <f t="shared" si="69"/>
        <v>0.45492822972735775</v>
      </c>
      <c r="G75" s="94">
        <f t="shared" si="69"/>
        <v>0.43580652834795408</v>
      </c>
      <c r="H75" s="94">
        <f t="shared" si="69"/>
        <v>0.46341208478734519</v>
      </c>
      <c r="I75" s="94">
        <f t="shared" si="69"/>
        <v>0.41651725526268168</v>
      </c>
      <c r="J75" s="94">
        <f t="shared" si="69"/>
        <v>0.49360339173358475</v>
      </c>
      <c r="K75" s="94">
        <f t="shared" si="69"/>
        <v>0.58453042830121837</v>
      </c>
      <c r="L75" s="94">
        <f t="shared" si="69"/>
        <v>0.61934187315403544</v>
      </c>
      <c r="M75" s="94">
        <f t="shared" si="69"/>
        <v>0.61204630329622534</v>
      </c>
      <c r="N75" s="94">
        <f t="shared" si="69"/>
        <v>0.69266610668502104</v>
      </c>
      <c r="O75" s="94">
        <f t="shared" si="69"/>
        <v>0.66430518693670226</v>
      </c>
      <c r="P75" s="94">
        <f t="shared" si="69"/>
        <v>0.58765350103700587</v>
      </c>
      <c r="Q75" s="94">
        <f t="shared" si="69"/>
        <v>0.54352248138116976</v>
      </c>
      <c r="R75" s="94">
        <f t="shared" si="69"/>
        <v>0.68989943774629436</v>
      </c>
      <c r="S75" s="94">
        <f t="shared" si="69"/>
        <v>0.60224715688461317</v>
      </c>
      <c r="T75" s="94">
        <f t="shared" si="69"/>
        <v>0.46102292169130898</v>
      </c>
      <c r="U75" s="94">
        <f t="shared" si="69"/>
        <v>0.46036476928099362</v>
      </c>
      <c r="V75" s="94">
        <f t="shared" si="69"/>
        <v>0.6795215675956422</v>
      </c>
      <c r="W75" s="94">
        <f t="shared" si="69"/>
        <v>0.57135987181520009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855.90401400000007</v>
      </c>
      <c r="C3" s="79">
        <f t="shared" si="0"/>
        <v>843.22085399999992</v>
      </c>
      <c r="D3" s="79">
        <f t="shared" ref="D3" si="1">SUM(D4:D5)</f>
        <v>830.46776399999999</v>
      </c>
      <c r="E3" s="79">
        <f t="shared" ref="E3" si="2">SUM(E4:E5)</f>
        <v>897.05435399999988</v>
      </c>
      <c r="F3" s="79">
        <f t="shared" ref="F3" si="3">SUM(F4:F5)</f>
        <v>878.09954400000004</v>
      </c>
      <c r="G3" s="79">
        <f t="shared" ref="G3" si="4">SUM(G4:G5)</f>
        <v>995.41877400000021</v>
      </c>
      <c r="H3" s="79">
        <f t="shared" ref="H3" si="5">SUM(H4:H5)</f>
        <v>1325.180934</v>
      </c>
      <c r="I3" s="79">
        <f t="shared" ref="I3" si="6">SUM(I4:I5)</f>
        <v>1382.1852240000001</v>
      </c>
      <c r="J3" s="79">
        <f t="shared" ref="J3" si="7">SUM(J4:J5)</f>
        <v>1654.9430939999995</v>
      </c>
      <c r="K3" s="79">
        <f t="shared" ref="K3" si="8">SUM(K4:K5)</f>
        <v>1465.4190567599999</v>
      </c>
      <c r="L3" s="79">
        <f t="shared" ref="L3" si="9">SUM(L4:L5)</f>
        <v>1542.7115280000005</v>
      </c>
      <c r="M3" s="79">
        <f t="shared" ref="M3" si="10">SUM(M4:M5)</f>
        <v>1514.8745870400001</v>
      </c>
      <c r="N3" s="79">
        <f t="shared" ref="N3" si="11">SUM(N4:N5)</f>
        <v>1675.6429582800006</v>
      </c>
      <c r="O3" s="79">
        <f t="shared" ref="O3" si="12">SUM(O4:O5)</f>
        <v>1632.3708567599999</v>
      </c>
      <c r="P3" s="79">
        <f t="shared" ref="P3" si="13">SUM(P4:P5)</f>
        <v>1839.5029144800003</v>
      </c>
      <c r="Q3" s="79">
        <f t="shared" ref="Q3" si="14">SUM(Q4:Q5)</f>
        <v>2009.55819924</v>
      </c>
      <c r="R3" s="79">
        <f t="shared" ref="R3" si="15">SUM(R4:R5)</f>
        <v>2130.1346718</v>
      </c>
      <c r="S3" s="79">
        <f t="shared" ref="S3" si="16">SUM(S4:S5)</f>
        <v>2643.3761266800002</v>
      </c>
      <c r="T3" s="79">
        <f t="shared" ref="T3" si="17">SUM(T4:T5)</f>
        <v>3128.0729173199998</v>
      </c>
      <c r="U3" s="79">
        <f t="shared" ref="U3" si="18">SUM(U4:U5)</f>
        <v>3340.9178906399998</v>
      </c>
      <c r="V3" s="79">
        <f t="shared" ref="V3:W3" si="19">SUM(V4:V5)</f>
        <v>1430.78093352</v>
      </c>
      <c r="W3" s="79">
        <f t="shared" si="19"/>
        <v>1787.3502372000005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9.3030840000000001</v>
      </c>
      <c r="C4" s="96">
        <f t="shared" si="20"/>
        <v>9.3030840000000001</v>
      </c>
      <c r="D4" s="96">
        <f t="shared" ref="D4:V4" si="21">SUM(D7,D11)</f>
        <v>12.403944000000003</v>
      </c>
      <c r="E4" s="96">
        <f t="shared" si="21"/>
        <v>12.403944000000003</v>
      </c>
      <c r="F4" s="96">
        <f t="shared" si="21"/>
        <v>9.3030840000000001</v>
      </c>
      <c r="G4" s="96">
        <f t="shared" si="21"/>
        <v>9.3030840000000001</v>
      </c>
      <c r="H4" s="96">
        <f t="shared" si="21"/>
        <v>9.3030839999999984</v>
      </c>
      <c r="I4" s="96">
        <f t="shared" si="21"/>
        <v>12.403944000000003</v>
      </c>
      <c r="J4" s="96">
        <f t="shared" si="21"/>
        <v>9.3030840000000019</v>
      </c>
      <c r="K4" s="96">
        <f t="shared" si="21"/>
        <v>12.320028000000002</v>
      </c>
      <c r="L4" s="96">
        <f t="shared" si="21"/>
        <v>12.320028000000002</v>
      </c>
      <c r="M4" s="96">
        <f t="shared" si="21"/>
        <v>15.399972</v>
      </c>
      <c r="N4" s="96">
        <f t="shared" si="21"/>
        <v>55.592129519999993</v>
      </c>
      <c r="O4" s="96">
        <f t="shared" si="21"/>
        <v>49.420341719999996</v>
      </c>
      <c r="P4" s="96">
        <f t="shared" si="21"/>
        <v>80.325585720000021</v>
      </c>
      <c r="Q4" s="96">
        <f t="shared" si="21"/>
        <v>55.603770480000016</v>
      </c>
      <c r="R4" s="96">
        <f t="shared" si="21"/>
        <v>74.154056760000003</v>
      </c>
      <c r="S4" s="96">
        <f t="shared" si="21"/>
        <v>82.599180120000014</v>
      </c>
      <c r="T4" s="96">
        <f t="shared" si="21"/>
        <v>98.535143880000021</v>
      </c>
      <c r="U4" s="96">
        <f t="shared" si="21"/>
        <v>101.49083784</v>
      </c>
      <c r="V4" s="96">
        <f t="shared" si="21"/>
        <v>54.594344880000023</v>
      </c>
      <c r="W4" s="96">
        <f t="shared" ref="W4" si="22">SUM(W7,W11)</f>
        <v>90.106265160000021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846.60093000000006</v>
      </c>
      <c r="C5" s="96">
        <f t="shared" si="23"/>
        <v>833.9177699999999</v>
      </c>
      <c r="D5" s="96">
        <f t="shared" ref="D5:V5" si="24">SUM(D8:D9,D12:D13)</f>
        <v>818.06381999999996</v>
      </c>
      <c r="E5" s="96">
        <f t="shared" si="24"/>
        <v>884.65040999999985</v>
      </c>
      <c r="F5" s="96">
        <f t="shared" si="24"/>
        <v>868.79646000000002</v>
      </c>
      <c r="G5" s="96">
        <f t="shared" si="24"/>
        <v>986.1156900000002</v>
      </c>
      <c r="H5" s="96">
        <f t="shared" si="24"/>
        <v>1315.8778500000001</v>
      </c>
      <c r="I5" s="96">
        <f t="shared" si="24"/>
        <v>1369.7812800000002</v>
      </c>
      <c r="J5" s="96">
        <f t="shared" si="24"/>
        <v>1645.6400099999996</v>
      </c>
      <c r="K5" s="96">
        <f t="shared" si="24"/>
        <v>1453.0990287599998</v>
      </c>
      <c r="L5" s="96">
        <f t="shared" si="24"/>
        <v>1530.3915000000004</v>
      </c>
      <c r="M5" s="96">
        <f t="shared" si="24"/>
        <v>1499.4746150400001</v>
      </c>
      <c r="N5" s="96">
        <f t="shared" si="24"/>
        <v>1620.0508287600005</v>
      </c>
      <c r="O5" s="96">
        <f t="shared" si="24"/>
        <v>1582.95051504</v>
      </c>
      <c r="P5" s="96">
        <f t="shared" si="24"/>
        <v>1759.1773287600004</v>
      </c>
      <c r="Q5" s="96">
        <f t="shared" si="24"/>
        <v>1953.9544287599999</v>
      </c>
      <c r="R5" s="96">
        <f t="shared" si="24"/>
        <v>2055.98061504</v>
      </c>
      <c r="S5" s="96">
        <f t="shared" si="24"/>
        <v>2560.7769465600004</v>
      </c>
      <c r="T5" s="96">
        <f t="shared" si="24"/>
        <v>3029.5377734399999</v>
      </c>
      <c r="U5" s="96">
        <f t="shared" si="24"/>
        <v>3239.4270527999997</v>
      </c>
      <c r="V5" s="96">
        <f t="shared" si="24"/>
        <v>1376.1865886399999</v>
      </c>
      <c r="W5" s="96">
        <f t="shared" ref="W5" si="25">SUM(W8:W9,W12:W13)</f>
        <v>1697.2439720400005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849.83799057088936</v>
      </c>
      <c r="C6" s="21">
        <f t="shared" si="26"/>
        <v>838.3824965837257</v>
      </c>
      <c r="D6" s="21">
        <f t="shared" ref="D6:V6" si="27">SUM(D7:D9)</f>
        <v>825.09539033841747</v>
      </c>
      <c r="E6" s="21">
        <f t="shared" si="27"/>
        <v>891.57189567807359</v>
      </c>
      <c r="F6" s="21">
        <f t="shared" si="27"/>
        <v>873.67001721253814</v>
      </c>
      <c r="G6" s="21">
        <f t="shared" si="27"/>
        <v>989.61718692368345</v>
      </c>
      <c r="H6" s="21">
        <f t="shared" si="27"/>
        <v>1317.1863298917208</v>
      </c>
      <c r="I6" s="21">
        <f t="shared" si="27"/>
        <v>1372.4378003620357</v>
      </c>
      <c r="J6" s="21">
        <f t="shared" si="27"/>
        <v>1641.9363199423942</v>
      </c>
      <c r="K6" s="21">
        <f t="shared" si="27"/>
        <v>1450.9371650949506</v>
      </c>
      <c r="L6" s="21">
        <f t="shared" si="27"/>
        <v>1520.9019060768112</v>
      </c>
      <c r="M6" s="21">
        <f t="shared" si="27"/>
        <v>1494.698253456299</v>
      </c>
      <c r="N6" s="21">
        <f t="shared" si="27"/>
        <v>1654.53919913405</v>
      </c>
      <c r="O6" s="21">
        <f t="shared" si="27"/>
        <v>1610.3206765971736</v>
      </c>
      <c r="P6" s="21">
        <f t="shared" si="27"/>
        <v>1813.9984755300304</v>
      </c>
      <c r="Q6" s="21">
        <f t="shared" si="27"/>
        <v>1982.6735277835337</v>
      </c>
      <c r="R6" s="21">
        <f t="shared" si="27"/>
        <v>2097.2703099081546</v>
      </c>
      <c r="S6" s="21">
        <f t="shared" si="27"/>
        <v>2605.2196924446057</v>
      </c>
      <c r="T6" s="21">
        <f t="shared" si="27"/>
        <v>3092.9168386726092</v>
      </c>
      <c r="U6" s="21">
        <f t="shared" si="27"/>
        <v>3293.5284649836412</v>
      </c>
      <c r="V6" s="21">
        <f t="shared" si="27"/>
        <v>1373.5340796743183</v>
      </c>
      <c r="W6" s="21">
        <f t="shared" ref="W6" si="28">SUM(W7:W9)</f>
        <v>1715.9913131528808</v>
      </c>
      <c r="DA6" s="189" t="s">
        <v>326</v>
      </c>
    </row>
    <row r="7" spans="1:105" ht="11.45" customHeight="1" x14ac:dyDescent="0.25">
      <c r="A7" s="83" t="s">
        <v>27</v>
      </c>
      <c r="B7" s="96">
        <v>9.1647830391647265</v>
      </c>
      <c r="C7" s="96">
        <v>9.1960045563761899</v>
      </c>
      <c r="D7" s="96">
        <v>12.285051962124891</v>
      </c>
      <c r="E7" s="96">
        <v>12.285522016004364</v>
      </c>
      <c r="F7" s="96">
        <v>9.2152330835374237</v>
      </c>
      <c r="G7" s="96">
        <v>9.2325302888756369</v>
      </c>
      <c r="H7" s="96">
        <v>9.1254899453014406</v>
      </c>
      <c r="I7" s="96">
        <v>12.120081669970279</v>
      </c>
      <c r="J7" s="96">
        <v>9.0494734026583608</v>
      </c>
      <c r="K7" s="96">
        <v>11.961306920998188</v>
      </c>
      <c r="L7" s="96">
        <v>12.017396536985219</v>
      </c>
      <c r="M7" s="96">
        <v>15.062897043059097</v>
      </c>
      <c r="N7" s="96">
        <v>54.716796827001183</v>
      </c>
      <c r="O7" s="96">
        <v>48.527708837526063</v>
      </c>
      <c r="P7" s="96">
        <v>79.49018837211274</v>
      </c>
      <c r="Q7" s="96">
        <v>55.143351830238878</v>
      </c>
      <c r="R7" s="96">
        <v>73.840987175106648</v>
      </c>
      <c r="S7" s="96">
        <v>82.485830646170967</v>
      </c>
      <c r="T7" s="96">
        <v>98.394223843902367</v>
      </c>
      <c r="U7" s="96">
        <v>101.31037165271982</v>
      </c>
      <c r="V7" s="96">
        <v>54.535274000113382</v>
      </c>
      <c r="W7" s="96">
        <v>89.998961669336737</v>
      </c>
      <c r="DA7" s="171" t="s">
        <v>327</v>
      </c>
    </row>
    <row r="8" spans="1:105" ht="11.45" customHeight="1" x14ac:dyDescent="0.25">
      <c r="A8" s="83" t="s">
        <v>173</v>
      </c>
      <c r="B8" s="96">
        <v>538.84818106611158</v>
      </c>
      <c r="C8" s="96">
        <v>531.48224720072767</v>
      </c>
      <c r="D8" s="96">
        <v>520.97867406130047</v>
      </c>
      <c r="E8" s="96">
        <v>563.58392723536861</v>
      </c>
      <c r="F8" s="96">
        <v>554.07363768059236</v>
      </c>
      <c r="G8" s="96">
        <v>652.051022121237</v>
      </c>
      <c r="H8" s="96">
        <v>920.90589584996678</v>
      </c>
      <c r="I8" s="96">
        <v>990.95810523156035</v>
      </c>
      <c r="J8" s="96">
        <v>1210.1892016156617</v>
      </c>
      <c r="K8" s="96">
        <v>1030.9002443927441</v>
      </c>
      <c r="L8" s="96">
        <v>1080.1047813798248</v>
      </c>
      <c r="M8" s="96">
        <v>1056.3531415693028</v>
      </c>
      <c r="N8" s="96">
        <v>1151.0978755442839</v>
      </c>
      <c r="O8" s="96">
        <v>1148.1028453620067</v>
      </c>
      <c r="P8" s="96">
        <v>1267.88946591186</v>
      </c>
      <c r="Q8" s="96">
        <v>1438.0079929119468</v>
      </c>
      <c r="R8" s="96">
        <v>1542.2998561384588</v>
      </c>
      <c r="S8" s="96">
        <v>1948.7048052646999</v>
      </c>
      <c r="T8" s="96">
        <v>2323.3128789515094</v>
      </c>
      <c r="U8" s="96">
        <v>2481.9760495106857</v>
      </c>
      <c r="V8" s="96">
        <v>906.97237023226671</v>
      </c>
      <c r="W8" s="96">
        <v>1143.5693621125695</v>
      </c>
      <c r="DA8" s="171" t="s">
        <v>328</v>
      </c>
    </row>
    <row r="9" spans="1:105" ht="11.45" customHeight="1" x14ac:dyDescent="0.25">
      <c r="A9" s="83" t="s">
        <v>174</v>
      </c>
      <c r="B9" s="96">
        <v>301.82502646561312</v>
      </c>
      <c r="C9" s="96">
        <v>297.70424482662173</v>
      </c>
      <c r="D9" s="96">
        <v>291.83166431499217</v>
      </c>
      <c r="E9" s="96">
        <v>315.70244642670059</v>
      </c>
      <c r="F9" s="96">
        <v>310.3811464484084</v>
      </c>
      <c r="G9" s="96">
        <v>328.33363451357087</v>
      </c>
      <c r="H9" s="96">
        <v>387.15494409645265</v>
      </c>
      <c r="I9" s="96">
        <v>369.35961346050499</v>
      </c>
      <c r="J9" s="96">
        <v>422.69764492407427</v>
      </c>
      <c r="K9" s="96">
        <v>408.0756137812084</v>
      </c>
      <c r="L9" s="96">
        <v>428.77972816000124</v>
      </c>
      <c r="M9" s="96">
        <v>423.28221484393697</v>
      </c>
      <c r="N9" s="96">
        <v>448.72452676276504</v>
      </c>
      <c r="O9" s="96">
        <v>413.69012239764083</v>
      </c>
      <c r="P9" s="96">
        <v>466.61882124605768</v>
      </c>
      <c r="Q9" s="96">
        <v>489.52218304134823</v>
      </c>
      <c r="R9" s="96">
        <v>481.12946659458913</v>
      </c>
      <c r="S9" s="96">
        <v>574.02905653373477</v>
      </c>
      <c r="T9" s="96">
        <v>671.20973587719743</v>
      </c>
      <c r="U9" s="96">
        <v>710.24204382023584</v>
      </c>
      <c r="V9" s="96">
        <v>412.02643544193808</v>
      </c>
      <c r="W9" s="96">
        <v>482.42298937097456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6.066023429110623</v>
      </c>
      <c r="C10" s="22">
        <f t="shared" si="29"/>
        <v>4.8383574162742118</v>
      </c>
      <c r="D10" s="22">
        <f t="shared" ref="D10:V10" si="30">SUM(D11:D13)</f>
        <v>5.372373661582416</v>
      </c>
      <c r="E10" s="22">
        <f t="shared" si="30"/>
        <v>5.4824583219262975</v>
      </c>
      <c r="F10" s="22">
        <f t="shared" si="30"/>
        <v>4.4295267874618469</v>
      </c>
      <c r="G10" s="22">
        <f t="shared" si="30"/>
        <v>5.8015870763166486</v>
      </c>
      <c r="H10" s="22">
        <f t="shared" si="30"/>
        <v>7.9946041082791366</v>
      </c>
      <c r="I10" s="22">
        <f t="shared" si="30"/>
        <v>9.7474236379646229</v>
      </c>
      <c r="J10" s="22">
        <f t="shared" si="30"/>
        <v>13.006774057605451</v>
      </c>
      <c r="K10" s="22">
        <f t="shared" si="30"/>
        <v>14.481891665049218</v>
      </c>
      <c r="L10" s="22">
        <f t="shared" si="30"/>
        <v>21.809621923189162</v>
      </c>
      <c r="M10" s="22">
        <f t="shared" si="30"/>
        <v>20.17633358370114</v>
      </c>
      <c r="N10" s="22">
        <f t="shared" si="30"/>
        <v>21.103759145950484</v>
      </c>
      <c r="O10" s="22">
        <f t="shared" si="30"/>
        <v>22.050180162826429</v>
      </c>
      <c r="P10" s="22">
        <f t="shared" si="30"/>
        <v>25.504438949969916</v>
      </c>
      <c r="Q10" s="22">
        <f t="shared" si="30"/>
        <v>26.884671456466108</v>
      </c>
      <c r="R10" s="22">
        <f t="shared" si="30"/>
        <v>32.864361891845356</v>
      </c>
      <c r="S10" s="22">
        <f t="shared" si="30"/>
        <v>38.156434235394784</v>
      </c>
      <c r="T10" s="22">
        <f t="shared" si="30"/>
        <v>35.156078647390387</v>
      </c>
      <c r="U10" s="22">
        <f t="shared" si="30"/>
        <v>47.389425656358284</v>
      </c>
      <c r="V10" s="22">
        <f t="shared" si="30"/>
        <v>57.246853845681926</v>
      </c>
      <c r="W10" s="22">
        <f t="shared" ref="W10" si="31">SUM(W11:W13)</f>
        <v>71.358924047119658</v>
      </c>
      <c r="DA10" s="193" t="s">
        <v>330</v>
      </c>
    </row>
    <row r="11" spans="1:105" ht="11.45" customHeight="1" x14ac:dyDescent="0.25">
      <c r="A11" s="92" t="s">
        <v>27</v>
      </c>
      <c r="B11" s="97">
        <v>0.13830096083527332</v>
      </c>
      <c r="C11" s="97">
        <v>0.10707944362381093</v>
      </c>
      <c r="D11" s="97">
        <v>0.11889203787511123</v>
      </c>
      <c r="E11" s="97">
        <v>0.11842198399563755</v>
      </c>
      <c r="F11" s="97">
        <v>8.7850916462576326E-2</v>
      </c>
      <c r="G11" s="97">
        <v>7.0553711124363275E-2</v>
      </c>
      <c r="H11" s="97">
        <v>0.17759405469855827</v>
      </c>
      <c r="I11" s="97">
        <v>0.28386233002972305</v>
      </c>
      <c r="J11" s="97">
        <v>0.25361059734164082</v>
      </c>
      <c r="K11" s="97">
        <v>0.35872107900181449</v>
      </c>
      <c r="L11" s="97">
        <v>0.30263146301478344</v>
      </c>
      <c r="M11" s="97">
        <v>0.3370749569409035</v>
      </c>
      <c r="N11" s="97">
        <v>0.87533269299880834</v>
      </c>
      <c r="O11" s="97">
        <v>0.89263288247392991</v>
      </c>
      <c r="P11" s="97">
        <v>0.83539734788727504</v>
      </c>
      <c r="Q11" s="97">
        <v>0.460418649761141</v>
      </c>
      <c r="R11" s="97">
        <v>0.31306958489335907</v>
      </c>
      <c r="S11" s="97">
        <v>0.1133494738290458</v>
      </c>
      <c r="T11" s="97">
        <v>0.14092003609765294</v>
      </c>
      <c r="U11" s="97">
        <v>0.1804661872801808</v>
      </c>
      <c r="V11" s="97">
        <v>5.9070879886637354E-2</v>
      </c>
      <c r="W11" s="97">
        <v>0.10730349066328129</v>
      </c>
      <c r="DA11" s="175" t="s">
        <v>331</v>
      </c>
    </row>
    <row r="12" spans="1:105" ht="11.45" customHeight="1" x14ac:dyDescent="0.25">
      <c r="A12" s="92" t="s">
        <v>173</v>
      </c>
      <c r="B12" s="97">
        <v>4.731536789430999</v>
      </c>
      <c r="C12" s="97">
        <v>3.5765174085173497</v>
      </c>
      <c r="D12" s="97">
        <v>4.0756982984098427</v>
      </c>
      <c r="E12" s="97">
        <v>4.0868488371497662</v>
      </c>
      <c r="F12" s="97">
        <v>3.0560463618267755</v>
      </c>
      <c r="G12" s="97">
        <v>4.444133579027131</v>
      </c>
      <c r="H12" s="97">
        <v>5.7198214256309159</v>
      </c>
      <c r="I12" s="97">
        <v>6.0781571484707637</v>
      </c>
      <c r="J12" s="97">
        <v>6.9896152720544222</v>
      </c>
      <c r="K12" s="97">
        <v>7.9600256989690346</v>
      </c>
      <c r="L12" s="97">
        <v>7.9757276144864147</v>
      </c>
      <c r="M12" s="97">
        <v>7.8796441527737864</v>
      </c>
      <c r="N12" s="97">
        <v>8.8957776437327407</v>
      </c>
      <c r="O12" s="97">
        <v>8.3518223172243129</v>
      </c>
      <c r="P12" s="97">
        <v>9.239951032916828</v>
      </c>
      <c r="Q12" s="97">
        <v>10.00789329577886</v>
      </c>
      <c r="R12" s="97">
        <v>9.3912161369049141</v>
      </c>
      <c r="S12" s="97">
        <v>12.812591455654903</v>
      </c>
      <c r="T12" s="97">
        <v>13.423824273478093</v>
      </c>
      <c r="U12" s="97">
        <v>12.713263771820849</v>
      </c>
      <c r="V12" s="97">
        <v>18.162813286645207</v>
      </c>
      <c r="W12" s="97">
        <v>24.244337300531306</v>
      </c>
      <c r="DA12" s="175" t="s">
        <v>332</v>
      </c>
    </row>
    <row r="13" spans="1:105" ht="11.45" customHeight="1" x14ac:dyDescent="0.25">
      <c r="A13" s="85" t="s">
        <v>174</v>
      </c>
      <c r="B13" s="98">
        <v>1.1961856788443503</v>
      </c>
      <c r="C13" s="98">
        <v>1.1547605641330518</v>
      </c>
      <c r="D13" s="98">
        <v>1.1777833252974623</v>
      </c>
      <c r="E13" s="98">
        <v>1.2771875007808935</v>
      </c>
      <c r="F13" s="98">
        <v>1.285629509172495</v>
      </c>
      <c r="G13" s="98">
        <v>1.2868997861651541</v>
      </c>
      <c r="H13" s="98">
        <v>2.0971886279496621</v>
      </c>
      <c r="I13" s="98">
        <v>3.385404159464136</v>
      </c>
      <c r="J13" s="98">
        <v>5.7635481882093869</v>
      </c>
      <c r="K13" s="98">
        <v>6.1631448870783681</v>
      </c>
      <c r="L13" s="98">
        <v>13.531262845687964</v>
      </c>
      <c r="M13" s="98">
        <v>11.95961447398645</v>
      </c>
      <c r="N13" s="98">
        <v>11.332648809218936</v>
      </c>
      <c r="O13" s="98">
        <v>12.805724963128185</v>
      </c>
      <c r="P13" s="98">
        <v>15.429090569165812</v>
      </c>
      <c r="Q13" s="98">
        <v>16.416359510926107</v>
      </c>
      <c r="R13" s="98">
        <v>23.160076170047081</v>
      </c>
      <c r="S13" s="98">
        <v>25.23049330591083</v>
      </c>
      <c r="T13" s="98">
        <v>21.591334337814644</v>
      </c>
      <c r="U13" s="98">
        <v>34.495695697257254</v>
      </c>
      <c r="V13" s="98">
        <v>39.024969679150082</v>
      </c>
      <c r="W13" s="98">
        <v>47.007283255925074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2.9307600000000003</v>
      </c>
      <c r="C18" s="97">
        <f>IF(C4=0,0,C4/TrAvia_ene!C4)</f>
        <v>2.9307600000000003</v>
      </c>
      <c r="D18" s="97">
        <f>IF(D4=0,0,D4/TrAvia_ene!D4)</f>
        <v>2.9307600000000007</v>
      </c>
      <c r="E18" s="97">
        <f>IF(E4=0,0,E4/TrAvia_ene!E4)</f>
        <v>2.9307600000000007</v>
      </c>
      <c r="F18" s="97">
        <f>IF(F4=0,0,F4/TrAvia_ene!F4)</f>
        <v>2.9307600000000003</v>
      </c>
      <c r="G18" s="97">
        <f>IF(G4=0,0,G4/TrAvia_ene!G4)</f>
        <v>2.9307600000000003</v>
      </c>
      <c r="H18" s="97">
        <f>IF(H4=0,0,H4/TrAvia_ene!H4)</f>
        <v>2.9307599999999998</v>
      </c>
      <c r="I18" s="97">
        <f>IF(I4=0,0,I4/TrAvia_ene!I4)</f>
        <v>2.9307600000000007</v>
      </c>
      <c r="J18" s="97">
        <f>IF(J4=0,0,J4/TrAvia_ene!J4)</f>
        <v>2.9307600000000007</v>
      </c>
      <c r="K18" s="97">
        <f>IF(K4=0,0,K4/TrAvia_ene!K4)</f>
        <v>2.9307600000000007</v>
      </c>
      <c r="L18" s="97">
        <f>IF(L4=0,0,L4/TrAvia_ene!L4)</f>
        <v>2.9307600000000007</v>
      </c>
      <c r="M18" s="97">
        <f>IF(M4=0,0,M4/TrAvia_ene!M4)</f>
        <v>2.9307600000000003</v>
      </c>
      <c r="N18" s="97">
        <f>IF(N4=0,0,N4/TrAvia_ene!N4)</f>
        <v>2.9878434962849316</v>
      </c>
      <c r="O18" s="97">
        <f>IF(O4=0,0,O4/TrAvia_ene!O4)</f>
        <v>2.9900769641539475</v>
      </c>
      <c r="P18" s="97">
        <f>IF(P4=0,0,P4/TrAvia_ene!P4)</f>
        <v>2.9947252132549438</v>
      </c>
      <c r="Q18" s="97">
        <f>IF(Q4=0,0,Q4/TrAvia_ene!Q4)</f>
        <v>2.9923134439357555</v>
      </c>
      <c r="R18" s="97">
        <f>IF(R4=0,0,R4/TrAvia_ene!R4)</f>
        <v>2.9967950299147255</v>
      </c>
      <c r="S18" s="97">
        <f>IF(S4=0,0,S4/TrAvia_ene!S4)</f>
        <v>3.0001732240931203</v>
      </c>
      <c r="T18" s="97">
        <f>IF(T4=0,0,T4/TrAvia_ene!T4)</f>
        <v>3.0001327936529214</v>
      </c>
      <c r="U18" s="97">
        <f>IF(U4=0,0,U4/TrAvia_ene!U4)</f>
        <v>3.0004281859711734</v>
      </c>
      <c r="V18" s="97">
        <f>IF(V4=0,0,V4/TrAvia_ene!V4)</f>
        <v>2.9938053722352684</v>
      </c>
      <c r="W18" s="97">
        <f>IF(W4=0,0,W4/TrAvia_ene!W4)</f>
        <v>2.9997333961487711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3.0103091999999996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3.0103092000000005</v>
      </c>
      <c r="G19" s="98">
        <f>IF(G5=0,0,G5/TrAvia_ene!G5)</f>
        <v>3.0103092000000009</v>
      </c>
      <c r="H19" s="98">
        <f>IF(H5=0,0,H5/TrAvia_ene!H5)</f>
        <v>3.0103092</v>
      </c>
      <c r="I19" s="98">
        <f>IF(I5=0,0,I5/TrAvia_ene!I5)</f>
        <v>3.0103092000000018</v>
      </c>
      <c r="J19" s="98">
        <f>IF(J5=0,0,J5/TrAvia_ene!J5)</f>
        <v>3.0103091999999996</v>
      </c>
      <c r="K19" s="98">
        <f>IF(K5=0,0,K5/TrAvia_ene!K5)</f>
        <v>3.0103092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3.0103091999999991</v>
      </c>
      <c r="R19" s="98">
        <f>IF(R5=0,0,R5/TrAvia_ene!R5)</f>
        <v>3.0103092000000009</v>
      </c>
      <c r="S19" s="98">
        <f>IF(S5=0,0,S5/TrAvia_ene!S5)</f>
        <v>3.0103026146568852</v>
      </c>
      <c r="T19" s="98">
        <f>IF(T5=0,0,T5/TrAvia_ene!T5)</f>
        <v>3.0103052104091299</v>
      </c>
      <c r="U19" s="98">
        <f>IF(U5=0,0,U5/TrAvia_ene!U5)</f>
        <v>3.0103062507162499</v>
      </c>
      <c r="V19" s="98">
        <f>IF(V5=0,0,V5/TrAvia_ene!V5)</f>
        <v>3.010305354768823</v>
      </c>
      <c r="W19" s="98">
        <f>IF(W5=0,0,W5/TrAvia_ene!W5)</f>
        <v>3.0103056454057011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8782.5500149240743</v>
      </c>
      <c r="C21" s="54">
        <f>IF(C3=0,0,C3/TrAvia_act!C13*1000)</f>
        <v>8774.1656520216275</v>
      </c>
      <c r="D21" s="54">
        <f>IF(D3=0,0,D3/TrAvia_act!D13*1000)</f>
        <v>8521.9753746765364</v>
      </c>
      <c r="E21" s="54">
        <f>IF(E3=0,0,E3/TrAvia_act!E13*1000)</f>
        <v>8582.0570046902812</v>
      </c>
      <c r="F21" s="54">
        <f>IF(F3=0,0,F3/TrAvia_act!F13*1000)</f>
        <v>8779.9790752958761</v>
      </c>
      <c r="G21" s="54">
        <f>IF(G3=0,0,G3/TrAvia_act!G13*1000)</f>
        <v>8470.0739780837703</v>
      </c>
      <c r="H21" s="54">
        <f>IF(H3=0,0,H3/TrAvia_act!H13*1000)</f>
        <v>9269.0632538328209</v>
      </c>
      <c r="I21" s="54">
        <f>IF(I3=0,0,I3/TrAvia_act!I13*1000)</f>
        <v>9038.107449842837</v>
      </c>
      <c r="J21" s="54">
        <f>IF(J3=0,0,J3/TrAvia_act!J13*1000)</f>
        <v>10580.351685608046</v>
      </c>
      <c r="K21" s="54">
        <f>IF(K3=0,0,K3/TrAvia_act!K13*1000)</f>
        <v>10621.535919833112</v>
      </c>
      <c r="L21" s="54">
        <f>IF(L3=0,0,L3/TrAvia_act!L13*1000)</f>
        <v>10913.516885728246</v>
      </c>
      <c r="M21" s="54">
        <f>IF(M3=0,0,M3/TrAvia_act!M13*1000)</f>
        <v>10055.252746061145</v>
      </c>
      <c r="N21" s="54">
        <f>IF(N3=0,0,N3/TrAvia_act!N13*1000)</f>
        <v>11101.286087691769</v>
      </c>
      <c r="O21" s="54">
        <f>IF(O3=0,0,O3/TrAvia_act!O13*1000)</f>
        <v>10691.885307408613</v>
      </c>
      <c r="P21" s="54">
        <f>IF(P3=0,0,P3/TrAvia_act!P13*1000)</f>
        <v>11043.220462690637</v>
      </c>
      <c r="Q21" s="54">
        <f>IF(Q3=0,0,Q3/TrAvia_act!Q13*1000)</f>
        <v>10953.473632894742</v>
      </c>
      <c r="R21" s="54">
        <f>IF(R3=0,0,R3/TrAvia_act!R13*1000)</f>
        <v>11465.018652064455</v>
      </c>
      <c r="S21" s="54">
        <f>IF(S3=0,0,S3/TrAvia_act!S13*1000)</f>
        <v>12440.896444799093</v>
      </c>
      <c r="T21" s="54">
        <f>IF(T3=0,0,T3/TrAvia_act!T13*1000)</f>
        <v>12339.524185662463</v>
      </c>
      <c r="U21" s="54">
        <f>IF(U3=0,0,U3/TrAvia_act!U13*1000)</f>
        <v>12879.29051446276</v>
      </c>
      <c r="V21" s="54">
        <f>IF(V3=0,0,V3/TrAvia_act!V13*1000)</f>
        <v>13692.065385134691</v>
      </c>
      <c r="W21" s="54">
        <f>IF(W3=0,0,W3/TrAvia_act!W13*1000)</f>
        <v>13123.408132334627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8786.9726967108472</v>
      </c>
      <c r="C22" s="11">
        <f>IF(C6=0,0,C6/TrAvia_act!C14*1000)</f>
        <v>8779.881458159356</v>
      </c>
      <c r="D22" s="11">
        <f>IF(D6=0,0,D6/TrAvia_act!D14*1000)</f>
        <v>8525.3312904972136</v>
      </c>
      <c r="E22" s="11">
        <f>IF(E6=0,0,E6/TrAvia_act!E14*1000)</f>
        <v>8586.351614444784</v>
      </c>
      <c r="F22" s="11">
        <f>IF(F6=0,0,F6/TrAvia_act!F14*1000)</f>
        <v>8787.2114369016763</v>
      </c>
      <c r="G22" s="11">
        <f>IF(G6=0,0,G6/TrAvia_act!G14*1000)</f>
        <v>8471.6740664221252</v>
      </c>
      <c r="H22" s="11">
        <f>IF(H6=0,0,H6/TrAvia_act!H14*1000)</f>
        <v>9278.3277575757184</v>
      </c>
      <c r="I22" s="11">
        <f>IF(I6=0,0,I6/TrAvia_act!I14*1000)</f>
        <v>9051.8871471157072</v>
      </c>
      <c r="J22" s="11">
        <f>IF(J6=0,0,J6/TrAvia_act!J14*1000)</f>
        <v>10599.495803421496</v>
      </c>
      <c r="K22" s="11">
        <f>IF(K6=0,0,K6/TrAvia_act!K14*1000)</f>
        <v>10628.596630063415</v>
      </c>
      <c r="L22" s="11">
        <f>IF(L6=0,0,L6/TrAvia_act!L14*1000)</f>
        <v>10898.291937485294</v>
      </c>
      <c r="M22" s="11">
        <f>IF(M6=0,0,M6/TrAvia_act!M14*1000)</f>
        <v>10044.432972910443</v>
      </c>
      <c r="N22" s="11">
        <f>IF(N6=0,0,N6/TrAvia_act!N14*1000)</f>
        <v>11090.923853584885</v>
      </c>
      <c r="O22" s="11">
        <f>IF(O6=0,0,O6/TrAvia_act!O14*1000)</f>
        <v>10679.752469820387</v>
      </c>
      <c r="P22" s="11">
        <f>IF(P6=0,0,P6/TrAvia_act!P14*1000)</f>
        <v>11031.974616978048</v>
      </c>
      <c r="Q22" s="11">
        <f>IF(Q6=0,0,Q6/TrAvia_act!Q14*1000)</f>
        <v>10949.895501539884</v>
      </c>
      <c r="R22" s="11">
        <f>IF(R6=0,0,R6/TrAvia_act!R14*1000)</f>
        <v>11439.399962216812</v>
      </c>
      <c r="S22" s="11">
        <f>IF(S6=0,0,S6/TrAvia_act!S14*1000)</f>
        <v>12429.4769836384</v>
      </c>
      <c r="T22" s="11">
        <f>IF(T6=0,0,T6/TrAvia_act!T14*1000)</f>
        <v>12355.882183394831</v>
      </c>
      <c r="U22" s="11">
        <f>IF(U6=0,0,U6/TrAvia_act!U14*1000)</f>
        <v>12906.690089874495</v>
      </c>
      <c r="V22" s="11">
        <f>IF(V6=0,0,V6/TrAvia_act!V14*1000)</f>
        <v>13623.603956147797</v>
      </c>
      <c r="W22" s="11">
        <f>IF(W6=0,0,W6/TrAvia_act!W14*1000)</f>
        <v>13102.281932617067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1073.6996873870216</v>
      </c>
      <c r="C23" s="84">
        <f>IF(C7=0,0,C7/TrAvia_act!C15*1000)</f>
        <v>1076.3005190496385</v>
      </c>
      <c r="D23" s="84">
        <f>IF(D7=0,0,D7/TrAvia_act!D15*1000)</f>
        <v>1077.3141170278968</v>
      </c>
      <c r="E23" s="84">
        <f>IF(E7=0,0,E7/TrAvia_act!E15*1000)</f>
        <v>1076.2675659287311</v>
      </c>
      <c r="F23" s="84">
        <f>IF(F7=0,0,F7/TrAvia_act!F15*1000)</f>
        <v>1075.2984067285788</v>
      </c>
      <c r="G23" s="84">
        <f>IF(G7=0,0,G7/TrAvia_act!G15*1000)</f>
        <v>1050.9651305525049</v>
      </c>
      <c r="H23" s="84">
        <f>IF(H7=0,0,H7/TrAvia_act!H15*1000)</f>
        <v>1069.8977477443584</v>
      </c>
      <c r="I23" s="84">
        <f>IF(I7=0,0,I7/TrAvia_act!I15*1000)</f>
        <v>1319.5333490492678</v>
      </c>
      <c r="J23" s="84">
        <f>IF(J7=0,0,J7/TrAvia_act!J15*1000)</f>
        <v>1031.7602003263507</v>
      </c>
      <c r="K23" s="84">
        <f>IF(K7=0,0,K7/TrAvia_act!K15*1000)</f>
        <v>1484.3528148137721</v>
      </c>
      <c r="L23" s="84">
        <f>IF(L7=0,0,L7/TrAvia_act!L15*1000)</f>
        <v>1417.3432988560339</v>
      </c>
      <c r="M23" s="84">
        <f>IF(M7=0,0,M7/TrAvia_act!M15*1000)</f>
        <v>1512.3917715182672</v>
      </c>
      <c r="N23" s="84">
        <f>IF(N7=0,0,N7/TrAvia_act!N15*1000)</f>
        <v>4008.8356855296279</v>
      </c>
      <c r="O23" s="84">
        <f>IF(O7=0,0,O7/TrAvia_act!O15*1000)</f>
        <v>4700.6711872814285</v>
      </c>
      <c r="P23" s="84">
        <f>IF(P7=0,0,P7/TrAvia_act!P15*1000)</f>
        <v>7441.9763552979794</v>
      </c>
      <c r="Q23" s="84">
        <f>IF(Q7=0,0,Q7/TrAvia_act!Q15*1000)</f>
        <v>5957.8135778635196</v>
      </c>
      <c r="R23" s="84">
        <f>IF(R7=0,0,R7/TrAvia_act!R15*1000)</f>
        <v>8018.86884165223</v>
      </c>
      <c r="S23" s="84">
        <f>IF(S7=0,0,S7/TrAvia_act!S15*1000)</f>
        <v>7991.8481886135742</v>
      </c>
      <c r="T23" s="84">
        <f>IF(T7=0,0,T7/TrAvia_act!T15*1000)</f>
        <v>10607.562906654272</v>
      </c>
      <c r="U23" s="84">
        <f>IF(U7=0,0,U7/TrAvia_act!U15*1000)</f>
        <v>10681.876695584593</v>
      </c>
      <c r="V23" s="84">
        <f>IF(V7=0,0,V7/TrAvia_act!V15*1000)</f>
        <v>11500.849169158628</v>
      </c>
      <c r="W23" s="84">
        <f>IF(W7=0,0,W7/TrAvia_act!W15*1000)</f>
        <v>19368.395037860784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9957.6662103269882</v>
      </c>
      <c r="C24" s="84">
        <f>IF(C8=0,0,C8/TrAvia_act!C16*1000)</f>
        <v>9961.1300549891766</v>
      </c>
      <c r="D24" s="84">
        <f>IF(D8=0,0,D8/TrAvia_act!D16*1000)</f>
        <v>9943.6136220265707</v>
      </c>
      <c r="E24" s="84">
        <f>IF(E8=0,0,E8/TrAvia_act!E16*1000)</f>
        <v>9937.1623937611384</v>
      </c>
      <c r="F24" s="84">
        <f>IF(F8=0,0,F8/TrAvia_act!F16*1000)</f>
        <v>9937.9291530842165</v>
      </c>
      <c r="G24" s="84">
        <f>IF(G8=0,0,G8/TrAvia_act!G16*1000)</f>
        <v>9384.6378961561713</v>
      </c>
      <c r="H24" s="84">
        <f>IF(H8=0,0,H8/TrAvia_act!H16*1000)</f>
        <v>10298.870922065615</v>
      </c>
      <c r="I24" s="84">
        <f>IF(I8=0,0,I8/TrAvia_act!I16*1000)</f>
        <v>10428.484271964009</v>
      </c>
      <c r="J24" s="84">
        <f>IF(J8=0,0,J8/TrAvia_act!J16*1000)</f>
        <v>12213.126758450358</v>
      </c>
      <c r="K24" s="84">
        <f>IF(K8=0,0,K8/TrAvia_act!K16*1000)</f>
        <v>11760.026484367221</v>
      </c>
      <c r="L24" s="84">
        <f>IF(L8=0,0,L8/TrAvia_act!L16*1000)</f>
        <v>12119.978789159481</v>
      </c>
      <c r="M24" s="84">
        <f>IF(M8=0,0,M8/TrAvia_act!M16*1000)</f>
        <v>11001.659734926194</v>
      </c>
      <c r="N24" s="84">
        <f>IF(N8=0,0,N8/TrAvia_act!N16*1000)</f>
        <v>12072.924681350109</v>
      </c>
      <c r="O24" s="84">
        <f>IF(O8=0,0,O8/TrAvia_act!O16*1000)</f>
        <v>11150.127930875611</v>
      </c>
      <c r="P24" s="84">
        <f>IF(P8=0,0,P8/TrAvia_act!P16*1000)</f>
        <v>11861.920266263109</v>
      </c>
      <c r="Q24" s="84">
        <f>IF(Q8=0,0,Q8/TrAvia_act!Q16*1000)</f>
        <v>12030.90587320821</v>
      </c>
      <c r="R24" s="84">
        <f>IF(R8=0,0,R8/TrAvia_act!R16*1000)</f>
        <v>11460.873190733695</v>
      </c>
      <c r="S24" s="84">
        <f>IF(S8=0,0,S8/TrAvia_act!S16*1000)</f>
        <v>13242.21308261716</v>
      </c>
      <c r="T24" s="84">
        <f>IF(T8=0,0,T8/TrAvia_act!T16*1000)</f>
        <v>14382.607001676628</v>
      </c>
      <c r="U24" s="84">
        <f>IF(U8=0,0,U8/TrAvia_act!U16*1000)</f>
        <v>15404.066321370685</v>
      </c>
      <c r="V24" s="84">
        <f>IF(V8=0,0,V8/TrAvia_act!V16*1000)</f>
        <v>14237.83870124064</v>
      </c>
      <c r="W24" s="84">
        <f>IF(W8=0,0,W8/TrAvia_act!W16*1000)</f>
        <v>14199.994021046505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8859.9903012312025</v>
      </c>
      <c r="C25" s="84">
        <f>IF(C9=0,0,C9/TrAvia_act!C17*1000)</f>
        <v>8863.0570127411211</v>
      </c>
      <c r="D25" s="84">
        <f>IF(D9=0,0,D9/TrAvia_act!D17*1000)</f>
        <v>8847.4267179839208</v>
      </c>
      <c r="E25" s="84">
        <f>IF(E9=0,0,E9/TrAvia_act!E17*1000)</f>
        <v>8841.6621134071338</v>
      </c>
      <c r="F25" s="84">
        <f>IF(F9=0,0,F9/TrAvia_act!F17*1000)</f>
        <v>8842.3112247592999</v>
      </c>
      <c r="G25" s="84">
        <f>IF(G9=0,0,G9/TrAvia_act!G17*1000)</f>
        <v>8517.2307355805788</v>
      </c>
      <c r="H25" s="84">
        <f>IF(H9=0,0,H9/TrAvia_act!H17*1000)</f>
        <v>8795.7151802626522</v>
      </c>
      <c r="I25" s="84">
        <f>IF(I9=0,0,I9/TrAvia_act!I17*1000)</f>
        <v>7790.8078348692479</v>
      </c>
      <c r="J25" s="84">
        <f>IF(J9=0,0,J9/TrAvia_act!J17*1000)</f>
        <v>8984.6026340953813</v>
      </c>
      <c r="K25" s="84">
        <f>IF(K9=0,0,K9/TrAvia_act!K17*1000)</f>
        <v>10003.586842446468</v>
      </c>
      <c r="L25" s="84">
        <f>IF(L9=0,0,L9/TrAvia_act!L17*1000)</f>
        <v>10219.352262803217</v>
      </c>
      <c r="M25" s="84">
        <f>IF(M9=0,0,M9/TrAvia_act!M17*1000)</f>
        <v>9882.5314139976017</v>
      </c>
      <c r="N25" s="84">
        <f>IF(N9=0,0,N9/TrAvia_act!N17*1000)</f>
        <v>11166.43706775429</v>
      </c>
      <c r="O25" s="84">
        <f>IF(O9=0,0,O9/TrAvia_act!O17*1000)</f>
        <v>11034.287593927302</v>
      </c>
      <c r="P25" s="84">
        <f>IF(P9=0,0,P9/TrAvia_act!P17*1000)</f>
        <v>9957.2349633199974</v>
      </c>
      <c r="Q25" s="84">
        <f>IF(Q9=0,0,Q9/TrAvia_act!Q17*1000)</f>
        <v>9362.3937344862425</v>
      </c>
      <c r="R25" s="84">
        <f>IF(R9=0,0,R9/TrAvia_act!R17*1000)</f>
        <v>12162.587527274394</v>
      </c>
      <c r="S25" s="84">
        <f>IF(S9=0,0,S9/TrAvia_act!S17*1000)</f>
        <v>11013.537673498271</v>
      </c>
      <c r="T25" s="84">
        <f>IF(T9=0,0,T9/TrAvia_act!T17*1000)</f>
        <v>8442.1202326024395</v>
      </c>
      <c r="U25" s="84">
        <f>IF(U9=0,0,U9/TrAvia_act!U17*1000)</f>
        <v>8398.1857473635846</v>
      </c>
      <c r="V25" s="84">
        <f>IF(V9=0,0,V9/TrAvia_act!V17*1000)</f>
        <v>12725.987543996338</v>
      </c>
      <c r="W25" s="84">
        <f>IF(W9=0,0,W9/TrAvia_act!W17*1000)</f>
        <v>10535.758150399397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8204.0457715986995</v>
      </c>
      <c r="C26" s="13">
        <f>IF(C10=0,0,C10/TrAvia_act!C18*1000)</f>
        <v>7884.720087143829</v>
      </c>
      <c r="D26" s="13">
        <f>IF(D10=0,0,D10/TrAvia_act!D18*1000)</f>
        <v>8036.1441097040715</v>
      </c>
      <c r="E26" s="13">
        <f>IF(E10=0,0,E10/TrAvia_act!E18*1000)</f>
        <v>7936.5130710547373</v>
      </c>
      <c r="F26" s="13">
        <f>IF(F10=0,0,F10/TrAvia_act!F18*1000)</f>
        <v>7553.725337500613</v>
      </c>
      <c r="G26" s="13">
        <f>IF(G10=0,0,G10/TrAvia_act!G18*1000)</f>
        <v>8205.7046797357325</v>
      </c>
      <c r="H26" s="13">
        <f>IF(H10=0,0,H10/TrAvia_act!H18*1000)</f>
        <v>7959.5983657257984</v>
      </c>
      <c r="I26" s="13">
        <f>IF(I10=0,0,I10/TrAvia_act!I18*1000)</f>
        <v>7442.8141234617915</v>
      </c>
      <c r="J26" s="13">
        <f>IF(J10=0,0,J10/TrAvia_act!J18*1000)</f>
        <v>8615.9141365461073</v>
      </c>
      <c r="K26" s="13">
        <f>IF(K10=0,0,K10/TrAvia_act!K18*1000)</f>
        <v>9958.7108920175142</v>
      </c>
      <c r="L26" s="13">
        <f>IF(L10=0,0,L10/TrAvia_act!L18*1000)</f>
        <v>12091.474666071719</v>
      </c>
      <c r="M26" s="13">
        <f>IF(M10=0,0,M10/TrAvia_act!M18*1000)</f>
        <v>10927.249497463059</v>
      </c>
      <c r="N26" s="13">
        <f>IF(N10=0,0,N10/TrAvia_act!N18*1000)</f>
        <v>11978.7176308056</v>
      </c>
      <c r="O26" s="13">
        <f>IF(O10=0,0,O10/TrAvia_act!O18*1000)</f>
        <v>11659.205809990908</v>
      </c>
      <c r="P26" s="13">
        <f>IF(P10=0,0,P10/TrAvia_act!P18*1000)</f>
        <v>11906.484312136345</v>
      </c>
      <c r="Q26" s="13">
        <f>IF(Q10=0,0,Q10/TrAvia_act!Q18*1000)</f>
        <v>11223.955857429093</v>
      </c>
      <c r="R26" s="13">
        <f>IF(R10=0,0,R10/TrAvia_act!R18*1000)</f>
        <v>13376.784024054285</v>
      </c>
      <c r="S26" s="13">
        <f>IF(S10=0,0,S10/TrAvia_act!S18*1000)</f>
        <v>13273.533791762578</v>
      </c>
      <c r="T26" s="13">
        <f>IF(T10=0,0,T10/TrAvia_act!T18*1000)</f>
        <v>11052.239803898599</v>
      </c>
      <c r="U26" s="13">
        <f>IF(U10=0,0,U10/TrAvia_act!U18*1000)</f>
        <v>11223.394185579324</v>
      </c>
      <c r="V26" s="13">
        <f>IF(V10=0,0,V10/TrAvia_act!V18*1000)</f>
        <v>15569.262147986323</v>
      </c>
      <c r="W26" s="13">
        <f>IF(W10=0,0,W10/TrAvia_act!W18*1000)</f>
        <v>13652.781860138217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1360.8326624383819</v>
      </c>
      <c r="C27" s="102">
        <f>IF(C11=0,0,C11/TrAvia_act!C19*1000)</f>
        <v>1364.1290186891749</v>
      </c>
      <c r="D27" s="102">
        <f>IF(D11=0,0,D11/TrAvia_act!D19*1000)</f>
        <v>1365.4136770080688</v>
      </c>
      <c r="E27" s="102">
        <f>IF(E11=0,0,E11/TrAvia_act!E19*1000)</f>
        <v>1364.0872531156288</v>
      </c>
      <c r="F27" s="102">
        <f>IF(F11=0,0,F11/TrAvia_act!F19*1000)</f>
        <v>1362.8589175669063</v>
      </c>
      <c r="G27" s="102">
        <f>IF(G11=0,0,G11/TrAvia_act!G19*1000)</f>
        <v>1321.3617256852801</v>
      </c>
      <c r="H27" s="102">
        <f>IF(H11=0,0,H11/TrAvia_act!H19*1000)</f>
        <v>1330.6077734603855</v>
      </c>
      <c r="I27" s="102">
        <f>IF(I11=0,0,I11/TrAvia_act!I19*1000)</f>
        <v>1611.4075510375819</v>
      </c>
      <c r="J27" s="102">
        <f>IF(J11=0,0,J11/TrAvia_act!J19*1000)</f>
        <v>1235.0137619822083</v>
      </c>
      <c r="K27" s="102">
        <f>IF(K11=0,0,K11/TrAvia_act!K19*1000)</f>
        <v>1744.2136665892594</v>
      </c>
      <c r="L27" s="102">
        <f>IF(L11=0,0,L11/TrAvia_act!L19*1000)</f>
        <v>1621.3653842966244</v>
      </c>
      <c r="M27" s="102">
        <f>IF(M11=0,0,M11/TrAvia_act!M19*1000)</f>
        <v>1636.6600454549437</v>
      </c>
      <c r="N27" s="102">
        <f>IF(N11=0,0,N11/TrAvia_act!N19*1000)</f>
        <v>4126.2865022897831</v>
      </c>
      <c r="O27" s="102">
        <f>IF(O11=0,0,O11/TrAvia_act!O19*1000)</f>
        <v>4923.4359284616667</v>
      </c>
      <c r="P27" s="102">
        <f>IF(P11=0,0,P11/TrAvia_act!P19*1000)</f>
        <v>7927.8672583859679</v>
      </c>
      <c r="Q27" s="102">
        <f>IF(Q11=0,0,Q11/TrAvia_act!Q19*1000)</f>
        <v>6536.3248608845179</v>
      </c>
      <c r="R27" s="102">
        <f>IF(R11=0,0,R11/TrAvia_act!R19*1000)</f>
        <v>9028.0749015474212</v>
      </c>
      <c r="S27" s="102">
        <f>IF(S11=0,0,S11/TrAvia_act!S19*1000)</f>
        <v>9176.4802338004083</v>
      </c>
      <c r="T27" s="102">
        <f>IF(T11=0,0,T11/TrAvia_act!T19*1000)</f>
        <v>12504.421985339717</v>
      </c>
      <c r="U27" s="102">
        <f>IF(U11=0,0,U11/TrAvia_act!U19*1000)</f>
        <v>13130.547343083101</v>
      </c>
      <c r="V27" s="102">
        <f>IF(V11=0,0,V11/TrAvia_act!V19*1000)</f>
        <v>14108.390291996231</v>
      </c>
      <c r="W27" s="102">
        <f>IF(W11=0,0,W11/TrAvia_act!W19*1000)</f>
        <v>23657.185459626722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12323.599550066856</v>
      </c>
      <c r="C28" s="102">
        <f>IF(C12=0,0,C12/TrAvia_act!C20*1000)</f>
        <v>12324.650155703483</v>
      </c>
      <c r="D28" s="102">
        <f>IF(D12=0,0,D12/TrAvia_act!D20*1000)</f>
        <v>12306.635816592438</v>
      </c>
      <c r="E28" s="102">
        <f>IF(E12=0,0,E12/TrAvia_act!E20*1000)</f>
        <v>12294.899173730921</v>
      </c>
      <c r="F28" s="102">
        <f>IF(F12=0,0,F12/TrAvia_act!F20*1000)</f>
        <v>12293.324937532898</v>
      </c>
      <c r="G28" s="102">
        <f>IF(G12=0,0,G12/TrAvia_act!G20*1000)</f>
        <v>12061.314652835106</v>
      </c>
      <c r="H28" s="102">
        <f>IF(H12=0,0,H12/TrAvia_act!H20*1000)</f>
        <v>11945.715450391126</v>
      </c>
      <c r="I28" s="102">
        <f>IF(I12=0,0,I12/TrAvia_act!I20*1000)</f>
        <v>11200.981269179989</v>
      </c>
      <c r="J28" s="102">
        <f>IF(J12=0,0,J12/TrAvia_act!J20*1000)</f>
        <v>11483.730738016469</v>
      </c>
      <c r="K28" s="102">
        <f>IF(K12=0,0,K12/TrAvia_act!K20*1000)</f>
        <v>11089.623499474081</v>
      </c>
      <c r="L28" s="102">
        <f>IF(L12=0,0,L12/TrAvia_act!L20*1000)</f>
        <v>10950.720242322612</v>
      </c>
      <c r="M28" s="102">
        <f>IF(M12=0,0,M12/TrAvia_act!M20*1000)</f>
        <v>9798.8701806791178</v>
      </c>
      <c r="N28" s="102">
        <f>IF(N12=0,0,N12/TrAvia_act!N20*1000)</f>
        <v>10650.772668660371</v>
      </c>
      <c r="O28" s="102">
        <f>IF(O12=0,0,O12/TrAvia_act!O20*1000)</f>
        <v>9354.0962829669224</v>
      </c>
      <c r="P28" s="102">
        <f>IF(P12=0,0,P12/TrAvia_act!P20*1000)</f>
        <v>9858.9226334801351</v>
      </c>
      <c r="Q28" s="102">
        <f>IF(Q12=0,0,Q12/TrAvia_act!Q20*1000)</f>
        <v>9369.1261785822371</v>
      </c>
      <c r="R28" s="102">
        <f>IF(R12=0,0,R12/TrAvia_act!R20*1000)</f>
        <v>8934.2729912120849</v>
      </c>
      <c r="S28" s="102">
        <f>IF(S12=0,0,S12/TrAvia_act!S20*1000)</f>
        <v>10494.683139336987</v>
      </c>
      <c r="T28" s="102">
        <f>IF(T12=0,0,T12/TrAvia_act!T20*1000)</f>
        <v>10318.918320604311</v>
      </c>
      <c r="U28" s="102">
        <f>IF(U12=0,0,U12/TrAvia_act!U20*1000)</f>
        <v>9334.0917288292876</v>
      </c>
      <c r="V28" s="102">
        <f>IF(V12=0,0,V12/TrAvia_act!V20*1000)</f>
        <v>12063.410149317129</v>
      </c>
      <c r="W28" s="102">
        <f>IF(W12=0,0,W12/TrAvia_act!W20*1000)</f>
        <v>11514.665180549817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4712.6699093421767</v>
      </c>
      <c r="C29" s="86">
        <f>IF(C13=0,0,C13/TrAvia_act!C21*1000)</f>
        <v>4714.3011074092246</v>
      </c>
      <c r="D29" s="86">
        <f>IF(D13=0,0,D13/TrAvia_act!D21*1000)</f>
        <v>4705.9872811778168</v>
      </c>
      <c r="E29" s="86">
        <f>IF(E13=0,0,E13/TrAvia_act!E21*1000)</f>
        <v>4702.9210612831394</v>
      </c>
      <c r="F29" s="86">
        <f>IF(F13=0,0,F13/TrAvia_act!F21*1000)</f>
        <v>4703.2663266201389</v>
      </c>
      <c r="G29" s="86">
        <f>IF(G13=0,0,G13/TrAvia_act!G21*1000)</f>
        <v>4512.8684671296105</v>
      </c>
      <c r="H29" s="86">
        <f>IF(H13=0,0,H13/TrAvia_act!H21*1000)</f>
        <v>5348.4464697068042</v>
      </c>
      <c r="I29" s="86">
        <f>IF(I13=0,0,I13/TrAvia_act!I21*1000)</f>
        <v>5729.8235482645614</v>
      </c>
      <c r="J29" s="86">
        <f>IF(J13=0,0,J13/TrAvia_act!J21*1000)</f>
        <v>8285.5083432385672</v>
      </c>
      <c r="K29" s="86">
        <f>IF(K13=0,0,K13/TrAvia_act!K21*1000)</f>
        <v>11612.373388978414</v>
      </c>
      <c r="L29" s="86">
        <f>IF(L13=0,0,L13/TrAvia_act!L21*1000)</f>
        <v>15225.260829269821</v>
      </c>
      <c r="M29" s="86">
        <f>IF(M13=0,0,M13/TrAvia_act!M21*1000)</f>
        <v>14300.065775422163</v>
      </c>
      <c r="N29" s="86">
        <f>IF(N13=0,0,N13/TrAvia_act!N21*1000)</f>
        <v>15862.909163420525</v>
      </c>
      <c r="O29" s="86">
        <f>IF(O13=0,0,O13/TrAvia_act!O21*1000)</f>
        <v>15672.735566483521</v>
      </c>
      <c r="P29" s="86">
        <f>IF(P13=0,0,P13/TrAvia_act!P21*1000)</f>
        <v>14033.19405297616</v>
      </c>
      <c r="Q29" s="86">
        <f>IF(Q13=0,0,Q13/TrAvia_act!Q21*1000)</f>
        <v>13063.320090694766</v>
      </c>
      <c r="R29" s="86">
        <f>IF(R13=0,0,R13/TrAvia_act!R21*1000)</f>
        <v>16892.852522867644</v>
      </c>
      <c r="S29" s="86">
        <f>IF(S13=0,0,S13/TrAvia_act!S21*1000)</f>
        <v>15371.250567478968</v>
      </c>
      <c r="T29" s="86">
        <f>IF(T13=0,0,T13/TrAvia_act!T21*1000)</f>
        <v>11553.973605692714</v>
      </c>
      <c r="U29" s="86">
        <f>IF(U13=0,0,U13/TrAvia_act!U21*1000)</f>
        <v>12118.165292666659</v>
      </c>
      <c r="V29" s="86">
        <f>IF(V13=0,0,V13/TrAvia_act!V21*1000)</f>
        <v>18007.787964500469</v>
      </c>
      <c r="W29" s="86">
        <f>IF(W13=0,0,W13/TrAvia_act!W21*1000)</f>
        <v>15082.675847028255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109.97553983758392</v>
      </c>
      <c r="C32" s="14">
        <f>IF(C6=0,0,C6/TrAvia_act!C4*1000)</f>
        <v>107.72192013246467</v>
      </c>
      <c r="D32" s="14">
        <f>IF(D6=0,0,D6/TrAvia_act!D4*1000)</f>
        <v>105.32610620576521</v>
      </c>
      <c r="E32" s="14">
        <f>IF(E6=0,0,E6/TrAvia_act!E4*1000)</f>
        <v>104.42819349755217</v>
      </c>
      <c r="F32" s="14">
        <f>IF(F6=0,0,F6/TrAvia_act!F4*1000)</f>
        <v>103.93531105400439</v>
      </c>
      <c r="G32" s="14">
        <f>IF(G6=0,0,G6/TrAvia_act!G4*1000)</f>
        <v>98.395744563677923</v>
      </c>
      <c r="H32" s="14">
        <f>IF(H6=0,0,H6/TrAvia_act!H4*1000)</f>
        <v>107.06932124928015</v>
      </c>
      <c r="I32" s="14">
        <f>IF(I6=0,0,I6/TrAvia_act!I4*1000)</f>
        <v>91.345288198995789</v>
      </c>
      <c r="J32" s="14">
        <f>IF(J6=0,0,J6/TrAvia_act!J4*1000)</f>
        <v>98.399484011179595</v>
      </c>
      <c r="K32" s="14">
        <f>IF(K6=0,0,K6/TrAvia_act!K4*1000)</f>
        <v>99.243806799346871</v>
      </c>
      <c r="L32" s="14">
        <f>IF(L6=0,0,L6/TrAvia_act!L4*1000)</f>
        <v>97.901267392858998</v>
      </c>
      <c r="M32" s="14">
        <f>IF(M6=0,0,M6/TrAvia_act!M4*1000)</f>
        <v>90.699734967584959</v>
      </c>
      <c r="N32" s="14">
        <f>IF(N6=0,0,N6/TrAvia_act!N4*1000)</f>
        <v>97.610410244678732</v>
      </c>
      <c r="O32" s="14">
        <f>IF(O6=0,0,O6/TrAvia_act!O4*1000)</f>
        <v>90.372892339700257</v>
      </c>
      <c r="P32" s="14">
        <f>IF(P6=0,0,P6/TrAvia_act!P4*1000)</f>
        <v>91.476189329280217</v>
      </c>
      <c r="Q32" s="14">
        <f>IF(Q6=0,0,Q6/TrAvia_act!Q4*1000)</f>
        <v>91.687282778639627</v>
      </c>
      <c r="R32" s="14">
        <f>IF(R6=0,0,R6/TrAvia_act!R4*1000)</f>
        <v>86.964491974379328</v>
      </c>
      <c r="S32" s="14">
        <f>IF(S6=0,0,S6/TrAvia_act!S4*1000)</f>
        <v>87.401026225499933</v>
      </c>
      <c r="T32" s="14">
        <f>IF(T6=0,0,T6/TrAvia_act!T4*1000)</f>
        <v>86.819806770231125</v>
      </c>
      <c r="U32" s="14">
        <f>IF(U6=0,0,U6/TrAvia_act!U4*1000)</f>
        <v>84.962643339630205</v>
      </c>
      <c r="V32" s="14">
        <f>IF(V6=0,0,V6/TrAvia_act!V4*1000)</f>
        <v>118.77254768319847</v>
      </c>
      <c r="W32" s="14">
        <f>IF(W6=0,0,W6/TrAvia_act!W4*1000)</f>
        <v>101.88407237702741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37.59121369587308</v>
      </c>
      <c r="C33" s="87">
        <f>IF(C7=0,0,C7/TrAvia_act!C5*1000)</f>
        <v>37.255212979146357</v>
      </c>
      <c r="D33" s="87">
        <f>IF(D7=0,0,D7/TrAvia_act!D5*1000)</f>
        <v>36.699304440895126</v>
      </c>
      <c r="E33" s="87">
        <f>IF(E7=0,0,E7/TrAvia_act!E5*1000)</f>
        <v>35.808150234732047</v>
      </c>
      <c r="F33" s="87">
        <f>IF(F7=0,0,F7/TrAvia_act!F5*1000)</f>
        <v>35.15004192198937</v>
      </c>
      <c r="G33" s="87">
        <f>IF(G7=0,0,G7/TrAvia_act!G5*1000)</f>
        <v>33.497656806320926</v>
      </c>
      <c r="H33" s="87">
        <f>IF(H7=0,0,H7/TrAvia_act!H5*1000)</f>
        <v>33.103972206353539</v>
      </c>
      <c r="I33" s="87">
        <f>IF(I7=0,0,I7/TrAvia_act!I5*1000)</f>
        <v>36.597938615059007</v>
      </c>
      <c r="J33" s="87">
        <f>IF(J7=0,0,J7/TrAvia_act!J5*1000)</f>
        <v>31.154458041975978</v>
      </c>
      <c r="K33" s="87">
        <f>IF(K7=0,0,K7/TrAvia_act!K5*1000)</f>
        <v>44.666954621472847</v>
      </c>
      <c r="L33" s="87">
        <f>IF(L7=0,0,L7/TrAvia_act!L5*1000)</f>
        <v>39.05982748907482</v>
      </c>
      <c r="M33" s="87">
        <f>IF(M7=0,0,M7/TrAvia_act!M5*1000)</f>
        <v>36.98173210155035</v>
      </c>
      <c r="N33" s="87">
        <f>IF(N7=0,0,N7/TrAvia_act!N5*1000)</f>
        <v>81.247257824785436</v>
      </c>
      <c r="O33" s="87">
        <f>IF(O7=0,0,O7/TrAvia_act!O5*1000)</f>
        <v>105.43357712684633</v>
      </c>
      <c r="P33" s="87">
        <f>IF(P7=0,0,P7/TrAvia_act!P5*1000)</f>
        <v>141.37034204932391</v>
      </c>
      <c r="Q33" s="87">
        <f>IF(Q7=0,0,Q7/TrAvia_act!Q5*1000)</f>
        <v>99.447291948386493</v>
      </c>
      <c r="R33" s="87">
        <f>IF(R7=0,0,R7/TrAvia_act!R5*1000)</f>
        <v>121.83490364995781</v>
      </c>
      <c r="S33" s="87">
        <f>IF(S7=0,0,S7/TrAvia_act!S5*1000)</f>
        <v>108.3643436678469</v>
      </c>
      <c r="T33" s="87">
        <f>IF(T7=0,0,T7/TrAvia_act!T5*1000)</f>
        <v>151.72702681700179</v>
      </c>
      <c r="U33" s="87">
        <f>IF(U7=0,0,U7/TrAvia_act!U5*1000)</f>
        <v>152.89818903818255</v>
      </c>
      <c r="V33" s="87">
        <f>IF(V7=0,0,V7/TrAvia_act!V5*1000)</f>
        <v>237.11873762929451</v>
      </c>
      <c r="W33" s="87">
        <f>IF(W7=0,0,W7/TrAvia_act!W5*1000)</f>
        <v>341.87714516517468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138.07086463312859</v>
      </c>
      <c r="C34" s="87">
        <f>IF(C8=0,0,C8/TrAvia_act!C6*1000)</f>
        <v>134.95277148952999</v>
      </c>
      <c r="D34" s="87">
        <f>IF(D8=0,0,D8/TrAvia_act!D6*1000)</f>
        <v>132.98563299267445</v>
      </c>
      <c r="E34" s="87">
        <f>IF(E8=0,0,E8/TrAvia_act!E6*1000)</f>
        <v>132.80626604866302</v>
      </c>
      <c r="F34" s="87">
        <f>IF(F8=0,0,F8/TrAvia_act!F6*1000)</f>
        <v>132.65328053776048</v>
      </c>
      <c r="G34" s="87">
        <f>IF(G8=0,0,G8/TrAvia_act!G6*1000)</f>
        <v>121.81555803895701</v>
      </c>
      <c r="H34" s="87">
        <f>IF(H8=0,0,H8/TrAvia_act!H6*1000)</f>
        <v>132.86140594997642</v>
      </c>
      <c r="I34" s="87">
        <f>IF(I8=0,0,I8/TrAvia_act!I6*1000)</f>
        <v>112.87894857744472</v>
      </c>
      <c r="J34" s="87">
        <f>IF(J8=0,0,J8/TrAvia_act!J6*1000)</f>
        <v>132.55776696729234</v>
      </c>
      <c r="K34" s="87">
        <f>IF(K8=0,0,K8/TrAvia_act!K6*1000)</f>
        <v>125.35370721650973</v>
      </c>
      <c r="L34" s="87">
        <f>IF(L8=0,0,L8/TrAvia_act!L6*1000)</f>
        <v>124.30073801529433</v>
      </c>
      <c r="M34" s="87">
        <f>IF(M8=0,0,M8/TrAvia_act!M6*1000)</f>
        <v>103.64349783808862</v>
      </c>
      <c r="N34" s="87">
        <f>IF(N8=0,0,N8/TrAvia_act!N6*1000)</f>
        <v>112.58972121788287</v>
      </c>
      <c r="O34" s="87">
        <f>IF(O8=0,0,O8/TrAvia_act!O6*1000)</f>
        <v>98.396725596402774</v>
      </c>
      <c r="P34" s="87">
        <f>IF(P8=0,0,P8/TrAvia_act!P6*1000)</f>
        <v>99.991413033238487</v>
      </c>
      <c r="Q34" s="87">
        <f>IF(Q8=0,0,Q8/TrAvia_act!Q6*1000)</f>
        <v>96.553059801893454</v>
      </c>
      <c r="R34" s="87">
        <f>IF(R8=0,0,R8/TrAvia_act!R6*1000)</f>
        <v>90.146759757650557</v>
      </c>
      <c r="S34" s="87">
        <f>IF(S8=0,0,S8/TrAvia_act!S6*1000)</f>
        <v>98.22678017145887</v>
      </c>
      <c r="T34" s="87">
        <f>IF(T8=0,0,T8/TrAvia_act!T6*1000)</f>
        <v>104.65511888831351</v>
      </c>
      <c r="U34" s="87">
        <f>IF(U8=0,0,U8/TrAvia_act!U6*1000)</f>
        <v>111.40064490569139</v>
      </c>
      <c r="V34" s="87">
        <f>IF(V8=0,0,V8/TrAvia_act!V6*1000)</f>
        <v>126.15725806569783</v>
      </c>
      <c r="W34" s="87">
        <f>IF(W8=0,0,W8/TrAvia_act!W6*1000)</f>
        <v>121.09885118883822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84.284554667167342</v>
      </c>
      <c r="C35" s="87">
        <f>IF(C9=0,0,C9/TrAvia_act!C7*1000)</f>
        <v>82.748056214477501</v>
      </c>
      <c r="D35" s="87">
        <f>IF(D9=0,0,D9/TrAvia_act!D7*1000)</f>
        <v>81.484981298086112</v>
      </c>
      <c r="E35" s="87">
        <f>IF(E9=0,0,E9/TrAvia_act!E7*1000)</f>
        <v>79.906311112950974</v>
      </c>
      <c r="F35" s="87">
        <f>IF(F9=0,0,F9/TrAvia_act!F7*1000)</f>
        <v>78.243190942346317</v>
      </c>
      <c r="G35" s="87">
        <f>IF(G9=0,0,G9/TrAvia_act!G7*1000)</f>
        <v>74.130502088769418</v>
      </c>
      <c r="H35" s="87">
        <f>IF(H9=0,0,H9/TrAvia_act!H7*1000)</f>
        <v>75.984343038658963</v>
      </c>
      <c r="I35" s="87">
        <f>IF(I9=0,0,I9/TrAvia_act!I7*1000)</f>
        <v>62.448674079392404</v>
      </c>
      <c r="J35" s="87">
        <f>IF(J9=0,0,J9/TrAvia_act!J7*1000)</f>
        <v>58.171232398206676</v>
      </c>
      <c r="K35" s="87">
        <f>IF(K9=0,0,K9/TrAvia_act!K7*1000)</f>
        <v>66.589726676621012</v>
      </c>
      <c r="L35" s="87">
        <f>IF(L9=0,0,L9/TrAvia_act!L7*1000)</f>
        <v>65.583265768846587</v>
      </c>
      <c r="M35" s="87">
        <f>IF(M9=0,0,M9/TrAvia_act!M7*1000)</f>
        <v>71.984983988748297</v>
      </c>
      <c r="N35" s="87">
        <f>IF(N9=0,0,N9/TrAvia_act!N7*1000)</f>
        <v>74.130742575015958</v>
      </c>
      <c r="O35" s="87">
        <f>IF(O9=0,0,O9/TrAvia_act!O7*1000)</f>
        <v>72.701485631654464</v>
      </c>
      <c r="P35" s="87">
        <f>IF(P9=0,0,P9/TrAvia_act!P7*1000)</f>
        <v>70.828455782983397</v>
      </c>
      <c r="Q35" s="87">
        <f>IF(Q9=0,0,Q9/TrAvia_act!Q7*1000)</f>
        <v>79.257443804702987</v>
      </c>
      <c r="R35" s="87">
        <f>IF(R9=0,0,R9/TrAvia_act!R7*1000)</f>
        <v>75.158188368502209</v>
      </c>
      <c r="S35" s="87">
        <f>IF(S9=0,0,S9/TrAvia_act!S7*1000)</f>
        <v>62.342747530213458</v>
      </c>
      <c r="T35" s="87">
        <f>IF(T9=0,0,T9/TrAvia_act!T7*1000)</f>
        <v>52.535318628224161</v>
      </c>
      <c r="U35" s="87">
        <f>IF(U9=0,0,U9/TrAvia_act!U7*1000)</f>
        <v>44.88923360659625</v>
      </c>
      <c r="V35" s="87">
        <f>IF(V9=0,0,V9/TrAvia_act!V7*1000)</f>
        <v>99.398568214360893</v>
      </c>
      <c r="W35" s="87">
        <f>IF(W9=0,0,W9/TrAvia_act!W7*1000)</f>
        <v>67.603498693925914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163.96311424964324</v>
      </c>
      <c r="C36" s="15">
        <f>IF(C10=0,0,C10/TrAvia_act!C8*1000)</f>
        <v>137.29417313585654</v>
      </c>
      <c r="D36" s="15">
        <f>IF(D10=0,0,D10/TrAvia_act!D8*1000)</f>
        <v>153.78725820275562</v>
      </c>
      <c r="E36" s="15">
        <f>IF(E10=0,0,E10/TrAvia_act!E8*1000)</f>
        <v>157.52177665303469</v>
      </c>
      <c r="F36" s="15">
        <f>IF(F10=0,0,F10/TrAvia_act!F8*1000)</f>
        <v>141.3621005212845</v>
      </c>
      <c r="G36" s="15">
        <f>IF(G10=0,0,G10/TrAvia_act!G8*1000)</f>
        <v>176.94344912744137</v>
      </c>
      <c r="H36" s="15">
        <f>IF(H10=0,0,H10/TrAvia_act!H8*1000)</f>
        <v>185.84446405825733</v>
      </c>
      <c r="I36" s="15">
        <f>IF(I10=0,0,I10/TrAvia_act!I8*1000)</f>
        <v>161.79441855000081</v>
      </c>
      <c r="J36" s="15">
        <f>IF(J10=0,0,J10/TrAvia_act!J8*1000)</f>
        <v>188.16213036871397</v>
      </c>
      <c r="K36" s="15">
        <f>IF(K10=0,0,K10/TrAvia_act!K8*1000)</f>
        <v>227.78715378555418</v>
      </c>
      <c r="L36" s="15">
        <f>IF(L10=0,0,L10/TrAvia_act!L8*1000)</f>
        <v>222.61764779459079</v>
      </c>
      <c r="M36" s="15">
        <f>IF(M10=0,0,M10/TrAvia_act!M8*1000)</f>
        <v>209.70523855292976</v>
      </c>
      <c r="N36" s="15">
        <f>IF(N10=0,0,N10/TrAvia_act!N8*1000)</f>
        <v>233.36275806606037</v>
      </c>
      <c r="O36" s="15">
        <f>IF(O10=0,0,O10/TrAvia_act!O8*1000)</f>
        <v>225.81001115796451</v>
      </c>
      <c r="P36" s="15">
        <f>IF(P10=0,0,P10/TrAvia_act!P8*1000)</f>
        <v>178.8728895565456</v>
      </c>
      <c r="Q36" s="15">
        <f>IF(Q10=0,0,Q10/TrAvia_act!Q8*1000)</f>
        <v>165.26122126571556</v>
      </c>
      <c r="R36" s="15">
        <f>IF(R10=0,0,R10/TrAvia_act!R8*1000)</f>
        <v>172.76869676888705</v>
      </c>
      <c r="S36" s="15">
        <f>IF(S10=0,0,S10/TrAvia_act!S8*1000)</f>
        <v>175.71884411302537</v>
      </c>
      <c r="T36" s="15">
        <f>IF(T10=0,0,T10/TrAvia_act!T8*1000)</f>
        <v>146.07937011888652</v>
      </c>
      <c r="U36" s="15">
        <f>IF(U10=0,0,U10/TrAvia_act!U8*1000)</f>
        <v>130.73202361595565</v>
      </c>
      <c r="V36" s="15">
        <f>IF(V10=0,0,V10/TrAvia_act!V8*1000)</f>
        <v>284.66214213118627</v>
      </c>
      <c r="W36" s="15">
        <f>IF(W10=0,0,W10/TrAvia_act!W8*1000)</f>
        <v>276.92706147525257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138.24470027201406</v>
      </c>
      <c r="C37" s="101">
        <f>IF(C11=0,0,C11/TrAvia_act!C9*1000)</f>
        <v>139.64431068964228</v>
      </c>
      <c r="D37" s="101">
        <f>IF(D11=0,0,D11/TrAvia_act!D9*1000)</f>
        <v>135.92518869861374</v>
      </c>
      <c r="E37" s="101">
        <f>IF(E11=0,0,E11/TrAvia_act!E9*1000)</f>
        <v>127.66263860186106</v>
      </c>
      <c r="F37" s="101">
        <f>IF(F11=0,0,F11/TrAvia_act!F9*1000)</f>
        <v>135.45009045618471</v>
      </c>
      <c r="G37" s="101">
        <f>IF(G11=0,0,G11/TrAvia_act!G9*1000)</f>
        <v>134.19333674464275</v>
      </c>
      <c r="H37" s="101">
        <f>IF(H11=0,0,H11/TrAvia_act!H9*1000)</f>
        <v>140.48573647713584</v>
      </c>
      <c r="I37" s="101">
        <f>IF(I11=0,0,I11/TrAvia_act!I9*1000)</f>
        <v>170.76665547221904</v>
      </c>
      <c r="J37" s="101">
        <f>IF(J11=0,0,J11/TrAvia_act!J9*1000)</f>
        <v>136.03565761077894</v>
      </c>
      <c r="K37" s="101">
        <f>IF(K11=0,0,K11/TrAvia_act!K9*1000)</f>
        <v>190.47807863691426</v>
      </c>
      <c r="L37" s="101">
        <f>IF(L11=0,0,L11/TrAvia_act!L9*1000)</f>
        <v>165.54703542298304</v>
      </c>
      <c r="M37" s="101">
        <f>IF(M11=0,0,M11/TrAvia_act!M9*1000)</f>
        <v>151.1233425843358</v>
      </c>
      <c r="N37" s="101">
        <f>IF(N11=0,0,N11/TrAvia_act!N9*1000)</f>
        <v>366.72313518130119</v>
      </c>
      <c r="O37" s="101">
        <f>IF(O11=0,0,O11/TrAvia_act!O9*1000)</f>
        <v>426.75956533046747</v>
      </c>
      <c r="P37" s="101">
        <f>IF(P11=0,0,P11/TrAvia_act!P9*1000)</f>
        <v>619.70429934115941</v>
      </c>
      <c r="Q37" s="101">
        <f>IF(Q11=0,0,Q11/TrAvia_act!Q9*1000)</f>
        <v>490.93152632801497</v>
      </c>
      <c r="R37" s="101">
        <f>IF(R11=0,0,R11/TrAvia_act!R9*1000)</f>
        <v>591.92481610023719</v>
      </c>
      <c r="S37" s="101">
        <f>IF(S11=0,0,S11/TrAvia_act!S9*1000)</f>
        <v>646.78314664889899</v>
      </c>
      <c r="T37" s="101">
        <f>IF(T11=0,0,T11/TrAvia_act!T9*1000)</f>
        <v>859.18939075952846</v>
      </c>
      <c r="U37" s="101">
        <f>IF(U11=0,0,U11/TrAvia_act!U9*1000)</f>
        <v>818.49674214605477</v>
      </c>
      <c r="V37" s="101">
        <f>IF(V11=0,0,V11/TrAvia_act!V9*1000)</f>
        <v>954.36493281377818</v>
      </c>
      <c r="W37" s="101">
        <f>IF(W11=0,0,W11/TrAvia_act!W9*1000)</f>
        <v>1559.1714594374657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518.9780872356672</v>
      </c>
      <c r="C38" s="101">
        <f>IF(C12=0,0,C12/TrAvia_act!C10*1000)</f>
        <v>489.8600288845405</v>
      </c>
      <c r="D38" s="101">
        <f>IF(D12=0,0,D12/TrAvia_act!D10*1000)</f>
        <v>519.95598841398112</v>
      </c>
      <c r="E38" s="101">
        <f>IF(E12=0,0,E12/TrAvia_act!E10*1000)</f>
        <v>509.56288475750011</v>
      </c>
      <c r="F38" s="101">
        <f>IF(F12=0,0,F12/TrAvia_act!F10*1000)</f>
        <v>563.47785974329258</v>
      </c>
      <c r="G38" s="101">
        <f>IF(G12=0,0,G12/TrAvia_act!G10*1000)</f>
        <v>594.34909818277822</v>
      </c>
      <c r="H38" s="101">
        <f>IF(H12=0,0,H12/TrAvia_act!H10*1000)</f>
        <v>649.33773667784362</v>
      </c>
      <c r="I38" s="101">
        <f>IF(I12=0,0,I12/TrAvia_act!I10*1000)</f>
        <v>622.21815569485682</v>
      </c>
      <c r="J38" s="101">
        <f>IF(J12=0,0,J12/TrAvia_act!J10*1000)</f>
        <v>638.39052935753443</v>
      </c>
      <c r="K38" s="101">
        <f>IF(K12=0,0,K12/TrAvia_act!K10*1000)</f>
        <v>601.27557230843775</v>
      </c>
      <c r="L38" s="101">
        <f>IF(L12=0,0,L12/TrAvia_act!L10*1000)</f>
        <v>584.25469159308943</v>
      </c>
      <c r="M38" s="101">
        <f>IF(M12=0,0,M12/TrAvia_act!M10*1000)</f>
        <v>491.37510443921718</v>
      </c>
      <c r="N38" s="101">
        <f>IF(N12=0,0,N12/TrAvia_act!N10*1000)</f>
        <v>490.59743970666062</v>
      </c>
      <c r="O38" s="101">
        <f>IF(O12=0,0,O12/TrAvia_act!O10*1000)</f>
        <v>428.22515073344056</v>
      </c>
      <c r="P38" s="101">
        <f>IF(P12=0,0,P12/TrAvia_act!P10*1000)</f>
        <v>391.61544637777268</v>
      </c>
      <c r="Q38" s="101">
        <f>IF(Q12=0,0,Q12/TrAvia_act!Q10*1000)</f>
        <v>362.9447370528822</v>
      </c>
      <c r="R38" s="101">
        <f>IF(R12=0,0,R12/TrAvia_act!R10*1000)</f>
        <v>325.45378215908823</v>
      </c>
      <c r="S38" s="101">
        <f>IF(S12=0,0,S12/TrAvia_act!S10*1000)</f>
        <v>407.39897838527332</v>
      </c>
      <c r="T38" s="101">
        <f>IF(T12=0,0,T12/TrAvia_act!T10*1000)</f>
        <v>389.82498404906107</v>
      </c>
      <c r="U38" s="101">
        <f>IF(U12=0,0,U12/TrAvia_act!U10*1000)</f>
        <v>334.53773251392306</v>
      </c>
      <c r="V38" s="101">
        <f>IF(V12=0,0,V12/TrAvia_act!V10*1000)</f>
        <v>529.46627533090168</v>
      </c>
      <c r="W38" s="101">
        <f>IF(W12=0,0,W12/TrAvia_act!W10*1000)</f>
        <v>526.20306454921354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44.502883148423983</v>
      </c>
      <c r="C39" s="88">
        <f>IF(C13=0,0,C13/TrAvia_act!C11*1000)</f>
        <v>42.496765771977593</v>
      </c>
      <c r="D39" s="88">
        <f>IF(D13=0,0,D13/TrAvia_act!D11*1000)</f>
        <v>44.918295811963823</v>
      </c>
      <c r="E39" s="88">
        <f>IF(E13=0,0,E13/TrAvia_act!E11*1000)</f>
        <v>49.395167924650998</v>
      </c>
      <c r="F39" s="88">
        <f>IF(F13=0,0,F13/TrAvia_act!F11*1000)</f>
        <v>50.890855986076076</v>
      </c>
      <c r="G39" s="88">
        <f>IF(G13=0,0,G13/TrAvia_act!G11*1000)</f>
        <v>51.923090474390669</v>
      </c>
      <c r="H39" s="88">
        <f>IF(H13=0,0,H13/TrAvia_act!H11*1000)</f>
        <v>63.657514387799417</v>
      </c>
      <c r="I39" s="88">
        <f>IF(I13=0,0,I13/TrAvia_act!I11*1000)</f>
        <v>69.35182946922518</v>
      </c>
      <c r="J39" s="88">
        <f>IF(J13=0,0,J13/TrAvia_act!J11*1000)</f>
        <v>102.3498079924575</v>
      </c>
      <c r="K39" s="88">
        <f>IF(K13=0,0,K13/TrAvia_act!K11*1000)</f>
        <v>127.19424895932868</v>
      </c>
      <c r="L39" s="88">
        <f>IF(L13=0,0,L13/TrAvia_act!L11*1000)</f>
        <v>164.03561291380439</v>
      </c>
      <c r="M39" s="88">
        <f>IF(M13=0,0,M13/TrAvia_act!M11*1000)</f>
        <v>153.43371127624985</v>
      </c>
      <c r="N39" s="88">
        <f>IF(N13=0,0,N13/TrAvia_act!N11*1000)</f>
        <v>162.09451067251806</v>
      </c>
      <c r="O39" s="88">
        <f>IF(O13=0,0,O13/TrAvia_act!O11*1000)</f>
        <v>168.37616516417305</v>
      </c>
      <c r="P39" s="88">
        <f>IF(P13=0,0,P13/TrAvia_act!P11*1000)</f>
        <v>131.15330822964879</v>
      </c>
      <c r="Q39" s="88">
        <f>IF(Q13=0,0,Q13/TrAvia_act!Q11*1000)</f>
        <v>122.35687460685708</v>
      </c>
      <c r="R39" s="88">
        <f>IF(R13=0,0,R13/TrAvia_act!R11*1000)</f>
        <v>143.99712087887622</v>
      </c>
      <c r="S39" s="88">
        <f>IF(S13=0,0,S13/TrAvia_act!S11*1000)</f>
        <v>135.99891322110801</v>
      </c>
      <c r="T39" s="88">
        <f>IF(T13=0,0,T13/TrAvia_act!T11*1000)</f>
        <v>104.77939571498599</v>
      </c>
      <c r="U39" s="88">
        <f>IF(U13=0,0,U13/TrAvia_act!U11*1000)</f>
        <v>106.37958036010936</v>
      </c>
      <c r="V39" s="88">
        <f>IF(V13=0,0,V13/TrAvia_act!V11*1000)</f>
        <v>234.04872273814547</v>
      </c>
      <c r="W39" s="88">
        <f>IF(W13=0,0,W13/TrAvia_act!W11*1000)</f>
        <v>222.21634840406327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9485.5928495434</v>
      </c>
      <c r="C41" s="54">
        <f>IF(C3=0,0,C3/TrAvia_act!C23*1000000)</f>
        <v>9460.4666614309263</v>
      </c>
      <c r="D41" s="54">
        <f>IF(D3=0,0,D3/TrAvia_act!D23*1000000)</f>
        <v>8627.6090466147907</v>
      </c>
      <c r="E41" s="54">
        <f>IF(E3=0,0,E3/TrAvia_act!E23*1000000)</f>
        <v>8840.2384256065598</v>
      </c>
      <c r="F41" s="54">
        <f>IF(F3=0,0,F3/TrAvia_act!F23*1000000)</f>
        <v>9546.4280402687491</v>
      </c>
      <c r="G41" s="54">
        <f>IF(G3=0,0,G3/TrAvia_act!G23*1000000)</f>
        <v>9555.0723672211734</v>
      </c>
      <c r="H41" s="54">
        <f>IF(H3=0,0,H3/TrAvia_act!H23*1000000)</f>
        <v>10910.969865134126</v>
      </c>
      <c r="I41" s="54">
        <f>IF(I3=0,0,I3/TrAvia_act!I23*1000000)</f>
        <v>10906.535342854888</v>
      </c>
      <c r="J41" s="54">
        <f>IF(J3=0,0,J3/TrAvia_act!J23*1000000)</f>
        <v>12697.12363050483</v>
      </c>
      <c r="K41" s="54">
        <f>IF(K3=0,0,K3/TrAvia_act!K23*1000000)</f>
        <v>12335.073414870245</v>
      </c>
      <c r="L41" s="54">
        <f>IF(L3=0,0,L3/TrAvia_act!L23*1000000)</f>
        <v>12631.509579798909</v>
      </c>
      <c r="M41" s="54">
        <f>IF(M3=0,0,M3/TrAvia_act!M23*1000000)</f>
        <v>11406.84457576579</v>
      </c>
      <c r="N41" s="54">
        <f>IF(N3=0,0,N3/TrAvia_act!N23*1000000)</f>
        <v>11846.52063883037</v>
      </c>
      <c r="O41" s="54">
        <f>IF(O3=0,0,O3/TrAvia_act!O23*1000000)</f>
        <v>11974.375792315252</v>
      </c>
      <c r="P41" s="54">
        <f>IF(P3=0,0,P3/TrAvia_act!P23*1000000)</f>
        <v>12896.303330669249</v>
      </c>
      <c r="Q41" s="54">
        <f>IF(Q3=0,0,Q3/TrAvia_act!Q23*1000000)</f>
        <v>13133.2514181148</v>
      </c>
      <c r="R41" s="54">
        <f>IF(R3=0,0,R3/TrAvia_act!R23*1000000)</f>
        <v>13542.291056931244</v>
      </c>
      <c r="S41" s="54">
        <f>IF(S3=0,0,S3/TrAvia_act!S23*1000000)</f>
        <v>15223.576349971494</v>
      </c>
      <c r="T41" s="54">
        <f>IF(T3=0,0,T3/TrAvia_act!T23*1000000)</f>
        <v>16040.330220651957</v>
      </c>
      <c r="U41" s="54">
        <f>IF(U3=0,0,U3/TrAvia_act!U23*1000000)</f>
        <v>16576.453467893185</v>
      </c>
      <c r="V41" s="54">
        <f>IF(V3=0,0,V3/TrAvia_act!V23*1000000)</f>
        <v>17532.361208705028</v>
      </c>
      <c r="W41" s="54">
        <f>IF(W3=0,0,W3/TrAvia_act!W23*1000000)</f>
        <v>18265.106250000008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9528.5067729303992</v>
      </c>
      <c r="C42" s="11">
        <f>IF(C6=0,0,C6/TrAvia_act!C24*1000000)</f>
        <v>9494.0603875583274</v>
      </c>
      <c r="D42" s="11">
        <f>IF(D6=0,0,D6/TrAvia_act!D24*1000000)</f>
        <v>8654.0600190725745</v>
      </c>
      <c r="E42" s="11">
        <f>IF(E6=0,0,E6/TrAvia_act!E24*1000000)</f>
        <v>8867.3034797811306</v>
      </c>
      <c r="F42" s="11">
        <f>IF(F6=0,0,F6/TrAvia_act!F24*1000000)</f>
        <v>9574.4659420552125</v>
      </c>
      <c r="G42" s="11">
        <f>IF(G6=0,0,G6/TrAvia_act!G24*1000000)</f>
        <v>9572.2470297500913</v>
      </c>
      <c r="H42" s="11">
        <f>IF(H6=0,0,H6/TrAvia_act!H24*1000000)</f>
        <v>10956.739312174825</v>
      </c>
      <c r="I42" s="11">
        <f>IF(I6=0,0,I6/TrAvia_act!I24*1000000)</f>
        <v>10956.012711642525</v>
      </c>
      <c r="J42" s="11">
        <f>IF(J6=0,0,J6/TrAvia_act!J24*1000000)</f>
        <v>12759.940005303073</v>
      </c>
      <c r="K42" s="11">
        <f>IF(K6=0,0,K6/TrAvia_act!K24*1000000)</f>
        <v>12390.899554172614</v>
      </c>
      <c r="L42" s="11">
        <f>IF(L6=0,0,L6/TrAvia_act!L24*1000000)</f>
        <v>12624.421290055127</v>
      </c>
      <c r="M42" s="11">
        <f>IF(M6=0,0,M6/TrAvia_act!M24*1000000)</f>
        <v>11407.210915403981</v>
      </c>
      <c r="N42" s="11">
        <f>IF(N6=0,0,N6/TrAvia_act!N24*1000000)</f>
        <v>11846.65372456592</v>
      </c>
      <c r="O42" s="11">
        <f>IF(O6=0,0,O6/TrAvia_act!O24*1000000)</f>
        <v>11971.66534036007</v>
      </c>
      <c r="P42" s="11">
        <f>IF(P6=0,0,P6/TrAvia_act!P24*1000000)</f>
        <v>12871.810254385433</v>
      </c>
      <c r="Q42" s="11">
        <f>IF(Q6=0,0,Q6/TrAvia_act!Q24*1000000)</f>
        <v>13114.741649194226</v>
      </c>
      <c r="R42" s="11">
        <f>IF(R6=0,0,R6/TrAvia_act!R24*1000000)</f>
        <v>13477.301737674095</v>
      </c>
      <c r="S42" s="11">
        <f>IF(S6=0,0,S6/TrAvia_act!S24*1000000)</f>
        <v>15164.082446331275</v>
      </c>
      <c r="T42" s="11">
        <f>IF(T6=0,0,T6/TrAvia_act!T24*1000000)</f>
        <v>16027.219742420724</v>
      </c>
      <c r="U42" s="11">
        <f>IF(U6=0,0,U6/TrAvia_act!U24*1000000)</f>
        <v>16516.69691475503</v>
      </c>
      <c r="V42" s="11">
        <f>IF(V6=0,0,V6/TrAvia_act!V24*1000000)</f>
        <v>17282.810474800794</v>
      </c>
      <c r="W42" s="11">
        <f>IF(W6=0,0,W6/TrAvia_act!W24*1000000)</f>
        <v>18039.709777371205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374.99112271541435</v>
      </c>
      <c r="C43" s="84">
        <f>IF(C7=0,0,C7/TrAvia_act!C25*1000000)</f>
        <v>375.89946682374875</v>
      </c>
      <c r="D43" s="84">
        <f>IF(D7=0,0,D7/TrAvia_act!D25*1000000)</f>
        <v>376.25346734020059</v>
      </c>
      <c r="E43" s="84">
        <f>IF(E7=0,0,E7/TrAvia_act!E25*1000000)</f>
        <v>375.88795790002342</v>
      </c>
      <c r="F43" s="84">
        <f>IF(F7=0,0,F7/TrAvia_act!F25*1000000)</f>
        <v>375.54947768919322</v>
      </c>
      <c r="G43" s="84">
        <f>IF(G7=0,0,G7/TrAvia_act!G25*1000000)</f>
        <v>375.87144440319327</v>
      </c>
      <c r="H43" s="84">
        <f>IF(H7=0,0,H7/TrAvia_act!H25*1000000)</f>
        <v>371.13591773635272</v>
      </c>
      <c r="I43" s="84">
        <f>IF(I7=0,0,I7/TrAvia_act!I25*1000000)</f>
        <v>453.9016429469807</v>
      </c>
      <c r="J43" s="84">
        <f>IF(J7=0,0,J7/TrAvia_act!J25*1000000)</f>
        <v>354.57540171845312</v>
      </c>
      <c r="K43" s="84">
        <f>IF(K7=0,0,K7/TrAvia_act!K25*1000000)</f>
        <v>507.39403245092853</v>
      </c>
      <c r="L43" s="84">
        <f>IF(L7=0,0,L7/TrAvia_act!L25*1000000)</f>
        <v>504.21232428401521</v>
      </c>
      <c r="M43" s="84">
        <f>IF(M7=0,0,M7/TrAvia_act!M25*1000000)</f>
        <v>544.55359687137468</v>
      </c>
      <c r="N43" s="84">
        <f>IF(N7=0,0,N7/TrAvia_act!N25*1000000)</f>
        <v>1489.905972144348</v>
      </c>
      <c r="O43" s="84">
        <f>IF(O7=0,0,O7/TrAvia_act!O25*1000000)</f>
        <v>1753.6121431549186</v>
      </c>
      <c r="P43" s="84">
        <f>IF(P7=0,0,P7/TrAvia_act!P25*1000000)</f>
        <v>2814.8083701173068</v>
      </c>
      <c r="Q43" s="84">
        <f>IF(Q7=0,0,Q7/TrAvia_act!Q25*1000000)</f>
        <v>2048.7201601366801</v>
      </c>
      <c r="R43" s="84">
        <f>IF(R7=0,0,R7/TrAvia_act!R25*1000000)</f>
        <v>2685.41976125056</v>
      </c>
      <c r="S43" s="84">
        <f>IF(S7=0,0,S7/TrAvia_act!S25*1000000)</f>
        <v>2728.9694516697864</v>
      </c>
      <c r="T43" s="84">
        <f>IF(T7=0,0,T7/TrAvia_act!T25*1000000)</f>
        <v>3578.7525948898801</v>
      </c>
      <c r="U43" s="84">
        <f>IF(U7=0,0,U7/TrAvia_act!U25*1000000)</f>
        <v>3579.6188132541806</v>
      </c>
      <c r="V43" s="84">
        <f>IF(V7=0,0,V7/TrAvia_act!V25*1000000)</f>
        <v>3881.2379190173924</v>
      </c>
      <c r="W43" s="84">
        <f>IF(W7=0,0,W7/TrAvia_act!W25*1000000)</f>
        <v>6635.6235102364326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10216.293437473676</v>
      </c>
      <c r="C44" s="84">
        <f>IF(C8=0,0,C8/TrAvia_act!C26*1000000)</f>
        <v>10219.829770228394</v>
      </c>
      <c r="D44" s="84">
        <f>IF(D8=0,0,D8/TrAvia_act!D26*1000000)</f>
        <v>10201.865667873588</v>
      </c>
      <c r="E44" s="84">
        <f>IF(E8=0,0,E8/TrAvia_act!E26*1000000)</f>
        <v>10195.262707997044</v>
      </c>
      <c r="F44" s="84">
        <f>IF(F8=0,0,F8/TrAvia_act!F26*1000000)</f>
        <v>10196.047949663103</v>
      </c>
      <c r="G44" s="84">
        <f>IF(G8=0,0,G8/TrAvia_act!G26*1000000)</f>
        <v>9981.7987588212145</v>
      </c>
      <c r="H44" s="84">
        <f>IF(H8=0,0,H8/TrAvia_act!H26*1000000)</f>
        <v>11542.054418012542</v>
      </c>
      <c r="I44" s="84">
        <f>IF(I8=0,0,I8/TrAvia_act!I26*1000000)</f>
        <v>12184.859950957989</v>
      </c>
      <c r="J44" s="84">
        <f>IF(J8=0,0,J8/TrAvia_act!J26*1000000)</f>
        <v>14141.524026498495</v>
      </c>
      <c r="K44" s="84">
        <f>IF(K8=0,0,K8/TrAvia_act!K26*1000000)</f>
        <v>13394.75130118036</v>
      </c>
      <c r="L44" s="84">
        <f>IF(L8=0,0,L8/TrAvia_act!L26*1000000)</f>
        <v>13730.785520255073</v>
      </c>
      <c r="M44" s="84">
        <f>IF(M8=0,0,M8/TrAvia_act!M26*1000000)</f>
        <v>12573.836375390454</v>
      </c>
      <c r="N44" s="84">
        <f>IF(N8=0,0,N8/TrAvia_act!N26*1000000)</f>
        <v>13613.92115648509</v>
      </c>
      <c r="O44" s="84">
        <f>IF(O8=0,0,O8/TrAvia_act!O26*1000000)</f>
        <v>12721.079259872433</v>
      </c>
      <c r="P44" s="84">
        <f>IF(P8=0,0,P8/TrAvia_act!P26*1000000)</f>
        <v>13755.242374959154</v>
      </c>
      <c r="Q44" s="84">
        <f>IF(Q8=0,0,Q8/TrAvia_act!Q26*1000000)</f>
        <v>14173.01222057684</v>
      </c>
      <c r="R44" s="84">
        <f>IF(R8=0,0,R8/TrAvia_act!R26*1000000)</f>
        <v>13873.845025803383</v>
      </c>
      <c r="S44" s="84">
        <f>IF(S8=0,0,S8/TrAvia_act!S26*1000000)</f>
        <v>16220.013028455493</v>
      </c>
      <c r="T44" s="84">
        <f>IF(T8=0,0,T8/TrAvia_act!T26*1000000)</f>
        <v>17596.322757407255</v>
      </c>
      <c r="U44" s="84">
        <f>IF(U8=0,0,U8/TrAvia_act!U26*1000000)</f>
        <v>18357.26790265588</v>
      </c>
      <c r="V44" s="84">
        <f>IF(V8=0,0,V8/TrAvia_act!V26*1000000)</f>
        <v>17339.738657749906</v>
      </c>
      <c r="W44" s="84">
        <f>IF(W8=0,0,W8/TrAvia_act!W26*1000000)</f>
        <v>18295.646142109741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25141.609868022751</v>
      </c>
      <c r="C45" s="84">
        <f>IF(C9=0,0,C9/TrAvia_act!C27*1000000)</f>
        <v>25150.312142149338</v>
      </c>
      <c r="D45" s="84">
        <f>IF(D9=0,0,D9/TrAvia_act!D27*1000000)</f>
        <v>25105.958733223692</v>
      </c>
      <c r="E45" s="84">
        <f>IF(E9=0,0,E9/TrAvia_act!E27*1000000)</f>
        <v>25089.600765056075</v>
      </c>
      <c r="F45" s="84">
        <f>IF(F9=0,0,F9/TrAvia_act!F27*1000000)</f>
        <v>25091.442720162362</v>
      </c>
      <c r="G45" s="84">
        <f>IF(G9=0,0,G9/TrAvia_act!G27*1000000)</f>
        <v>24326.41583415358</v>
      </c>
      <c r="H45" s="84">
        <f>IF(H9=0,0,H9/TrAvia_act!H27*1000000)</f>
        <v>24438.514335087279</v>
      </c>
      <c r="I45" s="84">
        <f>IF(I9=0,0,I9/TrAvia_act!I27*1000000)</f>
        <v>21425.814343088634</v>
      </c>
      <c r="J45" s="84">
        <f>IF(J9=0,0,J9/TrAvia_act!J27*1000000)</f>
        <v>24044.234637319354</v>
      </c>
      <c r="K45" s="84">
        <f>IF(K9=0,0,K9/TrAvia_act!K27*1000000)</f>
        <v>24642.247209010169</v>
      </c>
      <c r="L45" s="84">
        <f>IF(L9=0,0,L9/TrAvia_act!L27*1000000)</f>
        <v>23852.899875389478</v>
      </c>
      <c r="M45" s="84">
        <f>IF(M9=0,0,M9/TrAvia_act!M27*1000000)</f>
        <v>21866.009652026914</v>
      </c>
      <c r="N45" s="84">
        <f>IF(N9=0,0,N9/TrAvia_act!N27*1000000)</f>
        <v>24407.09963354719</v>
      </c>
      <c r="O45" s="84">
        <f>IF(O9=0,0,O9/TrAvia_act!O27*1000000)</f>
        <v>24942.127239698591</v>
      </c>
      <c r="P45" s="84">
        <f>IF(P9=0,0,P9/TrAvia_act!P27*1000000)</f>
        <v>22747.468495395977</v>
      </c>
      <c r="Q45" s="84">
        <f>IF(Q9=0,0,Q9/TrAvia_act!Q27*1000000)</f>
        <v>21468.387994094741</v>
      </c>
      <c r="R45" s="84">
        <f>IF(R9=0,0,R9/TrAvia_act!R27*1000000)</f>
        <v>28381.870374857783</v>
      </c>
      <c r="S45" s="84">
        <f>IF(S9=0,0,S9/TrAvia_act!S27*1000000)</f>
        <v>26781.238057932944</v>
      </c>
      <c r="T45" s="84">
        <f>IF(T9=0,0,T9/TrAvia_act!T27*1000000)</f>
        <v>20065.460998989489</v>
      </c>
      <c r="U45" s="84">
        <f>IF(U9=0,0,U9/TrAvia_act!U27*1000000)</f>
        <v>19783.900942067852</v>
      </c>
      <c r="V45" s="84">
        <f>IF(V9=0,0,V9/TrAvia_act!V27*1000000)</f>
        <v>31411.636459704052</v>
      </c>
      <c r="W45" s="84">
        <f>IF(W9=0,0,W9/TrAvia_act!W27*1000000)</f>
        <v>25317.396450851458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5815.9380911894759</v>
      </c>
      <c r="C46" s="13">
        <f>IF(C10=0,0,C10/TrAvia_act!C28*1000000)</f>
        <v>5864.6756560899539</v>
      </c>
      <c r="D46" s="13">
        <f>IF(D10=0,0,D10/TrAvia_act!D28*1000000)</f>
        <v>5871.4466246802358</v>
      </c>
      <c r="E46" s="13">
        <f>IF(E10=0,0,E10/TrAvia_act!E28*1000000)</f>
        <v>5907.821467592993</v>
      </c>
      <c r="F46" s="13">
        <f>IF(F10=0,0,F10/TrAvia_act!F28*1000000)</f>
        <v>6051.2661030899544</v>
      </c>
      <c r="G46" s="13">
        <f>IF(G10=0,0,G10/TrAvia_act!G28*1000000)</f>
        <v>7315.9988352038445</v>
      </c>
      <c r="H46" s="13">
        <f>IF(H10=0,0,H10/TrAvia_act!H28*1000000)</f>
        <v>6462.8974197891166</v>
      </c>
      <c r="I46" s="13">
        <f>IF(I10=0,0,I10/TrAvia_act!I28*1000000)</f>
        <v>6667.1844308923555</v>
      </c>
      <c r="J46" s="13">
        <f>IF(J10=0,0,J10/TrAvia_act!J28*1000000)</f>
        <v>7830.6887764030416</v>
      </c>
      <c r="K46" s="13">
        <f>IF(K10=0,0,K10/TrAvia_act!K28*1000000)</f>
        <v>8498.762714230761</v>
      </c>
      <c r="L46" s="13">
        <f>IF(L10=0,0,L10/TrAvia_act!L28*1000000)</f>
        <v>13146.245884984424</v>
      </c>
      <c r="M46" s="13">
        <f>IF(M10=0,0,M10/TrAvia_act!M28*1000000)</f>
        <v>11379.770774789136</v>
      </c>
      <c r="N46" s="13">
        <f>IF(N10=0,0,N10/TrAvia_act!N28*1000000)</f>
        <v>11836.095987633475</v>
      </c>
      <c r="O46" s="13">
        <f>IF(O10=0,0,O10/TrAvia_act!O28*1000000)</f>
        <v>12175.693077209513</v>
      </c>
      <c r="P46" s="13">
        <f>IF(P10=0,0,P10/TrAvia_act!P28*1000000)</f>
        <v>14914.876578929776</v>
      </c>
      <c r="Q46" s="13">
        <f>IF(Q10=0,0,Q10/TrAvia_act!Q28*1000000)</f>
        <v>14659.035690548586</v>
      </c>
      <c r="R46" s="13">
        <f>IF(R10=0,0,R10/TrAvia_act!R28*1000000)</f>
        <v>19562.120173717474</v>
      </c>
      <c r="S46" s="13">
        <f>IF(S10=0,0,S10/TrAvia_act!S28*1000000)</f>
        <v>20793.69713100533</v>
      </c>
      <c r="T46" s="13">
        <f>IF(T10=0,0,T10/TrAvia_act!T28*1000000)</f>
        <v>17284.207791244044</v>
      </c>
      <c r="U46" s="13">
        <f>IF(U10=0,0,U10/TrAvia_act!U28*1000000)</f>
        <v>22144.591428204807</v>
      </c>
      <c r="V46" s="13">
        <f>IF(V10=0,0,V10/TrAvia_act!V28*1000000)</f>
        <v>26826.079590291436</v>
      </c>
      <c r="W46" s="13">
        <f>IF(W10=0,0,W10/TrAvia_act!W28*1000000)</f>
        <v>26110.107591335403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353.7108972769139</v>
      </c>
      <c r="C47" s="102">
        <f>IF(C11=0,0,C11/TrAvia_act!C29*1000000)</f>
        <v>354.56769411857925</v>
      </c>
      <c r="D47" s="102">
        <f>IF(D11=0,0,D11/TrAvia_act!D29*1000000)</f>
        <v>354.90160559734693</v>
      </c>
      <c r="E47" s="102">
        <f>IF(E11=0,0,E11/TrAvia_act!E29*1000000)</f>
        <v>354.55683831029205</v>
      </c>
      <c r="F47" s="102">
        <f>IF(F11=0,0,F11/TrAvia_act!F29*1000000)</f>
        <v>354.23756638135615</v>
      </c>
      <c r="G47" s="102">
        <f>IF(G11=0,0,G11/TrAvia_act!G29*1000000)</f>
        <v>354.54126193147374</v>
      </c>
      <c r="H47" s="102">
        <f>IF(H11=0,0,H11/TrAvia_act!H29*1000000)</f>
        <v>351.67139544268963</v>
      </c>
      <c r="I47" s="102">
        <f>IF(I11=0,0,I11/TrAvia_act!I29*1000000)</f>
        <v>432.05834098892399</v>
      </c>
      <c r="J47" s="102">
        <f>IF(J11=0,0,J11/TrAvia_act!J29*1000000)</f>
        <v>339.05160072411877</v>
      </c>
      <c r="K47" s="102">
        <f>IF(K11=0,0,K11/TrAvia_act!K29*1000000)</f>
        <v>487.3927703829001</v>
      </c>
      <c r="L47" s="102">
        <f>IF(L11=0,0,L11/TrAvia_act!L29*1000000)</f>
        <v>486.54576047392834</v>
      </c>
      <c r="M47" s="102">
        <f>IF(M11=0,0,M11/TrAvia_act!M29*1000000)</f>
        <v>533.34645085585998</v>
      </c>
      <c r="N47" s="102">
        <f>IF(N11=0,0,N11/TrAvia_act!N29*1000000)</f>
        <v>1481.1043874768329</v>
      </c>
      <c r="O47" s="102">
        <f>IF(O11=0,0,O11/TrAvia_act!O29*1000000)</f>
        <v>1733.2677329590872</v>
      </c>
      <c r="P47" s="102">
        <f>IF(P11=0,0,P11/TrAvia_act!P29*1000000)</f>
        <v>2766.2163837326989</v>
      </c>
      <c r="Q47" s="102">
        <f>IF(Q11=0,0,Q11/TrAvia_act!Q29*1000000)</f>
        <v>2001.8202163527869</v>
      </c>
      <c r="R47" s="102">
        <f>IF(R11=0,0,R11/TrAvia_act!R29*1000000)</f>
        <v>2608.9132074446588</v>
      </c>
      <c r="S47" s="102">
        <f>IF(S11=0,0,S11/TrAvia_act!S29*1000000)</f>
        <v>2636.0342750940881</v>
      </c>
      <c r="T47" s="102">
        <f>IF(T11=0,0,T11/TrAvia_act!T29*1000000)</f>
        <v>3437.0740511622666</v>
      </c>
      <c r="U47" s="102">
        <f>IF(U11=0,0,U11/TrAvia_act!U29*1000000)</f>
        <v>3405.0224015128451</v>
      </c>
      <c r="V47" s="102">
        <f>IF(V11=0,0,V11/TrAvia_act!V29*1000000)</f>
        <v>3691.9299929148347</v>
      </c>
      <c r="W47" s="102">
        <f>IF(W11=0,0,W11/TrAvia_act!W29*1000000)</f>
        <v>6311.9700390165472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9295.7500774675809</v>
      </c>
      <c r="C48" s="102">
        <f>IF(C12=0,0,C12/TrAvia_act!C30*1000000)</f>
        <v>9289.6556065385703</v>
      </c>
      <c r="D48" s="102">
        <f>IF(D12=0,0,D12/TrAvia_act!D30*1000000)</f>
        <v>9284.0507936442882</v>
      </c>
      <c r="E48" s="102">
        <f>IF(E12=0,0,E12/TrAvia_act!E30*1000000)</f>
        <v>9267.2309232421012</v>
      </c>
      <c r="F48" s="102">
        <f>IF(F12=0,0,F12/TrAvia_act!F30*1000000)</f>
        <v>9260.7465509902286</v>
      </c>
      <c r="G48" s="102">
        <f>IF(G12=0,0,G12/TrAvia_act!G30*1000000)</f>
        <v>10216.399032246278</v>
      </c>
      <c r="H48" s="102">
        <f>IF(H12=0,0,H12/TrAvia_act!H30*1000000)</f>
        <v>10159.5407204812</v>
      </c>
      <c r="I48" s="102">
        <f>IF(I12=0,0,I12/TrAvia_act!I30*1000000)</f>
        <v>10113.406237056179</v>
      </c>
      <c r="J48" s="102">
        <f>IF(J12=0,0,J12/TrAvia_act!J30*1000000)</f>
        <v>9844.5285521893275</v>
      </c>
      <c r="K48" s="102">
        <f>IF(K12=0,0,K12/TrAvia_act!K30*1000000)</f>
        <v>9601.9610361508257</v>
      </c>
      <c r="L48" s="102">
        <f>IF(L12=0,0,L12/TrAvia_act!L30*1000000)</f>
        <v>9609.3103788992958</v>
      </c>
      <c r="M48" s="102">
        <f>IF(M12=0,0,M12/TrAvia_act!M30*1000000)</f>
        <v>8564.8306008410727</v>
      </c>
      <c r="N48" s="102">
        <f>IF(N12=0,0,N12/TrAvia_act!N30*1000000)</f>
        <v>9077.3241262578995</v>
      </c>
      <c r="O48" s="102">
        <f>IF(O12=0,0,O12/TrAvia_act!O30*1000000)</f>
        <v>7856.8413144160986</v>
      </c>
      <c r="P48" s="102">
        <f>IF(P12=0,0,P12/TrAvia_act!P30*1000000)</f>
        <v>8384.7105561858698</v>
      </c>
      <c r="Q48" s="102">
        <f>IF(Q12=0,0,Q12/TrAvia_act!Q30*1000000)</f>
        <v>7936.4736683416822</v>
      </c>
      <c r="R48" s="102">
        <f>IF(R12=0,0,R12/TrAvia_act!R30*1000000)</f>
        <v>7852.1874054388909</v>
      </c>
      <c r="S48" s="102">
        <f>IF(S12=0,0,S12/TrAvia_act!S30*1000000)</f>
        <v>9325.0301715101177</v>
      </c>
      <c r="T48" s="102">
        <f>IF(T12=0,0,T12/TrAvia_act!T30*1000000)</f>
        <v>8843.098994386095</v>
      </c>
      <c r="U48" s="102">
        <f>IF(U12=0,0,U12/TrAvia_act!U30*1000000)</f>
        <v>8015.9292382224767</v>
      </c>
      <c r="V48" s="102">
        <f>IF(V12=0,0,V12/TrAvia_act!V30*1000000)</f>
        <v>10414.457159773629</v>
      </c>
      <c r="W48" s="102">
        <f>IF(W12=0,0,W12/TrAvia_act!W30*1000000)</f>
        <v>11162.217910005205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8364.934817093359</v>
      </c>
      <c r="C49" s="86">
        <f>IF(C13=0,0,C13/TrAvia_act!C31*1000000)</f>
        <v>8367.8301748771864</v>
      </c>
      <c r="D49" s="86">
        <f>IF(D13=0,0,D13/TrAvia_act!D31*1000000)</f>
        <v>8353.0732290600172</v>
      </c>
      <c r="E49" s="86">
        <f>IF(E13=0,0,E13/TrAvia_act!E31*1000000)</f>
        <v>8347.6307240581282</v>
      </c>
      <c r="F49" s="86">
        <f>IF(F13=0,0,F13/TrAvia_act!F31*1000000)</f>
        <v>8348.2435660551637</v>
      </c>
      <c r="G49" s="86">
        <f>IF(G13=0,0,G13/TrAvia_act!G31*1000000)</f>
        <v>8093.7093469506553</v>
      </c>
      <c r="H49" s="86">
        <f>IF(H13=0,0,H13/TrAvia_act!H31*1000000)</f>
        <v>12409.400165382616</v>
      </c>
      <c r="I49" s="86">
        <f>IF(I13=0,0,I13/TrAvia_act!I31*1000000)</f>
        <v>16595.118428745762</v>
      </c>
      <c r="J49" s="86">
        <f>IF(J13=0,0,J13/TrAvia_act!J31*1000000)</f>
        <v>28391.862996105356</v>
      </c>
      <c r="K49" s="86">
        <f>IF(K13=0,0,K13/TrAvia_act!K31*1000000)</f>
        <v>44339.171849484657</v>
      </c>
      <c r="L49" s="86">
        <f>IF(L13=0,0,L13/TrAvia_act!L31*1000000)</f>
        <v>65368.419544386299</v>
      </c>
      <c r="M49" s="86">
        <f>IF(M13=0,0,M13/TrAvia_act!M31*1000000)</f>
        <v>54115.902597223758</v>
      </c>
      <c r="N49" s="86">
        <f>IF(N13=0,0,N13/TrAvia_act!N31*1000000)</f>
        <v>53455.890609523281</v>
      </c>
      <c r="O49" s="86">
        <f>IF(O13=0,0,O13/TrAvia_act!O31*1000000)</f>
        <v>54960.19297479908</v>
      </c>
      <c r="P49" s="86">
        <f>IF(P13=0,0,P13/TrAvia_act!P31*1000000)</f>
        <v>50421.864605117029</v>
      </c>
      <c r="Q49" s="86">
        <f>IF(Q13=0,0,Q13/TrAvia_act!Q31*1000000)</f>
        <v>47861.106445848709</v>
      </c>
      <c r="R49" s="86">
        <f>IF(R13=0,0,R13/TrAvia_act!R31*1000000)</f>
        <v>63626.582884744726</v>
      </c>
      <c r="S49" s="86">
        <f>IF(S13=0,0,S13/TrAvia_act!S31*1000000)</f>
        <v>60360.031832322558</v>
      </c>
      <c r="T49" s="86">
        <f>IF(T13=0,0,T13/TrAvia_act!T31*1000000)</f>
        <v>45455.440711188727</v>
      </c>
      <c r="U49" s="86">
        <f>IF(U13=0,0,U13/TrAvia_act!U31*1000000)</f>
        <v>68853.684026461575</v>
      </c>
      <c r="V49" s="86">
        <f>IF(V13=0,0,V13/TrAvia_act!V31*1000000)</f>
        <v>104344.83871430502</v>
      </c>
      <c r="W49" s="86">
        <f>IF(W13=0,0,W13/TrAvia_act!W31*1000000)</f>
        <v>86410.447161626973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0.99291272931323027</v>
      </c>
      <c r="C52" s="16">
        <f t="shared" si="35"/>
        <v>0.99426205199584139</v>
      </c>
      <c r="D52" s="16">
        <f t="shared" ref="D52:V52" si="36">IF(D6=0,0,D6/D$3)</f>
        <v>0.99353090644276654</v>
      </c>
      <c r="E52" s="16">
        <f t="shared" si="36"/>
        <v>0.99388837666582874</v>
      </c>
      <c r="F52" s="16">
        <f t="shared" si="36"/>
        <v>0.99495555279839443</v>
      </c>
      <c r="G52" s="16">
        <f t="shared" si="36"/>
        <v>0.99417171222017076</v>
      </c>
      <c r="H52" s="16">
        <f t="shared" si="36"/>
        <v>0.99396716033021404</v>
      </c>
      <c r="I52" s="16">
        <f t="shared" si="36"/>
        <v>0.9929478166393968</v>
      </c>
      <c r="J52" s="16">
        <f t="shared" si="36"/>
        <v>0.99214065178146527</v>
      </c>
      <c r="K52" s="16">
        <f t="shared" si="36"/>
        <v>0.9901175765401411</v>
      </c>
      <c r="L52" s="16">
        <f t="shared" si="36"/>
        <v>0.98586279966970647</v>
      </c>
      <c r="M52" s="16">
        <f t="shared" si="36"/>
        <v>0.98668118552102402</v>
      </c>
      <c r="N52" s="16">
        <f t="shared" si="36"/>
        <v>0.98740557524998462</v>
      </c>
      <c r="O52" s="16">
        <f t="shared" si="36"/>
        <v>0.98649192977716316</v>
      </c>
      <c r="P52" s="16">
        <f t="shared" si="36"/>
        <v>0.98613514621303022</v>
      </c>
      <c r="Q52" s="16">
        <f t="shared" si="36"/>
        <v>0.98662160097347074</v>
      </c>
      <c r="R52" s="16">
        <f t="shared" si="36"/>
        <v>0.98457169758939489</v>
      </c>
      <c r="S52" s="16">
        <f t="shared" si="36"/>
        <v>0.98556526487083096</v>
      </c>
      <c r="T52" s="16">
        <f t="shared" si="36"/>
        <v>0.98876110641387771</v>
      </c>
      <c r="U52" s="16">
        <f t="shared" si="36"/>
        <v>0.98581544736878268</v>
      </c>
      <c r="V52" s="16">
        <f t="shared" si="36"/>
        <v>0.95998908532779836</v>
      </c>
      <c r="W52" s="16">
        <f t="shared" ref="W52" si="37">IF(W6=0,0,W6/W$3)</f>
        <v>0.96007557860684989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1.0707722933011886E-2</v>
      </c>
      <c r="C53" s="103">
        <f t="shared" si="38"/>
        <v>1.0905807787785323E-2</v>
      </c>
      <c r="D53" s="103">
        <f t="shared" ref="D53:V53" si="39">IF(D7=0,0,D7/D$3)</f>
        <v>1.4792930556332698E-2</v>
      </c>
      <c r="E53" s="103">
        <f t="shared" si="39"/>
        <v>1.3695404254182312E-2</v>
      </c>
      <c r="F53" s="103">
        <f t="shared" si="39"/>
        <v>1.0494519837192198E-2</v>
      </c>
      <c r="G53" s="103">
        <f t="shared" si="39"/>
        <v>9.2750212574106376E-3</v>
      </c>
      <c r="H53" s="103">
        <f t="shared" si="39"/>
        <v>6.8862218819859969E-3</v>
      </c>
      <c r="I53" s="103">
        <f t="shared" si="39"/>
        <v>8.7687825477508353E-3</v>
      </c>
      <c r="J53" s="103">
        <f t="shared" si="39"/>
        <v>5.4681477782935559E-3</v>
      </c>
      <c r="K53" s="103">
        <f t="shared" si="39"/>
        <v>8.1623798092569505E-3</v>
      </c>
      <c r="L53" s="103">
        <f t="shared" si="39"/>
        <v>7.7897885112486274E-3</v>
      </c>
      <c r="M53" s="103">
        <f t="shared" si="39"/>
        <v>9.9433294161276747E-3</v>
      </c>
      <c r="N53" s="103">
        <f t="shared" si="39"/>
        <v>3.2654209870082586E-2</v>
      </c>
      <c r="O53" s="103">
        <f t="shared" si="39"/>
        <v>2.9728360217019526E-2</v>
      </c>
      <c r="P53" s="103">
        <f t="shared" si="39"/>
        <v>4.3212863511327144E-2</v>
      </c>
      <c r="Q53" s="103">
        <f t="shared" si="39"/>
        <v>2.7440534865371742E-2</v>
      </c>
      <c r="R53" s="103">
        <f t="shared" si="39"/>
        <v>3.4664938396927629E-2</v>
      </c>
      <c r="S53" s="103">
        <f t="shared" si="39"/>
        <v>3.120472709639345E-2</v>
      </c>
      <c r="T53" s="103">
        <f t="shared" si="39"/>
        <v>3.1455220656493636E-2</v>
      </c>
      <c r="U53" s="103">
        <f t="shared" si="39"/>
        <v>3.0324113003960238E-2</v>
      </c>
      <c r="V53" s="103">
        <f t="shared" si="39"/>
        <v>3.8115739958839108E-2</v>
      </c>
      <c r="W53" s="103">
        <f t="shared" ref="W53" si="40">IF(W7=0,0,W7/W$3)</f>
        <v>5.0353288234277975E-2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0.62956613387971738</v>
      </c>
      <c r="C54" s="103">
        <f t="shared" si="41"/>
        <v>0.63030016949833134</v>
      </c>
      <c r="D54" s="103">
        <f t="shared" ref="D54:V54" si="42">IF(D8=0,0,D8/D$3)</f>
        <v>0.62733160351941186</v>
      </c>
      <c r="E54" s="103">
        <f t="shared" si="42"/>
        <v>0.62826062291802742</v>
      </c>
      <c r="F54" s="103">
        <f t="shared" si="42"/>
        <v>0.63099182941904852</v>
      </c>
      <c r="G54" s="103">
        <f t="shared" si="42"/>
        <v>0.65505196320642922</v>
      </c>
      <c r="H54" s="103">
        <f t="shared" si="42"/>
        <v>0.69492842239304875</v>
      </c>
      <c r="I54" s="103">
        <f t="shared" si="42"/>
        <v>0.71695029582486713</v>
      </c>
      <c r="J54" s="103">
        <f t="shared" si="42"/>
        <v>0.73125728975407422</v>
      </c>
      <c r="K54" s="103">
        <f t="shared" si="42"/>
        <v>0.70348494489489943</v>
      </c>
      <c r="L54" s="103">
        <f t="shared" si="42"/>
        <v>0.70013399250350605</v>
      </c>
      <c r="M54" s="103">
        <f t="shared" si="42"/>
        <v>0.69732052448867832</v>
      </c>
      <c r="N54" s="103">
        <f t="shared" si="42"/>
        <v>0.68695891917562968</v>
      </c>
      <c r="O54" s="103">
        <f t="shared" si="42"/>
        <v>0.70333456432860531</v>
      </c>
      <c r="P54" s="103">
        <f t="shared" si="42"/>
        <v>0.68925656813665515</v>
      </c>
      <c r="Q54" s="103">
        <f t="shared" si="42"/>
        <v>0.71558414852368579</v>
      </c>
      <c r="R54" s="103">
        <f t="shared" si="42"/>
        <v>0.72403866129045691</v>
      </c>
      <c r="S54" s="103">
        <f t="shared" si="42"/>
        <v>0.73720299793741939</v>
      </c>
      <c r="T54" s="103">
        <f t="shared" si="42"/>
        <v>0.74272977016853736</v>
      </c>
      <c r="U54" s="103">
        <f t="shared" si="42"/>
        <v>0.74290243901661057</v>
      </c>
      <c r="V54" s="103">
        <f t="shared" si="42"/>
        <v>0.63390023516803362</v>
      </c>
      <c r="W54" s="103">
        <f t="shared" ref="W54" si="43">IF(W8=0,0,W8/W$3)</f>
        <v>0.63981268937197489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0.35263887250050108</v>
      </c>
      <c r="C55" s="103">
        <f t="shared" si="44"/>
        <v>0.35305607470972455</v>
      </c>
      <c r="D55" s="103">
        <f t="shared" ref="D55:V55" si="45">IF(D9=0,0,D9/D$3)</f>
        <v>0.35140637236702205</v>
      </c>
      <c r="E55" s="103">
        <f t="shared" si="45"/>
        <v>0.35193234949361901</v>
      </c>
      <c r="F55" s="103">
        <f t="shared" si="45"/>
        <v>0.35346920354215372</v>
      </c>
      <c r="G55" s="103">
        <f t="shared" si="45"/>
        <v>0.329844727756331</v>
      </c>
      <c r="H55" s="103">
        <f t="shared" si="45"/>
        <v>0.29215251605517945</v>
      </c>
      <c r="I55" s="103">
        <f t="shared" si="45"/>
        <v>0.26722873826677879</v>
      </c>
      <c r="J55" s="103">
        <f t="shared" si="45"/>
        <v>0.25541521424909758</v>
      </c>
      <c r="K55" s="103">
        <f t="shared" si="45"/>
        <v>0.27847025183598473</v>
      </c>
      <c r="L55" s="103">
        <f t="shared" si="45"/>
        <v>0.27793901865495174</v>
      </c>
      <c r="M55" s="103">
        <f t="shared" si="45"/>
        <v>0.27941733161621801</v>
      </c>
      <c r="N55" s="103">
        <f t="shared" si="45"/>
        <v>0.26779244620427245</v>
      </c>
      <c r="O55" s="103">
        <f t="shared" si="45"/>
        <v>0.25342900523153838</v>
      </c>
      <c r="P55" s="103">
        <f t="shared" si="45"/>
        <v>0.25366571456504799</v>
      </c>
      <c r="Q55" s="103">
        <f t="shared" si="45"/>
        <v>0.24359691758441326</v>
      </c>
      <c r="R55" s="103">
        <f t="shared" si="45"/>
        <v>0.22586809790201037</v>
      </c>
      <c r="S55" s="103">
        <f t="shared" si="45"/>
        <v>0.2171575398370181</v>
      </c>
      <c r="T55" s="103">
        <f t="shared" si="45"/>
        <v>0.21457611558884679</v>
      </c>
      <c r="U55" s="103">
        <f t="shared" si="45"/>
        <v>0.21258889534821193</v>
      </c>
      <c r="V55" s="103">
        <f t="shared" si="45"/>
        <v>0.28797311020092553</v>
      </c>
      <c r="W55" s="103">
        <f t="shared" ref="W55" si="46">IF(W9=0,0,W9/W$3)</f>
        <v>0.26990960100059702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7.0872706867695827E-3</v>
      </c>
      <c r="C56" s="17">
        <f t="shared" si="47"/>
        <v>5.7379480041586028E-3</v>
      </c>
      <c r="D56" s="17">
        <f t="shared" ref="D56:V56" si="48">IF(D10=0,0,D10/D$3)</f>
        <v>6.4690935572333857E-3</v>
      </c>
      <c r="E56" s="17">
        <f t="shared" si="48"/>
        <v>6.1116233341712289E-3</v>
      </c>
      <c r="F56" s="17">
        <f t="shared" si="48"/>
        <v>5.0444472016054785E-3</v>
      </c>
      <c r="G56" s="17">
        <f t="shared" si="48"/>
        <v>5.828287779829083E-3</v>
      </c>
      <c r="H56" s="17">
        <f t="shared" si="48"/>
        <v>6.0328396697859046E-3</v>
      </c>
      <c r="I56" s="17">
        <f t="shared" si="48"/>
        <v>7.0521833606033563E-3</v>
      </c>
      <c r="J56" s="17">
        <f t="shared" si="48"/>
        <v>7.859348218534852E-3</v>
      </c>
      <c r="K56" s="17">
        <f t="shared" si="48"/>
        <v>9.8824234598588277E-3</v>
      </c>
      <c r="L56" s="17">
        <f t="shared" si="48"/>
        <v>1.4137200330293477E-2</v>
      </c>
      <c r="M56" s="17">
        <f t="shared" si="48"/>
        <v>1.3318814478975999E-2</v>
      </c>
      <c r="N56" s="17">
        <f t="shared" si="48"/>
        <v>1.2594424750015295E-2</v>
      </c>
      <c r="O56" s="17">
        <f t="shared" si="48"/>
        <v>1.3508070222836848E-2</v>
      </c>
      <c r="P56" s="17">
        <f t="shared" si="48"/>
        <v>1.3864853786969746E-2</v>
      </c>
      <c r="Q56" s="17">
        <f t="shared" si="48"/>
        <v>1.337839902652916E-2</v>
      </c>
      <c r="R56" s="17">
        <f t="shared" si="48"/>
        <v>1.5428302410605058E-2</v>
      </c>
      <c r="S56" s="17">
        <f t="shared" si="48"/>
        <v>1.4434735129169114E-2</v>
      </c>
      <c r="T56" s="17">
        <f t="shared" si="48"/>
        <v>1.1238893586122227E-2</v>
      </c>
      <c r="U56" s="17">
        <f t="shared" si="48"/>
        <v>1.4184552631217217E-2</v>
      </c>
      <c r="V56" s="17">
        <f t="shared" si="48"/>
        <v>4.0010914672201782E-2</v>
      </c>
      <c r="W56" s="17">
        <f t="shared" ref="W56" si="49">IF(W10=0,0,W10/W$3)</f>
        <v>3.9924421393150132E-2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1.6158466203346176E-4</v>
      </c>
      <c r="C57" s="104">
        <f t="shared" si="50"/>
        <v>1.2698860934932588E-4</v>
      </c>
      <c r="D57" s="104">
        <f t="shared" ref="D57:V57" si="51">IF(D11=0,0,D11/D$3)</f>
        <v>1.4316273674785433E-4</v>
      </c>
      <c r="E57" s="104">
        <f t="shared" si="51"/>
        <v>1.3201204973543618E-4</v>
      </c>
      <c r="F57" s="104">
        <f t="shared" si="51"/>
        <v>1.000466485409954E-4</v>
      </c>
      <c r="G57" s="104">
        <f t="shared" si="51"/>
        <v>7.0878421190359481E-5</v>
      </c>
      <c r="H57" s="104">
        <f t="shared" si="51"/>
        <v>1.3401494855687252E-4</v>
      </c>
      <c r="I57" s="104">
        <f t="shared" si="51"/>
        <v>2.0537213471884361E-4</v>
      </c>
      <c r="J57" s="104">
        <f t="shared" si="51"/>
        <v>1.5324430082285409E-4</v>
      </c>
      <c r="K57" s="104">
        <f t="shared" si="51"/>
        <v>2.447907834602183E-4</v>
      </c>
      <c r="L57" s="104">
        <f t="shared" si="51"/>
        <v>1.961685367108914E-4</v>
      </c>
      <c r="M57" s="104">
        <f t="shared" si="51"/>
        <v>2.2251014032754587E-4</v>
      </c>
      <c r="N57" s="104">
        <f t="shared" si="51"/>
        <v>5.2238616148711785E-4</v>
      </c>
      <c r="O57" s="104">
        <f t="shared" si="51"/>
        <v>5.4683216058247096E-4</v>
      </c>
      <c r="P57" s="104">
        <f t="shared" si="51"/>
        <v>4.5414298684241512E-4</v>
      </c>
      <c r="Q57" s="104">
        <f t="shared" si="51"/>
        <v>2.2911436450821275E-4</v>
      </c>
      <c r="R57" s="104">
        <f t="shared" si="51"/>
        <v>1.4697173330773962E-4</v>
      </c>
      <c r="S57" s="104">
        <f t="shared" si="51"/>
        <v>4.2880569543241382E-5</v>
      </c>
      <c r="T57" s="104">
        <f t="shared" si="51"/>
        <v>4.5050112264770109E-5</v>
      </c>
      <c r="U57" s="104">
        <f t="shared" si="51"/>
        <v>5.4016947793233544E-5</v>
      </c>
      <c r="V57" s="104">
        <f t="shared" si="51"/>
        <v>4.1285761155141671E-5</v>
      </c>
      <c r="W57" s="104">
        <f t="shared" ref="W57" si="52">IF(W11=0,0,W11/W$3)</f>
        <v>6.0034954778297475E-5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5.5281161345634242E-3</v>
      </c>
      <c r="C58" s="104">
        <f t="shared" si="53"/>
        <v>4.2414954416169484E-3</v>
      </c>
      <c r="D58" s="104">
        <f t="shared" ref="D58:V58" si="54">IF(D12=0,0,D12/D$3)</f>
        <v>4.9077140318836542E-3</v>
      </c>
      <c r="E58" s="104">
        <f t="shared" si="54"/>
        <v>4.5558541898005961E-3</v>
      </c>
      <c r="F58" s="104">
        <f t="shared" si="54"/>
        <v>3.4802960355788267E-3</v>
      </c>
      <c r="G58" s="104">
        <f t="shared" si="54"/>
        <v>4.4645868604313967E-3</v>
      </c>
      <c r="H58" s="104">
        <f t="shared" si="54"/>
        <v>4.3162569569771035E-3</v>
      </c>
      <c r="I58" s="104">
        <f t="shared" si="54"/>
        <v>4.397498282379818E-3</v>
      </c>
      <c r="J58" s="104">
        <f t="shared" si="54"/>
        <v>4.2234777119499094E-3</v>
      </c>
      <c r="K58" s="104">
        <f t="shared" si="54"/>
        <v>5.4319108668945707E-3</v>
      </c>
      <c r="L58" s="104">
        <f t="shared" si="54"/>
        <v>5.1699410224971187E-3</v>
      </c>
      <c r="M58" s="104">
        <f t="shared" si="54"/>
        <v>5.201515835162482E-3</v>
      </c>
      <c r="N58" s="104">
        <f t="shared" si="54"/>
        <v>5.3088741845482412E-3</v>
      </c>
      <c r="O58" s="104">
        <f t="shared" si="54"/>
        <v>5.1163755360110813E-3</v>
      </c>
      <c r="P58" s="104">
        <f t="shared" si="54"/>
        <v>5.0230695261109836E-3</v>
      </c>
      <c r="Q58" s="104">
        <f t="shared" si="54"/>
        <v>4.9801460338714104E-3</v>
      </c>
      <c r="R58" s="104">
        <f t="shared" si="54"/>
        <v>4.408742912470026E-3</v>
      </c>
      <c r="S58" s="104">
        <f t="shared" si="54"/>
        <v>4.8470557505363894E-3</v>
      </c>
      <c r="T58" s="104">
        <f t="shared" si="54"/>
        <v>4.2914038861277754E-3</v>
      </c>
      <c r="U58" s="104">
        <f t="shared" si="54"/>
        <v>3.8053206298300987E-3</v>
      </c>
      <c r="V58" s="104">
        <f t="shared" si="54"/>
        <v>1.2694335562580601E-2</v>
      </c>
      <c r="W58" s="104">
        <f t="shared" ref="W58" si="55">IF(W12=0,0,W12/W$3)</f>
        <v>1.3564402094192589E-2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1.3975698901726966E-3</v>
      </c>
      <c r="C59" s="105">
        <f t="shared" si="56"/>
        <v>1.3694639531923293E-3</v>
      </c>
      <c r="D59" s="105">
        <f t="shared" ref="D59:V59" si="57">IF(D13=0,0,D13/D$3)</f>
        <v>1.4182167886018779E-3</v>
      </c>
      <c r="E59" s="105">
        <f t="shared" si="57"/>
        <v>1.4237570946351971E-3</v>
      </c>
      <c r="F59" s="105">
        <f t="shared" si="57"/>
        <v>1.4641045174856565E-3</v>
      </c>
      <c r="G59" s="105">
        <f t="shared" si="57"/>
        <v>1.2928224982073262E-3</v>
      </c>
      <c r="H59" s="105">
        <f t="shared" si="57"/>
        <v>1.5825677642519282E-3</v>
      </c>
      <c r="I59" s="105">
        <f t="shared" si="57"/>
        <v>2.4493129435046949E-3</v>
      </c>
      <c r="J59" s="105">
        <f t="shared" si="57"/>
        <v>3.4826262057620866E-3</v>
      </c>
      <c r="K59" s="105">
        <f t="shared" si="57"/>
        <v>4.2057218095040384E-3</v>
      </c>
      <c r="L59" s="105">
        <f t="shared" si="57"/>
        <v>8.7710907710854668E-3</v>
      </c>
      <c r="M59" s="105">
        <f t="shared" si="57"/>
        <v>7.8947885034859715E-3</v>
      </c>
      <c r="N59" s="105">
        <f t="shared" si="57"/>
        <v>6.7631644039799358E-3</v>
      </c>
      <c r="O59" s="105">
        <f t="shared" si="57"/>
        <v>7.8448625262432948E-3</v>
      </c>
      <c r="P59" s="105">
        <f t="shared" si="57"/>
        <v>8.3876412740163456E-3</v>
      </c>
      <c r="Q59" s="105">
        <f t="shared" si="57"/>
        <v>8.169138628149537E-3</v>
      </c>
      <c r="R59" s="105">
        <f t="shared" si="57"/>
        <v>1.0872587764827293E-2</v>
      </c>
      <c r="S59" s="105">
        <f t="shared" si="57"/>
        <v>9.5447988090894813E-3</v>
      </c>
      <c r="T59" s="105">
        <f t="shared" si="57"/>
        <v>6.9024395877296824E-3</v>
      </c>
      <c r="U59" s="105">
        <f t="shared" si="57"/>
        <v>1.0325215053593885E-2</v>
      </c>
      <c r="V59" s="105">
        <f t="shared" si="57"/>
        <v>2.7275293348466036E-2</v>
      </c>
      <c r="W59" s="105">
        <f t="shared" ref="W59" si="58">IF(W13=0,0,W13/W$3)</f>
        <v>2.6299984344179246E-2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6498585</v>
      </c>
      <c r="C4" s="11">
        <f t="shared" si="0"/>
        <v>6551060</v>
      </c>
      <c r="D4" s="11">
        <f t="shared" ref="D4" si="1">SUM(D5:D7)</f>
        <v>7027154</v>
      </c>
      <c r="E4" s="11">
        <f t="shared" ref="E4" si="2">SUM(E5:E7)</f>
        <v>7651967</v>
      </c>
      <c r="F4" s="11">
        <f t="shared" ref="F4" si="3">SUM(F5:F7)</f>
        <v>7273666</v>
      </c>
      <c r="G4" s="11">
        <f t="shared" ref="G4" si="4">SUM(G5:G7)</f>
        <v>8664901</v>
      </c>
      <c r="H4" s="11">
        <f t="shared" ref="H4" si="5">SUM(H5:H7)</f>
        <v>10620081</v>
      </c>
      <c r="I4" s="11">
        <f t="shared" ref="I4" si="6">SUM(I5:I7)</f>
        <v>13241483</v>
      </c>
      <c r="J4" s="11">
        <f t="shared" ref="J4" si="7">SUM(J5:J7)</f>
        <v>14655902</v>
      </c>
      <c r="K4" s="11">
        <f t="shared" ref="K4" si="8">SUM(K5:K7)</f>
        <v>13267965</v>
      </c>
      <c r="L4" s="11">
        <f t="shared" ref="L4" si="9">SUM(L5:L7)</f>
        <v>14184327</v>
      </c>
      <c r="M4" s="11">
        <f t="shared" ref="M4" si="10">SUM(M5:M7)</f>
        <v>15238000</v>
      </c>
      <c r="N4" s="11">
        <f t="shared" ref="N4" si="11">SUM(N5:N7)</f>
        <v>15904606</v>
      </c>
      <c r="O4" s="11">
        <f t="shared" ref="O4" si="12">SUM(O5:O7)</f>
        <v>16891135</v>
      </c>
      <c r="P4" s="11">
        <f t="shared" ref="P4" si="13">SUM(P5:P7)</f>
        <v>18083926</v>
      </c>
      <c r="Q4" s="11">
        <f t="shared" ref="Q4" si="14">SUM(Q5:Q7)</f>
        <v>20513764</v>
      </c>
      <c r="R4" s="11">
        <f t="shared" ref="R4" si="15">SUM(R5:R7)</f>
        <v>21482980</v>
      </c>
      <c r="S4" s="11">
        <f t="shared" ref="S4" si="16">SUM(S5:S7)</f>
        <v>24296173</v>
      </c>
      <c r="T4" s="11">
        <f t="shared" ref="T4" si="17">SUM(T5:T7)</f>
        <v>27712522</v>
      </c>
      <c r="U4" s="11">
        <f t="shared" ref="U4" si="18">SUM(U5:U7)</f>
        <v>29135195</v>
      </c>
      <c r="V4" s="11">
        <f t="shared" ref="V4:W4" si="19">SUM(V5:V7)</f>
        <v>11263996</v>
      </c>
      <c r="W4" s="11">
        <f t="shared" si="19"/>
        <v>14501861</v>
      </c>
      <c r="DA4" s="189" t="s">
        <v>361</v>
      </c>
    </row>
    <row r="5" spans="1:105" ht="11.45" customHeight="1" x14ac:dyDescent="0.25">
      <c r="A5" s="83" t="s">
        <v>27</v>
      </c>
      <c r="B5" s="84">
        <v>1276537</v>
      </c>
      <c r="C5" s="84">
        <v>1293834</v>
      </c>
      <c r="D5" s="84">
        <v>1755003</v>
      </c>
      <c r="E5" s="84">
        <v>1811654</v>
      </c>
      <c r="F5" s="84">
        <v>1393547</v>
      </c>
      <c r="G5" s="84">
        <v>1438305</v>
      </c>
      <c r="H5" s="84">
        <v>1475849</v>
      </c>
      <c r="I5" s="84">
        <v>1767814</v>
      </c>
      <c r="J5" s="84">
        <v>1714634</v>
      </c>
      <c r="K5" s="84">
        <v>1588668</v>
      </c>
      <c r="L5" s="84">
        <v>1733104</v>
      </c>
      <c r="M5" s="84">
        <v>1943760</v>
      </c>
      <c r="N5" s="84">
        <v>2793868</v>
      </c>
      <c r="O5" s="84">
        <v>2129481</v>
      </c>
      <c r="P5" s="84">
        <v>2472614</v>
      </c>
      <c r="Q5" s="84">
        <v>2495848</v>
      </c>
      <c r="R5" s="84">
        <v>2629100</v>
      </c>
      <c r="S5" s="84">
        <v>2928992</v>
      </c>
      <c r="T5" s="84">
        <v>2572444</v>
      </c>
      <c r="U5" s="84">
        <v>2617899</v>
      </c>
      <c r="V5" s="84">
        <v>1268864</v>
      </c>
      <c r="W5" s="84">
        <v>1295859</v>
      </c>
      <c r="DA5" s="171" t="s">
        <v>362</v>
      </c>
    </row>
    <row r="6" spans="1:105" ht="11.45" customHeight="1" x14ac:dyDescent="0.25">
      <c r="A6" s="83" t="s">
        <v>173</v>
      </c>
      <c r="B6" s="84">
        <v>4155539</v>
      </c>
      <c r="C6" s="84">
        <v>4183937</v>
      </c>
      <c r="D6" s="84">
        <v>4202251</v>
      </c>
      <c r="E6" s="84">
        <v>4655572</v>
      </c>
      <c r="F6" s="84">
        <v>4684985</v>
      </c>
      <c r="G6" s="84">
        <v>5893108</v>
      </c>
      <c r="H6" s="84">
        <v>7556534</v>
      </c>
      <c r="I6" s="84">
        <v>9616694</v>
      </c>
      <c r="J6" s="84">
        <v>10511634</v>
      </c>
      <c r="K6" s="84">
        <v>9414886</v>
      </c>
      <c r="L6" s="84">
        <v>9848606</v>
      </c>
      <c r="M6" s="84">
        <v>10677509</v>
      </c>
      <c r="N6" s="84">
        <v>10637659</v>
      </c>
      <c r="O6" s="84">
        <v>12317420</v>
      </c>
      <c r="P6" s="84">
        <v>12831108</v>
      </c>
      <c r="Q6" s="84">
        <v>14807963</v>
      </c>
      <c r="R6" s="84">
        <v>16353312</v>
      </c>
      <c r="S6" s="84">
        <v>17995294</v>
      </c>
      <c r="T6" s="84">
        <v>20195913</v>
      </c>
      <c r="U6" s="84">
        <v>20554459</v>
      </c>
      <c r="V6" s="84">
        <v>8113577</v>
      </c>
      <c r="W6" s="84">
        <v>9922816</v>
      </c>
      <c r="DA6" s="171" t="s">
        <v>363</v>
      </c>
    </row>
    <row r="7" spans="1:105" ht="11.45" customHeight="1" x14ac:dyDescent="0.25">
      <c r="A7" s="85" t="s">
        <v>174</v>
      </c>
      <c r="B7" s="86">
        <v>1066509</v>
      </c>
      <c r="C7" s="86">
        <v>1073289</v>
      </c>
      <c r="D7" s="86">
        <v>1069900</v>
      </c>
      <c r="E7" s="86">
        <v>1184741</v>
      </c>
      <c r="F7" s="86">
        <v>1195134</v>
      </c>
      <c r="G7" s="86">
        <v>1333488</v>
      </c>
      <c r="H7" s="86">
        <v>1587698</v>
      </c>
      <c r="I7" s="86">
        <v>1856975</v>
      </c>
      <c r="J7" s="86">
        <v>2429634</v>
      </c>
      <c r="K7" s="86">
        <v>2264411</v>
      </c>
      <c r="L7" s="86">
        <v>2602617</v>
      </c>
      <c r="M7" s="86">
        <v>2616731</v>
      </c>
      <c r="N7" s="86">
        <v>2473079</v>
      </c>
      <c r="O7" s="86">
        <v>2444234</v>
      </c>
      <c r="P7" s="86">
        <v>2780204</v>
      </c>
      <c r="Q7" s="86">
        <v>3209953</v>
      </c>
      <c r="R7" s="86">
        <v>2500568</v>
      </c>
      <c r="S7" s="86">
        <v>3371887</v>
      </c>
      <c r="T7" s="86">
        <v>4944165</v>
      </c>
      <c r="U7" s="86">
        <v>5962837</v>
      </c>
      <c r="V7" s="86">
        <v>1881555</v>
      </c>
      <c r="W7" s="86">
        <v>3283186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72.863077285315455</v>
      </c>
      <c r="C12" s="14">
        <f>IF(C4=0,0,C4/TrAvia_act!C24)</f>
        <v>74.185899032908296</v>
      </c>
      <c r="D12" s="14">
        <f>IF(D4=0,0,D4/TrAvia_act!D24)</f>
        <v>73.704705166663175</v>
      </c>
      <c r="E12" s="14">
        <f>IF(E4=0,0,E4/TrAvia_act!E24)</f>
        <v>76.104141388021404</v>
      </c>
      <c r="F12" s="14">
        <f>IF(F4=0,0,F4/TrAvia_act!F24)</f>
        <v>79.711408219178082</v>
      </c>
      <c r="G12" s="14">
        <f>IF(G4=0,0,G4/TrAvia_act!G24)</f>
        <v>83.812785343960385</v>
      </c>
      <c r="H12" s="14">
        <f>IF(H4=0,0,H4/TrAvia_act!H24)</f>
        <v>88.340925160335061</v>
      </c>
      <c r="I12" s="14">
        <f>IF(I4=0,0,I4/TrAvia_act!I24)</f>
        <v>105.70523198262924</v>
      </c>
      <c r="J12" s="14">
        <f>IF(J4=0,0,J4/TrAvia_act!J24)</f>
        <v>113.89505669145704</v>
      </c>
      <c r="K12" s="14">
        <f>IF(K4=0,0,K4/TrAvia_act!K24)</f>
        <v>113.30747158338814</v>
      </c>
      <c r="L12" s="14">
        <f>IF(L4=0,0,L4/TrAvia_act!L24)</f>
        <v>117.73863853311531</v>
      </c>
      <c r="M12" s="14">
        <f>IF(M4=0,0,M4/TrAvia_act!M24)</f>
        <v>116.29309094794361</v>
      </c>
      <c r="N12" s="14">
        <f>IF(N4=0,0,N4/TrAvia_act!N24)</f>
        <v>113.87845026957748</v>
      </c>
      <c r="O12" s="14">
        <f>IF(O4=0,0,O4/TrAvia_act!O24)</f>
        <v>125.57437681676592</v>
      </c>
      <c r="P12" s="14">
        <f>IF(P4=0,0,P4/TrAvia_act!P24)</f>
        <v>128.32031959582199</v>
      </c>
      <c r="Q12" s="14">
        <f>IF(Q4=0,0,Q4/TrAvia_act!Q24)</f>
        <v>135.69188842365674</v>
      </c>
      <c r="R12" s="14">
        <f>IF(R4=0,0,R4/TrAvia_act!R24)</f>
        <v>138.05211579860554</v>
      </c>
      <c r="S12" s="14">
        <f>IF(S4=0,0,S4/TrAvia_act!S24)</f>
        <v>141.41961676814006</v>
      </c>
      <c r="T12" s="14">
        <f>IF(T4=0,0,T4/TrAvia_act!T24)</f>
        <v>143.60382217754264</v>
      </c>
      <c r="U12" s="14">
        <f>IF(U4=0,0,U4/TrAvia_act!U24)</f>
        <v>146.10992146675628</v>
      </c>
      <c r="V12" s="14">
        <f>IF(V4=0,0,V4/TrAvia_act!V24)</f>
        <v>141.73183682713844</v>
      </c>
      <c r="W12" s="14">
        <f>IF(W4=0,0,W4/TrAvia_act!W24)</f>
        <v>152.45378089421067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52.231464811783958</v>
      </c>
      <c r="C13" s="87">
        <f>IF(C5=0,0,C5/TrAvia_act!C25)</f>
        <v>52.887262916939179</v>
      </c>
      <c r="D13" s="87">
        <f>IF(D5=0,0,D5/TrAvia_act!D25)</f>
        <v>53.750359866466567</v>
      </c>
      <c r="E13" s="87">
        <f>IF(E5=0,0,E5/TrAvia_act!E25)</f>
        <v>55.429384408273158</v>
      </c>
      <c r="F13" s="87">
        <f>IF(F5=0,0,F5/TrAvia_act!F25)</f>
        <v>56.791384790936505</v>
      </c>
      <c r="G13" s="87">
        <f>IF(G5=0,0,G5/TrAvia_act!G25)</f>
        <v>58.555754590237349</v>
      </c>
      <c r="H13" s="87">
        <f>IF(H5=0,0,H5/TrAvia_act!H25)</f>
        <v>60.023141369773874</v>
      </c>
      <c r="I13" s="87">
        <f>IF(I5=0,0,I5/TrAvia_act!I25)</f>
        <v>66.205302973560038</v>
      </c>
      <c r="J13" s="87">
        <f>IF(J5=0,0,J5/TrAvia_act!J25)</f>
        <v>67.182587571506929</v>
      </c>
      <c r="K13" s="87">
        <f>IF(K5=0,0,K5/TrAvia_act!K25)</f>
        <v>67.39068465258336</v>
      </c>
      <c r="L13" s="87">
        <f>IF(L5=0,0,L5/TrAvia_act!L25)</f>
        <v>72.715616346395905</v>
      </c>
      <c r="M13" s="87">
        <f>IF(M5=0,0,M5/TrAvia_act!M25)</f>
        <v>70.270778352192622</v>
      </c>
      <c r="N13" s="87">
        <f>IF(N5=0,0,N5/TrAvia_act!N25)</f>
        <v>76.075371000680732</v>
      </c>
      <c r="O13" s="87">
        <f>IF(O5=0,0,O5/TrAvia_act!O25)</f>
        <v>76.951577349763312</v>
      </c>
      <c r="P13" s="87">
        <f>IF(P5=0,0,P5/TrAvia_act!P25)</f>
        <v>87.557152974504248</v>
      </c>
      <c r="Q13" s="87">
        <f>IF(Q5=0,0,Q5/TrAvia_act!Q25)</f>
        <v>92.727299747362167</v>
      </c>
      <c r="R13" s="87">
        <f>IF(R5=0,0,R5/TrAvia_act!R25)</f>
        <v>95.614066989126087</v>
      </c>
      <c r="S13" s="87">
        <f>IF(S5=0,0,S5/TrAvia_act!S25)</f>
        <v>96.903063587639778</v>
      </c>
      <c r="T13" s="87">
        <f>IF(T5=0,0,T5/TrAvia_act!T25)</f>
        <v>93.563832108823746</v>
      </c>
      <c r="U13" s="87">
        <f>IF(U5=0,0,U5/TrAvia_act!U25)</f>
        <v>92.498728005087983</v>
      </c>
      <c r="V13" s="87">
        <f>IF(V5=0,0,V5/TrAvia_act!V25)</f>
        <v>90.304177638602241</v>
      </c>
      <c r="W13" s="87">
        <f>IF(W5=0,0,W5/TrAvia_act!W25)</f>
        <v>95.543685025436844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78.78695207037768</v>
      </c>
      <c r="C14" s="87">
        <f>IF(C6=0,0,C6/TrAvia_act!C26)</f>
        <v>80.452591097009901</v>
      </c>
      <c r="D14" s="87">
        <f>IF(D6=0,0,D6/TrAvia_act!D26)</f>
        <v>82.288973309573691</v>
      </c>
      <c r="E14" s="87">
        <f>IF(E6=0,0,E6/TrAvia_act!E26)</f>
        <v>84.219540874473125</v>
      </c>
      <c r="F14" s="87">
        <f>IF(F6=0,0,F6/TrAvia_act!F26)</f>
        <v>86.212966029958409</v>
      </c>
      <c r="G14" s="87">
        <f>IF(G6=0,0,G6/TrAvia_act!G26)</f>
        <v>90.213520298818196</v>
      </c>
      <c r="H14" s="87">
        <f>IF(H6=0,0,H6/TrAvia_act!H26)</f>
        <v>94.708837279256016</v>
      </c>
      <c r="I14" s="87">
        <f>IF(I6=0,0,I6/TrAvia_act!I26)</f>
        <v>118.24724876117402</v>
      </c>
      <c r="J14" s="87">
        <f>IF(J6=0,0,J6/TrAvia_act!J26)</f>
        <v>122.83246666744569</v>
      </c>
      <c r="K14" s="87">
        <f>IF(K6=0,0,K6/TrAvia_act!K26)</f>
        <v>122.33002871509686</v>
      </c>
      <c r="L14" s="87">
        <f>IF(L6=0,0,L6/TrAvia_act!L26)</f>
        <v>125.19997966006891</v>
      </c>
      <c r="M14" s="87">
        <f>IF(M6=0,0,M6/TrAvia_act!M26)</f>
        <v>127.09504594581726</v>
      </c>
      <c r="N14" s="87">
        <f>IF(N6=0,0,N6/TrAvia_act!N26)</f>
        <v>125.81054486535072</v>
      </c>
      <c r="O14" s="87">
        <f>IF(O6=0,0,O6/TrAvia_act!O26)</f>
        <v>136.47808358817534</v>
      </c>
      <c r="P14" s="87">
        <f>IF(P6=0,0,P6/TrAvia_act!P26)</f>
        <v>139.20377542717657</v>
      </c>
      <c r="Q14" s="87">
        <f>IF(Q6=0,0,Q6/TrAvia_act!Q26)</f>
        <v>145.94733937177833</v>
      </c>
      <c r="R14" s="87">
        <f>IF(R6=0,0,R6/TrAvia_act!R26)</f>
        <v>147.1071370742853</v>
      </c>
      <c r="S14" s="87">
        <f>IF(S6=0,0,S6/TrAvia_act!S26)</f>
        <v>149.78353947828404</v>
      </c>
      <c r="T14" s="87">
        <f>IF(T6=0,0,T6/TrAvia_act!T26)</f>
        <v>152.95994213611647</v>
      </c>
      <c r="U14" s="87">
        <f>IF(U6=0,0,U6/TrAvia_act!U26)</f>
        <v>152.02552439276946</v>
      </c>
      <c r="V14" s="87">
        <f>IF(V6=0,0,V6/TrAvia_act!V26)</f>
        <v>155.11751997858755</v>
      </c>
      <c r="W14" s="87">
        <f>IF(W6=0,0,W6/TrAvia_act!W26)</f>
        <v>158.75235581153507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88.838733860891296</v>
      </c>
      <c r="C15" s="88">
        <f>IF(C7=0,0,C7/TrAvia_act!C27)</f>
        <v>90.672383205204028</v>
      </c>
      <c r="D15" s="88">
        <f>IF(D7=0,0,D7/TrAvia_act!D27)</f>
        <v>92.042326221610466</v>
      </c>
      <c r="E15" s="88">
        <f>IF(E7=0,0,E7/TrAvia_act!E27)</f>
        <v>94.154096797266149</v>
      </c>
      <c r="F15" s="88">
        <f>IF(F7=0,0,F7/TrAvia_act!F27)</f>
        <v>96.615521422797087</v>
      </c>
      <c r="G15" s="88">
        <f>IF(G7=0,0,G7/TrAvia_act!G27)</f>
        <v>98.79884418759724</v>
      </c>
      <c r="H15" s="88">
        <f>IF(H7=0,0,H7/TrAvia_act!H27)</f>
        <v>100.22080545385684</v>
      </c>
      <c r="I15" s="88">
        <f>IF(I7=0,0,I7/TrAvia_act!I27)</f>
        <v>107.71941527930855</v>
      </c>
      <c r="J15" s="88">
        <f>IF(J7=0,0,J7/TrAvia_act!J27)</f>
        <v>138.20443686006826</v>
      </c>
      <c r="K15" s="88">
        <f>IF(K7=0,0,K7/TrAvia_act!K27)</f>
        <v>136.73979468599035</v>
      </c>
      <c r="L15" s="88">
        <f>IF(L7=0,0,L7/TrAvia_act!L27)</f>
        <v>144.78287716955941</v>
      </c>
      <c r="M15" s="88">
        <f>IF(M7=0,0,M7/TrAvia_act!M27)</f>
        <v>135.17568963735923</v>
      </c>
      <c r="N15" s="88">
        <f>IF(N7=0,0,N7/TrAvia_act!N27)</f>
        <v>134.51612727767201</v>
      </c>
      <c r="O15" s="88">
        <f>IF(O7=0,0,O7/TrAvia_act!O27)</f>
        <v>147.3672977209695</v>
      </c>
      <c r="P15" s="88">
        <f>IF(P7=0,0,P7/TrAvia_act!P27)</f>
        <v>135.53375907960805</v>
      </c>
      <c r="Q15" s="88">
        <f>IF(Q7=0,0,Q7/TrAvia_act!Q27)</f>
        <v>140.77506359091308</v>
      </c>
      <c r="R15" s="88">
        <f>IF(R7=0,0,R7/TrAvia_act!R27)</f>
        <v>147.50873053327041</v>
      </c>
      <c r="S15" s="88">
        <f>IF(S7=0,0,S7/TrAvia_act!S27)</f>
        <v>157.31487356536343</v>
      </c>
      <c r="T15" s="88">
        <f>IF(T7=0,0,T7/TrAvia_act!T27)</f>
        <v>147.8032046874533</v>
      </c>
      <c r="U15" s="88">
        <f>IF(U7=0,0,U7/TrAvia_act!U27)</f>
        <v>166.09573816155989</v>
      </c>
      <c r="V15" s="88">
        <f>IF(V7=0,0,V7/TrAvia_act!V27)</f>
        <v>143.4440039643211</v>
      </c>
      <c r="W15" s="88">
        <f>IF(W7=0,0,W7/TrAvia_act!W27)</f>
        <v>172.30049855680923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0.66063796965031618</v>
      </c>
      <c r="C18" s="25">
        <f>IF(TrAvia_act!C34=0,0,(TrAvia_act!C34/TrAvia_act!C24)/TrAvia_png!C12)</f>
        <v>0.66043525780560697</v>
      </c>
      <c r="D18" s="25">
        <f>IF(TrAvia_act!D34=0,0,(TrAvia_act!D34/TrAvia_act!D24)/TrAvia_png!D12)</f>
        <v>0.65385247000421509</v>
      </c>
      <c r="E18" s="25">
        <f>IF(TrAvia_act!E34=0,0,(TrAvia_act!E34/TrAvia_act!E24)/TrAvia_png!E12)</f>
        <v>0.6540609754328528</v>
      </c>
      <c r="F18" s="25">
        <f>IF(TrAvia_act!F34=0,0,(TrAvia_act!F34/TrAvia_act!F24)/TrAvia_png!F12)</f>
        <v>0.6592001887356389</v>
      </c>
      <c r="G18" s="25">
        <f>IF(TrAvia_act!G34=0,0,(TrAvia_act!G34/TrAvia_act!G24)/TrAvia_png!G12)</f>
        <v>0.66553824446465104</v>
      </c>
      <c r="H18" s="25">
        <f>IF(TrAvia_act!H34=0,0,(TrAvia_act!H34/TrAvia_act!H24)/TrAvia_png!H12)</f>
        <v>0.67616885407936156</v>
      </c>
      <c r="I18" s="25">
        <f>IF(TrAvia_act!I34=0,0,(TrAvia_act!I34/TrAvia_act!I24)/TrAvia_png!I12)</f>
        <v>0.68307107293042635</v>
      </c>
      <c r="J18" s="25">
        <f>IF(TrAvia_act!J34=0,0,(TrAvia_act!J34/TrAvia_act!J24)/TrAvia_png!J12)</f>
        <v>0.66805789230850476</v>
      </c>
      <c r="K18" s="25">
        <f>IF(TrAvia_act!K34=0,0,(TrAvia_act!K34/TrAvia_act!K24)/TrAvia_png!K12)</f>
        <v>0.6733379987059056</v>
      </c>
      <c r="L18" s="25">
        <f>IF(TrAvia_act!L34=0,0,(TrAvia_act!L34/TrAvia_act!L24)/TrAvia_png!L12)</f>
        <v>0.68080374909574493</v>
      </c>
      <c r="M18" s="25">
        <f>IF(TrAvia_act!M34=0,0,(TrAvia_act!M34/TrAvia_act!M24)/TrAvia_png!M12)</f>
        <v>0.71860808505053164</v>
      </c>
      <c r="N18" s="25">
        <f>IF(TrAvia_act!N34=0,0,(TrAvia_act!N34/TrAvia_act!N24)/TrAvia_png!N12)</f>
        <v>0.74655744379961375</v>
      </c>
      <c r="O18" s="25">
        <f>IF(TrAvia_act!O34=0,0,(TrAvia_act!O34/TrAvia_act!O24)/TrAvia_png!O12)</f>
        <v>0.7296537503252446</v>
      </c>
      <c r="P18" s="25">
        <f>IF(TrAvia_act!P34=0,0,(TrAvia_act!P34/TrAvia_act!P24)/TrAvia_png!P12)</f>
        <v>0.7547992067651681</v>
      </c>
      <c r="Q18" s="25">
        <f>IF(TrAvia_act!Q34=0,0,(TrAvia_act!Q34/TrAvia_act!Q24)/TrAvia_png!Q12)</f>
        <v>0.74482913033415021</v>
      </c>
      <c r="R18" s="25">
        <f>IF(TrAvia_act!R34=0,0,(TrAvia_act!R34/TrAvia_act!R24)/TrAvia_png!R12)</f>
        <v>0.7936910987209409</v>
      </c>
      <c r="S18" s="25">
        <f>IF(TrAvia_act!S34=0,0,(TrAvia_act!S34/TrAvia_act!S24)/TrAvia_png!S12)</f>
        <v>0.82245775908823182</v>
      </c>
      <c r="T18" s="25">
        <f>IF(TrAvia_act!T34=0,0,(TrAvia_act!T34/TrAvia_act!T24)/TrAvia_png!T12)</f>
        <v>0.82424580483869347</v>
      </c>
      <c r="U18" s="25">
        <f>IF(TrAvia_act!U34=0,0,(TrAvia_act!U34/TrAvia_act!U24)/TrAvia_png!U12)</f>
        <v>0.83944325754469795</v>
      </c>
      <c r="V18" s="25">
        <f>IF(TrAvia_act!V34=0,0,(TrAvia_act!V34/TrAvia_act!V24)/TrAvia_png!V12)</f>
        <v>0.64448824378133662</v>
      </c>
      <c r="W18" s="25">
        <f>IF(TrAvia_act!W34=0,0,(TrAvia_act!W34/TrAvia_act!W24)/TrAvia_png!W12)</f>
        <v>0.67287681215535022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0.5568228731325453</v>
      </c>
      <c r="C19" s="89">
        <f>IF(TrAvia_act!C35=0,0,(TrAvia_act!C35/TrAvia_act!C25)/TrAvia_png!C13)</f>
        <v>0.55622205012389525</v>
      </c>
      <c r="D19" s="89">
        <f>IF(TrAvia_act!D35=0,0,(TrAvia_act!D35/TrAvia_act!D25)/TrAvia_png!D13)</f>
        <v>0.55610389269989857</v>
      </c>
      <c r="E19" s="89">
        <f>IF(TrAvia_act!E35=0,0,(TrAvia_act!E35/TrAvia_act!E25)/TrAvia_png!E13)</f>
        <v>0.55214240688343363</v>
      </c>
      <c r="F19" s="89">
        <f>IF(TrAvia_act!F35=0,0,(TrAvia_act!F35/TrAvia_act!F25)/TrAvia_png!F13)</f>
        <v>0.54849603206780972</v>
      </c>
      <c r="G19" s="89">
        <f>IF(TrAvia_act!G35=0,0,(TrAvia_act!G35/TrAvia_act!G25)/TrAvia_png!G13)</f>
        <v>0.54557830223770343</v>
      </c>
      <c r="H19" s="89">
        <f>IF(TrAvia_act!H35=0,0,(TrAvia_act!H35/TrAvia_act!H25)/TrAvia_png!H13)</f>
        <v>0.54827221484040711</v>
      </c>
      <c r="I19" s="89">
        <f>IF(TrAvia_act!I35=0,0,(TrAvia_act!I35/TrAvia_act!I25)/TrAvia_png!I13)</f>
        <v>0.55452836101535563</v>
      </c>
      <c r="J19" s="89">
        <f>IF(TrAvia_act!J35=0,0,(TrAvia_act!J35/TrAvia_act!J25)/TrAvia_png!J13)</f>
        <v>0.50194327185860077</v>
      </c>
      <c r="K19" s="89">
        <f>IF(TrAvia_act!K35=0,0,(TrAvia_act!K35/TrAvia_act!K25)/TrAvia_png!K13)</f>
        <v>0.50211560879932116</v>
      </c>
      <c r="L19" s="89">
        <f>IF(TrAvia_act!L35=0,0,(TrAvia_act!L35/TrAvia_act!L25)/TrAvia_png!L13)</f>
        <v>0.50812415181085491</v>
      </c>
      <c r="M19" s="89">
        <f>IF(TrAvia_act!M35=0,0,(TrAvia_act!M35/TrAvia_act!M25)/TrAvia_png!M13)</f>
        <v>0.58548946371980071</v>
      </c>
      <c r="N19" s="89">
        <f>IF(TrAvia_act!N35=0,0,(TrAvia_act!N35/TrAvia_act!N25)/TrAvia_png!N13)</f>
        <v>0.64509740617666977</v>
      </c>
      <c r="O19" s="89">
        <f>IF(TrAvia_act!O35=0,0,(TrAvia_act!O35/TrAvia_act!O25)/TrAvia_png!O13)</f>
        <v>0.57615118425569423</v>
      </c>
      <c r="P19" s="89">
        <f>IF(TrAvia_act!P35=0,0,(TrAvia_act!P35/TrAvia_act!P25)/TrAvia_png!P13)</f>
        <v>0.60470619352636523</v>
      </c>
      <c r="Q19" s="89">
        <f>IF(TrAvia_act!Q35=0,0,(TrAvia_act!Q35/TrAvia_act!Q25)/TrAvia_png!Q13)</f>
        <v>0.64249465512322868</v>
      </c>
      <c r="R19" s="89">
        <f>IF(TrAvia_act!R35=0,0,(TrAvia_act!R35/TrAvia_act!R25)/TrAvia_png!R13)</f>
        <v>0.68878437488113808</v>
      </c>
      <c r="S19" s="89">
        <f>IF(TrAvia_act!S35=0,0,(TrAvia_act!S35/TrAvia_act!S25)/TrAvia_png!S13)</f>
        <v>0.7529904485911878</v>
      </c>
      <c r="T19" s="89">
        <f>IF(TrAvia_act!T35=0,0,(TrAvia_act!T35/TrAvia_act!T25)/TrAvia_png!T13)</f>
        <v>0.733560769447265</v>
      </c>
      <c r="U19" s="89">
        <f>IF(TrAvia_act!U35=0,0,(TrAvia_act!U35/TrAvia_act!U25)/TrAvia_png!U13)</f>
        <v>0.74403252379102469</v>
      </c>
      <c r="V19" s="89">
        <f>IF(TrAvia_act!V35=0,0,(TrAvia_act!V35/TrAvia_act!V25)/TrAvia_png!V13)</f>
        <v>0.52919777060425699</v>
      </c>
      <c r="W19" s="89">
        <f>IF(TrAvia_act!W35=0,0,(TrAvia_act!W35/TrAvia_act!W25)/TrAvia_png!W13)</f>
        <v>0.57579721250537286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0.67542958927831009</v>
      </c>
      <c r="C20" s="89">
        <f>IF(TrAvia_act!C36=0,0,(TrAvia_act!C36/TrAvia_act!C26)/TrAvia_png!C14)</f>
        <v>0.67583307301233275</v>
      </c>
      <c r="D20" s="89">
        <f>IF(TrAvia_act!D36=0,0,(TrAvia_act!D36/TrAvia_act!D26)/TrAvia_png!D14)</f>
        <v>0.67655168622721484</v>
      </c>
      <c r="E20" s="89">
        <f>IF(TrAvia_act!E36=0,0,(TrAvia_act!E36/TrAvia_act!E26)/TrAvia_png!E14)</f>
        <v>0.67635384008667465</v>
      </c>
      <c r="F20" s="89">
        <f>IF(TrAvia_act!F36=0,0,(TrAvia_act!F36/TrAvia_act!F26)/TrAvia_png!F14)</f>
        <v>0.67689437639608241</v>
      </c>
      <c r="G20" s="89">
        <f>IF(TrAvia_act!G36=0,0,(TrAvia_act!G36/TrAvia_act!G26)/TrAvia_png!G14)</f>
        <v>0.68367913841049577</v>
      </c>
      <c r="H20" s="89">
        <f>IF(TrAvia_act!H36=0,0,(TrAvia_act!H36/TrAvia_act!H26)/TrAvia_png!H14)</f>
        <v>0.69406053092595088</v>
      </c>
      <c r="I20" s="89">
        <f>IF(TrAvia_act!I36=0,0,(TrAvia_act!I36/TrAvia_act!I26)/TrAvia_png!I14)</f>
        <v>0.70114812845245988</v>
      </c>
      <c r="J20" s="89">
        <f>IF(TrAvia_act!J36=0,0,(TrAvia_act!J36/TrAvia_act!J26)/TrAvia_png!J14)</f>
        <v>0.69080487391398904</v>
      </c>
      <c r="K20" s="89">
        <f>IF(TrAvia_act!K36=0,0,(TrAvia_act!K36/TrAvia_act!K26)/TrAvia_png!K14)</f>
        <v>0.70177100391868796</v>
      </c>
      <c r="L20" s="89">
        <f>IF(TrAvia_act!L36=0,0,(TrAvia_act!L36/TrAvia_act!L26)/TrAvia_png!L14)</f>
        <v>0.71629538231095857</v>
      </c>
      <c r="M20" s="89">
        <f>IF(TrAvia_act!M36=0,0,(TrAvia_act!M36/TrAvia_act!M26)/TrAvia_png!M14)</f>
        <v>0.76009020455988374</v>
      </c>
      <c r="N20" s="89">
        <f>IF(TrAvia_act!N36=0,0,(TrAvia_act!N36/TrAvia_act!N26)/TrAvia_png!N14)</f>
        <v>0.77519480554885245</v>
      </c>
      <c r="O20" s="89">
        <f>IF(TrAvia_act!O36=0,0,(TrAvia_act!O36/TrAvia_act!O26)/TrAvia_png!O14)</f>
        <v>0.75833031592654954</v>
      </c>
      <c r="P20" s="89">
        <f>IF(TrAvia_act!P36=0,0,(TrAvia_act!P36/TrAvia_act!P26)/TrAvia_png!P14)</f>
        <v>0.79011945032338593</v>
      </c>
      <c r="Q20" s="89">
        <f>IF(TrAvia_act!Q36=0,0,(TrAvia_act!Q36/TrAvia_act!Q26)/TrAvia_png!Q14)</f>
        <v>0.79631884547523524</v>
      </c>
      <c r="R20" s="89">
        <f>IF(TrAvia_act!R36=0,0,(TrAvia_act!R36/TrAvia_act!R26)/TrAvia_png!R14)</f>
        <v>0.81581357953667122</v>
      </c>
      <c r="S20" s="89">
        <f>IF(TrAvia_act!S36=0,0,(TrAvia_act!S36/TrAvia_act!S26)/TrAvia_png!S14)</f>
        <v>0.83753018983740968</v>
      </c>
      <c r="T20" s="89">
        <f>IF(TrAvia_act!T36=0,0,(TrAvia_act!T36/TrAvia_act!T26)/TrAvia_png!T14)</f>
        <v>0.83919617795937218</v>
      </c>
      <c r="U20" s="89">
        <f>IF(TrAvia_act!U36=0,0,(TrAvia_act!U36/TrAvia_act!U26)/TrAvia_png!U14)</f>
        <v>0.8492623911921009</v>
      </c>
      <c r="V20" s="89">
        <f>IF(TrAvia_act!V36=0,0,(TrAvia_act!V36/TrAvia_act!V26)/TrAvia_png!V14)</f>
        <v>0.66333332388415123</v>
      </c>
      <c r="W20" s="89">
        <f>IF(TrAvia_act!W36=0,0,(TrAvia_act!W36/TrAvia_act!W26)/TrAvia_png!W14)</f>
        <v>0.66348423673279844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0.72726343612665256</v>
      </c>
      <c r="C21" s="90">
        <f>IF(TrAvia_act!C37=0,0,(TrAvia_act!C37/TrAvia_act!C27)/TrAvia_png!C15)</f>
        <v>0.72603837363468726</v>
      </c>
      <c r="D21" s="90">
        <f>IF(TrAvia_act!D37=0,0,(TrAvia_act!D37/TrAvia_act!D27)/TrAvia_png!D15)</f>
        <v>0.72503785400504706</v>
      </c>
      <c r="E21" s="90">
        <f>IF(TrAvia_act!E37=0,0,(TrAvia_act!E37/TrAvia_act!E27)/TrAvia_png!E15)</f>
        <v>0.72230808252605427</v>
      </c>
      <c r="F21" s="90">
        <f>IF(TrAvia_act!F37=0,0,(TrAvia_act!F37/TrAvia_act!F27)/TrAvia_png!F15)</f>
        <v>0.71892105822443342</v>
      </c>
      <c r="G21" s="90">
        <f>IF(TrAvia_act!G37=0,0,(TrAvia_act!G37/TrAvia_act!G27)/TrAvia_png!G15)</f>
        <v>0.71475708817777139</v>
      </c>
      <c r="H21" s="90">
        <f>IF(TrAvia_act!H37=0,0,(TrAvia_act!H37/TrAvia_act!H27)/TrAvia_png!H15)</f>
        <v>0.7099013792295511</v>
      </c>
      <c r="I21" s="90">
        <f>IF(TrAvia_act!I37=0,0,(TrAvia_act!I37/TrAvia_act!I27)/TrAvia_png!I15)</f>
        <v>0.71182649200985471</v>
      </c>
      <c r="J21" s="90">
        <f>IF(TrAvia_act!J37=0,0,(TrAvia_act!J37/TrAvia_act!J27)/TrAvia_png!J15)</f>
        <v>0.68687464860962599</v>
      </c>
      <c r="K21" s="90">
        <f>IF(TrAvia_act!K37=0,0,(TrAvia_act!K37/TrAvia_act!K27)/TrAvia_png!K15)</f>
        <v>0.67524667562558205</v>
      </c>
      <c r="L21" s="90">
        <f>IF(TrAvia_act!L37=0,0,(TrAvia_act!L37/TrAvia_act!L27)/TrAvia_png!L15)</f>
        <v>0.66148803300677739</v>
      </c>
      <c r="M21" s="90">
        <f>IF(TrAvia_act!M37=0,0,(TrAvia_act!M37/TrAvia_act!M27)/TrAvia_png!M15)</f>
        <v>0.64822444492765974</v>
      </c>
      <c r="N21" s="90">
        <f>IF(TrAvia_act!N37=0,0,(TrAvia_act!N37/TrAvia_act!N27)/TrAvia_png!N15)</f>
        <v>0.73799785611377555</v>
      </c>
      <c r="O21" s="90">
        <f>IF(TrAvia_act!O37=0,0,(TrAvia_act!O37/TrAvia_act!O27)/TrAvia_png!O15)</f>
        <v>0.7188771615156323</v>
      </c>
      <c r="P21" s="90">
        <f>IF(TrAvia_act!P37=0,0,(TrAvia_act!P37/TrAvia_act!P27)/TrAvia_png!P15)</f>
        <v>0.72527771343397818</v>
      </c>
      <c r="Q21" s="90">
        <f>IF(TrAvia_act!Q37=0,0,(TrAvia_act!Q37/TrAvia_act!Q27)/TrAvia_png!Q15)</f>
        <v>0.58686840586139422</v>
      </c>
      <c r="R21" s="90">
        <f>IF(TrAvia_act!R37=0,0,(TrAvia_act!R37/TrAvia_act!R27)/TrAvia_png!R15)</f>
        <v>0.75931268415815933</v>
      </c>
      <c r="S21" s="90">
        <f>IF(TrAvia_act!S37=0,0,(TrAvia_act!S37/TrAvia_act!S27)/TrAvia_png!S15)</f>
        <v>0.80236111115230146</v>
      </c>
      <c r="T21" s="90">
        <f>IF(TrAvia_act!T37=0,0,(TrAvia_act!T37/TrAvia_act!T27)/TrAvia_png!T15)</f>
        <v>0.81035988887911292</v>
      </c>
      <c r="U21" s="90">
        <f>IF(TrAvia_act!U37=0,0,(TrAvia_act!U37/TrAvia_act!U27)/TrAvia_png!U15)</f>
        <v>0.84748451114796519</v>
      </c>
      <c r="V21" s="90">
        <f>IF(TrAvia_act!V37=0,0,(TrAvia_act!V37/TrAvia_act!V27)/TrAvia_png!V15)</f>
        <v>0.64097355644666254</v>
      </c>
      <c r="W21" s="90">
        <f>IF(TrAvia_act!W37=0,0,(TrAvia_act!W37/TrAvia_act!W27)/TrAvia_png!W15)</f>
        <v>0.73958100454863052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4.0072622646620405E-2</v>
      </c>
      <c r="C24" s="23">
        <f>IF(TrAvia_ene!C6=0,0,TrAvia_ene!C6/(C12*TrAvia_act!C14))</f>
        <v>3.9326515031637352E-2</v>
      </c>
      <c r="D24" s="23">
        <f>IF(TrAvia_ene!D6=0,0,TrAvia_ene!D6/(D12*TrAvia_act!D14))</f>
        <v>3.8439738472829471E-2</v>
      </c>
      <c r="E24" s="23">
        <f>IF(TrAvia_ene!E6=0,0,TrAvia_ene!E6/(E12*TrAvia_act!E14))</f>
        <v>3.7493128151051817E-2</v>
      </c>
      <c r="F24" s="23">
        <f>IF(TrAvia_ene!F6=0,0,TrAvia_ene!F6/(F12*TrAvia_act!F14))</f>
        <v>3.6630581050192811E-2</v>
      </c>
      <c r="G24" s="23">
        <f>IF(TrAvia_ene!G6=0,0,TrAvia_ene!G6/(G12*TrAvia_act!G14))</f>
        <v>3.3585964139675947E-2</v>
      </c>
      <c r="H24" s="23">
        <f>IF(TrAvia_ene!H6=0,0,TrAvia_ene!H6/(H12*TrAvia_act!H14))</f>
        <v>3.4896214732607969E-2</v>
      </c>
      <c r="I24" s="23">
        <f>IF(TrAvia_ene!I6=0,0,TrAvia_ene!I6/(I12*TrAvia_act!I14))</f>
        <v>2.8453495656270662E-2</v>
      </c>
      <c r="J24" s="23">
        <f>IF(TrAvia_ene!J6=0,0,TrAvia_ene!J6/(J12*TrAvia_act!J14))</f>
        <v>3.0919623038384431E-2</v>
      </c>
      <c r="K24" s="23">
        <f>IF(TrAvia_ene!K6=0,0,TrAvia_ene!K6/(K12*TrAvia_act!K14))</f>
        <v>3.1167605517464923E-2</v>
      </c>
      <c r="L24" s="23">
        <f>IF(TrAvia_ene!L6=0,0,TrAvia_ene!L6/(L12*TrAvia_act!L14))</f>
        <v>3.075540530656843E-2</v>
      </c>
      <c r="M24" s="23">
        <f>IF(TrAvia_ene!M6=0,0,TrAvia_ene!M6/(M12*TrAvia_act!M14))</f>
        <v>2.8699820681977743E-2</v>
      </c>
      <c r="N24" s="23">
        <f>IF(TrAvia_ene!N6=0,0,TrAvia_ene!N6/(N12*TrAvia_act!N14))</f>
        <v>3.2361083016408977E-2</v>
      </c>
      <c r="O24" s="23">
        <f>IF(TrAvia_ene!O6=0,0,TrAvia_ene!O6/(O12*TrAvia_act!O14))</f>
        <v>2.8257751234579031E-2</v>
      </c>
      <c r="P24" s="23">
        <f>IF(TrAvia_ene!P6=0,0,TrAvia_ene!P6/(P12*TrAvia_act!P14))</f>
        <v>2.8565757017888122E-2</v>
      </c>
      <c r="Q24" s="23">
        <f>IF(TrAvia_ene!Q6=0,0,TrAvia_ene!Q6/(Q12*TrAvia_act!Q14))</f>
        <v>2.681128432880631E-2</v>
      </c>
      <c r="R24" s="23">
        <f>IF(TrAvia_ene!R6=0,0,TrAvia_ene!R6/(R12*TrAvia_act!R14))</f>
        <v>2.7530748583378579E-2</v>
      </c>
      <c r="S24" s="23">
        <f>IF(TrAvia_ene!S6=0,0,TrAvia_ene!S6/(S12*TrAvia_act!S14))</f>
        <v>2.9199772353549341E-2</v>
      </c>
      <c r="T24" s="23">
        <f>IF(TrAvia_ene!T6=0,0,TrAvia_ene!T6/(T12*TrAvia_act!T14))</f>
        <v>2.8585386725552275E-2</v>
      </c>
      <c r="U24" s="23">
        <f>IF(TrAvia_ene!U6=0,0,TrAvia_ene!U6/(U12*TrAvia_act!U14))</f>
        <v>2.9347321729458847E-2</v>
      </c>
      <c r="V24" s="23">
        <f>IF(TrAvia_ene!V6=0,0,TrAvia_ene!V6/(V12*TrAvia_act!V14))</f>
        <v>3.1938099359090047E-2</v>
      </c>
      <c r="W24" s="23">
        <f>IF(TrAvia_ene!W6=0,0,TrAvia_ene!W6/(W12*TrAvia_act!W14))</f>
        <v>2.8554753627838669E-2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7.014074356102842E-3</v>
      </c>
      <c r="C25" s="91">
        <f>IF(TrAvia_ene!C7=0,0,TrAvia_ene!C7/(C13*TrAvia_act!C15))</f>
        <v>6.9438799312952909E-3</v>
      </c>
      <c r="D25" s="91">
        <f>IF(TrAvia_ene!D7=0,0,TrAvia_ene!D7/(D13*TrAvia_act!D15))</f>
        <v>6.8388128502165028E-3</v>
      </c>
      <c r="E25" s="91">
        <f>IF(TrAvia_ene!E7=0,0,TrAvia_ene!E7/(E13*TrAvia_act!E15))</f>
        <v>6.6252144711319867E-3</v>
      </c>
      <c r="F25" s="91">
        <f>IF(TrAvia_ene!F7=0,0,TrAvia_ene!F7/(F13*TrAvia_act!F15))</f>
        <v>6.4605023416004752E-3</v>
      </c>
      <c r="G25" s="91">
        <f>IF(TrAvia_ene!G7=0,0,TrAvia_ene!G7/(G13*TrAvia_act!G15))</f>
        <v>6.124046357615676E-3</v>
      </c>
      <c r="H25" s="91">
        <f>IF(TrAvia_ene!H7=0,0,TrAvia_ene!H7/(H13*TrAvia_act!H15))</f>
        <v>6.0819563214193333E-3</v>
      </c>
      <c r="I25" s="91">
        <f>IF(TrAvia_ene!I7=0,0,TrAvia_ene!I7/(I13*TrAvia_act!I15))</f>
        <v>6.8006016723338881E-3</v>
      </c>
      <c r="J25" s="91">
        <f>IF(TrAvia_ene!J7=0,0,TrAvia_ene!J7/(J13*TrAvia_act!J15))</f>
        <v>5.2401267109622972E-3</v>
      </c>
      <c r="K25" s="91">
        <f>IF(TrAvia_ene!K7=0,0,TrAvia_ene!K7/(K13*TrAvia_act!K15))</f>
        <v>7.5154850681185374E-3</v>
      </c>
      <c r="L25" s="91">
        <f>IF(TrAvia_ene!L7=0,0,TrAvia_ene!L7/(L13*TrAvia_act!L15))</f>
        <v>6.6506961945639329E-3</v>
      </c>
      <c r="M25" s="91">
        <f>IF(TrAvia_ene!M7=0,0,TrAvia_ene!M7/(M13*TrAvia_act!M15))</f>
        <v>7.3436046185691474E-3</v>
      </c>
      <c r="N25" s="91">
        <f>IF(TrAvia_ene!N7=0,0,TrAvia_ene!N7/(N13*TrAvia_act!N15))</f>
        <v>1.7636659543673969E-2</v>
      </c>
      <c r="O25" s="91">
        <f>IF(TrAvia_ene!O7=0,0,TrAvia_ene!O7/(O13*TrAvia_act!O15))</f>
        <v>2.0429605468619921E-2</v>
      </c>
      <c r="P25" s="91">
        <f>IF(TrAvia_ene!P7=0,0,TrAvia_ene!P7/(P13*TrAvia_act!P15))</f>
        <v>2.8381783004591165E-2</v>
      </c>
      <c r="Q25" s="91">
        <f>IF(TrAvia_ene!Q7=0,0,TrAvia_ene!Q7/(Q13*TrAvia_act!Q15))</f>
        <v>2.1471985880891914E-2</v>
      </c>
      <c r="R25" s="91">
        <f>IF(TrAvia_ene!R7=0,0,TrAvia_ene!R7/(R13*TrAvia_act!R15))</f>
        <v>2.7985577858974518E-2</v>
      </c>
      <c r="S25" s="91">
        <f>IF(TrAvia_ene!S7=0,0,TrAvia_ene!S7/(S13*TrAvia_act!S15))</f>
        <v>2.7489281415792186E-2</v>
      </c>
      <c r="T25" s="91">
        <f>IF(TrAvia_ene!T7=0,0,TrAvia_ene!T7/(T13*TrAvia_act!T15))</f>
        <v>3.7789151175749283E-2</v>
      </c>
      <c r="U25" s="91">
        <f>IF(TrAvia_ene!U7=0,0,TrAvia_ene!U7/(U13*TrAvia_act!U15))</f>
        <v>3.8488285311541297E-2</v>
      </c>
      <c r="V25" s="91">
        <f>IF(TrAvia_ene!V7=0,0,TrAvia_ene!V7/(V13*TrAvia_act!V15))</f>
        <v>4.2540099601246231E-2</v>
      </c>
      <c r="W25" s="91">
        <f>IF(TrAvia_ene!W7=0,0,TrAvia_ene!W7/(W13*TrAvia_act!W15))</f>
        <v>6.7578568607122164E-2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4.1984806753011847E-2</v>
      </c>
      <c r="C26" s="93">
        <f>IF(TrAvia_ene!C8=0,0,TrAvia_ene!C8/(C14*TrAvia_act!C16))</f>
        <v>4.112988249316149E-2</v>
      </c>
      <c r="D26" s="93">
        <f>IF(TrAvia_ene!D8=0,0,TrAvia_ene!D8/(D14*TrAvia_act!D16))</f>
        <v>4.0141305329606559E-2</v>
      </c>
      <c r="E26" s="93">
        <f>IF(TrAvia_ene!E8=0,0,TrAvia_ene!E8/(E14*TrAvia_act!E16))</f>
        <v>3.9195698807451294E-2</v>
      </c>
      <c r="F26" s="93">
        <f>IF(TrAvia_ene!F8=0,0,TrAvia_ene!F8/(F14*TrAvia_act!F16))</f>
        <v>3.8292366229716851E-2</v>
      </c>
      <c r="G26" s="93">
        <f>IF(TrAvia_ene!G8=0,0,TrAvia_ene!G8/(G14*TrAvia_act!G16))</f>
        <v>3.4556900627612637E-2</v>
      </c>
      <c r="H26" s="93">
        <f>IF(TrAvia_ene!H8=0,0,TrAvia_ene!H8/(H14*TrAvia_act!H16))</f>
        <v>3.6123348774870105E-2</v>
      </c>
      <c r="I26" s="93">
        <f>IF(TrAvia_ene!I8=0,0,TrAvia_ene!I8/(I14*TrAvia_act!I16))</f>
        <v>2.9296722655589989E-2</v>
      </c>
      <c r="J26" s="93">
        <f>IF(TrAvia_ene!J8=0,0,TrAvia_ene!J8/(J14*TrAvia_act!J16))</f>
        <v>3.3029544573694218E-2</v>
      </c>
      <c r="K26" s="93">
        <f>IF(TrAvia_ene!K8=0,0,TrAvia_ene!K8/(K14*TrAvia_act!K16))</f>
        <v>3.1934793795654275E-2</v>
      </c>
      <c r="L26" s="93">
        <f>IF(TrAvia_ene!L8=0,0,TrAvia_ene!L8/(L14*TrAvia_act!L16))</f>
        <v>3.2157812271348583E-2</v>
      </c>
      <c r="M26" s="93">
        <f>IF(TrAvia_ene!M8=0,0,TrAvia_ene!M8/(M14*TrAvia_act!M16))</f>
        <v>2.875533823734781E-2</v>
      </c>
      <c r="N26" s="93">
        <f>IF(TrAvia_ene!N8=0,0,TrAvia_ene!N8/(N14*TrAvia_act!N16))</f>
        <v>3.1877506438768112E-2</v>
      </c>
      <c r="O26" s="93">
        <f>IF(TrAvia_ene!O8=0,0,TrAvia_ene!O8/(O14*TrAvia_act!O16))</f>
        <v>2.7139749128743448E-2</v>
      </c>
      <c r="P26" s="93">
        <f>IF(TrAvia_ene!P8=0,0,TrAvia_ene!P8/(P14*TrAvia_act!P16))</f>
        <v>2.830693713359915E-2</v>
      </c>
      <c r="Q26" s="93">
        <f>IF(TrAvia_ene!Q8=0,0,TrAvia_ene!Q8/(Q14*TrAvia_act!Q16))</f>
        <v>2.7383631439566923E-2</v>
      </c>
      <c r="R26" s="93">
        <f>IF(TrAvia_ene!R8=0,0,TrAvia_ene!R8/(R14*TrAvia_act!R16))</f>
        <v>2.5880511644878073E-2</v>
      </c>
      <c r="S26" s="93">
        <f>IF(TrAvia_ene!S8=0,0,TrAvia_ene!S8/(S14*TrAvia_act!S16))</f>
        <v>2.9368808474640514E-2</v>
      </c>
      <c r="T26" s="93">
        <f>IF(TrAvia_ene!T8=0,0,TrAvia_ene!T8/(T14*TrAvia_act!T16))</f>
        <v>3.1235565484853532E-2</v>
      </c>
      <c r="U26" s="93">
        <f>IF(TrAvia_ene!U8=0,0,TrAvia_ene!U8/(U14*TrAvia_act!U16))</f>
        <v>3.3659540989538494E-2</v>
      </c>
      <c r="V26" s="93">
        <f>IF(TrAvia_ene!V8=0,0,TrAvia_ene!V8/(V14*TrAvia_act!V16))</f>
        <v>3.0491069986652981E-2</v>
      </c>
      <c r="W26" s="93">
        <f>IF(TrAvia_ene!W8=0,0,TrAvia_ene!W8/(W14*TrAvia_act!W16))</f>
        <v>2.9713744846112295E-2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3.3129873704006392E-2</v>
      </c>
      <c r="C27" s="94">
        <f>IF(TrAvia_ene!C9=0,0,TrAvia_ene!C9/(C15*TrAvia_act!C17))</f>
        <v>3.2471130295056008E-2</v>
      </c>
      <c r="D27" s="94">
        <f>IF(TrAvia_ene!D9=0,0,TrAvia_ene!D9/(D15*TrAvia_act!D17))</f>
        <v>3.1931423664345281E-2</v>
      </c>
      <c r="E27" s="94">
        <f>IF(TrAvia_ene!E9=0,0,TrAvia_ene!E9/(E15*TrAvia_act!E17))</f>
        <v>3.119489920495383E-2</v>
      </c>
      <c r="F27" s="94">
        <f>IF(TrAvia_ene!F9=0,0,TrAvia_ene!F9/(F15*TrAvia_act!F17))</f>
        <v>3.0402394413748271E-2</v>
      </c>
      <c r="G27" s="94">
        <f>IF(TrAvia_ene!G9=0,0,TrAvia_ene!G9/(G15*TrAvia_act!G17))</f>
        <v>2.8637522459190799E-2</v>
      </c>
      <c r="H27" s="94">
        <f>IF(TrAvia_ene!H9=0,0,TrAvia_ene!H9/(H15*TrAvia_act!H17))</f>
        <v>2.9154269436874769E-2</v>
      </c>
      <c r="I27" s="94">
        <f>IF(TrAvia_ene!I9=0,0,TrAvia_ene!I9/(I15*TrAvia_act!I17))</f>
        <v>2.4025774641980437E-2</v>
      </c>
      <c r="J27" s="94">
        <f>IF(TrAvia_ene!J9=0,0,TrAvia_ene!J9/(J15*TrAvia_act!J17))</f>
        <v>2.1595625252617715E-2</v>
      </c>
      <c r="K27" s="94">
        <f>IF(TrAvia_ene!K9=0,0,TrAvia_ene!K9/(K15*TrAvia_act!K17))</f>
        <v>2.4302430919412189E-2</v>
      </c>
      <c r="L27" s="94">
        <f>IF(TrAvia_ene!L9=0,0,TrAvia_ene!L9/(L15*TrAvia_act!L17))</f>
        <v>2.3447419900412533E-2</v>
      </c>
      <c r="M27" s="94">
        <f>IF(TrAvia_ene!M9=0,0,TrAvia_ene!M9/(M15*TrAvia_act!M17))</f>
        <v>2.4286140530866071E-2</v>
      </c>
      <c r="N27" s="94">
        <f>IF(TrAvia_ene!N9=0,0,TrAvia_ene!N9/(N15*TrAvia_act!N17))</f>
        <v>2.7575866080816601E-2</v>
      </c>
      <c r="O27" s="94">
        <f>IF(TrAvia_ene!O9=0,0,TrAvia_ene!O9/(O15*TrAvia_act!O17))</f>
        <v>2.487322355785956E-2</v>
      </c>
      <c r="P27" s="94">
        <f>IF(TrAvia_ene!P9=0,0,TrAvia_ene!P9/(P15*TrAvia_act!P17))</f>
        <v>2.4405076071680555E-2</v>
      </c>
      <c r="Q27" s="94">
        <f>IF(TrAvia_ene!Q9=0,0,TrAvia_ene!Q9/(Q15*TrAvia_act!Q17))</f>
        <v>2.2092764506936317E-2</v>
      </c>
      <c r="R27" s="94">
        <f>IF(TrAvia_ene!R9=0,0,TrAvia_ene!R9/(R15*TrAvia_act!R17))</f>
        <v>2.7390322597449498E-2</v>
      </c>
      <c r="S27" s="94">
        <f>IF(TrAvia_ene!S9=0,0,TrAvia_ene!S9/(S15*TrAvia_act!S17))</f>
        <v>2.3256636253068456E-2</v>
      </c>
      <c r="T27" s="94">
        <f>IF(TrAvia_ene!T9=0,0,TrAvia_ene!T9/(T15*TrAvia_act!T17))</f>
        <v>1.8973923803674759E-2</v>
      </c>
      <c r="U27" s="94">
        <f>IF(TrAvia_ene!U9=0,0,TrAvia_ene!U9/(U15*TrAvia_act!U17))</f>
        <v>1.6796403783963375E-2</v>
      </c>
      <c r="V27" s="94">
        <f>IF(TrAvia_ene!V9=0,0,TrAvia_ene!V9/(V15*TrAvia_act!V17))</f>
        <v>2.9471249115584772E-2</v>
      </c>
      <c r="W27" s="94">
        <f>IF(TrAvia_ene!W9=0,0,TrAvia_ene!W9/(W15*TrAvia_act!W17))</f>
        <v>2.0312747295573037E-2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1187.3889999999999</v>
      </c>
      <c r="C3" s="54">
        <f t="shared" si="0"/>
        <v>1277.9780000000001</v>
      </c>
      <c r="D3" s="54">
        <f t="shared" si="0"/>
        <v>1140.566</v>
      </c>
      <c r="E3" s="54">
        <f t="shared" si="0"/>
        <v>887.41600000000005</v>
      </c>
      <c r="F3" s="54">
        <f t="shared" si="0"/>
        <v>385.05700000000002</v>
      </c>
      <c r="G3" s="54">
        <f t="shared" si="0"/>
        <v>373.94799999999998</v>
      </c>
      <c r="H3" s="54">
        <f t="shared" si="0"/>
        <v>332.78100000000001</v>
      </c>
      <c r="I3" s="54">
        <f t="shared" si="0"/>
        <v>309.27999999999997</v>
      </c>
      <c r="J3" s="54">
        <f t="shared" si="0"/>
        <v>316.28100000000001</v>
      </c>
      <c r="K3" s="54">
        <f t="shared" si="0"/>
        <v>229.83600000000001</v>
      </c>
      <c r="L3" s="54">
        <f t="shared" si="0"/>
        <v>157.66900000000001</v>
      </c>
      <c r="M3" s="54">
        <f t="shared" si="0"/>
        <v>212.28199999999998</v>
      </c>
      <c r="N3" s="54">
        <f t="shared" si="0"/>
        <v>177.17000000000002</v>
      </c>
      <c r="O3" s="54">
        <f t="shared" si="0"/>
        <v>131.392</v>
      </c>
      <c r="P3" s="54">
        <f t="shared" si="0"/>
        <v>135.05799999999999</v>
      </c>
      <c r="Q3" s="54">
        <f t="shared" si="0"/>
        <v>122.947</v>
      </c>
      <c r="R3" s="54">
        <f t="shared" ref="R3:V3" si="1">SUM(R4:R5)</f>
        <v>173.672</v>
      </c>
      <c r="S3" s="54">
        <f t="shared" si="1"/>
        <v>181.172</v>
      </c>
      <c r="T3" s="54">
        <f t="shared" si="1"/>
        <v>177.11500000000001</v>
      </c>
      <c r="U3" s="54">
        <f t="shared" si="1"/>
        <v>152.39400000000001</v>
      </c>
      <c r="V3" s="54">
        <f t="shared" si="1"/>
        <v>176.952</v>
      </c>
      <c r="W3" s="54">
        <f t="shared" ref="W3" si="2">SUM(W4:W5)</f>
        <v>193.511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14.388999999999999</v>
      </c>
      <c r="C4" s="56">
        <v>13.978</v>
      </c>
      <c r="D4" s="56">
        <v>14.566000000000001</v>
      </c>
      <c r="E4" s="56">
        <v>15.416</v>
      </c>
      <c r="F4" s="56">
        <v>15.057</v>
      </c>
      <c r="G4" s="56">
        <v>46.948</v>
      </c>
      <c r="H4" s="56">
        <v>43.780999999999999</v>
      </c>
      <c r="I4" s="56">
        <v>32.28</v>
      </c>
      <c r="J4" s="56">
        <v>39.280999999999999</v>
      </c>
      <c r="K4" s="56">
        <v>27.835999999999999</v>
      </c>
      <c r="L4" s="56">
        <v>27.669</v>
      </c>
      <c r="M4" s="56">
        <v>51.281999999999996</v>
      </c>
      <c r="N4" s="56">
        <v>46.17</v>
      </c>
      <c r="O4" s="56">
        <v>40.392000000000003</v>
      </c>
      <c r="P4" s="56">
        <v>25.058</v>
      </c>
      <c r="Q4" s="56">
        <v>34.947000000000003</v>
      </c>
      <c r="R4" s="56">
        <v>65.671999999999997</v>
      </c>
      <c r="S4" s="56">
        <v>66.171999999999997</v>
      </c>
      <c r="T4" s="56">
        <v>52.115000000000002</v>
      </c>
      <c r="U4" s="56">
        <v>65.394000000000005</v>
      </c>
      <c r="V4" s="56">
        <v>99.951999999999998</v>
      </c>
      <c r="W4" s="56">
        <v>139.511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1173</v>
      </c>
      <c r="C5" s="58">
        <v>1264</v>
      </c>
      <c r="D5" s="58">
        <v>1126</v>
      </c>
      <c r="E5" s="58">
        <v>872</v>
      </c>
      <c r="F5" s="58">
        <v>370</v>
      </c>
      <c r="G5" s="58">
        <v>327</v>
      </c>
      <c r="H5" s="58">
        <v>289</v>
      </c>
      <c r="I5" s="58">
        <v>277</v>
      </c>
      <c r="J5" s="58">
        <v>277</v>
      </c>
      <c r="K5" s="58">
        <v>202</v>
      </c>
      <c r="L5" s="58">
        <v>130</v>
      </c>
      <c r="M5" s="58">
        <v>161</v>
      </c>
      <c r="N5" s="58">
        <v>131</v>
      </c>
      <c r="O5" s="58">
        <v>91</v>
      </c>
      <c r="P5" s="58">
        <v>110</v>
      </c>
      <c r="Q5" s="58">
        <v>88</v>
      </c>
      <c r="R5" s="58">
        <v>108</v>
      </c>
      <c r="S5" s="58">
        <v>115</v>
      </c>
      <c r="T5" s="58">
        <v>125</v>
      </c>
      <c r="U5" s="58">
        <v>87</v>
      </c>
      <c r="V5" s="58">
        <v>77</v>
      </c>
      <c r="W5" s="58">
        <v>54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1.575</v>
      </c>
      <c r="C7" s="59">
        <f t="shared" si="3"/>
        <v>1.5549999999999999</v>
      </c>
      <c r="D7" s="59">
        <f t="shared" si="3"/>
        <v>1.2569999999999999</v>
      </c>
      <c r="E7" s="59">
        <f t="shared" si="3"/>
        <v>1.7369999999999999</v>
      </c>
      <c r="F7" s="59">
        <f t="shared" si="3"/>
        <v>1.4</v>
      </c>
      <c r="G7" s="59">
        <f t="shared" si="3"/>
        <v>1.091</v>
      </c>
      <c r="H7" s="59">
        <f t="shared" si="3"/>
        <v>1.141</v>
      </c>
      <c r="I7" s="59">
        <f t="shared" si="3"/>
        <v>0.98099999999999998</v>
      </c>
      <c r="J7" s="59">
        <f t="shared" si="3"/>
        <v>0.91</v>
      </c>
      <c r="K7" s="59">
        <f t="shared" si="3"/>
        <v>0.45200000000000001</v>
      </c>
      <c r="L7" s="59">
        <f t="shared" si="3"/>
        <v>0.38800000000000001</v>
      </c>
      <c r="M7" s="59">
        <f t="shared" si="3"/>
        <v>0.47800000000000004</v>
      </c>
      <c r="N7" s="59">
        <f t="shared" si="3"/>
        <v>0.47100000000000003</v>
      </c>
      <c r="O7" s="59">
        <f t="shared" si="3"/>
        <v>0.39500000000000002</v>
      </c>
      <c r="P7" s="59">
        <f t="shared" si="3"/>
        <v>0.41300000000000003</v>
      </c>
      <c r="Q7" s="59">
        <f t="shared" si="3"/>
        <v>0.253</v>
      </c>
      <c r="R7" s="59">
        <f t="shared" ref="R7:V7" si="4">SUM(R8:R9)</f>
        <v>0.30100000000000005</v>
      </c>
      <c r="S7" s="59">
        <f t="shared" si="4"/>
        <v>0.39900000000000002</v>
      </c>
      <c r="T7" s="59">
        <f t="shared" si="4"/>
        <v>0.313</v>
      </c>
      <c r="U7" s="59">
        <f t="shared" si="4"/>
        <v>0.246</v>
      </c>
      <c r="V7" s="59">
        <f t="shared" si="4"/>
        <v>0.21199999999999999</v>
      </c>
      <c r="W7" s="59">
        <f t="shared" ref="W7" si="5">SUM(W8:W9)</f>
        <v>0.17899999999999999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7.0000000000000001E-3</v>
      </c>
      <c r="C8" s="60">
        <v>7.0000000000000001E-3</v>
      </c>
      <c r="D8" s="60">
        <v>7.0000000000000001E-3</v>
      </c>
      <c r="E8" s="60">
        <v>7.0000000000000001E-3</v>
      </c>
      <c r="F8" s="60">
        <v>7.0000000000000001E-3</v>
      </c>
      <c r="G8" s="60">
        <v>2.4E-2</v>
      </c>
      <c r="H8" s="60">
        <v>2.1999999999999999E-2</v>
      </c>
      <c r="I8" s="60">
        <v>1.6E-2</v>
      </c>
      <c r="J8" s="60">
        <v>1.7000000000000001E-2</v>
      </c>
      <c r="K8" s="60">
        <v>1.2E-2</v>
      </c>
      <c r="L8" s="60">
        <v>1.2E-2</v>
      </c>
      <c r="M8" s="60">
        <v>2.1000000000000001E-2</v>
      </c>
      <c r="N8" s="60">
        <v>1.9E-2</v>
      </c>
      <c r="O8" s="60">
        <v>1.6E-2</v>
      </c>
      <c r="P8" s="60">
        <v>0.01</v>
      </c>
      <c r="Q8" s="60">
        <v>1.2999999999999999E-2</v>
      </c>
      <c r="R8" s="60">
        <v>2.4E-2</v>
      </c>
      <c r="S8" s="60">
        <v>2.4E-2</v>
      </c>
      <c r="T8" s="60">
        <v>1.9E-2</v>
      </c>
      <c r="U8" s="60">
        <v>2.4E-2</v>
      </c>
      <c r="V8" s="60">
        <v>3.4000000000000002E-2</v>
      </c>
      <c r="W8" s="60">
        <v>4.7E-2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1.5680000000000001</v>
      </c>
      <c r="C9" s="61">
        <v>1.548</v>
      </c>
      <c r="D9" s="61">
        <v>1.25</v>
      </c>
      <c r="E9" s="61">
        <v>1.73</v>
      </c>
      <c r="F9" s="61">
        <v>1.393</v>
      </c>
      <c r="G9" s="61">
        <v>1.0669999999999999</v>
      </c>
      <c r="H9" s="61">
        <v>1.119</v>
      </c>
      <c r="I9" s="61">
        <v>0.96499999999999997</v>
      </c>
      <c r="J9" s="61">
        <v>0.89300000000000002</v>
      </c>
      <c r="K9" s="61">
        <v>0.44</v>
      </c>
      <c r="L9" s="61">
        <v>0.376</v>
      </c>
      <c r="M9" s="61">
        <v>0.45700000000000002</v>
      </c>
      <c r="N9" s="61">
        <v>0.45200000000000001</v>
      </c>
      <c r="O9" s="61">
        <v>0.379</v>
      </c>
      <c r="P9" s="61">
        <v>0.40300000000000002</v>
      </c>
      <c r="Q9" s="61">
        <v>0.24</v>
      </c>
      <c r="R9" s="61">
        <v>0.27700000000000002</v>
      </c>
      <c r="S9" s="61">
        <v>0.375</v>
      </c>
      <c r="T9" s="61">
        <v>0.29399999999999998</v>
      </c>
      <c r="U9" s="61">
        <v>0.222</v>
      </c>
      <c r="V9" s="61">
        <v>0.17799999999999999</v>
      </c>
      <c r="W9" s="61">
        <v>0.13200000000000001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753.89777777777772</v>
      </c>
      <c r="C13" s="62">
        <f t="shared" si="6"/>
        <v>821.85080385852098</v>
      </c>
      <c r="D13" s="62">
        <f t="shared" si="6"/>
        <v>907.37151949085137</v>
      </c>
      <c r="E13" s="62">
        <f t="shared" si="6"/>
        <v>510.89004029936677</v>
      </c>
      <c r="F13" s="62">
        <f t="shared" ref="F13:V13" si="7">IF(F3=0,0,F3/F7)</f>
        <v>275.04071428571433</v>
      </c>
      <c r="G13" s="62">
        <f t="shared" si="7"/>
        <v>342.75710357470211</v>
      </c>
      <c r="H13" s="62">
        <f t="shared" si="7"/>
        <v>291.65731814198074</v>
      </c>
      <c r="I13" s="62">
        <f t="shared" si="7"/>
        <v>315.27013251783893</v>
      </c>
      <c r="J13" s="62">
        <f t="shared" si="7"/>
        <v>347.56153846153848</v>
      </c>
      <c r="K13" s="62">
        <f t="shared" si="7"/>
        <v>508.48672566371681</v>
      </c>
      <c r="L13" s="62">
        <f t="shared" si="7"/>
        <v>406.36340206185571</v>
      </c>
      <c r="M13" s="62">
        <f t="shared" si="7"/>
        <v>444.10460251046015</v>
      </c>
      <c r="N13" s="62">
        <f t="shared" si="7"/>
        <v>376.15711252653927</v>
      </c>
      <c r="O13" s="62">
        <f t="shared" si="7"/>
        <v>332.63797468354426</v>
      </c>
      <c r="P13" s="62">
        <f t="shared" si="7"/>
        <v>327.01694915254234</v>
      </c>
      <c r="Q13" s="62">
        <f t="shared" si="7"/>
        <v>485.95652173913044</v>
      </c>
      <c r="R13" s="62">
        <f t="shared" si="7"/>
        <v>576.98338870431883</v>
      </c>
      <c r="S13" s="62">
        <f t="shared" si="7"/>
        <v>454.06516290726813</v>
      </c>
      <c r="T13" s="62">
        <f t="shared" si="7"/>
        <v>565.8626198083067</v>
      </c>
      <c r="U13" s="62">
        <f t="shared" si="7"/>
        <v>619.48780487804879</v>
      </c>
      <c r="V13" s="62">
        <f t="shared" si="7"/>
        <v>834.67924528301887</v>
      </c>
      <c r="W13" s="62">
        <f t="shared" ref="W13" si="8">IF(W3=0,0,W3/W7)</f>
        <v>1081.0670391061453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2055.5714285714284</v>
      </c>
      <c r="C14" s="63">
        <f t="shared" si="6"/>
        <v>1996.8571428571429</v>
      </c>
      <c r="D14" s="63">
        <f t="shared" si="6"/>
        <v>2080.8571428571431</v>
      </c>
      <c r="E14" s="63">
        <f t="shared" si="6"/>
        <v>2202.2857142857142</v>
      </c>
      <c r="F14" s="63">
        <f t="shared" ref="F14:V14" si="9">IF(F4=0,0,F4/F8)</f>
        <v>2151</v>
      </c>
      <c r="G14" s="63">
        <f t="shared" si="9"/>
        <v>1956.1666666666667</v>
      </c>
      <c r="H14" s="63">
        <f t="shared" si="9"/>
        <v>1990.0454545454545</v>
      </c>
      <c r="I14" s="63">
        <f t="shared" si="9"/>
        <v>2017.5</v>
      </c>
      <c r="J14" s="63">
        <f t="shared" si="9"/>
        <v>2310.6470588235293</v>
      </c>
      <c r="K14" s="63">
        <f t="shared" si="9"/>
        <v>2319.6666666666665</v>
      </c>
      <c r="L14" s="63">
        <f t="shared" si="9"/>
        <v>2305.75</v>
      </c>
      <c r="M14" s="63">
        <f t="shared" si="9"/>
        <v>2441.9999999999995</v>
      </c>
      <c r="N14" s="63">
        <f t="shared" si="9"/>
        <v>2430</v>
      </c>
      <c r="O14" s="63">
        <f t="shared" si="9"/>
        <v>2524.5</v>
      </c>
      <c r="P14" s="63">
        <f t="shared" si="9"/>
        <v>2505.7999999999997</v>
      </c>
      <c r="Q14" s="63">
        <f t="shared" si="9"/>
        <v>2688.2307692307695</v>
      </c>
      <c r="R14" s="63">
        <f t="shared" si="9"/>
        <v>2736.333333333333</v>
      </c>
      <c r="S14" s="63">
        <f t="shared" si="9"/>
        <v>2757.1666666666665</v>
      </c>
      <c r="T14" s="63">
        <f t="shared" si="9"/>
        <v>2742.8947368421054</v>
      </c>
      <c r="U14" s="63">
        <f t="shared" si="9"/>
        <v>2724.75</v>
      </c>
      <c r="V14" s="63">
        <f t="shared" si="9"/>
        <v>2939.7647058823527</v>
      </c>
      <c r="W14" s="63">
        <f t="shared" ref="W14" si="10">IF(W4=0,0,W4/W8)</f>
        <v>2968.3191489361702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748.08673469387747</v>
      </c>
      <c r="C15" s="64">
        <f t="shared" si="6"/>
        <v>816.53746770025839</v>
      </c>
      <c r="D15" s="64">
        <f t="shared" si="6"/>
        <v>900.8</v>
      </c>
      <c r="E15" s="64">
        <f t="shared" si="6"/>
        <v>504.04624277456645</v>
      </c>
      <c r="F15" s="64">
        <f t="shared" ref="F15:V15" si="11">IF(F5=0,0,F5/F9)</f>
        <v>265.61378320172292</v>
      </c>
      <c r="G15" s="64">
        <f t="shared" si="11"/>
        <v>306.46672914714151</v>
      </c>
      <c r="H15" s="64">
        <f t="shared" si="11"/>
        <v>258.26630920464703</v>
      </c>
      <c r="I15" s="64">
        <f t="shared" si="11"/>
        <v>287.04663212435236</v>
      </c>
      <c r="J15" s="64">
        <f t="shared" si="11"/>
        <v>310.19036954087346</v>
      </c>
      <c r="K15" s="64">
        <f t="shared" si="11"/>
        <v>459.09090909090907</v>
      </c>
      <c r="L15" s="64">
        <f t="shared" si="11"/>
        <v>345.74468085106383</v>
      </c>
      <c r="M15" s="64">
        <f t="shared" si="11"/>
        <v>352.29759299781182</v>
      </c>
      <c r="N15" s="64">
        <f t="shared" si="11"/>
        <v>289.82300884955754</v>
      </c>
      <c r="O15" s="64">
        <f t="shared" si="11"/>
        <v>240.10554089709763</v>
      </c>
      <c r="P15" s="64">
        <f t="shared" si="11"/>
        <v>272.95285359801488</v>
      </c>
      <c r="Q15" s="64">
        <f t="shared" si="11"/>
        <v>366.66666666666669</v>
      </c>
      <c r="R15" s="64">
        <f t="shared" si="11"/>
        <v>389.8916967509025</v>
      </c>
      <c r="S15" s="64">
        <f t="shared" si="11"/>
        <v>306.66666666666669</v>
      </c>
      <c r="T15" s="64">
        <f t="shared" si="11"/>
        <v>425.1700680272109</v>
      </c>
      <c r="U15" s="64">
        <f t="shared" si="11"/>
        <v>391.89189189189187</v>
      </c>
      <c r="V15" s="64">
        <f t="shared" si="11"/>
        <v>432.58426966292137</v>
      </c>
      <c r="W15" s="64">
        <f t="shared" ref="W15" si="12">IF(W5=0,0,W5/W9)</f>
        <v>409.09090909090907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1.2118185363010774E-2</v>
      </c>
      <c r="C18" s="66">
        <f t="shared" si="16"/>
        <v>1.0937590474953402E-2</v>
      </c>
      <c r="D18" s="66">
        <f t="shared" si="16"/>
        <v>1.2770852366281303E-2</v>
      </c>
      <c r="E18" s="66">
        <f t="shared" si="16"/>
        <v>1.7371785047824245E-2</v>
      </c>
      <c r="F18" s="66">
        <f t="shared" ref="F18:V18" si="17">IF(F4=0,0,F4/F$3)</f>
        <v>3.9103301589115375E-2</v>
      </c>
      <c r="G18" s="66">
        <f t="shared" si="17"/>
        <v>0.12554686747890081</v>
      </c>
      <c r="H18" s="66">
        <f t="shared" si="17"/>
        <v>0.13156099657131867</v>
      </c>
      <c r="I18" s="66">
        <f t="shared" si="17"/>
        <v>0.10437144335230214</v>
      </c>
      <c r="J18" s="66">
        <f t="shared" si="17"/>
        <v>0.12419652144769998</v>
      </c>
      <c r="K18" s="66">
        <f t="shared" si="17"/>
        <v>0.12111244539584747</v>
      </c>
      <c r="L18" s="66">
        <f t="shared" si="17"/>
        <v>0.17548788918557229</v>
      </c>
      <c r="M18" s="66">
        <f t="shared" si="17"/>
        <v>0.24157488623623294</v>
      </c>
      <c r="N18" s="66">
        <f t="shared" si="17"/>
        <v>0.26059716656318788</v>
      </c>
      <c r="O18" s="66">
        <f t="shared" si="17"/>
        <v>0.30741597661958114</v>
      </c>
      <c r="P18" s="66">
        <f t="shared" si="17"/>
        <v>0.18553510343704188</v>
      </c>
      <c r="Q18" s="66">
        <f t="shared" si="17"/>
        <v>0.28424443052697507</v>
      </c>
      <c r="R18" s="66">
        <f t="shared" si="17"/>
        <v>0.37813809940577642</v>
      </c>
      <c r="S18" s="66">
        <f t="shared" si="17"/>
        <v>0.36524407745126175</v>
      </c>
      <c r="T18" s="66">
        <f t="shared" si="17"/>
        <v>0.29424385286395843</v>
      </c>
      <c r="U18" s="66">
        <f t="shared" si="17"/>
        <v>0.42911138233788731</v>
      </c>
      <c r="V18" s="66">
        <f t="shared" si="17"/>
        <v>0.56485374564853741</v>
      </c>
      <c r="W18" s="66">
        <f t="shared" ref="W18" si="18">IF(W4=0,0,W4/W$3)</f>
        <v>0.72094609608756088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0.98788181463698932</v>
      </c>
      <c r="C19" s="67">
        <f t="shared" si="19"/>
        <v>0.98906240952504654</v>
      </c>
      <c r="D19" s="67">
        <f t="shared" si="19"/>
        <v>0.98722914763371872</v>
      </c>
      <c r="E19" s="67">
        <f t="shared" si="19"/>
        <v>0.98262821495217567</v>
      </c>
      <c r="F19" s="67">
        <f t="shared" ref="F19:V19" si="20">IF(F5=0,0,F5/F$3)</f>
        <v>0.96089669841088454</v>
      </c>
      <c r="G19" s="67">
        <f t="shared" si="20"/>
        <v>0.87445313252109924</v>
      </c>
      <c r="H19" s="67">
        <f t="shared" si="20"/>
        <v>0.8684390034286813</v>
      </c>
      <c r="I19" s="67">
        <f t="shared" si="20"/>
        <v>0.89562855664769792</v>
      </c>
      <c r="J19" s="67">
        <f t="shared" si="20"/>
        <v>0.87580347855230001</v>
      </c>
      <c r="K19" s="67">
        <f t="shared" si="20"/>
        <v>0.87888755460415247</v>
      </c>
      <c r="L19" s="67">
        <f t="shared" si="20"/>
        <v>0.82451211081442766</v>
      </c>
      <c r="M19" s="67">
        <f t="shared" si="20"/>
        <v>0.75842511376376709</v>
      </c>
      <c r="N19" s="67">
        <f t="shared" si="20"/>
        <v>0.73940283343681201</v>
      </c>
      <c r="O19" s="67">
        <f t="shared" si="20"/>
        <v>0.69258402338041891</v>
      </c>
      <c r="P19" s="67">
        <f t="shared" si="20"/>
        <v>0.81446489656295817</v>
      </c>
      <c r="Q19" s="67">
        <f t="shared" si="20"/>
        <v>0.71575556947302499</v>
      </c>
      <c r="R19" s="67">
        <f t="shared" si="20"/>
        <v>0.62186190059422364</v>
      </c>
      <c r="S19" s="67">
        <f t="shared" si="20"/>
        <v>0.63475592254873825</v>
      </c>
      <c r="T19" s="67">
        <f t="shared" si="20"/>
        <v>0.70575614713604151</v>
      </c>
      <c r="U19" s="67">
        <f t="shared" si="20"/>
        <v>0.57088861766211263</v>
      </c>
      <c r="V19" s="67">
        <f t="shared" si="20"/>
        <v>0.43514625435146254</v>
      </c>
      <c r="W19" s="67">
        <f t="shared" ref="W19" si="21">IF(W5=0,0,W5/W$3)</f>
        <v>0.27905390391243912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4.4444444444444444E-3</v>
      </c>
      <c r="C22" s="66">
        <f t="shared" si="25"/>
        <v>4.5016077170418013E-3</v>
      </c>
      <c r="D22" s="66">
        <f t="shared" si="25"/>
        <v>5.5688146380270488E-3</v>
      </c>
      <c r="E22" s="66">
        <f t="shared" si="25"/>
        <v>4.0299366724237196E-3</v>
      </c>
      <c r="F22" s="66">
        <f t="shared" ref="F22:V22" si="26">IF(F8=0,0,F8/F$7)</f>
        <v>5.0000000000000001E-3</v>
      </c>
      <c r="G22" s="66">
        <f t="shared" si="26"/>
        <v>2.1998166819431716E-2</v>
      </c>
      <c r="H22" s="66">
        <f t="shared" si="26"/>
        <v>1.9281332164767746E-2</v>
      </c>
      <c r="I22" s="66">
        <f t="shared" si="26"/>
        <v>1.6309887869520898E-2</v>
      </c>
      <c r="J22" s="66">
        <f t="shared" si="26"/>
        <v>1.8681318681318681E-2</v>
      </c>
      <c r="K22" s="66">
        <f t="shared" si="26"/>
        <v>2.6548672566371681E-2</v>
      </c>
      <c r="L22" s="66">
        <f t="shared" si="26"/>
        <v>3.0927835051546393E-2</v>
      </c>
      <c r="M22" s="66">
        <f t="shared" si="26"/>
        <v>4.3933054393305436E-2</v>
      </c>
      <c r="N22" s="66">
        <f t="shared" si="26"/>
        <v>4.0339702760084924E-2</v>
      </c>
      <c r="O22" s="66">
        <f t="shared" si="26"/>
        <v>4.0506329113924051E-2</v>
      </c>
      <c r="P22" s="66">
        <f t="shared" si="26"/>
        <v>2.4213075060532687E-2</v>
      </c>
      <c r="Q22" s="66">
        <f t="shared" si="26"/>
        <v>5.1383399209486161E-2</v>
      </c>
      <c r="R22" s="66">
        <f t="shared" si="26"/>
        <v>7.9734219269102985E-2</v>
      </c>
      <c r="S22" s="66">
        <f t="shared" si="26"/>
        <v>6.0150375939849621E-2</v>
      </c>
      <c r="T22" s="66">
        <f t="shared" si="26"/>
        <v>6.070287539936102E-2</v>
      </c>
      <c r="U22" s="66">
        <f t="shared" si="26"/>
        <v>9.7560975609756101E-2</v>
      </c>
      <c r="V22" s="66">
        <f t="shared" si="26"/>
        <v>0.16037735849056606</v>
      </c>
      <c r="W22" s="66">
        <f t="shared" ref="W22" si="27">IF(W8=0,0,W8/W$7)</f>
        <v>0.26256983240223464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0.99555555555555564</v>
      </c>
      <c r="C23" s="67">
        <f t="shared" si="28"/>
        <v>0.99549839228295822</v>
      </c>
      <c r="D23" s="67">
        <f t="shared" si="28"/>
        <v>0.99443118536197306</v>
      </c>
      <c r="E23" s="67">
        <f t="shared" si="28"/>
        <v>0.99597006332757632</v>
      </c>
      <c r="F23" s="67">
        <f t="shared" ref="F23:V23" si="29">IF(F9=0,0,F9/F$7)</f>
        <v>0.99500000000000011</v>
      </c>
      <c r="G23" s="67">
        <f t="shared" si="29"/>
        <v>0.97800183318056821</v>
      </c>
      <c r="H23" s="67">
        <f t="shared" si="29"/>
        <v>0.98071866783523221</v>
      </c>
      <c r="I23" s="67">
        <f t="shared" si="29"/>
        <v>0.98369011213047908</v>
      </c>
      <c r="J23" s="67">
        <f t="shared" si="29"/>
        <v>0.98131868131868127</v>
      </c>
      <c r="K23" s="67">
        <f t="shared" si="29"/>
        <v>0.97345132743362828</v>
      </c>
      <c r="L23" s="67">
        <f t="shared" si="29"/>
        <v>0.96907216494845361</v>
      </c>
      <c r="M23" s="67">
        <f t="shared" si="29"/>
        <v>0.95606694560669447</v>
      </c>
      <c r="N23" s="67">
        <f t="shared" si="29"/>
        <v>0.95966029723991508</v>
      </c>
      <c r="O23" s="67">
        <f t="shared" si="29"/>
        <v>0.95949367088607596</v>
      </c>
      <c r="P23" s="67">
        <f t="shared" si="29"/>
        <v>0.97578692493946728</v>
      </c>
      <c r="Q23" s="67">
        <f t="shared" si="29"/>
        <v>0.9486166007905138</v>
      </c>
      <c r="R23" s="67">
        <f t="shared" si="29"/>
        <v>0.92026578073089693</v>
      </c>
      <c r="S23" s="67">
        <f t="shared" si="29"/>
        <v>0.93984962406015038</v>
      </c>
      <c r="T23" s="67">
        <f t="shared" si="29"/>
        <v>0.93929712460063897</v>
      </c>
      <c r="U23" s="67">
        <f t="shared" si="29"/>
        <v>0.90243902439024393</v>
      </c>
      <c r="V23" s="67">
        <f t="shared" si="29"/>
        <v>0.839622641509434</v>
      </c>
      <c r="W23" s="67">
        <f t="shared" ref="W23" si="30">IF(W9=0,0,W9/W$7)</f>
        <v>0.73743016759776547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6.1622527944969905</v>
      </c>
      <c r="C3" s="62">
        <f t="shared" ref="C3:V3" si="0">SUM(C4,C10)</f>
        <v>6.1622527944969896</v>
      </c>
      <c r="D3" s="62">
        <f t="shared" si="0"/>
        <v>5.135167669819432</v>
      </c>
      <c r="E3" s="62">
        <f t="shared" si="0"/>
        <v>7.1892519346517627</v>
      </c>
      <c r="F3" s="62">
        <f t="shared" si="0"/>
        <v>6.1622527944969905</v>
      </c>
      <c r="G3" s="62">
        <f t="shared" si="0"/>
        <v>5.135167669819432</v>
      </c>
      <c r="H3" s="62">
        <f t="shared" si="0"/>
        <v>6.1622527944969896</v>
      </c>
      <c r="I3" s="62">
        <f t="shared" si="0"/>
        <v>5.135167669819432</v>
      </c>
      <c r="J3" s="62">
        <f t="shared" si="0"/>
        <v>5.135167669819432</v>
      </c>
      <c r="K3" s="62">
        <f t="shared" si="0"/>
        <v>3.102579535683577</v>
      </c>
      <c r="L3" s="62">
        <f t="shared" si="0"/>
        <v>3.1025795356835775</v>
      </c>
      <c r="M3" s="62">
        <f t="shared" si="0"/>
        <v>3.102579535683577</v>
      </c>
      <c r="N3" s="62">
        <f t="shared" si="0"/>
        <v>3.102579535683577</v>
      </c>
      <c r="O3" s="62">
        <f t="shared" si="0"/>
        <v>3.102579535683577</v>
      </c>
      <c r="P3" s="62">
        <f t="shared" si="0"/>
        <v>3.102579535683577</v>
      </c>
      <c r="Q3" s="62">
        <f t="shared" si="0"/>
        <v>2.0540842648323299</v>
      </c>
      <c r="R3" s="62">
        <f t="shared" si="0"/>
        <v>2.0540842648323299</v>
      </c>
      <c r="S3" s="62">
        <f t="shared" si="0"/>
        <v>4.6894239036973344</v>
      </c>
      <c r="T3" s="62">
        <f t="shared" si="0"/>
        <v>2.026311263972485</v>
      </c>
      <c r="U3" s="62">
        <f t="shared" si="0"/>
        <v>1.8794496990541703</v>
      </c>
      <c r="V3" s="62">
        <f t="shared" si="0"/>
        <v>1.034221840068787</v>
      </c>
      <c r="W3" s="62">
        <f t="shared" ref="W3" si="1">SUM(W4,W10)</f>
        <v>1.1204643164230439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0.24397136294746677</v>
      </c>
      <c r="C4" s="71">
        <f t="shared" ref="C4:V4" si="2">SUM(C5:C9)</f>
        <v>0.24239460004820199</v>
      </c>
      <c r="D4" s="71">
        <f t="shared" si="2"/>
        <v>0.25850591985742893</v>
      </c>
      <c r="E4" s="71">
        <f t="shared" si="2"/>
        <v>0.28411513793890575</v>
      </c>
      <c r="F4" s="71">
        <f t="shared" si="2"/>
        <v>0.32602193460842538</v>
      </c>
      <c r="G4" s="71">
        <f t="shared" si="2"/>
        <v>1.0225054316494211</v>
      </c>
      <c r="H4" s="71">
        <f t="shared" si="2"/>
        <v>1.1213711950317586</v>
      </c>
      <c r="I4" s="71">
        <f t="shared" si="2"/>
        <v>0.79986745634991441</v>
      </c>
      <c r="J4" s="71">
        <f t="shared" si="2"/>
        <v>0.94637867163214928</v>
      </c>
      <c r="K4" s="71">
        <f t="shared" si="2"/>
        <v>0.70260014438854934</v>
      </c>
      <c r="L4" s="71">
        <f t="shared" si="2"/>
        <v>0.841112770215385</v>
      </c>
      <c r="M4" s="71">
        <f t="shared" si="2"/>
        <v>1.0990232359716063</v>
      </c>
      <c r="N4" s="71">
        <f t="shared" si="2"/>
        <v>1.0367409346766829</v>
      </c>
      <c r="O4" s="71">
        <f t="shared" si="2"/>
        <v>1.041450088489009</v>
      </c>
      <c r="P4" s="71">
        <f t="shared" si="2"/>
        <v>0.71153621198165695</v>
      </c>
      <c r="Q4" s="71">
        <f t="shared" si="2"/>
        <v>0.78047190934045774</v>
      </c>
      <c r="R4" s="71">
        <f t="shared" si="2"/>
        <v>1.0348420943838206</v>
      </c>
      <c r="S4" s="71">
        <f t="shared" si="2"/>
        <v>2.1348171271182217</v>
      </c>
      <c r="T4" s="71">
        <f t="shared" si="2"/>
        <v>0.88976984039869356</v>
      </c>
      <c r="U4" s="71">
        <f t="shared" si="2"/>
        <v>1.0619815657423086</v>
      </c>
      <c r="V4" s="71">
        <f t="shared" si="2"/>
        <v>0.7054421893723023</v>
      </c>
      <c r="W4" s="71">
        <f t="shared" ref="W4" si="3">SUM(W5:W9)</f>
        <v>0.90050650075042038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0.24397136294746677</v>
      </c>
      <c r="C5" s="73">
        <v>0.24239460004820199</v>
      </c>
      <c r="D5" s="73">
        <v>0.25850591985742893</v>
      </c>
      <c r="E5" s="73">
        <v>0.28411513793890575</v>
      </c>
      <c r="F5" s="73">
        <v>0.32602193460842538</v>
      </c>
      <c r="G5" s="73">
        <v>1.0225054316494211</v>
      </c>
      <c r="H5" s="73">
        <v>1.1213711950317586</v>
      </c>
      <c r="I5" s="73">
        <v>0.79986745634991441</v>
      </c>
      <c r="J5" s="73">
        <v>0.94637867163214928</v>
      </c>
      <c r="K5" s="73">
        <v>0.70260014438854934</v>
      </c>
      <c r="L5" s="73">
        <v>0.841112770215385</v>
      </c>
      <c r="M5" s="73">
        <v>1.0990232359716063</v>
      </c>
      <c r="N5" s="73">
        <v>1.0367409346766829</v>
      </c>
      <c r="O5" s="73">
        <v>1.041450088489009</v>
      </c>
      <c r="P5" s="73">
        <v>0.71153621198165695</v>
      </c>
      <c r="Q5" s="73">
        <v>0.78047190934045774</v>
      </c>
      <c r="R5" s="73">
        <v>1.0348420943838206</v>
      </c>
      <c r="S5" s="73">
        <v>2.1348171271182217</v>
      </c>
      <c r="T5" s="73">
        <v>0.88976984039869356</v>
      </c>
      <c r="U5" s="73">
        <v>1.0619815657423086</v>
      </c>
      <c r="V5" s="73">
        <v>0.7054421893723023</v>
      </c>
      <c r="W5" s="73">
        <v>0.90050650075042038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5.9182814315495236</v>
      </c>
      <c r="C10" s="71">
        <f t="shared" ref="C10:V10" si="4">SUM(C11:C15)</f>
        <v>5.9198581944487874</v>
      </c>
      <c r="D10" s="71">
        <f t="shared" si="4"/>
        <v>4.8766617499620031</v>
      </c>
      <c r="E10" s="71">
        <f t="shared" si="4"/>
        <v>6.9051367967128572</v>
      </c>
      <c r="F10" s="71">
        <f t="shared" si="4"/>
        <v>5.8362308598885653</v>
      </c>
      <c r="G10" s="71">
        <f t="shared" si="4"/>
        <v>4.1126622381700111</v>
      </c>
      <c r="H10" s="71">
        <f t="shared" si="4"/>
        <v>5.040881599465231</v>
      </c>
      <c r="I10" s="71">
        <f t="shared" si="4"/>
        <v>4.3353002134695178</v>
      </c>
      <c r="J10" s="71">
        <f t="shared" si="4"/>
        <v>4.1887889981872828</v>
      </c>
      <c r="K10" s="71">
        <f t="shared" si="4"/>
        <v>2.3999793912950276</v>
      </c>
      <c r="L10" s="71">
        <f t="shared" si="4"/>
        <v>2.2614667654681924</v>
      </c>
      <c r="M10" s="71">
        <f t="shared" si="4"/>
        <v>2.0035562997119709</v>
      </c>
      <c r="N10" s="71">
        <f t="shared" si="4"/>
        <v>2.0658386010068939</v>
      </c>
      <c r="O10" s="71">
        <f t="shared" si="4"/>
        <v>2.0611294471945683</v>
      </c>
      <c r="P10" s="71">
        <f t="shared" si="4"/>
        <v>2.3910433237019202</v>
      </c>
      <c r="Q10" s="71">
        <f t="shared" si="4"/>
        <v>1.2736123554918719</v>
      </c>
      <c r="R10" s="71">
        <f t="shared" si="4"/>
        <v>1.0192421704485091</v>
      </c>
      <c r="S10" s="71">
        <f t="shared" si="4"/>
        <v>2.5546067765791127</v>
      </c>
      <c r="T10" s="71">
        <f t="shared" si="4"/>
        <v>1.1365414235737914</v>
      </c>
      <c r="U10" s="71">
        <f t="shared" si="4"/>
        <v>0.81746813331186163</v>
      </c>
      <c r="V10" s="71">
        <f t="shared" si="4"/>
        <v>0.32877965069648485</v>
      </c>
      <c r="W10" s="71">
        <f t="shared" ref="W10" si="5">SUM(W11:W15)</f>
        <v>0.21995781567262349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5.9182814315495236</v>
      </c>
      <c r="C11" s="73">
        <v>5.9198581944487874</v>
      </c>
      <c r="D11" s="73">
        <v>4.8766617499620031</v>
      </c>
      <c r="E11" s="73">
        <v>6.9051367967128572</v>
      </c>
      <c r="F11" s="73">
        <v>5.8362308598885653</v>
      </c>
      <c r="G11" s="73">
        <v>4.1126622381700111</v>
      </c>
      <c r="H11" s="73">
        <v>5.040881599465231</v>
      </c>
      <c r="I11" s="73">
        <v>4.3353002134695178</v>
      </c>
      <c r="J11" s="73">
        <v>4.1887889981872828</v>
      </c>
      <c r="K11" s="73">
        <v>2.3999793912950276</v>
      </c>
      <c r="L11" s="73">
        <v>2.2614667654681924</v>
      </c>
      <c r="M11" s="73">
        <v>2.0035562997119709</v>
      </c>
      <c r="N11" s="73">
        <v>2.0658386010068939</v>
      </c>
      <c r="O11" s="73">
        <v>2.0611294471945683</v>
      </c>
      <c r="P11" s="73">
        <v>2.3910433237019202</v>
      </c>
      <c r="Q11" s="73">
        <v>1.2736123554918719</v>
      </c>
      <c r="R11" s="73">
        <v>1.0192421704485091</v>
      </c>
      <c r="S11" s="73">
        <v>2.5546067765791127</v>
      </c>
      <c r="T11" s="73">
        <v>1.1365414235737914</v>
      </c>
      <c r="U11" s="73">
        <v>0.81746813331186163</v>
      </c>
      <c r="V11" s="73">
        <v>0.32877965069648485</v>
      </c>
      <c r="W11" s="73">
        <v>0.21995781567262349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391.25414568234862</v>
      </c>
      <c r="C19" s="62">
        <f>IF(C3=0,0,C3/TrNavi_act!C7*100)</f>
        <v>396.28635334385785</v>
      </c>
      <c r="D19" s="62">
        <f>IF(D3=0,0,D3/TrNavi_act!D7*100)</f>
        <v>408.5256698344815</v>
      </c>
      <c r="E19" s="62">
        <f>IF(E3=0,0,E3/TrNavi_act!E7*100)</f>
        <v>413.88900026780442</v>
      </c>
      <c r="F19" s="62">
        <f>IF(F3=0,0,F3/TrNavi_act!F7*100)</f>
        <v>440.16091389264221</v>
      </c>
      <c r="G19" s="62">
        <f>IF(G3=0,0,G3/TrNavi_act!G7*100)</f>
        <v>470.68447936016787</v>
      </c>
      <c r="H19" s="62">
        <f>IF(H3=0,0,H3/TrNavi_act!H7*100)</f>
        <v>540.07474097256704</v>
      </c>
      <c r="I19" s="62">
        <f>IF(I3=0,0,I3/TrNavi_act!I7*100)</f>
        <v>523.462555537149</v>
      </c>
      <c r="J19" s="62">
        <f>IF(J3=0,0,J3/TrNavi_act!J7*100)</f>
        <v>564.30413954059691</v>
      </c>
      <c r="K19" s="62">
        <f>IF(K3=0,0,K3/TrNavi_act!K7*100)</f>
        <v>686.41140169990638</v>
      </c>
      <c r="L19" s="62">
        <f>IF(L3=0,0,L3/TrNavi_act!L7*100)</f>
        <v>799.63390094937563</v>
      </c>
      <c r="M19" s="62">
        <f>IF(M3=0,0,M3/TrNavi_act!M7*100)</f>
        <v>649.07521667020433</v>
      </c>
      <c r="N19" s="62">
        <f>IF(N3=0,0,N3/TrNavi_act!N7*100)</f>
        <v>658.72176978419895</v>
      </c>
      <c r="O19" s="62">
        <f>IF(O3=0,0,O3/TrNavi_act!O7*100)</f>
        <v>785.46317359077898</v>
      </c>
      <c r="P19" s="62">
        <f>IF(P3=0,0,P3/TrNavi_act!P7*100)</f>
        <v>751.22991178779102</v>
      </c>
      <c r="Q19" s="62">
        <f>IF(Q3=0,0,Q3/TrNavi_act!Q7*100)</f>
        <v>811.89101376771941</v>
      </c>
      <c r="R19" s="62">
        <f>IF(R3=0,0,R3/TrNavi_act!R7*100)</f>
        <v>682.42002153898</v>
      </c>
      <c r="S19" s="62">
        <f>IF(S3=0,0,S3/TrNavi_act!S7*100)</f>
        <v>1175.294211452966</v>
      </c>
      <c r="T19" s="62">
        <f>IF(T3=0,0,T3/TrNavi_act!T7*100)</f>
        <v>647.38379040654468</v>
      </c>
      <c r="U19" s="62">
        <f>IF(U3=0,0,U3/TrNavi_act!U7*100)</f>
        <v>764.00394270494735</v>
      </c>
      <c r="V19" s="62">
        <f>IF(V3=0,0,V3/TrNavi_act!V7*100)</f>
        <v>487.84049059848439</v>
      </c>
      <c r="W19" s="62">
        <f>IF(W3=0,0,W3/TrNavi_act!W7*100)</f>
        <v>625.95771867209157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3485.3051849638105</v>
      </c>
      <c r="C20" s="63">
        <f>IF(C4=0,0,C4/TrNavi_act!C8*100)</f>
        <v>3462.7800006886</v>
      </c>
      <c r="D20" s="63">
        <f>IF(D4=0,0,D4/TrNavi_act!D8*100)</f>
        <v>3692.9417122489845</v>
      </c>
      <c r="E20" s="63">
        <f>IF(E4=0,0,E4/TrNavi_act!E8*100)</f>
        <v>4058.7876848415108</v>
      </c>
      <c r="F20" s="63">
        <f>IF(F4=0,0,F4/TrNavi_act!F8*100)</f>
        <v>4657.4562086917904</v>
      </c>
      <c r="G20" s="63">
        <f>IF(G4=0,0,G4/TrNavi_act!G8*100)</f>
        <v>4260.4392985392542</v>
      </c>
      <c r="H20" s="63">
        <f>IF(H4=0,0,H4/TrNavi_act!H8*100)</f>
        <v>5097.1417955989036</v>
      </c>
      <c r="I20" s="63">
        <f>IF(I4=0,0,I4/TrNavi_act!I8*100)</f>
        <v>4999.1716021869652</v>
      </c>
      <c r="J20" s="63">
        <f>IF(J4=0,0,J4/TrNavi_act!J8*100)</f>
        <v>5566.9333625420541</v>
      </c>
      <c r="K20" s="63">
        <f>IF(K4=0,0,K4/TrNavi_act!K8*100)</f>
        <v>5855.0012032379109</v>
      </c>
      <c r="L20" s="63">
        <f>IF(L4=0,0,L4/TrNavi_act!L8*100)</f>
        <v>7009.2730851282085</v>
      </c>
      <c r="M20" s="63">
        <f>IF(M4=0,0,M4/TrNavi_act!M8*100)</f>
        <v>5233.4439808171728</v>
      </c>
      <c r="N20" s="63">
        <f>IF(N4=0,0,N4/TrNavi_act!N8*100)</f>
        <v>5456.5312351404364</v>
      </c>
      <c r="O20" s="63">
        <f>IF(O4=0,0,O4/TrNavi_act!O8*100)</f>
        <v>6509.0630530563058</v>
      </c>
      <c r="P20" s="63">
        <f>IF(P4=0,0,P4/TrNavi_act!P8*100)</f>
        <v>7115.3621198165692</v>
      </c>
      <c r="Q20" s="63">
        <f>IF(Q4=0,0,Q4/TrNavi_act!Q8*100)</f>
        <v>6003.630071849675</v>
      </c>
      <c r="R20" s="63">
        <f>IF(R4=0,0,R4/TrNavi_act!R8*100)</f>
        <v>4311.8420599325855</v>
      </c>
      <c r="S20" s="63">
        <f>IF(S4=0,0,S4/TrNavi_act!S8*100)</f>
        <v>8895.0713629925904</v>
      </c>
      <c r="T20" s="63">
        <f>IF(T4=0,0,T4/TrNavi_act!T8*100)</f>
        <v>4682.9991599931236</v>
      </c>
      <c r="U20" s="63">
        <f>IF(U4=0,0,U4/TrNavi_act!U8*100)</f>
        <v>4424.9231905929528</v>
      </c>
      <c r="V20" s="63">
        <f>IF(V4=0,0,V4/TrNavi_act!V8*100)</f>
        <v>2074.8299687420654</v>
      </c>
      <c r="W20" s="63">
        <f>IF(W4=0,0,W4/TrNavi_act!W8*100)</f>
        <v>1915.9712781923836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377.44141782841348</v>
      </c>
      <c r="C21" s="64">
        <f>IF(C10=0,0,C10/TrNavi_act!C9*100)</f>
        <v>382.41978000315163</v>
      </c>
      <c r="D21" s="64">
        <f>IF(D10=0,0,D10/TrNavi_act!D9*100)</f>
        <v>390.13293999696026</v>
      </c>
      <c r="E21" s="64">
        <f>IF(E10=0,0,E10/TrNavi_act!E9*100)</f>
        <v>399.14085530132127</v>
      </c>
      <c r="F21" s="64">
        <f>IF(F10=0,0,F10/TrNavi_act!F9*100)</f>
        <v>418.96847522530976</v>
      </c>
      <c r="G21" s="64">
        <f>IF(G10=0,0,G10/TrNavi_act!G9*100)</f>
        <v>385.44163431771426</v>
      </c>
      <c r="H21" s="64">
        <f>IF(H10=0,0,H10/TrNavi_act!H9*100)</f>
        <v>450.48092935346125</v>
      </c>
      <c r="I21" s="64">
        <f>IF(I10=0,0,I10/TrNavi_act!I9*100)</f>
        <v>449.25390813155627</v>
      </c>
      <c r="J21" s="64">
        <f>IF(J10=0,0,J10/TrNavi_act!J9*100)</f>
        <v>469.06931670630269</v>
      </c>
      <c r="K21" s="64">
        <f>IF(K10=0,0,K10/TrNavi_act!K9*100)</f>
        <v>545.44986165796081</v>
      </c>
      <c r="L21" s="64">
        <f>IF(L10=0,0,L10/TrNavi_act!L9*100)</f>
        <v>601.4539269862214</v>
      </c>
      <c r="M21" s="64">
        <f>IF(M10=0,0,M10/TrNavi_act!M9*100)</f>
        <v>438.41494523237873</v>
      </c>
      <c r="N21" s="64">
        <f>IF(N10=0,0,N10/TrNavi_act!N9*100)</f>
        <v>457.04393827586148</v>
      </c>
      <c r="O21" s="64">
        <f>IF(O10=0,0,O10/TrNavi_act!O9*100)</f>
        <v>543.8336272281183</v>
      </c>
      <c r="P21" s="64">
        <f>IF(P10=0,0,P10/TrNavi_act!P9*100)</f>
        <v>593.31099843720096</v>
      </c>
      <c r="Q21" s="64">
        <f>IF(Q10=0,0,Q10/TrNavi_act!Q9*100)</f>
        <v>530.6718147882799</v>
      </c>
      <c r="R21" s="64">
        <f>IF(R10=0,0,R10/TrNavi_act!R9*100)</f>
        <v>367.95746225577943</v>
      </c>
      <c r="S21" s="64">
        <f>IF(S10=0,0,S10/TrNavi_act!S9*100)</f>
        <v>681.22847375443007</v>
      </c>
      <c r="T21" s="64">
        <f>IF(T10=0,0,T10/TrNavi_act!T9*100)</f>
        <v>386.57871550128959</v>
      </c>
      <c r="U21" s="64">
        <f>IF(U10=0,0,U10/TrNavi_act!U9*100)</f>
        <v>368.22888887921692</v>
      </c>
      <c r="V21" s="64">
        <f>IF(V10=0,0,V10/TrNavi_act!V9*100)</f>
        <v>184.70766893060949</v>
      </c>
      <c r="W21" s="64">
        <f>IF(W10=0,0,W10/TrNavi_act!W9*100)</f>
        <v>166.63470884289657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5.1897506162655969</v>
      </c>
      <c r="C23" s="62">
        <f>IF(C3=0,0,C3/TrNavi_act!C3*1000)</f>
        <v>4.8218770546104777</v>
      </c>
      <c r="D23" s="62">
        <f>IF(D3=0,0,D3/TrNavi_act!D3*1000)</f>
        <v>4.5022976923908233</v>
      </c>
      <c r="E23" s="62">
        <f>IF(E3=0,0,E3/TrNavi_act!E3*1000)</f>
        <v>8.1013323341609382</v>
      </c>
      <c r="F23" s="62">
        <f>IF(F3=0,0,F3/TrNavi_act!F3*1000)</f>
        <v>16.003482067582176</v>
      </c>
      <c r="G23" s="62">
        <f>IF(G3=0,0,G3/TrNavi_act!G3*1000)</f>
        <v>13.732304143408795</v>
      </c>
      <c r="H23" s="62">
        <f>IF(H3=0,0,H3/TrNavi_act!H3*1000)</f>
        <v>18.517441784527932</v>
      </c>
      <c r="I23" s="62">
        <f>IF(I3=0,0,I3/TrNavi_act!I3*1000)</f>
        <v>16.603620246441515</v>
      </c>
      <c r="J23" s="62">
        <f>IF(J3=0,0,J3/TrNavi_act!J3*1000)</f>
        <v>16.236092809303855</v>
      </c>
      <c r="K23" s="62">
        <f>IF(K3=0,0,K3/TrNavi_act!K3*1000)</f>
        <v>13.49910168852389</v>
      </c>
      <c r="L23" s="62">
        <f>IF(L3=0,0,L3/TrNavi_act!L3*1000)</f>
        <v>19.677803091816255</v>
      </c>
      <c r="M23" s="62">
        <f>IF(M3=0,0,M3/TrNavi_act!M3*1000)</f>
        <v>14.615367933614614</v>
      </c>
      <c r="N23" s="62">
        <f>IF(N3=0,0,N3/TrNavi_act!N3*1000)</f>
        <v>17.511878623263399</v>
      </c>
      <c r="O23" s="62">
        <f>IF(O3=0,0,O3/TrNavi_act!O3*1000)</f>
        <v>23.613154040455864</v>
      </c>
      <c r="P23" s="62">
        <f>IF(P3=0,0,P3/TrNavi_act!P3*1000)</f>
        <v>22.972201096444323</v>
      </c>
      <c r="Q23" s="62">
        <f>IF(Q3=0,0,Q3/TrNavi_act!Q3*1000)</f>
        <v>16.707071053643684</v>
      </c>
      <c r="R23" s="62">
        <f>IF(R3=0,0,R3/TrNavi_act!R3*1000)</f>
        <v>11.8273772676789</v>
      </c>
      <c r="S23" s="62">
        <f>IF(S3=0,0,S3/TrNavi_act!S3*1000)</f>
        <v>25.883822575769624</v>
      </c>
      <c r="T23" s="62">
        <f>IF(T3=0,0,T3/TrNavi_act!T3*1000)</f>
        <v>11.440653044476667</v>
      </c>
      <c r="U23" s="62">
        <f>IF(U3=0,0,U3/TrNavi_act!U3*1000)</f>
        <v>12.332832651247228</v>
      </c>
      <c r="V23" s="62">
        <f>IF(V3=0,0,V3/TrNavi_act!V3*1000)</f>
        <v>5.8446462321351946</v>
      </c>
      <c r="W23" s="62">
        <f>IF(W3=0,0,W3/TrNavi_act!W3*1000)</f>
        <v>5.7901841054154231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16.955407807871762</v>
      </c>
      <c r="C24" s="63">
        <f>IF(C4=0,0,C4/TrNavi_act!C4*1000)</f>
        <v>17.34115038261568</v>
      </c>
      <c r="D24" s="63">
        <f>IF(D4=0,0,D4/TrNavi_act!D4*1000)</f>
        <v>17.747214050352117</v>
      </c>
      <c r="E24" s="63">
        <f>IF(E4=0,0,E4/TrNavi_act!E4*1000)</f>
        <v>18.429886996555901</v>
      </c>
      <c r="F24" s="63">
        <f>IF(F4=0,0,F4/TrNavi_act!F4*1000)</f>
        <v>21.652516079459744</v>
      </c>
      <c r="G24" s="63">
        <f>IF(G4=0,0,G4/TrNavi_act!G4*1000)</f>
        <v>21.779531218569932</v>
      </c>
      <c r="H24" s="63">
        <f>IF(H4=0,0,H4/TrNavi_act!H4*1000)</f>
        <v>25.613192824096267</v>
      </c>
      <c r="I24" s="63">
        <f>IF(I4=0,0,I4/TrNavi_act!I4*1000)</f>
        <v>24.779041398696233</v>
      </c>
      <c r="J24" s="63">
        <f>IF(J4=0,0,J4/TrNavi_act!J4*1000)</f>
        <v>24.092530017875035</v>
      </c>
      <c r="K24" s="63">
        <f>IF(K4=0,0,K4/TrNavi_act!K4*1000)</f>
        <v>25.240700689342916</v>
      </c>
      <c r="L24" s="63">
        <f>IF(L4=0,0,L4/TrNavi_act!L4*1000)</f>
        <v>30.399102613588674</v>
      </c>
      <c r="M24" s="63">
        <f>IF(M4=0,0,M4/TrNavi_act!M4*1000)</f>
        <v>21.430974532420855</v>
      </c>
      <c r="N24" s="63">
        <f>IF(N4=0,0,N4/TrNavi_act!N4*1000)</f>
        <v>22.454861049960641</v>
      </c>
      <c r="O24" s="63">
        <f>IF(O4=0,0,O4/TrNavi_act!O4*1000)</f>
        <v>25.783573194915057</v>
      </c>
      <c r="P24" s="63">
        <f>IF(P4=0,0,P4/TrNavi_act!P4*1000)</f>
        <v>28.395570755114413</v>
      </c>
      <c r="Q24" s="63">
        <f>IF(Q4=0,0,Q4/TrNavi_act!Q4*1000)</f>
        <v>22.333015976777912</v>
      </c>
      <c r="R24" s="63">
        <f>IF(R4=0,0,R4/TrNavi_act!R4*1000)</f>
        <v>15.757736849552634</v>
      </c>
      <c r="S24" s="63">
        <f>IF(S4=0,0,S4/TrNavi_act!S4*1000)</f>
        <v>32.261638262682432</v>
      </c>
      <c r="T24" s="63">
        <f>IF(T4=0,0,T4/TrNavi_act!T4*1000)</f>
        <v>17.073200429793602</v>
      </c>
      <c r="U24" s="63">
        <f>IF(U4=0,0,U4/TrNavi_act!U4*1000)</f>
        <v>16.23974012512323</v>
      </c>
      <c r="V24" s="63">
        <f>IF(V4=0,0,V4/TrNavi_act!V4*1000)</f>
        <v>7.0578096423513514</v>
      </c>
      <c r="W24" s="63">
        <f>IF(W4=0,0,W4/TrNavi_act!W4*1000)</f>
        <v>6.4547347574773344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5.045423215302236</v>
      </c>
      <c r="C25" s="64">
        <f>IF(C10=0,0,C10/TrNavi_act!C5*1000)</f>
        <v>4.6834321158613825</v>
      </c>
      <c r="D25" s="64">
        <f>IF(D10=0,0,D10/TrNavi_act!D5*1000)</f>
        <v>4.3309607015648339</v>
      </c>
      <c r="E25" s="64">
        <f>IF(E10=0,0,E10/TrNavi_act!E5*1000)</f>
        <v>7.918734858615661</v>
      </c>
      <c r="F25" s="64">
        <f>IF(F10=0,0,F10/TrNavi_act!F5*1000)</f>
        <v>15.773596918617745</v>
      </c>
      <c r="G25" s="64">
        <f>IF(G10=0,0,G10/TrNavi_act!G5*1000)</f>
        <v>12.576948740581074</v>
      </c>
      <c r="H25" s="64">
        <f>IF(H10=0,0,H10/TrNavi_act!H5*1000)</f>
        <v>17.44249688396274</v>
      </c>
      <c r="I25" s="64">
        <f>IF(I10=0,0,I10/TrNavi_act!I5*1000)</f>
        <v>15.650903297723891</v>
      </c>
      <c r="J25" s="64">
        <f>IF(J10=0,0,J10/TrNavi_act!J5*1000)</f>
        <v>15.121981942914378</v>
      </c>
      <c r="K25" s="64">
        <f>IF(K10=0,0,K10/TrNavi_act!K5*1000)</f>
        <v>11.881086095519938</v>
      </c>
      <c r="L25" s="64">
        <f>IF(L10=0,0,L10/TrNavi_act!L5*1000)</f>
        <v>17.395898195909172</v>
      </c>
      <c r="M25" s="64">
        <f>IF(M10=0,0,M10/TrNavi_act!M5*1000)</f>
        <v>12.444449066533981</v>
      </c>
      <c r="N25" s="64">
        <f>IF(N10=0,0,N10/TrNavi_act!N5*1000)</f>
        <v>15.769760313029725</v>
      </c>
      <c r="O25" s="64">
        <f>IF(O10=0,0,O10/TrNavi_act!O5*1000)</f>
        <v>22.649774144995256</v>
      </c>
      <c r="P25" s="64">
        <f>IF(P10=0,0,P10/TrNavi_act!P5*1000)</f>
        <v>21.736757488199274</v>
      </c>
      <c r="Q25" s="64">
        <f>IF(Q10=0,0,Q10/TrNavi_act!Q5*1000)</f>
        <v>14.472867676043998</v>
      </c>
      <c r="R25" s="64">
        <f>IF(R10=0,0,R10/TrNavi_act!R5*1000)</f>
        <v>9.4374275041528612</v>
      </c>
      <c r="S25" s="64">
        <f>IF(S10=0,0,S10/TrNavi_act!S5*1000)</f>
        <v>22.213971970253155</v>
      </c>
      <c r="T25" s="64">
        <f>IF(T10=0,0,T10/TrNavi_act!T5*1000)</f>
        <v>9.0923313885903312</v>
      </c>
      <c r="U25" s="64">
        <f>IF(U10=0,0,U10/TrNavi_act!U5*1000)</f>
        <v>9.3961854403662262</v>
      </c>
      <c r="V25" s="64">
        <f>IF(V10=0,0,V10/TrNavi_act!V5*1000)</f>
        <v>4.2698655934608425</v>
      </c>
      <c r="W25" s="64">
        <f>IF(W10=0,0,W10/TrNavi_act!W5*1000)</f>
        <v>4.0732928828263608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3.959126168360666E-2</v>
      </c>
      <c r="C28" s="77">
        <f t="shared" si="8"/>
        <v>3.9335387257183774E-2</v>
      </c>
      <c r="D28" s="77">
        <f t="shared" si="8"/>
        <v>5.0340307557380844E-2</v>
      </c>
      <c r="E28" s="77">
        <f t="shared" si="8"/>
        <v>3.9519429910292593E-2</v>
      </c>
      <c r="F28" s="77">
        <f t="shared" si="8"/>
        <v>5.2906290196268677E-2</v>
      </c>
      <c r="G28" s="77">
        <f t="shared" si="8"/>
        <v>0.199118217241264</v>
      </c>
      <c r="H28" s="77">
        <f t="shared" si="8"/>
        <v>0.1819742280020003</v>
      </c>
      <c r="I28" s="77">
        <f t="shared" si="8"/>
        <v>0.1557626756865059</v>
      </c>
      <c r="J28" s="77">
        <f t="shared" si="8"/>
        <v>0.18429362631998086</v>
      </c>
      <c r="K28" s="77">
        <f t="shared" si="8"/>
        <v>0.22645677131166556</v>
      </c>
      <c r="L28" s="77">
        <f t="shared" si="8"/>
        <v>0.27110111458595254</v>
      </c>
      <c r="M28" s="77">
        <f t="shared" si="8"/>
        <v>0.35422886773133555</v>
      </c>
      <c r="N28" s="77">
        <f t="shared" si="8"/>
        <v>0.33415450683950398</v>
      </c>
      <c r="O28" s="77">
        <f t="shared" si="8"/>
        <v>0.33567232572477829</v>
      </c>
      <c r="P28" s="77">
        <f t="shared" si="8"/>
        <v>0.22933697711794113</v>
      </c>
      <c r="Q28" s="77">
        <f t="shared" si="8"/>
        <v>0.3799609990217056</v>
      </c>
      <c r="R28" s="77">
        <f t="shared" si="8"/>
        <v>0.50379729405516493</v>
      </c>
      <c r="S28" s="77">
        <f t="shared" si="8"/>
        <v>0.45524080803082106</v>
      </c>
      <c r="T28" s="77">
        <f t="shared" si="8"/>
        <v>0.43910817465148122</v>
      </c>
      <c r="U28" s="77">
        <f t="shared" si="8"/>
        <v>0.56504920896619315</v>
      </c>
      <c r="V28" s="77">
        <f t="shared" ref="V28:W28" si="9">IF(V4=0,0,V4/V$3)</f>
        <v>0.68209948972396739</v>
      </c>
      <c r="W28" s="77">
        <f t="shared" si="9"/>
        <v>0.80369047684194528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0.96040873831639328</v>
      </c>
      <c r="C29" s="78">
        <f t="shared" si="10"/>
        <v>0.96066461274281623</v>
      </c>
      <c r="D29" s="78">
        <f t="shared" si="10"/>
        <v>0.94965969244261916</v>
      </c>
      <c r="E29" s="78">
        <f t="shared" si="10"/>
        <v>0.96048057008970744</v>
      </c>
      <c r="F29" s="78">
        <f t="shared" si="10"/>
        <v>0.94709370980373131</v>
      </c>
      <c r="G29" s="78">
        <f t="shared" si="10"/>
        <v>0.800881782758736</v>
      </c>
      <c r="H29" s="78">
        <f t="shared" si="10"/>
        <v>0.81802577199799975</v>
      </c>
      <c r="I29" s="78">
        <f t="shared" si="10"/>
        <v>0.84423732431349419</v>
      </c>
      <c r="J29" s="78">
        <f t="shared" si="10"/>
        <v>0.81570637368001919</v>
      </c>
      <c r="K29" s="78">
        <f t="shared" si="10"/>
        <v>0.77354322868833436</v>
      </c>
      <c r="L29" s="78">
        <f t="shared" si="10"/>
        <v>0.72889888541404746</v>
      </c>
      <c r="M29" s="78">
        <f t="shared" si="10"/>
        <v>0.64577113226866445</v>
      </c>
      <c r="N29" s="78">
        <f t="shared" si="10"/>
        <v>0.6658454931604959</v>
      </c>
      <c r="O29" s="78">
        <f t="shared" si="10"/>
        <v>0.66432767427522177</v>
      </c>
      <c r="P29" s="78">
        <f t="shared" si="10"/>
        <v>0.7706630228820589</v>
      </c>
      <c r="Q29" s="78">
        <f t="shared" si="10"/>
        <v>0.62003900097829434</v>
      </c>
      <c r="R29" s="78">
        <f t="shared" si="10"/>
        <v>0.49620270594483495</v>
      </c>
      <c r="S29" s="78">
        <f t="shared" si="10"/>
        <v>0.54475919196917899</v>
      </c>
      <c r="T29" s="78">
        <f t="shared" si="10"/>
        <v>0.56089182534851878</v>
      </c>
      <c r="U29" s="78">
        <f t="shared" si="10"/>
        <v>0.4349507910338069</v>
      </c>
      <c r="V29" s="78">
        <f t="shared" ref="V29:W29" si="11">IF(V10=0,0,V10/V$3)</f>
        <v>0.31790051027603267</v>
      </c>
      <c r="W29" s="78">
        <f t="shared" si="11"/>
        <v>0.19630952315805472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19.117888920000002</v>
      </c>
      <c r="C3" s="54">
        <f t="shared" ref="C3:V3" si="1">SUM(C4:C5)</f>
        <v>19.117888919999999</v>
      </c>
      <c r="D3" s="54">
        <f t="shared" si="1"/>
        <v>15.931440719999998</v>
      </c>
      <c r="E3" s="54">
        <f t="shared" si="1"/>
        <v>22.304070360000001</v>
      </c>
      <c r="F3" s="54">
        <f t="shared" si="1"/>
        <v>19.117888919999999</v>
      </c>
      <c r="G3" s="54">
        <f t="shared" si="1"/>
        <v>15.931440719999999</v>
      </c>
      <c r="H3" s="54">
        <f t="shared" si="1"/>
        <v>19.117888919999999</v>
      </c>
      <c r="I3" s="54">
        <f t="shared" si="1"/>
        <v>15.931440719999999</v>
      </c>
      <c r="J3" s="54">
        <f t="shared" si="1"/>
        <v>15.931440720000001</v>
      </c>
      <c r="K3" s="54">
        <f t="shared" si="1"/>
        <v>9.6255010799999994</v>
      </c>
      <c r="L3" s="54">
        <f t="shared" si="1"/>
        <v>9.6255010800000029</v>
      </c>
      <c r="M3" s="54">
        <f t="shared" si="1"/>
        <v>9.6255010800000012</v>
      </c>
      <c r="N3" s="54">
        <f t="shared" si="1"/>
        <v>9.6255010799999994</v>
      </c>
      <c r="O3" s="54">
        <f t="shared" si="1"/>
        <v>9.6255010800000012</v>
      </c>
      <c r="P3" s="54">
        <f t="shared" si="1"/>
        <v>9.6255010800000012</v>
      </c>
      <c r="Q3" s="54">
        <f t="shared" si="1"/>
        <v>6.3726296399999987</v>
      </c>
      <c r="R3" s="54">
        <f t="shared" si="1"/>
        <v>6.3726296399999987</v>
      </c>
      <c r="S3" s="54">
        <f t="shared" si="1"/>
        <v>14.54855688</v>
      </c>
      <c r="T3" s="54">
        <f t="shared" si="1"/>
        <v>6.2864661599999998</v>
      </c>
      <c r="U3" s="54">
        <f t="shared" si="1"/>
        <v>5.8308400800000006</v>
      </c>
      <c r="V3" s="54">
        <f t="shared" si="1"/>
        <v>3.2085892799999987</v>
      </c>
      <c r="W3" s="54">
        <f t="shared" ref="W3" si="2">SUM(W4:W5)</f>
        <v>3.4761495600000005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0.75690134306984436</v>
      </c>
      <c r="C4" s="56">
        <v>0.75200956420802278</v>
      </c>
      <c r="D4" s="56">
        <v>0.80199362567698085</v>
      </c>
      <c r="E4" s="56">
        <v>0.88144414530625448</v>
      </c>
      <c r="F4" s="56">
        <v>1.0114565791415495</v>
      </c>
      <c r="G4" s="56">
        <v>3.1722400742512793</v>
      </c>
      <c r="H4" s="56">
        <v>3.4789630772449947</v>
      </c>
      <c r="I4" s="56">
        <v>2.4815238340881538</v>
      </c>
      <c r="J4" s="56">
        <v>2.9360629827906068</v>
      </c>
      <c r="K4" s="56">
        <v>2.1797598968337502</v>
      </c>
      <c r="L4" s="56">
        <v>2.6094840712362908</v>
      </c>
      <c r="M4" s="56">
        <v>3.4096303489151478</v>
      </c>
      <c r="N4" s="56">
        <v>3.2164045664705134</v>
      </c>
      <c r="O4" s="56">
        <v>3.2310143337899651</v>
      </c>
      <c r="P4" s="56">
        <v>2.2074833209326781</v>
      </c>
      <c r="Q4" s="56">
        <v>2.4213507244097316</v>
      </c>
      <c r="R4" s="56">
        <v>3.2105135686477397</v>
      </c>
      <c r="S4" s="56">
        <v>6.6230967897335615</v>
      </c>
      <c r="T4" s="56">
        <v>2.7604386805259065</v>
      </c>
      <c r="U4" s="56">
        <v>3.2947115748123745</v>
      </c>
      <c r="V4" s="56">
        <v>2.1885771106217908</v>
      </c>
      <c r="W4" s="56">
        <v>2.7937482974503185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18.360987576930157</v>
      </c>
      <c r="C5" s="58">
        <v>18.365879355791975</v>
      </c>
      <c r="D5" s="58">
        <v>15.129447094323018</v>
      </c>
      <c r="E5" s="58">
        <v>21.422626214693747</v>
      </c>
      <c r="F5" s="58">
        <v>18.106432340858451</v>
      </c>
      <c r="G5" s="58">
        <v>12.75920064574872</v>
      </c>
      <c r="H5" s="58">
        <v>15.638925842755004</v>
      </c>
      <c r="I5" s="58">
        <v>13.449916885911845</v>
      </c>
      <c r="J5" s="58">
        <v>12.995377737209393</v>
      </c>
      <c r="K5" s="58">
        <v>7.4457411831662501</v>
      </c>
      <c r="L5" s="58">
        <v>7.0160170087637113</v>
      </c>
      <c r="M5" s="58">
        <v>6.2158707310848538</v>
      </c>
      <c r="N5" s="58">
        <v>6.4090965135294864</v>
      </c>
      <c r="O5" s="58">
        <v>6.3944867462100365</v>
      </c>
      <c r="P5" s="58">
        <v>7.4180177590673235</v>
      </c>
      <c r="Q5" s="58">
        <v>3.951278915590267</v>
      </c>
      <c r="R5" s="58">
        <v>3.1621160713522589</v>
      </c>
      <c r="S5" s="58">
        <v>7.9254600902664389</v>
      </c>
      <c r="T5" s="58">
        <v>3.5260274794740938</v>
      </c>
      <c r="U5" s="58">
        <v>2.5361285051876261</v>
      </c>
      <c r="V5" s="58">
        <v>1.0200121693782078</v>
      </c>
      <c r="W5" s="58">
        <v>0.68240126254968181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3.1024188000000006</v>
      </c>
      <c r="C9" s="79">
        <f>IF(C3=0,0,C3/TrNavi_ene!C3)</f>
        <v>3.1024188000000001</v>
      </c>
      <c r="D9" s="79">
        <f>IF(D3=0,0,D3/TrNavi_ene!D3)</f>
        <v>3.1024187999999997</v>
      </c>
      <c r="E9" s="79">
        <f>IF(E3=0,0,E3/TrNavi_ene!E3)</f>
        <v>3.1024188000000001</v>
      </c>
      <c r="F9" s="79">
        <f>IF(F3=0,0,F3/TrNavi_ene!F3)</f>
        <v>3.1024187999999997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3.1024188000000006</v>
      </c>
      <c r="K9" s="79">
        <f>IF(K3=0,0,K3/TrNavi_ene!K3)</f>
        <v>3.1024187999999997</v>
      </c>
      <c r="L9" s="79">
        <f>IF(L3=0,0,L3/TrNavi_ene!L3)</f>
        <v>3.1024188000000006</v>
      </c>
      <c r="M9" s="79">
        <f>IF(M3=0,0,M3/TrNavi_ene!M3)</f>
        <v>3.1024188000000001</v>
      </c>
      <c r="N9" s="79">
        <f>IF(N3=0,0,N3/TrNavi_ene!N3)</f>
        <v>3.1024187999999997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3.1024187999999997</v>
      </c>
      <c r="R9" s="79">
        <f>IF(R3=0,0,R3/TrNavi_ene!R3)</f>
        <v>3.1024187999999997</v>
      </c>
      <c r="S9" s="79">
        <f>IF(S3=0,0,S3/TrNavi_ene!S3)</f>
        <v>3.1024188000000001</v>
      </c>
      <c r="T9" s="79">
        <f>IF(T3=0,0,T3/TrNavi_ene!T3)</f>
        <v>3.1024187999999997</v>
      </c>
      <c r="U9" s="79">
        <f>IF(U3=0,0,U3/TrNavi_ene!U3)</f>
        <v>3.1024188000000001</v>
      </c>
      <c r="V9" s="79">
        <f>IF(V3=0,0,V3/TrNavi_ene!V3)</f>
        <v>3.1024188000000006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3.1024188000000006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3.1024188000000006</v>
      </c>
      <c r="V11" s="81">
        <f>IF(V5=0,0,V5/TrNavi_ene!V10)</f>
        <v>3.1024188000000006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12138.342171428572</v>
      </c>
      <c r="C13" s="54">
        <f>IF(C3=0,0,C3/TrNavi_act!C7*1000)</f>
        <v>12294.462327974277</v>
      </c>
      <c r="D13" s="54">
        <f>IF(D3=0,0,D3/TrNavi_act!D7*1000)</f>
        <v>12674.177183770882</v>
      </c>
      <c r="E13" s="54">
        <f>IF(E3=0,0,E3/TrNavi_act!E7*1000)</f>
        <v>12840.570155440415</v>
      </c>
      <c r="F13" s="54">
        <f>IF(F3=0,0,F3/TrNavi_act!F7*1000)</f>
        <v>13655.634942857143</v>
      </c>
      <c r="G13" s="54">
        <f>IF(G3=0,0,G3/TrNavi_act!G7*1000)</f>
        <v>14602.603776351971</v>
      </c>
      <c r="H13" s="54">
        <f>IF(H3=0,0,H3/TrNavi_act!H7*1000)</f>
        <v>16755.380297984226</v>
      </c>
      <c r="I13" s="54">
        <f>IF(I3=0,0,I3/TrNavi_act!I7*1000)</f>
        <v>16240.000733944953</v>
      </c>
      <c r="J13" s="54">
        <f>IF(J3=0,0,J3/TrNavi_act!J7*1000)</f>
        <v>17507.077714285715</v>
      </c>
      <c r="K13" s="54">
        <f>IF(K3=0,0,K3/TrNavi_act!K7*1000)</f>
        <v>21295.356371681413</v>
      </c>
      <c r="L13" s="54">
        <f>IF(L3=0,0,L3/TrNavi_act!L7*1000)</f>
        <v>24807.992474226812</v>
      </c>
      <c r="M13" s="54">
        <f>IF(M3=0,0,M3/TrNavi_act!M7*1000)</f>
        <v>20137.031548117156</v>
      </c>
      <c r="N13" s="54">
        <f>IF(N3=0,0,N3/TrNavi_act!N7*1000)</f>
        <v>20436.308025477705</v>
      </c>
      <c r="O13" s="54">
        <f>IF(O3=0,0,O3/TrNavi_act!O7*1000)</f>
        <v>24368.357164556965</v>
      </c>
      <c r="P13" s="54">
        <f>IF(P3=0,0,P3/TrNavi_act!P7*1000)</f>
        <v>23306.298014527849</v>
      </c>
      <c r="Q13" s="54">
        <f>IF(Q3=0,0,Q3/TrNavi_act!Q7*1000)</f>
        <v>25188.25944664031</v>
      </c>
      <c r="R13" s="54">
        <f>IF(R3=0,0,R3/TrNavi_act!R7*1000)</f>
        <v>21171.527043189362</v>
      </c>
      <c r="S13" s="54">
        <f>IF(S3=0,0,S3/TrNavi_act!S7*1000)</f>
        <v>36462.548571428568</v>
      </c>
      <c r="T13" s="54">
        <f>IF(T3=0,0,T3/TrNavi_act!T7*1000)</f>
        <v>20084.556421725239</v>
      </c>
      <c r="U13" s="54">
        <f>IF(U3=0,0,U3/TrNavi_act!U7*1000)</f>
        <v>23702.601951219513</v>
      </c>
      <c r="V13" s="54">
        <f>IF(V3=0,0,V3/TrNavi_act!V7*1000)</f>
        <v>15134.855094339617</v>
      </c>
      <c r="W13" s="54">
        <f>IF(W3=0,0,W3/TrNavi_act!W7*1000)</f>
        <v>19419.829944134082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108128.76329569206</v>
      </c>
      <c r="C14" s="56">
        <f>IF(C4=0,0,C4/TrNavi_act!C8*1000)</f>
        <v>107429.93774400325</v>
      </c>
      <c r="D14" s="56">
        <f>IF(D4=0,0,D4/TrNavi_act!D8*1000)</f>
        <v>114570.5179538544</v>
      </c>
      <c r="E14" s="56">
        <f>IF(E4=0,0,E4/TrNavi_act!E8*1000)</f>
        <v>125920.59218660778</v>
      </c>
      <c r="F14" s="56">
        <f>IF(F4=0,0,F4/TrNavi_act!F8*1000)</f>
        <v>144493.79702022136</v>
      </c>
      <c r="G14" s="56">
        <f>IF(G4=0,0,G4/TrNavi_act!G8*1000)</f>
        <v>132176.66976046996</v>
      </c>
      <c r="H14" s="56">
        <f>IF(H4=0,0,H4/TrNavi_act!H8*1000)</f>
        <v>158134.68532931796</v>
      </c>
      <c r="I14" s="56">
        <f>IF(I4=0,0,I4/TrNavi_act!I8*1000)</f>
        <v>155095.2396305096</v>
      </c>
      <c r="J14" s="56">
        <f>IF(J4=0,0,J4/TrNavi_act!J8*1000)</f>
        <v>172709.58722297687</v>
      </c>
      <c r="K14" s="56">
        <f>IF(K4=0,0,K4/TrNavi_act!K8*1000)</f>
        <v>181646.65806947916</v>
      </c>
      <c r="L14" s="56">
        <f>IF(L4=0,0,L4/TrNavi_act!L8*1000)</f>
        <v>217457.00593635754</v>
      </c>
      <c r="M14" s="56">
        <f>IF(M4=0,0,M4/TrNavi_act!M8*1000)</f>
        <v>162363.34994834036</v>
      </c>
      <c r="N14" s="56">
        <f>IF(N4=0,0,N4/TrNavi_act!N8*1000)</f>
        <v>169284.45086686913</v>
      </c>
      <c r="O14" s="56">
        <f>IF(O4=0,0,O4/TrNavi_act!O8*1000)</f>
        <v>201938.39586187279</v>
      </c>
      <c r="P14" s="56">
        <f>IF(P4=0,0,P4/TrNavi_act!P8*1000)</f>
        <v>220748.33209326782</v>
      </c>
      <c r="Q14" s="56">
        <f>IF(Q4=0,0,Q4/TrNavi_act!Q8*1000)</f>
        <v>186257.74803151781</v>
      </c>
      <c r="R14" s="56">
        <f>IF(R4=0,0,R4/TrNavi_act!R8*1000)</f>
        <v>133771.39869365582</v>
      </c>
      <c r="S14" s="56">
        <f>IF(S4=0,0,S4/TrNavi_act!S8*1000)</f>
        <v>275962.36623889836</v>
      </c>
      <c r="T14" s="56">
        <f>IF(T4=0,0,T4/TrNavi_act!T8*1000)</f>
        <v>145286.24634346878</v>
      </c>
      <c r="U14" s="56">
        <f>IF(U4=0,0,U4/TrNavi_act!U8*1000)</f>
        <v>137279.64895051561</v>
      </c>
      <c r="V14" s="56">
        <f>IF(V4=0,0,V4/TrNavi_act!V8*1000)</f>
        <v>64369.915018287953</v>
      </c>
      <c r="W14" s="56">
        <f>IF(W4=0,0,W4/TrNavi_act!W8*1000)</f>
        <v>59441.453137240824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11709.813505695252</v>
      </c>
      <c r="C15" s="58">
        <f>IF(C5=0,0,C5/TrNavi_act!C9*1000)</f>
        <v>11864.263149736418</v>
      </c>
      <c r="D15" s="58">
        <f>IF(D5=0,0,D5/TrNavi_act!D9*1000)</f>
        <v>12103.557675458414</v>
      </c>
      <c r="E15" s="58">
        <f>IF(E5=0,0,E5/TrNavi_act!E9*1000)</f>
        <v>12383.020933348986</v>
      </c>
      <c r="F15" s="58">
        <f>IF(F5=0,0,F5/TrNavi_act!F9*1000)</f>
        <v>12998.156741463352</v>
      </c>
      <c r="G15" s="58">
        <f>IF(G5=0,0,G5/TrNavi_act!G9*1000)</f>
        <v>11958.01372610002</v>
      </c>
      <c r="H15" s="58">
        <f>IF(H5=0,0,H5/TrNavi_act!H9*1000)</f>
        <v>13975.8050426765</v>
      </c>
      <c r="I15" s="58">
        <f>IF(I5=0,0,I5/TrNavi_act!I9*1000)</f>
        <v>13937.73770560813</v>
      </c>
      <c r="J15" s="58">
        <f>IF(J5=0,0,J5/TrNavi_act!J9*1000)</f>
        <v>14552.494666527877</v>
      </c>
      <c r="K15" s="58">
        <f>IF(K5=0,0,K5/TrNavi_act!K9*1000)</f>
        <v>16922.139052650567</v>
      </c>
      <c r="L15" s="58">
        <f>IF(L5=0,0,L5/TrNavi_act!L9*1000)</f>
        <v>18659.619704158806</v>
      </c>
      <c r="M15" s="58">
        <f>IF(M5=0,0,M5/TrNavi_act!M9*1000)</f>
        <v>13601.467682899021</v>
      </c>
      <c r="N15" s="58">
        <f>IF(N5=0,0,N5/TrNavi_act!N9*1000)</f>
        <v>14179.417065330721</v>
      </c>
      <c r="O15" s="58">
        <f>IF(O5=0,0,O5/TrNavi_act!O9*1000)</f>
        <v>16871.996691847064</v>
      </c>
      <c r="P15" s="58">
        <f>IF(P5=0,0,P5/TrNavi_act!P9*1000)</f>
        <v>18406.991957983431</v>
      </c>
      <c r="Q15" s="58">
        <f>IF(Q5=0,0,Q5/TrNavi_act!Q9*1000)</f>
        <v>16463.66214829278</v>
      </c>
      <c r="R15" s="58">
        <f>IF(R5=0,0,R5/TrNavi_act!R9*1000)</f>
        <v>11415.581485026203</v>
      </c>
      <c r="S15" s="58">
        <f>IF(S5=0,0,S5/TrNavi_act!S9*1000)</f>
        <v>21134.560240710503</v>
      </c>
      <c r="T15" s="58">
        <f>IF(T5=0,0,T5/TrNavi_act!T9*1000)</f>
        <v>11993.290746510524</v>
      </c>
      <c r="U15" s="58">
        <f>IF(U5=0,0,U5/TrNavi_act!U9*1000)</f>
        <v>11424.002275619938</v>
      </c>
      <c r="V15" s="58">
        <f>IF(V5=0,0,V5/TrNavi_act!V9*1000)</f>
        <v>5730.4054459449881</v>
      </c>
      <c r="W15" s="58">
        <f>IF(W5=0,0,W5/TrNavi_act!W9*1000)</f>
        <v>5169.7065344672865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16.100779879213974</v>
      </c>
      <c r="C17" s="62">
        <f>IF(C3=0,0,C3/TrNavi_act!C3*1000)</f>
        <v>14.959482025512173</v>
      </c>
      <c r="D17" s="62">
        <f>IF(D3=0,0,D3/TrNavi_act!D3*1000)</f>
        <v>13.968013004069908</v>
      </c>
      <c r="E17" s="62">
        <f>IF(E3=0,0,E3/TrNavi_act!E3*1000)</f>
        <v>25.133725738548772</v>
      </c>
      <c r="F17" s="62">
        <f>IF(F3=0,0,F3/TrNavi_act!F3*1000)</f>
        <v>49.649503631929811</v>
      </c>
      <c r="G17" s="62">
        <f>IF(G3=0,0,G3/TrNavi_act!G3*1000)</f>
        <v>42.603358541829344</v>
      </c>
      <c r="H17" s="62">
        <f>IF(H3=0,0,H3/TrNavi_act!H3*1000)</f>
        <v>57.448859520225007</v>
      </c>
      <c r="I17" s="62">
        <f>IF(I3=0,0,I3/TrNavi_act!I3*1000)</f>
        <v>51.511383600620796</v>
      </c>
      <c r="J17" s="62">
        <f>IF(J3=0,0,J3/TrNavi_act!J3*1000)</f>
        <v>50.371159570129095</v>
      </c>
      <c r="K17" s="62">
        <f>IF(K3=0,0,K3/TrNavi_act!K3*1000)</f>
        <v>41.879866861588262</v>
      </c>
      <c r="L17" s="62">
        <f>IF(L3=0,0,L3/TrNavi_act!L3*1000)</f>
        <v>61.04878625474889</v>
      </c>
      <c r="M17" s="62">
        <f>IF(M3=0,0,M3/TrNavi_act!M3*1000)</f>
        <v>45.342992246163128</v>
      </c>
      <c r="N17" s="62">
        <f>IF(N3=0,0,N3/TrNavi_act!N3*1000)</f>
        <v>54.329181464130485</v>
      </c>
      <c r="O17" s="62">
        <f>IF(O3=0,0,O3/TrNavi_act!O3*1000)</f>
        <v>73.25789302240625</v>
      </c>
      <c r="P17" s="62">
        <f>IF(P3=0,0,P3/TrNavi_act!P3*1000)</f>
        <v>71.269388558989476</v>
      </c>
      <c r="Q17" s="62">
        <f>IF(Q3=0,0,Q3/TrNavi_act!Q3*1000)</f>
        <v>51.832331329759967</v>
      </c>
      <c r="R17" s="62">
        <f>IF(R3=0,0,R3/TrNavi_act!R3*1000)</f>
        <v>36.693477589939647</v>
      </c>
      <c r="S17" s="62">
        <f>IF(S3=0,0,S3/TrNavi_act!S3*1000)</f>
        <v>80.302457774932108</v>
      </c>
      <c r="T17" s="62">
        <f>IF(T3=0,0,T3/TrNavi_act!T3*1000)</f>
        <v>35.493697089461641</v>
      </c>
      <c r="U17" s="62">
        <f>IF(U3=0,0,U3/TrNavi_act!U3*1000)</f>
        <v>38.261611874483251</v>
      </c>
      <c r="V17" s="62">
        <f>IF(V3=0,0,V3/TrNavi_act!V3*1000)</f>
        <v>18.132540349925396</v>
      </c>
      <c r="W17" s="62">
        <f>IF(W3=0,0,W3/TrNavi_act!W3*1000)</f>
        <v>17.963576024101993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52.602775944808144</v>
      </c>
      <c r="C18" s="63">
        <f>IF(C4=0,0,C4/TrNavi_act!C4*1000)</f>
        <v>53.799510960654089</v>
      </c>
      <c r="D18" s="63">
        <f>IF(D4=0,0,D4/TrNavi_act!D4*1000)</f>
        <v>55.059290517436551</v>
      </c>
      <c r="E18" s="63">
        <f>IF(E4=0,0,E4/TrNavi_act!E4*1000)</f>
        <v>57.177227899990555</v>
      </c>
      <c r="F18" s="63">
        <f>IF(F4=0,0,F4/TrNavi_act!F4*1000)</f>
        <v>67.175172952218205</v>
      </c>
      <c r="G18" s="63">
        <f>IF(G4=0,0,G4/TrNavi_act!G4*1000)</f>
        <v>67.569227107678259</v>
      </c>
      <c r="H18" s="63">
        <f>IF(H4=0,0,H4/TrNavi_act!H4*1000)</f>
        <v>79.462850945501359</v>
      </c>
      <c r="I18" s="63">
        <f>IF(I4=0,0,I4/TrNavi_act!I4*1000)</f>
        <v>76.874963881293482</v>
      </c>
      <c r="J18" s="63">
        <f>IF(J4=0,0,J4/TrNavi_act!J4*1000)</f>
        <v>74.74511806701986</v>
      </c>
      <c r="K18" s="63">
        <f>IF(K4=0,0,K4/TrNavi_act!K4*1000)</f>
        <v>78.307224343790423</v>
      </c>
      <c r="L18" s="63">
        <f>IF(L4=0,0,L4/TrNavi_act!L4*1000)</f>
        <v>94.310747451526652</v>
      </c>
      <c r="M18" s="63">
        <f>IF(M4=0,0,M4/TrNavi_act!M4*1000)</f>
        <v>66.487858291703674</v>
      </c>
      <c r="N18" s="63">
        <f>IF(N4=0,0,N4/TrNavi_act!N4*1000)</f>
        <v>69.664383072785654</v>
      </c>
      <c r="O18" s="63">
        <f>IF(O4=0,0,O4/TrNavi_act!O4*1000)</f>
        <v>79.991442211080539</v>
      </c>
      <c r="P18" s="63">
        <f>IF(P4=0,0,P4/TrNavi_act!P4*1000)</f>
        <v>88.094952547397156</v>
      </c>
      <c r="Q18" s="63">
        <f>IF(Q4=0,0,Q4/TrNavi_act!Q4*1000)</f>
        <v>69.286368627056163</v>
      </c>
      <c r="R18" s="63">
        <f>IF(R4=0,0,R4/TrNavi_act!R4*1000)</f>
        <v>48.887099047504869</v>
      </c>
      <c r="S18" s="63">
        <f>IF(S4=0,0,S4/TrNavi_act!S4*1000)</f>
        <v>100.08911306494532</v>
      </c>
      <c r="T18" s="63">
        <f>IF(T4=0,0,T4/TrNavi_act!T4*1000)</f>
        <v>52.968217989559754</v>
      </c>
      <c r="U18" s="63">
        <f>IF(U4=0,0,U4/TrNavi_act!U4*1000)</f>
        <v>50.382475071296668</v>
      </c>
      <c r="V18" s="63">
        <f>IF(V4=0,0,V4/TrNavi_act!V4*1000)</f>
        <v>21.896281321252108</v>
      </c>
      <c r="W18" s="63">
        <f>IF(W4=0,0,W4/TrNavi_act!W4*1000)</f>
        <v>20.025290460611124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15.653015837110109</v>
      </c>
      <c r="C19" s="64">
        <f>IF(C5=0,0,C5/TrNavi_act!C5*1000)</f>
        <v>14.529967844772132</v>
      </c>
      <c r="D19" s="64">
        <f>IF(D5=0,0,D5/TrNavi_act!D5*1000)</f>
        <v>13.436453902595931</v>
      </c>
      <c r="E19" s="64">
        <f>IF(E5=0,0,E5/TrNavi_act!E5*1000)</f>
        <v>24.56723189758457</v>
      </c>
      <c r="F19" s="64">
        <f>IF(F5=0,0,F5/TrNavi_act!F5*1000)</f>
        <v>48.936303623941761</v>
      </c>
      <c r="G19" s="64">
        <f>IF(G5=0,0,G5/TrNavi_act!G5*1000)</f>
        <v>39.018962219415045</v>
      </c>
      <c r="H19" s="64">
        <f>IF(H5=0,0,H5/TrNavi_act!H5*1000)</f>
        <v>54.113930251747419</v>
      </c>
      <c r="I19" s="64">
        <f>IF(I5=0,0,I5/TrNavi_act!I5*1000)</f>
        <v>48.555656627840598</v>
      </c>
      <c r="J19" s="64">
        <f>IF(J5=0,0,J5/TrNavi_act!J5*1000)</f>
        <v>46.914721072958095</v>
      </c>
      <c r="K19" s="64">
        <f>IF(K5=0,0,K5/TrNavi_act!K5*1000)</f>
        <v>36.860104867159656</v>
      </c>
      <c r="L19" s="64">
        <f>IF(L5=0,0,L5/TrNavi_act!L5*1000)</f>
        <v>53.969361605874703</v>
      </c>
      <c r="M19" s="64">
        <f>IF(M5=0,0,M5/TrNavi_act!M5*1000)</f>
        <v>38.60789273965748</v>
      </c>
      <c r="N19" s="64">
        <f>IF(N5=0,0,N5/TrNavi_act!N5*1000)</f>
        <v>48.924400866637306</v>
      </c>
      <c r="O19" s="64">
        <f>IF(O5=0,0,O5/TrNavi_act!O5*1000)</f>
        <v>70.269085123187224</v>
      </c>
      <c r="P19" s="64">
        <f>IF(P5=0,0,P5/TrNavi_act!P5*1000)</f>
        <v>67.436525082430208</v>
      </c>
      <c r="Q19" s="64">
        <f>IF(Q5=0,0,Q5/TrNavi_act!Q5*1000)</f>
        <v>44.900896768071213</v>
      </c>
      <c r="R19" s="64">
        <f>IF(R5=0,0,R5/TrNavi_act!R5*1000)</f>
        <v>29.278852512520917</v>
      </c>
      <c r="S19" s="64">
        <f>IF(S5=0,0,S5/TrNavi_act!S5*1000)</f>
        <v>68.917044263186426</v>
      </c>
      <c r="T19" s="64">
        <f>IF(T5=0,0,T5/TrNavi_act!T5*1000)</f>
        <v>28.20821983579275</v>
      </c>
      <c r="U19" s="64">
        <f>IF(U5=0,0,U5/TrNavi_act!U5*1000)</f>
        <v>29.150902358478461</v>
      </c>
      <c r="V19" s="64">
        <f>IF(V5=0,0,V5/TrNavi_act!V5*1000)</f>
        <v>13.246911290626075</v>
      </c>
      <c r="W19" s="64">
        <f>IF(W5=0,0,W5/TrNavi_act!W5*1000)</f>
        <v>12.637060417586699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3.959126168360666E-2</v>
      </c>
      <c r="C22" s="77">
        <f t="shared" si="5"/>
        <v>3.9335387257183774E-2</v>
      </c>
      <c r="D22" s="77">
        <f t="shared" si="5"/>
        <v>5.0340307557380851E-2</v>
      </c>
      <c r="E22" s="77">
        <f t="shared" si="5"/>
        <v>3.9519429910292593E-2</v>
      </c>
      <c r="F22" s="77">
        <f t="shared" si="5"/>
        <v>5.2906290196268677E-2</v>
      </c>
      <c r="G22" s="77">
        <f t="shared" si="5"/>
        <v>0.199118217241264</v>
      </c>
      <c r="H22" s="77">
        <f t="shared" si="5"/>
        <v>0.18197422800200028</v>
      </c>
      <c r="I22" s="77">
        <f t="shared" si="5"/>
        <v>0.1557626756865059</v>
      </c>
      <c r="J22" s="77">
        <f t="shared" si="5"/>
        <v>0.18429362631998084</v>
      </c>
      <c r="K22" s="77">
        <f t="shared" si="5"/>
        <v>0.22645677131166561</v>
      </c>
      <c r="L22" s="77">
        <f t="shared" si="5"/>
        <v>0.27110111458595254</v>
      </c>
      <c r="M22" s="77">
        <f t="shared" si="5"/>
        <v>0.35422886773133555</v>
      </c>
      <c r="N22" s="77">
        <f t="shared" si="5"/>
        <v>0.33415450683950404</v>
      </c>
      <c r="O22" s="77">
        <f t="shared" si="5"/>
        <v>0.33567232572477823</v>
      </c>
      <c r="P22" s="77">
        <f t="shared" si="5"/>
        <v>0.22933697711794115</v>
      </c>
      <c r="Q22" s="77">
        <f t="shared" si="5"/>
        <v>0.3799609990217056</v>
      </c>
      <c r="R22" s="77">
        <f t="shared" si="5"/>
        <v>0.50379729405516505</v>
      </c>
      <c r="S22" s="77">
        <f t="shared" si="5"/>
        <v>0.45524080803082112</v>
      </c>
      <c r="T22" s="77">
        <f t="shared" si="5"/>
        <v>0.43910817465148122</v>
      </c>
      <c r="U22" s="77">
        <f t="shared" si="5"/>
        <v>0.56504920896619315</v>
      </c>
      <c r="V22" s="77">
        <f t="shared" ref="V22:W22" si="6">IF(V4=0,0,V4/V$3)</f>
        <v>0.68209948972396739</v>
      </c>
      <c r="W22" s="77">
        <f t="shared" si="6"/>
        <v>0.80369047684194517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0.96040873831639328</v>
      </c>
      <c r="C23" s="78">
        <f t="shared" si="7"/>
        <v>0.96066461274281623</v>
      </c>
      <c r="D23" s="78">
        <f t="shared" si="7"/>
        <v>0.94965969244261916</v>
      </c>
      <c r="E23" s="78">
        <f t="shared" si="7"/>
        <v>0.96048057008970744</v>
      </c>
      <c r="F23" s="78">
        <f t="shared" si="7"/>
        <v>0.94709370980373142</v>
      </c>
      <c r="G23" s="78">
        <f t="shared" si="7"/>
        <v>0.800881782758736</v>
      </c>
      <c r="H23" s="78">
        <f t="shared" si="7"/>
        <v>0.81802577199799975</v>
      </c>
      <c r="I23" s="78">
        <f t="shared" si="7"/>
        <v>0.84423732431349408</v>
      </c>
      <c r="J23" s="78">
        <f t="shared" si="7"/>
        <v>0.81570637368001908</v>
      </c>
      <c r="K23" s="78">
        <f t="shared" si="7"/>
        <v>0.77354322868833447</v>
      </c>
      <c r="L23" s="78">
        <f t="shared" si="7"/>
        <v>0.72889888541404735</v>
      </c>
      <c r="M23" s="78">
        <f t="shared" si="7"/>
        <v>0.64577113226866445</v>
      </c>
      <c r="N23" s="78">
        <f t="shared" si="7"/>
        <v>0.66584549316049602</v>
      </c>
      <c r="O23" s="78">
        <f t="shared" si="7"/>
        <v>0.66432767427522177</v>
      </c>
      <c r="P23" s="78">
        <f t="shared" si="7"/>
        <v>0.7706630228820589</v>
      </c>
      <c r="Q23" s="78">
        <f t="shared" si="7"/>
        <v>0.62003900097829434</v>
      </c>
      <c r="R23" s="78">
        <f t="shared" si="7"/>
        <v>0.49620270594483495</v>
      </c>
      <c r="S23" s="78">
        <f t="shared" si="7"/>
        <v>0.54475919196917899</v>
      </c>
      <c r="T23" s="78">
        <f t="shared" si="7"/>
        <v>0.56089182534851889</v>
      </c>
      <c r="U23" s="78">
        <f t="shared" si="7"/>
        <v>0.4349507910338069</v>
      </c>
      <c r="V23" s="78">
        <f t="shared" ref="V23:W23" si="8">IF(V5=0,0,V5/V$3)</f>
        <v>0.31790051027603267</v>
      </c>
      <c r="W23" s="78">
        <f t="shared" si="8"/>
        <v>0.19630952315805472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54914.365048000007</v>
      </c>
      <c r="C3" s="54">
        <f t="shared" si="0"/>
        <v>49478.600707999998</v>
      </c>
      <c r="D3" s="54">
        <f t="shared" si="0"/>
        <v>51511.065805999999</v>
      </c>
      <c r="E3" s="54">
        <f t="shared" si="0"/>
        <v>54374.927660000001</v>
      </c>
      <c r="F3" s="54">
        <f t="shared" si="0"/>
        <v>48347.766540000004</v>
      </c>
      <c r="G3" s="54">
        <f t="shared" si="0"/>
        <v>121265.066861</v>
      </c>
      <c r="H3" s="54">
        <f t="shared" si="0"/>
        <v>116459.15085599999</v>
      </c>
      <c r="I3" s="54">
        <f t="shared" si="0"/>
        <v>88457.408364999996</v>
      </c>
      <c r="J3" s="54">
        <f t="shared" si="0"/>
        <v>82951.685765000002</v>
      </c>
      <c r="K3" s="54">
        <f t="shared" si="0"/>
        <v>83279.743633999999</v>
      </c>
      <c r="L3" s="54">
        <f t="shared" si="0"/>
        <v>110248.966075</v>
      </c>
      <c r="M3" s="54">
        <f t="shared" si="0"/>
        <v>101991.90660999999</v>
      </c>
      <c r="N3" s="54">
        <f t="shared" si="0"/>
        <v>124260.61745800001</v>
      </c>
      <c r="O3" s="54">
        <f t="shared" si="0"/>
        <v>141784.21324399998</v>
      </c>
      <c r="P3" s="54">
        <f t="shared" si="0"/>
        <v>168540.22747899999</v>
      </c>
      <c r="Q3" s="54">
        <f t="shared" si="0"/>
        <v>171842.56049499998</v>
      </c>
      <c r="R3" s="54">
        <f t="shared" ref="R3:W3" si="1">SUM(R4:R5)</f>
        <v>201347.11962199997</v>
      </c>
      <c r="S3" s="54">
        <f t="shared" si="1"/>
        <v>242120.77254099998</v>
      </c>
      <c r="T3" s="54">
        <f t="shared" si="1"/>
        <v>275629.72364099999</v>
      </c>
      <c r="U3" s="54">
        <f t="shared" si="1"/>
        <v>283891.13471700001</v>
      </c>
      <c r="V3" s="54">
        <f t="shared" si="1"/>
        <v>266400.48320000002</v>
      </c>
      <c r="W3" s="54">
        <f t="shared" si="1"/>
        <v>287822.45517599996</v>
      </c>
      <c r="DA3" s="172" t="s">
        <v>387</v>
      </c>
    </row>
    <row r="4" spans="1:105" ht="11.45" customHeight="1" x14ac:dyDescent="0.25">
      <c r="A4" s="55" t="s">
        <v>170</v>
      </c>
      <c r="B4" s="56">
        <v>14948.69916</v>
      </c>
      <c r="C4" s="56">
        <v>13231.778343</v>
      </c>
      <c r="D4" s="56">
        <v>13786.592832</v>
      </c>
      <c r="E4" s="56">
        <v>14588.018786000001</v>
      </c>
      <c r="F4" s="56">
        <v>12964.248432</v>
      </c>
      <c r="G4" s="56">
        <v>27712.117399000002</v>
      </c>
      <c r="H4" s="56">
        <v>21709.411239000001</v>
      </c>
      <c r="I4" s="56">
        <v>22885.779427000001</v>
      </c>
      <c r="J4" s="56">
        <v>18302.013667000003</v>
      </c>
      <c r="K4" s="56">
        <v>19401.116614999999</v>
      </c>
      <c r="L4" s="56">
        <v>26590.259624999999</v>
      </c>
      <c r="M4" s="56">
        <v>23792.016882</v>
      </c>
      <c r="N4" s="56">
        <v>20264.993726000001</v>
      </c>
      <c r="O4" s="56">
        <v>22912.572402000002</v>
      </c>
      <c r="P4" s="56">
        <v>23900.396728</v>
      </c>
      <c r="Q4" s="56">
        <v>26308.016986000002</v>
      </c>
      <c r="R4" s="56">
        <v>25447.419515000001</v>
      </c>
      <c r="S4" s="56">
        <v>23096.222408000001</v>
      </c>
      <c r="T4" s="56">
        <v>26056.211767000001</v>
      </c>
      <c r="U4" s="56">
        <v>25737.090829000001</v>
      </c>
      <c r="V4" s="56">
        <v>27130.182922</v>
      </c>
      <c r="W4" s="56">
        <v>27853.358779999999</v>
      </c>
      <c r="DA4" s="181" t="s">
        <v>388</v>
      </c>
    </row>
    <row r="5" spans="1:105" ht="11.45" customHeight="1" x14ac:dyDescent="0.25">
      <c r="A5" s="57" t="s">
        <v>171</v>
      </c>
      <c r="B5" s="58">
        <v>39965.665888000003</v>
      </c>
      <c r="C5" s="58">
        <v>36246.822365</v>
      </c>
      <c r="D5" s="58">
        <v>37724.472973999997</v>
      </c>
      <c r="E5" s="58">
        <v>39786.908874000001</v>
      </c>
      <c r="F5" s="58">
        <v>35383.518108000004</v>
      </c>
      <c r="G5" s="58">
        <v>93552.949462000004</v>
      </c>
      <c r="H5" s="58">
        <v>94749.739616999999</v>
      </c>
      <c r="I5" s="58">
        <v>65571.628937999994</v>
      </c>
      <c r="J5" s="58">
        <v>64649.672097999995</v>
      </c>
      <c r="K5" s="58">
        <v>63878.627019</v>
      </c>
      <c r="L5" s="58">
        <v>83658.706450000012</v>
      </c>
      <c r="M5" s="58">
        <v>78199.889727999995</v>
      </c>
      <c r="N5" s="58">
        <v>103995.62373200001</v>
      </c>
      <c r="O5" s="58">
        <v>118871.64084199999</v>
      </c>
      <c r="P5" s="58">
        <v>144639.830751</v>
      </c>
      <c r="Q5" s="58">
        <v>145534.54350899998</v>
      </c>
      <c r="R5" s="58">
        <v>175899.70010699998</v>
      </c>
      <c r="S5" s="58">
        <v>219024.55013299998</v>
      </c>
      <c r="T5" s="58">
        <v>249573.51187399999</v>
      </c>
      <c r="U5" s="58">
        <v>258154.04388800001</v>
      </c>
      <c r="V5" s="58">
        <v>239270.30027800001</v>
      </c>
      <c r="W5" s="58">
        <v>259969.09639599998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5.213241</v>
      </c>
      <c r="C7" s="59">
        <f t="shared" si="2"/>
        <v>4.5763369999999997</v>
      </c>
      <c r="D7" s="59">
        <f t="shared" si="2"/>
        <v>4.7058850000000003</v>
      </c>
      <c r="E7" s="59">
        <f t="shared" si="2"/>
        <v>4.9656609999999999</v>
      </c>
      <c r="F7" s="59">
        <f t="shared" si="2"/>
        <v>4.3949860000000003</v>
      </c>
      <c r="G7" s="59">
        <f t="shared" si="2"/>
        <v>10.894404</v>
      </c>
      <c r="H7" s="59">
        <f t="shared" si="2"/>
        <v>9.2993190000000006</v>
      </c>
      <c r="I7" s="59">
        <f t="shared" si="2"/>
        <v>7.991663</v>
      </c>
      <c r="J7" s="59">
        <f t="shared" si="2"/>
        <v>6.0696840000000005</v>
      </c>
      <c r="K7" s="59">
        <f t="shared" si="2"/>
        <v>6.1451370000000001</v>
      </c>
      <c r="L7" s="59">
        <f t="shared" si="2"/>
        <v>7.8675389999999998</v>
      </c>
      <c r="M7" s="59">
        <f t="shared" si="2"/>
        <v>6.5753009999999996</v>
      </c>
      <c r="N7" s="59">
        <f t="shared" si="2"/>
        <v>6.6878729999999997</v>
      </c>
      <c r="O7" s="59">
        <f t="shared" si="2"/>
        <v>7.2428550000000005</v>
      </c>
      <c r="P7" s="59">
        <f t="shared" si="2"/>
        <v>7.6773300000000004</v>
      </c>
      <c r="Q7" s="59">
        <f t="shared" si="2"/>
        <v>8.4105680000000014</v>
      </c>
      <c r="R7" s="59">
        <f t="shared" si="2"/>
        <v>9.1861429999999995</v>
      </c>
      <c r="S7" s="59">
        <f t="shared" si="2"/>
        <v>9.9964739999999992</v>
      </c>
      <c r="T7" s="59">
        <f t="shared" si="2"/>
        <v>10.821434</v>
      </c>
      <c r="U7" s="59">
        <f t="shared" si="2"/>
        <v>10.705135</v>
      </c>
      <c r="V7" s="59">
        <f t="shared" si="2"/>
        <v>10.022409</v>
      </c>
      <c r="W7" s="59">
        <f t="shared" si="2"/>
        <v>10.981782000000001</v>
      </c>
      <c r="DA7" s="172" t="s">
        <v>961</v>
      </c>
    </row>
    <row r="8" spans="1:105" ht="11.45" customHeight="1" x14ac:dyDescent="0.25">
      <c r="A8" s="55" t="s">
        <v>170</v>
      </c>
      <c r="B8" s="60">
        <v>2.8720299999999996</v>
      </c>
      <c r="C8" s="60">
        <v>2.5089759999999997</v>
      </c>
      <c r="D8" s="60">
        <v>2.573499</v>
      </c>
      <c r="E8" s="60">
        <v>2.7016979999999999</v>
      </c>
      <c r="F8" s="60">
        <v>2.398336</v>
      </c>
      <c r="G8" s="60">
        <v>5.6780479999999995</v>
      </c>
      <c r="H8" s="60">
        <v>4.3160949999999998</v>
      </c>
      <c r="I8" s="60">
        <v>4.4729179999999999</v>
      </c>
      <c r="J8" s="60">
        <v>3.0390449999999998</v>
      </c>
      <c r="K8" s="60">
        <v>3.271998</v>
      </c>
      <c r="L8" s="60">
        <v>4.3041070000000001</v>
      </c>
      <c r="M8" s="60">
        <v>3.4537260000000001</v>
      </c>
      <c r="N8" s="60">
        <v>2.9341089999999999</v>
      </c>
      <c r="O8" s="60">
        <v>3.0580669999999999</v>
      </c>
      <c r="P8" s="60">
        <v>2.8580019999999999</v>
      </c>
      <c r="Q8" s="60">
        <v>3.5352800000000002</v>
      </c>
      <c r="R8" s="60">
        <v>3.432814</v>
      </c>
      <c r="S8" s="60">
        <v>3.0680290000000001</v>
      </c>
      <c r="T8" s="60">
        <v>3.178023</v>
      </c>
      <c r="U8" s="60">
        <v>3.015447</v>
      </c>
      <c r="V8" s="60">
        <v>2.8968829999999999</v>
      </c>
      <c r="W8" s="60">
        <v>3.307677</v>
      </c>
      <c r="DA8" s="181" t="s">
        <v>962</v>
      </c>
    </row>
    <row r="9" spans="1:105" ht="11.45" customHeight="1" x14ac:dyDescent="0.25">
      <c r="A9" s="57" t="s">
        <v>171</v>
      </c>
      <c r="B9" s="61">
        <v>2.3412109999999999</v>
      </c>
      <c r="C9" s="61">
        <v>2.067361</v>
      </c>
      <c r="D9" s="61">
        <v>2.1323859999999999</v>
      </c>
      <c r="E9" s="61">
        <v>2.2639629999999999</v>
      </c>
      <c r="F9" s="61">
        <v>1.99665</v>
      </c>
      <c r="G9" s="61">
        <v>5.2163560000000002</v>
      </c>
      <c r="H9" s="61">
        <v>4.9832239999999999</v>
      </c>
      <c r="I9" s="61">
        <v>3.518745</v>
      </c>
      <c r="J9" s="61">
        <v>3.0306390000000003</v>
      </c>
      <c r="K9" s="61">
        <v>2.8731390000000001</v>
      </c>
      <c r="L9" s="61">
        <v>3.5634319999999997</v>
      </c>
      <c r="M9" s="61">
        <v>3.121575</v>
      </c>
      <c r="N9" s="61">
        <v>3.7537640000000003</v>
      </c>
      <c r="O9" s="61">
        <v>4.1847880000000002</v>
      </c>
      <c r="P9" s="61">
        <v>4.8193280000000005</v>
      </c>
      <c r="Q9" s="61">
        <v>4.8752880000000003</v>
      </c>
      <c r="R9" s="61">
        <v>5.7533289999999999</v>
      </c>
      <c r="S9" s="61">
        <v>6.928445</v>
      </c>
      <c r="T9" s="61">
        <v>7.6434110000000004</v>
      </c>
      <c r="U9" s="61">
        <v>7.6896880000000003</v>
      </c>
      <c r="V9" s="61">
        <v>7.1255259999999998</v>
      </c>
      <c r="W9" s="61">
        <v>7.6741050000000008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10533.632542213185</v>
      </c>
      <c r="C13" s="62">
        <f t="shared" si="3"/>
        <v>10811.835034876147</v>
      </c>
      <c r="D13" s="62">
        <f t="shared" si="3"/>
        <v>10946.095326596378</v>
      </c>
      <c r="E13" s="62">
        <f t="shared" si="3"/>
        <v>10950.189241673968</v>
      </c>
      <c r="F13" s="62">
        <f t="shared" si="3"/>
        <v>11000.664516337481</v>
      </c>
      <c r="G13" s="62">
        <f t="shared" si="3"/>
        <v>11130.950060324549</v>
      </c>
      <c r="H13" s="62">
        <f t="shared" si="3"/>
        <v>12523.406375886232</v>
      </c>
      <c r="I13" s="62">
        <f t="shared" si="3"/>
        <v>11068.711026103078</v>
      </c>
      <c r="J13" s="62">
        <f t="shared" si="3"/>
        <v>13666.557561316205</v>
      </c>
      <c r="K13" s="62">
        <f t="shared" si="3"/>
        <v>13552.137834193118</v>
      </c>
      <c r="L13" s="62">
        <f t="shared" si="3"/>
        <v>14013.1451620386</v>
      </c>
      <c r="M13" s="62">
        <f t="shared" si="3"/>
        <v>15511.366948828654</v>
      </c>
      <c r="N13" s="62">
        <f t="shared" si="3"/>
        <v>18579.990597608539</v>
      </c>
      <c r="O13" s="62">
        <f t="shared" si="3"/>
        <v>19575.735430848745</v>
      </c>
      <c r="P13" s="62">
        <f t="shared" si="3"/>
        <v>21952.974208351079</v>
      </c>
      <c r="Q13" s="62">
        <f t="shared" si="3"/>
        <v>20431.742599905258</v>
      </c>
      <c r="R13" s="62">
        <f t="shared" si="3"/>
        <v>21918.570135692422</v>
      </c>
      <c r="S13" s="62">
        <f t="shared" si="3"/>
        <v>24220.617443810686</v>
      </c>
      <c r="T13" s="62">
        <f t="shared" si="3"/>
        <v>25470.720760390905</v>
      </c>
      <c r="U13" s="62">
        <f t="shared" si="3"/>
        <v>26519.155033262075</v>
      </c>
      <c r="V13" s="62">
        <f t="shared" si="3"/>
        <v>26580.484113150844</v>
      </c>
      <c r="W13" s="62">
        <f t="shared" si="3"/>
        <v>26209.08475291168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5204.9244471680313</v>
      </c>
      <c r="C14" s="63">
        <f t="shared" si="3"/>
        <v>5273.7763705192883</v>
      </c>
      <c r="D14" s="63">
        <f t="shared" si="3"/>
        <v>5357.1393779441923</v>
      </c>
      <c r="E14" s="63">
        <f t="shared" si="3"/>
        <v>5399.5741885288444</v>
      </c>
      <c r="F14" s="63">
        <f t="shared" si="3"/>
        <v>5405.5180058173664</v>
      </c>
      <c r="G14" s="63">
        <f t="shared" si="3"/>
        <v>4880.5711749883067</v>
      </c>
      <c r="H14" s="63">
        <f t="shared" si="3"/>
        <v>5029.8733551972327</v>
      </c>
      <c r="I14" s="63">
        <f t="shared" si="3"/>
        <v>5116.5211226765168</v>
      </c>
      <c r="J14" s="63">
        <f t="shared" si="3"/>
        <v>6022.2911036197238</v>
      </c>
      <c r="K14" s="63">
        <f t="shared" si="3"/>
        <v>5929.4402426285096</v>
      </c>
      <c r="L14" s="63">
        <f t="shared" si="3"/>
        <v>6177.8807136997284</v>
      </c>
      <c r="M14" s="63">
        <f t="shared" si="3"/>
        <v>6888.7968767643988</v>
      </c>
      <c r="N14" s="63">
        <f t="shared" si="3"/>
        <v>6906.6942386939281</v>
      </c>
      <c r="O14" s="63">
        <f t="shared" si="3"/>
        <v>7492.5017672928689</v>
      </c>
      <c r="P14" s="63">
        <f t="shared" si="3"/>
        <v>8362.6242136989404</v>
      </c>
      <c r="Q14" s="63">
        <f t="shared" si="3"/>
        <v>7441.5653034554553</v>
      </c>
      <c r="R14" s="63">
        <f t="shared" si="3"/>
        <v>7412.99106651278</v>
      </c>
      <c r="S14" s="63">
        <f t="shared" si="3"/>
        <v>7528.0326255064738</v>
      </c>
      <c r="T14" s="63">
        <f t="shared" si="3"/>
        <v>8198.8745100334399</v>
      </c>
      <c r="U14" s="63">
        <f t="shared" si="3"/>
        <v>8535.0831332800753</v>
      </c>
      <c r="V14" s="63">
        <f t="shared" si="3"/>
        <v>9365.3015748306025</v>
      </c>
      <c r="W14" s="63">
        <f t="shared" si="3"/>
        <v>8420.8218577569696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17070.510042879519</v>
      </c>
      <c r="C15" s="64">
        <f t="shared" si="3"/>
        <v>17532.8945283383</v>
      </c>
      <c r="D15" s="64">
        <f t="shared" si="3"/>
        <v>17691.202706264248</v>
      </c>
      <c r="E15" s="64">
        <f t="shared" si="3"/>
        <v>17574.010208647403</v>
      </c>
      <c r="F15" s="64">
        <f t="shared" si="3"/>
        <v>17721.442470137481</v>
      </c>
      <c r="G15" s="64">
        <f t="shared" si="3"/>
        <v>17934.540790927615</v>
      </c>
      <c r="H15" s="64">
        <f t="shared" si="3"/>
        <v>19013.74283335447</v>
      </c>
      <c r="I15" s="64">
        <f t="shared" si="3"/>
        <v>18634.947669694735</v>
      </c>
      <c r="J15" s="64">
        <f t="shared" si="3"/>
        <v>21332.026710538597</v>
      </c>
      <c r="K15" s="64">
        <f t="shared" si="3"/>
        <v>22233.044422494004</v>
      </c>
      <c r="L15" s="64">
        <f t="shared" si="3"/>
        <v>23477.00375649094</v>
      </c>
      <c r="M15" s="64">
        <f t="shared" si="3"/>
        <v>25051.421070453216</v>
      </c>
      <c r="N15" s="64">
        <f t="shared" si="3"/>
        <v>27704.358540387726</v>
      </c>
      <c r="O15" s="64">
        <f t="shared" si="3"/>
        <v>28405.654203271464</v>
      </c>
      <c r="P15" s="64">
        <f t="shared" si="3"/>
        <v>30012.447949382153</v>
      </c>
      <c r="Q15" s="64">
        <f t="shared" si="3"/>
        <v>29851.476160792958</v>
      </c>
      <c r="R15" s="64">
        <f t="shared" si="3"/>
        <v>30573.551435525413</v>
      </c>
      <c r="S15" s="64">
        <f t="shared" si="3"/>
        <v>31612.367585078613</v>
      </c>
      <c r="T15" s="64">
        <f t="shared" si="3"/>
        <v>32652.111979062749</v>
      </c>
      <c r="U15" s="64">
        <f t="shared" si="3"/>
        <v>33571.458801449422</v>
      </c>
      <c r="V15" s="64">
        <f t="shared" si="3"/>
        <v>33579.317551855122</v>
      </c>
      <c r="W15" s="64">
        <f t="shared" si="3"/>
        <v>33876.145348024293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0.27221837395248977</v>
      </c>
      <c r="C18" s="66">
        <f t="shared" si="4"/>
        <v>0.26742426329086966</v>
      </c>
      <c r="D18" s="66">
        <f t="shared" si="4"/>
        <v>0.26764332316327533</v>
      </c>
      <c r="E18" s="66">
        <f t="shared" si="4"/>
        <v>0.26828575988582748</v>
      </c>
      <c r="F18" s="66">
        <f t="shared" si="4"/>
        <v>0.26814575645959093</v>
      </c>
      <c r="G18" s="66">
        <f t="shared" si="4"/>
        <v>0.22852514839055008</v>
      </c>
      <c r="H18" s="66">
        <f t="shared" si="4"/>
        <v>0.18641224051035168</v>
      </c>
      <c r="I18" s="66">
        <f t="shared" si="4"/>
        <v>0.25872089008720306</v>
      </c>
      <c r="J18" s="66">
        <f t="shared" si="4"/>
        <v>0.22063461999855119</v>
      </c>
      <c r="K18" s="66">
        <f t="shared" si="4"/>
        <v>0.23296321252217747</v>
      </c>
      <c r="L18" s="66">
        <f t="shared" si="4"/>
        <v>0.24118375501962727</v>
      </c>
      <c r="M18" s="66">
        <f t="shared" si="4"/>
        <v>0.23327357701995607</v>
      </c>
      <c r="N18" s="66">
        <f t="shared" si="4"/>
        <v>0.1630846050869621</v>
      </c>
      <c r="O18" s="66">
        <f t="shared" si="4"/>
        <v>0.16160171769313403</v>
      </c>
      <c r="P18" s="66">
        <f t="shared" si="4"/>
        <v>0.1418082619532359</v>
      </c>
      <c r="Q18" s="66">
        <f t="shared" si="4"/>
        <v>0.15309372084667858</v>
      </c>
      <c r="R18" s="66">
        <f t="shared" si="4"/>
        <v>0.12638581352826822</v>
      </c>
      <c r="S18" s="66">
        <f t="shared" si="4"/>
        <v>9.5391329565037458E-2</v>
      </c>
      <c r="T18" s="66">
        <f t="shared" si="4"/>
        <v>9.4533388572190014E-2</v>
      </c>
      <c r="U18" s="66">
        <f t="shared" si="4"/>
        <v>9.0658311167963385E-2</v>
      </c>
      <c r="V18" s="66">
        <f t="shared" si="4"/>
        <v>0.1018398412649726</v>
      </c>
      <c r="W18" s="66">
        <f t="shared" si="4"/>
        <v>9.6772709283464375E-2</v>
      </c>
      <c r="DA18" s="181"/>
    </row>
    <row r="19" spans="1:105" ht="11.45" customHeight="1" x14ac:dyDescent="0.25">
      <c r="A19" s="57" t="s">
        <v>171</v>
      </c>
      <c r="B19" s="67">
        <f t="shared" si="4"/>
        <v>0.72778162604751018</v>
      </c>
      <c r="C19" s="67">
        <f t="shared" si="4"/>
        <v>0.73257573670913045</v>
      </c>
      <c r="D19" s="67">
        <f t="shared" si="4"/>
        <v>0.73235667683672456</v>
      </c>
      <c r="E19" s="67">
        <f t="shared" si="4"/>
        <v>0.73171424011417252</v>
      </c>
      <c r="F19" s="67">
        <f t="shared" si="4"/>
        <v>0.73185424354040907</v>
      </c>
      <c r="G19" s="67">
        <f t="shared" si="4"/>
        <v>0.77147485160944995</v>
      </c>
      <c r="H19" s="67">
        <f t="shared" si="4"/>
        <v>0.81358775948964834</v>
      </c>
      <c r="I19" s="67">
        <f t="shared" si="4"/>
        <v>0.74127910991279689</v>
      </c>
      <c r="J19" s="67">
        <f t="shared" si="4"/>
        <v>0.77936538000144873</v>
      </c>
      <c r="K19" s="67">
        <f t="shared" si="4"/>
        <v>0.76703678747782256</v>
      </c>
      <c r="L19" s="67">
        <f t="shared" si="4"/>
        <v>0.75881624498037281</v>
      </c>
      <c r="M19" s="67">
        <f t="shared" si="4"/>
        <v>0.76672642298004401</v>
      </c>
      <c r="N19" s="67">
        <f t="shared" si="4"/>
        <v>0.8369153949130379</v>
      </c>
      <c r="O19" s="67">
        <f t="shared" si="4"/>
        <v>0.83839828230686608</v>
      </c>
      <c r="P19" s="67">
        <f t="shared" si="4"/>
        <v>0.85819173804676419</v>
      </c>
      <c r="Q19" s="67">
        <f t="shared" si="4"/>
        <v>0.8469062791533214</v>
      </c>
      <c r="R19" s="67">
        <f t="shared" si="4"/>
        <v>0.87361418647173184</v>
      </c>
      <c r="S19" s="67">
        <f t="shared" si="4"/>
        <v>0.90460867043496251</v>
      </c>
      <c r="T19" s="67">
        <f t="shared" si="4"/>
        <v>0.90546661142780993</v>
      </c>
      <c r="U19" s="67">
        <f t="shared" si="4"/>
        <v>0.90934168883203659</v>
      </c>
      <c r="V19" s="67">
        <f t="shared" si="4"/>
        <v>0.89816015873502741</v>
      </c>
      <c r="W19" s="67">
        <f t="shared" si="4"/>
        <v>0.90322729071653574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0.55091065231781911</v>
      </c>
      <c r="C22" s="66">
        <f t="shared" si="5"/>
        <v>0.54824983387368542</v>
      </c>
      <c r="D22" s="66">
        <f t="shared" si="5"/>
        <v>0.54686822988662065</v>
      </c>
      <c r="E22" s="66">
        <f t="shared" si="5"/>
        <v>0.54407620657149169</v>
      </c>
      <c r="F22" s="66">
        <f t="shared" si="5"/>
        <v>0.54569821155289233</v>
      </c>
      <c r="G22" s="66">
        <f t="shared" si="5"/>
        <v>0.52118941063687374</v>
      </c>
      <c r="H22" s="66">
        <f t="shared" si="5"/>
        <v>0.4641302228690079</v>
      </c>
      <c r="I22" s="66">
        <f t="shared" si="5"/>
        <v>0.55969802530462054</v>
      </c>
      <c r="J22" s="66">
        <f t="shared" si="5"/>
        <v>0.5006924577951668</v>
      </c>
      <c r="K22" s="66">
        <f t="shared" si="5"/>
        <v>0.53245322276785689</v>
      </c>
      <c r="L22" s="66">
        <f t="shared" si="5"/>
        <v>0.54707158108780907</v>
      </c>
      <c r="M22" s="66">
        <f t="shared" si="5"/>
        <v>0.52525747490495112</v>
      </c>
      <c r="N22" s="66">
        <f t="shared" si="5"/>
        <v>0.43872080106784322</v>
      </c>
      <c r="O22" s="66">
        <f t="shared" si="5"/>
        <v>0.42221844838810108</v>
      </c>
      <c r="P22" s="66">
        <f t="shared" si="5"/>
        <v>0.3722650973710912</v>
      </c>
      <c r="Q22" s="66">
        <f t="shared" si="5"/>
        <v>0.42033784162972104</v>
      </c>
      <c r="R22" s="66">
        <f t="shared" si="5"/>
        <v>0.37369481402586485</v>
      </c>
      <c r="S22" s="66">
        <f t="shared" si="5"/>
        <v>0.30691111685980482</v>
      </c>
      <c r="T22" s="66">
        <f t="shared" si="5"/>
        <v>0.29367854574541602</v>
      </c>
      <c r="U22" s="66">
        <f t="shared" si="5"/>
        <v>0.28168229545914181</v>
      </c>
      <c r="V22" s="66">
        <f t="shared" si="5"/>
        <v>0.28904058894423484</v>
      </c>
      <c r="W22" s="66">
        <f t="shared" si="5"/>
        <v>0.30119674566477461</v>
      </c>
      <c r="DA22" s="181"/>
    </row>
    <row r="23" spans="1:105" ht="11.45" customHeight="1" x14ac:dyDescent="0.25">
      <c r="A23" s="57" t="s">
        <v>171</v>
      </c>
      <c r="B23" s="67">
        <f t="shared" si="5"/>
        <v>0.44908934768218078</v>
      </c>
      <c r="C23" s="67">
        <f t="shared" si="5"/>
        <v>0.45175016612631458</v>
      </c>
      <c r="D23" s="67">
        <f t="shared" si="5"/>
        <v>0.45313177011337924</v>
      </c>
      <c r="E23" s="67">
        <f t="shared" si="5"/>
        <v>0.45592379342850831</v>
      </c>
      <c r="F23" s="67">
        <f t="shared" si="5"/>
        <v>0.45430178844710767</v>
      </c>
      <c r="G23" s="67">
        <f t="shared" si="5"/>
        <v>0.47881058936312626</v>
      </c>
      <c r="H23" s="67">
        <f t="shared" si="5"/>
        <v>0.53586977713099204</v>
      </c>
      <c r="I23" s="67">
        <f t="shared" si="5"/>
        <v>0.44030197469537941</v>
      </c>
      <c r="J23" s="67">
        <f t="shared" si="5"/>
        <v>0.49930754220483309</v>
      </c>
      <c r="K23" s="67">
        <f t="shared" si="5"/>
        <v>0.46754677723214311</v>
      </c>
      <c r="L23" s="67">
        <f t="shared" si="5"/>
        <v>0.45292841891219093</v>
      </c>
      <c r="M23" s="67">
        <f t="shared" si="5"/>
        <v>0.47474252509504888</v>
      </c>
      <c r="N23" s="67">
        <f t="shared" si="5"/>
        <v>0.56127919893215683</v>
      </c>
      <c r="O23" s="67">
        <f t="shared" si="5"/>
        <v>0.57778155161189892</v>
      </c>
      <c r="P23" s="67">
        <f t="shared" si="5"/>
        <v>0.62773490262890874</v>
      </c>
      <c r="Q23" s="67">
        <f t="shared" si="5"/>
        <v>0.5796621583702789</v>
      </c>
      <c r="R23" s="67">
        <f t="shared" si="5"/>
        <v>0.6263051859741352</v>
      </c>
      <c r="S23" s="67">
        <f t="shared" si="5"/>
        <v>0.69308888314019523</v>
      </c>
      <c r="T23" s="67">
        <f t="shared" si="5"/>
        <v>0.70632145425458404</v>
      </c>
      <c r="U23" s="67">
        <f t="shared" si="5"/>
        <v>0.71831770454085819</v>
      </c>
      <c r="V23" s="67">
        <f t="shared" si="5"/>
        <v>0.7109594110557651</v>
      </c>
      <c r="W23" s="67">
        <f t="shared" si="5"/>
        <v>0.69880325433522539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284.49415305245049</v>
      </c>
      <c r="C3" s="62">
        <f t="shared" ref="C3:W3" si="0">SUM(C4,C10)</f>
        <v>259.00447119518486</v>
      </c>
      <c r="D3" s="62">
        <f t="shared" si="0"/>
        <v>268.99303525365434</v>
      </c>
      <c r="E3" s="62">
        <f t="shared" si="0"/>
        <v>283.65331040412724</v>
      </c>
      <c r="F3" s="62">
        <f t="shared" si="0"/>
        <v>252.34067067927776</v>
      </c>
      <c r="G3" s="62">
        <f t="shared" si="0"/>
        <v>323.7030954428202</v>
      </c>
      <c r="H3" s="62">
        <f t="shared" si="0"/>
        <v>295.84892519346511</v>
      </c>
      <c r="I3" s="62">
        <f t="shared" si="0"/>
        <v>248.19905417024938</v>
      </c>
      <c r="J3" s="62">
        <f t="shared" si="0"/>
        <v>275.15528804815131</v>
      </c>
      <c r="K3" s="62">
        <f t="shared" si="0"/>
        <v>247.71186586414439</v>
      </c>
      <c r="L3" s="62">
        <f t="shared" si="0"/>
        <v>215.39604471195179</v>
      </c>
      <c r="M3" s="62">
        <f t="shared" si="0"/>
        <v>170.56225279449697</v>
      </c>
      <c r="N3" s="62">
        <f t="shared" si="0"/>
        <v>144.68804815133274</v>
      </c>
      <c r="O3" s="62">
        <f t="shared" si="0"/>
        <v>140.69931212381772</v>
      </c>
      <c r="P3" s="62">
        <f t="shared" si="0"/>
        <v>147.30816852966464</v>
      </c>
      <c r="Q3" s="62">
        <f t="shared" si="0"/>
        <v>192.79638865004301</v>
      </c>
      <c r="R3" s="62">
        <f t="shared" si="0"/>
        <v>183.1231298366294</v>
      </c>
      <c r="S3" s="62">
        <f t="shared" si="0"/>
        <v>267.11358555460021</v>
      </c>
      <c r="T3" s="62">
        <f t="shared" si="0"/>
        <v>270.00266552020634</v>
      </c>
      <c r="U3" s="62">
        <f t="shared" si="0"/>
        <v>275.88245915735166</v>
      </c>
      <c r="V3" s="62">
        <f t="shared" si="0"/>
        <v>301.62949269131548</v>
      </c>
      <c r="W3" s="62">
        <f t="shared" si="0"/>
        <v>349.21066208082544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123.07517785371499</v>
      </c>
      <c r="C4" s="71">
        <f t="shared" ref="C4:W4" si="1">SUM(C5:C9)</f>
        <v>111.59180444335939</v>
      </c>
      <c r="D4" s="71">
        <f t="shared" si="1"/>
        <v>115.61346277111491</v>
      </c>
      <c r="E4" s="71">
        <f t="shared" si="1"/>
        <v>121.95280876638051</v>
      </c>
      <c r="F4" s="71">
        <f t="shared" si="1"/>
        <v>108.54223509853301</v>
      </c>
      <c r="G4" s="71">
        <f t="shared" si="1"/>
        <v>130.69670655997416</v>
      </c>
      <c r="H4" s="71">
        <f t="shared" si="1"/>
        <v>107.69970965138762</v>
      </c>
      <c r="I4" s="71">
        <f t="shared" si="1"/>
        <v>104.91675069635907</v>
      </c>
      <c r="J4" s="71">
        <f t="shared" si="1"/>
        <v>108.84130376724474</v>
      </c>
      <c r="K4" s="71">
        <f t="shared" si="1"/>
        <v>101.67614973586151</v>
      </c>
      <c r="L4" s="71">
        <f t="shared" si="1"/>
        <v>90.43754962327894</v>
      </c>
      <c r="M4" s="71">
        <f t="shared" si="1"/>
        <v>70.122789090341286</v>
      </c>
      <c r="N4" s="71">
        <f t="shared" si="1"/>
        <v>51.129046216965911</v>
      </c>
      <c r="O4" s="71">
        <f t="shared" si="1"/>
        <v>49.068481411389477</v>
      </c>
      <c r="P4" s="71">
        <f t="shared" si="1"/>
        <v>47.71273142353018</v>
      </c>
      <c r="Q4" s="71">
        <f t="shared" si="1"/>
        <v>65.966229648153501</v>
      </c>
      <c r="R4" s="71">
        <f t="shared" si="1"/>
        <v>56.200624636934684</v>
      </c>
      <c r="S4" s="71">
        <f t="shared" si="1"/>
        <v>69.169736798150709</v>
      </c>
      <c r="T4" s="71">
        <f t="shared" si="1"/>
        <v>68.82731357876915</v>
      </c>
      <c r="U4" s="71">
        <f t="shared" si="1"/>
        <v>68.709755074880604</v>
      </c>
      <c r="V4" s="71">
        <f t="shared" si="1"/>
        <v>71.101721074133906</v>
      </c>
      <c r="W4" s="71">
        <f t="shared" si="1"/>
        <v>82.08519552458506</v>
      </c>
      <c r="DA4" s="186" t="s">
        <v>969</v>
      </c>
    </row>
    <row r="5" spans="1:105" ht="11.45" customHeight="1" x14ac:dyDescent="0.25">
      <c r="A5" s="72" t="s">
        <v>145</v>
      </c>
      <c r="B5" s="73">
        <v>36.044492207059108</v>
      </c>
      <c r="C5" s="73">
        <v>18.001706695931865</v>
      </c>
      <c r="D5" s="73">
        <v>35.147501129295655</v>
      </c>
      <c r="E5" s="73">
        <v>37.603368121190606</v>
      </c>
      <c r="F5" s="73">
        <v>31.887530737344743</v>
      </c>
      <c r="G5" s="73">
        <v>92.623574274448771</v>
      </c>
      <c r="H5" s="73">
        <v>66.77421648245604</v>
      </c>
      <c r="I5" s="73">
        <v>40.822648510931003</v>
      </c>
      <c r="J5" s="73">
        <v>39.173355791672279</v>
      </c>
      <c r="K5" s="73">
        <v>52.007737520230712</v>
      </c>
      <c r="L5" s="73">
        <v>44.303730395782303</v>
      </c>
      <c r="M5" s="73">
        <v>54.908698341280271</v>
      </c>
      <c r="N5" s="73">
        <v>50.036434516308631</v>
      </c>
      <c r="O5" s="73">
        <v>49.068481411389477</v>
      </c>
      <c r="P5" s="73">
        <v>47.71273142353018</v>
      </c>
      <c r="Q5" s="73">
        <v>65.966229648153501</v>
      </c>
      <c r="R5" s="73">
        <v>56.200624636934684</v>
      </c>
      <c r="S5" s="73">
        <v>69.169736798150709</v>
      </c>
      <c r="T5" s="73">
        <v>68.82731357876915</v>
      </c>
      <c r="U5" s="73">
        <v>68.709755074880604</v>
      </c>
      <c r="V5" s="73">
        <v>71.101721074133906</v>
      </c>
      <c r="W5" s="73">
        <v>82.08519552458506</v>
      </c>
      <c r="DA5" s="187" t="s">
        <v>970</v>
      </c>
    </row>
    <row r="6" spans="1:105" ht="11.45" customHeight="1" x14ac:dyDescent="0.25">
      <c r="A6" s="72" t="s">
        <v>146</v>
      </c>
      <c r="B6" s="73">
        <v>87.030685646655883</v>
      </c>
      <c r="C6" s="73">
        <v>93.590097747427521</v>
      </c>
      <c r="D6" s="73">
        <v>80.465961641819263</v>
      </c>
      <c r="E6" s="73">
        <v>84.349440645189901</v>
      </c>
      <c r="F6" s="73">
        <v>76.654704361188266</v>
      </c>
      <c r="G6" s="73">
        <v>38.073132285525389</v>
      </c>
      <c r="H6" s="73">
        <v>40.925493168931588</v>
      </c>
      <c r="I6" s="73">
        <v>64.094102185428071</v>
      </c>
      <c r="J6" s="73">
        <v>69.66794797557246</v>
      </c>
      <c r="K6" s="73">
        <v>49.668412215630809</v>
      </c>
      <c r="L6" s="73">
        <v>46.133819227496637</v>
      </c>
      <c r="M6" s="73">
        <v>15.214090749061013</v>
      </c>
      <c r="N6" s="73">
        <v>1.0926117006572804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161.4189751987355</v>
      </c>
      <c r="C10" s="71">
        <f t="shared" ref="C10:W10" si="2">SUM(C11:C15)</f>
        <v>147.41266675182547</v>
      </c>
      <c r="D10" s="71">
        <f t="shared" si="2"/>
        <v>153.37957248253943</v>
      </c>
      <c r="E10" s="71">
        <f t="shared" si="2"/>
        <v>161.70050163774673</v>
      </c>
      <c r="F10" s="71">
        <f t="shared" si="2"/>
        <v>143.79843558074475</v>
      </c>
      <c r="G10" s="71">
        <f t="shared" si="2"/>
        <v>193.00638888284604</v>
      </c>
      <c r="H10" s="71">
        <f t="shared" si="2"/>
        <v>188.14921554207746</v>
      </c>
      <c r="I10" s="71">
        <f t="shared" si="2"/>
        <v>143.28230347389032</v>
      </c>
      <c r="J10" s="71">
        <f t="shared" si="2"/>
        <v>166.31398428090657</v>
      </c>
      <c r="K10" s="71">
        <f t="shared" si="2"/>
        <v>146.03571612828287</v>
      </c>
      <c r="L10" s="71">
        <f t="shared" si="2"/>
        <v>124.95849508867286</v>
      </c>
      <c r="M10" s="71">
        <f t="shared" si="2"/>
        <v>100.43946370415568</v>
      </c>
      <c r="N10" s="71">
        <f t="shared" si="2"/>
        <v>93.559001934366819</v>
      </c>
      <c r="O10" s="71">
        <f t="shared" si="2"/>
        <v>91.630830712428235</v>
      </c>
      <c r="P10" s="71">
        <f t="shared" si="2"/>
        <v>99.595437106134455</v>
      </c>
      <c r="Q10" s="71">
        <f t="shared" si="2"/>
        <v>126.83015900188951</v>
      </c>
      <c r="R10" s="71">
        <f t="shared" si="2"/>
        <v>126.92250519969471</v>
      </c>
      <c r="S10" s="71">
        <f t="shared" si="2"/>
        <v>197.94384875644951</v>
      </c>
      <c r="T10" s="71">
        <f t="shared" si="2"/>
        <v>201.17535194143719</v>
      </c>
      <c r="U10" s="71">
        <f t="shared" si="2"/>
        <v>207.17270408247106</v>
      </c>
      <c r="V10" s="71">
        <f t="shared" si="2"/>
        <v>230.52777161718157</v>
      </c>
      <c r="W10" s="71">
        <f t="shared" si="2"/>
        <v>267.12546655624038</v>
      </c>
      <c r="DA10" s="186" t="s">
        <v>975</v>
      </c>
    </row>
    <row r="11" spans="1:105" ht="11.45" customHeight="1" x14ac:dyDescent="0.25">
      <c r="A11" s="72" t="s">
        <v>145</v>
      </c>
      <c r="B11" s="73">
        <v>9.1451896502065839</v>
      </c>
      <c r="C11" s="73">
        <v>4.5931342327009741</v>
      </c>
      <c r="D11" s="73">
        <v>9.0150956032924761</v>
      </c>
      <c r="E11" s="73">
        <v>9.6403120163846268</v>
      </c>
      <c r="F11" s="73">
        <v>8.1668974655787405</v>
      </c>
      <c r="G11" s="73">
        <v>26.512797178689617</v>
      </c>
      <c r="H11" s="73">
        <v>22.578062107397766</v>
      </c>
      <c r="I11" s="73">
        <v>10.529200156308892</v>
      </c>
      <c r="J11" s="73">
        <v>11.15149373541284</v>
      </c>
      <c r="K11" s="73">
        <v>14.181256460852685</v>
      </c>
      <c r="L11" s="73">
        <v>11.543217153658796</v>
      </c>
      <c r="M11" s="73">
        <v>14.382875175486701</v>
      </c>
      <c r="N11" s="73">
        <v>18.220917160389561</v>
      </c>
      <c r="O11" s="73">
        <v>29.530916696951017</v>
      </c>
      <c r="P11" s="73">
        <v>29.85244484474152</v>
      </c>
      <c r="Q11" s="73">
        <v>81.927149543592009</v>
      </c>
      <c r="R11" s="73">
        <v>76.28716556082972</v>
      </c>
      <c r="S11" s="73">
        <v>147.36775245378399</v>
      </c>
      <c r="T11" s="73">
        <v>125.52823242295054</v>
      </c>
      <c r="U11" s="73">
        <v>128.45060606011509</v>
      </c>
      <c r="V11" s="73">
        <v>146.13826172896148</v>
      </c>
      <c r="W11" s="73">
        <v>205.67628340920686</v>
      </c>
      <c r="DA11" s="187" t="s">
        <v>976</v>
      </c>
    </row>
    <row r="12" spans="1:105" ht="11.45" customHeight="1" x14ac:dyDescent="0.25">
      <c r="A12" s="72" t="s">
        <v>146</v>
      </c>
      <c r="B12" s="73">
        <v>152.27378554852891</v>
      </c>
      <c r="C12" s="73">
        <v>142.81953251912449</v>
      </c>
      <c r="D12" s="73">
        <v>144.36447687924695</v>
      </c>
      <c r="E12" s="73">
        <v>152.0601896213621</v>
      </c>
      <c r="F12" s="73">
        <v>135.63153811516602</v>
      </c>
      <c r="G12" s="73">
        <v>166.49359170415642</v>
      </c>
      <c r="H12" s="73">
        <v>165.5711534346797</v>
      </c>
      <c r="I12" s="73">
        <v>132.75310331758143</v>
      </c>
      <c r="J12" s="73">
        <v>155.16249054549374</v>
      </c>
      <c r="K12" s="73">
        <v>131.85445966743018</v>
      </c>
      <c r="L12" s="73">
        <v>113.41527793501406</v>
      </c>
      <c r="M12" s="73">
        <v>86.056588528668982</v>
      </c>
      <c r="N12" s="73">
        <v>75.338084773977258</v>
      </c>
      <c r="O12" s="73">
        <v>62.099914015477225</v>
      </c>
      <c r="P12" s="73">
        <v>69.742992261392942</v>
      </c>
      <c r="Q12" s="73">
        <v>44.903009458297504</v>
      </c>
      <c r="R12" s="73">
        <v>50.635339638864991</v>
      </c>
      <c r="S12" s="73">
        <v>50.576096302665519</v>
      </c>
      <c r="T12" s="73">
        <v>75.647119518486647</v>
      </c>
      <c r="U12" s="73">
        <v>78.722098022355965</v>
      </c>
      <c r="V12" s="73">
        <v>84.38950988822009</v>
      </c>
      <c r="W12" s="73">
        <v>61.449183147033523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5457.1456230864924</v>
      </c>
      <c r="C19" s="62">
        <f>IF(C3=0,0,C3/MBunk_act!C7*100)</f>
        <v>5659.6459394311405</v>
      </c>
      <c r="D19" s="62">
        <f>IF(D3=0,0,D3/MBunk_act!D7*100)</f>
        <v>5716.0987838345882</v>
      </c>
      <c r="E19" s="62">
        <f>IF(E3=0,0,E3/MBunk_act!E7*100)</f>
        <v>5712.2971222587939</v>
      </c>
      <c r="F19" s="62">
        <f>IF(F3=0,0,F3/MBunk_act!F7*100)</f>
        <v>5741.5580090420708</v>
      </c>
      <c r="G19" s="62">
        <f>IF(G3=0,0,G3/MBunk_act!G7*100)</f>
        <v>2971.2786072815015</v>
      </c>
      <c r="H19" s="62">
        <f>IF(H3=0,0,H3/MBunk_act!H7*100)</f>
        <v>3181.4041995275684</v>
      </c>
      <c r="I19" s="62">
        <f>IF(I3=0,0,I3/MBunk_act!I7*100)</f>
        <v>3105.7247305129031</v>
      </c>
      <c r="J19" s="62">
        <f>IF(J3=0,0,J3/MBunk_act!J7*100)</f>
        <v>4533.2720459277834</v>
      </c>
      <c r="K19" s="62">
        <f>IF(K3=0,0,K3/MBunk_act!K7*100)</f>
        <v>4031.022674744996</v>
      </c>
      <c r="L19" s="62">
        <f>IF(L3=0,0,L3/MBunk_act!L7*100)</f>
        <v>2737.7817219838603</v>
      </c>
      <c r="M19" s="62">
        <f>IF(M3=0,0,M3/MBunk_act!M7*100)</f>
        <v>2593.9839528942775</v>
      </c>
      <c r="N19" s="62">
        <f>IF(N3=0,0,N3/MBunk_act!N7*100)</f>
        <v>2163.4389312017847</v>
      </c>
      <c r="O19" s="62">
        <f>IF(O3=0,0,O3/MBunk_act!O7*100)</f>
        <v>1942.5946277237044</v>
      </c>
      <c r="P19" s="62">
        <f>IF(P3=0,0,P3/MBunk_act!P7*100)</f>
        <v>1918.742173772192</v>
      </c>
      <c r="Q19" s="62">
        <f>IF(Q3=0,0,Q3/MBunk_act!Q7*100)</f>
        <v>2292.3111572255643</v>
      </c>
      <c r="R19" s="62">
        <f>IF(R3=0,0,R3/MBunk_act!R7*100)</f>
        <v>1993.4713604679289</v>
      </c>
      <c r="S19" s="62">
        <f>IF(S3=0,0,S3/MBunk_act!S7*100)</f>
        <v>2672.0780302594717</v>
      </c>
      <c r="T19" s="62">
        <f>IF(T3=0,0,T3/MBunk_act!T7*100)</f>
        <v>2495.072885166664</v>
      </c>
      <c r="U19" s="62">
        <f>IF(U3=0,0,U3/MBunk_act!U7*100)</f>
        <v>2577.1039707332197</v>
      </c>
      <c r="V19" s="62">
        <f>IF(V3=0,0,V3/MBunk_act!V7*100)</f>
        <v>3009.5508244705984</v>
      </c>
      <c r="W19" s="62">
        <f>IF(W3=0,0,W3/MBunk_act!W7*100)</f>
        <v>3179.9088898397858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4285.3026553940945</v>
      </c>
      <c r="C20" s="63">
        <f>IF(C4=0,0,C4/MBunk_act!C8*100)</f>
        <v>4447.7031443648484</v>
      </c>
      <c r="D20" s="63">
        <f>IF(D4=0,0,D4/MBunk_act!D8*100)</f>
        <v>4492.4619271705533</v>
      </c>
      <c r="E20" s="63">
        <f>IF(E4=0,0,E4/MBunk_act!E8*100)</f>
        <v>4513.9319334130059</v>
      </c>
      <c r="F20" s="63">
        <f>IF(F4=0,0,F4/MBunk_act!F8*100)</f>
        <v>4525.7309692442186</v>
      </c>
      <c r="G20" s="63">
        <f>IF(G4=0,0,G4/MBunk_act!G8*100)</f>
        <v>2301.7893924104578</v>
      </c>
      <c r="H20" s="63">
        <f>IF(H4=0,0,H4/MBunk_act!H8*100)</f>
        <v>2495.3044279930727</v>
      </c>
      <c r="I20" s="63">
        <f>IF(I4=0,0,I4/MBunk_act!I8*100)</f>
        <v>2345.5996889806402</v>
      </c>
      <c r="J20" s="63">
        <f>IF(J4=0,0,J4/MBunk_act!J8*100)</f>
        <v>3581.4311327158612</v>
      </c>
      <c r="K20" s="63">
        <f>IF(K4=0,0,K4/MBunk_act!K8*100)</f>
        <v>3107.4636884210049</v>
      </c>
      <c r="L20" s="63">
        <f>IF(L4=0,0,L4/MBunk_act!L8*100)</f>
        <v>2101.1919458154489</v>
      </c>
      <c r="M20" s="63">
        <f>IF(M4=0,0,M4/MBunk_act!M8*100)</f>
        <v>2030.351831336397</v>
      </c>
      <c r="N20" s="63">
        <f>IF(N4=0,0,N4/MBunk_act!N8*100)</f>
        <v>1742.5748742451597</v>
      </c>
      <c r="O20" s="63">
        <f>IF(O4=0,0,O4/MBunk_act!O8*100)</f>
        <v>1604.5587428721963</v>
      </c>
      <c r="P20" s="63">
        <f>IF(P4=0,0,P4/MBunk_act!P8*100)</f>
        <v>1669.4435981335976</v>
      </c>
      <c r="Q20" s="63">
        <f>IF(Q4=0,0,Q4/MBunk_act!Q8*100)</f>
        <v>1865.9407359007914</v>
      </c>
      <c r="R20" s="63">
        <f>IF(R4=0,0,R4/MBunk_act!R8*100)</f>
        <v>1637.1590373651088</v>
      </c>
      <c r="S20" s="63">
        <f>IF(S4=0,0,S4/MBunk_act!S8*100)</f>
        <v>2254.5333436597471</v>
      </c>
      <c r="T20" s="63">
        <f>IF(T4=0,0,T4/MBunk_act!T8*100)</f>
        <v>2165.7273587626378</v>
      </c>
      <c r="U20" s="63">
        <f>IF(U4=0,0,U4/MBunk_act!U8*100)</f>
        <v>2278.5926953742051</v>
      </c>
      <c r="V20" s="63">
        <f>IF(V4=0,0,V4/MBunk_act!V8*100)</f>
        <v>2454.421565321551</v>
      </c>
      <c r="W20" s="63">
        <f>IF(W4=0,0,W4/MBunk_act!W8*100)</f>
        <v>2481.656930969531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6894.6786598361059</v>
      </c>
      <c r="C21" s="64">
        <f>IF(C10=0,0,C10/MBunk_act!C9*100)</f>
        <v>7130.4753621561731</v>
      </c>
      <c r="D21" s="64">
        <f>IF(D10=0,0,D10/MBunk_act!D9*100)</f>
        <v>7192.861540196729</v>
      </c>
      <c r="E21" s="64">
        <f>IF(E10=0,0,E10/MBunk_act!E9*100)</f>
        <v>7142.365031484469</v>
      </c>
      <c r="F21" s="64">
        <f>IF(F10=0,0,F10/MBunk_act!F9*100)</f>
        <v>7201.9851040865833</v>
      </c>
      <c r="G21" s="64">
        <f>IF(G10=0,0,G10/MBunk_act!G9*100)</f>
        <v>3700.0233282169779</v>
      </c>
      <c r="H21" s="64">
        <f>IF(H10=0,0,H10/MBunk_act!H9*100)</f>
        <v>3775.6523797059385</v>
      </c>
      <c r="I21" s="64">
        <f>IF(I10=0,0,I10/MBunk_act!I9*100)</f>
        <v>4071.9717818111376</v>
      </c>
      <c r="J21" s="64">
        <f>IF(J10=0,0,J10/MBunk_act!J9*100)</f>
        <v>5487.7530540888092</v>
      </c>
      <c r="K21" s="64">
        <f>IF(K10=0,0,K10/MBunk_act!K9*100)</f>
        <v>5082.7932838711558</v>
      </c>
      <c r="L21" s="64">
        <f>IF(L10=0,0,L10/MBunk_act!L9*100)</f>
        <v>3506.6894804972526</v>
      </c>
      <c r="M21" s="64">
        <f>IF(M10=0,0,M10/MBunk_act!M9*100)</f>
        <v>3217.5893164237827</v>
      </c>
      <c r="N21" s="64">
        <f>IF(N10=0,0,N10/MBunk_act!N9*100)</f>
        <v>2492.4050082628214</v>
      </c>
      <c r="O21" s="64">
        <f>IF(O10=0,0,O10/MBunk_act!O9*100)</f>
        <v>2189.6170298812804</v>
      </c>
      <c r="P21" s="64">
        <f>IF(P10=0,0,P10/MBunk_act!P9*100)</f>
        <v>2066.583496830563</v>
      </c>
      <c r="Q21" s="64">
        <f>IF(Q10=0,0,Q10/MBunk_act!Q9*100)</f>
        <v>2601.4905991582345</v>
      </c>
      <c r="R21" s="64">
        <f>IF(R10=0,0,R10/MBunk_act!R9*100)</f>
        <v>2206.0706974986952</v>
      </c>
      <c r="S21" s="64">
        <f>IF(S10=0,0,S10/MBunk_act!S9*100)</f>
        <v>2856.9736608495778</v>
      </c>
      <c r="T21" s="64">
        <f>IF(T10=0,0,T10/MBunk_act!T9*100)</f>
        <v>2632.0101318827051</v>
      </c>
      <c r="U21" s="64">
        <f>IF(U10=0,0,U10/MBunk_act!U9*100)</f>
        <v>2694.1626771134411</v>
      </c>
      <c r="V21" s="64">
        <f>IF(V10=0,0,V10/MBunk_act!V9*100)</f>
        <v>3235.238656306658</v>
      </c>
      <c r="W21" s="64">
        <f>IF(W10=0,0,W10/MBunk_act!W9*100)</f>
        <v>3480.8680172637764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5.18068729017949</v>
      </c>
      <c r="C23" s="62">
        <f>IF(C3=0,0,C3/MBunk_act!C3*1000)</f>
        <v>5.2346765569161997</v>
      </c>
      <c r="D23" s="62">
        <f>IF(D3=0,0,D3/MBunk_act!D3*1000)</f>
        <v>5.2220436724553672</v>
      </c>
      <c r="E23" s="62">
        <f>IF(E3=0,0,E3/MBunk_act!E3*1000)</f>
        <v>5.2166195452760489</v>
      </c>
      <c r="F23" s="62">
        <f>IF(F3=0,0,F3/MBunk_act!F3*1000)</f>
        <v>5.2192828901518427</v>
      </c>
      <c r="G23" s="62">
        <f>IF(G3=0,0,G3/MBunk_act!G3*1000)</f>
        <v>2.669384545953903</v>
      </c>
      <c r="H23" s="62">
        <f>IF(H3=0,0,H3/MBunk_act!H3*1000)</f>
        <v>2.5403664977712048</v>
      </c>
      <c r="I23" s="62">
        <f>IF(I3=0,0,I3/MBunk_act!I3*1000)</f>
        <v>2.8058594385459577</v>
      </c>
      <c r="J23" s="62">
        <f>IF(J3=0,0,J3/MBunk_act!J3*1000)</f>
        <v>3.3170548073930552</v>
      </c>
      <c r="K23" s="62">
        <f>IF(K3=0,0,K3/MBunk_act!K3*1000)</f>
        <v>2.9744551922829516</v>
      </c>
      <c r="L23" s="62">
        <f>IF(L3=0,0,L3/MBunk_act!L3*1000)</f>
        <v>1.9537239430020819</v>
      </c>
      <c r="M23" s="62">
        <f>IF(M3=0,0,M3/MBunk_act!M3*1000)</f>
        <v>1.6723116418119188</v>
      </c>
      <c r="N23" s="62">
        <f>IF(N3=0,0,N3/MBunk_act!N3*1000)</f>
        <v>1.1643918331585403</v>
      </c>
      <c r="O23" s="62">
        <f>IF(O3=0,0,O3/MBunk_act!O3*1000)</f>
        <v>0.99234822343503615</v>
      </c>
      <c r="P23" s="62">
        <f>IF(P3=0,0,P3/MBunk_act!P3*1000)</f>
        <v>0.8740237908366365</v>
      </c>
      <c r="Q23" s="62">
        <f>IF(Q3=0,0,Q3/MBunk_act!Q3*1000)</f>
        <v>1.1219361961011558</v>
      </c>
      <c r="R23" s="62">
        <f>IF(R3=0,0,R3/MBunk_act!R3*1000)</f>
        <v>0.90948969213176001</v>
      </c>
      <c r="S23" s="62">
        <f>IF(S3=0,0,S3/MBunk_act!S3*1000)</f>
        <v>1.1032245715694138</v>
      </c>
      <c r="T23" s="62">
        <f>IF(T3=0,0,T3/MBunk_act!T3*1000)</f>
        <v>0.97958471950535086</v>
      </c>
      <c r="U23" s="62">
        <f>IF(U3=0,0,U3/MBunk_act!U3*1000)</f>
        <v>0.97178962433035498</v>
      </c>
      <c r="V23" s="62">
        <f>IF(V3=0,0,V3/MBunk_act!V3*1000)</f>
        <v>1.1322407867588862</v>
      </c>
      <c r="W23" s="62">
        <f>IF(W3=0,0,W3/MBunk_act!W3*1000)</f>
        <v>1.2132849810737918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8.233169758546067</v>
      </c>
      <c r="C24" s="63">
        <f>IF(C4=0,0,C4/MBunk_act!C4*1000)</f>
        <v>8.4336210561141058</v>
      </c>
      <c r="D24" s="63">
        <f>IF(D4=0,0,D4/MBunk_act!D4*1000)</f>
        <v>8.385934376966949</v>
      </c>
      <c r="E24" s="63">
        <f>IF(E4=0,0,E4/MBunk_act!E4*1000)</f>
        <v>8.3597924128955476</v>
      </c>
      <c r="F24" s="63">
        <f>IF(F4=0,0,F4/MBunk_act!F4*1000)</f>
        <v>8.3724278864184143</v>
      </c>
      <c r="G24" s="63">
        <f>IF(G4=0,0,G4/MBunk_act!G4*1000)</f>
        <v>4.7162295351956898</v>
      </c>
      <c r="H24" s="63">
        <f>IF(H4=0,0,H4/MBunk_act!H4*1000)</f>
        <v>4.9609686999668536</v>
      </c>
      <c r="I24" s="63">
        <f>IF(I4=0,0,I4/MBunk_act!I4*1000)</f>
        <v>4.5843643224395159</v>
      </c>
      <c r="J24" s="63">
        <f>IF(J4=0,0,J4/MBunk_act!J4*1000)</f>
        <v>5.9469578456000356</v>
      </c>
      <c r="K24" s="63">
        <f>IF(K4=0,0,K4/MBunk_act!K4*1000)</f>
        <v>5.2407370025934732</v>
      </c>
      <c r="L24" s="63">
        <f>IF(L4=0,0,L4/MBunk_act!L4*1000)</f>
        <v>3.4011533132324181</v>
      </c>
      <c r="M24" s="63">
        <f>IF(M4=0,0,M4/MBunk_act!M4*1000)</f>
        <v>2.9473242826837907</v>
      </c>
      <c r="N24" s="63">
        <f>IF(N4=0,0,N4/MBunk_act!N4*1000)</f>
        <v>2.5230230469485573</v>
      </c>
      <c r="O24" s="63">
        <f>IF(O4=0,0,O4/MBunk_act!O4*1000)</f>
        <v>2.1415527052347194</v>
      </c>
      <c r="P24" s="63">
        <f>IF(P4=0,0,P4/MBunk_act!P4*1000)</f>
        <v>1.9963154572925288</v>
      </c>
      <c r="Q24" s="63">
        <f>IF(Q4=0,0,Q4/MBunk_act!Q4*1000)</f>
        <v>2.5074573155117656</v>
      </c>
      <c r="R24" s="63">
        <f>IF(R4=0,0,R4/MBunk_act!R4*1000)</f>
        <v>2.2084999464801207</v>
      </c>
      <c r="S24" s="63">
        <f>IF(S4=0,0,S4/MBunk_act!S4*1000)</f>
        <v>2.99485065463311</v>
      </c>
      <c r="T24" s="63">
        <f>IF(T4=0,0,T4/MBunk_act!T4*1000)</f>
        <v>2.641493483175418</v>
      </c>
      <c r="U24" s="63">
        <f>IF(U4=0,0,U4/MBunk_act!U4*1000)</f>
        <v>2.6696783848413799</v>
      </c>
      <c r="V24" s="63">
        <f>IF(V4=0,0,V4/MBunk_act!V4*1000)</f>
        <v>2.6207608433217442</v>
      </c>
      <c r="W24" s="63">
        <f>IF(W4=0,0,W4/MBunk_act!W4*1000)</f>
        <v>2.94704836759314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4.0389412164705805</v>
      </c>
      <c r="C25" s="64">
        <f>IF(C10=0,0,C10/MBunk_act!C5*1000)</f>
        <v>4.0669128252789246</v>
      </c>
      <c r="D25" s="64">
        <f>IF(D10=0,0,D10/MBunk_act!D5*1000)</f>
        <v>4.0657843673058025</v>
      </c>
      <c r="E25" s="64">
        <f>IF(E10=0,0,E10/MBunk_act!E5*1000)</f>
        <v>4.0641634701964735</v>
      </c>
      <c r="F25" s="64">
        <f>IF(F10=0,0,F10/MBunk_act!F5*1000)</f>
        <v>4.0639948560748902</v>
      </c>
      <c r="G25" s="64">
        <f>IF(G10=0,0,G10/MBunk_act!G5*1000)</f>
        <v>2.0630711270224862</v>
      </c>
      <c r="H25" s="64">
        <f>IF(H10=0,0,H10/MBunk_act!H5*1000)</f>
        <v>1.9857491567007928</v>
      </c>
      <c r="I25" s="64">
        <f>IF(I10=0,0,I10/MBunk_act!I5*1000)</f>
        <v>2.1851264913575381</v>
      </c>
      <c r="J25" s="64">
        <f>IF(J10=0,0,J10/MBunk_act!J5*1000)</f>
        <v>2.5725418069993844</v>
      </c>
      <c r="K25" s="64">
        <f>IF(K10=0,0,K10/MBunk_act!K5*1000)</f>
        <v>2.2861436280533414</v>
      </c>
      <c r="L25" s="64">
        <f>IF(L10=0,0,L10/MBunk_act!L5*1000)</f>
        <v>1.4936699405381832</v>
      </c>
      <c r="M25" s="64">
        <f>IF(M10=0,0,M10/MBunk_act!M5*1000)</f>
        <v>1.2843939301386593</v>
      </c>
      <c r="N25" s="64">
        <f>IF(N10=0,0,N10/MBunk_act!N5*1000)</f>
        <v>0.89964364438518396</v>
      </c>
      <c r="O25" s="64">
        <f>IF(O10=0,0,O10/MBunk_act!O5*1000)</f>
        <v>0.77083844442107696</v>
      </c>
      <c r="P25" s="64">
        <f>IF(P10=0,0,P10/MBunk_act!P5*1000)</f>
        <v>0.68857545386367147</v>
      </c>
      <c r="Q25" s="64">
        <f>IF(Q10=0,0,Q10/MBunk_act!Q5*1000)</f>
        <v>0.87147804187152467</v>
      </c>
      <c r="R25" s="64">
        <f>IF(R10=0,0,R10/MBunk_act!R5*1000)</f>
        <v>0.72156180552034832</v>
      </c>
      <c r="S25" s="64">
        <f>IF(S10=0,0,S10/MBunk_act!S5*1000)</f>
        <v>0.90375187912154387</v>
      </c>
      <c r="T25" s="64">
        <f>IF(T10=0,0,T10/MBunk_act!T5*1000)</f>
        <v>0.8060765360508404</v>
      </c>
      <c r="U25" s="64">
        <f>IF(U10=0,0,U10/MBunk_act!U5*1000)</f>
        <v>0.8025158194785158</v>
      </c>
      <c r="V25" s="64">
        <f>IF(V10=0,0,V10/MBunk_act!V5*1000)</f>
        <v>0.96346170564979938</v>
      </c>
      <c r="W25" s="64">
        <f>IF(W10=0,0,W10/MBunk_act!W5*1000)</f>
        <v>1.0275277725677803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0.43261057049219692</v>
      </c>
      <c r="C28" s="77">
        <f t="shared" si="3"/>
        <v>0.43084894993671441</v>
      </c>
      <c r="D28" s="77">
        <f t="shared" si="3"/>
        <v>0.42980095251200107</v>
      </c>
      <c r="E28" s="77">
        <f t="shared" si="3"/>
        <v>0.42993613786009272</v>
      </c>
      <c r="F28" s="77">
        <f t="shared" si="3"/>
        <v>0.43014166050342717</v>
      </c>
      <c r="G28" s="77">
        <f t="shared" si="3"/>
        <v>0.40375488649925739</v>
      </c>
      <c r="H28" s="77">
        <f t="shared" si="3"/>
        <v>0.36403617008565886</v>
      </c>
      <c r="I28" s="77">
        <f t="shared" si="3"/>
        <v>0.42271212937174446</v>
      </c>
      <c r="J28" s="77">
        <f t="shared" si="3"/>
        <v>0.39556319102323723</v>
      </c>
      <c r="K28" s="77">
        <f t="shared" si="3"/>
        <v>0.41046136155473872</v>
      </c>
      <c r="L28" s="77">
        <f t="shared" si="3"/>
        <v>0.41986634315509685</v>
      </c>
      <c r="M28" s="77">
        <f t="shared" si="3"/>
        <v>0.41112724498795861</v>
      </c>
      <c r="N28" s="77">
        <f t="shared" si="3"/>
        <v>0.35337435863042954</v>
      </c>
      <c r="O28" s="77">
        <f t="shared" si="3"/>
        <v>0.34874713081900788</v>
      </c>
      <c r="P28" s="77">
        <f t="shared" si="3"/>
        <v>0.32389739075414464</v>
      </c>
      <c r="Q28" s="77">
        <f t="shared" si="3"/>
        <v>0.34215490295252887</v>
      </c>
      <c r="R28" s="77">
        <f t="shared" si="3"/>
        <v>0.30690074316157245</v>
      </c>
      <c r="S28" s="77">
        <f t="shared" si="3"/>
        <v>0.25895252259272244</v>
      </c>
      <c r="T28" s="77">
        <f t="shared" si="3"/>
        <v>0.25491345963626527</v>
      </c>
      <c r="U28" s="77">
        <f t="shared" si="3"/>
        <v>0.24905445342464297</v>
      </c>
      <c r="V28" s="77">
        <f t="shared" si="3"/>
        <v>0.23572536107037342</v>
      </c>
      <c r="W28" s="77">
        <f t="shared" si="3"/>
        <v>0.23505924772018069</v>
      </c>
      <c r="DA28" s="184"/>
    </row>
    <row r="29" spans="1:105" ht="11.45" customHeight="1" x14ac:dyDescent="0.25">
      <c r="A29" s="57" t="s">
        <v>171</v>
      </c>
      <c r="B29" s="78">
        <f>IF(B10=0,0,B10/B$3)</f>
        <v>0.56738942950780313</v>
      </c>
      <c r="C29" s="78">
        <f t="shared" ref="C29:W29" si="4">IF(C10=0,0,C10/C$3)</f>
        <v>0.56915105006328559</v>
      </c>
      <c r="D29" s="78">
        <f t="shared" si="4"/>
        <v>0.57019904748799899</v>
      </c>
      <c r="E29" s="78">
        <f t="shared" si="4"/>
        <v>0.57006386213990734</v>
      </c>
      <c r="F29" s="78">
        <f t="shared" si="4"/>
        <v>0.56985833949657283</v>
      </c>
      <c r="G29" s="78">
        <f t="shared" si="4"/>
        <v>0.59624511350074261</v>
      </c>
      <c r="H29" s="78">
        <f t="shared" si="4"/>
        <v>0.63596382991434108</v>
      </c>
      <c r="I29" s="78">
        <f t="shared" si="4"/>
        <v>0.57728787062825559</v>
      </c>
      <c r="J29" s="78">
        <f t="shared" si="4"/>
        <v>0.60443680897676277</v>
      </c>
      <c r="K29" s="78">
        <f t="shared" si="4"/>
        <v>0.58953863844526122</v>
      </c>
      <c r="L29" s="78">
        <f t="shared" si="4"/>
        <v>0.58013365684490315</v>
      </c>
      <c r="M29" s="78">
        <f t="shared" si="4"/>
        <v>0.58887275501204139</v>
      </c>
      <c r="N29" s="78">
        <f t="shared" si="4"/>
        <v>0.64662564136957046</v>
      </c>
      <c r="O29" s="78">
        <f t="shared" si="4"/>
        <v>0.65125286918099212</v>
      </c>
      <c r="P29" s="78">
        <f t="shared" si="4"/>
        <v>0.6761026092458553</v>
      </c>
      <c r="Q29" s="78">
        <f t="shared" si="4"/>
        <v>0.65784509704747118</v>
      </c>
      <c r="R29" s="78">
        <f t="shared" si="4"/>
        <v>0.69309925683842755</v>
      </c>
      <c r="S29" s="78">
        <f t="shared" si="4"/>
        <v>0.74104747740727761</v>
      </c>
      <c r="T29" s="78">
        <f t="shared" si="4"/>
        <v>0.74508654036373478</v>
      </c>
      <c r="U29" s="78">
        <f t="shared" si="4"/>
        <v>0.75094554657535706</v>
      </c>
      <c r="V29" s="78">
        <f t="shared" si="4"/>
        <v>0.76427463892962655</v>
      </c>
      <c r="W29" s="78">
        <f t="shared" si="4"/>
        <v>0.76494075227981928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915.68336759999988</v>
      </c>
      <c r="C3" s="62">
        <f t="shared" ref="C3:W3" si="1">SUM(C4:C5)</f>
        <v>836.20373544000006</v>
      </c>
      <c r="D3" s="62">
        <f t="shared" si="1"/>
        <v>865.59261228000014</v>
      </c>
      <c r="E3" s="62">
        <f t="shared" si="1"/>
        <v>912.67475760000002</v>
      </c>
      <c r="F3" s="62">
        <f t="shared" si="1"/>
        <v>812.19684204000032</v>
      </c>
      <c r="G3" s="62">
        <f t="shared" si="1"/>
        <v>1032.5264075999999</v>
      </c>
      <c r="H3" s="62">
        <f t="shared" si="1"/>
        <v>946.37775276000013</v>
      </c>
      <c r="I3" s="62">
        <f t="shared" si="1"/>
        <v>797.21468784000024</v>
      </c>
      <c r="J3" s="62">
        <f t="shared" si="1"/>
        <v>884.71050120000018</v>
      </c>
      <c r="K3" s="62">
        <f t="shared" si="1"/>
        <v>793.58594831999994</v>
      </c>
      <c r="L3" s="62">
        <f t="shared" si="1"/>
        <v>690.29274383999996</v>
      </c>
      <c r="M3" s="62">
        <f t="shared" si="1"/>
        <v>543.14754227999993</v>
      </c>
      <c r="N3" s="62">
        <f t="shared" si="1"/>
        <v>459.44292203999998</v>
      </c>
      <c r="O3" s="62">
        <f t="shared" si="1"/>
        <v>445.08818844000007</v>
      </c>
      <c r="P3" s="62">
        <f t="shared" si="1"/>
        <v>466.64763011999997</v>
      </c>
      <c r="Q3" s="62">
        <f t="shared" si="1"/>
        <v>604.33913808000011</v>
      </c>
      <c r="R3" s="62">
        <f t="shared" si="1"/>
        <v>575.12064204000001</v>
      </c>
      <c r="S3" s="62">
        <f t="shared" si="1"/>
        <v>835.68602556000019</v>
      </c>
      <c r="T3" s="62">
        <f t="shared" si="1"/>
        <v>848.11308443999997</v>
      </c>
      <c r="U3" s="62">
        <f t="shared" si="1"/>
        <v>866.77951932000008</v>
      </c>
      <c r="V3" s="62">
        <f t="shared" si="1"/>
        <v>947.44063475999997</v>
      </c>
      <c r="W3" s="62">
        <f t="shared" si="1"/>
        <v>1091.8878127200001</v>
      </c>
      <c r="DA3" s="172" t="s">
        <v>985</v>
      </c>
    </row>
    <row r="4" spans="1:105" ht="11.45" customHeight="1" x14ac:dyDescent="0.25">
      <c r="A4" s="55" t="s">
        <v>170</v>
      </c>
      <c r="B4" s="63">
        <v>393.85528805066787</v>
      </c>
      <c r="C4" s="63">
        <v>359.1353317322164</v>
      </c>
      <c r="D4" s="63">
        <v>369.79891174487204</v>
      </c>
      <c r="E4" s="63">
        <v>390.00277648670203</v>
      </c>
      <c r="F4" s="63">
        <v>347.33442199894967</v>
      </c>
      <c r="G4" s="63">
        <v>410.73627100809745</v>
      </c>
      <c r="H4" s="63">
        <v>339.78405018539604</v>
      </c>
      <c r="I4" s="63">
        <v>334.35122296728588</v>
      </c>
      <c r="J4" s="63">
        <v>347.29693725528722</v>
      </c>
      <c r="K4" s="63">
        <v>322.30440482487717</v>
      </c>
      <c r="L4" s="63">
        <v>286.94920563046912</v>
      </c>
      <c r="M4" s="63">
        <v>219.65230490219926</v>
      </c>
      <c r="N4" s="63">
        <v>158.77467424963822</v>
      </c>
      <c r="O4" s="63">
        <v>152.23097921814525</v>
      </c>
      <c r="P4" s="63">
        <v>148.02487496771079</v>
      </c>
      <c r="Q4" s="63">
        <v>204.6548710255488</v>
      </c>
      <c r="R4" s="63">
        <v>174.35787444536936</v>
      </c>
      <c r="S4" s="63">
        <v>214.59349183363457</v>
      </c>
      <c r="T4" s="63">
        <v>213.53115160026869</v>
      </c>
      <c r="U4" s="63">
        <v>213.16643588770503</v>
      </c>
      <c r="V4" s="63">
        <v>220.58731617274924</v>
      </c>
      <c r="W4" s="63">
        <v>254.66265379714858</v>
      </c>
      <c r="DA4" s="181" t="s">
        <v>986</v>
      </c>
    </row>
    <row r="5" spans="1:105" ht="11.45" customHeight="1" x14ac:dyDescent="0.25">
      <c r="A5" s="57" t="s">
        <v>171</v>
      </c>
      <c r="B5" s="64">
        <v>521.82807954933196</v>
      </c>
      <c r="C5" s="64">
        <v>477.06840370778366</v>
      </c>
      <c r="D5" s="64">
        <v>495.7937005351281</v>
      </c>
      <c r="E5" s="64">
        <v>522.67198111329799</v>
      </c>
      <c r="F5" s="64">
        <v>464.8624200410506</v>
      </c>
      <c r="G5" s="64">
        <v>621.79013659190252</v>
      </c>
      <c r="H5" s="64">
        <v>606.59370257460409</v>
      </c>
      <c r="I5" s="64">
        <v>462.86346487271436</v>
      </c>
      <c r="J5" s="64">
        <v>537.41356394471302</v>
      </c>
      <c r="K5" s="64">
        <v>471.28154349512278</v>
      </c>
      <c r="L5" s="64">
        <v>403.34353820953083</v>
      </c>
      <c r="M5" s="64">
        <v>323.49523737780066</v>
      </c>
      <c r="N5" s="64">
        <v>300.66824779036176</v>
      </c>
      <c r="O5" s="64">
        <v>292.85720922185482</v>
      </c>
      <c r="P5" s="64">
        <v>318.62275515228919</v>
      </c>
      <c r="Q5" s="64">
        <v>399.68426705445125</v>
      </c>
      <c r="R5" s="64">
        <v>400.76276759463065</v>
      </c>
      <c r="S5" s="64">
        <v>621.09253372636556</v>
      </c>
      <c r="T5" s="64">
        <v>634.58193283973128</v>
      </c>
      <c r="U5" s="64">
        <v>653.61308343229507</v>
      </c>
      <c r="V5" s="64">
        <v>726.85331858725067</v>
      </c>
      <c r="W5" s="64">
        <v>837.22515892285151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3.2186368604601192</v>
      </c>
      <c r="C9" s="79">
        <f>IF(C3=0,0,C3/MBunk_ene!C3)</f>
        <v>3.2285301160296953</v>
      </c>
      <c r="D9" s="79">
        <f>IF(D3=0,0,D3/MBunk_ene!D3)</f>
        <v>3.217899717975099</v>
      </c>
      <c r="E9" s="79">
        <f>IF(E3=0,0,E3/MBunk_ene!E3)</f>
        <v>3.2175713243032202</v>
      </c>
      <c r="F9" s="79">
        <f>IF(F3=0,0,F3/MBunk_ene!F3)</f>
        <v>3.2186521493092708</v>
      </c>
      <c r="G9" s="79">
        <f>IF(G3=0,0,G3/MBunk_ene!G3)</f>
        <v>3.1897328821879869</v>
      </c>
      <c r="H9" s="79">
        <f>IF(H3=0,0,H3/MBunk_ene!H3)</f>
        <v>3.1988547943553738</v>
      </c>
      <c r="I9" s="79">
        <f>IF(I3=0,0,I3/MBunk_ene!I3)</f>
        <v>3.2119972838138202</v>
      </c>
      <c r="J9" s="79">
        <f>IF(J3=0,0,J3/MBunk_ene!J3)</f>
        <v>3.215313459813204</v>
      </c>
      <c r="K9" s="79">
        <f>IF(K3=0,0,K3/MBunk_ene!K3)</f>
        <v>3.2036654584614688</v>
      </c>
      <c r="L9" s="79">
        <f>IF(L3=0,0,L3/MBunk_ene!L3)</f>
        <v>3.2047605366343914</v>
      </c>
      <c r="M9" s="79">
        <f>IF(M3=0,0,M3/MBunk_ene!M3)</f>
        <v>3.1844533792269663</v>
      </c>
      <c r="N9" s="79">
        <f>IF(N3=0,0,N3/MBunk_ene!N3)</f>
        <v>3.1754034138290228</v>
      </c>
      <c r="O9" s="79">
        <f>IF(O3=0,0,O3/MBunk_ene!O3)</f>
        <v>3.1633998896051114</v>
      </c>
      <c r="P9" s="79">
        <f>IF(P3=0,0,P3/MBunk_ene!P3)</f>
        <v>3.1678326787833719</v>
      </c>
      <c r="Q9" s="79">
        <f>IF(Q3=0,0,Q3/MBunk_ene!Q3)</f>
        <v>3.1345978122908438</v>
      </c>
      <c r="R9" s="79">
        <f>IF(R3=0,0,R3/MBunk_ene!R3)</f>
        <v>3.1406226103337431</v>
      </c>
      <c r="S9" s="79">
        <f>IF(S3=0,0,S3/MBunk_ene!S3)</f>
        <v>3.1285792664753065</v>
      </c>
      <c r="T9" s="79">
        <f>IF(T3=0,0,T3/MBunk_ene!T3)</f>
        <v>3.1411285618457323</v>
      </c>
      <c r="U9" s="79">
        <f>IF(U3=0,0,U3/MBunk_ene!U3)</f>
        <v>3.1418435299129537</v>
      </c>
      <c r="V9" s="79">
        <f>IF(V3=0,0,V3/MBunk_ene!V3)</f>
        <v>3.1410742573823871</v>
      </c>
      <c r="W9" s="79">
        <f>IF(W3=0,0,W3/MBunk_ene!W3)</f>
        <v>3.1267310288117165</v>
      </c>
      <c r="DA9" s="172"/>
    </row>
    <row r="10" spans="1:105" ht="11.45" customHeight="1" x14ac:dyDescent="0.25">
      <c r="A10" s="55" t="s">
        <v>170</v>
      </c>
      <c r="B10" s="80">
        <f>IF(B4=0,0,B4/MBunk_ene!B4)</f>
        <v>3.200119592910907</v>
      </c>
      <c r="C10" s="80">
        <f>IF(C4=0,0,C4/MBunk_ene!C4)</f>
        <v>3.2182948696246108</v>
      </c>
      <c r="D10" s="80">
        <f>IF(D4=0,0,D4/MBunk_ene!D4)</f>
        <v>3.1985800172509262</v>
      </c>
      <c r="E10" s="80">
        <f>IF(E4=0,0,E4/MBunk_ene!E4)</f>
        <v>3.1979810914713145</v>
      </c>
      <c r="F10" s="80">
        <f>IF(F4=0,0,F4/MBunk_ene!F4)</f>
        <v>3.1999932715928017</v>
      </c>
      <c r="G10" s="80">
        <f>IF(G4=0,0,G4/MBunk_ene!G4)</f>
        <v>3.1426673389020605</v>
      </c>
      <c r="H10" s="80">
        <f>IF(H4=0,0,H4/MBunk_ene!H4)</f>
        <v>3.1549207633450496</v>
      </c>
      <c r="I10" s="80">
        <f>IF(I4=0,0,I4/MBunk_ene!I4)</f>
        <v>3.1868240366587037</v>
      </c>
      <c r="J10" s="80">
        <f>IF(J4=0,0,J4/MBunk_ene!J4)</f>
        <v>3.1908560926279952</v>
      </c>
      <c r="K10" s="80">
        <f>IF(K4=0,0,K4/MBunk_ene!K4)</f>
        <v>3.1699115836129987</v>
      </c>
      <c r="L10" s="80">
        <f>IF(L4=0,0,L4/MBunk_ene!L4)</f>
        <v>3.1728989432571644</v>
      </c>
      <c r="M10" s="80">
        <f>IF(M4=0,0,M4/MBunk_ene!M4)</f>
        <v>3.1323954416475739</v>
      </c>
      <c r="N10" s="80">
        <f>IF(N4=0,0,N4/MBunk_ene!N4)</f>
        <v>3.105371329945771</v>
      </c>
      <c r="O10" s="80">
        <f>IF(O4=0,0,O4/MBunk_ene!O4)</f>
        <v>3.1024188000000001</v>
      </c>
      <c r="P10" s="80">
        <f>IF(P4=0,0,P4/MBunk_ene!P4)</f>
        <v>3.1024187999999997</v>
      </c>
      <c r="Q10" s="80">
        <f>IF(Q4=0,0,Q4/MBunk_ene!Q4)</f>
        <v>3.1024187999999997</v>
      </c>
      <c r="R10" s="80">
        <f>IF(R4=0,0,R4/MBunk_ene!R4)</f>
        <v>3.1024188000000006</v>
      </c>
      <c r="S10" s="80">
        <f>IF(S4=0,0,S4/MBunk_ene!S4)</f>
        <v>3.1024188000000001</v>
      </c>
      <c r="T10" s="80">
        <f>IF(T4=0,0,T4/MBunk_ene!T4)</f>
        <v>3.1024187999999997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3.2327554979634128</v>
      </c>
      <c r="C11" s="81">
        <f>IF(C5=0,0,C5/MBunk_ene!C10)</f>
        <v>3.2362782264223298</v>
      </c>
      <c r="D11" s="81">
        <f>IF(D5=0,0,D5/MBunk_ene!D10)</f>
        <v>3.2324623971133359</v>
      </c>
      <c r="E11" s="81">
        <f>IF(E5=0,0,E5/MBunk_ene!E10)</f>
        <v>3.2323460707884872</v>
      </c>
      <c r="F11" s="81">
        <f>IF(F5=0,0,F5/MBunk_ene!F10)</f>
        <v>3.2327362823083297</v>
      </c>
      <c r="G11" s="81">
        <f>IF(G5=0,0,G5/MBunk_ene!G10)</f>
        <v>3.2216039074713021</v>
      </c>
      <c r="H11" s="81">
        <f>IF(H5=0,0,H5/MBunk_ene!H10)</f>
        <v>3.224003357265905</v>
      </c>
      <c r="I11" s="81">
        <f>IF(I5=0,0,I5/MBunk_ene!I10)</f>
        <v>3.2304300925554275</v>
      </c>
      <c r="J11" s="81">
        <f>IF(J5=0,0,J5/MBunk_ene!J10)</f>
        <v>3.2313191597707998</v>
      </c>
      <c r="K11" s="81">
        <f>IF(K5=0,0,K5/MBunk_ene!K10)</f>
        <v>3.2271663123912275</v>
      </c>
      <c r="L11" s="81">
        <f>IF(L5=0,0,L5/MBunk_ene!L10)</f>
        <v>3.2278200687621181</v>
      </c>
      <c r="M11" s="81">
        <f>IF(M5=0,0,M5/MBunk_ene!M10)</f>
        <v>3.2207981349905999</v>
      </c>
      <c r="N11" s="81">
        <f>IF(N5=0,0,N5/MBunk_ene!N10)</f>
        <v>3.2136752378064646</v>
      </c>
      <c r="O11" s="81">
        <f>IF(O5=0,0,O5/MBunk_ene!O10)</f>
        <v>3.1960553772665241</v>
      </c>
      <c r="P11" s="81">
        <f>IF(P5=0,0,P5/MBunk_ene!P10)</f>
        <v>3.1991702070923891</v>
      </c>
      <c r="Q11" s="81">
        <f>IF(Q5=0,0,Q5/MBunk_ene!Q10)</f>
        <v>3.1513345895000948</v>
      </c>
      <c r="R11" s="81">
        <f>IF(R5=0,0,R5/MBunk_ene!R10)</f>
        <v>3.1575390586885028</v>
      </c>
      <c r="S11" s="81">
        <f>IF(S5=0,0,S5/MBunk_ene!S10)</f>
        <v>3.1377208113729211</v>
      </c>
      <c r="T11" s="81">
        <f>IF(T5=0,0,T5/MBunk_ene!T10)</f>
        <v>3.1543721768880522</v>
      </c>
      <c r="U11" s="81">
        <f>IF(U5=0,0,U5/MBunk_ene!U10)</f>
        <v>3.1549189181413859</v>
      </c>
      <c r="V11" s="81">
        <f>IF(V5=0,0,V5/MBunk_ene!V10)</f>
        <v>3.1529967668896566</v>
      </c>
      <c r="W11" s="81">
        <f>IF(W5=0,0,W5/MBunk_ene!W10)</f>
        <v>3.1342019527987715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17564.570055364788</v>
      </c>
      <c r="C13" s="62">
        <f>IF(C3=0,0,C3/MBunk_act!C7*100)</f>
        <v>18272.337361518614</v>
      </c>
      <c r="D13" s="62">
        <f>IF(D3=0,0,D3/MBunk_act!D7*100)</f>
        <v>18393.832664419129</v>
      </c>
      <c r="E13" s="62">
        <f>IF(E3=0,0,E3/MBunk_act!E7*100)</f>
        <v>18379.723416479701</v>
      </c>
      <c r="F13" s="62">
        <f>IF(F3=0,0,F3/MBunk_act!F7*100)</f>
        <v>18480.078026187122</v>
      </c>
      <c r="G13" s="62">
        <f>IF(G3=0,0,G3/MBunk_act!G7*100)</f>
        <v>9477.5850757875323</v>
      </c>
      <c r="H13" s="62">
        <f>IF(H3=0,0,H3/MBunk_act!H7*100)</f>
        <v>10176.850076441082</v>
      </c>
      <c r="I13" s="62">
        <f>IF(I3=0,0,I3/MBunk_act!I7*100)</f>
        <v>9975.579398680853</v>
      </c>
      <c r="J13" s="62">
        <f>IF(J3=0,0,J3/MBunk_act!J7*100)</f>
        <v>14575.890626266542</v>
      </c>
      <c r="K13" s="62">
        <f>IF(K3=0,0,K3/MBunk_act!K7*100)</f>
        <v>12914.048105355501</v>
      </c>
      <c r="L13" s="62">
        <f>IF(L3=0,0,L3/MBunk_act!L7*100)</f>
        <v>8773.9348205328242</v>
      </c>
      <c r="M13" s="62">
        <f>IF(M3=0,0,M3/MBunk_act!M7*100)</f>
        <v>8260.4209644547063</v>
      </c>
      <c r="N13" s="62">
        <f>IF(N3=0,0,N3/MBunk_act!N7*100)</f>
        <v>6869.7913677487595</v>
      </c>
      <c r="O13" s="62">
        <f>IF(O3=0,0,O3/MBunk_act!O7*100)</f>
        <v>6145.2036308886481</v>
      </c>
      <c r="P13" s="62">
        <f>IF(P3=0,0,P3/MBunk_act!P7*100)</f>
        <v>6078.254160235394</v>
      </c>
      <c r="Q13" s="62">
        <f>IF(Q3=0,0,Q3/MBunk_act!Q7*100)</f>
        <v>7185.473538529146</v>
      </c>
      <c r="R13" s="62">
        <f>IF(R3=0,0,R3/MBunk_act!R7*100)</f>
        <v>6260.7412277383455</v>
      </c>
      <c r="S13" s="62">
        <f>IF(S3=0,0,S3/MBunk_act!S7*100)</f>
        <v>8359.8079238739592</v>
      </c>
      <c r="T13" s="62">
        <f>IF(T3=0,0,T3/MBunk_act!T7*100)</f>
        <v>7837.3447034838446</v>
      </c>
      <c r="U13" s="62">
        <f>IF(U3=0,0,U3/MBunk_act!U7*100)</f>
        <v>8096.8574363611478</v>
      </c>
      <c r="V13" s="62">
        <f>IF(V3=0,0,V3/MBunk_act!V7*100)</f>
        <v>9453.2226210285371</v>
      </c>
      <c r="W13" s="62">
        <f>IF(W3=0,0,W3/MBunk_act!W7*100)</f>
        <v>9942.7197946562774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13713.480989079779</v>
      </c>
      <c r="C14" s="63">
        <f>IF(C4=0,0,C4/MBunk_act!C8*100)</f>
        <v>14314.020211122644</v>
      </c>
      <c r="D14" s="63">
        <f>IF(D4=0,0,D4/MBunk_act!D8*100)</f>
        <v>14369.498948508317</v>
      </c>
      <c r="E14" s="63">
        <f>IF(E4=0,0,E4/MBunk_act!E8*100)</f>
        <v>14435.468971243346</v>
      </c>
      <c r="F14" s="63">
        <f>IF(F4=0,0,F4/MBunk_act!F8*100)</f>
        <v>14482.308650620667</v>
      </c>
      <c r="G14" s="63">
        <f>IF(G4=0,0,G4/MBunk_act!G8*100)</f>
        <v>7233.7583445595656</v>
      </c>
      <c r="H14" s="63">
        <f>IF(H4=0,0,H4/MBunk_act!H8*100)</f>
        <v>7872.4877507421879</v>
      </c>
      <c r="I14" s="63">
        <f>IF(I4=0,0,I4/MBunk_act!I8*100)</f>
        <v>7475.0134692226839</v>
      </c>
      <c r="J14" s="63">
        <f>IF(J4=0,0,J4/MBunk_act!J8*100)</f>
        <v>11427.831350153987</v>
      </c>
      <c r="K14" s="63">
        <f>IF(K4=0,0,K4/MBunk_act!K8*100)</f>
        <v>9850.3851415825175</v>
      </c>
      <c r="L14" s="63">
        <f>IF(L4=0,0,L4/MBunk_act!L8*100)</f>
        <v>6666.8697044583023</v>
      </c>
      <c r="M14" s="63">
        <f>IF(M4=0,0,M4/MBunk_act!M8*100)</f>
        <v>6359.8648214189334</v>
      </c>
      <c r="N14" s="63">
        <f>IF(N4=0,0,N4/MBunk_act!N8*100)</f>
        <v>5411.3420547647765</v>
      </c>
      <c r="O14" s="63">
        <f>IF(O4=0,0,O4/MBunk_act!O8*100)</f>
        <v>4978.0132095910676</v>
      </c>
      <c r="P14" s="63">
        <f>IF(P4=0,0,P4/MBunk_act!P8*100)</f>
        <v>5179.3132043893183</v>
      </c>
      <c r="Q14" s="63">
        <f>IF(Q4=0,0,Q4/MBunk_act!Q8*100)</f>
        <v>5788.9296187444497</v>
      </c>
      <c r="R14" s="63">
        <f>IF(R4=0,0,R4/MBunk_act!R8*100)</f>
        <v>5079.1529761114161</v>
      </c>
      <c r="S14" s="63">
        <f>IF(S4=0,0,S4/MBunk_act!S8*100)</f>
        <v>6994.5066305968612</v>
      </c>
      <c r="T14" s="63">
        <f>IF(T4=0,0,T4/MBunk_act!T8*100)</f>
        <v>6718.9932734995527</v>
      </c>
      <c r="U14" s="63">
        <f>IF(U4=0,0,U4/MBunk_act!U8*100)</f>
        <v>7069.1488156716077</v>
      </c>
      <c r="V14" s="63">
        <f>IF(V4=0,0,V4/MBunk_act!V8*100)</f>
        <v>7614.6436073790082</v>
      </c>
      <c r="W14" s="63">
        <f>IF(W4=0,0,W4/MBunk_act!W8*100)</f>
        <v>7699.139117790176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22288.810344276189</v>
      </c>
      <c r="C15" s="64">
        <f>IF(C5=0,0,C5/MBunk_act!C9*100)</f>
        <v>23076.202158586897</v>
      </c>
      <c r="D15" s="64">
        <f>IF(D5=0,0,D5/MBunk_act!D9*100)</f>
        <v>23250.654456328644</v>
      </c>
      <c r="E15" s="64">
        <f>IF(E5=0,0,E5/MBunk_act!E9*100)</f>
        <v>23086.595545655913</v>
      </c>
      <c r="F15" s="64">
        <f>IF(F5=0,0,F5/MBunk_act!F9*100)</f>
        <v>23282.118550624826</v>
      </c>
      <c r="G15" s="64">
        <f>IF(G5=0,0,G5/MBunk_act!G9*100)</f>
        <v>11920.009611918789</v>
      </c>
      <c r="H15" s="64">
        <f>IF(H5=0,0,H5/MBunk_act!H9*100)</f>
        <v>12172.71594804095</v>
      </c>
      <c r="I15" s="64">
        <f>IF(I5=0,0,I5/MBunk_act!I9*100)</f>
        <v>13154.220179999244</v>
      </c>
      <c r="J15" s="64">
        <f>IF(J5=0,0,J5/MBunk_act!J9*100)</f>
        <v>17732.681587767893</v>
      </c>
      <c r="K15" s="64">
        <f>IF(K5=0,0,K5/MBunk_act!K9*100)</f>
        <v>16403.019258557371</v>
      </c>
      <c r="L15" s="64">
        <f>IF(L5=0,0,L5/MBunk_act!L9*100)</f>
        <v>11318.962680066039</v>
      </c>
      <c r="M15" s="64">
        <f>IF(M5=0,0,M5/MBunk_act!M9*100)</f>
        <v>10363.205669503397</v>
      </c>
      <c r="N15" s="64">
        <f>IF(N5=0,0,N5/MBunk_act!N9*100)</f>
        <v>8009.780257639045</v>
      </c>
      <c r="O15" s="64">
        <f>IF(O5=0,0,O5/MBunk_act!O9*100)</f>
        <v>6998.1372825064209</v>
      </c>
      <c r="P15" s="64">
        <f>IF(P5=0,0,P5/MBunk_act!P9*100)</f>
        <v>6611.3523535291461</v>
      </c>
      <c r="Q15" s="64">
        <f>IF(Q5=0,0,Q5/MBunk_act!Q9*100)</f>
        <v>8198.1673093866702</v>
      </c>
      <c r="R15" s="64">
        <f>IF(R5=0,0,R5/MBunk_act!R9*100)</f>
        <v>6965.7543935803187</v>
      </c>
      <c r="S15" s="64">
        <f>IF(S5=0,0,S5/MBunk_act!S9*100)</f>
        <v>8964.3857131920013</v>
      </c>
      <c r="T15" s="64">
        <f>IF(T5=0,0,T5/MBunk_act!T9*100)</f>
        <v>8302.3395292982568</v>
      </c>
      <c r="U15" s="64">
        <f>IF(U5=0,0,U5/MBunk_act!U9*100)</f>
        <v>8499.8647985756397</v>
      </c>
      <c r="V15" s="64">
        <f>IF(V5=0,0,V5/MBunk_act!V9*100)</f>
        <v>10200.69702345133</v>
      </c>
      <c r="W15" s="64">
        <f>IF(W5=0,0,W5/MBunk_act!W9*100)</f>
        <v>10909.743337142916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16.67475107468896</v>
      </c>
      <c r="C17" s="62">
        <f>IF(C3=0,0,C3/MBunk_act!C3*1000)</f>
        <v>16.900310911678584</v>
      </c>
      <c r="D17" s="62">
        <f>IF(D3=0,0,D3/MBunk_act!D3*1000)</f>
        <v>16.804012860847777</v>
      </c>
      <c r="E17" s="62">
        <f>IF(E3=0,0,E3/MBunk_act!E3*1000)</f>
        <v>16.784845458679918</v>
      </c>
      <c r="F17" s="62">
        <f>IF(F3=0,0,F3/MBunk_act!F3*1000)</f>
        <v>16.799056092240335</v>
      </c>
      <c r="G17" s="62">
        <f>IF(G3=0,0,G3/MBunk_act!G3*1000)</f>
        <v>8.5146236614336139</v>
      </c>
      <c r="H17" s="62">
        <f>IF(H3=0,0,H3/MBunk_act!H3*1000)</f>
        <v>8.1262635508151888</v>
      </c>
      <c r="I17" s="62">
        <f>IF(I3=0,0,I3/MBunk_act!I3*1000)</f>
        <v>9.0124128953729858</v>
      </c>
      <c r="J17" s="62">
        <f>IF(J3=0,0,J3/MBunk_act!J3*1000)</f>
        <v>10.665370969148986</v>
      </c>
      <c r="K17" s="62">
        <f>IF(K3=0,0,K3/MBunk_act!K3*1000)</f>
        <v>9.5291593572582585</v>
      </c>
      <c r="L17" s="62">
        <f>IF(L3=0,0,L3/MBunk_act!L3*1000)</f>
        <v>6.2612173920108116</v>
      </c>
      <c r="M17" s="62">
        <f>IF(M3=0,0,M3/MBunk_act!M3*1000)</f>
        <v>5.3253984588885599</v>
      </c>
      <c r="N17" s="62">
        <f>IF(N3=0,0,N3/MBunk_act!N3*1000)</f>
        <v>3.6974138020462624</v>
      </c>
      <c r="O17" s="62">
        <f>IF(O3=0,0,O3/MBunk_act!O3*1000)</f>
        <v>3.139194260464222</v>
      </c>
      <c r="P17" s="62">
        <f>IF(P3=0,0,P3/MBunk_act!P3*1000)</f>
        <v>2.76876112664642</v>
      </c>
      <c r="Q17" s="62">
        <f>IF(Q3=0,0,Q3/MBunk_act!Q3*1000)</f>
        <v>3.5168187458285938</v>
      </c>
      <c r="R17" s="62">
        <f>IF(R3=0,0,R3/MBunk_act!R3*1000)</f>
        <v>2.8563638909744804</v>
      </c>
      <c r="S17" s="62">
        <f>IF(S3=0,0,S3/MBunk_act!S3*1000)</f>
        <v>3.4515255208781714</v>
      </c>
      <c r="T17" s="62">
        <f>IF(T3=0,0,T3/MBunk_act!T3*1000)</f>
        <v>3.0770015411858975</v>
      </c>
      <c r="U17" s="62">
        <f>IF(U3=0,0,U3/MBunk_act!U3*1000)</f>
        <v>3.0532109436388661</v>
      </c>
      <c r="V17" s="62">
        <f>IF(V3=0,0,V3/MBunk_act!V3*1000)</f>
        <v>3.5564523884467185</v>
      </c>
      <c r="W17" s="62">
        <f>IF(W3=0,0,W3/MBunk_act!W3*1000)</f>
        <v>3.7936157971146618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26.347127856084825</v>
      </c>
      <c r="C18" s="63">
        <f>IF(C4=0,0,C4/MBunk_act!C4*1000)</f>
        <v>27.141879377250113</v>
      </c>
      <c r="D18" s="63">
        <f>IF(D4=0,0,D4/MBunk_act!D4*1000)</f>
        <v>26.823082124144076</v>
      </c>
      <c r="E18" s="63">
        <f>IF(E4=0,0,E4/MBunk_act!E4*1000)</f>
        <v>26.734458065065315</v>
      </c>
      <c r="F18" s="63">
        <f>IF(F4=0,0,F4/MBunk_act!F4*1000)</f>
        <v>26.791712903434867</v>
      </c>
      <c r="G18" s="63">
        <f>IF(G4=0,0,G4/MBunk_act!G4*1000)</f>
        <v>14.821540523024737</v>
      </c>
      <c r="H18" s="63">
        <f>IF(H4=0,0,H4/MBunk_act!H4*1000)</f>
        <v>15.651463157830323</v>
      </c>
      <c r="I18" s="63">
        <f>IF(I4=0,0,I4/MBunk_act!I4*1000)</f>
        <v>14.609562415550842</v>
      </c>
      <c r="J18" s="63">
        <f>IF(J4=0,0,J4/MBunk_act!J4*1000)</f>
        <v>18.975886674234729</v>
      </c>
      <c r="K18" s="63">
        <f>IF(K4=0,0,K4/MBunk_act!K4*1000)</f>
        <v>16.612672931190314</v>
      </c>
      <c r="L18" s="63">
        <f>IF(L4=0,0,L4/MBunk_act!L4*1000)</f>
        <v>10.791515753410744</v>
      </c>
      <c r="M18" s="63">
        <f>IF(M4=0,0,M4/MBunk_act!M4*1000)</f>
        <v>9.2321851481359101</v>
      </c>
      <c r="N18" s="63">
        <f>IF(N4=0,0,N4/MBunk_act!N4*1000)</f>
        <v>7.8349234347864716</v>
      </c>
      <c r="O18" s="63">
        <f>IF(O4=0,0,O4/MBunk_act!O4*1000)</f>
        <v>6.6439933739110524</v>
      </c>
      <c r="P18" s="63">
        <f>IF(P4=0,0,P4/MBunk_act!P4*1000)</f>
        <v>6.1934066054349382</v>
      </c>
      <c r="Q18" s="63">
        <f>IF(Q4=0,0,Q4/MBunk_act!Q4*1000)</f>
        <v>7.7791827158412339</v>
      </c>
      <c r="R18" s="63">
        <f>IF(R4=0,0,R4/MBunk_act!R4*1000)</f>
        <v>6.8516917537589217</v>
      </c>
      <c r="S18" s="63">
        <f>IF(S4=0,0,S4/MBunk_act!S4*1000)</f>
        <v>9.2912809741260691</v>
      </c>
      <c r="T18" s="63">
        <f>IF(T4=0,0,T4/MBunk_act!T4*1000)</f>
        <v>8.1950190422809008</v>
      </c>
      <c r="U18" s="63">
        <f>IF(U4=0,0,U4/MBunk_act!U4*1000)</f>
        <v>8.2824604110855322</v>
      </c>
      <c r="V18" s="63">
        <f>IF(V4=0,0,V4/MBunk_act!V4*1000)</f>
        <v>8.1306977106252347</v>
      </c>
      <c r="W18" s="63">
        <f>IF(W4=0,0,W4/MBunk_act!W4*1000)</f>
        <v>9.1429782601302705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13.056909423496302</v>
      </c>
      <c r="C19" s="64">
        <f>IF(C5=0,0,C5/MBunk_act!C5*1000)</f>
        <v>13.161661425207905</v>
      </c>
      <c r="D19" s="64">
        <f>IF(D5=0,0,D5/MBunk_act!D5*1000)</f>
        <v>13.142495082087244</v>
      </c>
      <c r="E19" s="64">
        <f>IF(E5=0,0,E5/MBunk_act!E5*1000)</f>
        <v>13.136782823931677</v>
      </c>
      <c r="F19" s="64">
        <f>IF(F5=0,0,F5/MBunk_act!F5*1000)</f>
        <v>13.137823622347716</v>
      </c>
      <c r="G19" s="64">
        <f>IF(G5=0,0,G5/MBunk_act!G5*1000)</f>
        <v>6.6463980042068656</v>
      </c>
      <c r="H19" s="64">
        <f>IF(H5=0,0,H5/MBunk_act!H5*1000)</f>
        <v>6.4020619478912959</v>
      </c>
      <c r="I19" s="64">
        <f>IF(I5=0,0,I5/MBunk_act!I5*1000)</f>
        <v>7.0588983737214468</v>
      </c>
      <c r="J19" s="64">
        <f>IF(J5=0,0,J5/MBunk_act!J5*1000)</f>
        <v>8.3127036302685049</v>
      </c>
      <c r="K19" s="64">
        <f>IF(K5=0,0,K5/MBunk_act!K5*1000)</f>
        <v>7.3777657017416045</v>
      </c>
      <c r="L19" s="64">
        <f>IF(L5=0,0,L5/MBunk_act!L5*1000)</f>
        <v>4.8212978101758681</v>
      </c>
      <c r="M19" s="64">
        <f>IF(M5=0,0,M5/MBunk_act!M5*1000)</f>
        <v>4.1367735747838399</v>
      </c>
      <c r="N19" s="64">
        <f>IF(N5=0,0,N5/MBunk_act!N5*1000)</f>
        <v>2.8911625028106309</v>
      </c>
      <c r="O19" s="64">
        <f>IF(O5=0,0,O5/MBunk_act!O5*1000)</f>
        <v>2.4636423552957458</v>
      </c>
      <c r="P19" s="64">
        <f>IF(P5=0,0,P5/MBunk_act!P5*1000)</f>
        <v>2.2028700773357781</v>
      </c>
      <c r="Q19" s="64">
        <f>IF(Q5=0,0,Q5/MBunk_act!Q5*1000)</f>
        <v>2.7463188973395476</v>
      </c>
      <c r="R19" s="64">
        <f>IF(R5=0,0,R5/MBunk_act!R5*1000)</f>
        <v>2.2783595841882973</v>
      </c>
      <c r="S19" s="64">
        <f>IF(S5=0,0,S5/MBunk_act!S5*1000)</f>
        <v>2.8357210794370529</v>
      </c>
      <c r="T19" s="64">
        <f>IF(T5=0,0,T5/MBunk_act!T5*1000)</f>
        <v>2.5426653977610698</v>
      </c>
      <c r="U19" s="64">
        <f>IF(U5=0,0,U5/MBunk_act!U5*1000)</f>
        <v>2.5318723409805064</v>
      </c>
      <c r="V19" s="64">
        <f>IF(V5=0,0,V5/MBunk_act!V5*1000)</f>
        <v>3.0377916429358121</v>
      </c>
      <c r="W19" s="64">
        <f>IF(W5=0,0,W5/MBunk_act!W5*1000)</f>
        <v>3.2204795513369087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0.43012170143808554</v>
      </c>
      <c r="C22" s="77">
        <f t="shared" si="2"/>
        <v>0.42948305121268543</v>
      </c>
      <c r="D22" s="77">
        <f t="shared" si="2"/>
        <v>0.42722050361637126</v>
      </c>
      <c r="E22" s="77">
        <f t="shared" si="2"/>
        <v>0.427318465027198</v>
      </c>
      <c r="F22" s="77">
        <f t="shared" si="2"/>
        <v>0.42764808236208779</v>
      </c>
      <c r="G22" s="77">
        <f t="shared" si="2"/>
        <v>0.39779735218861001</v>
      </c>
      <c r="H22" s="77">
        <f t="shared" si="2"/>
        <v>0.359036388159438</v>
      </c>
      <c r="I22" s="77">
        <f t="shared" si="2"/>
        <v>0.41939922591389794</v>
      </c>
      <c r="J22" s="77">
        <f t="shared" si="2"/>
        <v>0.39255432911016874</v>
      </c>
      <c r="K22" s="77">
        <f t="shared" si="2"/>
        <v>0.40613673352859497</v>
      </c>
      <c r="L22" s="77">
        <f t="shared" si="2"/>
        <v>0.41569204977327689</v>
      </c>
      <c r="M22" s="77">
        <f t="shared" si="2"/>
        <v>0.40440633125237546</v>
      </c>
      <c r="N22" s="77">
        <f t="shared" si="2"/>
        <v>0.34558084722396704</v>
      </c>
      <c r="O22" s="77">
        <f t="shared" si="2"/>
        <v>0.34202430702936232</v>
      </c>
      <c r="P22" s="77">
        <f t="shared" si="2"/>
        <v>0.31720910042904471</v>
      </c>
      <c r="Q22" s="77">
        <f t="shared" si="2"/>
        <v>0.33864242464213423</v>
      </c>
      <c r="R22" s="77">
        <f t="shared" si="2"/>
        <v>0.30316747774329172</v>
      </c>
      <c r="S22" s="77">
        <f t="shared" si="2"/>
        <v>0.25678722064286486</v>
      </c>
      <c r="T22" s="77">
        <f t="shared" si="2"/>
        <v>0.2517720284214941</v>
      </c>
      <c r="U22" s="77">
        <f t="shared" si="2"/>
        <v>0.2459292485993865</v>
      </c>
      <c r="V22" s="77">
        <f t="shared" si="2"/>
        <v>0.23282441989479066</v>
      </c>
      <c r="W22" s="77">
        <f t="shared" si="2"/>
        <v>0.23323151960342778</v>
      </c>
      <c r="DA22" s="184"/>
    </row>
    <row r="23" spans="1:105" ht="11.45" customHeight="1" x14ac:dyDescent="0.25">
      <c r="A23" s="57" t="s">
        <v>171</v>
      </c>
      <c r="B23" s="78">
        <f t="shared" si="2"/>
        <v>0.56987829856191441</v>
      </c>
      <c r="C23" s="78">
        <f t="shared" si="2"/>
        <v>0.57051694878731463</v>
      </c>
      <c r="D23" s="78">
        <f t="shared" si="2"/>
        <v>0.57277949638362879</v>
      </c>
      <c r="E23" s="78">
        <f t="shared" si="2"/>
        <v>0.57268153497280194</v>
      </c>
      <c r="F23" s="78">
        <f t="shared" si="2"/>
        <v>0.57235191763791216</v>
      </c>
      <c r="G23" s="78">
        <f t="shared" si="2"/>
        <v>0.6022026478113901</v>
      </c>
      <c r="H23" s="78">
        <f t="shared" si="2"/>
        <v>0.64096361184056205</v>
      </c>
      <c r="I23" s="78">
        <f t="shared" si="2"/>
        <v>0.58060077408610211</v>
      </c>
      <c r="J23" s="78">
        <f t="shared" si="2"/>
        <v>0.60744567088983126</v>
      </c>
      <c r="K23" s="78">
        <f t="shared" si="2"/>
        <v>0.59386326647140497</v>
      </c>
      <c r="L23" s="78">
        <f t="shared" si="2"/>
        <v>0.58430795022672311</v>
      </c>
      <c r="M23" s="78">
        <f t="shared" si="2"/>
        <v>0.59559366874762454</v>
      </c>
      <c r="N23" s="78">
        <f t="shared" si="2"/>
        <v>0.65441915277603302</v>
      </c>
      <c r="O23" s="78">
        <f t="shared" si="2"/>
        <v>0.65797569297063774</v>
      </c>
      <c r="P23" s="78">
        <f t="shared" si="2"/>
        <v>0.68279089957095529</v>
      </c>
      <c r="Q23" s="78">
        <f t="shared" si="2"/>
        <v>0.66135757535786566</v>
      </c>
      <c r="R23" s="78">
        <f t="shared" si="2"/>
        <v>0.69683252225670822</v>
      </c>
      <c r="S23" s="78">
        <f t="shared" si="2"/>
        <v>0.74321277935713503</v>
      </c>
      <c r="T23" s="78">
        <f t="shared" si="2"/>
        <v>0.74822797157850596</v>
      </c>
      <c r="U23" s="78">
        <f t="shared" si="2"/>
        <v>0.75407075140061353</v>
      </c>
      <c r="V23" s="78">
        <f t="shared" si="2"/>
        <v>0.76717558010520925</v>
      </c>
      <c r="W23" s="78">
        <f t="shared" si="2"/>
        <v>0.76676848039657219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C0E584-5150-46C2-A900-8BEF75815E83}"/>
</file>

<file path=customXml/itemProps2.xml><?xml version="1.0" encoding="utf-8"?>
<ds:datastoreItem xmlns:ds="http://schemas.openxmlformats.org/officeDocument/2006/customXml" ds:itemID="{20732626-9871-47C3-98D8-56577A718445}"/>
</file>

<file path=customXml/itemProps3.xml><?xml version="1.0" encoding="utf-8"?>
<ds:datastoreItem xmlns:ds="http://schemas.openxmlformats.org/officeDocument/2006/customXml" ds:itemID="{1F2584D8-2D08-4C00-A49E-6F08D0533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2024-05-20T16:54:41Z</dcterms:created>
  <dcterms:modified xsi:type="dcterms:W3CDTF">2024-05-20T16:54:42Z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